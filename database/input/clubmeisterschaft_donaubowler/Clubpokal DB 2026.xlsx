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Marco\Desktop\"/>
    </mc:Choice>
  </mc:AlternateContent>
  <xr:revisionPtr revIDLastSave="0" documentId="13_ncr:1_{87C87C71-D6C6-43D8-89F6-A548A75A3B60}" xr6:coauthVersionLast="47" xr6:coauthVersionMax="47" xr10:uidLastSave="{00000000-0000-0000-0000-000000000000}"/>
  <bookViews>
    <workbookView xWindow="-120" yWindow="-120" windowWidth="29040" windowHeight="15840" xr2:uid="{D7BAE6BD-B2A4-4DD1-AF79-906BD29E778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5" i="1" l="1" a="1"/>
  <c r="AM5" i="1" s="1"/>
  <c r="AM7" i="1" a="1"/>
  <c r="AM7" i="1" s="1"/>
  <c r="AM4" i="1" a="1"/>
  <c r="AM4" i="1" s="1"/>
  <c r="AM6" i="1" a="1"/>
  <c r="AM6" i="1" s="1"/>
  <c r="AM10" i="1" a="1"/>
  <c r="AM10" i="1" s="1"/>
  <c r="AM9" i="1" a="1"/>
  <c r="AM9" i="1" s="1"/>
  <c r="AM15" i="1" a="1"/>
  <c r="AM15" i="1" s="1"/>
  <c r="AM13" i="1" a="1"/>
  <c r="AM13" i="1" s="1"/>
  <c r="AM8" i="1" a="1"/>
  <c r="AM8" i="1" s="1"/>
  <c r="AM17" i="1" a="1"/>
  <c r="AM17" i="1" s="1"/>
  <c r="AM20" i="1" a="1"/>
  <c r="AM20" i="1" s="1"/>
  <c r="AM21" i="1" a="1"/>
  <c r="AM21" i="1" s="1"/>
  <c r="AM11" i="1" a="1"/>
  <c r="AM11" i="1" s="1"/>
  <c r="AM19" i="1" a="1"/>
  <c r="AM19" i="1" s="1"/>
  <c r="AM16" i="1" a="1"/>
  <c r="AM16" i="1" s="1"/>
  <c r="AM18" i="1" a="1"/>
  <c r="AM18" i="1" s="1"/>
  <c r="AM22" i="1" a="1"/>
  <c r="AM22" i="1" s="1"/>
  <c r="AM12" i="1" a="1"/>
  <c r="AM12" i="1" s="1"/>
  <c r="AM14" i="1" a="1"/>
  <c r="AM14" i="1" s="1"/>
  <c r="AM23" i="1" a="1"/>
  <c r="AM23" i="1" s="1"/>
  <c r="AM24" i="1" a="1"/>
  <c r="AM24" i="1" s="1"/>
  <c r="AM25" i="1" a="1"/>
  <c r="AM25" i="1" s="1"/>
  <c r="AM26" i="1" a="1"/>
  <c r="AM26" i="1"/>
  <c r="AM27" i="1" a="1"/>
  <c r="AM27" i="1" s="1"/>
  <c r="AM28" i="1" a="1"/>
  <c r="AM28" i="1" s="1"/>
  <c r="AM29" i="1" a="1"/>
  <c r="AM29" i="1" s="1"/>
  <c r="AM30" i="1" a="1"/>
  <c r="AM30" i="1" s="1"/>
  <c r="AM31" i="1" a="1"/>
  <c r="AM31" i="1"/>
  <c r="AM32" i="1" a="1"/>
  <c r="AM32" i="1" s="1"/>
  <c r="AM33" i="1" a="1"/>
  <c r="AM33" i="1" s="1"/>
  <c r="AM34" i="1" a="1"/>
  <c r="AM34" i="1" s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14" i="1"/>
  <c r="AL12" i="1"/>
  <c r="AL22" i="1"/>
  <c r="AL18" i="1"/>
  <c r="AL16" i="1"/>
  <c r="AL19" i="1"/>
  <c r="AL11" i="1"/>
  <c r="AL21" i="1"/>
  <c r="AL20" i="1"/>
  <c r="AL17" i="1"/>
  <c r="AL8" i="1"/>
  <c r="AL13" i="1"/>
  <c r="AL15" i="1"/>
  <c r="AL9" i="1"/>
  <c r="AL10" i="1"/>
  <c r="AL6" i="1"/>
  <c r="AL4" i="1"/>
  <c r="AL7" i="1"/>
  <c r="AL5" i="1"/>
  <c r="AL3" i="1"/>
  <c r="AM3" i="1" a="1"/>
  <c r="AM3" i="1" s="1"/>
  <c r="H7" i="1"/>
  <c r="H4" i="1"/>
  <c r="H6" i="1"/>
  <c r="H10" i="1"/>
  <c r="H9" i="1"/>
  <c r="H15" i="1"/>
  <c r="H13" i="1"/>
  <c r="H8" i="1"/>
  <c r="H17" i="1"/>
  <c r="H20" i="1"/>
  <c r="H21" i="1"/>
  <c r="H11" i="1"/>
  <c r="H19" i="1"/>
  <c r="H16" i="1"/>
  <c r="H18" i="1"/>
  <c r="H22" i="1"/>
  <c r="H12" i="1"/>
  <c r="H14" i="1"/>
  <c r="H23" i="1"/>
  <c r="H24" i="1"/>
  <c r="H25" i="1"/>
  <c r="H26" i="1"/>
  <c r="H27" i="1"/>
  <c r="H28" i="1"/>
  <c r="H29" i="1"/>
  <c r="H30" i="1"/>
  <c r="H31" i="1"/>
  <c r="H32" i="1"/>
  <c r="H33" i="1"/>
  <c r="H34" i="1"/>
  <c r="H3" i="1"/>
  <c r="H5" i="1"/>
  <c r="AQ7" i="1"/>
  <c r="AQ4" i="1"/>
  <c r="AQ10" i="1"/>
  <c r="AQ6" i="1"/>
  <c r="AQ15" i="1"/>
  <c r="AQ9" i="1"/>
  <c r="AQ8" i="1"/>
  <c r="AQ13" i="1"/>
  <c r="AQ18" i="1"/>
  <c r="AQ22" i="1"/>
  <c r="AQ16" i="1"/>
  <c r="AQ19" i="1"/>
  <c r="AQ17" i="1"/>
  <c r="AQ20" i="1"/>
  <c r="AQ11" i="1"/>
  <c r="AQ21" i="1"/>
  <c r="AQ12" i="1"/>
  <c r="AQ14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" i="1"/>
  <c r="AQ5" i="1"/>
  <c r="AF18" i="1" l="1"/>
  <c r="AF22" i="1"/>
  <c r="AF16" i="1"/>
  <c r="AF19" i="1"/>
  <c r="AF17" i="1"/>
  <c r="AF20" i="1"/>
  <c r="AF11" i="1"/>
  <c r="AF21" i="1"/>
  <c r="AF12" i="1"/>
  <c r="AF14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Z18" i="1"/>
  <c r="Z22" i="1"/>
  <c r="Z16" i="1"/>
  <c r="Z19" i="1"/>
  <c r="Z17" i="1"/>
  <c r="Z20" i="1"/>
  <c r="Z11" i="1"/>
  <c r="Z21" i="1"/>
  <c r="Z12" i="1"/>
  <c r="Z14" i="1"/>
  <c r="Z23" i="1"/>
  <c r="Z24" i="1"/>
  <c r="Z25" i="1"/>
  <c r="Z26" i="1"/>
  <c r="Z27" i="1"/>
  <c r="Z28" i="1"/>
  <c r="Z29" i="1"/>
  <c r="Z30" i="1"/>
  <c r="Z31" i="1"/>
  <c r="Z32" i="1"/>
  <c r="Z33" i="1"/>
  <c r="Z34" i="1"/>
  <c r="T18" i="1"/>
  <c r="T22" i="1"/>
  <c r="T16" i="1"/>
  <c r="T19" i="1"/>
  <c r="T17" i="1"/>
  <c r="T20" i="1"/>
  <c r="T11" i="1"/>
  <c r="T21" i="1"/>
  <c r="T12" i="1"/>
  <c r="T14" i="1"/>
  <c r="T23" i="1"/>
  <c r="T24" i="1"/>
  <c r="T25" i="1"/>
  <c r="T26" i="1"/>
  <c r="T27" i="1"/>
  <c r="T28" i="1"/>
  <c r="T29" i="1"/>
  <c r="T30" i="1"/>
  <c r="T31" i="1"/>
  <c r="T32" i="1"/>
  <c r="T33" i="1"/>
  <c r="T34" i="1"/>
  <c r="N18" i="1"/>
  <c r="N22" i="1"/>
  <c r="AN22" i="1" s="1"/>
  <c r="N16" i="1"/>
  <c r="AN16" i="1" s="1"/>
  <c r="N19" i="1"/>
  <c r="N17" i="1"/>
  <c r="N20" i="1"/>
  <c r="N11" i="1"/>
  <c r="N21" i="1"/>
  <c r="N12" i="1"/>
  <c r="N14" i="1"/>
  <c r="AN14" i="1" s="1"/>
  <c r="N23" i="1"/>
  <c r="N24" i="1"/>
  <c r="N25" i="1"/>
  <c r="AN25" i="1" s="1"/>
  <c r="N26" i="1"/>
  <c r="AN26" i="1" s="1"/>
  <c r="N27" i="1"/>
  <c r="AN27" i="1" s="1"/>
  <c r="N28" i="1"/>
  <c r="AN28" i="1" s="1"/>
  <c r="N29" i="1"/>
  <c r="N30" i="1"/>
  <c r="AN30" i="1" s="1"/>
  <c r="N31" i="1"/>
  <c r="AN31" i="1" s="1"/>
  <c r="N32" i="1"/>
  <c r="AN32" i="1" s="1"/>
  <c r="N33" i="1"/>
  <c r="N34" i="1"/>
  <c r="AN34" i="1" s="1"/>
  <c r="AF13" i="1"/>
  <c r="AF8" i="1"/>
  <c r="AF15" i="1"/>
  <c r="AF9" i="1"/>
  <c r="AF5" i="1"/>
  <c r="AF6" i="1"/>
  <c r="AF7" i="1"/>
  <c r="AF4" i="1"/>
  <c r="AF10" i="1"/>
  <c r="AF3" i="1"/>
  <c r="Z13" i="1"/>
  <c r="Z8" i="1"/>
  <c r="Z15" i="1"/>
  <c r="Z9" i="1"/>
  <c r="Z5" i="1"/>
  <c r="Z6" i="1"/>
  <c r="Z7" i="1"/>
  <c r="Z4" i="1"/>
  <c r="Z10" i="1"/>
  <c r="Z3" i="1"/>
  <c r="T13" i="1"/>
  <c r="T8" i="1"/>
  <c r="T15" i="1"/>
  <c r="T9" i="1"/>
  <c r="T5" i="1"/>
  <c r="T6" i="1"/>
  <c r="T7" i="1"/>
  <c r="T4" i="1"/>
  <c r="T10" i="1"/>
  <c r="T3" i="1"/>
  <c r="N13" i="1"/>
  <c r="N8" i="1"/>
  <c r="N15" i="1"/>
  <c r="N9" i="1"/>
  <c r="N5" i="1"/>
  <c r="N6" i="1"/>
  <c r="N7" i="1"/>
  <c r="N4" i="1"/>
  <c r="N10" i="1"/>
  <c r="N3" i="1"/>
  <c r="AN6" i="1" l="1"/>
  <c r="AN24" i="1"/>
  <c r="AN5" i="1"/>
  <c r="AN13" i="1"/>
  <c r="AN7" i="1"/>
  <c r="AN33" i="1"/>
  <c r="AN29" i="1"/>
  <c r="AN12" i="1"/>
  <c r="AN18" i="1"/>
  <c r="AN23" i="1"/>
  <c r="AN9" i="1"/>
  <c r="AN8" i="1"/>
  <c r="AN19" i="1"/>
  <c r="AN20" i="1"/>
  <c r="AN15" i="1"/>
  <c r="AN11" i="1"/>
  <c r="AN17" i="1"/>
  <c r="AN21" i="1"/>
  <c r="AN10" i="1"/>
  <c r="AN4" i="1"/>
  <c r="AN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<sst xmlns="http://schemas.openxmlformats.org/spreadsheetml/2006/main" count="44" uniqueCount="34">
  <si>
    <t>Marco Hürdler</t>
  </si>
  <si>
    <t>Runde 1</t>
  </si>
  <si>
    <t>Christian Feller</t>
  </si>
  <si>
    <t>Volkmar Hartfeil</t>
  </si>
  <si>
    <t>Fabian Rettinger</t>
  </si>
  <si>
    <t>Paul Keller</t>
  </si>
  <si>
    <t>Elvira Keller</t>
  </si>
  <si>
    <t>Stefan Hiebl</t>
  </si>
  <si>
    <t>Runde 2</t>
  </si>
  <si>
    <t>Runde 3</t>
  </si>
  <si>
    <t>Runde 4</t>
  </si>
  <si>
    <t>Runde 5</t>
  </si>
  <si>
    <t>Runde 6</t>
  </si>
  <si>
    <t>Sepp Gfesser</t>
  </si>
  <si>
    <t>Peter Holten</t>
  </si>
  <si>
    <t>Summe</t>
  </si>
  <si>
    <t>Teilnehmer</t>
  </si>
  <si>
    <t>£ ohne HDC</t>
  </si>
  <si>
    <t>£ mit HDC</t>
  </si>
  <si>
    <t>Luu Vinh Duc</t>
  </si>
  <si>
    <t>Kurt Obermeier</t>
  </si>
  <si>
    <t>Sebastian Radecker</t>
  </si>
  <si>
    <t>Dominik Seltmann</t>
  </si>
  <si>
    <t>Markus Islinger</t>
  </si>
  <si>
    <t>Abin Pal</t>
  </si>
  <si>
    <t>Jürgen Winecki</t>
  </si>
  <si>
    <t>Tobias Schneider</t>
  </si>
  <si>
    <t>Ludwig Hermann</t>
  </si>
  <si>
    <t>HDC</t>
  </si>
  <si>
    <t>Ernest Roth</t>
  </si>
  <si>
    <t>DBU</t>
  </si>
  <si>
    <t>Rang</t>
  </si>
  <si>
    <t>Richard Zorzi</t>
  </si>
  <si>
    <t>Donaubowler Clubmeisterschaft 2026 / Stand 21.05.26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</si>
</sst>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D03C-3231-415F-B722-714CA0D22DE3}">
  <sheetPr codeName="Tabelle1"/>
  <dimension ref="A1:AQ34"/>
  <sheetViews>
    <sheetView tabSelected="1" workbookViewId="0">
      <selection activeCell="AS16" sqref="AS16"/>
    </sheetView>
  </sheetViews>
  <sheetFormatPr baseColWidth="10" defaultRowHeight="15" x14ac:dyDescent="0.25"/>
  <cols>
    <col min="1" max="1" width="5.42578125" bestFit="1" customWidth="1"/>
    <col min="2" max="2" width="17.85546875" bestFit="1" customWidth="1"/>
    <col min="3" max="6" width="4" bestFit="1" customWidth="1"/>
    <col min="7" max="7" width="4.7109375" style="1" bestFit="1" customWidth="1"/>
    <col min="8" max="8" width="7.28515625" bestFit="1" customWidth="1"/>
    <col min="9" max="9" width="4" bestFit="1" customWidth="1"/>
    <col min="10" max="11" width="5" bestFit="1" customWidth="1"/>
    <col min="12" max="12" width="4" bestFit="1" customWidth="1"/>
    <col min="13" max="13" width="4.7109375" style="1" bestFit="1" customWidth="1"/>
    <col min="14" max="14" width="7.28515625" bestFit="1" customWidth="1"/>
    <col min="15" max="18" width="4" bestFit="1" customWidth="1"/>
    <col min="19" max="19" width="4.7109375" style="1" bestFit="1" customWidth="1"/>
    <col min="20" max="20" width="7.28515625" bestFit="1" customWidth="1"/>
    <col min="21" max="24" width="4" bestFit="1" customWidth="1"/>
    <col min="25" max="25" width="4.7109375" style="1" bestFit="1" customWidth="1"/>
    <col min="26" max="26" width="7.28515625" bestFit="1" customWidth="1"/>
    <col min="27" max="30" width="4" bestFit="1" customWidth="1"/>
    <col min="31" max="31" width="4.7109375" style="1" bestFit="1" customWidth="1"/>
    <col min="32" max="32" width="7.28515625" bestFit="1" customWidth="1"/>
    <col min="33" max="36" width="4" bestFit="1" customWidth="1"/>
    <col min="37" max="37" width="4.7109375" style="1" bestFit="1" customWidth="1"/>
    <col min="38" max="38" width="7.28515625" bestFit="1" customWidth="1"/>
    <col min="39" max="39" width="10.7109375" bestFit="1" customWidth="1"/>
    <col min="40" max="40" width="9.140625" bestFit="1" customWidth="1"/>
    <col min="41" max="41" width="4" bestFit="1" customWidth="1"/>
    <col min="42" max="43" width="6.5703125" style="10" bestFit="1" customWidth="1"/>
  </cols>
  <sheetData>
    <row r="1" spans="1:43" ht="26.25" x14ac:dyDescent="0.25">
      <c r="B1" s="12" t="s">
        <v>33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43" x14ac:dyDescent="0.25">
      <c r="A2" t="s">
        <v>31</v>
      </c>
      <c r="B2" s="2" t="s">
        <v>16</v>
      </c>
      <c r="C2" s="13" t="s">
        <v>1</v>
      </c>
      <c r="D2" s="13"/>
      <c r="E2" s="13"/>
      <c r="F2" s="13"/>
      <c r="G2" s="9" t="s">
        <v>28</v>
      </c>
      <c r="H2" s="4" t="s">
        <v>15</v>
      </c>
      <c r="I2" s="13" t="s">
        <v>8</v>
      </c>
      <c r="J2" s="13"/>
      <c r="K2" s="13"/>
      <c r="L2" s="13"/>
      <c r="M2" s="9" t="s">
        <v>28</v>
      </c>
      <c r="N2" s="4" t="s">
        <v>15</v>
      </c>
      <c r="O2" s="13" t="s">
        <v>9</v>
      </c>
      <c r="P2" s="13"/>
      <c r="Q2" s="13"/>
      <c r="R2" s="13"/>
      <c r="S2" s="9" t="s">
        <v>28</v>
      </c>
      <c r="T2" s="4" t="s">
        <v>15</v>
      </c>
      <c r="U2" s="13" t="s">
        <v>10</v>
      </c>
      <c r="V2" s="13"/>
      <c r="W2" s="13"/>
      <c r="X2" s="13"/>
      <c r="Y2" s="9" t="s">
        <v>28</v>
      </c>
      <c r="Z2" s="4" t="s">
        <v>15</v>
      </c>
      <c r="AA2" s="13" t="s">
        <v>11</v>
      </c>
      <c r="AB2" s="13"/>
      <c r="AC2" s="13"/>
      <c r="AD2" s="13"/>
      <c r="AE2" s="9" t="s">
        <v>28</v>
      </c>
      <c r="AF2" s="4" t="s">
        <v>15</v>
      </c>
      <c r="AG2" s="13" t="s">
        <v>12</v>
      </c>
      <c r="AH2" s="13"/>
      <c r="AI2" s="13"/>
      <c r="AJ2" s="13"/>
      <c r="AK2" s="9" t="s">
        <v>28</v>
      </c>
      <c r="AL2" s="4" t="s">
        <v>15</v>
      </c>
      <c r="AM2" s="5" t="s">
        <v>17</v>
      </c>
      <c r="AN2" s="7" t="s">
        <v>18</v>
      </c>
      <c r="AP2" s="1" t="s">
        <v>30</v>
      </c>
    </row>
    <row r="3" spans="1:43" x14ac:dyDescent="0.25">
      <c r="A3">
        <v>1</v>
      </c>
      <c r="B3" s="2" t="s">
        <v>0</v>
      </c>
      <c r="C3" s="3">
        <v>216</v>
      </c>
      <c r="D3" s="3">
        <v>239</v>
      </c>
      <c r="E3" s="3">
        <v>224</v>
      </c>
      <c r="F3" s="3">
        <v>209</v>
      </c>
      <c r="G3" s="9">
        <v>0</v>
      </c>
      <c r="H3" s="4">
        <f>SUM(C3:G3)</f>
        <v>888</v>
      </c>
      <c r="I3" s="3">
        <v>245</v>
      </c>
      <c r="J3" s="3">
        <v>194</v>
      </c>
      <c r="K3" s="3">
        <v>190</v>
      </c>
      <c r="L3" s="3">
        <v>216</v>
      </c>
      <c r="M3" s="9">
        <v>0</v>
      </c>
      <c r="N3" s="4">
        <f>SUM(I3:L3)</f>
        <v>845</v>
      </c>
      <c r="O3" s="3">
        <v>215</v>
      </c>
      <c r="P3" s="3">
        <v>179</v>
      </c>
      <c r="Q3" s="3">
        <v>217</v>
      </c>
      <c r="R3" s="3">
        <v>192</v>
      </c>
      <c r="S3" s="9">
        <v>0</v>
      </c>
      <c r="T3" s="4">
        <f>SUM(O3:R3)</f>
        <v>803</v>
      </c>
      <c r="U3" s="3">
        <v>214</v>
      </c>
      <c r="V3" s="3">
        <v>227</v>
      </c>
      <c r="W3" s="3">
        <v>224</v>
      </c>
      <c r="X3" s="3">
        <v>185</v>
      </c>
      <c r="Y3" s="9">
        <v>0</v>
      </c>
      <c r="Z3" s="4">
        <f>SUM(U3:X3)</f>
        <v>850</v>
      </c>
      <c r="AA3" s="3"/>
      <c r="AB3" s="3"/>
      <c r="AC3" s="3"/>
      <c r="AD3" s="3"/>
      <c r="AE3" s="9">
        <v>0</v>
      </c>
      <c r="AF3" s="4">
        <f>SUM(AA3:AD3)</f>
        <v>0</v>
      </c>
      <c r="AG3" s="3"/>
      <c r="AH3" s="3"/>
      <c r="AI3" s="3"/>
      <c r="AJ3" s="3"/>
      <c r="AK3" s="9">
        <v>0</v>
      </c>
      <c r="AL3" s="4">
        <f>SUM(AG3:AJ3)</f>
        <v>0</v>
      </c>
      <c r="AM3" s="6" cm="1">
        <f t="array" ref="AM3">SUM(C3:F3+I3:L3+O3:R3+U3:X3+AA3:AD3+AG3:AJ3)</f>
        <v>3386</v>
      </c>
      <c r="AN3" s="8">
        <f>SUM(H3+N3+T3+Z3+AF3+AL3)</f>
        <v>3386</v>
      </c>
      <c r="AO3">
        <v>200</v>
      </c>
      <c r="AP3" s="11">
        <v>207</v>
      </c>
      <c r="AQ3" s="11">
        <f>SUM((AO3-AP3)*0.7)</f>
        <v>-4.8999999999999995</v>
      </c>
    </row>
    <row r="4" spans="1:43" x14ac:dyDescent="0.25">
      <c r="A4">
        <v>2</v>
      </c>
      <c r="B4" s="2" t="s">
        <v>3</v>
      </c>
      <c r="C4" s="3">
        <v>205</v>
      </c>
      <c r="D4" s="3">
        <v>227</v>
      </c>
      <c r="E4" s="3">
        <v>205</v>
      </c>
      <c r="F4" s="3">
        <v>190</v>
      </c>
      <c r="G4" s="9">
        <v>16</v>
      </c>
      <c r="H4" s="4">
        <f>SUM(C4:G4)</f>
        <v>843</v>
      </c>
      <c r="I4" s="3">
        <v>191</v>
      </c>
      <c r="J4" s="3">
        <v>232</v>
      </c>
      <c r="K4" s="3">
        <v>183</v>
      </c>
      <c r="L4" s="3">
        <v>224</v>
      </c>
      <c r="M4" s="9">
        <v>16</v>
      </c>
      <c r="N4" s="4">
        <f>SUM(I4:L4)</f>
        <v>830</v>
      </c>
      <c r="O4" s="3">
        <v>214</v>
      </c>
      <c r="P4" s="3">
        <v>203</v>
      </c>
      <c r="Q4" s="3">
        <v>219</v>
      </c>
      <c r="R4" s="3">
        <v>239</v>
      </c>
      <c r="S4" s="9">
        <v>16</v>
      </c>
      <c r="T4" s="4">
        <f>SUM(O4:R4)</f>
        <v>875</v>
      </c>
      <c r="U4" s="3"/>
      <c r="V4" s="3"/>
      <c r="W4" s="3"/>
      <c r="X4" s="3"/>
      <c r="Y4" s="9">
        <v>16</v>
      </c>
      <c r="Z4" s="4">
        <f>SUM(U4:X4)</f>
        <v>0</v>
      </c>
      <c r="AA4" s="3"/>
      <c r="AB4" s="3"/>
      <c r="AC4" s="3"/>
      <c r="AD4" s="3"/>
      <c r="AE4" s="9">
        <v>16</v>
      </c>
      <c r="AF4" s="4">
        <f>SUM(AA4:AD4)</f>
        <v>0</v>
      </c>
      <c r="AG4" s="3"/>
      <c r="AH4" s="3"/>
      <c r="AI4" s="3"/>
      <c r="AJ4" s="3"/>
      <c r="AK4" s="9">
        <v>16</v>
      </c>
      <c r="AL4" s="4">
        <f>SUM(AG4:AJ4)</f>
        <v>0</v>
      </c>
      <c r="AM4" s="6" cm="1">
        <f t="array" ref="AM4">SUM(C4:F4+I4:L4+O4:R4+U4:X4+AA4:AD4+AG4:AJ4)</f>
        <v>2532</v>
      </c>
      <c r="AN4" s="8">
        <f>SUM(H4+N4+T4+Z4+AF4+AL4)</f>
        <v>2548</v>
      </c>
      <c r="AO4">
        <v>200</v>
      </c>
      <c r="AP4" s="11">
        <v>193.83</v>
      </c>
      <c r="AQ4" s="11">
        <f>SUM((AO4-AP4)*0.7)</f>
        <v>4.3189999999999911</v>
      </c>
    </row>
    <row r="5" spans="1:43" x14ac:dyDescent="0.25">
      <c r="A5">
        <v>3</v>
      </c>
      <c r="B5" s="2" t="s">
        <v>5</v>
      </c>
      <c r="C5" s="3">
        <v>195</v>
      </c>
      <c r="D5" s="3">
        <v>214</v>
      </c>
      <c r="E5" s="3">
        <v>167</v>
      </c>
      <c r="F5" s="3">
        <v>171</v>
      </c>
      <c r="G5" s="9">
        <v>76</v>
      </c>
      <c r="H5" s="4">
        <f>SUM(C5:G5)</f>
        <v>823</v>
      </c>
      <c r="I5" s="3">
        <v>179</v>
      </c>
      <c r="J5" s="3">
        <v>215</v>
      </c>
      <c r="K5" s="3">
        <v>193</v>
      </c>
      <c r="L5" s="3">
        <v>194</v>
      </c>
      <c r="M5" s="9">
        <v>76</v>
      </c>
      <c r="N5" s="4">
        <f>SUM(I5:L5)</f>
        <v>781</v>
      </c>
      <c r="O5" s="3">
        <v>148</v>
      </c>
      <c r="P5" s="3">
        <v>149</v>
      </c>
      <c r="Q5" s="3">
        <v>177</v>
      </c>
      <c r="R5" s="3">
        <v>182</v>
      </c>
      <c r="S5" s="9">
        <v>76</v>
      </c>
      <c r="T5" s="4">
        <f>SUM(O5:R5)</f>
        <v>656</v>
      </c>
      <c r="U5" s="3"/>
      <c r="V5" s="3"/>
      <c r="W5" s="3"/>
      <c r="X5" s="3"/>
      <c r="Y5" s="9">
        <v>76</v>
      </c>
      <c r="Z5" s="4">
        <f>SUM(U5:X5)</f>
        <v>0</v>
      </c>
      <c r="AA5" s="3"/>
      <c r="AB5" s="3"/>
      <c r="AC5" s="3"/>
      <c r="AD5" s="3"/>
      <c r="AE5" s="9">
        <v>76</v>
      </c>
      <c r="AF5" s="4">
        <f>SUM(AA5:AD5)</f>
        <v>0</v>
      </c>
      <c r="AG5" s="3"/>
      <c r="AH5" s="3"/>
      <c r="AI5" s="3"/>
      <c r="AJ5" s="3"/>
      <c r="AK5" s="9">
        <v>76</v>
      </c>
      <c r="AL5" s="4">
        <f>SUM(AG5:AJ5)</f>
        <v>0</v>
      </c>
      <c r="AM5" s="6" cm="1">
        <f t="array" ref="AM5">SUM(C5:F5+I5:L5+O5:R5+U5:X5+AA5:AD5+AG5:AJ5)</f>
        <v>2184</v>
      </c>
      <c r="AN5" s="8">
        <f>SUM(H5+N5+T5+Z5+AF5+AL5)</f>
        <v>2260</v>
      </c>
      <c r="AO5">
        <v>200</v>
      </c>
      <c r="AP5" s="11">
        <v>173.04</v>
      </c>
      <c r="AQ5" s="11">
        <f>SUM((AO5-AP5)*0.7)</f>
        <v>18.872000000000003</v>
      </c>
    </row>
    <row r="6" spans="1:43" x14ac:dyDescent="0.25">
      <c r="A6">
        <v>4</v>
      </c>
      <c r="B6" s="2" t="s">
        <v>4</v>
      </c>
      <c r="C6" s="3">
        <v>200</v>
      </c>
      <c r="D6" s="3">
        <v>205</v>
      </c>
      <c r="E6" s="3">
        <v>192</v>
      </c>
      <c r="F6" s="3">
        <v>184</v>
      </c>
      <c r="G6" s="9">
        <v>44</v>
      </c>
      <c r="H6" s="4">
        <f>SUM(C6:G6)</f>
        <v>825</v>
      </c>
      <c r="I6" s="3">
        <v>174</v>
      </c>
      <c r="J6" s="3">
        <v>200</v>
      </c>
      <c r="K6" s="3">
        <v>189</v>
      </c>
      <c r="L6" s="3">
        <v>147</v>
      </c>
      <c r="M6" s="9">
        <v>44</v>
      </c>
      <c r="N6" s="4">
        <f>SUM(I6:L6)</f>
        <v>710</v>
      </c>
      <c r="O6" s="3">
        <v>185</v>
      </c>
      <c r="P6" s="3">
        <v>149</v>
      </c>
      <c r="Q6" s="3">
        <v>167</v>
      </c>
      <c r="R6" s="3">
        <v>213</v>
      </c>
      <c r="S6" s="9">
        <v>44</v>
      </c>
      <c r="T6" s="4">
        <f>SUM(O6:R6)</f>
        <v>714</v>
      </c>
      <c r="U6" s="3"/>
      <c r="V6" s="3"/>
      <c r="W6" s="3"/>
      <c r="X6" s="3"/>
      <c r="Y6" s="9">
        <v>44</v>
      </c>
      <c r="Z6" s="4">
        <f>SUM(U6:X6)</f>
        <v>0</v>
      </c>
      <c r="AA6" s="3"/>
      <c r="AB6" s="3"/>
      <c r="AC6" s="3"/>
      <c r="AD6" s="3"/>
      <c r="AE6" s="9">
        <v>44</v>
      </c>
      <c r="AF6" s="4">
        <f>SUM(AA6:AD6)</f>
        <v>0</v>
      </c>
      <c r="AG6" s="3"/>
      <c r="AH6" s="3"/>
      <c r="AI6" s="3"/>
      <c r="AJ6" s="3"/>
      <c r="AK6" s="9">
        <v>44</v>
      </c>
      <c r="AL6" s="4">
        <f>SUM(AG6:AJ6)</f>
        <v>0</v>
      </c>
      <c r="AM6" s="6" cm="1">
        <f t="array" ref="AM6">SUM(C6:F6+I6:L6+O6:R6+U6:X6+AA6:AD6+AG6:AJ6)</f>
        <v>2205</v>
      </c>
      <c r="AN6" s="8">
        <f>SUM(H6+N6+T6+Z6+AF6+AL6)</f>
        <v>2249</v>
      </c>
      <c r="AO6">
        <v>200</v>
      </c>
      <c r="AP6" s="11">
        <v>184.5</v>
      </c>
      <c r="AQ6" s="11">
        <f>SUM((AO6-AP6)*0.7)</f>
        <v>10.85</v>
      </c>
    </row>
    <row r="7" spans="1:43" x14ac:dyDescent="0.25">
      <c r="A7">
        <v>5</v>
      </c>
      <c r="B7" s="2" t="s">
        <v>19</v>
      </c>
      <c r="C7" s="3">
        <v>157</v>
      </c>
      <c r="D7" s="3">
        <v>176</v>
      </c>
      <c r="E7" s="3">
        <v>180</v>
      </c>
      <c r="F7" s="3">
        <v>192</v>
      </c>
      <c r="G7" s="9">
        <v>96</v>
      </c>
      <c r="H7" s="4">
        <f>SUM(C7:G7)</f>
        <v>801</v>
      </c>
      <c r="I7" s="3">
        <v>200</v>
      </c>
      <c r="J7" s="3">
        <v>191</v>
      </c>
      <c r="K7" s="3">
        <v>194</v>
      </c>
      <c r="L7" s="3">
        <v>204</v>
      </c>
      <c r="M7" s="9">
        <v>96</v>
      </c>
      <c r="N7" s="4">
        <f>SUM(I7:L7)</f>
        <v>789</v>
      </c>
      <c r="O7" s="3">
        <v>131</v>
      </c>
      <c r="P7" s="3">
        <v>142</v>
      </c>
      <c r="Q7" s="3">
        <v>152</v>
      </c>
      <c r="R7" s="3">
        <v>163</v>
      </c>
      <c r="S7" s="9">
        <v>96</v>
      </c>
      <c r="T7" s="4">
        <f>SUM(O7:R7)</f>
        <v>588</v>
      </c>
      <c r="U7" s="3"/>
      <c r="V7" s="3"/>
      <c r="W7" s="3"/>
      <c r="X7" s="3"/>
      <c r="Y7" s="9">
        <v>96</v>
      </c>
      <c r="Z7" s="4">
        <f>SUM(U7:X7)</f>
        <v>0</v>
      </c>
      <c r="AA7" s="3"/>
      <c r="AB7" s="3"/>
      <c r="AC7" s="3"/>
      <c r="AD7" s="3"/>
      <c r="AE7" s="9">
        <v>96</v>
      </c>
      <c r="AF7" s="4">
        <f>SUM(AA7:AD7)</f>
        <v>0</v>
      </c>
      <c r="AG7" s="3"/>
      <c r="AH7" s="3"/>
      <c r="AI7" s="3"/>
      <c r="AJ7" s="3"/>
      <c r="AK7" s="9">
        <v>96</v>
      </c>
      <c r="AL7" s="4">
        <f>SUM(AG7:AJ7)</f>
        <v>0</v>
      </c>
      <c r="AM7" s="6" cm="1">
        <f t="array" ref="AM7">SUM(C7:F7+I7:L7+O7:R7+U7:X7+AA7:AD7+AG7:AJ7)</f>
        <v>2082</v>
      </c>
      <c r="AN7" s="8">
        <f>SUM(H7+N7+T7+Z7+AF7+AL7)</f>
        <v>2178</v>
      </c>
      <c r="AO7">
        <v>200</v>
      </c>
      <c r="AP7" s="11">
        <v>166.35</v>
      </c>
      <c r="AQ7" s="11">
        <f>SUM((AO7-AP7)*0.7)</f>
        <v>23.555000000000003</v>
      </c>
    </row>
    <row r="8" spans="1:43" x14ac:dyDescent="0.25">
      <c r="A8">
        <v>6</v>
      </c>
      <c r="B8" s="2" t="s">
        <v>13</v>
      </c>
      <c r="C8" s="3">
        <v>152</v>
      </c>
      <c r="D8" s="3">
        <v>160</v>
      </c>
      <c r="E8" s="3">
        <v>198</v>
      </c>
      <c r="F8" s="3">
        <v>136</v>
      </c>
      <c r="G8" s="9">
        <v>68</v>
      </c>
      <c r="H8" s="4">
        <f>SUM(C8:G8)</f>
        <v>714</v>
      </c>
      <c r="I8" s="3">
        <v>163</v>
      </c>
      <c r="J8" s="3">
        <v>171</v>
      </c>
      <c r="K8" s="3">
        <v>189</v>
      </c>
      <c r="L8" s="3">
        <v>162</v>
      </c>
      <c r="M8" s="9">
        <v>68</v>
      </c>
      <c r="N8" s="4">
        <f>SUM(I8:L8)</f>
        <v>685</v>
      </c>
      <c r="O8" s="3">
        <v>156</v>
      </c>
      <c r="P8" s="3">
        <v>174</v>
      </c>
      <c r="Q8" s="3">
        <v>150</v>
      </c>
      <c r="R8" s="3">
        <v>184</v>
      </c>
      <c r="S8" s="9">
        <v>68</v>
      </c>
      <c r="T8" s="4">
        <f>SUM(O8:R8)</f>
        <v>664</v>
      </c>
      <c r="U8" s="3"/>
      <c r="V8" s="3"/>
      <c r="W8" s="3"/>
      <c r="X8" s="3"/>
      <c r="Y8" s="9">
        <v>68</v>
      </c>
      <c r="Z8" s="4">
        <f>SUM(U8:X8)</f>
        <v>0</v>
      </c>
      <c r="AA8" s="3"/>
      <c r="AB8" s="3"/>
      <c r="AC8" s="3"/>
      <c r="AD8" s="3"/>
      <c r="AE8" s="9">
        <v>68</v>
      </c>
      <c r="AF8" s="4">
        <f>SUM(AA8:AD8)</f>
        <v>0</v>
      </c>
      <c r="AG8" s="3"/>
      <c r="AH8" s="3"/>
      <c r="AI8" s="3"/>
      <c r="AJ8" s="3"/>
      <c r="AK8" s="9">
        <v>68</v>
      </c>
      <c r="AL8" s="4">
        <f>SUM(AG8:AJ8)</f>
        <v>0</v>
      </c>
      <c r="AM8" s="6" cm="1">
        <f t="array" ref="AM8">SUM(C8:F8+I8:L8+O8:R8+U8:X8+AA8:AD8+AG8:AJ8)</f>
        <v>1995</v>
      </c>
      <c r="AN8" s="8">
        <f>SUM(H8+N8+T8+Z8+AF8+AL8)</f>
        <v>2063</v>
      </c>
      <c r="AO8">
        <v>200</v>
      </c>
      <c r="AP8" s="11">
        <v>175.62</v>
      </c>
      <c r="AQ8" s="11">
        <f>SUM((AO8-AP8)*0.7)</f>
        <v>17.065999999999995</v>
      </c>
    </row>
    <row r="9" spans="1:43" x14ac:dyDescent="0.25">
      <c r="A9">
        <v>7</v>
      </c>
      <c r="B9" s="2" t="s">
        <v>6</v>
      </c>
      <c r="C9" s="3">
        <v>156</v>
      </c>
      <c r="D9" s="3">
        <v>157</v>
      </c>
      <c r="E9" s="3">
        <v>140</v>
      </c>
      <c r="F9" s="3">
        <v>195</v>
      </c>
      <c r="G9" s="9">
        <v>132</v>
      </c>
      <c r="H9" s="4">
        <f>SUM(C9:G9)</f>
        <v>780</v>
      </c>
      <c r="I9" s="3">
        <v>145</v>
      </c>
      <c r="J9" s="3">
        <v>100</v>
      </c>
      <c r="K9" s="3">
        <v>150</v>
      </c>
      <c r="L9" s="3">
        <v>191</v>
      </c>
      <c r="M9" s="9">
        <v>132</v>
      </c>
      <c r="N9" s="4">
        <f>SUM(I9:L9)</f>
        <v>586</v>
      </c>
      <c r="O9" s="3">
        <v>163</v>
      </c>
      <c r="P9" s="3">
        <v>204</v>
      </c>
      <c r="Q9" s="3">
        <v>163</v>
      </c>
      <c r="R9" s="3">
        <v>156</v>
      </c>
      <c r="S9" s="9">
        <v>132</v>
      </c>
      <c r="T9" s="4">
        <f>SUM(O9:R9)</f>
        <v>686</v>
      </c>
      <c r="U9" s="3"/>
      <c r="V9" s="3"/>
      <c r="W9" s="3"/>
      <c r="X9" s="3"/>
      <c r="Y9" s="9">
        <v>132</v>
      </c>
      <c r="Z9" s="4">
        <f>SUM(U9:X9)</f>
        <v>0</v>
      </c>
      <c r="AA9" s="3"/>
      <c r="AB9" s="3"/>
      <c r="AC9" s="3"/>
      <c r="AD9" s="3"/>
      <c r="AE9" s="9">
        <v>132</v>
      </c>
      <c r="AF9" s="4">
        <f>SUM(AA9:AD9)</f>
        <v>0</v>
      </c>
      <c r="AG9" s="3"/>
      <c r="AH9" s="3"/>
      <c r="AI9" s="3"/>
      <c r="AJ9" s="3"/>
      <c r="AK9" s="9">
        <v>132</v>
      </c>
      <c r="AL9" s="4">
        <f>SUM(AG9:AJ9)</f>
        <v>0</v>
      </c>
      <c r="AM9" s="6" cm="1">
        <f t="array" ref="AM9">SUM(C9:F9+I9:L9+O9:R9+U9:X9+AA9:AD9+AG9:AJ9)</f>
        <v>1920</v>
      </c>
      <c r="AN9" s="8">
        <f>SUM(H9+N9+T9+Z9+AF9+AL9)</f>
        <v>2052</v>
      </c>
      <c r="AO9">
        <v>200</v>
      </c>
      <c r="AP9" s="11">
        <v>153</v>
      </c>
      <c r="AQ9" s="11">
        <f>SUM((AO9-AP9)*0.7)</f>
        <v>32.9</v>
      </c>
    </row>
    <row r="10" spans="1:43" x14ac:dyDescent="0.25">
      <c r="A10">
        <v>8</v>
      </c>
      <c r="B10" s="2" t="s">
        <v>2</v>
      </c>
      <c r="C10" s="3">
        <v>190</v>
      </c>
      <c r="D10" s="3">
        <v>193</v>
      </c>
      <c r="E10" s="3">
        <v>205</v>
      </c>
      <c r="F10" s="3">
        <v>207</v>
      </c>
      <c r="G10" s="9">
        <v>20</v>
      </c>
      <c r="H10" s="4">
        <f>SUM(C10:G10)</f>
        <v>815</v>
      </c>
      <c r="I10" s="3">
        <v>225</v>
      </c>
      <c r="J10" s="3">
        <v>242</v>
      </c>
      <c r="K10" s="3">
        <v>224</v>
      </c>
      <c r="L10" s="3">
        <v>189</v>
      </c>
      <c r="M10" s="9">
        <v>20</v>
      </c>
      <c r="N10" s="4">
        <f>SUM(I10:L10)</f>
        <v>880</v>
      </c>
      <c r="O10" s="3"/>
      <c r="P10" s="3"/>
      <c r="Q10" s="3"/>
      <c r="R10" s="3"/>
      <c r="S10" s="9">
        <v>20</v>
      </c>
      <c r="T10" s="4">
        <f>SUM(O10:R10)</f>
        <v>0</v>
      </c>
      <c r="U10" s="3"/>
      <c r="V10" s="3"/>
      <c r="W10" s="3"/>
      <c r="X10" s="3"/>
      <c r="Y10" s="9">
        <v>20</v>
      </c>
      <c r="Z10" s="4">
        <f>SUM(U10:X10)</f>
        <v>0</v>
      </c>
      <c r="AA10" s="3"/>
      <c r="AB10" s="3"/>
      <c r="AC10" s="3"/>
      <c r="AD10" s="3"/>
      <c r="AE10" s="9">
        <v>20</v>
      </c>
      <c r="AF10" s="4">
        <f>SUM(AA10:AD10)</f>
        <v>0</v>
      </c>
      <c r="AG10" s="3"/>
      <c r="AH10" s="3"/>
      <c r="AI10" s="3"/>
      <c r="AJ10" s="3"/>
      <c r="AK10" s="9">
        <v>20</v>
      </c>
      <c r="AL10" s="4">
        <f>SUM(AG10:AJ10)</f>
        <v>0</v>
      </c>
      <c r="AM10" s="6" cm="1">
        <f t="array" ref="AM10">SUM(C10:F10+I10:L10+O10:R10+U10:X10+AA10:AD10+AG10:AJ10)</f>
        <v>1675</v>
      </c>
      <c r="AN10" s="8">
        <f>SUM(H10+N10+T10+Z10+AF10+AL10)</f>
        <v>1695</v>
      </c>
      <c r="AO10">
        <v>200</v>
      </c>
      <c r="AP10" s="11">
        <v>193.33</v>
      </c>
      <c r="AQ10" s="11">
        <f>SUM((AO10-AP10)*0.7)</f>
        <v>4.6689999999999907</v>
      </c>
    </row>
    <row r="11" spans="1:43" x14ac:dyDescent="0.25">
      <c r="A11">
        <v>9</v>
      </c>
      <c r="B11" s="2" t="s">
        <v>26</v>
      </c>
      <c r="C11" s="2">
        <v>220</v>
      </c>
      <c r="D11" s="2">
        <v>190</v>
      </c>
      <c r="E11" s="2">
        <v>188</v>
      </c>
      <c r="F11" s="2">
        <v>202</v>
      </c>
      <c r="G11" s="9">
        <v>40</v>
      </c>
      <c r="H11" s="4">
        <f>SUM(C11:G11)</f>
        <v>840</v>
      </c>
      <c r="I11" s="2">
        <v>213</v>
      </c>
      <c r="J11" s="2">
        <v>242</v>
      </c>
      <c r="K11" s="2">
        <v>177</v>
      </c>
      <c r="L11" s="2">
        <v>185</v>
      </c>
      <c r="M11" s="9">
        <v>40</v>
      </c>
      <c r="N11" s="4">
        <f>SUM(I11:L11)</f>
        <v>817</v>
      </c>
      <c r="O11" s="2"/>
      <c r="P11" s="2"/>
      <c r="Q11" s="2"/>
      <c r="R11" s="2"/>
      <c r="S11" s="9">
        <v>40</v>
      </c>
      <c r="T11" s="4">
        <f>SUM(O11:R11)</f>
        <v>0</v>
      </c>
      <c r="U11" s="2"/>
      <c r="V11" s="2"/>
      <c r="W11" s="2"/>
      <c r="X11" s="2"/>
      <c r="Y11" s="9">
        <v>40</v>
      </c>
      <c r="Z11" s="4">
        <f>SUM(U11:X11)</f>
        <v>0</v>
      </c>
      <c r="AA11" s="2"/>
      <c r="AB11" s="2"/>
      <c r="AC11" s="2"/>
      <c r="AD11" s="2"/>
      <c r="AE11" s="9">
        <v>40</v>
      </c>
      <c r="AF11" s="4">
        <f>SUM(AA11:AD11)</f>
        <v>0</v>
      </c>
      <c r="AG11" s="2"/>
      <c r="AH11" s="2"/>
      <c r="AI11" s="2"/>
      <c r="AJ11" s="2"/>
      <c r="AK11" s="9">
        <v>40</v>
      </c>
      <c r="AL11" s="4">
        <f>SUM(AG11:AJ11)</f>
        <v>0</v>
      </c>
      <c r="AM11" s="6" cm="1">
        <f t="array" ref="AM11">SUM(C11:F11+I11:L11+O11:R11+U11:X11+AA11:AD11+AG11:AJ11)</f>
        <v>1617</v>
      </c>
      <c r="AN11" s="8">
        <f>SUM(H11+N11+T11+Z11+AF11+AL11)</f>
        <v>1657</v>
      </c>
      <c r="AO11">
        <v>200</v>
      </c>
      <c r="AP11" s="11">
        <v>185.77</v>
      </c>
      <c r="AQ11" s="11">
        <f>SUM((AO11-AP11)*0.7)</f>
        <v>9.9609999999999914</v>
      </c>
    </row>
    <row r="12" spans="1:43" x14ac:dyDescent="0.25">
      <c r="A12">
        <v>10</v>
      </c>
      <c r="B12" s="2" t="s">
        <v>29</v>
      </c>
      <c r="C12" s="2">
        <v>246</v>
      </c>
      <c r="D12" s="2">
        <v>192</v>
      </c>
      <c r="E12" s="2">
        <v>176</v>
      </c>
      <c r="F12" s="2">
        <v>199</v>
      </c>
      <c r="G12" s="9">
        <v>44</v>
      </c>
      <c r="H12" s="4">
        <f>SUM(C12:G12)</f>
        <v>857</v>
      </c>
      <c r="I12" s="2">
        <v>177</v>
      </c>
      <c r="J12" s="2">
        <v>146</v>
      </c>
      <c r="K12" s="2">
        <v>224</v>
      </c>
      <c r="L12" s="2">
        <v>178</v>
      </c>
      <c r="M12" s="9">
        <v>44</v>
      </c>
      <c r="N12" s="4">
        <f>SUM(I12:L12)</f>
        <v>725</v>
      </c>
      <c r="O12" s="2"/>
      <c r="P12" s="2"/>
      <c r="Q12" s="2"/>
      <c r="R12" s="2"/>
      <c r="S12" s="9">
        <v>44</v>
      </c>
      <c r="T12" s="4">
        <f>SUM(O12:R12)</f>
        <v>0</v>
      </c>
      <c r="U12" s="2"/>
      <c r="V12" s="2"/>
      <c r="W12" s="2"/>
      <c r="X12" s="2"/>
      <c r="Y12" s="9">
        <v>44</v>
      </c>
      <c r="Z12" s="4">
        <f>SUM(U12:X12)</f>
        <v>0</v>
      </c>
      <c r="AA12" s="2"/>
      <c r="AB12" s="2"/>
      <c r="AC12" s="2"/>
      <c r="AD12" s="2"/>
      <c r="AE12" s="9">
        <v>44</v>
      </c>
      <c r="AF12" s="4">
        <f>SUM(AA12:AD12)</f>
        <v>0</v>
      </c>
      <c r="AG12" s="2"/>
      <c r="AH12" s="2"/>
      <c r="AI12" s="2"/>
      <c r="AJ12" s="2"/>
      <c r="AK12" s="9">
        <v>44</v>
      </c>
      <c r="AL12" s="4">
        <f>SUM(AG12:AJ12)</f>
        <v>0</v>
      </c>
      <c r="AM12" s="6" cm="1">
        <f t="array" ref="AM12">SUM(C12:F12+I12:L12+O12:R12+U12:X12+AA12:AD12+AG12:AJ12)</f>
        <v>1538</v>
      </c>
      <c r="AN12" s="8">
        <f>SUM(H12+N12+T12+Z12+AF12+AL12)</f>
        <v>1582</v>
      </c>
      <c r="AO12">
        <v>200</v>
      </c>
      <c r="AP12" s="11">
        <v>185</v>
      </c>
      <c r="AQ12" s="11">
        <f>SUM((AO12-AP12)*0.7)</f>
        <v>10.5</v>
      </c>
    </row>
    <row r="13" spans="1:43" x14ac:dyDescent="0.25">
      <c r="A13">
        <v>11</v>
      </c>
      <c r="B13" s="2" t="s">
        <v>14</v>
      </c>
      <c r="C13" s="3">
        <v>149</v>
      </c>
      <c r="D13" s="3">
        <v>166</v>
      </c>
      <c r="E13" s="3">
        <v>126</v>
      </c>
      <c r="F13" s="3">
        <v>163</v>
      </c>
      <c r="G13" s="9">
        <v>108</v>
      </c>
      <c r="H13" s="4">
        <f>SUM(C13:G13)</f>
        <v>712</v>
      </c>
      <c r="I13" s="3">
        <v>226</v>
      </c>
      <c r="J13" s="3">
        <v>180</v>
      </c>
      <c r="K13" s="3">
        <v>203</v>
      </c>
      <c r="L13" s="3">
        <v>204</v>
      </c>
      <c r="M13" s="9">
        <v>108</v>
      </c>
      <c r="N13" s="4">
        <f>SUM(I13:L13)</f>
        <v>813</v>
      </c>
      <c r="O13" s="3"/>
      <c r="P13" s="3"/>
      <c r="Q13" s="3"/>
      <c r="R13" s="3"/>
      <c r="S13" s="9">
        <v>108</v>
      </c>
      <c r="T13" s="4">
        <f>SUM(O13:R13)</f>
        <v>0</v>
      </c>
      <c r="U13" s="3"/>
      <c r="V13" s="3"/>
      <c r="W13" s="3"/>
      <c r="X13" s="3"/>
      <c r="Y13" s="9">
        <v>108</v>
      </c>
      <c r="Z13" s="4">
        <f>SUM(U13:X13)</f>
        <v>0</v>
      </c>
      <c r="AA13" s="3"/>
      <c r="AB13" s="3"/>
      <c r="AC13" s="3"/>
      <c r="AD13" s="3"/>
      <c r="AE13" s="9">
        <v>108</v>
      </c>
      <c r="AF13" s="4">
        <f>SUM(AA13:AD13)</f>
        <v>0</v>
      </c>
      <c r="AG13" s="3"/>
      <c r="AH13" s="3"/>
      <c r="AI13" s="3"/>
      <c r="AJ13" s="3"/>
      <c r="AK13" s="9">
        <v>108</v>
      </c>
      <c r="AL13" s="4">
        <f>SUM(AG13:AJ13)</f>
        <v>0</v>
      </c>
      <c r="AM13" s="6" cm="1">
        <f t="array" ref="AM13">SUM(C13:F13+I13:L13+O13:R13+U13:X13+AA13:AD13+AG13:AJ13)</f>
        <v>1417</v>
      </c>
      <c r="AN13" s="8">
        <f>SUM(H13+N13+T13+Z13+AF13+AL13)</f>
        <v>1525</v>
      </c>
      <c r="AO13">
        <v>200</v>
      </c>
      <c r="AP13" s="11">
        <v>161.46</v>
      </c>
      <c r="AQ13" s="11">
        <f>SUM((AO13-AP13)*0.7)</f>
        <v>26.977999999999994</v>
      </c>
    </row>
    <row r="14" spans="1:43" x14ac:dyDescent="0.25">
      <c r="A14">
        <v>12</v>
      </c>
      <c r="B14" s="2" t="s">
        <v>32</v>
      </c>
      <c r="C14" s="2">
        <v>148</v>
      </c>
      <c r="D14" s="2">
        <v>134</v>
      </c>
      <c r="E14" s="2">
        <v>164</v>
      </c>
      <c r="F14" s="2">
        <v>178</v>
      </c>
      <c r="G14" s="9">
        <v>76</v>
      </c>
      <c r="H14" s="4">
        <f>SUM(C14:G14)</f>
        <v>700</v>
      </c>
      <c r="I14" s="2">
        <v>203</v>
      </c>
      <c r="J14" s="2">
        <v>176</v>
      </c>
      <c r="K14" s="2">
        <v>183</v>
      </c>
      <c r="L14" s="2">
        <v>223</v>
      </c>
      <c r="M14" s="9">
        <v>76</v>
      </c>
      <c r="N14" s="4">
        <f>SUM(I14:L14)</f>
        <v>785</v>
      </c>
      <c r="O14" s="2"/>
      <c r="P14" s="2"/>
      <c r="Q14" s="2"/>
      <c r="R14" s="2"/>
      <c r="S14" s="9">
        <v>76</v>
      </c>
      <c r="T14" s="4">
        <f>SUM(O14:R14)</f>
        <v>0</v>
      </c>
      <c r="U14" s="2"/>
      <c r="V14" s="2"/>
      <c r="W14" s="2"/>
      <c r="X14" s="2"/>
      <c r="Y14" s="9">
        <v>76</v>
      </c>
      <c r="Z14" s="4">
        <f>SUM(U14:X14)</f>
        <v>0</v>
      </c>
      <c r="AA14" s="2"/>
      <c r="AB14" s="2"/>
      <c r="AC14" s="2"/>
      <c r="AD14" s="2"/>
      <c r="AE14" s="9">
        <v>76</v>
      </c>
      <c r="AF14" s="4">
        <f>SUM(AA14:AD14)</f>
        <v>0</v>
      </c>
      <c r="AG14" s="2"/>
      <c r="AH14" s="2"/>
      <c r="AI14" s="2"/>
      <c r="AJ14" s="2"/>
      <c r="AK14" s="9">
        <v>76</v>
      </c>
      <c r="AL14" s="4">
        <f>SUM(AG14:AJ14)</f>
        <v>0</v>
      </c>
      <c r="AM14" s="6" cm="1">
        <f t="array" ref="AM14">SUM(C14:F14+I14:L14+O14:R14+U14:X14+AA14:AD14+AG14:AJ14)</f>
        <v>1409</v>
      </c>
      <c r="AN14" s="8">
        <f>SUM(H14+N14+T14+Z14+AF14+AL14)</f>
        <v>1485</v>
      </c>
      <c r="AO14">
        <v>200</v>
      </c>
      <c r="AP14" s="11">
        <v>173.14</v>
      </c>
      <c r="AQ14" s="11">
        <f>SUM((AO14-AP14)*0.7)</f>
        <v>18.802000000000007</v>
      </c>
    </row>
    <row r="15" spans="1:43" x14ac:dyDescent="0.25">
      <c r="A15">
        <v>13</v>
      </c>
      <c r="B15" s="2" t="s">
        <v>7</v>
      </c>
      <c r="C15" s="3">
        <v>179</v>
      </c>
      <c r="D15" s="3">
        <v>183</v>
      </c>
      <c r="E15" s="3">
        <v>144</v>
      </c>
      <c r="F15" s="3">
        <v>164</v>
      </c>
      <c r="G15" s="9">
        <v>92</v>
      </c>
      <c r="H15" s="4">
        <f>SUM(C15:G15)</f>
        <v>762</v>
      </c>
      <c r="I15" s="3">
        <v>182</v>
      </c>
      <c r="J15" s="3">
        <v>202</v>
      </c>
      <c r="K15" s="3">
        <v>158</v>
      </c>
      <c r="L15" s="3">
        <v>163</v>
      </c>
      <c r="M15" s="9">
        <v>92</v>
      </c>
      <c r="N15" s="4">
        <f>SUM(I15:L15)</f>
        <v>705</v>
      </c>
      <c r="O15" s="3"/>
      <c r="P15" s="3"/>
      <c r="Q15" s="3"/>
      <c r="R15" s="3"/>
      <c r="S15" s="9">
        <v>92</v>
      </c>
      <c r="T15" s="4">
        <f>SUM(O15:R15)</f>
        <v>0</v>
      </c>
      <c r="U15" s="3"/>
      <c r="V15" s="3"/>
      <c r="W15" s="3"/>
      <c r="X15" s="3"/>
      <c r="Y15" s="9">
        <v>92</v>
      </c>
      <c r="Z15" s="4">
        <f>SUM(U15:X15)</f>
        <v>0</v>
      </c>
      <c r="AA15" s="3"/>
      <c r="AB15" s="3"/>
      <c r="AC15" s="3"/>
      <c r="AD15" s="3"/>
      <c r="AE15" s="9">
        <v>92</v>
      </c>
      <c r="AF15" s="4">
        <f>SUM(AA15:AD15)</f>
        <v>0</v>
      </c>
      <c r="AG15" s="3"/>
      <c r="AH15" s="3"/>
      <c r="AI15" s="3"/>
      <c r="AJ15" s="3"/>
      <c r="AK15" s="9">
        <v>92</v>
      </c>
      <c r="AL15" s="4">
        <f>SUM(AG15:AJ15)</f>
        <v>0</v>
      </c>
      <c r="AM15" s="6" cm="1">
        <f t="array" ref="AM15">SUM(C15:F15+I15:L15+O15:R15+U15:X15+AA15:AD15+AG15:AJ15)</f>
        <v>1375</v>
      </c>
      <c r="AN15" s="8">
        <f>SUM(H15+N15+T15+Z15+AF15+AL15)</f>
        <v>1467</v>
      </c>
      <c r="AO15">
        <v>200</v>
      </c>
      <c r="AP15" s="11">
        <v>167</v>
      </c>
      <c r="AQ15" s="11">
        <f>SUM((AO15-AP15)*0.7)</f>
        <v>23.099999999999998</v>
      </c>
    </row>
    <row r="16" spans="1:43" x14ac:dyDescent="0.25">
      <c r="A16">
        <v>14</v>
      </c>
      <c r="B16" s="2" t="s">
        <v>22</v>
      </c>
      <c r="C16" s="3">
        <v>183</v>
      </c>
      <c r="D16" s="3">
        <v>174</v>
      </c>
      <c r="E16" s="3">
        <v>207</v>
      </c>
      <c r="F16" s="3">
        <v>216</v>
      </c>
      <c r="G16" s="9">
        <v>20</v>
      </c>
      <c r="H16" s="4">
        <f>SUM(C16:G16)</f>
        <v>800</v>
      </c>
      <c r="I16" s="3">
        <v>174</v>
      </c>
      <c r="J16" s="3">
        <v>190</v>
      </c>
      <c r="K16" s="3">
        <v>146</v>
      </c>
      <c r="L16" s="3">
        <v>136</v>
      </c>
      <c r="M16" s="9">
        <v>20</v>
      </c>
      <c r="N16" s="4">
        <f>SUM(I16:L16)</f>
        <v>646</v>
      </c>
      <c r="O16" s="3"/>
      <c r="P16" s="3"/>
      <c r="Q16" s="3"/>
      <c r="R16" s="3"/>
      <c r="S16" s="9">
        <v>20</v>
      </c>
      <c r="T16" s="4">
        <f>SUM(O16:R16)</f>
        <v>0</v>
      </c>
      <c r="U16" s="3"/>
      <c r="V16" s="3"/>
      <c r="W16" s="3"/>
      <c r="X16" s="3"/>
      <c r="Y16" s="9">
        <v>20</v>
      </c>
      <c r="Z16" s="4">
        <f>SUM(U16:X16)</f>
        <v>0</v>
      </c>
      <c r="AA16" s="3"/>
      <c r="AB16" s="3"/>
      <c r="AC16" s="3"/>
      <c r="AD16" s="3"/>
      <c r="AE16" s="9">
        <v>20</v>
      </c>
      <c r="AF16" s="4">
        <f>SUM(AA16:AD16)</f>
        <v>0</v>
      </c>
      <c r="AG16" s="3"/>
      <c r="AH16" s="3"/>
      <c r="AI16" s="3"/>
      <c r="AJ16" s="3"/>
      <c r="AK16" s="9">
        <v>20</v>
      </c>
      <c r="AL16" s="4">
        <f>SUM(AG16:AJ16)</f>
        <v>0</v>
      </c>
      <c r="AM16" s="6" cm="1">
        <f t="array" ref="AM16">SUM(C16:F16+I16:L16+O16:R16+U16:X16+AA16:AD16+AG16:AJ16)</f>
        <v>1426</v>
      </c>
      <c r="AN16" s="8">
        <f>SUM(H16+N16+T16+Z16+AF16+AL16)</f>
        <v>1446</v>
      </c>
      <c r="AO16">
        <v>200</v>
      </c>
      <c r="AP16" s="11">
        <v>192.5</v>
      </c>
      <c r="AQ16" s="11">
        <f>SUM((AO16-AP16)*0.7)</f>
        <v>5.25</v>
      </c>
    </row>
    <row r="17" spans="1:43" x14ac:dyDescent="0.25">
      <c r="A17">
        <v>15</v>
      </c>
      <c r="B17" s="2" t="s">
        <v>24</v>
      </c>
      <c r="C17" s="2">
        <v>172</v>
      </c>
      <c r="D17" s="2">
        <v>174</v>
      </c>
      <c r="E17" s="2">
        <v>154</v>
      </c>
      <c r="F17" s="2">
        <v>162</v>
      </c>
      <c r="G17" s="9">
        <v>84</v>
      </c>
      <c r="H17" s="4">
        <f>SUM(C17:G17)</f>
        <v>746</v>
      </c>
      <c r="I17" s="2">
        <v>178</v>
      </c>
      <c r="J17" s="2">
        <v>178</v>
      </c>
      <c r="K17" s="2">
        <v>132</v>
      </c>
      <c r="L17" s="2">
        <v>169</v>
      </c>
      <c r="M17" s="9">
        <v>84</v>
      </c>
      <c r="N17" s="4">
        <f>SUM(I17:L17)</f>
        <v>657</v>
      </c>
      <c r="O17" s="2"/>
      <c r="P17" s="2"/>
      <c r="Q17" s="2"/>
      <c r="R17" s="2"/>
      <c r="S17" s="9">
        <v>84</v>
      </c>
      <c r="T17" s="4">
        <f>SUM(O17:R17)</f>
        <v>0</v>
      </c>
      <c r="U17" s="2"/>
      <c r="V17" s="2"/>
      <c r="W17" s="2"/>
      <c r="X17" s="2"/>
      <c r="Y17" s="9">
        <v>84</v>
      </c>
      <c r="Z17" s="4">
        <f>SUM(U17:X17)</f>
        <v>0</v>
      </c>
      <c r="AA17" s="2"/>
      <c r="AB17" s="2"/>
      <c r="AC17" s="2"/>
      <c r="AD17" s="2"/>
      <c r="AE17" s="9">
        <v>84</v>
      </c>
      <c r="AF17" s="4">
        <f>SUM(AA17:AD17)</f>
        <v>0</v>
      </c>
      <c r="AG17" s="2"/>
      <c r="AH17" s="2"/>
      <c r="AI17" s="2"/>
      <c r="AJ17" s="2"/>
      <c r="AK17" s="9">
        <v>84</v>
      </c>
      <c r="AL17" s="4">
        <f>SUM(AG17:AJ17)</f>
        <v>0</v>
      </c>
      <c r="AM17" s="6" cm="1">
        <f t="array" ref="AM17">SUM(C17:F17+I17:L17+O17:R17+U17:X17+AA17:AD17+AG17:AJ17)</f>
        <v>1319</v>
      </c>
      <c r="AN17" s="8">
        <f>SUM(H17+N17+T17+Z17+AF17+AL17)</f>
        <v>1403</v>
      </c>
      <c r="AO17">
        <v>200</v>
      </c>
      <c r="AP17" s="11">
        <v>169.44</v>
      </c>
      <c r="AQ17" s="11">
        <f>SUM((AO17-AP17)*0.7)</f>
        <v>21.391999999999999</v>
      </c>
    </row>
    <row r="18" spans="1:43" x14ac:dyDescent="0.25">
      <c r="A18">
        <v>16</v>
      </c>
      <c r="B18" s="2" t="s">
        <v>20</v>
      </c>
      <c r="C18" s="3">
        <v>177</v>
      </c>
      <c r="D18" s="3">
        <v>199</v>
      </c>
      <c r="E18" s="3">
        <v>134</v>
      </c>
      <c r="F18" s="3">
        <v>211</v>
      </c>
      <c r="G18" s="9">
        <v>16</v>
      </c>
      <c r="H18" s="4">
        <f>SUM(C18:G18)</f>
        <v>737</v>
      </c>
      <c r="I18" s="3"/>
      <c r="J18" s="3"/>
      <c r="K18" s="3"/>
      <c r="L18" s="3"/>
      <c r="M18" s="9">
        <v>16</v>
      </c>
      <c r="N18" s="4">
        <f>SUM(I18:L18)</f>
        <v>0</v>
      </c>
      <c r="O18" s="3"/>
      <c r="P18" s="3"/>
      <c r="Q18" s="3"/>
      <c r="R18" s="3"/>
      <c r="S18" s="9">
        <v>16</v>
      </c>
      <c r="T18" s="4">
        <f>SUM(O18:R18)</f>
        <v>0</v>
      </c>
      <c r="U18" s="3"/>
      <c r="V18" s="3"/>
      <c r="W18" s="3"/>
      <c r="X18" s="3"/>
      <c r="Y18" s="9">
        <v>16</v>
      </c>
      <c r="Z18" s="4">
        <f>SUM(U18:X18)</f>
        <v>0</v>
      </c>
      <c r="AA18" s="3"/>
      <c r="AB18" s="3"/>
      <c r="AC18" s="3"/>
      <c r="AD18" s="3"/>
      <c r="AE18" s="9">
        <v>16</v>
      </c>
      <c r="AF18" s="4">
        <f>SUM(AA18:AD18)</f>
        <v>0</v>
      </c>
      <c r="AG18" s="3"/>
      <c r="AH18" s="3"/>
      <c r="AI18" s="3"/>
      <c r="AJ18" s="3"/>
      <c r="AK18" s="9">
        <v>16</v>
      </c>
      <c r="AL18" s="4">
        <f>SUM(AG18:AJ18)</f>
        <v>0</v>
      </c>
      <c r="AM18" s="6" cm="1">
        <f t="array" ref="AM18">SUM(C18:F18+I18:L18+O18:R18+U18:X18+AA18:AD18+AG18:AJ18)</f>
        <v>721</v>
      </c>
      <c r="AN18" s="8">
        <f>SUM(H18+N18+T18+Z18+AF18+AL18)</f>
        <v>737</v>
      </c>
      <c r="AO18">
        <v>200</v>
      </c>
      <c r="AP18" s="11">
        <v>194.7</v>
      </c>
      <c r="AQ18" s="11">
        <f>SUM((AO18-AP18)*0.7)</f>
        <v>3.7100000000000075</v>
      </c>
    </row>
    <row r="19" spans="1:43" x14ac:dyDescent="0.25">
      <c r="A19">
        <v>17</v>
      </c>
      <c r="B19" s="2" t="s">
        <v>23</v>
      </c>
      <c r="C19" s="2">
        <v>151</v>
      </c>
      <c r="D19" s="2">
        <v>182</v>
      </c>
      <c r="E19" s="2">
        <v>177</v>
      </c>
      <c r="F19" s="2">
        <v>147</v>
      </c>
      <c r="G19" s="9">
        <v>36</v>
      </c>
      <c r="H19" s="4">
        <f>SUM(C19:G19)</f>
        <v>693</v>
      </c>
      <c r="I19" s="2"/>
      <c r="J19" s="2"/>
      <c r="K19" s="2"/>
      <c r="L19" s="2"/>
      <c r="M19" s="9">
        <v>36</v>
      </c>
      <c r="N19" s="4">
        <f>SUM(I19:L19)</f>
        <v>0</v>
      </c>
      <c r="O19" s="2"/>
      <c r="P19" s="2"/>
      <c r="Q19" s="2"/>
      <c r="R19" s="2"/>
      <c r="S19" s="9">
        <v>36</v>
      </c>
      <c r="T19" s="4">
        <f>SUM(O19:R19)</f>
        <v>0</v>
      </c>
      <c r="U19" s="2"/>
      <c r="V19" s="2"/>
      <c r="W19" s="2"/>
      <c r="X19" s="2"/>
      <c r="Y19" s="9">
        <v>36</v>
      </c>
      <c r="Z19" s="4">
        <f>SUM(U19:X19)</f>
        <v>0</v>
      </c>
      <c r="AA19" s="2"/>
      <c r="AB19" s="2"/>
      <c r="AC19" s="2"/>
      <c r="AD19" s="2"/>
      <c r="AE19" s="9">
        <v>36</v>
      </c>
      <c r="AF19" s="4">
        <f>SUM(AA19:AD19)</f>
        <v>0</v>
      </c>
      <c r="AG19" s="2"/>
      <c r="AH19" s="2"/>
      <c r="AI19" s="2"/>
      <c r="AJ19" s="2"/>
      <c r="AK19" s="9">
        <v>36</v>
      </c>
      <c r="AL19" s="4">
        <f>SUM(AG19:AJ19)</f>
        <v>0</v>
      </c>
      <c r="AM19" s="6" cm="1">
        <f t="array" ref="AM19">SUM(C19:F19+I19:L19+O19:R19+U19:X19+AA19:AD19+AG19:AJ19)</f>
        <v>657</v>
      </c>
      <c r="AN19" s="8">
        <f>SUM(H19+N19+T19+Z19+AF19+AL19)</f>
        <v>693</v>
      </c>
      <c r="AO19">
        <v>200</v>
      </c>
      <c r="AP19" s="11">
        <v>187.47</v>
      </c>
      <c r="AQ19" s="11">
        <f>SUM((AO19-AP19)*0.7)</f>
        <v>8.7710000000000008</v>
      </c>
    </row>
    <row r="20" spans="1:43" x14ac:dyDescent="0.25">
      <c r="A20">
        <v>18</v>
      </c>
      <c r="B20" s="2" t="s">
        <v>25</v>
      </c>
      <c r="C20" s="2"/>
      <c r="D20" s="2"/>
      <c r="E20" s="2"/>
      <c r="F20" s="2"/>
      <c r="G20" s="9">
        <v>84</v>
      </c>
      <c r="H20" s="4">
        <f>SUM(C20:G20)</f>
        <v>84</v>
      </c>
      <c r="I20" s="2"/>
      <c r="J20" s="2"/>
      <c r="K20" s="2"/>
      <c r="L20" s="2"/>
      <c r="M20" s="9">
        <v>84</v>
      </c>
      <c r="N20" s="4">
        <f>SUM(I20:L20)</f>
        <v>0</v>
      </c>
      <c r="O20" s="2"/>
      <c r="P20" s="2"/>
      <c r="Q20" s="2"/>
      <c r="R20" s="2"/>
      <c r="S20" s="9">
        <v>84</v>
      </c>
      <c r="T20" s="4">
        <f>SUM(O20:R20)</f>
        <v>0</v>
      </c>
      <c r="U20" s="2"/>
      <c r="V20" s="2"/>
      <c r="W20" s="2"/>
      <c r="X20" s="2"/>
      <c r="Y20" s="9">
        <v>84</v>
      </c>
      <c r="Z20" s="4">
        <f>SUM(U20:X20)</f>
        <v>0</v>
      </c>
      <c r="AA20" s="2"/>
      <c r="AB20" s="2"/>
      <c r="AC20" s="2"/>
      <c r="AD20" s="2"/>
      <c r="AE20" s="9">
        <v>84</v>
      </c>
      <c r="AF20" s="4">
        <f>SUM(AA20:AD20)</f>
        <v>0</v>
      </c>
      <c r="AG20" s="2"/>
      <c r="AH20" s="2"/>
      <c r="AI20" s="2"/>
      <c r="AJ20" s="2"/>
      <c r="AK20" s="9">
        <v>84</v>
      </c>
      <c r="AL20" s="4">
        <f>SUM(AG20:AJ20)</f>
        <v>0</v>
      </c>
      <c r="AM20" s="6" cm="1">
        <f t="array" ref="AM20">SUM(C20:F20+I20:L20+O20:R20+U20:X20+AA20:AD20+AG20:AJ20)</f>
        <v>0</v>
      </c>
      <c r="AN20" s="8">
        <f>SUM(H20+N20+T20+Z20+AF20+AL20)</f>
        <v>84</v>
      </c>
      <c r="AO20">
        <v>200</v>
      </c>
      <c r="AP20" s="11">
        <v>169.88</v>
      </c>
      <c r="AQ20" s="11">
        <f>SUM((AO20-AP20)*0.7)</f>
        <v>21.084000000000003</v>
      </c>
    </row>
    <row r="21" spans="1:43" x14ac:dyDescent="0.25">
      <c r="A21">
        <v>19</v>
      </c>
      <c r="B21" s="2" t="s">
        <v>27</v>
      </c>
      <c r="C21" s="2"/>
      <c r="D21" s="2"/>
      <c r="E21" s="2"/>
      <c r="F21" s="2"/>
      <c r="G21" s="9">
        <v>68</v>
      </c>
      <c r="H21" s="4">
        <f>SUM(C21:G21)</f>
        <v>68</v>
      </c>
      <c r="I21" s="2"/>
      <c r="J21" s="2"/>
      <c r="K21" s="2"/>
      <c r="L21" s="2"/>
      <c r="M21" s="9">
        <v>68</v>
      </c>
      <c r="N21" s="4">
        <f>SUM(I21:L21)</f>
        <v>0</v>
      </c>
      <c r="O21" s="2"/>
      <c r="P21" s="2"/>
      <c r="Q21" s="2"/>
      <c r="R21" s="2"/>
      <c r="S21" s="9">
        <v>68</v>
      </c>
      <c r="T21" s="4">
        <f>SUM(O21:R21)</f>
        <v>0</v>
      </c>
      <c r="U21" s="2"/>
      <c r="V21" s="2"/>
      <c r="W21" s="2"/>
      <c r="X21" s="2"/>
      <c r="Y21" s="9">
        <v>68</v>
      </c>
      <c r="Z21" s="4">
        <f>SUM(U21:X21)</f>
        <v>0</v>
      </c>
      <c r="AA21" s="2"/>
      <c r="AB21" s="2"/>
      <c r="AC21" s="2"/>
      <c r="AD21" s="2"/>
      <c r="AE21" s="9">
        <v>68</v>
      </c>
      <c r="AF21" s="4">
        <f>SUM(AA21:AD21)</f>
        <v>0</v>
      </c>
      <c r="AG21" s="2"/>
      <c r="AH21" s="2"/>
      <c r="AI21" s="2"/>
      <c r="AJ21" s="2"/>
      <c r="AK21" s="9">
        <v>68</v>
      </c>
      <c r="AL21" s="4">
        <f>SUM(AG21:AJ21)</f>
        <v>0</v>
      </c>
      <c r="AM21" s="6" cm="1">
        <f t="array" ref="AM21">SUM(C21:F21+I21:L21+O21:R21+U21:X21+AA21:AD21+AG21:AJ21)</f>
        <v>0</v>
      </c>
      <c r="AN21" s="8">
        <f>SUM(H21+N21+T21+Z21+AF21+AL21)</f>
        <v>68</v>
      </c>
      <c r="AO21">
        <v>200</v>
      </c>
      <c r="AP21" s="11">
        <v>175.36</v>
      </c>
      <c r="AQ21" s="11">
        <f>SUM((AO21-AP21)*0.7)</f>
        <v>17.24799999999999</v>
      </c>
    </row>
    <row r="22" spans="1:43" x14ac:dyDescent="0.25">
      <c r="A22">
        <v>20</v>
      </c>
      <c r="B22" s="2" t="s">
        <v>21</v>
      </c>
      <c r="C22" s="3"/>
      <c r="D22" s="3"/>
      <c r="E22" s="3"/>
      <c r="F22" s="3"/>
      <c r="G22" s="9">
        <v>0</v>
      </c>
      <c r="H22" s="4">
        <f>SUM(C22:G22)</f>
        <v>0</v>
      </c>
      <c r="I22" s="3"/>
      <c r="J22" s="3"/>
      <c r="K22" s="3"/>
      <c r="L22" s="3"/>
      <c r="M22" s="9">
        <v>0</v>
      </c>
      <c r="N22" s="4">
        <f>SUM(I22:L22)</f>
        <v>0</v>
      </c>
      <c r="O22" s="3"/>
      <c r="P22" s="3"/>
      <c r="Q22" s="3"/>
      <c r="R22" s="3"/>
      <c r="S22" s="9">
        <v>0</v>
      </c>
      <c r="T22" s="4">
        <f>SUM(O22:R22)</f>
        <v>0</v>
      </c>
      <c r="U22" s="3"/>
      <c r="V22" s="3"/>
      <c r="W22" s="3"/>
      <c r="X22" s="3"/>
      <c r="Y22" s="9">
        <v>0</v>
      </c>
      <c r="Z22" s="4">
        <f>SUM(U22:X22)</f>
        <v>0</v>
      </c>
      <c r="AA22" s="3"/>
      <c r="AB22" s="3"/>
      <c r="AC22" s="3"/>
      <c r="AD22" s="3"/>
      <c r="AE22" s="9">
        <v>0</v>
      </c>
      <c r="AF22" s="4">
        <f>SUM(AA22:AD22)</f>
        <v>0</v>
      </c>
      <c r="AG22" s="3"/>
      <c r="AH22" s="3"/>
      <c r="AI22" s="3"/>
      <c r="AJ22" s="3"/>
      <c r="AK22" s="9">
        <v>0</v>
      </c>
      <c r="AL22" s="4">
        <f>SUM(AG22:AJ22)</f>
        <v>0</v>
      </c>
      <c r="AM22" s="6" cm="1">
        <f t="array" ref="AM22">SUM(C22:F22+I22:L22+O22:R22+U22:X22+AA22:AD22+AG22:AJ22)</f>
        <v>0</v>
      </c>
      <c r="AN22" s="8">
        <f>SUM(H22+N22+T22+Z22+AF22+AL22)</f>
        <v>0</v>
      </c>
      <c r="AO22">
        <v>200</v>
      </c>
      <c r="AP22" s="11">
        <v>202.46</v>
      </c>
      <c r="AQ22" s="11">
        <f>SUM((AO22-AP22)*0.7)</f>
        <v>-1.7220000000000055</v>
      </c>
    </row>
    <row r="23" spans="1:43" x14ac:dyDescent="0.25">
      <c r="B23" s="2"/>
      <c r="C23" s="2"/>
      <c r="D23" s="2"/>
      <c r="E23" s="2"/>
      <c r="F23" s="2"/>
      <c r="G23" s="9"/>
      <c r="H23" s="4">
        <f t="shared" ref="H23:H34" si="0">SUM(C23:G23)</f>
        <v>0</v>
      </c>
      <c r="I23" s="2"/>
      <c r="J23" s="2"/>
      <c r="K23" s="2"/>
      <c r="L23" s="2"/>
      <c r="M23" s="9"/>
      <c r="N23" s="4">
        <f t="shared" ref="N23:N34" si="1">SUM(I23:L23)</f>
        <v>0</v>
      </c>
      <c r="O23" s="2"/>
      <c r="P23" s="2"/>
      <c r="Q23" s="2"/>
      <c r="R23" s="2"/>
      <c r="S23" s="9"/>
      <c r="T23" s="4">
        <f t="shared" ref="T23:T34" si="2">SUM(O23:R23)</f>
        <v>0</v>
      </c>
      <c r="U23" s="2"/>
      <c r="V23" s="2"/>
      <c r="W23" s="2"/>
      <c r="X23" s="2"/>
      <c r="Y23" s="9"/>
      <c r="Z23" s="4">
        <f t="shared" ref="Z23:Z34" si="3">SUM(U23:X23)</f>
        <v>0</v>
      </c>
      <c r="AA23" s="2"/>
      <c r="AB23" s="2"/>
      <c r="AC23" s="2"/>
      <c r="AD23" s="2"/>
      <c r="AE23" s="9"/>
      <c r="AF23" s="4">
        <f t="shared" ref="AF23:AF34" si="4">SUM(AA23:AD23)</f>
        <v>0</v>
      </c>
      <c r="AG23" s="2"/>
      <c r="AH23" s="2"/>
      <c r="AI23" s="2"/>
      <c r="AJ23" s="2"/>
      <c r="AK23" s="9"/>
      <c r="AL23" s="4">
        <f t="shared" ref="AL23:AL34" si="5">SUM(AG23:AJ23)</f>
        <v>0</v>
      </c>
      <c r="AM23" s="6" cm="1">
        <f t="array" ref="AM23">SUM(C23:F23+I23:L23+O23:R23+U23:X23+AA23:AD23+AG23:AJ23)</f>
        <v>0</v>
      </c>
      <c r="AN23" s="8">
        <f t="shared" ref="AN23:AN34" si="6">SUM(H23+N23+T23+Z23+AF23+AL23)</f>
        <v>0</v>
      </c>
      <c r="AO23">
        <v>200</v>
      </c>
      <c r="AP23" s="11"/>
      <c r="AQ23" s="11">
        <f t="shared" ref="AQ23:AQ34" si="7">SUM((AO23-AP23)*0.7)</f>
        <v>140</v>
      </c>
    </row>
    <row r="24" spans="1:43" x14ac:dyDescent="0.25">
      <c r="B24" s="2"/>
      <c r="C24" s="2"/>
      <c r="D24" s="2"/>
      <c r="E24" s="2"/>
      <c r="F24" s="2"/>
      <c r="G24" s="9"/>
      <c r="H24" s="4">
        <f t="shared" si="0"/>
        <v>0</v>
      </c>
      <c r="I24" s="2"/>
      <c r="J24" s="2"/>
      <c r="K24" s="2"/>
      <c r="L24" s="2"/>
      <c r="M24" s="9"/>
      <c r="N24" s="4">
        <f t="shared" si="1"/>
        <v>0</v>
      </c>
      <c r="O24" s="2"/>
      <c r="P24" s="2"/>
      <c r="Q24" s="2"/>
      <c r="R24" s="2"/>
      <c r="S24" s="9"/>
      <c r="T24" s="4">
        <f t="shared" si="2"/>
        <v>0</v>
      </c>
      <c r="U24" s="2"/>
      <c r="V24" s="2"/>
      <c r="W24" s="2"/>
      <c r="X24" s="2"/>
      <c r="Y24" s="9"/>
      <c r="Z24" s="4">
        <f t="shared" si="3"/>
        <v>0</v>
      </c>
      <c r="AA24" s="2"/>
      <c r="AB24" s="2"/>
      <c r="AC24" s="2"/>
      <c r="AD24" s="2"/>
      <c r="AE24" s="9"/>
      <c r="AF24" s="4">
        <f t="shared" si="4"/>
        <v>0</v>
      </c>
      <c r="AG24" s="2"/>
      <c r="AH24" s="2"/>
      <c r="AI24" s="2"/>
      <c r="AJ24" s="2"/>
      <c r="AK24" s="9"/>
      <c r="AL24" s="4">
        <f t="shared" si="5"/>
        <v>0</v>
      </c>
      <c r="AM24" s="6" cm="1">
        <f t="array" ref="AM24">SUM(C24:F24+I24:L24+O24:R24+U24:X24+AA24:AD24+AG24:AJ24)</f>
        <v>0</v>
      </c>
      <c r="AN24" s="8">
        <f t="shared" si="6"/>
        <v>0</v>
      </c>
      <c r="AO24">
        <v>200</v>
      </c>
      <c r="AP24" s="11"/>
      <c r="AQ24" s="11">
        <f t="shared" si="7"/>
        <v>140</v>
      </c>
    </row>
    <row r="25" spans="1:43" x14ac:dyDescent="0.25">
      <c r="B25" s="2"/>
      <c r="C25" s="2"/>
      <c r="D25" s="2"/>
      <c r="E25" s="2"/>
      <c r="F25" s="2"/>
      <c r="G25" s="9"/>
      <c r="H25" s="4">
        <f t="shared" si="0"/>
        <v>0</v>
      </c>
      <c r="I25" s="2"/>
      <c r="J25" s="2"/>
      <c r="K25" s="2"/>
      <c r="L25" s="2"/>
      <c r="M25" s="9"/>
      <c r="N25" s="4">
        <f t="shared" si="1"/>
        <v>0</v>
      </c>
      <c r="O25" s="2"/>
      <c r="P25" s="2"/>
      <c r="Q25" s="2"/>
      <c r="R25" s="2"/>
      <c r="S25" s="9"/>
      <c r="T25" s="4">
        <f t="shared" si="2"/>
        <v>0</v>
      </c>
      <c r="U25" s="2"/>
      <c r="V25" s="2"/>
      <c r="W25" s="2"/>
      <c r="X25" s="2"/>
      <c r="Y25" s="9"/>
      <c r="Z25" s="4">
        <f t="shared" si="3"/>
        <v>0</v>
      </c>
      <c r="AA25" s="2"/>
      <c r="AB25" s="2"/>
      <c r="AC25" s="2"/>
      <c r="AD25" s="2"/>
      <c r="AE25" s="9"/>
      <c r="AF25" s="4">
        <f t="shared" si="4"/>
        <v>0</v>
      </c>
      <c r="AG25" s="2"/>
      <c r="AH25" s="2"/>
      <c r="AI25" s="2"/>
      <c r="AJ25" s="2"/>
      <c r="AK25" s="9"/>
      <c r="AL25" s="4">
        <f t="shared" si="5"/>
        <v>0</v>
      </c>
      <c r="AM25" s="6" cm="1">
        <f t="array" ref="AM25">SUM(C25:F25+I25:L25+O25:R25+U25:X25+AA25:AD25+AG25:AJ25)</f>
        <v>0</v>
      </c>
      <c r="AN25" s="8">
        <f t="shared" si="6"/>
        <v>0</v>
      </c>
      <c r="AO25">
        <v>200</v>
      </c>
      <c r="AP25" s="11"/>
      <c r="AQ25" s="11">
        <f t="shared" si="7"/>
        <v>140</v>
      </c>
    </row>
    <row r="26" spans="1:43" x14ac:dyDescent="0.25">
      <c r="B26" s="2"/>
      <c r="C26" s="2"/>
      <c r="D26" s="2"/>
      <c r="E26" s="2"/>
      <c r="F26" s="2"/>
      <c r="G26" s="9"/>
      <c r="H26" s="4">
        <f t="shared" si="0"/>
        <v>0</v>
      </c>
      <c r="I26" s="2"/>
      <c r="J26" s="2"/>
      <c r="K26" s="2"/>
      <c r="L26" s="2"/>
      <c r="M26" s="9"/>
      <c r="N26" s="4">
        <f t="shared" si="1"/>
        <v>0</v>
      </c>
      <c r="O26" s="2"/>
      <c r="P26" s="2"/>
      <c r="Q26" s="2"/>
      <c r="R26" s="2"/>
      <c r="S26" s="9"/>
      <c r="T26" s="4">
        <f t="shared" si="2"/>
        <v>0</v>
      </c>
      <c r="U26" s="2"/>
      <c r="V26" s="2"/>
      <c r="W26" s="2"/>
      <c r="X26" s="2"/>
      <c r="Y26" s="9"/>
      <c r="Z26" s="4">
        <f t="shared" si="3"/>
        <v>0</v>
      </c>
      <c r="AA26" s="2"/>
      <c r="AB26" s="2"/>
      <c r="AC26" s="2"/>
      <c r="AD26" s="2"/>
      <c r="AE26" s="9"/>
      <c r="AF26" s="4">
        <f t="shared" si="4"/>
        <v>0</v>
      </c>
      <c r="AG26" s="2"/>
      <c r="AH26" s="2"/>
      <c r="AI26" s="2"/>
      <c r="AJ26" s="2"/>
      <c r="AK26" s="9"/>
      <c r="AL26" s="4">
        <f t="shared" si="5"/>
        <v>0</v>
      </c>
      <c r="AM26" s="6" cm="1">
        <f t="array" ref="AM26">SUM(C26:F26+I26:L26+O26:R26+U26:X26+AA26:AD26+AG26:AJ26)</f>
        <v>0</v>
      </c>
      <c r="AN26" s="8">
        <f t="shared" si="6"/>
        <v>0</v>
      </c>
      <c r="AO26">
        <v>200</v>
      </c>
      <c r="AP26" s="11"/>
      <c r="AQ26" s="11">
        <f t="shared" si="7"/>
        <v>140</v>
      </c>
    </row>
    <row r="27" spans="1:43" x14ac:dyDescent="0.25">
      <c r="B27" s="2"/>
      <c r="C27" s="2"/>
      <c r="D27" s="2"/>
      <c r="E27" s="2"/>
      <c r="F27" s="2"/>
      <c r="G27" s="9"/>
      <c r="H27" s="4">
        <f t="shared" si="0"/>
        <v>0</v>
      </c>
      <c r="I27" s="2"/>
      <c r="J27" s="2"/>
      <c r="K27" s="2"/>
      <c r="L27" s="2"/>
      <c r="M27" s="9"/>
      <c r="N27" s="4">
        <f t="shared" si="1"/>
        <v>0</v>
      </c>
      <c r="O27" s="2"/>
      <c r="P27" s="2"/>
      <c r="Q27" s="2"/>
      <c r="R27" s="2"/>
      <c r="S27" s="9"/>
      <c r="T27" s="4">
        <f t="shared" si="2"/>
        <v>0</v>
      </c>
      <c r="U27" s="2"/>
      <c r="V27" s="2"/>
      <c r="W27" s="2"/>
      <c r="X27" s="2"/>
      <c r="Y27" s="9"/>
      <c r="Z27" s="4">
        <f t="shared" si="3"/>
        <v>0</v>
      </c>
      <c r="AA27" s="2"/>
      <c r="AB27" s="2"/>
      <c r="AC27" s="2"/>
      <c r="AD27" s="2"/>
      <c r="AE27" s="9"/>
      <c r="AF27" s="4">
        <f t="shared" si="4"/>
        <v>0</v>
      </c>
      <c r="AG27" s="2"/>
      <c r="AH27" s="2"/>
      <c r="AI27" s="2"/>
      <c r="AJ27" s="2"/>
      <c r="AK27" s="9"/>
      <c r="AL27" s="4">
        <f t="shared" si="5"/>
        <v>0</v>
      </c>
      <c r="AM27" s="6" cm="1">
        <f t="array" ref="AM27">SUM(C27:F27+I27:L27+O27:R27+U27:X27+AA27:AD27+AG27:AJ27)</f>
        <v>0</v>
      </c>
      <c r="AN27" s="8">
        <f t="shared" si="6"/>
        <v>0</v>
      </c>
      <c r="AO27">
        <v>200</v>
      </c>
      <c r="AP27" s="11"/>
      <c r="AQ27" s="11">
        <f t="shared" si="7"/>
        <v>140</v>
      </c>
    </row>
    <row r="28" spans="1:43" x14ac:dyDescent="0.25">
      <c r="B28" s="2"/>
      <c r="C28" s="2"/>
      <c r="D28" s="2"/>
      <c r="E28" s="2"/>
      <c r="F28" s="2"/>
      <c r="G28" s="9"/>
      <c r="H28" s="4">
        <f t="shared" si="0"/>
        <v>0</v>
      </c>
      <c r="I28" s="2"/>
      <c r="J28" s="2"/>
      <c r="K28" s="2"/>
      <c r="L28" s="2"/>
      <c r="M28" s="9"/>
      <c r="N28" s="4">
        <f t="shared" si="1"/>
        <v>0</v>
      </c>
      <c r="O28" s="2"/>
      <c r="P28" s="2"/>
      <c r="Q28" s="2"/>
      <c r="R28" s="2"/>
      <c r="S28" s="9"/>
      <c r="T28" s="4">
        <f t="shared" si="2"/>
        <v>0</v>
      </c>
      <c r="U28" s="2"/>
      <c r="V28" s="2"/>
      <c r="W28" s="2"/>
      <c r="X28" s="2"/>
      <c r="Y28" s="9"/>
      <c r="Z28" s="4">
        <f t="shared" si="3"/>
        <v>0</v>
      </c>
      <c r="AA28" s="2"/>
      <c r="AB28" s="2"/>
      <c r="AC28" s="2"/>
      <c r="AD28" s="2"/>
      <c r="AE28" s="9"/>
      <c r="AF28" s="4">
        <f t="shared" si="4"/>
        <v>0</v>
      </c>
      <c r="AG28" s="2"/>
      <c r="AH28" s="2"/>
      <c r="AI28" s="2"/>
      <c r="AJ28" s="2"/>
      <c r="AK28" s="9"/>
      <c r="AL28" s="4">
        <f t="shared" si="5"/>
        <v>0</v>
      </c>
      <c r="AM28" s="6" cm="1">
        <f t="array" ref="AM28">SUM(C28:F28+I28:L28+O28:R28+U28:X28+AA28:AD28+AG28:AJ28)</f>
        <v>0</v>
      </c>
      <c r="AN28" s="8">
        <f t="shared" si="6"/>
        <v>0</v>
      </c>
      <c r="AO28">
        <v>200</v>
      </c>
      <c r="AP28" s="11"/>
      <c r="AQ28" s="11">
        <f t="shared" si="7"/>
        <v>140</v>
      </c>
    </row>
    <row r="29" spans="1:43" x14ac:dyDescent="0.25">
      <c r="B29" s="2"/>
      <c r="C29" s="2"/>
      <c r="D29" s="2"/>
      <c r="E29" s="2"/>
      <c r="F29" s="2"/>
      <c r="G29" s="9"/>
      <c r="H29" s="4">
        <f t="shared" si="0"/>
        <v>0</v>
      </c>
      <c r="I29" s="2"/>
      <c r="J29" s="2"/>
      <c r="K29" s="2"/>
      <c r="L29" s="2"/>
      <c r="M29" s="9"/>
      <c r="N29" s="4">
        <f t="shared" si="1"/>
        <v>0</v>
      </c>
      <c r="O29" s="2"/>
      <c r="P29" s="2"/>
      <c r="Q29" s="2"/>
      <c r="R29" s="2"/>
      <c r="S29" s="9"/>
      <c r="T29" s="4">
        <f t="shared" si="2"/>
        <v>0</v>
      </c>
      <c r="U29" s="2"/>
      <c r="V29" s="2"/>
      <c r="W29" s="2"/>
      <c r="X29" s="2"/>
      <c r="Y29" s="9"/>
      <c r="Z29" s="4">
        <f t="shared" si="3"/>
        <v>0</v>
      </c>
      <c r="AA29" s="2"/>
      <c r="AB29" s="2"/>
      <c r="AC29" s="2"/>
      <c r="AD29" s="2"/>
      <c r="AE29" s="9"/>
      <c r="AF29" s="4">
        <f t="shared" si="4"/>
        <v>0</v>
      </c>
      <c r="AG29" s="2"/>
      <c r="AH29" s="2"/>
      <c r="AI29" s="2"/>
      <c r="AJ29" s="2"/>
      <c r="AK29" s="9"/>
      <c r="AL29" s="4">
        <f t="shared" si="5"/>
        <v>0</v>
      </c>
      <c r="AM29" s="6" cm="1">
        <f t="array" ref="AM29">SUM(C29:F29+I29:L29+O29:R29+U29:X29+AA29:AD29+AG29:AJ29)</f>
        <v>0</v>
      </c>
      <c r="AN29" s="8">
        <f t="shared" si="6"/>
        <v>0</v>
      </c>
      <c r="AO29">
        <v>200</v>
      </c>
      <c r="AP29" s="11"/>
      <c r="AQ29" s="11">
        <f t="shared" si="7"/>
        <v>140</v>
      </c>
    </row>
    <row r="30" spans="1:43" x14ac:dyDescent="0.25">
      <c r="B30" s="2"/>
      <c r="C30" s="2"/>
      <c r="D30" s="2"/>
      <c r="E30" s="2"/>
      <c r="F30" s="2"/>
      <c r="G30" s="9"/>
      <c r="H30" s="4">
        <f t="shared" si="0"/>
        <v>0</v>
      </c>
      <c r="I30" s="2"/>
      <c r="J30" s="2"/>
      <c r="K30" s="2"/>
      <c r="L30" s="2"/>
      <c r="M30" s="9"/>
      <c r="N30" s="4">
        <f t="shared" si="1"/>
        <v>0</v>
      </c>
      <c r="O30" s="2"/>
      <c r="P30" s="2"/>
      <c r="Q30" s="2"/>
      <c r="R30" s="2"/>
      <c r="S30" s="9"/>
      <c r="T30" s="4">
        <f t="shared" si="2"/>
        <v>0</v>
      </c>
      <c r="U30" s="2"/>
      <c r="V30" s="2"/>
      <c r="W30" s="2"/>
      <c r="X30" s="2"/>
      <c r="Y30" s="9"/>
      <c r="Z30" s="4">
        <f t="shared" si="3"/>
        <v>0</v>
      </c>
      <c r="AA30" s="2"/>
      <c r="AB30" s="2"/>
      <c r="AC30" s="2"/>
      <c r="AD30" s="2"/>
      <c r="AE30" s="9"/>
      <c r="AF30" s="4">
        <f t="shared" si="4"/>
        <v>0</v>
      </c>
      <c r="AG30" s="2"/>
      <c r="AH30" s="2"/>
      <c r="AI30" s="2"/>
      <c r="AJ30" s="2"/>
      <c r="AK30" s="9"/>
      <c r="AL30" s="4">
        <f t="shared" si="5"/>
        <v>0</v>
      </c>
      <c r="AM30" s="6" cm="1">
        <f t="array" ref="AM30">SUM(C30:F30+I30:L30+O30:R30+U30:X30+AA30:AD30+AG30:AJ30)</f>
        <v>0</v>
      </c>
      <c r="AN30" s="8">
        <f t="shared" si="6"/>
        <v>0</v>
      </c>
      <c r="AO30">
        <v>200</v>
      </c>
      <c r="AP30" s="11"/>
      <c r="AQ30" s="11">
        <f t="shared" si="7"/>
        <v>140</v>
      </c>
    </row>
    <row r="31" spans="1:43" x14ac:dyDescent="0.25">
      <c r="B31" s="2"/>
      <c r="C31" s="2"/>
      <c r="D31" s="2"/>
      <c r="E31" s="2"/>
      <c r="F31" s="2"/>
      <c r="G31" s="9"/>
      <c r="H31" s="4">
        <f t="shared" si="0"/>
        <v>0</v>
      </c>
      <c r="I31" s="2"/>
      <c r="J31" s="2"/>
      <c r="K31" s="2"/>
      <c r="L31" s="2"/>
      <c r="M31" s="9"/>
      <c r="N31" s="4">
        <f t="shared" si="1"/>
        <v>0</v>
      </c>
      <c r="O31" s="2"/>
      <c r="P31" s="2"/>
      <c r="Q31" s="2"/>
      <c r="R31" s="2"/>
      <c r="S31" s="9"/>
      <c r="T31" s="4">
        <f t="shared" si="2"/>
        <v>0</v>
      </c>
      <c r="U31" s="2"/>
      <c r="V31" s="2"/>
      <c r="W31" s="2"/>
      <c r="X31" s="2"/>
      <c r="Y31" s="9"/>
      <c r="Z31" s="4">
        <f t="shared" si="3"/>
        <v>0</v>
      </c>
      <c r="AA31" s="2"/>
      <c r="AB31" s="2"/>
      <c r="AC31" s="2"/>
      <c r="AD31" s="2"/>
      <c r="AE31" s="9"/>
      <c r="AF31" s="4">
        <f t="shared" si="4"/>
        <v>0</v>
      </c>
      <c r="AG31" s="2"/>
      <c r="AH31" s="2"/>
      <c r="AI31" s="2"/>
      <c r="AJ31" s="2"/>
      <c r="AK31" s="9"/>
      <c r="AL31" s="4">
        <f t="shared" si="5"/>
        <v>0</v>
      </c>
      <c r="AM31" s="6" cm="1">
        <f t="array" ref="AM31">SUM(C31:F31+I31:L31+O31:R31+U31:X31+AA31:AD31+AG31:AJ31)</f>
        <v>0</v>
      </c>
      <c r="AN31" s="8">
        <f t="shared" si="6"/>
        <v>0</v>
      </c>
      <c r="AO31">
        <v>200</v>
      </c>
      <c r="AP31" s="11"/>
      <c r="AQ31" s="11">
        <f t="shared" si="7"/>
        <v>140</v>
      </c>
    </row>
    <row r="32" spans="1:43" x14ac:dyDescent="0.25">
      <c r="B32" s="2"/>
      <c r="C32" s="2"/>
      <c r="D32" s="2"/>
      <c r="E32" s="2"/>
      <c r="F32" s="2"/>
      <c r="G32" s="9"/>
      <c r="H32" s="4">
        <f t="shared" si="0"/>
        <v>0</v>
      </c>
      <c r="I32" s="2"/>
      <c r="J32" s="2"/>
      <c r="K32" s="2"/>
      <c r="L32" s="2"/>
      <c r="M32" s="9"/>
      <c r="N32" s="4">
        <f t="shared" si="1"/>
        <v>0</v>
      </c>
      <c r="O32" s="2"/>
      <c r="P32" s="2"/>
      <c r="Q32" s="2"/>
      <c r="R32" s="2"/>
      <c r="S32" s="9"/>
      <c r="T32" s="4">
        <f t="shared" si="2"/>
        <v>0</v>
      </c>
      <c r="U32" s="2"/>
      <c r="V32" s="2"/>
      <c r="W32" s="2"/>
      <c r="X32" s="2"/>
      <c r="Y32" s="9"/>
      <c r="Z32" s="4">
        <f t="shared" si="3"/>
        <v>0</v>
      </c>
      <c r="AA32" s="2"/>
      <c r="AB32" s="2"/>
      <c r="AC32" s="2"/>
      <c r="AD32" s="2"/>
      <c r="AE32" s="9"/>
      <c r="AF32" s="4">
        <f t="shared" si="4"/>
        <v>0</v>
      </c>
      <c r="AG32" s="2"/>
      <c r="AH32" s="2"/>
      <c r="AI32" s="2"/>
      <c r="AJ32" s="2"/>
      <c r="AK32" s="9"/>
      <c r="AL32" s="4">
        <f t="shared" si="5"/>
        <v>0</v>
      </c>
      <c r="AM32" s="6" cm="1">
        <f t="array" ref="AM32">SUM(C32:F32+I32:L32+O32:R32+U32:X32+AA32:AD32+AG32:AJ32)</f>
        <v>0</v>
      </c>
      <c r="AN32" s="8">
        <f t="shared" si="6"/>
        <v>0</v>
      </c>
      <c r="AO32">
        <v>200</v>
      </c>
      <c r="AP32" s="11"/>
      <c r="AQ32" s="11">
        <f t="shared" si="7"/>
        <v>140</v>
      </c>
    </row>
    <row r="33" spans="2:43" x14ac:dyDescent="0.25">
      <c r="B33" s="2"/>
      <c r="C33" s="2"/>
      <c r="D33" s="2"/>
      <c r="E33" s="2"/>
      <c r="F33" s="2"/>
      <c r="G33" s="9"/>
      <c r="H33" s="4">
        <f t="shared" si="0"/>
        <v>0</v>
      </c>
      <c r="I33" s="2"/>
      <c r="J33" s="2"/>
      <c r="K33" s="2"/>
      <c r="L33" s="2"/>
      <c r="M33" s="9"/>
      <c r="N33" s="4">
        <f t="shared" si="1"/>
        <v>0</v>
      </c>
      <c r="O33" s="2"/>
      <c r="P33" s="2"/>
      <c r="Q33" s="2"/>
      <c r="R33" s="2"/>
      <c r="S33" s="9"/>
      <c r="T33" s="4">
        <f t="shared" si="2"/>
        <v>0</v>
      </c>
      <c r="U33" s="2"/>
      <c r="V33" s="2"/>
      <c r="W33" s="2"/>
      <c r="X33" s="2"/>
      <c r="Y33" s="9"/>
      <c r="Z33" s="4">
        <f t="shared" si="3"/>
        <v>0</v>
      </c>
      <c r="AA33" s="2"/>
      <c r="AB33" s="2"/>
      <c r="AC33" s="2"/>
      <c r="AD33" s="2"/>
      <c r="AE33" s="9"/>
      <c r="AF33" s="4">
        <f t="shared" si="4"/>
        <v>0</v>
      </c>
      <c r="AG33" s="2"/>
      <c r="AH33" s="2"/>
      <c r="AI33" s="2"/>
      <c r="AJ33" s="2"/>
      <c r="AK33" s="9"/>
      <c r="AL33" s="4">
        <f t="shared" si="5"/>
        <v>0</v>
      </c>
      <c r="AM33" s="6" cm="1">
        <f t="array" ref="AM33">SUM(C33:F33+I33:L33+O33:R33+U33:X33+AA33:AD33+AG33:AJ33)</f>
        <v>0</v>
      </c>
      <c r="AN33" s="8">
        <f t="shared" si="6"/>
        <v>0</v>
      </c>
      <c r="AO33">
        <v>200</v>
      </c>
      <c r="AP33" s="11"/>
      <c r="AQ33" s="11">
        <f t="shared" si="7"/>
        <v>140</v>
      </c>
    </row>
    <row r="34" spans="2:43" x14ac:dyDescent="0.25">
      <c r="B34" s="2"/>
      <c r="C34" s="2"/>
      <c r="D34" s="2"/>
      <c r="E34" s="2"/>
      <c r="F34" s="2"/>
      <c r="G34" s="9"/>
      <c r="H34" s="4">
        <f t="shared" si="0"/>
        <v>0</v>
      </c>
      <c r="I34" s="2"/>
      <c r="J34" s="2"/>
      <c r="K34" s="2"/>
      <c r="L34" s="2"/>
      <c r="M34" s="9"/>
      <c r="N34" s="4">
        <f t="shared" si="1"/>
        <v>0</v>
      </c>
      <c r="O34" s="2"/>
      <c r="P34" s="2"/>
      <c r="Q34" s="2"/>
      <c r="R34" s="2"/>
      <c r="S34" s="9"/>
      <c r="T34" s="4">
        <f t="shared" si="2"/>
        <v>0</v>
      </c>
      <c r="U34" s="2"/>
      <c r="V34" s="2"/>
      <c r="W34" s="2"/>
      <c r="X34" s="2"/>
      <c r="Y34" s="9"/>
      <c r="Z34" s="4">
        <f t="shared" si="3"/>
        <v>0</v>
      </c>
      <c r="AA34" s="2"/>
      <c r="AB34" s="2"/>
      <c r="AC34" s="2"/>
      <c r="AD34" s="2"/>
      <c r="AE34" s="9"/>
      <c r="AF34" s="4">
        <f t="shared" si="4"/>
        <v>0</v>
      </c>
      <c r="AG34" s="2"/>
      <c r="AH34" s="2"/>
      <c r="AI34" s="2"/>
      <c r="AJ34" s="2"/>
      <c r="AK34" s="9"/>
      <c r="AL34" s="4">
        <f t="shared" si="5"/>
        <v>0</v>
      </c>
      <c r="AM34" s="6" cm="1">
        <f t="array" ref="AM34">SUM(C34:F34+I34:L34+O34:R34+U34:X34+AA34:AD34+AG34:AJ34)</f>
        <v>0</v>
      </c>
      <c r="AN34" s="8">
        <f t="shared" si="6"/>
        <v>0</v>
      </c>
      <c r="AO34">
        <v>200</v>
      </c>
      <c r="AP34" s="11"/>
      <c r="AQ34" s="11">
        <f t="shared" si="7"/>
        <v>140</v>
      </c>
    </row>
  </sheetData>
  <sortState xmlns:xlrd2="http://schemas.microsoft.com/office/spreadsheetml/2017/richdata2" ref="B3:AQ22">
    <sortCondition descending="1" ref="AN3:AN22"/>
  </sortState>
  <mergeCells count="7">
    <mergeCell ref="B1:T1"/>
    <mergeCell ref="AG2:AJ2"/>
    <mergeCell ref="C2:F2"/>
    <mergeCell ref="I2:L2"/>
    <mergeCell ref="O2:R2"/>
    <mergeCell ref="U2:X2"/>
    <mergeCell ref="AA2:AD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Krones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Huerdler, Marco</dc:creator>
  <cp:lastModifiedBy>Marco Hürdler</cp:lastModifiedBy>
  <dcterms:created xsi:type="dcterms:W3CDTF">2026-05-08T07:25:00Z</dcterms:created>
  <dcterms:modified xsi:type="dcterms:W3CDTF">2026-05-21T19:03:32Z</dcterms:modified>
</cp:coreProperties>
</file>