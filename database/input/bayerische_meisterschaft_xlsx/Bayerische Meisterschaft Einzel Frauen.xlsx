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en" sheetId="1" r:id="rId5"/>
    <sheet state="visible" name="Mitglieder BBU" sheetId="2" r:id="rId6"/>
    <sheet state="visible" name="Spieler" sheetId="3" r:id="rId7"/>
    <sheet state="visible" name="Optionen" sheetId="4" r:id="rId8"/>
    <sheet state="hidden" name="HI-LOW Berechnung" sheetId="5" r:id="rId9"/>
    <sheet state="visible" name="Vorrunde" sheetId="6" r:id="rId10"/>
    <sheet state="visible" name="Zwischenlauf" sheetId="7" r:id="rId11"/>
    <sheet state="hidden" name="Finalrunde" sheetId="8" r:id="rId12"/>
    <sheet state="visible" name="Ergebnisse" sheetId="9" r:id="rId13"/>
    <sheet state="hidden" name="Datensammler" sheetId="10" r:id="rId14"/>
    <sheet state="visible" name="KO-Finale" sheetId="11" r:id="rId15"/>
    <sheet state="visible" name="Ergebnisse nach Schnitt" sheetId="12" r:id="rId16"/>
    <sheet state="visible" name="Monitoranzeige" sheetId="13" r:id="rId17"/>
    <sheet state="visible" name="Daten für Bahneinteilungen"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50">
      <text>
        <t xml:space="preserve">Heide:
vorher Dornheim, geändert am 5.10.22</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4">
      <text>
        <t xml:space="preserve">Berechne die Anzahl der Spiele für das Team, Als Anzeige für die Schnittliste
</t>
      </text>
    </comment>
  </commentList>
</comments>
</file>

<file path=xl/sharedStrings.xml><?xml version="1.0" encoding="utf-8"?>
<sst xmlns="http://schemas.openxmlformats.org/spreadsheetml/2006/main" count="9966" uniqueCount="2614">
  <si>
    <t>Turniername</t>
  </si>
  <si>
    <t>Saison</t>
  </si>
  <si>
    <t>Bowlinganlage</t>
  </si>
  <si>
    <t>Bahnwechsel</t>
  </si>
  <si>
    <t>Importmöglichkeiten</t>
  </si>
  <si>
    <t>Registerfarben</t>
  </si>
  <si>
    <t>Ja/Nein</t>
  </si>
  <si>
    <t>Gruppe</t>
  </si>
  <si>
    <t>BM Jugend Einzel</t>
  </si>
  <si>
    <t>Bad Tölz Flint Bowling</t>
  </si>
  <si>
    <t>ganze Doppelbahn wechselt nach rechts</t>
  </si>
  <si>
    <t>Keine</t>
  </si>
  <si>
    <t>AH</t>
  </si>
  <si>
    <t>Ja</t>
  </si>
  <si>
    <t>Jugend A-männlich</t>
  </si>
  <si>
    <t>BM Jugend Doppel</t>
  </si>
  <si>
    <t>Bamberg Bowlinghaus</t>
  </si>
  <si>
    <t>Linke Bahne wechselt nach links, rechte Bahn wechselt nach rechts</t>
  </si>
  <si>
    <t>DPB</t>
  </si>
  <si>
    <t>Funktionär</t>
  </si>
  <si>
    <t>Nein</t>
  </si>
  <si>
    <t>Jugend A-weiblich</t>
  </si>
  <si>
    <t>BM Jugend Trio</t>
  </si>
  <si>
    <t>Bayreuth Blu Bowl</t>
  </si>
  <si>
    <t>Max Munich</t>
  </si>
  <si>
    <t>Funktionär/Auswerter</t>
  </si>
  <si>
    <t>Jugend B-männlich</t>
  </si>
  <si>
    <t>BM Jugend Masters</t>
  </si>
  <si>
    <t>Brunnthal Max Munich</t>
  </si>
  <si>
    <t>Eingabe Auswerter</t>
  </si>
  <si>
    <t>Jugend B-weiblich</t>
  </si>
  <si>
    <t>BM Jugend All Event</t>
  </si>
  <si>
    <t>Dettelbach Extreme Bowlingarena</t>
  </si>
  <si>
    <t>Ausgabe Ergebnisse</t>
  </si>
  <si>
    <t>Jugend C-männlich</t>
  </si>
  <si>
    <t>BM Herren Einzel</t>
  </si>
  <si>
    <t>Friedrichshafen Seaside</t>
  </si>
  <si>
    <t>Berechnungstabellen</t>
  </si>
  <si>
    <t>Jugend C-weiblich</t>
  </si>
  <si>
    <t>BM Herren Doppel</t>
  </si>
  <si>
    <t>Garmisch Zugspitzbowling</t>
  </si>
  <si>
    <t>Männer</t>
  </si>
  <si>
    <t>BM Damen Einzel</t>
  </si>
  <si>
    <t>Ingolstadt Cosmos Bowling Arena</t>
  </si>
  <si>
    <t>Frauen</t>
  </si>
  <si>
    <t>BM Damen Doppel</t>
  </si>
  <si>
    <t>Kempten Big Bowl</t>
  </si>
  <si>
    <t>Junioren</t>
  </si>
  <si>
    <t>BM Senioren Einzel</t>
  </si>
  <si>
    <t>Landshut LA-Bowling</t>
  </si>
  <si>
    <t>Juniorinnen</t>
  </si>
  <si>
    <t>BM Senioren Doppel</t>
  </si>
  <si>
    <t>München Hollywood Super Bowling</t>
  </si>
  <si>
    <t>Senioren A</t>
  </si>
  <si>
    <t>BM Senioren Trio</t>
  </si>
  <si>
    <t>München Isar Bowling</t>
  </si>
  <si>
    <t>Senioren B</t>
  </si>
  <si>
    <t>BM Versehrte Einzel</t>
  </si>
  <si>
    <t>Nürnberg West Bowl</t>
  </si>
  <si>
    <t>Senioren C</t>
  </si>
  <si>
    <t>BM Versehrte Doppel</t>
  </si>
  <si>
    <t>Olching 5005 Bowling</t>
  </si>
  <si>
    <t>Seniorinnen A</t>
  </si>
  <si>
    <t>BM Versehrte Trio</t>
  </si>
  <si>
    <t>Pfaffenhofen Hollywood Super Bowling</t>
  </si>
  <si>
    <t>Seniorinnen B</t>
  </si>
  <si>
    <t>BM Mixed Doppel</t>
  </si>
  <si>
    <t>Regensburg Super Bowl</t>
  </si>
  <si>
    <t>Seniorinnen C</t>
  </si>
  <si>
    <t>BM Junioren Einzel</t>
  </si>
  <si>
    <t>Rosenheim In(n) Bowling</t>
  </si>
  <si>
    <t>Versehrte H1</t>
  </si>
  <si>
    <t>BM Junioren Doppel</t>
  </si>
  <si>
    <t>Rottendorf Bowling-Center</t>
  </si>
  <si>
    <t>Versehrte DA</t>
  </si>
  <si>
    <t>Südbayerische Meisterschaft</t>
  </si>
  <si>
    <t>Salzburg Sport-Oase</t>
  </si>
  <si>
    <t>Versehrte H2</t>
  </si>
  <si>
    <t>Nordbayerische Herren</t>
  </si>
  <si>
    <t>Schweinfurt Extreme Bowlingarena</t>
  </si>
  <si>
    <t>Seniorinnen B/C</t>
  </si>
  <si>
    <t>Unterföhring Dreambowl Palace</t>
  </si>
  <si>
    <t>Würzburg Midnight Bowling</t>
  </si>
  <si>
    <t>EDV</t>
  </si>
  <si>
    <t>Passnummer</t>
  </si>
  <si>
    <t>Anrede</t>
  </si>
  <si>
    <t>Vorname</t>
  </si>
  <si>
    <t>Nachname</t>
  </si>
  <si>
    <t>Name</t>
  </si>
  <si>
    <t>Verein</t>
  </si>
  <si>
    <t>Club</t>
  </si>
  <si>
    <t>Ranglistenkarte</t>
  </si>
  <si>
    <t>AK</t>
  </si>
  <si>
    <t>Beitrag</t>
  </si>
  <si>
    <t>Frau</t>
  </si>
  <si>
    <t>Anita</t>
  </si>
  <si>
    <t>Baur</t>
  </si>
  <si>
    <t>Anita Baur</t>
  </si>
  <si>
    <t>1. BSV Ulm/Neu-Ulm</t>
  </si>
  <si>
    <t>BC Murmels Neu-Ulm</t>
  </si>
  <si>
    <t>X</t>
  </si>
  <si>
    <t>Erwachsener</t>
  </si>
  <si>
    <t>Herr</t>
  </si>
  <si>
    <t>Timo</t>
  </si>
  <si>
    <t>Baumann</t>
  </si>
  <si>
    <t>Timo Baumann</t>
  </si>
  <si>
    <t>BC Neu-Ulmer Falken</t>
  </si>
  <si>
    <t>16051</t>
  </si>
  <si>
    <t>148840</t>
  </si>
  <si>
    <t>Daniel</t>
  </si>
  <si>
    <t>Daniel Baumann</t>
  </si>
  <si>
    <t>Bernd</t>
  </si>
  <si>
    <t>Bauhofer</t>
  </si>
  <si>
    <t>Bernd Bauhofer</t>
  </si>
  <si>
    <t>BSV Berchtesgaden e.V.</t>
  </si>
  <si>
    <t>BC Berchtesgaden</t>
  </si>
  <si>
    <t>Simon</t>
  </si>
  <si>
    <t>Bauer</t>
  </si>
  <si>
    <t>Simon Bauer</t>
  </si>
  <si>
    <t>Rottendorfer BV 1984 e.V.</t>
  </si>
  <si>
    <t>SG-Rottendorf</t>
  </si>
  <si>
    <t>Rudi</t>
  </si>
  <si>
    <t>Rudi Bauer</t>
  </si>
  <si>
    <t>Kurt</t>
  </si>
  <si>
    <t>Kurt Bauer</t>
  </si>
  <si>
    <t>Würzburger BV 1992 e.V.</t>
  </si>
  <si>
    <t>SW 77 Würzburg</t>
  </si>
  <si>
    <t>Patrick</t>
  </si>
  <si>
    <t>Baszler</t>
  </si>
  <si>
    <t>Patrick Baszler</t>
  </si>
  <si>
    <t>Münchner Keglerverein e. V.</t>
  </si>
  <si>
    <t>BK München</t>
  </si>
  <si>
    <t>Marcel</t>
  </si>
  <si>
    <t>Bassler</t>
  </si>
  <si>
    <t>Marcel Bassler</t>
  </si>
  <si>
    <t>BSC Lauf e.V.</t>
  </si>
  <si>
    <t>Team Räumkommando Lauf</t>
  </si>
  <si>
    <t>Phuoc</t>
  </si>
  <si>
    <t>Barwig-Luu</t>
  </si>
  <si>
    <t>Phuoc Barwig-Luu</t>
  </si>
  <si>
    <t>Dieter</t>
  </si>
  <si>
    <t>Barthelmes</t>
  </si>
  <si>
    <t>Dieter Barthelmes</t>
  </si>
  <si>
    <t>1. FC 45 Geldersheim</t>
  </si>
  <si>
    <t>Strikers Geldersheim 1983</t>
  </si>
  <si>
    <t>Theo</t>
  </si>
  <si>
    <t>Barthel</t>
  </si>
  <si>
    <t>Theo Barthel</t>
  </si>
  <si>
    <t>BV Schweinfurt 1974 e.V.</t>
  </si>
  <si>
    <t>BSC Schweinfurt-Ettleben</t>
  </si>
  <si>
    <t>Manuela</t>
  </si>
  <si>
    <t>Balog</t>
  </si>
  <si>
    <t>Manuela Balog</t>
  </si>
  <si>
    <t>BC Bajuwaren</t>
  </si>
  <si>
    <t>Rene</t>
  </si>
  <si>
    <t>Baldauf</t>
  </si>
  <si>
    <t>Rene Baldauf</t>
  </si>
  <si>
    <t>1. BSC Active Bowler Brunnthal</t>
  </si>
  <si>
    <t>Argyro</t>
  </si>
  <si>
    <t>Bakogianni</t>
  </si>
  <si>
    <t>Argyro Bakogianni</t>
  </si>
  <si>
    <t>Marco</t>
  </si>
  <si>
    <t>Baier</t>
  </si>
  <si>
    <t>Marco Baier</t>
  </si>
  <si>
    <t>1. BV 1984 Pfaffenhofen e.V.</t>
  </si>
  <si>
    <t>BSC Pfaffenhofen</t>
  </si>
  <si>
    <t>Gerhard</t>
  </si>
  <si>
    <t>Gerhard Baier</t>
  </si>
  <si>
    <t>BSV Kitzingen e.V.</t>
  </si>
  <si>
    <t>Franken Kitzingen</t>
  </si>
  <si>
    <t>Bäuml</t>
  </si>
  <si>
    <t>Gerhard Bäuml</t>
  </si>
  <si>
    <t>BC EPA Münchner</t>
  </si>
  <si>
    <t>Lars</t>
  </si>
  <si>
    <t>Bäßler</t>
  </si>
  <si>
    <t>Lars Bäßler</t>
  </si>
  <si>
    <t>1. BBV Friedrichshafen e.V.</t>
  </si>
  <si>
    <t>BC Friedrichshafen</t>
  </si>
  <si>
    <t>Ursula</t>
  </si>
  <si>
    <t>Bär</t>
  </si>
  <si>
    <t>Ursula Bär</t>
  </si>
  <si>
    <t>1. BC Erlangen</t>
  </si>
  <si>
    <t>BC Herzogenaurach</t>
  </si>
  <si>
    <t>Badum</t>
  </si>
  <si>
    <t>Daniel Badum</t>
  </si>
  <si>
    <t>Bamberger Bowlinghaus e.V.</t>
  </si>
  <si>
    <t>BC Bamberger Bowlinghaus</t>
  </si>
  <si>
    <t>Eugen</t>
  </si>
  <si>
    <t>Babaew</t>
  </si>
  <si>
    <t>Eugen Babaew</t>
  </si>
  <si>
    <t>Bowlingverein Bayreuth-Land e.V.</t>
  </si>
  <si>
    <t>BC Mainauen-Bowler Bayreuth</t>
  </si>
  <si>
    <t>Brigitte</t>
  </si>
  <si>
    <t>Axmann</t>
  </si>
  <si>
    <t>Brigitte Axmann</t>
  </si>
  <si>
    <t>Bernhard</t>
  </si>
  <si>
    <t>Aumeier</t>
  </si>
  <si>
    <t>Bernhard Aumeier</t>
  </si>
  <si>
    <t>BV 68 Regensburg e.V.</t>
  </si>
  <si>
    <t>BC Castra Regina Regensburg</t>
  </si>
  <si>
    <t>Roland</t>
  </si>
  <si>
    <t>Augsdörfer</t>
  </si>
  <si>
    <t>Roland Augsdörfer</t>
  </si>
  <si>
    <t>BC guteLAUNE</t>
  </si>
  <si>
    <t>Thomas</t>
  </si>
  <si>
    <t>Auer</t>
  </si>
  <si>
    <t>Thomas Auer</t>
  </si>
  <si>
    <t>BSC HighRoller Rosenheim e.V.</t>
  </si>
  <si>
    <t>BSC HighRoller Rosenheim</t>
  </si>
  <si>
    <t>Michael</t>
  </si>
  <si>
    <t>Michael Auer</t>
  </si>
  <si>
    <t>BC Olching ?07</t>
  </si>
  <si>
    <t>Markus</t>
  </si>
  <si>
    <t>Markus Auer</t>
  </si>
  <si>
    <t>BV Garmisch Partenkirchen e.V.</t>
  </si>
  <si>
    <t>BC Werdenfels</t>
  </si>
  <si>
    <t>Cornelia</t>
  </si>
  <si>
    <t>Cornelia Auer</t>
  </si>
  <si>
    <t>Domenic</t>
  </si>
  <si>
    <t>Aschenbrenner</t>
  </si>
  <si>
    <t>Domenic Aschenbrenner</t>
  </si>
  <si>
    <t>1. BC Bad Tölz 78 e.V.</t>
  </si>
  <si>
    <t>Absolut Sports.com</t>
  </si>
  <si>
    <t>Nadine</t>
  </si>
  <si>
    <t>Arnold</t>
  </si>
  <si>
    <t>Nadine Arnold</t>
  </si>
  <si>
    <t>Nico</t>
  </si>
  <si>
    <t>Arndt</t>
  </si>
  <si>
    <t>Nico Arndt</t>
  </si>
  <si>
    <t>Flying Pins Erlangen</t>
  </si>
  <si>
    <t>Christian</t>
  </si>
  <si>
    <t>Christian Arndt</t>
  </si>
  <si>
    <t>Gregor</t>
  </si>
  <si>
    <t>Arapow</t>
  </si>
  <si>
    <t>Gregor Arapow</t>
  </si>
  <si>
    <t>Yvonne</t>
  </si>
  <si>
    <t>Appl</t>
  </si>
  <si>
    <t>Yvonne Appl</t>
  </si>
  <si>
    <t>Renata</t>
  </si>
  <si>
    <t>Anzinger</t>
  </si>
  <si>
    <t>Renata Anzinger</t>
  </si>
  <si>
    <t>BC Cat-Bowl</t>
  </si>
  <si>
    <t>Manuel</t>
  </si>
  <si>
    <t>Manuel Anzinger</t>
  </si>
  <si>
    <t>Einzelmitglied MKV</t>
  </si>
  <si>
    <t>Andreas</t>
  </si>
  <si>
    <t>Andreas Anzinger</t>
  </si>
  <si>
    <t>Mahmoud</t>
  </si>
  <si>
    <t>Anwar</t>
  </si>
  <si>
    <t>Mahmoud Anwar</t>
  </si>
  <si>
    <t>Eddie</t>
  </si>
  <si>
    <t>Anderson</t>
  </si>
  <si>
    <t>Eddie Anderson</t>
  </si>
  <si>
    <t>1. BC Veitshöchheim e.V.</t>
  </si>
  <si>
    <t>1. BC Veitshöchheim</t>
  </si>
  <si>
    <t>Alexander</t>
  </si>
  <si>
    <t>Daniel Alexander</t>
  </si>
  <si>
    <t>BSV Großlangheim e.V.</t>
  </si>
  <si>
    <t>BC Großlangheim</t>
  </si>
  <si>
    <t>Albrecht</t>
  </si>
  <si>
    <t>Thomas Albrecht</t>
  </si>
  <si>
    <t>Horst</t>
  </si>
  <si>
    <t>Albert</t>
  </si>
  <si>
    <t>Horst Albert</t>
  </si>
  <si>
    <t>Bowling-Sport-Verein Augsburg e.V.</t>
  </si>
  <si>
    <t>Lechbowler Augsburg</t>
  </si>
  <si>
    <t>Doris</t>
  </si>
  <si>
    <t>Doris Albert</t>
  </si>
  <si>
    <t>Beate</t>
  </si>
  <si>
    <t>Beate Albert</t>
  </si>
  <si>
    <t>BV Unterföhring e.V.</t>
  </si>
  <si>
    <t>BF Weiß-Blau</t>
  </si>
  <si>
    <t>Robert</t>
  </si>
  <si>
    <t>Admiral</t>
  </si>
  <si>
    <t>Robert Admiral</t>
  </si>
  <si>
    <t>1. BSV Bamberg</t>
  </si>
  <si>
    <t>BC Schwarz-Weiß Mainfranken</t>
  </si>
  <si>
    <t>Emil</t>
  </si>
  <si>
    <t>Adamik</t>
  </si>
  <si>
    <t>Emil Adamik</t>
  </si>
  <si>
    <t>Jugend B m</t>
  </si>
  <si>
    <t>Jugend</t>
  </si>
  <si>
    <t>Nora</t>
  </si>
  <si>
    <t>Achhammer</t>
  </si>
  <si>
    <t>Nora Achhammer</t>
  </si>
  <si>
    <t>Jugend C w</t>
  </si>
  <si>
    <t>Lina</t>
  </si>
  <si>
    <t>Lina Achhammer</t>
  </si>
  <si>
    <t>Klara</t>
  </si>
  <si>
    <t>Klara Achhammer</t>
  </si>
  <si>
    <t>Jugend B w</t>
  </si>
  <si>
    <t>Jesse</t>
  </si>
  <si>
    <t>Chambless</t>
  </si>
  <si>
    <t>Jesse Chambless</t>
  </si>
  <si>
    <t>BC Eintracht Lauf</t>
  </si>
  <si>
    <t>Leandro</t>
  </si>
  <si>
    <t>Catalano</t>
  </si>
  <si>
    <t>Leandro Catalano</t>
  </si>
  <si>
    <t>Bowling Jugend Bayern e.V.</t>
  </si>
  <si>
    <t>Bowling Jugend Bayern</t>
  </si>
  <si>
    <t>Mario</t>
  </si>
  <si>
    <t>Burghardt</t>
  </si>
  <si>
    <t>Mario Burghardt</t>
  </si>
  <si>
    <t>Claudia</t>
  </si>
  <si>
    <t>Burghard</t>
  </si>
  <si>
    <t>Claudia Burghard</t>
  </si>
  <si>
    <t>Bettina</t>
  </si>
  <si>
    <t>Bettina Burghard</t>
  </si>
  <si>
    <t>Norbert</t>
  </si>
  <si>
    <t>Burger</t>
  </si>
  <si>
    <t>Norbert Burger</t>
  </si>
  <si>
    <t>Adriano</t>
  </si>
  <si>
    <t>Bulla</t>
  </si>
  <si>
    <t>Adriano Bulla</t>
  </si>
  <si>
    <t>Max</t>
  </si>
  <si>
    <t>Bujdoso</t>
  </si>
  <si>
    <t>Max Bujdoso</t>
  </si>
  <si>
    <t>Kings Club Bayreuth</t>
  </si>
  <si>
    <t>Büttner</t>
  </si>
  <si>
    <t>Christian Büttner</t>
  </si>
  <si>
    <t>Reinhard</t>
  </si>
  <si>
    <t>Bürkler</t>
  </si>
  <si>
    <t>Reinhard Bürkler</t>
  </si>
  <si>
    <t>1. BSV Stein e.V.</t>
  </si>
  <si>
    <t>BC Albrecht Dürer 71 Stein</t>
  </si>
  <si>
    <t>Michelle</t>
  </si>
  <si>
    <t>Bürger</t>
  </si>
  <si>
    <t>Michelle Bürger</t>
  </si>
  <si>
    <t>Lucky Striker Regensburg</t>
  </si>
  <si>
    <t>Bückreiß</t>
  </si>
  <si>
    <t>Alexander Bückreiß</t>
  </si>
  <si>
    <t>1. BC Coburg e.V.</t>
  </si>
  <si>
    <t>Bowlingclub Coburg</t>
  </si>
  <si>
    <t>Bodo</t>
  </si>
  <si>
    <t>Brysch</t>
  </si>
  <si>
    <t>Bodo Brysch</t>
  </si>
  <si>
    <t>Ludwig</t>
  </si>
  <si>
    <t>Brunnhuber</t>
  </si>
  <si>
    <t>Ludwig Brunnhuber</t>
  </si>
  <si>
    <t>Brunner</t>
  </si>
  <si>
    <t>Markus Brunner</t>
  </si>
  <si>
    <t>Brucksch</t>
  </si>
  <si>
    <t>Michael Brucksch</t>
  </si>
  <si>
    <t>Jan</t>
  </si>
  <si>
    <t>Brodowsky</t>
  </si>
  <si>
    <t>Jan Brodowsky</t>
  </si>
  <si>
    <t>Team ProfiShop Münchner</t>
  </si>
  <si>
    <t>Brendel</t>
  </si>
  <si>
    <t>Markus Brendel</t>
  </si>
  <si>
    <t>Andreas Brendel</t>
  </si>
  <si>
    <t>Jeremy</t>
  </si>
  <si>
    <t>Breitenstein</t>
  </si>
  <si>
    <t>Jeremy Breitenstein</t>
  </si>
  <si>
    <t>Ratisbona</t>
  </si>
  <si>
    <t>Harald</t>
  </si>
  <si>
    <t>Brehm</t>
  </si>
  <si>
    <t>Harald Brehm</t>
  </si>
  <si>
    <t>Brandt</t>
  </si>
  <si>
    <t>Michael Brandt</t>
  </si>
  <si>
    <t>Harald Brandt</t>
  </si>
  <si>
    <t>Marion</t>
  </si>
  <si>
    <t>Bräutigam</t>
  </si>
  <si>
    <t>Marion Bräutigam</t>
  </si>
  <si>
    <t>Kai</t>
  </si>
  <si>
    <t>Kai Bräutigam</t>
  </si>
  <si>
    <t>Willi</t>
  </si>
  <si>
    <t>Bothe</t>
  </si>
  <si>
    <t>Willi Bothe</t>
  </si>
  <si>
    <t>Thomas Bothe</t>
  </si>
  <si>
    <t>Liane</t>
  </si>
  <si>
    <t>Bonnaire</t>
  </si>
  <si>
    <t>Liane Bonnaire</t>
  </si>
  <si>
    <t>Ben</t>
  </si>
  <si>
    <t>Ben Bonnaire</t>
  </si>
  <si>
    <t>BC EMAX</t>
  </si>
  <si>
    <t>Eduard</t>
  </si>
  <si>
    <t>Bolender</t>
  </si>
  <si>
    <t>Eduard Bolender</t>
  </si>
  <si>
    <t>Frank</t>
  </si>
  <si>
    <t>Bohnen</t>
  </si>
  <si>
    <t>Frank Bohnen</t>
  </si>
  <si>
    <t>Reimund</t>
  </si>
  <si>
    <t>Bösl</t>
  </si>
  <si>
    <t>Reimund Bösl</t>
  </si>
  <si>
    <t>Anna</t>
  </si>
  <si>
    <t>Anna Bösl</t>
  </si>
  <si>
    <t>BC Praetoria</t>
  </si>
  <si>
    <t>Tobias</t>
  </si>
  <si>
    <t>Börding</t>
  </si>
  <si>
    <t>Tobias Börding</t>
  </si>
  <si>
    <t>Petra</t>
  </si>
  <si>
    <t>Petra Börding</t>
  </si>
  <si>
    <t>Peter</t>
  </si>
  <si>
    <t>Peter Börding</t>
  </si>
  <si>
    <t>Daniel Börding</t>
  </si>
  <si>
    <t>Manfred</t>
  </si>
  <si>
    <t>Böhme</t>
  </si>
  <si>
    <t>Manfred Böhme</t>
  </si>
  <si>
    <t>BV Munich Mavericks e.V.</t>
  </si>
  <si>
    <t>BC Munich Mavericks</t>
  </si>
  <si>
    <t>Wolfgang</t>
  </si>
  <si>
    <t>Böhm</t>
  </si>
  <si>
    <t>Wolfgang Böhm</t>
  </si>
  <si>
    <t>Eric-Pascal</t>
  </si>
  <si>
    <t>Eric-Pascal Böhm</t>
  </si>
  <si>
    <t>Sebastian</t>
  </si>
  <si>
    <t>Boé</t>
  </si>
  <si>
    <t>Sebastian Boé</t>
  </si>
  <si>
    <t>SG DJK Rimpar e.V.</t>
  </si>
  <si>
    <t>DJK Rimpar</t>
  </si>
  <si>
    <t>Bock</t>
  </si>
  <si>
    <t>Manuel Bock</t>
  </si>
  <si>
    <t>Bayreuther Bowling Verein e.V.</t>
  </si>
  <si>
    <t>BC Germania Bayreuth</t>
  </si>
  <si>
    <t>Heike</t>
  </si>
  <si>
    <t>Boch-Jackson</t>
  </si>
  <si>
    <t>Heike Boch-Jackson</t>
  </si>
  <si>
    <t>BF Rot-Weiß Lichtenhof 69</t>
  </si>
  <si>
    <t>Boch</t>
  </si>
  <si>
    <t>Manfred Boch</t>
  </si>
  <si>
    <t>Ernst</t>
  </si>
  <si>
    <t>Blasits</t>
  </si>
  <si>
    <t>Ernst Blasits</t>
  </si>
  <si>
    <t>Enrico</t>
  </si>
  <si>
    <t>Blättermann</t>
  </si>
  <si>
    <t>Enrico Blättermann</t>
  </si>
  <si>
    <t>Steffen</t>
  </si>
  <si>
    <t>Birkner</t>
  </si>
  <si>
    <t>Steffen Birkner</t>
  </si>
  <si>
    <t>Jochen</t>
  </si>
  <si>
    <t>Jochen Birkner</t>
  </si>
  <si>
    <t>Dieter Birkner</t>
  </si>
  <si>
    <t>Maximilian</t>
  </si>
  <si>
    <t>Binder</t>
  </si>
  <si>
    <t>Maximilian Binder</t>
  </si>
  <si>
    <t>Jugend A m</t>
  </si>
  <si>
    <t>Dirk</t>
  </si>
  <si>
    <t>Billerbeck</t>
  </si>
  <si>
    <t>Dirk Billerbeck</t>
  </si>
  <si>
    <t>Bilan</t>
  </si>
  <si>
    <t>Wolfgang Bilan</t>
  </si>
  <si>
    <t>Jessica</t>
  </si>
  <si>
    <t>Jessica Bilan</t>
  </si>
  <si>
    <t>Christine</t>
  </si>
  <si>
    <t>Christine Bilan</t>
  </si>
  <si>
    <t>Massimo</t>
  </si>
  <si>
    <t>Bifolco</t>
  </si>
  <si>
    <t>Massimo Bifolco</t>
  </si>
  <si>
    <t>Henry</t>
  </si>
  <si>
    <t>Bieber</t>
  </si>
  <si>
    <t>Henry Bieber</t>
  </si>
  <si>
    <t>Bick</t>
  </si>
  <si>
    <t>Dirk Bick</t>
  </si>
  <si>
    <t>Savinder Kaur</t>
  </si>
  <si>
    <t>Bhjan Singh</t>
  </si>
  <si>
    <t>Savinder Kaur Bhjan Singh</t>
  </si>
  <si>
    <t>Geo</t>
  </si>
  <si>
    <t>Beyer</t>
  </si>
  <si>
    <t>Geo Beyer</t>
  </si>
  <si>
    <t>BC 300 München</t>
  </si>
  <si>
    <t>Diana</t>
  </si>
  <si>
    <t>Diana Beyer</t>
  </si>
  <si>
    <t>Mathijs</t>
  </si>
  <si>
    <t>Beverdam</t>
  </si>
  <si>
    <t>Mathijs Beverdam</t>
  </si>
  <si>
    <t>Jürgen</t>
  </si>
  <si>
    <t>Betz</t>
  </si>
  <si>
    <t>Jürgen Betz</t>
  </si>
  <si>
    <t>TV 1861 Ingolstadt e.V., Abt. Bowling</t>
  </si>
  <si>
    <t>BC Schanzer Strikers</t>
  </si>
  <si>
    <t>Dominic</t>
  </si>
  <si>
    <t>Dominic Betz</t>
  </si>
  <si>
    <t>Christiane</t>
  </si>
  <si>
    <t>Christiane Betz</t>
  </si>
  <si>
    <t>Vanessa</t>
  </si>
  <si>
    <t>Bess</t>
  </si>
  <si>
    <t>Vanessa Bess</t>
  </si>
  <si>
    <t>Stefan</t>
  </si>
  <si>
    <t>Stefan Bess</t>
  </si>
  <si>
    <t>Eric</t>
  </si>
  <si>
    <t>Berr</t>
  </si>
  <si>
    <t>Eric Berr</t>
  </si>
  <si>
    <t>Angela</t>
  </si>
  <si>
    <t>Berger</t>
  </si>
  <si>
    <t>Angela Berger</t>
  </si>
  <si>
    <t>Benndorf</t>
  </si>
  <si>
    <t>Simon Benndorf</t>
  </si>
  <si>
    <t>Ralf</t>
  </si>
  <si>
    <t>Beißel</t>
  </si>
  <si>
    <t>Ralf Beißel</t>
  </si>
  <si>
    <t>Gabriele</t>
  </si>
  <si>
    <t>Beinlich</t>
  </si>
  <si>
    <t>Gabriele Beinlich</t>
  </si>
  <si>
    <t>BC Kleeblatt Fürth</t>
  </si>
  <si>
    <t>Beier</t>
  </si>
  <si>
    <t>Thomas Beier</t>
  </si>
  <si>
    <t>1. BC Nürnberg</t>
  </si>
  <si>
    <t>BC Adler Nürnberg</t>
  </si>
  <si>
    <t>Beer</t>
  </si>
  <si>
    <t>Jürgen Beer</t>
  </si>
  <si>
    <t>Beck</t>
  </si>
  <si>
    <t>Stefan Beck</t>
  </si>
  <si>
    <t>Gerald</t>
  </si>
  <si>
    <t>Bayer</t>
  </si>
  <si>
    <t>Gerald Bayer</t>
  </si>
  <si>
    <t>Günter</t>
  </si>
  <si>
    <t>Färber</t>
  </si>
  <si>
    <t>Günter Färber</t>
  </si>
  <si>
    <t>Monic</t>
  </si>
  <si>
    <t>Facius</t>
  </si>
  <si>
    <t>Monic Facius</t>
  </si>
  <si>
    <t>Natalie</t>
  </si>
  <si>
    <t>Eyermann</t>
  </si>
  <si>
    <t>Natalie Eyermann</t>
  </si>
  <si>
    <t>Erlacher</t>
  </si>
  <si>
    <t>Christian Erlacher</t>
  </si>
  <si>
    <t>Richard</t>
  </si>
  <si>
    <t>Erhard</t>
  </si>
  <si>
    <t>Richard Erhard</t>
  </si>
  <si>
    <t>Hans-Peter</t>
  </si>
  <si>
    <t>Erber</t>
  </si>
  <si>
    <t>Hans-Peter Erber</t>
  </si>
  <si>
    <t>Einzelmitglied N-U</t>
  </si>
  <si>
    <t>René</t>
  </si>
  <si>
    <t>Erben</t>
  </si>
  <si>
    <t>René Erben</t>
  </si>
  <si>
    <t>Claudia Erben</t>
  </si>
  <si>
    <t>Erbar</t>
  </si>
  <si>
    <t>Harald Erbar</t>
  </si>
  <si>
    <t>Engelhardt</t>
  </si>
  <si>
    <t>Thomas Engelhardt</t>
  </si>
  <si>
    <t>BC Phönix 03 Lauf</t>
  </si>
  <si>
    <t>Patric</t>
  </si>
  <si>
    <t>Engelbach</t>
  </si>
  <si>
    <t>Patric Engelbach</t>
  </si>
  <si>
    <t>Siegfried</t>
  </si>
  <si>
    <t>Enderes</t>
  </si>
  <si>
    <t>Siegfried Enderes</t>
  </si>
  <si>
    <t>Julia</t>
  </si>
  <si>
    <t>Emmerich</t>
  </si>
  <si>
    <t>Julia Emmerich</t>
  </si>
  <si>
    <t>Ullrich</t>
  </si>
  <si>
    <t>Elze</t>
  </si>
  <si>
    <t>Ullrich Elze</t>
  </si>
  <si>
    <t>BC Donau - Bowler</t>
  </si>
  <si>
    <t>Raiko</t>
  </si>
  <si>
    <t>Raiko Elze</t>
  </si>
  <si>
    <t>Julian</t>
  </si>
  <si>
    <t>Julian Elze</t>
  </si>
  <si>
    <t>Eisenmann-Seybold</t>
  </si>
  <si>
    <t>Michael Eisenmann-Seybold</t>
  </si>
  <si>
    <t>Kevin</t>
  </si>
  <si>
    <t>Einert</t>
  </si>
  <si>
    <t>Kevin Einert</t>
  </si>
  <si>
    <t>Karl</t>
  </si>
  <si>
    <t>Eichner</t>
  </si>
  <si>
    <t>Karl Eichner</t>
  </si>
  <si>
    <t>Rainer</t>
  </si>
  <si>
    <t>Ehemann</t>
  </si>
  <si>
    <t>Rainer Ehemann</t>
  </si>
  <si>
    <t>Werner</t>
  </si>
  <si>
    <t>Eggl</t>
  </si>
  <si>
    <t>Werner Eggl</t>
  </si>
  <si>
    <t>Harald Eggl</t>
  </si>
  <si>
    <t>Egger</t>
  </si>
  <si>
    <t>Michael Egger</t>
  </si>
  <si>
    <t>Diana Egger</t>
  </si>
  <si>
    <t>Alexander Egger</t>
  </si>
  <si>
    <t>Kai-Jürgen</t>
  </si>
  <si>
    <t>Eder</t>
  </si>
  <si>
    <t>Kai-Jürgen Eder</t>
  </si>
  <si>
    <t>Tom</t>
  </si>
  <si>
    <t>Eck</t>
  </si>
  <si>
    <t>Tom Eck</t>
  </si>
  <si>
    <t>Michelle-Christine</t>
  </si>
  <si>
    <t>Michelle-Christine Eck</t>
  </si>
  <si>
    <t>Marco Eck</t>
  </si>
  <si>
    <t>Ralph</t>
  </si>
  <si>
    <t>Echtermeyer</t>
  </si>
  <si>
    <t>Ralph Echtermeyer</t>
  </si>
  <si>
    <t>Holger</t>
  </si>
  <si>
    <t>Ebert</t>
  </si>
  <si>
    <t>Holger Ebert</t>
  </si>
  <si>
    <t>Benjamin</t>
  </si>
  <si>
    <t>Düren</t>
  </si>
  <si>
    <t>Benjamin Düren</t>
  </si>
  <si>
    <t>Dudela</t>
  </si>
  <si>
    <t>Marco Dudela</t>
  </si>
  <si>
    <t>Duda</t>
  </si>
  <si>
    <t>Daniel Duda</t>
  </si>
  <si>
    <t>Dozauer</t>
  </si>
  <si>
    <t>Jessica Dozauer</t>
  </si>
  <si>
    <t>Doßler</t>
  </si>
  <si>
    <t>Thomas Doßler</t>
  </si>
  <si>
    <t>Hannelore</t>
  </si>
  <si>
    <t>Dornacher</t>
  </si>
  <si>
    <t>Hannelore Dornacher</t>
  </si>
  <si>
    <t>Doll</t>
  </si>
  <si>
    <t>Robert Doll</t>
  </si>
  <si>
    <t>Hannelore Doll</t>
  </si>
  <si>
    <t>Dietz</t>
  </si>
  <si>
    <t>Kevin Dietz</t>
  </si>
  <si>
    <t>Hans-Jürgen</t>
  </si>
  <si>
    <t>Hans-Jürgen Dietz</t>
  </si>
  <si>
    <t>Dietrich-Spankau</t>
  </si>
  <si>
    <t>Christine Dietrich-Spankau</t>
  </si>
  <si>
    <t>Ulrike</t>
  </si>
  <si>
    <t>Dietrich</t>
  </si>
  <si>
    <t>Ulrike Dietrich</t>
  </si>
  <si>
    <t>Dieckow</t>
  </si>
  <si>
    <t>Michael Dieckow</t>
  </si>
  <si>
    <t>Diebel</t>
  </si>
  <si>
    <t>Thomas Diebel</t>
  </si>
  <si>
    <t>Alla</t>
  </si>
  <si>
    <t>Diachenko</t>
  </si>
  <si>
    <t>Alla Diachenko</t>
  </si>
  <si>
    <t>Roberto</t>
  </si>
  <si>
    <t>Di Stefano</t>
  </si>
  <si>
    <t>Roberto Di Stefano</t>
  </si>
  <si>
    <t>Derbfuss</t>
  </si>
  <si>
    <t>Tobias Derbfuss</t>
  </si>
  <si>
    <t>Denz</t>
  </si>
  <si>
    <t>Günter Denz</t>
  </si>
  <si>
    <t>Angelika</t>
  </si>
  <si>
    <t>Angelika Denz</t>
  </si>
  <si>
    <t>Denk</t>
  </si>
  <si>
    <t>Werner Denk</t>
  </si>
  <si>
    <t>Demuth</t>
  </si>
  <si>
    <t>Werner Demuth</t>
  </si>
  <si>
    <t>Joshua</t>
  </si>
  <si>
    <t>de la Torre Altena</t>
  </si>
  <si>
    <t>Joshua de la Torre Altena</t>
  </si>
  <si>
    <t>Kwan</t>
  </si>
  <si>
    <t>Davis</t>
  </si>
  <si>
    <t>Kwan Davis</t>
  </si>
  <si>
    <t>Franz</t>
  </si>
  <si>
    <t>Danzer</t>
  </si>
  <si>
    <t>Franz Danzer</t>
  </si>
  <si>
    <t>Andrea</t>
  </si>
  <si>
    <t>Andrea Danzer</t>
  </si>
  <si>
    <t>Georg</t>
  </si>
  <si>
    <t>Dambach</t>
  </si>
  <si>
    <t>Georg Dambach</t>
  </si>
  <si>
    <t>Dalibor</t>
  </si>
  <si>
    <t>Daniel Dalibor</t>
  </si>
  <si>
    <t>Sabine</t>
  </si>
  <si>
    <t>Czech</t>
  </si>
  <si>
    <t>Sabine Czech</t>
  </si>
  <si>
    <t>Franziska</t>
  </si>
  <si>
    <t>Franziska Czech</t>
  </si>
  <si>
    <t>Louis</t>
  </si>
  <si>
    <t>Csallner</t>
  </si>
  <si>
    <t>Louis Csallner</t>
  </si>
  <si>
    <t>Cribaro</t>
  </si>
  <si>
    <t>Yvonne Cribaro</t>
  </si>
  <si>
    <t>Einzelmitglied Nürnberg</t>
  </si>
  <si>
    <t>Clemenz</t>
  </si>
  <si>
    <t>Brigitte Clemenz</t>
  </si>
  <si>
    <t>James</t>
  </si>
  <si>
    <t>Chestnut</t>
  </si>
  <si>
    <t>James Chestnut</t>
  </si>
  <si>
    <t>Charon</t>
  </si>
  <si>
    <t>Julia Charon</t>
  </si>
  <si>
    <t>Juergen</t>
  </si>
  <si>
    <t>Juergen Chambless</t>
  </si>
  <si>
    <t>Christopher</t>
  </si>
  <si>
    <t>Gruber</t>
  </si>
  <si>
    <t>Christopher Gruber</t>
  </si>
  <si>
    <t>Christoph</t>
  </si>
  <si>
    <t>Christoph Gruber</t>
  </si>
  <si>
    <t>Große</t>
  </si>
  <si>
    <t>Christian Große</t>
  </si>
  <si>
    <t>Ilse</t>
  </si>
  <si>
    <t>Grom-Ruffershöfer</t>
  </si>
  <si>
    <t>Ilse Grom-Ruffershöfer</t>
  </si>
  <si>
    <t>Groll</t>
  </si>
  <si>
    <t>Natalie Groll</t>
  </si>
  <si>
    <t>Johanna</t>
  </si>
  <si>
    <t>Johanna Groll</t>
  </si>
  <si>
    <t>Alexander Groll</t>
  </si>
  <si>
    <t>Gröger</t>
  </si>
  <si>
    <t>Markus Gröger</t>
  </si>
  <si>
    <t>Graubaum</t>
  </si>
  <si>
    <t>Henry Graubaum</t>
  </si>
  <si>
    <t>Graser</t>
  </si>
  <si>
    <t>Rainer Graser</t>
  </si>
  <si>
    <t>Gräfe</t>
  </si>
  <si>
    <t>Sebastian Gräfe</t>
  </si>
  <si>
    <t>Gogala</t>
  </si>
  <si>
    <t>Eric Gogala</t>
  </si>
  <si>
    <t>Görn</t>
  </si>
  <si>
    <t>Michael Görn</t>
  </si>
  <si>
    <t>Görbert</t>
  </si>
  <si>
    <t>René Görbert</t>
  </si>
  <si>
    <t>Oktay</t>
  </si>
  <si>
    <t>Gökbel</t>
  </si>
  <si>
    <t>Oktay Gökbel</t>
  </si>
  <si>
    <t>Glatzer</t>
  </si>
  <si>
    <t>Daniel Glatzer</t>
  </si>
  <si>
    <t>Comet</t>
  </si>
  <si>
    <t>Glasl sen.</t>
  </si>
  <si>
    <t>Hans-Jürgen Glasl sen.</t>
  </si>
  <si>
    <t>Glasl</t>
  </si>
  <si>
    <t>Hans-Jürgen Glasl</t>
  </si>
  <si>
    <t>Gerda</t>
  </si>
  <si>
    <t>Gerda Glasl</t>
  </si>
  <si>
    <t>Glaser</t>
  </si>
  <si>
    <t>Gerhard Glaser</t>
  </si>
  <si>
    <t>Gille</t>
  </si>
  <si>
    <t>Nadine Gille</t>
  </si>
  <si>
    <t>Gilch</t>
  </si>
  <si>
    <t>Stefan Gilch</t>
  </si>
  <si>
    <t>Ghanbar</t>
  </si>
  <si>
    <t>Robert Ghanbar</t>
  </si>
  <si>
    <t>Josef Peter</t>
  </si>
  <si>
    <t>Gfesser</t>
  </si>
  <si>
    <t>Josef Peter Gfesser</t>
  </si>
  <si>
    <t>Gerzoskovitz</t>
  </si>
  <si>
    <t>Christoph Gerzoskovitz</t>
  </si>
  <si>
    <t>BC Bavaria</t>
  </si>
  <si>
    <t>Gerd</t>
  </si>
  <si>
    <t>Gerd Gerhard</t>
  </si>
  <si>
    <t>Joachim</t>
  </si>
  <si>
    <t>Geist</t>
  </si>
  <si>
    <t>Joachim Geist</t>
  </si>
  <si>
    <t>Geis</t>
  </si>
  <si>
    <t>Jürgen Geis</t>
  </si>
  <si>
    <t>Gehweiler</t>
  </si>
  <si>
    <t>Manuel Gehweiler</t>
  </si>
  <si>
    <t>Gehring</t>
  </si>
  <si>
    <t>Michael Gehring</t>
  </si>
  <si>
    <t>Gebhart</t>
  </si>
  <si>
    <t>Markus Gebhart</t>
  </si>
  <si>
    <t>Sandro</t>
  </si>
  <si>
    <t>Gastinger</t>
  </si>
  <si>
    <t>Sandro Gastinger</t>
  </si>
  <si>
    <t>Galuska</t>
  </si>
  <si>
    <t>Christian Galuska</t>
  </si>
  <si>
    <t>Regina</t>
  </si>
  <si>
    <t>Gahr</t>
  </si>
  <si>
    <t>Regina Gahr</t>
  </si>
  <si>
    <t>LA Bowling e.V.</t>
  </si>
  <si>
    <t>BC LA Bowling</t>
  </si>
  <si>
    <t>Bruno</t>
  </si>
  <si>
    <t>Gärtner</t>
  </si>
  <si>
    <t>Bruno Gärtner</t>
  </si>
  <si>
    <t>Bastian</t>
  </si>
  <si>
    <t>Frötsch</t>
  </si>
  <si>
    <t>Bastian Frötsch</t>
  </si>
  <si>
    <t>Heidemarie</t>
  </si>
  <si>
    <t>Fröhlich</t>
  </si>
  <si>
    <t>Heidemarie Fröhlich</t>
  </si>
  <si>
    <t>Fröde</t>
  </si>
  <si>
    <t>Thomas Fröde</t>
  </si>
  <si>
    <t>Jan Lucas</t>
  </si>
  <si>
    <t>Frisch</t>
  </si>
  <si>
    <t>Jan Lucas Frisch</t>
  </si>
  <si>
    <t>Friedrich</t>
  </si>
  <si>
    <t>Bernd Friedrich</t>
  </si>
  <si>
    <t>Freudl</t>
  </si>
  <si>
    <t>Patrick Freudl</t>
  </si>
  <si>
    <t>Tobias Franz</t>
  </si>
  <si>
    <t>Franke</t>
  </si>
  <si>
    <t>Tobias Franke</t>
  </si>
  <si>
    <t>Guido</t>
  </si>
  <si>
    <t>Guido Franke</t>
  </si>
  <si>
    <t>Thomas Frank</t>
  </si>
  <si>
    <t>Asterios</t>
  </si>
  <si>
    <t>Fourkiotis</t>
  </si>
  <si>
    <t>Asterios Fourkiotis</t>
  </si>
  <si>
    <t>Herbert</t>
  </si>
  <si>
    <t>Forstner</t>
  </si>
  <si>
    <t>Herbert Forstner</t>
  </si>
  <si>
    <t>Finn</t>
  </si>
  <si>
    <t>Forche</t>
  </si>
  <si>
    <t>Finn Forche</t>
  </si>
  <si>
    <t>Erich</t>
  </si>
  <si>
    <t>Erich Forche</t>
  </si>
  <si>
    <t>Renate</t>
  </si>
  <si>
    <t>Förster</t>
  </si>
  <si>
    <t>Renate Förster</t>
  </si>
  <si>
    <t>Björn</t>
  </si>
  <si>
    <t>Björn Förster</t>
  </si>
  <si>
    <t>Flika</t>
  </si>
  <si>
    <t>Gerhard Flika</t>
  </si>
  <si>
    <t>Torsten</t>
  </si>
  <si>
    <t>Fliegner</t>
  </si>
  <si>
    <t>Torsten Fliegner</t>
  </si>
  <si>
    <t>Selim</t>
  </si>
  <si>
    <t>Selim Fliegner</t>
  </si>
  <si>
    <t>Fischer</t>
  </si>
  <si>
    <t>Tobias Fischer</t>
  </si>
  <si>
    <t>Thomas Fischer</t>
  </si>
  <si>
    <t>Stephanie</t>
  </si>
  <si>
    <t>Stephanie Fischer</t>
  </si>
  <si>
    <t>Nick</t>
  </si>
  <si>
    <t>Nick Fischer</t>
  </si>
  <si>
    <t>Markus Fischer</t>
  </si>
  <si>
    <t>Marika</t>
  </si>
  <si>
    <t>Marika Fischer</t>
  </si>
  <si>
    <t>Fischbach</t>
  </si>
  <si>
    <t>Max Fischbach</t>
  </si>
  <si>
    <t>Anthony</t>
  </si>
  <si>
    <t>Fiochetta</t>
  </si>
  <si>
    <t>Anthony Fiochetta</t>
  </si>
  <si>
    <t>Finsterer</t>
  </si>
  <si>
    <t>Alexander Finsterer</t>
  </si>
  <si>
    <t>Hermann</t>
  </si>
  <si>
    <t>Fink</t>
  </si>
  <si>
    <t>Hermann Fink</t>
  </si>
  <si>
    <t>Karin</t>
  </si>
  <si>
    <t>Fillbach</t>
  </si>
  <si>
    <t>Karin Fillbach</t>
  </si>
  <si>
    <t>Filip</t>
  </si>
  <si>
    <t>Nico Filip</t>
  </si>
  <si>
    <t>Feuerlein</t>
  </si>
  <si>
    <t>Andreas Feuerlein</t>
  </si>
  <si>
    <t>Feller</t>
  </si>
  <si>
    <t>Christian Feller</t>
  </si>
  <si>
    <t>Ruth</t>
  </si>
  <si>
    <t>Faßold</t>
  </si>
  <si>
    <t>Ruth Faßold</t>
  </si>
  <si>
    <t>Peter Faßold</t>
  </si>
  <si>
    <t>Tindaro</t>
  </si>
  <si>
    <t>Famà</t>
  </si>
  <si>
    <t>Tindaro Famà</t>
  </si>
  <si>
    <t>Faltermeier</t>
  </si>
  <si>
    <t>Robert Faltermeier</t>
  </si>
  <si>
    <t>Heumos</t>
  </si>
  <si>
    <t>Roland Heumos</t>
  </si>
  <si>
    <t>Raimund</t>
  </si>
  <si>
    <t>Hessling</t>
  </si>
  <si>
    <t>Raimund Hessling</t>
  </si>
  <si>
    <t>Heide</t>
  </si>
  <si>
    <t>Heide Hessling</t>
  </si>
  <si>
    <t>Simone</t>
  </si>
  <si>
    <t>Heß</t>
  </si>
  <si>
    <t>Simone Heß</t>
  </si>
  <si>
    <t>Maximilian Heß</t>
  </si>
  <si>
    <t>Andreas Heß</t>
  </si>
  <si>
    <t>Florian</t>
  </si>
  <si>
    <t>Herzog</t>
  </si>
  <si>
    <t>Florian Herzog</t>
  </si>
  <si>
    <t>Hertel</t>
  </si>
  <si>
    <t>Kurt Hertel</t>
  </si>
  <si>
    <t>Jürgen Hertel</t>
  </si>
  <si>
    <t>Christine Hertel</t>
  </si>
  <si>
    <t>Herrmann</t>
  </si>
  <si>
    <t>Maximilian Herrmann</t>
  </si>
  <si>
    <t>Hernitschek</t>
  </si>
  <si>
    <t>Angelika Hernitschek</t>
  </si>
  <si>
    <t>Andreas Hernitschek</t>
  </si>
  <si>
    <t>Ludwig Hermann</t>
  </si>
  <si>
    <t>Hering</t>
  </si>
  <si>
    <t>Dieter Hering</t>
  </si>
  <si>
    <t>Dominik</t>
  </si>
  <si>
    <t>Hergenröder</t>
  </si>
  <si>
    <t>Dominik Hergenröder</t>
  </si>
  <si>
    <t>Herderich</t>
  </si>
  <si>
    <t>Peter Herderich</t>
  </si>
  <si>
    <t>Christine Herderich</t>
  </si>
  <si>
    <t>Herbst</t>
  </si>
  <si>
    <t>Stefan Herbst</t>
  </si>
  <si>
    <t>Herber</t>
  </si>
  <si>
    <t>Ralf Herber</t>
  </si>
  <si>
    <t>Hellmich</t>
  </si>
  <si>
    <t>Daniel Hellmich</t>
  </si>
  <si>
    <t>Hellmessen</t>
  </si>
  <si>
    <t>Maximilian Hellmessen</t>
  </si>
  <si>
    <t>Heiß</t>
  </si>
  <si>
    <t>Markus Heiß</t>
  </si>
  <si>
    <t>Heinlein</t>
  </si>
  <si>
    <t>Tobias Heinlein</t>
  </si>
  <si>
    <t>Klaus</t>
  </si>
  <si>
    <t>Heinel</t>
  </si>
  <si>
    <t>Klaus Heinel</t>
  </si>
  <si>
    <t>Thalea</t>
  </si>
  <si>
    <t>Heiming</t>
  </si>
  <si>
    <t>Thalea Heiming</t>
  </si>
  <si>
    <t>Leopold</t>
  </si>
  <si>
    <t>Leopold Heiming</t>
  </si>
  <si>
    <t>Christoph Heiming</t>
  </si>
  <si>
    <t>Heidler</t>
  </si>
  <si>
    <t>Georg Heidler</t>
  </si>
  <si>
    <t>Hegele</t>
  </si>
  <si>
    <t>Dominik Hegele</t>
  </si>
  <si>
    <t>Jakob</t>
  </si>
  <si>
    <t>Hedrich</t>
  </si>
  <si>
    <t>Jakob Hedrich</t>
  </si>
  <si>
    <t>Hedewig</t>
  </si>
  <si>
    <t>Robert Hedewig</t>
  </si>
  <si>
    <t>Sascha</t>
  </si>
  <si>
    <t>Haus</t>
  </si>
  <si>
    <t>Sascha Haus</t>
  </si>
  <si>
    <t>Haunschild</t>
  </si>
  <si>
    <t>Thomas Haunschild</t>
  </si>
  <si>
    <t>Hauck</t>
  </si>
  <si>
    <t>Franz Hauck</t>
  </si>
  <si>
    <t>Lea</t>
  </si>
  <si>
    <t>Hassforth</t>
  </si>
  <si>
    <t>Lea Hassforth</t>
  </si>
  <si>
    <t>Jugend A w</t>
  </si>
  <si>
    <t>Hartmann</t>
  </si>
  <si>
    <t>Joachim Hartmann</t>
  </si>
  <si>
    <t>Hiltrud</t>
  </si>
  <si>
    <t>Hiltrud Hartmann</t>
  </si>
  <si>
    <t>Benedikt</t>
  </si>
  <si>
    <t>Benedikt Hartmann</t>
  </si>
  <si>
    <t>Hartl</t>
  </si>
  <si>
    <t>Thomas Hartl</t>
  </si>
  <si>
    <t>Manfred Hartl</t>
  </si>
  <si>
    <t>Volkmar</t>
  </si>
  <si>
    <t>Hartfeil</t>
  </si>
  <si>
    <t>Volkmar Hartfeil</t>
  </si>
  <si>
    <t>Hardt</t>
  </si>
  <si>
    <t>Patrick Hardt</t>
  </si>
  <si>
    <t>Hantschel</t>
  </si>
  <si>
    <t>Thomas Hantschel</t>
  </si>
  <si>
    <t>Jörg</t>
  </si>
  <si>
    <t>Jörg Hantschel</t>
  </si>
  <si>
    <t>Hannemann</t>
  </si>
  <si>
    <t>Roland Hannemann</t>
  </si>
  <si>
    <t>Luitgard</t>
  </si>
  <si>
    <t>Luitgard Hannemann</t>
  </si>
  <si>
    <t>Ingo</t>
  </si>
  <si>
    <t>Ingo Hannemann</t>
  </si>
  <si>
    <t>Maik</t>
  </si>
  <si>
    <t>Hanf</t>
  </si>
  <si>
    <t>Maik Hanf</t>
  </si>
  <si>
    <t>Hanauer</t>
  </si>
  <si>
    <t>Markus Hanauer</t>
  </si>
  <si>
    <t>Florian Hanauer</t>
  </si>
  <si>
    <t>Hamfler</t>
  </si>
  <si>
    <t>Wolfgang Hamfler</t>
  </si>
  <si>
    <t>Wilhelm</t>
  </si>
  <si>
    <t>Halfpap</t>
  </si>
  <si>
    <t>Wilhelm Halfpap</t>
  </si>
  <si>
    <t>Stefan Halfpap</t>
  </si>
  <si>
    <t>Lucas</t>
  </si>
  <si>
    <t>Hätscher</t>
  </si>
  <si>
    <t>Lucas Hätscher</t>
  </si>
  <si>
    <t>Walter</t>
  </si>
  <si>
    <t>Hähnlein</t>
  </si>
  <si>
    <t>Walter Hähnlein</t>
  </si>
  <si>
    <t>Monika</t>
  </si>
  <si>
    <t>Hackel</t>
  </si>
  <si>
    <t>Monika Hackel</t>
  </si>
  <si>
    <t>Sanat</t>
  </si>
  <si>
    <t>Gulvadi</t>
  </si>
  <si>
    <t>Sanat Gulvadi</t>
  </si>
  <si>
    <t>Gürz</t>
  </si>
  <si>
    <t>Wolfgang Gürz</t>
  </si>
  <si>
    <t>Thomas Gürz</t>
  </si>
  <si>
    <t>Gschossmann</t>
  </si>
  <si>
    <t>Bernhard Gschossmann</t>
  </si>
  <si>
    <t>Antonio</t>
  </si>
  <si>
    <t>Gruosso</t>
  </si>
  <si>
    <t>Antonio Gruosso</t>
  </si>
  <si>
    <t>Heidi</t>
  </si>
  <si>
    <t>Grünes</t>
  </si>
  <si>
    <t>Heidi Grünes</t>
  </si>
  <si>
    <t>Dieter Grünes</t>
  </si>
  <si>
    <t>Gründl</t>
  </si>
  <si>
    <t>Alexander Gründl</t>
  </si>
  <si>
    <t>Wolfgang Gruber</t>
  </si>
  <si>
    <t>Pascal</t>
  </si>
  <si>
    <t>Pascal Gruber</t>
  </si>
  <si>
    <t>Karner</t>
  </si>
  <si>
    <t>Thomas Karner</t>
  </si>
  <si>
    <t>William</t>
  </si>
  <si>
    <t>William Karl</t>
  </si>
  <si>
    <t>Georg Karl</t>
  </si>
  <si>
    <t>Sergii</t>
  </si>
  <si>
    <t>Kapustin</t>
  </si>
  <si>
    <t>Sergii Kapustin</t>
  </si>
  <si>
    <t>Kammermeier</t>
  </si>
  <si>
    <t>Peter Kammermeier</t>
  </si>
  <si>
    <t>Maximilian Kammermeier</t>
  </si>
  <si>
    <t>Klaus Kammermeier</t>
  </si>
  <si>
    <t>Kalkschmied</t>
  </si>
  <si>
    <t>Thomas Kalkschmied</t>
  </si>
  <si>
    <t>Nicolas</t>
  </si>
  <si>
    <t>Kabel</t>
  </si>
  <si>
    <t>Nicolas Kabel</t>
  </si>
  <si>
    <t>Matthias</t>
  </si>
  <si>
    <t>Matthias Kabel</t>
  </si>
  <si>
    <t>Jurischka</t>
  </si>
  <si>
    <t>René Jurischka</t>
  </si>
  <si>
    <t>Leon</t>
  </si>
  <si>
    <t>Leon Jurischka</t>
  </si>
  <si>
    <t>Lisa</t>
  </si>
  <si>
    <t>Jürgens</t>
  </si>
  <si>
    <t>Lisa Jürgens</t>
  </si>
  <si>
    <t>Jörissen</t>
  </si>
  <si>
    <t>Christoph Jörissen</t>
  </si>
  <si>
    <t>Jilski</t>
  </si>
  <si>
    <t>Peter Jilski</t>
  </si>
  <si>
    <t>Sarah</t>
  </si>
  <si>
    <t>Jentsch</t>
  </si>
  <si>
    <t>Sarah Jentsch</t>
  </si>
  <si>
    <t>Judith</t>
  </si>
  <si>
    <t>Judith Jentsch</t>
  </si>
  <si>
    <t>Sandra</t>
  </si>
  <si>
    <t>Jenke</t>
  </si>
  <si>
    <t>Sandra Jenke</t>
  </si>
  <si>
    <t>Stefanie</t>
  </si>
  <si>
    <t>Jencz</t>
  </si>
  <si>
    <t>Stefanie Jencz</t>
  </si>
  <si>
    <t>Dennis</t>
  </si>
  <si>
    <t>Jehle</t>
  </si>
  <si>
    <t>Dennis Jehle</t>
  </si>
  <si>
    <t>Marcus</t>
  </si>
  <si>
    <t>Jarschel</t>
  </si>
  <si>
    <t>Marcus Jarschel</t>
  </si>
  <si>
    <t>Moritz</t>
  </si>
  <si>
    <t>Jakobi</t>
  </si>
  <si>
    <t>Moritz Jakobi</t>
  </si>
  <si>
    <t>Jahre</t>
  </si>
  <si>
    <t>Steffen Jahre</t>
  </si>
  <si>
    <t>Rica</t>
  </si>
  <si>
    <t>Rica Jahre</t>
  </si>
  <si>
    <t>Jäger</t>
  </si>
  <si>
    <t>Peter Jäger</t>
  </si>
  <si>
    <t>Karin Jäger</t>
  </si>
  <si>
    <t>Damien</t>
  </si>
  <si>
    <t>Damien Jäger</t>
  </si>
  <si>
    <t>Enno</t>
  </si>
  <si>
    <t>Jackwerth</t>
  </si>
  <si>
    <t>Enno Jackwerth</t>
  </si>
  <si>
    <t>Islinger</t>
  </si>
  <si>
    <t>Markus Islinger</t>
  </si>
  <si>
    <t>Inkermann</t>
  </si>
  <si>
    <t>Matthias Inkermann</t>
  </si>
  <si>
    <t>Hutter</t>
  </si>
  <si>
    <t>Sebastian Hutter</t>
  </si>
  <si>
    <t>Hummel</t>
  </si>
  <si>
    <t>Maximilian Hummel</t>
  </si>
  <si>
    <t>Martin</t>
  </si>
  <si>
    <t>Humbs</t>
  </si>
  <si>
    <t>Martin Humbs</t>
  </si>
  <si>
    <t>Hürdler</t>
  </si>
  <si>
    <t>Marco Hürdler</t>
  </si>
  <si>
    <t>Hübner</t>
  </si>
  <si>
    <t>Peter Hübner</t>
  </si>
  <si>
    <t>Patrick Hübner</t>
  </si>
  <si>
    <t>Jerome</t>
  </si>
  <si>
    <t>Hübinger</t>
  </si>
  <si>
    <t>Jerome Hübinger</t>
  </si>
  <si>
    <t>Hueber</t>
  </si>
  <si>
    <t>Robert Hueber</t>
  </si>
  <si>
    <t>Claudia Hueber</t>
  </si>
  <si>
    <t>Bernhard Hueber</t>
  </si>
  <si>
    <t>Anton</t>
  </si>
  <si>
    <t>Anton Hueber</t>
  </si>
  <si>
    <t>Hubert</t>
  </si>
  <si>
    <t>Norbert Hubert</t>
  </si>
  <si>
    <t>Johann</t>
  </si>
  <si>
    <t>Huber</t>
  </si>
  <si>
    <t>Johann Huber</t>
  </si>
  <si>
    <t>Sven</t>
  </si>
  <si>
    <t>Hoyer</t>
  </si>
  <si>
    <t>Sven Hoyer</t>
  </si>
  <si>
    <t>Hornung</t>
  </si>
  <si>
    <t>Thomas Hornung</t>
  </si>
  <si>
    <t>Horbas</t>
  </si>
  <si>
    <t>Daniel Horbas</t>
  </si>
  <si>
    <t>Holten</t>
  </si>
  <si>
    <t>Peter Holten</t>
  </si>
  <si>
    <t>Raphael</t>
  </si>
  <si>
    <t>Hofmann</t>
  </si>
  <si>
    <t>Raphael Hofmann</t>
  </si>
  <si>
    <t>Hildegard</t>
  </si>
  <si>
    <t>Hildegard Hofmann</t>
  </si>
  <si>
    <t>Günther</t>
  </si>
  <si>
    <t>Günther Hofmann</t>
  </si>
  <si>
    <t>Hoffmann</t>
  </si>
  <si>
    <t>Tobias Hoffmann</t>
  </si>
  <si>
    <t>Nicolas Hoffmann</t>
  </si>
  <si>
    <t>Michael Hoffmann</t>
  </si>
  <si>
    <t>Jürgen Hoffmann</t>
  </si>
  <si>
    <t>Alexander Hoffmann</t>
  </si>
  <si>
    <t>Anja</t>
  </si>
  <si>
    <t>Hofer</t>
  </si>
  <si>
    <t>Anja Hofer</t>
  </si>
  <si>
    <t>Hofbauer</t>
  </si>
  <si>
    <t>Timo Hofbauer</t>
  </si>
  <si>
    <t>Karlheinz</t>
  </si>
  <si>
    <t>Karlheinz Hofbauer</t>
  </si>
  <si>
    <t>Hölzl</t>
  </si>
  <si>
    <t>Stefanie Hölzl</t>
  </si>
  <si>
    <t>Andreas Hölzl</t>
  </si>
  <si>
    <t>Höllger</t>
  </si>
  <si>
    <t>Dennis Höllger</t>
  </si>
  <si>
    <t>Hödl</t>
  </si>
  <si>
    <t>Renate Hödl</t>
  </si>
  <si>
    <t>Bruno Hödl</t>
  </si>
  <si>
    <t>Hockenjos</t>
  </si>
  <si>
    <t>Jürgen Hockenjos</t>
  </si>
  <si>
    <t>Antje</t>
  </si>
  <si>
    <t>Antje Hockenjos</t>
  </si>
  <si>
    <t>Oliver</t>
  </si>
  <si>
    <t>Hirschl</t>
  </si>
  <si>
    <t>Oliver Hirschl</t>
  </si>
  <si>
    <t>Hinterwimmer</t>
  </si>
  <si>
    <t>Sebastian Hinterwimmer</t>
  </si>
  <si>
    <t>Sabine Hinterwimmer</t>
  </si>
  <si>
    <t>Georg Hinterwimmer</t>
  </si>
  <si>
    <t>Hinnerkopf</t>
  </si>
  <si>
    <t>Albert Hinnerkopf</t>
  </si>
  <si>
    <t>Hiebl</t>
  </si>
  <si>
    <t>Stefan Hiebl</t>
  </si>
  <si>
    <t>Sylvana</t>
  </si>
  <si>
    <t>Heymann</t>
  </si>
  <si>
    <t>Sylvana Heymann</t>
  </si>
  <si>
    <t>Anika</t>
  </si>
  <si>
    <t>Kristof</t>
  </si>
  <si>
    <t>Anika Kristof</t>
  </si>
  <si>
    <t>Annelie</t>
  </si>
  <si>
    <t>Krille</t>
  </si>
  <si>
    <t>Annelie Krille</t>
  </si>
  <si>
    <t>Kreutzer</t>
  </si>
  <si>
    <t>Wolfgang Kreutzer</t>
  </si>
  <si>
    <t>Kretschmer</t>
  </si>
  <si>
    <t>Wolfgang Kretschmer</t>
  </si>
  <si>
    <t>Kresse</t>
  </si>
  <si>
    <t>Günther Kresse</t>
  </si>
  <si>
    <t>Kreß</t>
  </si>
  <si>
    <t>Michael Kreß</t>
  </si>
  <si>
    <t>Olaf</t>
  </si>
  <si>
    <t>Krebs</t>
  </si>
  <si>
    <t>Olaf Krebs</t>
  </si>
  <si>
    <t>Kraut</t>
  </si>
  <si>
    <t>Ludwig Kraut</t>
  </si>
  <si>
    <t>Kraus</t>
  </si>
  <si>
    <t>Werner Kraus</t>
  </si>
  <si>
    <t>Laura</t>
  </si>
  <si>
    <t>Laura Kraus</t>
  </si>
  <si>
    <t>Leonie</t>
  </si>
  <si>
    <t>Kranepuhl</t>
  </si>
  <si>
    <t>Leonie Kranepuhl</t>
  </si>
  <si>
    <t>BC Strike Society</t>
  </si>
  <si>
    <t>Kramer</t>
  </si>
  <si>
    <t>Tobias Kramer</t>
  </si>
  <si>
    <t>Sylvia</t>
  </si>
  <si>
    <t>Kral</t>
  </si>
  <si>
    <t>Sylvia Kral</t>
  </si>
  <si>
    <t>Kilian</t>
  </si>
  <si>
    <t>Kilian Kral</t>
  </si>
  <si>
    <t>Ewald</t>
  </si>
  <si>
    <t>Ewald Kral</t>
  </si>
  <si>
    <t>Kraft</t>
  </si>
  <si>
    <t>Andreas Kraft</t>
  </si>
  <si>
    <t>Krämer</t>
  </si>
  <si>
    <t>Michael Krämer</t>
  </si>
  <si>
    <t>Gisela</t>
  </si>
  <si>
    <t>Gisela Krämer</t>
  </si>
  <si>
    <t>Kowalenko</t>
  </si>
  <si>
    <t>Alexander Kowalenko</t>
  </si>
  <si>
    <t>Robin</t>
  </si>
  <si>
    <t>Koutny</t>
  </si>
  <si>
    <t>Robin Koutny</t>
  </si>
  <si>
    <t>Kotzerke</t>
  </si>
  <si>
    <t>Marcel Kotzerke</t>
  </si>
  <si>
    <t>Kostic</t>
  </si>
  <si>
    <t>Sascha Kostic</t>
  </si>
  <si>
    <t>Philipp Wolfgang</t>
  </si>
  <si>
    <t>Kortenacker</t>
  </si>
  <si>
    <t>Philipp Wolfgang Kortenacker</t>
  </si>
  <si>
    <t>Hans-Jürgen Kortenacker</t>
  </si>
  <si>
    <t>Koppenleitner</t>
  </si>
  <si>
    <t>Martin Koppenleitner</t>
  </si>
  <si>
    <t>Kopp</t>
  </si>
  <si>
    <t>Christian Kopp</t>
  </si>
  <si>
    <t>Konieczny</t>
  </si>
  <si>
    <t>Bodo Konieczny</t>
  </si>
  <si>
    <t>Koller</t>
  </si>
  <si>
    <t>Alexander Koller</t>
  </si>
  <si>
    <t>Detlef</t>
  </si>
  <si>
    <t>Kohler</t>
  </si>
  <si>
    <t>Detlef Kohler</t>
  </si>
  <si>
    <t>Oswald</t>
  </si>
  <si>
    <t>Kohl</t>
  </si>
  <si>
    <t>Oswald Kohl</t>
  </si>
  <si>
    <t>Marcel Kohl</t>
  </si>
  <si>
    <t>Sahin</t>
  </si>
  <si>
    <t>Köse</t>
  </si>
  <si>
    <t>Sahin Köse</t>
  </si>
  <si>
    <t>Körner</t>
  </si>
  <si>
    <t>Thomas Körner</t>
  </si>
  <si>
    <t>Paul</t>
  </si>
  <si>
    <t>Körber</t>
  </si>
  <si>
    <t>Paul Körber</t>
  </si>
  <si>
    <t>Köpf</t>
  </si>
  <si>
    <t>Walter Köpf</t>
  </si>
  <si>
    <t>Gabi</t>
  </si>
  <si>
    <t>König</t>
  </si>
  <si>
    <t>Gabi König</t>
  </si>
  <si>
    <t>Köhn</t>
  </si>
  <si>
    <t>Michael Köhn</t>
  </si>
  <si>
    <t>Luca</t>
  </si>
  <si>
    <t>Köhler</t>
  </si>
  <si>
    <t>Luca Köhler</t>
  </si>
  <si>
    <t>Koch</t>
  </si>
  <si>
    <t>Holger Koch</t>
  </si>
  <si>
    <t>Erwin</t>
  </si>
  <si>
    <t>Knorz</t>
  </si>
  <si>
    <t>Erwin Knorz</t>
  </si>
  <si>
    <t>Dana</t>
  </si>
  <si>
    <t>Knöferle</t>
  </si>
  <si>
    <t>Dana Knöferle</t>
  </si>
  <si>
    <t>Knöbl</t>
  </si>
  <si>
    <t>Martin Knöbl</t>
  </si>
  <si>
    <t>André</t>
  </si>
  <si>
    <t>Knoch</t>
  </si>
  <si>
    <t>André Knoch</t>
  </si>
  <si>
    <t>Knauer</t>
  </si>
  <si>
    <t>Pascal Knauer</t>
  </si>
  <si>
    <t>Fabian</t>
  </si>
  <si>
    <t>Kloos</t>
  </si>
  <si>
    <t>Fabian Kloos</t>
  </si>
  <si>
    <t>Melanie</t>
  </si>
  <si>
    <t>Klinke</t>
  </si>
  <si>
    <t>Melanie Klinke</t>
  </si>
  <si>
    <t>Klingenmaier</t>
  </si>
  <si>
    <t>Manfred Klingenmaier</t>
  </si>
  <si>
    <t>Julius</t>
  </si>
  <si>
    <t>Klettenheimer</t>
  </si>
  <si>
    <t>Julius Klettenheimer</t>
  </si>
  <si>
    <t>Kleim</t>
  </si>
  <si>
    <t>Thomas Kleim</t>
  </si>
  <si>
    <t>Helga</t>
  </si>
  <si>
    <t>Helga Kleim</t>
  </si>
  <si>
    <t>Klapper</t>
  </si>
  <si>
    <t>Michael Klapper</t>
  </si>
  <si>
    <t>Klam</t>
  </si>
  <si>
    <t>Nico Klam</t>
  </si>
  <si>
    <t>Saskia</t>
  </si>
  <si>
    <t>Kirschke</t>
  </si>
  <si>
    <t>Saskia Kirschke</t>
  </si>
  <si>
    <t>Sandra Kirschke</t>
  </si>
  <si>
    <t>Dirk Kirschke</t>
  </si>
  <si>
    <t>Kirschenbauer</t>
  </si>
  <si>
    <t>Frank Kirschenbauer</t>
  </si>
  <si>
    <t>Reinhard Marko</t>
  </si>
  <si>
    <t>Kins</t>
  </si>
  <si>
    <t>Reinhard Marko Kins</t>
  </si>
  <si>
    <t>Kornelia</t>
  </si>
  <si>
    <t>Kiening</t>
  </si>
  <si>
    <t>Kornelia Kiening</t>
  </si>
  <si>
    <t>Johann Kiening</t>
  </si>
  <si>
    <t>Fabien</t>
  </si>
  <si>
    <t>Kiefer</t>
  </si>
  <si>
    <t>Fabien Kiefer</t>
  </si>
  <si>
    <t>Elvira</t>
  </si>
  <si>
    <t>Kicker-Mihatsch</t>
  </si>
  <si>
    <t>Elvira Kicker-Mihatsch</t>
  </si>
  <si>
    <t>Aurimas</t>
  </si>
  <si>
    <t>Keraitis</t>
  </si>
  <si>
    <t>Aurimas Keraitis</t>
  </si>
  <si>
    <t>Keller</t>
  </si>
  <si>
    <t>Paul Keller</t>
  </si>
  <si>
    <t>David</t>
  </si>
  <si>
    <t>David Keller</t>
  </si>
  <si>
    <t>Anja Keller</t>
  </si>
  <si>
    <t>Keck</t>
  </si>
  <si>
    <t>Oliver Keck</t>
  </si>
  <si>
    <t>Adin</t>
  </si>
  <si>
    <t>Kecic</t>
  </si>
  <si>
    <t>Adin Kecic</t>
  </si>
  <si>
    <t>Kaut</t>
  </si>
  <si>
    <t>René Kaut</t>
  </si>
  <si>
    <t>Kauscher</t>
  </si>
  <si>
    <t>Bernhard Kauscher</t>
  </si>
  <si>
    <t>Katholing</t>
  </si>
  <si>
    <t>Jürgen Katholing</t>
  </si>
  <si>
    <t>Kasenbacher</t>
  </si>
  <si>
    <t>Lucas Kasenbacher</t>
  </si>
  <si>
    <t>Klaus Ludwig</t>
  </si>
  <si>
    <t>Ludstock</t>
  </si>
  <si>
    <t>Alexander Ludstock</t>
  </si>
  <si>
    <t>Mirko</t>
  </si>
  <si>
    <t>Lucic</t>
  </si>
  <si>
    <t>Mirko Lucic</t>
  </si>
  <si>
    <t>Brandon Alexander</t>
  </si>
  <si>
    <t>Brandon Alexander Lucas</t>
  </si>
  <si>
    <t>Lorenz</t>
  </si>
  <si>
    <t>Markus Lorenz</t>
  </si>
  <si>
    <t>Bernhard Lorenz</t>
  </si>
  <si>
    <t>Lohse</t>
  </si>
  <si>
    <t>Sebastian Lohse</t>
  </si>
  <si>
    <t>Marlon</t>
  </si>
  <si>
    <t>Loheyde</t>
  </si>
  <si>
    <t>Marlon Loheyde</t>
  </si>
  <si>
    <t>Hans</t>
  </si>
  <si>
    <t>Lösch</t>
  </si>
  <si>
    <t>Hans Lösch</t>
  </si>
  <si>
    <t>Kim</t>
  </si>
  <si>
    <t>Loch</t>
  </si>
  <si>
    <t>Kim Loch</t>
  </si>
  <si>
    <t>Lena</t>
  </si>
  <si>
    <t>Lintner</t>
  </si>
  <si>
    <t>Lena Lintner</t>
  </si>
  <si>
    <t>Linke</t>
  </si>
  <si>
    <t>Stefanie Linke</t>
  </si>
  <si>
    <t>Theresa</t>
  </si>
  <si>
    <t>Lindner</t>
  </si>
  <si>
    <t>Theresa Lindner</t>
  </si>
  <si>
    <t>Eva</t>
  </si>
  <si>
    <t>Eva Lindner</t>
  </si>
  <si>
    <t>Thilo</t>
  </si>
  <si>
    <t>Limpius</t>
  </si>
  <si>
    <t>Thilo Limpius</t>
  </si>
  <si>
    <t>Lilge</t>
  </si>
  <si>
    <t>Klaus Lilge</t>
  </si>
  <si>
    <t>Liepsch</t>
  </si>
  <si>
    <t>Franziska Liepsch</t>
  </si>
  <si>
    <t>Lieb</t>
  </si>
  <si>
    <t>Anja Lieb</t>
  </si>
  <si>
    <t>Alfred</t>
  </si>
  <si>
    <t>Alfred Lieb</t>
  </si>
  <si>
    <t>Roman</t>
  </si>
  <si>
    <t>Leyerer</t>
  </si>
  <si>
    <t>Roman Leyerer</t>
  </si>
  <si>
    <t>Julia Leyerer</t>
  </si>
  <si>
    <t>Leuschner</t>
  </si>
  <si>
    <t>Nico Leuschner</t>
  </si>
  <si>
    <t>Leuchtenberger</t>
  </si>
  <si>
    <t>Dominik Leuchtenberger</t>
  </si>
  <si>
    <t>Lerner</t>
  </si>
  <si>
    <t>Roland Lerner</t>
  </si>
  <si>
    <t>Maximilian Lerner</t>
  </si>
  <si>
    <t>Sophie</t>
  </si>
  <si>
    <t>Lengger</t>
  </si>
  <si>
    <t>Sophie Lengger</t>
  </si>
  <si>
    <t>Leinemann</t>
  </si>
  <si>
    <t>Sascha Leinemann</t>
  </si>
  <si>
    <t>Noah</t>
  </si>
  <si>
    <t>Noah Leinemann</t>
  </si>
  <si>
    <t>Liam</t>
  </si>
  <si>
    <t>Liam Leinemann</t>
  </si>
  <si>
    <t>Jugend C m</t>
  </si>
  <si>
    <t>Bianca</t>
  </si>
  <si>
    <t>Bianca Leinemann</t>
  </si>
  <si>
    <t>Lehmeier</t>
  </si>
  <si>
    <t>Stefan Lehmeier</t>
  </si>
  <si>
    <t>Lehmann</t>
  </si>
  <si>
    <t>Torsten Lehmann</t>
  </si>
  <si>
    <t>Lukas</t>
  </si>
  <si>
    <t>Lukas Lehmann</t>
  </si>
  <si>
    <t>Hans Jürgen</t>
  </si>
  <si>
    <t>Hans Jürgen Lehmann</t>
  </si>
  <si>
    <t>Lederle</t>
  </si>
  <si>
    <t>Walter Lederle</t>
  </si>
  <si>
    <t>Felix</t>
  </si>
  <si>
    <t>Lederer</t>
  </si>
  <si>
    <t>Felix Lederer</t>
  </si>
  <si>
    <t>Lechner</t>
  </si>
  <si>
    <t>Manuela Lechner</t>
  </si>
  <si>
    <t>Christian Lechner</t>
  </si>
  <si>
    <t>Achim</t>
  </si>
  <si>
    <t>Achim Lechner</t>
  </si>
  <si>
    <t>Lauer</t>
  </si>
  <si>
    <t>Luca Lauer</t>
  </si>
  <si>
    <t>Lauchner</t>
  </si>
  <si>
    <t>Wolfgang Lauchner</t>
  </si>
  <si>
    <t>Leopold Lauchner</t>
  </si>
  <si>
    <t>Julian Lauchner</t>
  </si>
  <si>
    <t>Nina</t>
  </si>
  <si>
    <t>Laubach</t>
  </si>
  <si>
    <t>Nina Laubach</t>
  </si>
  <si>
    <t>Sabrina</t>
  </si>
  <si>
    <t>Laub</t>
  </si>
  <si>
    <t>Sabrina Laub</t>
  </si>
  <si>
    <t>Harald Laub</t>
  </si>
  <si>
    <t>Angela Laub</t>
  </si>
  <si>
    <t>Alex</t>
  </si>
  <si>
    <t>Latorre</t>
  </si>
  <si>
    <t>Alex Latorre</t>
  </si>
  <si>
    <t>Langner</t>
  </si>
  <si>
    <t>Karin Langner</t>
  </si>
  <si>
    <t>Lachmann</t>
  </si>
  <si>
    <t>Thomas Lachmann</t>
  </si>
  <si>
    <t>Sergio</t>
  </si>
  <si>
    <t>Tavares</t>
  </si>
  <si>
    <t>Sergio Tavares</t>
  </si>
  <si>
    <t>Labs</t>
  </si>
  <si>
    <t>Leon Labs</t>
  </si>
  <si>
    <t>Felicitas</t>
  </si>
  <si>
    <t>Kunze</t>
  </si>
  <si>
    <t>Felicitas Kunze</t>
  </si>
  <si>
    <t>Benedikt Kunze</t>
  </si>
  <si>
    <t>Johannes</t>
  </si>
  <si>
    <t>Kunanz</t>
  </si>
  <si>
    <t>Johannes Kunanz</t>
  </si>
  <si>
    <t>Katharina</t>
  </si>
  <si>
    <t>Kulzer</t>
  </si>
  <si>
    <t>Katharina Kulzer</t>
  </si>
  <si>
    <t>Laurin</t>
  </si>
  <si>
    <t>Kugler</t>
  </si>
  <si>
    <t>Laurin Kugler</t>
  </si>
  <si>
    <t>Kühn</t>
  </si>
  <si>
    <t>Cornelia Kühn</t>
  </si>
  <si>
    <t>Kühlmann</t>
  </si>
  <si>
    <t>Andreas Kühlmann</t>
  </si>
  <si>
    <t>Küchler</t>
  </si>
  <si>
    <t>Martin Küchler</t>
  </si>
  <si>
    <t>Kuchling</t>
  </si>
  <si>
    <t>Matthias Kuchling</t>
  </si>
  <si>
    <t>Arne-Tobias</t>
  </si>
  <si>
    <t>Krüger</t>
  </si>
  <si>
    <t>Arne-Tobias Krüger</t>
  </si>
  <si>
    <t>Krückel</t>
  </si>
  <si>
    <t>Daniel Krückel</t>
  </si>
  <si>
    <t>Kroll</t>
  </si>
  <si>
    <t>Andreas Kroll</t>
  </si>
  <si>
    <t>Krois</t>
  </si>
  <si>
    <t>Franz Krois</t>
  </si>
  <si>
    <t>Kroh</t>
  </si>
  <si>
    <t>Tobias Kroh</t>
  </si>
  <si>
    <t>Robert Kristof</t>
  </si>
  <si>
    <t>Thi Kim Phuong</t>
  </si>
  <si>
    <t>Mundhenk</t>
  </si>
  <si>
    <t>Thi Kim Phuong Mundhenk</t>
  </si>
  <si>
    <t>Rainer Mundhenk</t>
  </si>
  <si>
    <t>Peggy</t>
  </si>
  <si>
    <t>Müller-Vukovic</t>
  </si>
  <si>
    <t>Peggy Müller-Vukovic</t>
  </si>
  <si>
    <t>Müller</t>
  </si>
  <si>
    <t>Stefan Müller</t>
  </si>
  <si>
    <t>Sonja</t>
  </si>
  <si>
    <t>Sonja Müller</t>
  </si>
  <si>
    <t>Norbert Müller</t>
  </si>
  <si>
    <t>Marcel Müller</t>
  </si>
  <si>
    <t>Christian Müller</t>
  </si>
  <si>
    <t>Bernhard Müller</t>
  </si>
  <si>
    <t>Ann-Katrin</t>
  </si>
  <si>
    <t>Ann-Katrin Müller</t>
  </si>
  <si>
    <t>Angelika Müller</t>
  </si>
  <si>
    <t>Andreas Müller</t>
  </si>
  <si>
    <t>Mühlbauer</t>
  </si>
  <si>
    <t>Tobias Mühlbauer</t>
  </si>
  <si>
    <t>Mücke</t>
  </si>
  <si>
    <t>Jochen Mücke</t>
  </si>
  <si>
    <t>Mrosek</t>
  </si>
  <si>
    <t>Manuel Mrosek</t>
  </si>
  <si>
    <t>Laura Maria</t>
  </si>
  <si>
    <t>Laura Maria Mrosek</t>
  </si>
  <si>
    <t>Eva-Maria</t>
  </si>
  <si>
    <t>Eva-Maria Mrosek</t>
  </si>
  <si>
    <t>Christina</t>
  </si>
  <si>
    <t>Mosig</t>
  </si>
  <si>
    <t>Christina Mosig</t>
  </si>
  <si>
    <t>Moser</t>
  </si>
  <si>
    <t>Thomas Moser</t>
  </si>
  <si>
    <t>Morgen</t>
  </si>
  <si>
    <t>Markus Morgen</t>
  </si>
  <si>
    <t>Montag</t>
  </si>
  <si>
    <t>Wolfgang Montag</t>
  </si>
  <si>
    <t>Möller</t>
  </si>
  <si>
    <t>Rene Möller</t>
  </si>
  <si>
    <t>Mittelmaier</t>
  </si>
  <si>
    <t>Andreas Mittelmaier</t>
  </si>
  <si>
    <t>Mitev</t>
  </si>
  <si>
    <t>Georg Mitev</t>
  </si>
  <si>
    <t>Mitchell</t>
  </si>
  <si>
    <t>Alexander Mitchell</t>
  </si>
  <si>
    <t>Millonig</t>
  </si>
  <si>
    <t>Marcus Millonig</t>
  </si>
  <si>
    <t>Mielke</t>
  </si>
  <si>
    <t>Ralf Mielke</t>
  </si>
  <si>
    <t>Andre</t>
  </si>
  <si>
    <t>Michow</t>
  </si>
  <si>
    <t>Andre Michow</t>
  </si>
  <si>
    <t>Meys</t>
  </si>
  <si>
    <t>Erwin Meys</t>
  </si>
  <si>
    <t>Meyer</t>
  </si>
  <si>
    <t>Frank Meyer</t>
  </si>
  <si>
    <t>Andreas Meyer</t>
  </si>
  <si>
    <t>Metzger</t>
  </si>
  <si>
    <t>Michael Metzger</t>
  </si>
  <si>
    <t>Artyom</t>
  </si>
  <si>
    <t>Metlin</t>
  </si>
  <si>
    <t>Artyom Metlin</t>
  </si>
  <si>
    <t>Paul Brent</t>
  </si>
  <si>
    <t>Metcalf</t>
  </si>
  <si>
    <t>Paul Brent Metcalf</t>
  </si>
  <si>
    <t>John</t>
  </si>
  <si>
    <t>Mesch</t>
  </si>
  <si>
    <t>John Mesch</t>
  </si>
  <si>
    <t>Gina Maria</t>
  </si>
  <si>
    <t>Merkel</t>
  </si>
  <si>
    <t>Gina Maria Merkel</t>
  </si>
  <si>
    <t>Marina</t>
  </si>
  <si>
    <t>Mengel</t>
  </si>
  <si>
    <t>Marina Mengel</t>
  </si>
  <si>
    <t>Sabaithip</t>
  </si>
  <si>
    <t>Mekjinda</t>
  </si>
  <si>
    <t>Sabaithip Mekjinda</t>
  </si>
  <si>
    <t>Meissl</t>
  </si>
  <si>
    <t>Robert Meissl</t>
  </si>
  <si>
    <t>Tim</t>
  </si>
  <si>
    <t>Meier</t>
  </si>
  <si>
    <t>Tim Meier</t>
  </si>
  <si>
    <t>Peter Meier</t>
  </si>
  <si>
    <t>Juri</t>
  </si>
  <si>
    <t>Juri Meier</t>
  </si>
  <si>
    <t>Mc Fadden</t>
  </si>
  <si>
    <t>Gerhard Mc Fadden</t>
  </si>
  <si>
    <t>Brigitte Mc Fadden</t>
  </si>
  <si>
    <t>Maurer</t>
  </si>
  <si>
    <t>Wolfgang Maurer</t>
  </si>
  <si>
    <t>Carl</t>
  </si>
  <si>
    <t>Carl Maurer</t>
  </si>
  <si>
    <t>Uwe</t>
  </si>
  <si>
    <t>Mattutat</t>
  </si>
  <si>
    <t>Uwe Mattutat</t>
  </si>
  <si>
    <t>Marc</t>
  </si>
  <si>
    <t>Mattes</t>
  </si>
  <si>
    <t>Marc Mattes</t>
  </si>
  <si>
    <t>Mathe</t>
  </si>
  <si>
    <t>Thomas Mathe</t>
  </si>
  <si>
    <t>Maximilian Mathe</t>
  </si>
  <si>
    <t>Matejat</t>
  </si>
  <si>
    <t>Bernd Matejat</t>
  </si>
  <si>
    <t>Daniela</t>
  </si>
  <si>
    <t>Masurreck</t>
  </si>
  <si>
    <t>Daniela Masurreck</t>
  </si>
  <si>
    <t>Roy</t>
  </si>
  <si>
    <t>Marziniak</t>
  </si>
  <si>
    <t>Roy Marziniak</t>
  </si>
  <si>
    <t>Martisko</t>
  </si>
  <si>
    <t>Petra Martisko</t>
  </si>
  <si>
    <t>Lubomir</t>
  </si>
  <si>
    <t>Lubomir Martisko</t>
  </si>
  <si>
    <t>Dennis Martin</t>
  </si>
  <si>
    <t>Markert</t>
  </si>
  <si>
    <t>Peter Markert</t>
  </si>
  <si>
    <t>Marker</t>
  </si>
  <si>
    <t>Lena Marker</t>
  </si>
  <si>
    <t>Anna Marker</t>
  </si>
  <si>
    <t>Mohan Prasath</t>
  </si>
  <si>
    <t>Marimuthu</t>
  </si>
  <si>
    <t>Mohan Prasath Marimuthu</t>
  </si>
  <si>
    <t>Alexandra</t>
  </si>
  <si>
    <t>Mareiser</t>
  </si>
  <si>
    <t>Alexandra Mareiser</t>
  </si>
  <si>
    <t>Mang</t>
  </si>
  <si>
    <t>Katharina Mang</t>
  </si>
  <si>
    <t>Einzelmitglied Stein</t>
  </si>
  <si>
    <t>Mandl</t>
  </si>
  <si>
    <t>Yvonne Mandl</t>
  </si>
  <si>
    <t>Mally</t>
  </si>
  <si>
    <t>Thomas Mally</t>
  </si>
  <si>
    <t>Maier</t>
  </si>
  <si>
    <t>Steffen Maier</t>
  </si>
  <si>
    <t>Max Maier</t>
  </si>
  <si>
    <t>Klaus Maier</t>
  </si>
  <si>
    <t>Mahn</t>
  </si>
  <si>
    <t>Lucas Mahn</t>
  </si>
  <si>
    <t>Odin</t>
  </si>
  <si>
    <t>Mäurer</t>
  </si>
  <si>
    <t>Odin Mäurer</t>
  </si>
  <si>
    <t>Mächler</t>
  </si>
  <si>
    <t>Petra Mächler</t>
  </si>
  <si>
    <t>Vinh Duc</t>
  </si>
  <si>
    <t>Luu</t>
  </si>
  <si>
    <t>Vinh Duc Luu</t>
  </si>
  <si>
    <t>Carlo</t>
  </si>
  <si>
    <t>Luft</t>
  </si>
  <si>
    <t>Carlo Luft</t>
  </si>
  <si>
    <t>Volker</t>
  </si>
  <si>
    <t>Lüthje</t>
  </si>
  <si>
    <t>Volker Lüthje</t>
  </si>
  <si>
    <t>Dennis Lüthje</t>
  </si>
  <si>
    <t>Lüdicke</t>
  </si>
  <si>
    <t>Uwe Lüdicke</t>
  </si>
  <si>
    <t>Ines</t>
  </si>
  <si>
    <t>Lüdecke-Heuschkel</t>
  </si>
  <si>
    <t>Ines Lüdecke-Heuschkel</t>
  </si>
  <si>
    <t>Proksch</t>
  </si>
  <si>
    <t>Ernst Proksch</t>
  </si>
  <si>
    <t>Probst</t>
  </si>
  <si>
    <t>Marco Probst</t>
  </si>
  <si>
    <t>Prieß</t>
  </si>
  <si>
    <t>Marc Prieß</t>
  </si>
  <si>
    <t>Lee</t>
  </si>
  <si>
    <t>Preston</t>
  </si>
  <si>
    <t>Lee Preston</t>
  </si>
  <si>
    <t>Prem</t>
  </si>
  <si>
    <t>Werner Prem</t>
  </si>
  <si>
    <t>Portisch</t>
  </si>
  <si>
    <t>Alexander Portisch</t>
  </si>
  <si>
    <t>Popp</t>
  </si>
  <si>
    <t>Stefanie Popp</t>
  </si>
  <si>
    <t>Sascha Popp</t>
  </si>
  <si>
    <t>Einzelmitglied Lauf</t>
  </si>
  <si>
    <t>Pohl</t>
  </si>
  <si>
    <t>Anna Pohl</t>
  </si>
  <si>
    <t>Plaschka</t>
  </si>
  <si>
    <t>Nico Plaschka</t>
  </si>
  <si>
    <t>Pittner</t>
  </si>
  <si>
    <t>Gregor Pittner</t>
  </si>
  <si>
    <t>Jordan</t>
  </si>
  <si>
    <t>Pischimarov</t>
  </si>
  <si>
    <t>Jordan Pischimarov</t>
  </si>
  <si>
    <t>Pirzer</t>
  </si>
  <si>
    <t>Robert Pirzer</t>
  </si>
  <si>
    <t>Franco Daniele</t>
  </si>
  <si>
    <t>Pirrotti</t>
  </si>
  <si>
    <t>Franco Daniele Pirrotti</t>
  </si>
  <si>
    <t>Piros</t>
  </si>
  <si>
    <t>Laura Piros</t>
  </si>
  <si>
    <t>Pipo</t>
  </si>
  <si>
    <t>Klaus Pipo</t>
  </si>
  <si>
    <t>Pichl</t>
  </si>
  <si>
    <t>Jürgen Pichl</t>
  </si>
  <si>
    <t>Karl-Heinz</t>
  </si>
  <si>
    <t>Pflüger</t>
  </si>
  <si>
    <t>Karl-Heinz Pflüger</t>
  </si>
  <si>
    <t>Pfeiffer</t>
  </si>
  <si>
    <t>Werner Pfeiffer</t>
  </si>
  <si>
    <t>Pfaff</t>
  </si>
  <si>
    <t>Roland Pfaff</t>
  </si>
  <si>
    <t>Ralf Pfaff</t>
  </si>
  <si>
    <t>Marianne</t>
  </si>
  <si>
    <t>Marianne Pfaff</t>
  </si>
  <si>
    <t>Lukas Pfaff</t>
  </si>
  <si>
    <t>Andreas Pfaff</t>
  </si>
  <si>
    <t>Pescher</t>
  </si>
  <si>
    <t>Oliver Pescher</t>
  </si>
  <si>
    <t>Clément</t>
  </si>
  <si>
    <t>Perrin</t>
  </si>
  <si>
    <t>Clément Perrin</t>
  </si>
  <si>
    <t>Pelicione</t>
  </si>
  <si>
    <t>Benjamin Pelicione</t>
  </si>
  <si>
    <t>Jonathan</t>
  </si>
  <si>
    <t>Payne</t>
  </si>
  <si>
    <t>Jonathan Payne</t>
  </si>
  <si>
    <t>Pauler</t>
  </si>
  <si>
    <t>Benjamin Pauler</t>
  </si>
  <si>
    <t>Paternoster</t>
  </si>
  <si>
    <t>Maximilian Paternoster</t>
  </si>
  <si>
    <t>Panovsky</t>
  </si>
  <si>
    <t>Hermann Panovsky</t>
  </si>
  <si>
    <t>Abin</t>
  </si>
  <si>
    <t>Pal</t>
  </si>
  <si>
    <t>Abin Pal</t>
  </si>
  <si>
    <t>Paal</t>
  </si>
  <si>
    <t>Walter Paal</t>
  </si>
  <si>
    <t>Fredric</t>
  </si>
  <si>
    <t>Owens</t>
  </si>
  <si>
    <t>Fredric Owens</t>
  </si>
  <si>
    <t>Steven</t>
  </si>
  <si>
    <t>Osman</t>
  </si>
  <si>
    <t>Steven Osman</t>
  </si>
  <si>
    <t>Olde Damink</t>
  </si>
  <si>
    <t>Tim Olde Damink</t>
  </si>
  <si>
    <t>Malte</t>
  </si>
  <si>
    <t>Oesterwinter</t>
  </si>
  <si>
    <t>Malte Oesterwinter</t>
  </si>
  <si>
    <t>Odorfer</t>
  </si>
  <si>
    <t>René Odorfer</t>
  </si>
  <si>
    <t>Gudrun</t>
  </si>
  <si>
    <t>Obeth</t>
  </si>
  <si>
    <t>Gudrun Obeth</t>
  </si>
  <si>
    <t>Obermeier</t>
  </si>
  <si>
    <t>Kurt Obermeier</t>
  </si>
  <si>
    <t>Oberhauser</t>
  </si>
  <si>
    <t>Alfred Oberhauser</t>
  </si>
  <si>
    <t>Nowak</t>
  </si>
  <si>
    <t>Robert Nowak</t>
  </si>
  <si>
    <t>Alexander Nowak</t>
  </si>
  <si>
    <t>Nolan</t>
  </si>
  <si>
    <t>Jonathan Nolan</t>
  </si>
  <si>
    <t>Nöth</t>
  </si>
  <si>
    <t>Thomas Nöth</t>
  </si>
  <si>
    <t>Nöldner</t>
  </si>
  <si>
    <t>Patrick Nöldner</t>
  </si>
  <si>
    <t>Claudia Nöldner</t>
  </si>
  <si>
    <t>Noack</t>
  </si>
  <si>
    <t>Peter Noack</t>
  </si>
  <si>
    <t>Nikoleit</t>
  </si>
  <si>
    <t>Thomas Nikoleit</t>
  </si>
  <si>
    <t>Nietsch</t>
  </si>
  <si>
    <t>Johann Nietsch</t>
  </si>
  <si>
    <t>Nierlich</t>
  </si>
  <si>
    <t>Peter Nierlich</t>
  </si>
  <si>
    <t>Heidrun</t>
  </si>
  <si>
    <t>Niedner</t>
  </si>
  <si>
    <t>Heidrun Niedner</t>
  </si>
  <si>
    <t>Niedermeier</t>
  </si>
  <si>
    <t>Michael Niedermeier</t>
  </si>
  <si>
    <t>Thu</t>
  </si>
  <si>
    <t>Nguyen</t>
  </si>
  <si>
    <t>Thu Nguyen</t>
  </si>
  <si>
    <t>Phi-Long</t>
  </si>
  <si>
    <t>Phi-Long Nguyen</t>
  </si>
  <si>
    <t>Neumann</t>
  </si>
  <si>
    <t>Alex Neumann</t>
  </si>
  <si>
    <t>Netter</t>
  </si>
  <si>
    <t>Lina Netter</t>
  </si>
  <si>
    <t>Carlos</t>
  </si>
  <si>
    <t>Carlos Netter</t>
  </si>
  <si>
    <t>Netscheporenko</t>
  </si>
  <si>
    <t>Marco Netscheporenko</t>
  </si>
  <si>
    <t>Neinhardt</t>
  </si>
  <si>
    <t>Klaus Neinhardt</t>
  </si>
  <si>
    <t>Neidhardt</t>
  </si>
  <si>
    <t>Andreas Neidhardt</t>
  </si>
  <si>
    <t>Naumann</t>
  </si>
  <si>
    <t>Wolfgang Naumann</t>
  </si>
  <si>
    <t>Naujoks</t>
  </si>
  <si>
    <t>Roland Naujoks</t>
  </si>
  <si>
    <t>Valentin</t>
  </si>
  <si>
    <t>Nahodyl</t>
  </si>
  <si>
    <t>Valentin Nahodyl</t>
  </si>
  <si>
    <t>Jakob Nahodyl</t>
  </si>
  <si>
    <t>Hilmar</t>
  </si>
  <si>
    <t>Nagel</t>
  </si>
  <si>
    <t>Hilmar Nagel</t>
  </si>
  <si>
    <t>Nägele</t>
  </si>
  <si>
    <t>Werner Nägele</t>
  </si>
  <si>
    <t>Mutz</t>
  </si>
  <si>
    <t>Anton Mutz</t>
  </si>
  <si>
    <t>Musiol</t>
  </si>
  <si>
    <t>Jan Musiol</t>
  </si>
  <si>
    <t>Uwe Mundhenk</t>
  </si>
  <si>
    <t>Rupprecht</t>
  </si>
  <si>
    <t>Manfred Rupprecht</t>
  </si>
  <si>
    <t>Raja</t>
  </si>
  <si>
    <t>Ruppert</t>
  </si>
  <si>
    <t>Raja Ruppert</t>
  </si>
  <si>
    <t>Michael Ruppert</t>
  </si>
  <si>
    <t>Rupertinger</t>
  </si>
  <si>
    <t>Manfred Rupertinger</t>
  </si>
  <si>
    <t>Runge</t>
  </si>
  <si>
    <t>Christopher Runge</t>
  </si>
  <si>
    <t>Rumi</t>
  </si>
  <si>
    <t>Christoph Rumi</t>
  </si>
  <si>
    <t>Stephan</t>
  </si>
  <si>
    <t>Ruffershöfer</t>
  </si>
  <si>
    <t>Stephan Ruffershöfer</t>
  </si>
  <si>
    <t>Wilfried</t>
  </si>
  <si>
    <t>Rühr</t>
  </si>
  <si>
    <t>Wilfried Rühr</t>
  </si>
  <si>
    <t>Rühl</t>
  </si>
  <si>
    <t>Michael Rühl</t>
  </si>
  <si>
    <t>Rothenhöfer</t>
  </si>
  <si>
    <t>Thomas Rothenhöfer</t>
  </si>
  <si>
    <t>Maximilian Rothenhöfer</t>
  </si>
  <si>
    <t>Karl Rothenhöfer</t>
  </si>
  <si>
    <t>Christian Rothenhöfer</t>
  </si>
  <si>
    <t>Rothemund</t>
  </si>
  <si>
    <t>Louis Rothemund</t>
  </si>
  <si>
    <t>Ernest</t>
  </si>
  <si>
    <t>Roth</t>
  </si>
  <si>
    <t>Ernest Roth</t>
  </si>
  <si>
    <t>Susanne</t>
  </si>
  <si>
    <t>Roskowetz</t>
  </si>
  <si>
    <t>Susanne Roskowetz</t>
  </si>
  <si>
    <t>Dirk Roskowetz</t>
  </si>
  <si>
    <t>Rohr</t>
  </si>
  <si>
    <t>Wolfgang Rohr</t>
  </si>
  <si>
    <t>Rohland</t>
  </si>
  <si>
    <t>Torsten Rohland</t>
  </si>
  <si>
    <t>Rößler</t>
  </si>
  <si>
    <t>Maik Rößler</t>
  </si>
  <si>
    <t>Röhrle</t>
  </si>
  <si>
    <t>Richard Röhrle</t>
  </si>
  <si>
    <t>Röhlig</t>
  </si>
  <si>
    <t>Jörg Röhlig</t>
  </si>
  <si>
    <t>Sigrid</t>
  </si>
  <si>
    <t>Röde</t>
  </si>
  <si>
    <t>Sigrid Röde</t>
  </si>
  <si>
    <t>Ring</t>
  </si>
  <si>
    <t>Michael Ring</t>
  </si>
  <si>
    <t>Eberhard</t>
  </si>
  <si>
    <t>Rietz</t>
  </si>
  <si>
    <t>Eberhard Rietz</t>
  </si>
  <si>
    <t>Riethmann</t>
  </si>
  <si>
    <t>Wolfgang Riethmann</t>
  </si>
  <si>
    <t>Karlheinz Riethmann</t>
  </si>
  <si>
    <t>Rüdiger</t>
  </si>
  <si>
    <t>Riedel</t>
  </si>
  <si>
    <t>Rüdiger Riedel</t>
  </si>
  <si>
    <t>Peter Riedel</t>
  </si>
  <si>
    <t>Joshua Riedel</t>
  </si>
  <si>
    <t>Richter</t>
  </si>
  <si>
    <t>Petra Richter</t>
  </si>
  <si>
    <t>Reynolds</t>
  </si>
  <si>
    <t>William Reynolds</t>
  </si>
  <si>
    <t>Rettinger</t>
  </si>
  <si>
    <t>Fabian Rettinger</t>
  </si>
  <si>
    <t>Ress</t>
  </si>
  <si>
    <t>Alfred Ress</t>
  </si>
  <si>
    <t>Renner</t>
  </si>
  <si>
    <t>Peter Renner</t>
  </si>
  <si>
    <t>Alexander Renner</t>
  </si>
  <si>
    <t>Gertrud</t>
  </si>
  <si>
    <t>Remmel</t>
  </si>
  <si>
    <t>Gertrud Remmel</t>
  </si>
  <si>
    <t>Friedhelm</t>
  </si>
  <si>
    <t>Friedhelm Remmel</t>
  </si>
  <si>
    <t>Reißner</t>
  </si>
  <si>
    <t>Dirk Reißner</t>
  </si>
  <si>
    <t>Reinhold</t>
  </si>
  <si>
    <t>Reißmann</t>
  </si>
  <si>
    <t>Reinhold Reißmann</t>
  </si>
  <si>
    <t>Matthias Reißmann</t>
  </si>
  <si>
    <t>Marcus Reißmann</t>
  </si>
  <si>
    <t>Reisenbichler</t>
  </si>
  <si>
    <t>Patrick Reisenbichler</t>
  </si>
  <si>
    <t>Reinhardt</t>
  </si>
  <si>
    <t>Bianca Reinhardt</t>
  </si>
  <si>
    <t>Reichert</t>
  </si>
  <si>
    <t>Roland Reichert</t>
  </si>
  <si>
    <t>Ralph Reichert</t>
  </si>
  <si>
    <t>Reichenauer</t>
  </si>
  <si>
    <t>Leon Reichenauer</t>
  </si>
  <si>
    <t>Reichel</t>
  </si>
  <si>
    <t>Jürgen Reichel</t>
  </si>
  <si>
    <t>Christina Reichel</t>
  </si>
  <si>
    <t>Reichardt</t>
  </si>
  <si>
    <t>Stefan Reichardt</t>
  </si>
  <si>
    <t>Rechenberg</t>
  </si>
  <si>
    <t>Christian Rechenberg</t>
  </si>
  <si>
    <t>Rauscher</t>
  </si>
  <si>
    <t>Julia Rauscher</t>
  </si>
  <si>
    <t>Rauchenzauner</t>
  </si>
  <si>
    <t>Klaus Rauchenzauner</t>
  </si>
  <si>
    <t>Rauch</t>
  </si>
  <si>
    <t>Gabriele Rauch</t>
  </si>
  <si>
    <t>Ramic</t>
  </si>
  <si>
    <t>Simon Ramic</t>
  </si>
  <si>
    <t>Milan</t>
  </si>
  <si>
    <t>Raj</t>
  </si>
  <si>
    <t>Milan Raj</t>
  </si>
  <si>
    <t>Raeder</t>
  </si>
  <si>
    <t>Andreas Raeder</t>
  </si>
  <si>
    <t>Radtke</t>
  </si>
  <si>
    <t>Reinhard Radtke</t>
  </si>
  <si>
    <t>Radecker</t>
  </si>
  <si>
    <t>Sebastian Radecker</t>
  </si>
  <si>
    <t>Quecke</t>
  </si>
  <si>
    <t>Marcel Quecke</t>
  </si>
  <si>
    <t>Barbara</t>
  </si>
  <si>
    <t>Purschke</t>
  </si>
  <si>
    <t>Barbara Purschke</t>
  </si>
  <si>
    <t>Puritscher</t>
  </si>
  <si>
    <t>Matthias Puritscher</t>
  </si>
  <si>
    <t>Pult</t>
  </si>
  <si>
    <t>Detlef Pult</t>
  </si>
  <si>
    <t>Pukowski</t>
  </si>
  <si>
    <t>Uwe Pukowski</t>
  </si>
  <si>
    <t>Puchert</t>
  </si>
  <si>
    <t>Matthias Puchert</t>
  </si>
  <si>
    <t>Luis</t>
  </si>
  <si>
    <t>Luis Puchert</t>
  </si>
  <si>
    <t>Pronnet</t>
  </si>
  <si>
    <t>Sabine Pronnet</t>
  </si>
  <si>
    <t>Josef</t>
  </si>
  <si>
    <t>Schott</t>
  </si>
  <si>
    <t>Josef Schott</t>
  </si>
  <si>
    <t>Scholz</t>
  </si>
  <si>
    <t>Alexander Scholz</t>
  </si>
  <si>
    <t>Schönhärl</t>
  </si>
  <si>
    <t>Jürgen Schönhärl</t>
  </si>
  <si>
    <t>Schöne</t>
  </si>
  <si>
    <t>Oliver Schöne</t>
  </si>
  <si>
    <t>Schön</t>
  </si>
  <si>
    <t>Horst Schön</t>
  </si>
  <si>
    <t>Schöllhorn</t>
  </si>
  <si>
    <t>Rainer Schöllhorn</t>
  </si>
  <si>
    <t>Andreas Schöllhorn</t>
  </si>
  <si>
    <t>Schneider-Vogt</t>
  </si>
  <si>
    <t>Bastian Schneider-Vogt</t>
  </si>
  <si>
    <t>Schneider</t>
  </si>
  <si>
    <t>Werner Schneider</t>
  </si>
  <si>
    <t>Tobias Schneider</t>
  </si>
  <si>
    <t>Ewald Schneider</t>
  </si>
  <si>
    <t>Andreas Schneider</t>
  </si>
  <si>
    <t>Schmitt</t>
  </si>
  <si>
    <t>Peter Schmitt</t>
  </si>
  <si>
    <t>Jutta</t>
  </si>
  <si>
    <t>Jutta Schmitt</t>
  </si>
  <si>
    <t>Jürgen Harry</t>
  </si>
  <si>
    <t>Jürgen Harry Schmitt</t>
  </si>
  <si>
    <t>Ingeborg</t>
  </si>
  <si>
    <t>Ingeborg Schmitt</t>
  </si>
  <si>
    <t>Schmied</t>
  </si>
  <si>
    <t>Markus Schmied</t>
  </si>
  <si>
    <t>Mike</t>
  </si>
  <si>
    <t>Schmidt</t>
  </si>
  <si>
    <t>Mike Schmidt</t>
  </si>
  <si>
    <t>Mario Schmidt</t>
  </si>
  <si>
    <t>Marc Schmidt</t>
  </si>
  <si>
    <t>Lucas Schmidt</t>
  </si>
  <si>
    <t>Justin</t>
  </si>
  <si>
    <t>Justin Schmidt</t>
  </si>
  <si>
    <t>Alexander Schmidt</t>
  </si>
  <si>
    <t>Schmidle</t>
  </si>
  <si>
    <t>Erwin Schmidle</t>
  </si>
  <si>
    <t>Schmidbauer</t>
  </si>
  <si>
    <t>Thomas Schmidbauer</t>
  </si>
  <si>
    <t>Birgit</t>
  </si>
  <si>
    <t>Schmid</t>
  </si>
  <si>
    <t>Birgit Schmid</t>
  </si>
  <si>
    <t>Schmelzl</t>
  </si>
  <si>
    <t>Werner Schmelzl</t>
  </si>
  <si>
    <t>Schlundt</t>
  </si>
  <si>
    <t>Sabrina Schlundt</t>
  </si>
  <si>
    <t>Michael Schlundt</t>
  </si>
  <si>
    <t>Schlick</t>
  </si>
  <si>
    <t>Christian Schlick</t>
  </si>
  <si>
    <t>Aaron</t>
  </si>
  <si>
    <t>Schlemmer</t>
  </si>
  <si>
    <t>Aaron Schlemmer</t>
  </si>
  <si>
    <t>Schlegl</t>
  </si>
  <si>
    <t>Christian Schlegl</t>
  </si>
  <si>
    <t>Schindlböck</t>
  </si>
  <si>
    <t>Kurt Schindlböck</t>
  </si>
  <si>
    <t>Theodor</t>
  </si>
  <si>
    <t>Schimanski</t>
  </si>
  <si>
    <t>Theodor Schimanski</t>
  </si>
  <si>
    <t>Johanna Schimanski</t>
  </si>
  <si>
    <t>Konrad</t>
  </si>
  <si>
    <t>Schiller</t>
  </si>
  <si>
    <t>Konrad Schiller</t>
  </si>
  <si>
    <t>Schiewer</t>
  </si>
  <si>
    <t>Achim Schiewer</t>
  </si>
  <si>
    <t>Schießl</t>
  </si>
  <si>
    <t>Roland Schießl</t>
  </si>
  <si>
    <t>Klaus Schießl</t>
  </si>
  <si>
    <t>Helene</t>
  </si>
  <si>
    <t>Schick</t>
  </si>
  <si>
    <t>Helene Schick</t>
  </si>
  <si>
    <t>Andreas Schick</t>
  </si>
  <si>
    <t>Dominique</t>
  </si>
  <si>
    <t>Scherabon</t>
  </si>
  <si>
    <t>Dominique Scherabon</t>
  </si>
  <si>
    <t>Scheller</t>
  </si>
  <si>
    <t>Harald Scheller</t>
  </si>
  <si>
    <t>Schelhorn</t>
  </si>
  <si>
    <t>Heidemarie Schelhorn</t>
  </si>
  <si>
    <t>Scheigenpflug</t>
  </si>
  <si>
    <t>Stephan Scheigenpflug</t>
  </si>
  <si>
    <t>Tanja</t>
  </si>
  <si>
    <t>Scheffler</t>
  </si>
  <si>
    <t>Tanja Scheffler</t>
  </si>
  <si>
    <t>Scheerer</t>
  </si>
  <si>
    <t>Kevin Scheerer</t>
  </si>
  <si>
    <t>Margit</t>
  </si>
  <si>
    <t>Schaschl</t>
  </si>
  <si>
    <t>Margit Schaschl</t>
  </si>
  <si>
    <t>Scharl</t>
  </si>
  <si>
    <t>Dieter Scharl</t>
  </si>
  <si>
    <t>Schanze</t>
  </si>
  <si>
    <t>René Schanze</t>
  </si>
  <si>
    <t>Bianka</t>
  </si>
  <si>
    <t>Bianka Schanze</t>
  </si>
  <si>
    <t>Schäffer-Kirchner</t>
  </si>
  <si>
    <t>Markus Schäffer-Kirchner</t>
  </si>
  <si>
    <t>Schäfer</t>
  </si>
  <si>
    <t>Stefan Schäfer</t>
  </si>
  <si>
    <t>Michael Schäfer</t>
  </si>
  <si>
    <t>Bernd Schäfer</t>
  </si>
  <si>
    <t>Schachtner</t>
  </si>
  <si>
    <t>Josef Schachtner</t>
  </si>
  <si>
    <t>Barbara Schachtner</t>
  </si>
  <si>
    <t>Santoro</t>
  </si>
  <si>
    <t>Antonio Santoro</t>
  </si>
  <si>
    <t>Sanderlin</t>
  </si>
  <si>
    <t>Frank Sanderlin</t>
  </si>
  <si>
    <t>Alberto</t>
  </si>
  <si>
    <t>Salazar</t>
  </si>
  <si>
    <t>Alberto Salazar</t>
  </si>
  <si>
    <t>Saffer</t>
  </si>
  <si>
    <t>Stefan Saffer</t>
  </si>
  <si>
    <t>Pavel</t>
  </si>
  <si>
    <t>Rusev</t>
  </si>
  <si>
    <t>Pavel Rusev</t>
  </si>
  <si>
    <t>Spielvogel</t>
  </si>
  <si>
    <t>Jochen Spielvogel</t>
  </si>
  <si>
    <t>Spieler</t>
  </si>
  <si>
    <t>Robert Spieler</t>
  </si>
  <si>
    <t>Regina Spieler</t>
  </si>
  <si>
    <t>Sonnenmoser</t>
  </si>
  <si>
    <t>Tobias Sonnenmoser</t>
  </si>
  <si>
    <t>Sommerer</t>
  </si>
  <si>
    <t>Stefan Sommerer</t>
  </si>
  <si>
    <t>Verena</t>
  </si>
  <si>
    <t>Sollmann</t>
  </si>
  <si>
    <t>Verena Sollmann</t>
  </si>
  <si>
    <t>Mario Sollmann</t>
  </si>
  <si>
    <t>Dana Sollmann</t>
  </si>
  <si>
    <t>Söllner</t>
  </si>
  <si>
    <t>Willi Söllner</t>
  </si>
  <si>
    <t>Einzelmitglied Regensburg</t>
  </si>
  <si>
    <t>Elke</t>
  </si>
  <si>
    <t>Söldner</t>
  </si>
  <si>
    <t>Elke Söldner</t>
  </si>
  <si>
    <t>Philipp</t>
  </si>
  <si>
    <t>Smieskol</t>
  </si>
  <si>
    <t>Philipp Smieskol</t>
  </si>
  <si>
    <t>Katharina Smieskol</t>
  </si>
  <si>
    <t>Otmar</t>
  </si>
  <si>
    <t>Sittner</t>
  </si>
  <si>
    <t>Otmar Sittner</t>
  </si>
  <si>
    <t>Singer</t>
  </si>
  <si>
    <t>Michael Singer</t>
  </si>
  <si>
    <t>Steven Simon</t>
  </si>
  <si>
    <t>Diana Simon</t>
  </si>
  <si>
    <t>Simeaner</t>
  </si>
  <si>
    <t>Andreas Simeaner</t>
  </si>
  <si>
    <t>Sigl</t>
  </si>
  <si>
    <t>Thomas Sigl</t>
  </si>
  <si>
    <t>Siebler</t>
  </si>
  <si>
    <t>Christian Siebler</t>
  </si>
  <si>
    <t>Peppino</t>
  </si>
  <si>
    <t>Sfamurri</t>
  </si>
  <si>
    <t>Peppino Sfamurri</t>
  </si>
  <si>
    <t>Seydel</t>
  </si>
  <si>
    <t>Anja Seydel</t>
  </si>
  <si>
    <t>Sewald</t>
  </si>
  <si>
    <t>Uwe Sewald</t>
  </si>
  <si>
    <t>Sendner</t>
  </si>
  <si>
    <t>Norbert Sendner</t>
  </si>
  <si>
    <t>Semmling</t>
  </si>
  <si>
    <t>Detlef Semmling</t>
  </si>
  <si>
    <t>Seltmann</t>
  </si>
  <si>
    <t>Dominik Seltmann</t>
  </si>
  <si>
    <t>Seiler</t>
  </si>
  <si>
    <t>Ursula Seiler</t>
  </si>
  <si>
    <t>Susanne Seiler</t>
  </si>
  <si>
    <t>Franz Seiler</t>
  </si>
  <si>
    <t>Daniel Seiler</t>
  </si>
  <si>
    <t>Nadja</t>
  </si>
  <si>
    <t>Seidlein</t>
  </si>
  <si>
    <t>Nadja Seidlein</t>
  </si>
  <si>
    <t>Seeger</t>
  </si>
  <si>
    <t>Melanie Seeger</t>
  </si>
  <si>
    <t>Arthur</t>
  </si>
  <si>
    <t>Schwertfeger</t>
  </si>
  <si>
    <t>Arthur Schwertfeger</t>
  </si>
  <si>
    <t>Schweinzer</t>
  </si>
  <si>
    <t>Tim Schweinzer</t>
  </si>
  <si>
    <t>Schwarzfischer</t>
  </si>
  <si>
    <t>Leon Schwarzfischer</t>
  </si>
  <si>
    <t>Jeremias</t>
  </si>
  <si>
    <t>Schwarz</t>
  </si>
  <si>
    <t>Jeremias Schwarz</t>
  </si>
  <si>
    <t>Jan Schwarz</t>
  </si>
  <si>
    <t>Christian Schwarz</t>
  </si>
  <si>
    <t>Schwank</t>
  </si>
  <si>
    <t>Daniel Schwank</t>
  </si>
  <si>
    <t>Schwabe</t>
  </si>
  <si>
    <t>Florian Schwabe</t>
  </si>
  <si>
    <t>Schuster</t>
  </si>
  <si>
    <t>Katharina Schuster</t>
  </si>
  <si>
    <t>Fabian Schuster</t>
  </si>
  <si>
    <t>Else</t>
  </si>
  <si>
    <t>Else Schuster</t>
  </si>
  <si>
    <t>Dieter Schuster</t>
  </si>
  <si>
    <t>Christian Schuster</t>
  </si>
  <si>
    <t>Roswitha</t>
  </si>
  <si>
    <t>Schulz-Burkert</t>
  </si>
  <si>
    <t>Roswitha Schulz-Burkert</t>
  </si>
  <si>
    <t>Herward</t>
  </si>
  <si>
    <t>Schulz</t>
  </si>
  <si>
    <t>Herward Schulz</t>
  </si>
  <si>
    <t>Carolin</t>
  </si>
  <si>
    <t>Carolin Schulz</t>
  </si>
  <si>
    <t>Schütze</t>
  </si>
  <si>
    <t>Oliver Schütze</t>
  </si>
  <si>
    <t>Heiko</t>
  </si>
  <si>
    <t>Schütz</t>
  </si>
  <si>
    <t>Heiko Schütz</t>
  </si>
  <si>
    <t>Schürrer</t>
  </si>
  <si>
    <t>Tobias Schürrer</t>
  </si>
  <si>
    <t>Schürner</t>
  </si>
  <si>
    <t>Marcel Schürner</t>
  </si>
  <si>
    <t>Daniel Schürner</t>
  </si>
  <si>
    <t>Carsten</t>
  </si>
  <si>
    <t>Schünemann</t>
  </si>
  <si>
    <t>Carsten Schünemann</t>
  </si>
  <si>
    <t>Schröder</t>
  </si>
  <si>
    <t>Thomas Schröder</t>
  </si>
  <si>
    <t>Linus</t>
  </si>
  <si>
    <t>Linus Schröder</t>
  </si>
  <si>
    <t>Schreuer</t>
  </si>
  <si>
    <t>Andreas Schreuer</t>
  </si>
  <si>
    <t>Schrepel-Böhme</t>
  </si>
  <si>
    <t>Sandra Schrepel-Böhme</t>
  </si>
  <si>
    <t>Schrempf</t>
  </si>
  <si>
    <t>Christian Schrempf</t>
  </si>
  <si>
    <t>Schreiner</t>
  </si>
  <si>
    <t>Wolfgang Schreiner</t>
  </si>
  <si>
    <t>Schreiber</t>
  </si>
  <si>
    <t>Stephanie Schreiber</t>
  </si>
  <si>
    <t>Schramm</t>
  </si>
  <si>
    <t>Werner Schramm</t>
  </si>
  <si>
    <t>Nicole</t>
  </si>
  <si>
    <t>Nicole Schott</t>
  </si>
  <si>
    <t>Monika Schott</t>
  </si>
  <si>
    <t>Vollmer</t>
  </si>
  <si>
    <t>Anna Vollmer</t>
  </si>
  <si>
    <t>Vokshi</t>
  </si>
  <si>
    <t>Finn Vokshi</t>
  </si>
  <si>
    <t>Vogt</t>
  </si>
  <si>
    <t>Thomas Vogt</t>
  </si>
  <si>
    <t>Leonard</t>
  </si>
  <si>
    <t>Leonard Vogt</t>
  </si>
  <si>
    <t>Jens</t>
  </si>
  <si>
    <t>Vogel</t>
  </si>
  <si>
    <t>Jens Vogel</t>
  </si>
  <si>
    <t>Völlmerk</t>
  </si>
  <si>
    <t>Julia Völlmerk</t>
  </si>
  <si>
    <t>Völker</t>
  </si>
  <si>
    <t>Patrick Völker</t>
  </si>
  <si>
    <t>van Weverberg</t>
  </si>
  <si>
    <t>Susanne van Weverberg</t>
  </si>
  <si>
    <t>Johan</t>
  </si>
  <si>
    <t>Johan van Weverberg</t>
  </si>
  <si>
    <t>Silke</t>
  </si>
  <si>
    <t>van Lengen</t>
  </si>
  <si>
    <t>Silke van Lengen</t>
  </si>
  <si>
    <t>Peter van Lengen</t>
  </si>
  <si>
    <t>Unternährer</t>
  </si>
  <si>
    <t>Peter Unternährer</t>
  </si>
  <si>
    <t>Clemens</t>
  </si>
  <si>
    <t>Ulsamer jun.</t>
  </si>
  <si>
    <t>Clemens Ulsamer jun.</t>
  </si>
  <si>
    <t>Jonas</t>
  </si>
  <si>
    <t>Ulsamer</t>
  </si>
  <si>
    <t>Jonas Ulsamer</t>
  </si>
  <si>
    <t>Angela Ulsamer</t>
  </si>
  <si>
    <t>Ulbricht</t>
  </si>
  <si>
    <t>Stefan Ulbricht</t>
  </si>
  <si>
    <t>Helmut</t>
  </si>
  <si>
    <t>Ulber</t>
  </si>
  <si>
    <t>Helmut Ulber</t>
  </si>
  <si>
    <t>Uhl</t>
  </si>
  <si>
    <t>Stephan Uhl</t>
  </si>
  <si>
    <t>Uebelacker</t>
  </si>
  <si>
    <t>Erich Uebelacker</t>
  </si>
  <si>
    <t>Anton Uebelacker</t>
  </si>
  <si>
    <t>Tucker</t>
  </si>
  <si>
    <t>Robin Tucker</t>
  </si>
  <si>
    <t>Ioannis</t>
  </si>
  <si>
    <t>Tsioras</t>
  </si>
  <si>
    <t>Ioannis Tsioras</t>
  </si>
  <si>
    <t>Treffke</t>
  </si>
  <si>
    <t>Helga Treffke</t>
  </si>
  <si>
    <t>Trapphardt</t>
  </si>
  <si>
    <t>Bernd Trapphardt</t>
  </si>
  <si>
    <t>Transchel</t>
  </si>
  <si>
    <t>Wolfgang Transchel</t>
  </si>
  <si>
    <t>Tos</t>
  </si>
  <si>
    <t>Sascha Tos</t>
  </si>
  <si>
    <t>Tontsch</t>
  </si>
  <si>
    <t>Heiko Tontsch</t>
  </si>
  <si>
    <t>Tomic</t>
  </si>
  <si>
    <t>Robert Tomic</t>
  </si>
  <si>
    <t>Tittmar</t>
  </si>
  <si>
    <t>Thomas Tittmar</t>
  </si>
  <si>
    <t>Martha</t>
  </si>
  <si>
    <t>Tiefenböck</t>
  </si>
  <si>
    <t>Martha Tiefenböck</t>
  </si>
  <si>
    <t>Adolf</t>
  </si>
  <si>
    <t>Adolf Tiefenböck</t>
  </si>
  <si>
    <t>Thurner</t>
  </si>
  <si>
    <t>Patrick Thurner</t>
  </si>
  <si>
    <t>Kei</t>
  </si>
  <si>
    <t>Thomsen</t>
  </si>
  <si>
    <t>Kei Thomsen</t>
  </si>
  <si>
    <t>Nico Thomas</t>
  </si>
  <si>
    <t>Horst Thomas</t>
  </si>
  <si>
    <t>Alisa</t>
  </si>
  <si>
    <t>Alisa Thomas</t>
  </si>
  <si>
    <t>Thöne</t>
  </si>
  <si>
    <t>Melanie Thöne</t>
  </si>
  <si>
    <t>Thier</t>
  </si>
  <si>
    <t>Marcus Thier</t>
  </si>
  <si>
    <t>Isabelle</t>
  </si>
  <si>
    <t>Thiele</t>
  </si>
  <si>
    <t>Isabelle Thiele</t>
  </si>
  <si>
    <t>Thellmann</t>
  </si>
  <si>
    <t>Bettina Thellmann</t>
  </si>
  <si>
    <t>Theißen</t>
  </si>
  <si>
    <t>Tanja Theißen</t>
  </si>
  <si>
    <t>Theisen</t>
  </si>
  <si>
    <t>Ulrike Theisen</t>
  </si>
  <si>
    <t>Alexander Theisen</t>
  </si>
  <si>
    <t>Tesinski</t>
  </si>
  <si>
    <t>Sebastian Tesinski</t>
  </si>
  <si>
    <t>Szabo</t>
  </si>
  <si>
    <t>Noah Szabo</t>
  </si>
  <si>
    <t>Suttles</t>
  </si>
  <si>
    <t>Tom Suttles</t>
  </si>
  <si>
    <t>Sturm</t>
  </si>
  <si>
    <t>Sebastian Sturm</t>
  </si>
  <si>
    <t>Melissa Sophia</t>
  </si>
  <si>
    <t>Strobl</t>
  </si>
  <si>
    <t>Melissa Sophia Strobl</t>
  </si>
  <si>
    <t>Striefler</t>
  </si>
  <si>
    <t>Sonja Striefler</t>
  </si>
  <si>
    <t>Edmund</t>
  </si>
  <si>
    <t>Edmund Striefler</t>
  </si>
  <si>
    <t>Pakwipa</t>
  </si>
  <si>
    <t>Strahl</t>
  </si>
  <si>
    <t>Pakwipa Strahl</t>
  </si>
  <si>
    <t>Stolze</t>
  </si>
  <si>
    <t>Gabriele Stolze</t>
  </si>
  <si>
    <t>Stoll</t>
  </si>
  <si>
    <t>Stephan Stoll</t>
  </si>
  <si>
    <t>Celia Nicole</t>
  </si>
  <si>
    <t>Stölzel</t>
  </si>
  <si>
    <t>Celia Nicole Stölzel</t>
  </si>
  <si>
    <t>Stöhr</t>
  </si>
  <si>
    <t>Jürgen Stöhr</t>
  </si>
  <si>
    <t>Stockmann</t>
  </si>
  <si>
    <t>Uwe Stockmann</t>
  </si>
  <si>
    <t>Stief</t>
  </si>
  <si>
    <t>Patrick Stief</t>
  </si>
  <si>
    <t>Blasius</t>
  </si>
  <si>
    <t>Stibel</t>
  </si>
  <si>
    <t>Blasius Stibel</t>
  </si>
  <si>
    <t>Steub</t>
  </si>
  <si>
    <t>Peter Steub</t>
  </si>
  <si>
    <t>Stemmler</t>
  </si>
  <si>
    <t>Patrick Stemmler</t>
  </si>
  <si>
    <t>Jürgen Stemmler</t>
  </si>
  <si>
    <t>Steinberg</t>
  </si>
  <si>
    <t>Andreas Steinberg</t>
  </si>
  <si>
    <t>Steigerwald</t>
  </si>
  <si>
    <t>André Steigerwald</t>
  </si>
  <si>
    <t>Ottmar</t>
  </si>
  <si>
    <t>Stegner</t>
  </si>
  <si>
    <t>Ottmar Stegner</t>
  </si>
  <si>
    <t>Steen</t>
  </si>
  <si>
    <t>Jörg Steen</t>
  </si>
  <si>
    <t>Stangl</t>
  </si>
  <si>
    <t>Florian Stangl</t>
  </si>
  <si>
    <t>Stahl</t>
  </si>
  <si>
    <t>Patrick Stahl</t>
  </si>
  <si>
    <t>Städt</t>
  </si>
  <si>
    <t>Steffen Städt</t>
  </si>
  <si>
    <t>Spies</t>
  </si>
  <si>
    <t>Julian Spies</t>
  </si>
  <si>
    <t>Christian Spies</t>
  </si>
  <si>
    <t>Jana</t>
  </si>
  <si>
    <t>Witthinrich</t>
  </si>
  <si>
    <t>Jana Witthinrich</t>
  </si>
  <si>
    <t>Witt</t>
  </si>
  <si>
    <t>Peter Witt</t>
  </si>
  <si>
    <t>Witfer</t>
  </si>
  <si>
    <t>Julian Witfer</t>
  </si>
  <si>
    <t>Ute</t>
  </si>
  <si>
    <t>Wirtz</t>
  </si>
  <si>
    <t>Ute Wirtz</t>
  </si>
  <si>
    <t>Peter Wirtz</t>
  </si>
  <si>
    <t>Winternheimer</t>
  </si>
  <si>
    <t>Pascal Winternheimer</t>
  </si>
  <si>
    <t>Winklmeier</t>
  </si>
  <si>
    <t>Christian Winklmeier</t>
  </si>
  <si>
    <t>Winklhofer</t>
  </si>
  <si>
    <t>Thomas Winklhofer</t>
  </si>
  <si>
    <t>Janina</t>
  </si>
  <si>
    <t>Winkler</t>
  </si>
  <si>
    <t>Janina Winkler</t>
  </si>
  <si>
    <t>Winecki</t>
  </si>
  <si>
    <t>Hans-Jürgen Winecki</t>
  </si>
  <si>
    <t>Wimmer</t>
  </si>
  <si>
    <t>Peter Wimmer</t>
  </si>
  <si>
    <t>Hermann Wimmer</t>
  </si>
  <si>
    <t>Will</t>
  </si>
  <si>
    <t>Sebastian Will</t>
  </si>
  <si>
    <t>Wigand</t>
  </si>
  <si>
    <t>Andreas Wigand</t>
  </si>
  <si>
    <t>Wieser</t>
  </si>
  <si>
    <t>Lukas Wieser</t>
  </si>
  <si>
    <t>Wiemken</t>
  </si>
  <si>
    <t>Moritz Wiemken</t>
  </si>
  <si>
    <t>Max Wiemken</t>
  </si>
  <si>
    <t>Frank Wiemken</t>
  </si>
  <si>
    <t>Dieter Wiemken</t>
  </si>
  <si>
    <t>Bernd Wiemken</t>
  </si>
  <si>
    <t>Wiedl</t>
  </si>
  <si>
    <t>Stefan Wiedl</t>
  </si>
  <si>
    <t>Edeltraud</t>
  </si>
  <si>
    <t>Edeltraud Wiedl</t>
  </si>
  <si>
    <t>Wiedemann</t>
  </si>
  <si>
    <t>Tobias Wiedemann</t>
  </si>
  <si>
    <t>Thomas Wiedemann</t>
  </si>
  <si>
    <t>Alexander Wiedemann</t>
  </si>
  <si>
    <t>Wieczorek</t>
  </si>
  <si>
    <t>Ben Wieczorek</t>
  </si>
  <si>
    <t>Wickles</t>
  </si>
  <si>
    <t>Manfred Wickles</t>
  </si>
  <si>
    <t>Wichmann</t>
  </si>
  <si>
    <t>Frank Wichmann</t>
  </si>
  <si>
    <t>Wheeldon-Weidner</t>
  </si>
  <si>
    <t>Barbara Wheeldon-Weidner</t>
  </si>
  <si>
    <t>Vincent</t>
  </si>
  <si>
    <t>Wheeldon</t>
  </si>
  <si>
    <t>Vincent Wheeldon</t>
  </si>
  <si>
    <t>Andy</t>
  </si>
  <si>
    <t>Andy Werner</t>
  </si>
  <si>
    <t>Werder</t>
  </si>
  <si>
    <t>Uwe Werder</t>
  </si>
  <si>
    <t>Jan-Uwe</t>
  </si>
  <si>
    <t>Jan-Uwe Werder</t>
  </si>
  <si>
    <t>Weninger</t>
  </si>
  <si>
    <t>Diana Weninger</t>
  </si>
  <si>
    <t>Wendel</t>
  </si>
  <si>
    <t>Wolfgang Wendel</t>
  </si>
  <si>
    <t>Dominik Wendel</t>
  </si>
  <si>
    <t>Darius</t>
  </si>
  <si>
    <t>Darius Wendel</t>
  </si>
  <si>
    <t>Weissenseel</t>
  </si>
  <si>
    <t>Marc Weissenseel</t>
  </si>
  <si>
    <t>Luisa Samira</t>
  </si>
  <si>
    <t>Weiss</t>
  </si>
  <si>
    <t>Luisa Samira Weiss</t>
  </si>
  <si>
    <t>Niklas</t>
  </si>
  <si>
    <t>Weiske</t>
  </si>
  <si>
    <t>Niklas Weiske</t>
  </si>
  <si>
    <t>Marina Weiske</t>
  </si>
  <si>
    <t>Klaus Weiske</t>
  </si>
  <si>
    <t>Weis</t>
  </si>
  <si>
    <t>Reinhold Weis</t>
  </si>
  <si>
    <t>Björn Weis</t>
  </si>
  <si>
    <t>Weinrich</t>
  </si>
  <si>
    <t>Lena Weinrich</t>
  </si>
  <si>
    <t>Weidlich</t>
  </si>
  <si>
    <t>René Weidlich</t>
  </si>
  <si>
    <t>Weidinger</t>
  </si>
  <si>
    <t>Manfred Weidinger</t>
  </si>
  <si>
    <t>Wegenast</t>
  </si>
  <si>
    <t>Robert Wegenast</t>
  </si>
  <si>
    <t>Weber</t>
  </si>
  <si>
    <t>Harald Weber</t>
  </si>
  <si>
    <t>Viola</t>
  </si>
  <si>
    <t>Wanninger</t>
  </si>
  <si>
    <t>Viola Wanninger</t>
  </si>
  <si>
    <t>Walzer</t>
  </si>
  <si>
    <t>Peter Walzer</t>
  </si>
  <si>
    <t>Walz</t>
  </si>
  <si>
    <t>Stefan Walz</t>
  </si>
  <si>
    <t>Wallner</t>
  </si>
  <si>
    <t>Johannes Wallner</t>
  </si>
  <si>
    <t>Wallace</t>
  </si>
  <si>
    <t>Dennis Wallace</t>
  </si>
  <si>
    <t>Waldinger</t>
  </si>
  <si>
    <t>Maximilian Waldinger</t>
  </si>
  <si>
    <t>Walch</t>
  </si>
  <si>
    <t>Peter Walch</t>
  </si>
  <si>
    <t>Walberer</t>
  </si>
  <si>
    <t>Markus Walberer</t>
  </si>
  <si>
    <t>Waigel</t>
  </si>
  <si>
    <t>Petra Waigel</t>
  </si>
  <si>
    <t>Wahsner</t>
  </si>
  <si>
    <t>Ralf Wahsner</t>
  </si>
  <si>
    <t>Wahl</t>
  </si>
  <si>
    <t>Norbert Wahl</t>
  </si>
  <si>
    <t>Alexandra Wahl</t>
  </si>
  <si>
    <t>Wagner</t>
  </si>
  <si>
    <t>Natalie Wagner</t>
  </si>
  <si>
    <t>Chris</t>
  </si>
  <si>
    <t>Chris Wagner</t>
  </si>
  <si>
    <t>Wächter</t>
  </si>
  <si>
    <t>Martin Wächter</t>
  </si>
  <si>
    <t>Florian Wächter</t>
  </si>
  <si>
    <t>Dusan</t>
  </si>
  <si>
    <t>Vukovic</t>
  </si>
  <si>
    <t>Dusan Vukovic</t>
  </si>
  <si>
    <t>Voss</t>
  </si>
  <si>
    <t>Horst Voss</t>
  </si>
  <si>
    <t>Voß</t>
  </si>
  <si>
    <t>Christian Voß</t>
  </si>
  <si>
    <t>Pia</t>
  </si>
  <si>
    <t>von Gierszewski</t>
  </si>
  <si>
    <t>Pia von Gierszewski</t>
  </si>
  <si>
    <t>Zyder</t>
  </si>
  <si>
    <t>Daniel Zyder</t>
  </si>
  <si>
    <t>Eduard Richard</t>
  </si>
  <si>
    <t>Zorzi</t>
  </si>
  <si>
    <t>Eduard Richard Zorzi</t>
  </si>
  <si>
    <t>Zorn</t>
  </si>
  <si>
    <t>Andreas Zorn</t>
  </si>
  <si>
    <t>Zitzelsberger</t>
  </si>
  <si>
    <t>Gerhard Zitzelsberger</t>
  </si>
  <si>
    <t>Zink</t>
  </si>
  <si>
    <t>Fabian Zink</t>
  </si>
  <si>
    <t>Jenny</t>
  </si>
  <si>
    <t>Zimmermann</t>
  </si>
  <si>
    <t>Jenny Zimmermann</t>
  </si>
  <si>
    <t>Alfred Zimmermann</t>
  </si>
  <si>
    <t>Edda</t>
  </si>
  <si>
    <t>Zettler</t>
  </si>
  <si>
    <t>Edda Zettler</t>
  </si>
  <si>
    <t>Zentara</t>
  </si>
  <si>
    <t>Helmut Zentara</t>
  </si>
  <si>
    <t>Zehner</t>
  </si>
  <si>
    <t>Gabriele Zehner</t>
  </si>
  <si>
    <t>Zehendner</t>
  </si>
  <si>
    <t>Markus Zehendner</t>
  </si>
  <si>
    <t>Lukas Zehendner</t>
  </si>
  <si>
    <t>Zeh</t>
  </si>
  <si>
    <t>Marcel Zeh</t>
  </si>
  <si>
    <t>Zankel</t>
  </si>
  <si>
    <t>Jürgen Zankel</t>
  </si>
  <si>
    <t>Zahner</t>
  </si>
  <si>
    <t>Barbara Zahner</t>
  </si>
  <si>
    <t>Alireza</t>
  </si>
  <si>
    <t>Zahiri</t>
  </si>
  <si>
    <t>Alireza Zahiri</t>
  </si>
  <si>
    <t>Zach</t>
  </si>
  <si>
    <t>Christopher Zach</t>
  </si>
  <si>
    <t>Young</t>
  </si>
  <si>
    <t>Dennis Young</t>
  </si>
  <si>
    <t>Daniel Young</t>
  </si>
  <si>
    <t>Henning</t>
  </si>
  <si>
    <t>Wunderlich</t>
  </si>
  <si>
    <t>Henning Wunderlich</t>
  </si>
  <si>
    <t>Wunder</t>
  </si>
  <si>
    <t>Manuela Wunder</t>
  </si>
  <si>
    <t>Jörg Wunder</t>
  </si>
  <si>
    <t>Wülfert</t>
  </si>
  <si>
    <t>Frank Wülfert</t>
  </si>
  <si>
    <t>Woyscheszik</t>
  </si>
  <si>
    <t>Jörg Woyscheszik</t>
  </si>
  <si>
    <t>Wolfschmidt</t>
  </si>
  <si>
    <t>Andreas Wolfschmidt</t>
  </si>
  <si>
    <t>Wolf</t>
  </si>
  <si>
    <t>Alexander Wolf</t>
  </si>
  <si>
    <t>Lothar</t>
  </si>
  <si>
    <t>Woithe</t>
  </si>
  <si>
    <t>Lothar Woithe</t>
  </si>
  <si>
    <t>Wörrlein</t>
  </si>
  <si>
    <t>Jonas Wörrlein</t>
  </si>
  <si>
    <t>Wölki</t>
  </si>
  <si>
    <t>Robert Wölki</t>
  </si>
  <si>
    <t>Elisabeth</t>
  </si>
  <si>
    <t>Elisabeth Wölki</t>
  </si>
  <si>
    <t>Wodl</t>
  </si>
  <si>
    <t>Manuela Wodl</t>
  </si>
  <si>
    <t>Joachim Wodl</t>
  </si>
  <si>
    <t>Fritz</t>
  </si>
  <si>
    <t>Wittmann</t>
  </si>
  <si>
    <t>Fritz Wittmann</t>
  </si>
  <si>
    <t>Denise</t>
  </si>
  <si>
    <t>Denise Schwertfeger</t>
  </si>
  <si>
    <t>Axland</t>
  </si>
  <si>
    <t>Magnus</t>
  </si>
  <si>
    <t>Magnus Axland</t>
  </si>
  <si>
    <t>Einzelmitglied</t>
  </si>
  <si>
    <t>geworfene Pins</t>
  </si>
  <si>
    <t>HILOW</t>
  </si>
  <si>
    <t>Anzahl Spiele</t>
  </si>
  <si>
    <t>Schnitt</t>
  </si>
  <si>
    <t>Teamplatzierung Berechnung</t>
  </si>
  <si>
    <t>Schnittplatzierung Berechnung</t>
  </si>
  <si>
    <t>SP 1</t>
  </si>
  <si>
    <t>Team</t>
  </si>
  <si>
    <t>Hilow 1</t>
  </si>
  <si>
    <t>Hilow 2</t>
  </si>
  <si>
    <t>Hilow 3</t>
  </si>
  <si>
    <t>Sp 2</t>
  </si>
  <si>
    <t>Sp 3</t>
  </si>
  <si>
    <t>Sp 4</t>
  </si>
  <si>
    <t>Sp 1</t>
  </si>
  <si>
    <t xml:space="preserve">Teamnr. </t>
  </si>
  <si>
    <t xml:space="preserve">Sonderrechnung </t>
  </si>
  <si>
    <t>Platz:</t>
  </si>
  <si>
    <t>Sortierung 
Groß nach Klein</t>
  </si>
  <si>
    <t>TeamNr. Platzierung</t>
  </si>
  <si>
    <t>TeamNr</t>
  </si>
  <si>
    <t>Platz</t>
  </si>
  <si>
    <t>Sortierung 
Groß n. Klein</t>
  </si>
  <si>
    <t xml:space="preserve">TeamNr. </t>
  </si>
  <si>
    <t>Teamnr.</t>
  </si>
  <si>
    <t>Spieler 1</t>
  </si>
  <si>
    <t>Name Spieler 1</t>
  </si>
  <si>
    <t>Name Spieler 3</t>
  </si>
  <si>
    <t>Name Spieler 4</t>
  </si>
  <si>
    <t>Allgemeine Angaben und Einstellungen</t>
  </si>
  <si>
    <t>Turniername:</t>
  </si>
  <si>
    <t>Bayerische Meisterschaft</t>
  </si>
  <si>
    <t>Untergruppe</t>
  </si>
  <si>
    <t xml:space="preserve">Frauen Einzel </t>
  </si>
  <si>
    <t>Datum von bis:</t>
  </si>
  <si>
    <t>9.5 - 10.5</t>
  </si>
  <si>
    <t>Auswertung:</t>
  </si>
  <si>
    <t xml:space="preserve">Funktion: </t>
  </si>
  <si>
    <t>Seniorenwart</t>
  </si>
  <si>
    <t>Bowlinganlage und Ort:</t>
  </si>
  <si>
    <t>Rottendorf</t>
  </si>
  <si>
    <t xml:space="preserve">Passwort: </t>
  </si>
  <si>
    <t>max. 400 Einzelspieler</t>
  </si>
  <si>
    <t>Teamnummer</t>
  </si>
  <si>
    <t>EDV1</t>
  </si>
  <si>
    <t>Sp1-1</t>
  </si>
  <si>
    <t>Sp1-2</t>
  </si>
  <si>
    <t>Sp1-3</t>
  </si>
  <si>
    <t>Sp1-4</t>
  </si>
  <si>
    <t>Sp1-5</t>
  </si>
  <si>
    <t>Sp1-6</t>
  </si>
  <si>
    <t>Sp1-7</t>
  </si>
  <si>
    <t>Sp1-8</t>
  </si>
  <si>
    <t>Sp1-9</t>
  </si>
  <si>
    <t>Sp1-10</t>
  </si>
  <si>
    <t>Sp1-11</t>
  </si>
  <si>
    <t>Sp1-12</t>
  </si>
  <si>
    <t>Sp1-13</t>
  </si>
  <si>
    <t>Sp1-14</t>
  </si>
  <si>
    <t>Sp1-15</t>
  </si>
  <si>
    <t>Sp1-16</t>
  </si>
  <si>
    <t>Sp1-17</t>
  </si>
  <si>
    <t>Sp1-18</t>
  </si>
  <si>
    <t>Ges. Sp1</t>
  </si>
  <si>
    <t>Ges. Sp2</t>
  </si>
  <si>
    <t>Ges. Sp3</t>
  </si>
  <si>
    <t>Ges. Sp4</t>
  </si>
  <si>
    <t>Ges. Sp5</t>
  </si>
  <si>
    <t>Ges. Sp6</t>
  </si>
  <si>
    <t>Ges. Sp7</t>
  </si>
  <si>
    <t>Ges. Sp8</t>
  </si>
  <si>
    <t>Ges. Sp9</t>
  </si>
  <si>
    <t>Ges. Sp10</t>
  </si>
  <si>
    <t>Ges. Sp11</t>
  </si>
  <si>
    <t>Ges. Sp12</t>
  </si>
  <si>
    <t>Ges. Sp13</t>
  </si>
  <si>
    <t>Ges. Sp14</t>
  </si>
  <si>
    <t>Ges. Sp15</t>
  </si>
  <si>
    <t>Ges. Sp16</t>
  </si>
  <si>
    <t>Ges. Sp17</t>
  </si>
  <si>
    <t>Ges. Sp18</t>
  </si>
  <si>
    <t>High</t>
  </si>
  <si>
    <t>Low</t>
  </si>
  <si>
    <t>Highlow 1</t>
  </si>
  <si>
    <t>Spiele</t>
  </si>
  <si>
    <t>High2</t>
  </si>
  <si>
    <t>Low2</t>
  </si>
  <si>
    <t>HIlow2</t>
  </si>
  <si>
    <t>High3</t>
  </si>
  <si>
    <t>Low3</t>
  </si>
  <si>
    <t>Highlow3</t>
  </si>
  <si>
    <t>Eingabe Vorrunde</t>
  </si>
  <si>
    <t>Daten mit STRG + SHIFT + V Einfügen</t>
  </si>
  <si>
    <t>Spalten Nummern:</t>
  </si>
  <si>
    <t>Spiel 1</t>
  </si>
  <si>
    <t>Spiel 2</t>
  </si>
  <si>
    <t>Spiel 3</t>
  </si>
  <si>
    <t>Spiel 4</t>
  </si>
  <si>
    <t>Spiel 5</t>
  </si>
  <si>
    <t>Spiel 6</t>
  </si>
  <si>
    <t>Gesamt Ergebnis</t>
  </si>
  <si>
    <t>Eingabe Zwischenlauf</t>
  </si>
  <si>
    <t>Finalrunde</t>
  </si>
  <si>
    <t>Serie</t>
  </si>
  <si>
    <t>HDC</t>
  </si>
  <si>
    <t>Gesamt</t>
  </si>
  <si>
    <t>Finalplätze</t>
  </si>
  <si>
    <t>Vorrunde</t>
  </si>
  <si>
    <t>Zwischenlauf</t>
  </si>
  <si>
    <t>Summen + Auswertung</t>
  </si>
  <si>
    <t>Größte</t>
  </si>
  <si>
    <t>Kleinste</t>
  </si>
  <si>
    <t>EDV Nummer</t>
  </si>
  <si>
    <t>Klasse</t>
  </si>
  <si>
    <t>Spiel 7</t>
  </si>
  <si>
    <t>Spiel 8</t>
  </si>
  <si>
    <t>Spiel 9</t>
  </si>
  <si>
    <t>Spiel 10</t>
  </si>
  <si>
    <t>Spiel 11</t>
  </si>
  <si>
    <t>Spiel 12</t>
  </si>
  <si>
    <t>Spiel 13</t>
  </si>
  <si>
    <t>Spiel 14</t>
  </si>
  <si>
    <t>Spiel 15</t>
  </si>
  <si>
    <t>Spiel 16</t>
  </si>
  <si>
    <t>Spiel 17</t>
  </si>
  <si>
    <t>Spiel 18</t>
  </si>
  <si>
    <t>Handycap
pro Spiel</t>
  </si>
  <si>
    <t>Handycap ges</t>
  </si>
  <si>
    <t>Gesamt
mit HDC</t>
  </si>
  <si>
    <t>Viertelfinale</t>
  </si>
  <si>
    <t>Vorrunde Platz 3</t>
  </si>
  <si>
    <t>Vorrunde Platz 6</t>
  </si>
  <si>
    <t>Platz 1</t>
  </si>
  <si>
    <t>:</t>
  </si>
  <si>
    <t>Platz 2</t>
  </si>
  <si>
    <t>Platz 3</t>
  </si>
  <si>
    <t>Platz 4</t>
  </si>
  <si>
    <t>Platz 5</t>
  </si>
  <si>
    <t>Vorrunde Platz 4</t>
  </si>
  <si>
    <t>Vorrunde Platz 5</t>
  </si>
  <si>
    <t>Platz 6</t>
  </si>
  <si>
    <t>Halbfinale</t>
  </si>
  <si>
    <t>Vorrunde Platz 1</t>
  </si>
  <si>
    <t>Viertelfinale Sieger 1</t>
  </si>
  <si>
    <t>Vorrunde Platz 2</t>
  </si>
  <si>
    <t>Viertelfinale Sieger 2</t>
  </si>
  <si>
    <t>Finale</t>
  </si>
  <si>
    <t>Halbfinale Sieger 1</t>
  </si>
  <si>
    <t>Halbfinale Sieger 2</t>
  </si>
  <si>
    <t>Sortierung nach Schnitt</t>
  </si>
  <si>
    <t>Teamname</t>
  </si>
  <si>
    <t>TeamNR</t>
  </si>
  <si>
    <t>Schn.</t>
  </si>
  <si>
    <t xml:space="preserve"> </t>
  </si>
  <si>
    <t>Daten an Bruno melden wegen Rangliste</t>
  </si>
  <si>
    <t>Pins</t>
  </si>
  <si>
    <t>Finalbahnen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</si>
</sst>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000000"/>
    <numFmt numFmtId="166" formatCode="D/M/YYYY"/>
    <numFmt numFmtId="167" formatCode="[$-407]d/\ mmmm\ yyyy"/>
  </numFmts>
  <fonts count="62">
    <font>
      <sz val="12.0"/>
      <color theme="1"/>
      <name val="Calibri"/>
      <scheme val="minor"/>
    </font>
    <font>
      <b/>
      <sz val="14.0"/>
      <color theme="1"/>
      <name val="Calibri"/>
    </font>
    <font>
      <color theme="1"/>
      <name val="Calibri"/>
      <scheme val="minor"/>
    </font>
    <font>
      <sz val="12.0"/>
      <color theme="0"/>
      <name val="Calibri"/>
    </font>
    <font>
      <sz val="16.0"/>
      <color theme="1"/>
      <name val="Calibri"/>
    </font>
    <font>
      <sz val="12.0"/>
      <color theme="1"/>
      <name val="Calibri"/>
    </font>
    <font>
      <b/>
      <sz val="11.0"/>
      <color rgb="FFFFFFFF"/>
      <name val="Aptos Narrow"/>
    </font>
    <font>
      <sz val="11.0"/>
      <color theme="1"/>
      <name val="Aptos Narrow"/>
    </font>
    <font>
      <sz val="11.0"/>
      <color rgb="FFFFFFFF"/>
      <name val="Aptos Narrow"/>
    </font>
    <font>
      <sz val="11.0"/>
      <color theme="1"/>
      <name val="Arial"/>
    </font>
    <font>
      <sz val="18.0"/>
      <color theme="1"/>
      <name val="Calibri"/>
    </font>
    <font>
      <b/>
      <sz val="18.0"/>
      <color theme="1"/>
      <name val="Calibri"/>
    </font>
    <font>
      <sz val="14.0"/>
      <color theme="1"/>
      <name val="Calibri"/>
    </font>
    <font/>
    <font>
      <sz val="18.0"/>
      <color theme="1"/>
      <name val="Arial"/>
    </font>
    <font>
      <sz val="18.0"/>
      <color rgb="FF000000"/>
      <name val="Arial"/>
    </font>
    <font>
      <color rgb="FF000000"/>
      <name val="Calibri"/>
      <scheme val="minor"/>
    </font>
    <font>
      <sz val="18.0"/>
      <color rgb="FF000000"/>
      <name val="Calibri"/>
    </font>
    <font>
      <sz val="14.0"/>
      <color theme="1"/>
      <name val="Arial"/>
    </font>
    <font>
      <sz val="14.0"/>
      <color rgb="FF000000"/>
      <name val="Arial"/>
    </font>
    <font>
      <b/>
      <sz val="12.0"/>
      <color theme="1"/>
      <name val="Calibri"/>
    </font>
    <font>
      <b/>
      <sz val="12.0"/>
      <color rgb="FFFF0000"/>
      <name val="Calibri"/>
    </font>
    <font>
      <b/>
      <color theme="1"/>
      <name val="Calibri"/>
      <scheme val="minor"/>
    </font>
    <font>
      <b/>
      <sz val="18.0"/>
      <color theme="1"/>
      <name val="Arial"/>
    </font>
    <font>
      <sz val="10.0"/>
      <color theme="1"/>
      <name val="Arial"/>
    </font>
    <font>
      <sz val="15.0"/>
      <color rgb="FFFF0000"/>
      <name val="Arial"/>
    </font>
    <font>
      <b/>
      <u/>
      <sz val="12.0"/>
      <color theme="1"/>
      <name val="Calibri"/>
    </font>
    <font>
      <sz val="10.0"/>
      <color theme="1"/>
      <name val="Calibri"/>
    </font>
    <font>
      <sz val="10.0"/>
      <color theme="1"/>
      <name val="Arimo"/>
    </font>
    <font>
      <b/>
      <u/>
      <sz val="18.0"/>
      <color theme="1"/>
      <name val="Calibri"/>
    </font>
    <font>
      <b/>
      <u/>
      <sz val="18.0"/>
      <color theme="1"/>
      <name val="Calibri"/>
    </font>
    <font>
      <b/>
      <u/>
      <sz val="17.0"/>
      <color theme="1"/>
      <name val="Calibri"/>
    </font>
    <font>
      <b/>
      <u/>
      <sz val="20.0"/>
      <color rgb="FF000000"/>
      <name val="Calibri"/>
    </font>
    <font>
      <sz val="9.0"/>
      <color theme="1"/>
      <name val="Calibri"/>
      <scheme val="minor"/>
    </font>
    <font>
      <sz val="10.0"/>
      <color theme="1"/>
      <name val="Calibri"/>
      <scheme val="minor"/>
    </font>
    <font>
      <b/>
      <u/>
      <sz val="16.0"/>
      <color theme="1"/>
      <name val="Calibri"/>
    </font>
    <font>
      <b/>
      <u/>
      <sz val="24.0"/>
      <color rgb="FF000000"/>
      <name val="Calibri"/>
    </font>
    <font>
      <b/>
      <sz val="16.0"/>
      <color theme="1"/>
      <name val="Calibri"/>
    </font>
    <font>
      <b/>
      <sz val="10.0"/>
      <color theme="1"/>
      <name val="Calibri"/>
    </font>
    <font>
      <b/>
      <u/>
      <sz val="14.0"/>
      <color theme="1"/>
      <name val="Calibri"/>
    </font>
    <font>
      <b/>
      <u/>
      <sz val="16.0"/>
      <color theme="1"/>
      <name val="Calibri"/>
    </font>
    <font>
      <b/>
      <sz val="12.0"/>
      <color rgb="FF000000"/>
      <name val="Calibri"/>
    </font>
    <font>
      <sz val="12.0"/>
      <color rgb="FF000000"/>
      <name val="Calibri"/>
    </font>
    <font>
      <sz val="14.0"/>
      <color theme="0"/>
      <name val="Calibri"/>
    </font>
    <font>
      <b/>
      <sz val="9.0"/>
      <color theme="1"/>
      <name val="Calibri"/>
    </font>
    <font>
      <b/>
      <sz val="9.0"/>
      <color rgb="FF000000"/>
      <name val="Calibri"/>
    </font>
    <font>
      <b/>
      <sz val="11.0"/>
      <color theme="1"/>
      <name val="Calibri"/>
    </font>
    <font>
      <sz val="8.0"/>
      <color theme="1"/>
      <name val="Calibri"/>
    </font>
    <font>
      <sz val="12.0"/>
      <color rgb="FFFFFFFF"/>
      <name val="Calibri"/>
    </font>
    <font>
      <b/>
      <sz val="9.0"/>
      <color rgb="FF6AA84F"/>
      <name val="Calibri"/>
    </font>
    <font>
      <b/>
      <sz val="16.0"/>
      <color rgb="FF000000"/>
      <name val="Calibri"/>
    </font>
    <font>
      <b/>
      <sz val="15.0"/>
      <color theme="1"/>
      <name val="Calibri"/>
      <scheme val="minor"/>
    </font>
    <font>
      <color rgb="FF4A86E8"/>
      <name val="Calibri"/>
      <scheme val="minor"/>
    </font>
    <font>
      <sz val="15.0"/>
      <color theme="1"/>
      <name val="Calibri"/>
      <scheme val="minor"/>
    </font>
    <font>
      <sz val="14.0"/>
      <color theme="1"/>
      <name val="Calibri"/>
      <scheme val="minor"/>
    </font>
    <font>
      <b/>
      <sz val="26.0"/>
      <color rgb="FF000000"/>
      <name val="Calibri"/>
    </font>
    <font>
      <sz val="28.0"/>
      <color rgb="FF000000"/>
      <name val="Calibri"/>
    </font>
    <font>
      <b/>
      <sz val="28.0"/>
      <color rgb="FF000000"/>
      <name val="Calibri"/>
    </font>
    <font>
      <sz val="28.0"/>
      <color theme="1"/>
      <name val="Calibri"/>
      <scheme val="minor"/>
    </font>
    <font>
      <sz val="26.0"/>
      <color rgb="FF000000"/>
      <name val="Calibri"/>
    </font>
    <font>
      <b/>
      <sz val="28.0"/>
      <color rgb="FF000000"/>
      <name val="&quot;Arial Black&quot;"/>
    </font>
    <font>
      <sz val="22.0"/>
      <color theme="1"/>
      <name val="Calibri"/>
      <scheme val="minor"/>
    </font>
  </fonts>
  <fills count="18">
    <fill>
      <patternFill patternType="none"/>
    </fill>
    <fill>
      <patternFill patternType="lightGray"/>
    </fill>
    <fill>
      <patternFill patternType="solid">
        <fgColor theme="1"/>
        <bgColor theme="1"/>
      </patternFill>
    </fill>
    <fill>
      <patternFill patternType="solid">
        <fgColor rgb="FF7030A0"/>
        <bgColor rgb="FF7030A0"/>
      </patternFill>
    </fill>
    <fill>
      <patternFill patternType="solid">
        <fgColor rgb="FFFF0000"/>
        <bgColor rgb="FFFF0000"/>
      </patternFill>
    </fill>
    <fill>
      <patternFill patternType="solid">
        <fgColor rgb="FFFEF2CB"/>
        <bgColor rgb="FFFEF2CB"/>
      </patternFill>
    </fill>
    <fill>
      <patternFill patternType="solid">
        <fgColor rgb="FF92D050"/>
        <bgColor rgb="FF92D050"/>
      </patternFill>
    </fill>
    <fill>
      <patternFill patternType="solid">
        <fgColor theme="5"/>
        <bgColor theme="5"/>
      </patternFill>
    </fill>
    <fill>
      <patternFill patternType="solid">
        <fgColor rgb="FFFFFF00"/>
        <bgColor rgb="FFFFFF00"/>
      </patternFill>
    </fill>
    <fill>
      <patternFill patternType="solid">
        <fgColor rgb="FF4EA72E"/>
        <bgColor rgb="FF4EA72E"/>
      </patternFill>
    </fill>
    <fill>
      <patternFill patternType="solid">
        <fgColor rgb="FFDAF2D0"/>
        <bgColor rgb="FFDAF2D0"/>
      </patternFill>
    </fill>
    <fill>
      <patternFill patternType="solid">
        <fgColor rgb="FFFFFFFF"/>
        <bgColor rgb="FFFFFFFF"/>
      </patternFill>
    </fill>
    <fill>
      <patternFill patternType="solid">
        <fgColor rgb="FFE2EFD9"/>
        <bgColor rgb="FFE2EFD9"/>
      </patternFill>
    </fill>
    <fill>
      <patternFill patternType="solid">
        <fgColor rgb="FFFFD966"/>
        <bgColor rgb="FFFFD966"/>
      </patternFill>
    </fill>
    <fill>
      <patternFill patternType="solid">
        <fgColor rgb="FF9CC2E5"/>
        <bgColor rgb="FF9CC2E5"/>
      </patternFill>
    </fill>
    <fill>
      <patternFill patternType="solid">
        <fgColor rgb="FFB4C6E7"/>
        <bgColor rgb="FFB4C6E7"/>
      </patternFill>
    </fill>
    <fill>
      <patternFill patternType="solid">
        <fgColor theme="0"/>
        <bgColor theme="0"/>
      </patternFill>
    </fill>
    <fill>
      <patternFill patternType="solid">
        <fgColor rgb="FF6FA8DC"/>
        <bgColor rgb="FF6FA8DC"/>
      </patternFill>
    </fill>
  </fills>
  <borders count="46">
    <border/>
    <border>
      <left/>
      <right/>
      <top/>
      <bottom/>
    </border>
    <border>
      <left style="medium">
        <color rgb="FF8ED973"/>
      </left>
      <right style="medium">
        <color rgb="FFCCCCCC"/>
      </right>
      <top style="medium">
        <color rgb="FF8ED973"/>
      </top>
      <bottom style="medium">
        <color rgb="FF8ED973"/>
      </bottom>
    </border>
    <border>
      <left style="medium">
        <color rgb="FFCCCCCC"/>
      </left>
      <right style="medium">
        <color rgb="FFCCCCCC"/>
      </right>
      <top style="medium">
        <color rgb="FF8ED973"/>
      </top>
      <bottom style="medium">
        <color rgb="FF8ED973"/>
      </bottom>
    </border>
    <border>
      <left style="medium">
        <color rgb="FFCCCCCC"/>
      </left>
      <right style="medium">
        <color rgb="FF8ED973"/>
      </right>
      <top style="medium">
        <color rgb="FF8ED973"/>
      </top>
      <bottom style="medium">
        <color rgb="FF8ED973"/>
      </bottom>
    </border>
    <border>
      <left style="medium">
        <color rgb="FF8ED973"/>
      </left>
      <right style="medium">
        <color rgb="FFCCCCCC"/>
      </right>
      <top style="medium">
        <color rgb="FFCCCCCC"/>
      </top>
      <bottom style="medium">
        <color rgb="FF8ED973"/>
      </bottom>
    </border>
    <border>
      <left style="medium">
        <color rgb="FFCCCCCC"/>
      </left>
      <right style="medium">
        <color rgb="FFCCCCCC"/>
      </right>
      <top style="medium">
        <color rgb="FFCCCCCC"/>
      </top>
      <bottom style="medium">
        <color rgb="FF8ED973"/>
      </bottom>
    </border>
    <border>
      <left style="medium">
        <color rgb="FFCCCCCC"/>
      </left>
      <right style="medium">
        <color rgb="FF8ED973"/>
      </right>
      <top style="medium">
        <color rgb="FFCCCCCC"/>
      </top>
      <bottom style="medium">
        <color rgb="FF8ED973"/>
      </bottom>
    </border>
    <border>
      <left style="medium">
        <color rgb="FFCCCCCC"/>
      </left>
      <right style="medium">
        <color rgb="FFCCCCCC"/>
      </right>
      <top style="medium">
        <color rgb="FFCCCCCC"/>
      </top>
      <bottom style="medium">
        <color rgb="FFCCCCCC"/>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top style="thin">
        <color rgb="FF8EA9DB"/>
      </top>
      <bottom style="thin">
        <color rgb="FF8EA9DB"/>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medium">
        <color rgb="FF000000"/>
      </left>
      <right style="thin">
        <color rgb="FF000000"/>
      </right>
      <top style="thin">
        <color rgb="FF000000"/>
      </top>
      <bottom style="thin">
        <color rgb="FF000000"/>
      </bottom>
    </border>
    <border>
      <left/>
      <right/>
      <top style="thin">
        <color rgb="FF000000"/>
      </top>
      <bottom/>
    </border>
    <border>
      <left/>
      <right/>
      <top style="thin">
        <color rgb="FF000000"/>
      </top>
    </border>
    <border>
      <left/>
      <right/>
      <top style="thin">
        <color rgb="FF000000"/>
      </top>
      <bottom style="thin">
        <color rgb="FF000000"/>
      </bottom>
    </border>
    <border>
      <left style="thin">
        <color rgb="FF000000"/>
      </left>
    </border>
    <border>
      <top style="thin">
        <color rgb="FF000000"/>
      </top>
    </border>
    <border>
      <bottom style="thin">
        <color rgb="FF000000"/>
      </bottom>
    </border>
    <border>
      <right style="thin">
        <color rgb="FF000000"/>
      </right>
      <top style="thin">
        <color rgb="FF000000"/>
      </top>
    </border>
    <border>
      <left style="thin">
        <color rgb="FF000000"/>
      </left>
      <right/>
      <top style="thin">
        <color rgb="FF000000"/>
      </top>
      <bottom/>
    </border>
    <border>
      <top style="thin">
        <color rgb="FF000000"/>
      </top>
      <bottom style="thin">
        <color rgb="FF000000"/>
      </bottom>
    </border>
    <border>
      <left style="thin">
        <color rgb="FF000000"/>
      </left>
      <right/>
      <top/>
      <bottom/>
    </border>
    <border>
      <right style="thin">
        <color rgb="FF000000"/>
      </right>
    </border>
    <border>
      <bottom style="medium">
        <color rgb="FF000000"/>
      </bottom>
    </border>
    <border>
      <top style="thin">
        <color rgb="FF000000"/>
      </top>
      <bottom style="medium">
        <color rgb="FF000000"/>
      </bottom>
    </border>
    <border>
      <right style="thin">
        <color rgb="FF000000"/>
      </right>
      <bottom style="medium">
        <color rgb="FF000000"/>
      </bottom>
    </border>
    <border>
      <left style="thin">
        <color rgb="FF000000"/>
      </left>
      <top style="thin">
        <color rgb="FF000000"/>
      </top>
    </border>
    <border>
      <left style="thin">
        <color rgb="FF000000"/>
      </left>
      <bottom style="medium">
        <color rgb="FF000000"/>
      </bottom>
    </border>
    <border>
      <left/>
      <top/>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1" fillId="2" fontId="3" numFmtId="0" xfId="0" applyBorder="1" applyFill="1" applyFont="1"/>
    <xf borderId="0" fillId="0" fontId="4" numFmtId="0" xfId="0" applyFont="1"/>
    <xf borderId="1" fillId="3" fontId="3" numFmtId="0" xfId="0" applyBorder="1" applyFill="1" applyFont="1"/>
    <xf borderId="1" fillId="4" fontId="3" numFmtId="0" xfId="0" applyBorder="1" applyFill="1" applyFont="1"/>
    <xf borderId="1" fillId="5" fontId="5" numFmtId="0" xfId="0" applyBorder="1" applyFill="1" applyFont="1"/>
    <xf borderId="1" fillId="6" fontId="5" numFmtId="0" xfId="0" applyBorder="1" applyFill="1" applyFont="1"/>
    <xf borderId="1" fillId="7" fontId="5" numFmtId="0" xfId="0" applyBorder="1" applyFill="1" applyFont="1"/>
    <xf borderId="0" fillId="0" fontId="2" numFmtId="0" xfId="0" applyAlignment="1" applyFont="1">
      <alignment readingOrder="0"/>
    </xf>
    <xf borderId="1" fillId="8" fontId="5" numFmtId="0" xfId="0" applyBorder="1" applyFill="1" applyFont="1"/>
    <xf borderId="2" fillId="9" fontId="6" numFmtId="0" xfId="0" applyAlignment="1" applyBorder="1" applyFill="1" applyFont="1">
      <alignment shrinkToFit="0" wrapText="1"/>
    </xf>
    <xf borderId="3" fillId="9" fontId="6" numFmtId="0" xfId="0" applyAlignment="1" applyBorder="1" applyFont="1">
      <alignment shrinkToFit="0" wrapText="1"/>
    </xf>
    <xf borderId="4" fillId="9" fontId="6" numFmtId="0" xfId="0" applyAlignment="1" applyBorder="1" applyFont="1">
      <alignment shrinkToFit="0" wrapText="1"/>
    </xf>
    <xf borderId="5" fillId="10" fontId="7" numFmtId="0" xfId="0" applyAlignment="1" applyBorder="1" applyFill="1" applyFont="1">
      <alignment horizontal="right" shrinkToFit="0" wrapText="1"/>
    </xf>
    <xf borderId="6" fillId="10" fontId="7" numFmtId="0" xfId="0" applyAlignment="1" applyBorder="1" applyFont="1">
      <alignment horizontal="right" shrinkToFit="0" wrapText="1"/>
    </xf>
    <xf borderId="6" fillId="10" fontId="7" numFmtId="0" xfId="0" applyAlignment="1" applyBorder="1" applyFont="1">
      <alignment shrinkToFit="0" wrapText="1"/>
    </xf>
    <xf borderId="7" fillId="10" fontId="7" numFmtId="0" xfId="0" applyAlignment="1" applyBorder="1" applyFont="1">
      <alignment shrinkToFit="0" wrapText="1"/>
    </xf>
    <xf borderId="5" fillId="11" fontId="7" numFmtId="0" xfId="0" applyAlignment="1" applyBorder="1" applyFill="1" applyFont="1">
      <alignment horizontal="right" shrinkToFit="0" wrapText="1"/>
    </xf>
    <xf borderId="6" fillId="11" fontId="7" numFmtId="0" xfId="0" applyAlignment="1" applyBorder="1" applyFont="1">
      <alignment horizontal="right" shrinkToFit="0" wrapText="1"/>
    </xf>
    <xf borderId="6" fillId="11" fontId="7" numFmtId="0" xfId="0" applyAlignment="1" applyBorder="1" applyFont="1">
      <alignment shrinkToFit="0" wrapText="1"/>
    </xf>
    <xf borderId="7" fillId="11" fontId="7" numFmtId="0" xfId="0" applyAlignment="1" applyBorder="1" applyFont="1">
      <alignment shrinkToFit="0" wrapText="1"/>
    </xf>
    <xf borderId="5" fillId="10" fontId="8" numFmtId="0" xfId="0" applyAlignment="1" applyBorder="1" applyFont="1">
      <alignment horizontal="right" shrinkToFit="0" wrapText="1"/>
    </xf>
    <xf borderId="6" fillId="10" fontId="8" numFmtId="0" xfId="0" applyAlignment="1" applyBorder="1" applyFont="1">
      <alignment horizontal="right" shrinkToFit="0" wrapText="1"/>
    </xf>
    <xf borderId="6" fillId="10" fontId="8" numFmtId="0" xfId="0" applyAlignment="1" applyBorder="1" applyFont="1">
      <alignment shrinkToFit="0" wrapText="1"/>
    </xf>
    <xf borderId="7" fillId="10" fontId="8" numFmtId="0" xfId="0" applyAlignment="1" applyBorder="1" applyFont="1">
      <alignment shrinkToFit="0" wrapText="1"/>
    </xf>
    <xf borderId="5" fillId="11" fontId="7" numFmtId="0" xfId="0" applyAlignment="1" applyBorder="1" applyFont="1">
      <alignment horizontal="right" shrinkToFit="0" wrapText="1"/>
    </xf>
    <xf borderId="6" fillId="11" fontId="7" numFmtId="0" xfId="0" applyAlignment="1" applyBorder="1" applyFont="1">
      <alignment horizontal="right" shrinkToFit="0" wrapText="1"/>
    </xf>
    <xf borderId="6" fillId="11" fontId="7" numFmtId="0" xfId="0" applyAlignment="1" applyBorder="1" applyFont="1">
      <alignment shrinkToFit="0" wrapText="1"/>
    </xf>
    <xf borderId="7" fillId="11" fontId="7" numFmtId="0" xfId="0" applyAlignment="1" applyBorder="1" applyFont="1">
      <alignment shrinkToFit="0" wrapText="1"/>
    </xf>
    <xf borderId="5" fillId="10" fontId="7" numFmtId="0" xfId="0" applyAlignment="1" applyBorder="1" applyFont="1">
      <alignment horizontal="right" shrinkToFit="0" wrapText="1"/>
    </xf>
    <xf borderId="6" fillId="10" fontId="7" numFmtId="0" xfId="0" applyAlignment="1" applyBorder="1" applyFont="1">
      <alignment horizontal="right" shrinkToFit="0" wrapText="1"/>
    </xf>
    <xf borderId="6" fillId="10" fontId="7" numFmtId="0" xfId="0" applyAlignment="1" applyBorder="1" applyFont="1">
      <alignment shrinkToFit="0" wrapText="1"/>
    </xf>
    <xf borderId="7" fillId="10" fontId="7" numFmtId="0" xfId="0" applyAlignment="1" applyBorder="1" applyFont="1">
      <alignment shrinkToFit="0" wrapText="1"/>
    </xf>
    <xf borderId="6" fillId="11" fontId="7" numFmtId="0" xfId="0" applyAlignment="1" applyBorder="1" applyFont="1">
      <alignment readingOrder="0" shrinkToFit="0" wrapText="1"/>
    </xf>
    <xf borderId="6" fillId="10" fontId="7" numFmtId="0" xfId="0" applyAlignment="1" applyBorder="1" applyFont="1">
      <alignment readingOrder="0" shrinkToFit="0" wrapText="1"/>
    </xf>
    <xf borderId="6" fillId="10" fontId="9" numFmtId="0" xfId="0" applyAlignment="1" applyBorder="1" applyFont="1">
      <alignment readingOrder="0" shrinkToFit="0" wrapText="1"/>
    </xf>
    <xf borderId="6" fillId="11" fontId="7" numFmtId="0" xfId="0" applyAlignment="1" applyBorder="1" applyFont="1">
      <alignment readingOrder="0" shrinkToFit="0" wrapText="1"/>
    </xf>
    <xf borderId="6" fillId="11" fontId="5" numFmtId="0" xfId="0" applyAlignment="1" applyBorder="1" applyFont="1">
      <alignment shrinkToFit="0" wrapText="1"/>
    </xf>
    <xf borderId="7" fillId="11" fontId="5" numFmtId="0" xfId="0" applyAlignment="1" applyBorder="1" applyFont="1">
      <alignment shrinkToFit="0" wrapText="1"/>
    </xf>
    <xf borderId="6" fillId="10" fontId="5" numFmtId="0" xfId="0" applyAlignment="1" applyBorder="1" applyFont="1">
      <alignment shrinkToFit="0" wrapText="1"/>
    </xf>
    <xf borderId="7" fillId="10" fontId="5" numFmtId="0" xfId="0" applyAlignment="1" applyBorder="1" applyFont="1">
      <alignment shrinkToFit="0" wrapText="1"/>
    </xf>
    <xf borderId="8" fillId="11" fontId="5" numFmtId="0" xfId="0" applyAlignment="1" applyBorder="1" applyFont="1">
      <alignment shrinkToFit="0" wrapText="1"/>
    </xf>
    <xf borderId="8" fillId="11" fontId="5" numFmtId="0" xfId="0" applyAlignment="1" applyBorder="1" applyFont="1">
      <alignment readingOrder="0" shrinkToFit="0" wrapText="1"/>
    </xf>
    <xf borderId="8" fillId="12" fontId="5" numFmtId="0" xfId="0" applyAlignment="1" applyBorder="1" applyFill="1" applyFont="1">
      <alignment readingOrder="0" shrinkToFit="0" wrapText="1"/>
    </xf>
    <xf borderId="8" fillId="12" fontId="5" numFmtId="0" xfId="0" applyAlignment="1" applyBorder="1" applyFont="1">
      <alignment shrinkToFit="0" wrapText="1"/>
    </xf>
    <xf borderId="0" fillId="0" fontId="10" numFmtId="0" xfId="0" applyAlignment="1" applyFont="1">
      <alignment horizontal="center"/>
    </xf>
    <xf borderId="0" fillId="0" fontId="10" numFmtId="0" xfId="0" applyFont="1"/>
    <xf borderId="0" fillId="0" fontId="11" numFmtId="0" xfId="0" applyFont="1"/>
    <xf borderId="0" fillId="0" fontId="2" numFmtId="0" xfId="0" applyAlignment="1" applyFont="1">
      <alignment horizontal="center"/>
    </xf>
    <xf borderId="0" fillId="0" fontId="10" numFmtId="164" xfId="0" applyAlignment="1" applyFont="1" applyNumberFormat="1">
      <alignment horizontal="center"/>
    </xf>
    <xf borderId="0" fillId="0" fontId="10" numFmtId="164" xfId="0" applyFont="1" applyNumberFormat="1"/>
    <xf borderId="0" fillId="0" fontId="12" numFmtId="0" xfId="0" applyAlignment="1" applyFont="1">
      <alignment horizontal="center" shrinkToFit="0" wrapText="1"/>
    </xf>
    <xf borderId="9" fillId="0" fontId="10" numFmtId="0" xfId="0" applyAlignment="1" applyBorder="1" applyFont="1">
      <alignment horizontal="center" readingOrder="0" vertical="center"/>
    </xf>
    <xf borderId="10" fillId="0" fontId="13" numFmtId="0" xfId="0" applyBorder="1" applyFont="1"/>
    <xf borderId="11" fillId="0" fontId="13" numFmtId="0" xfId="0" applyBorder="1" applyFont="1"/>
    <xf borderId="9" fillId="0" fontId="10" numFmtId="164" xfId="0" applyAlignment="1" applyBorder="1" applyFont="1" applyNumberFormat="1">
      <alignment horizontal="center" readingOrder="0" vertical="center"/>
    </xf>
    <xf borderId="9" fillId="0" fontId="10" numFmtId="0" xfId="0" applyAlignment="1" applyBorder="1" applyFont="1">
      <alignment horizontal="center" readingOrder="0"/>
    </xf>
    <xf borderId="12" fillId="0" fontId="10" numFmtId="0" xfId="0" applyAlignment="1" applyBorder="1" applyFont="1">
      <alignment horizontal="center"/>
    </xf>
    <xf borderId="13" fillId="0" fontId="13" numFmtId="0" xfId="0" applyBorder="1" applyFont="1"/>
    <xf borderId="14" fillId="0" fontId="13" numFmtId="0" xfId="0" applyBorder="1" applyFont="1"/>
    <xf borderId="0" fillId="0" fontId="14" numFmtId="0" xfId="0" applyAlignment="1" applyFont="1">
      <alignment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0" fontId="10" numFmtId="0" xfId="0" applyAlignment="1" applyBorder="1" applyFont="1">
      <alignment horizontal="center" readingOrder="0"/>
    </xf>
    <xf borderId="18" fillId="0" fontId="10" numFmtId="0" xfId="0" applyAlignment="1" applyBorder="1" applyFont="1">
      <alignment horizontal="center" readingOrder="0"/>
    </xf>
    <xf borderId="0" fillId="0" fontId="10" numFmtId="0" xfId="0" applyAlignment="1" applyFont="1">
      <alignment horizontal="center" readingOrder="0"/>
    </xf>
    <xf borderId="19" fillId="0" fontId="10" numFmtId="0" xfId="0" applyAlignment="1" applyBorder="1" applyFont="1">
      <alignment horizontal="center" readingOrder="0"/>
    </xf>
    <xf borderId="15" fillId="0" fontId="10" numFmtId="164" xfId="0" applyAlignment="1" applyBorder="1" applyFont="1" applyNumberFormat="1">
      <alignment horizontal="center" readingOrder="0"/>
    </xf>
    <xf borderId="16" fillId="0" fontId="10" numFmtId="164" xfId="0" applyAlignment="1" applyBorder="1" applyFont="1" applyNumberFormat="1">
      <alignment horizontal="center" readingOrder="0"/>
    </xf>
    <xf borderId="17" fillId="0" fontId="10" numFmtId="164" xfId="0" applyAlignment="1" applyBorder="1" applyFont="1" applyNumberFormat="1">
      <alignment horizontal="center" readingOrder="0"/>
    </xf>
    <xf borderId="0" fillId="0" fontId="10" numFmtId="0" xfId="0" applyAlignment="1" applyFont="1">
      <alignment readingOrder="0"/>
    </xf>
    <xf borderId="0" fillId="0" fontId="10" numFmtId="0" xfId="0" applyAlignment="1" applyFont="1">
      <alignment readingOrder="0" shrinkToFit="0" wrapText="1"/>
    </xf>
    <xf borderId="0" fillId="0" fontId="11" numFmtId="0" xfId="0" applyAlignment="1" applyFont="1">
      <alignment horizontal="center"/>
    </xf>
    <xf borderId="18" fillId="0" fontId="10" numFmtId="0" xfId="0" applyAlignment="1" applyBorder="1" applyFont="1">
      <alignment horizontal="center"/>
    </xf>
    <xf borderId="19" fillId="0" fontId="10" numFmtId="0" xfId="0" applyAlignment="1" applyBorder="1" applyFont="1">
      <alignment horizontal="center"/>
    </xf>
    <xf borderId="19" fillId="0" fontId="2" numFmtId="0" xfId="0" applyAlignment="1" applyBorder="1" applyFont="1">
      <alignment horizontal="center"/>
    </xf>
    <xf borderId="18" fillId="0" fontId="10" numFmtId="164" xfId="0" applyAlignment="1" applyBorder="1" applyFont="1" applyNumberFormat="1">
      <alignment horizontal="center"/>
    </xf>
    <xf borderId="19" fillId="0" fontId="10" numFmtId="164" xfId="0" applyAlignment="1" applyBorder="1" applyFont="1" applyNumberFormat="1">
      <alignment horizontal="center"/>
    </xf>
    <xf borderId="0" fillId="0" fontId="10" numFmtId="0" xfId="0" applyAlignment="1" applyFont="1">
      <alignment shrinkToFit="0" wrapText="1"/>
    </xf>
    <xf borderId="20" fillId="8" fontId="15" numFmtId="0" xfId="0" applyAlignment="1" applyBorder="1" applyFont="1">
      <alignment horizontal="center" readingOrder="0" shrinkToFit="0" vertical="bottom" wrapText="0"/>
    </xf>
    <xf borderId="0" fillId="0" fontId="14" numFmtId="0" xfId="0" applyFont="1"/>
    <xf borderId="0" fillId="0" fontId="10" numFmtId="165" xfId="0" applyFont="1" applyNumberFormat="1"/>
    <xf borderId="0" fillId="0" fontId="16" numFmtId="0" xfId="0" applyAlignment="1" applyFont="1">
      <alignment readingOrder="0"/>
    </xf>
    <xf borderId="0" fillId="0" fontId="17" numFmtId="0" xfId="0" applyFont="1"/>
    <xf borderId="0" fillId="8" fontId="18" numFmtId="0" xfId="0" applyAlignment="1" applyFont="1">
      <alignment horizontal="center" readingOrder="0" shrinkToFit="0" vertical="bottom" wrapText="0"/>
    </xf>
    <xf borderId="0" fillId="8" fontId="19" numFmtId="0" xfId="0" applyAlignment="1" applyFont="1">
      <alignment horizontal="center" readingOrder="0" shrinkToFit="0" vertical="bottom" wrapText="0"/>
    </xf>
    <xf borderId="0" fillId="0" fontId="19" numFmtId="0" xfId="0" applyAlignment="1" applyFont="1">
      <alignment horizontal="center" readingOrder="0" shrinkToFit="0" vertical="bottom" wrapText="0"/>
    </xf>
    <xf borderId="0" fillId="13" fontId="2" numFmtId="0" xfId="0" applyAlignment="1" applyFill="1" applyFont="1">
      <alignment horizontal="center"/>
    </xf>
    <xf borderId="0" fillId="0" fontId="20" numFmtId="0" xfId="0" applyFont="1"/>
    <xf borderId="1" fillId="5" fontId="5" numFmtId="0" xfId="0" applyAlignment="1" applyBorder="1" applyFont="1">
      <alignment readingOrder="0"/>
    </xf>
    <xf borderId="0" fillId="0" fontId="20" numFmtId="0" xfId="0" applyAlignment="1" applyFont="1">
      <alignment readingOrder="0"/>
    </xf>
    <xf borderId="0" fillId="0" fontId="5" numFmtId="0" xfId="0" applyAlignment="1" applyFont="1">
      <alignment readingOrder="0"/>
    </xf>
    <xf borderId="1" fillId="5" fontId="5" numFmtId="166" xfId="0" applyAlignment="1" applyBorder="1" applyFont="1" applyNumberFormat="1">
      <alignment readingOrder="0"/>
    </xf>
    <xf borderId="0" fillId="0" fontId="5" numFmtId="166" xfId="0" applyFont="1" applyNumberFormat="1"/>
    <xf borderId="0" fillId="0" fontId="21" numFmtId="0" xfId="0" applyFont="1"/>
    <xf borderId="0" fillId="0" fontId="2" numFmtId="0" xfId="0" applyAlignment="1" applyFont="1">
      <alignment horizontal="center" readingOrder="0"/>
    </xf>
    <xf borderId="0" fillId="0" fontId="22" numFmtId="0" xfId="0" applyAlignment="1" applyFont="1">
      <alignment readingOrder="0"/>
    </xf>
    <xf borderId="0" fillId="0" fontId="23" numFmtId="167" xfId="0" applyFont="1" applyNumberFormat="1"/>
    <xf borderId="0" fillId="0" fontId="24" numFmtId="167" xfId="0" applyFont="1" applyNumberFormat="1"/>
    <xf borderId="0" fillId="0" fontId="5" numFmtId="0" xfId="0" applyAlignment="1" applyFont="1">
      <alignment shrinkToFit="0" wrapText="1"/>
    </xf>
    <xf borderId="0" fillId="0" fontId="25" numFmtId="0" xfId="0" applyAlignment="1" applyFont="1">
      <alignment readingOrder="0"/>
    </xf>
    <xf borderId="1" fillId="8" fontId="26" numFmtId="0" xfId="0" applyAlignment="1" applyBorder="1" applyFont="1">
      <alignment horizontal="right"/>
    </xf>
    <xf borderId="1" fillId="8" fontId="27" numFmtId="0" xfId="0" applyBorder="1" applyFont="1"/>
    <xf borderId="21" fillId="6" fontId="5" numFmtId="0" xfId="0" applyAlignment="1" applyBorder="1" applyFont="1">
      <alignment horizontal="center" vertical="center"/>
    </xf>
    <xf borderId="22" fillId="6" fontId="5" numFmtId="0" xfId="0" applyAlignment="1" applyBorder="1" applyFont="1">
      <alignment horizontal="center" vertical="center"/>
    </xf>
    <xf borderId="22" fillId="6" fontId="5" numFmtId="0" xfId="0" applyAlignment="1" applyBorder="1" applyFont="1">
      <alignment horizontal="center" shrinkToFit="0" vertical="center" wrapText="1"/>
    </xf>
    <xf borderId="23" fillId="6"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vertical="center"/>
    </xf>
    <xf borderId="24" fillId="0" fontId="5" numFmtId="0" xfId="0" applyBorder="1" applyFont="1"/>
    <xf borderId="25" fillId="5" fontId="5" numFmtId="0" xfId="0" applyAlignment="1" applyBorder="1" applyFont="1">
      <alignment readingOrder="0"/>
    </xf>
    <xf borderId="26" fillId="0" fontId="5" numFmtId="0" xfId="0" applyBorder="1" applyFont="1"/>
    <xf borderId="0" fillId="0" fontId="28" numFmtId="0" xfId="0" applyFont="1"/>
    <xf borderId="24" fillId="0" fontId="5" numFmtId="0" xfId="0" applyAlignment="1" applyBorder="1" applyFont="1">
      <alignment readingOrder="0"/>
    </xf>
    <xf borderId="25" fillId="5" fontId="5" numFmtId="0" xfId="0" applyBorder="1" applyFont="1"/>
    <xf borderId="25" fillId="0" fontId="5" numFmtId="0" xfId="0" applyAlignment="1" applyBorder="1" applyFont="1">
      <alignment readingOrder="0"/>
    </xf>
    <xf borderId="25" fillId="0" fontId="5" numFmtId="0" xfId="0" applyBorder="1" applyFont="1"/>
    <xf borderId="0" fillId="0" fontId="29" numFmtId="0" xfId="0" applyFont="1"/>
    <xf borderId="0" fillId="0" fontId="14" numFmtId="167" xfId="0" applyFont="1" applyNumberFormat="1"/>
    <xf borderId="1" fillId="8" fontId="30" numFmtId="0" xfId="0" applyAlignment="1" applyBorder="1" applyFont="1">
      <alignment horizontal="right"/>
    </xf>
    <xf borderId="1" fillId="8" fontId="10" numFmtId="0" xfId="0" applyBorder="1" applyFont="1"/>
    <xf borderId="22" fillId="6" fontId="10" numFmtId="0" xfId="0" applyAlignment="1" applyBorder="1" applyFont="1">
      <alignment horizontal="center" vertical="center"/>
    </xf>
    <xf borderId="22" fillId="6" fontId="10" numFmtId="0" xfId="0" applyAlignment="1" applyBorder="1" applyFont="1">
      <alignment horizontal="center" shrinkToFit="0" vertical="center" wrapText="1"/>
    </xf>
    <xf borderId="23" fillId="6" fontId="10" numFmtId="0" xfId="0" applyAlignment="1" applyBorder="1" applyFont="1">
      <alignment horizontal="center" shrinkToFit="0" vertical="center" wrapText="1"/>
    </xf>
    <xf borderId="0" fillId="0" fontId="10" numFmtId="0" xfId="0" applyAlignment="1" applyFont="1">
      <alignment horizontal="center" vertical="center"/>
    </xf>
    <xf borderId="25" fillId="5" fontId="10" numFmtId="0" xfId="0" applyAlignment="1" applyBorder="1" applyFont="1">
      <alignment readingOrder="0"/>
    </xf>
    <xf borderId="26" fillId="0" fontId="10" numFmtId="0" xfId="0" applyBorder="1" applyFont="1"/>
    <xf borderId="25" fillId="5" fontId="10" numFmtId="0" xfId="0" applyBorder="1" applyFont="1"/>
    <xf borderId="1" fillId="3" fontId="5" numFmtId="0" xfId="0" applyBorder="1" applyFont="1"/>
    <xf borderId="0" fillId="0" fontId="31" numFmtId="0" xfId="0" applyAlignment="1" applyFont="1">
      <alignment horizontal="center"/>
    </xf>
    <xf borderId="0" fillId="0" fontId="32" numFmtId="0" xfId="0" applyAlignment="1" applyFont="1">
      <alignment horizontal="center"/>
    </xf>
    <xf borderId="0" fillId="0" fontId="33" numFmtId="0" xfId="0" applyFont="1"/>
    <xf borderId="0" fillId="0" fontId="34" numFmtId="0" xfId="0" applyFont="1"/>
    <xf borderId="0" fillId="0" fontId="12" numFmtId="0" xfId="0" applyFont="1"/>
    <xf borderId="0" fillId="0" fontId="16" numFmtId="0" xfId="0" applyFont="1"/>
    <xf borderId="0" fillId="0" fontId="35" numFmtId="0" xfId="0" applyAlignment="1" applyFont="1">
      <alignment horizontal="center"/>
    </xf>
    <xf borderId="0" fillId="0" fontId="1" numFmtId="0" xfId="0" applyAlignment="1" applyFont="1">
      <alignment shrinkToFit="0" vertical="center" wrapText="1"/>
    </xf>
    <xf borderId="0" fillId="0" fontId="36" numFmtId="0" xfId="0" applyAlignment="1" applyFont="1">
      <alignment horizontal="center"/>
    </xf>
    <xf borderId="0" fillId="0" fontId="20" numFmtId="166" xfId="0" applyAlignment="1" applyFont="1" applyNumberFormat="1">
      <alignment vertical="center"/>
    </xf>
    <xf borderId="0" fillId="0" fontId="37" numFmtId="0" xfId="0" applyAlignment="1" applyFont="1">
      <alignment shrinkToFit="0" vertical="center" wrapText="1"/>
    </xf>
    <xf borderId="0" fillId="0" fontId="38" numFmtId="0" xfId="0" applyAlignment="1" applyFont="1">
      <alignment shrinkToFit="0" vertical="center" wrapText="1"/>
    </xf>
    <xf borderId="0" fillId="0" fontId="39" numFmtId="0" xfId="0" applyAlignment="1" applyFont="1">
      <alignment horizontal="left"/>
    </xf>
    <xf borderId="0" fillId="0" fontId="40" numFmtId="0" xfId="0" applyAlignment="1" applyFont="1">
      <alignment horizontal="left"/>
    </xf>
    <xf borderId="0" fillId="0" fontId="20" numFmtId="0" xfId="0" applyAlignment="1" applyFont="1">
      <alignment horizontal="right" vertical="center"/>
    </xf>
    <xf borderId="0" fillId="0" fontId="41" numFmtId="166" xfId="0" applyAlignment="1" applyFont="1" applyNumberFormat="1">
      <alignment vertical="center"/>
    </xf>
    <xf borderId="0" fillId="0" fontId="5" numFmtId="22" xfId="0" applyAlignment="1" applyFont="1" applyNumberFormat="1">
      <alignment horizontal="left"/>
    </xf>
    <xf borderId="0" fillId="0" fontId="5" numFmtId="0" xfId="0" applyAlignment="1" applyFont="1">
      <alignment horizontal="right"/>
    </xf>
    <xf borderId="0" fillId="0" fontId="42" numFmtId="22" xfId="0" applyAlignment="1" applyFont="1" applyNumberFormat="1">
      <alignment horizontal="left"/>
    </xf>
    <xf borderId="1" fillId="3" fontId="43" numFmtId="0" xfId="0" applyAlignment="1" applyBorder="1" applyFont="1">
      <alignment horizontal="center" vertical="center"/>
    </xf>
    <xf borderId="27" fillId="14" fontId="44" numFmtId="0" xfId="0" applyAlignment="1" applyBorder="1" applyFill="1" applyFont="1">
      <alignment horizontal="center" vertical="center"/>
    </xf>
    <xf borderId="28" fillId="14" fontId="44" numFmtId="0" xfId="0" applyAlignment="1" applyBorder="1" applyFont="1">
      <alignment horizontal="center" vertical="center"/>
    </xf>
    <xf borderId="29" fillId="14" fontId="44" numFmtId="0" xfId="0" applyAlignment="1" applyBorder="1" applyFont="1">
      <alignment horizontal="center" readingOrder="0" vertical="center"/>
    </xf>
    <xf borderId="27" fillId="14" fontId="44" numFmtId="0" xfId="0" applyAlignment="1" applyBorder="1" applyFont="1">
      <alignment horizontal="center" readingOrder="0" vertical="center"/>
    </xf>
    <xf borderId="0" fillId="0" fontId="12" numFmtId="0" xfId="0" applyAlignment="1" applyFont="1">
      <alignment horizontal="center" vertical="center"/>
    </xf>
    <xf borderId="0" fillId="14" fontId="45" numFmtId="0" xfId="0" applyAlignment="1" applyFont="1">
      <alignment horizontal="center" readingOrder="0" vertical="center"/>
    </xf>
    <xf borderId="30" fillId="0" fontId="20" numFmtId="0" xfId="0" applyAlignment="1" applyBorder="1" applyFont="1">
      <alignment horizontal="center" vertical="center"/>
    </xf>
    <xf borderId="31" fillId="0" fontId="44" numFmtId="0" xfId="0" applyAlignment="1" applyBorder="1" applyFont="1">
      <alignment horizontal="center" vertical="center"/>
    </xf>
    <xf borderId="12" fillId="15" fontId="20" numFmtId="0" xfId="0" applyAlignment="1" applyBorder="1" applyFill="1" applyFont="1">
      <alignment horizontal="center" vertical="center"/>
    </xf>
    <xf borderId="32" fillId="0" fontId="20" numFmtId="0" xfId="0" applyAlignment="1" applyBorder="1" applyFont="1">
      <alignment horizontal="center" vertical="center"/>
    </xf>
    <xf borderId="31" fillId="0" fontId="20" numFmtId="0" xfId="0" applyAlignment="1" applyBorder="1" applyFont="1">
      <alignment horizontal="center" vertical="center"/>
    </xf>
    <xf borderId="31" fillId="0" fontId="1" numFmtId="0" xfId="0" applyAlignment="1" applyBorder="1" applyFont="1">
      <alignment horizontal="center" shrinkToFit="0" vertical="center" wrapText="1"/>
    </xf>
    <xf borderId="31" fillId="0" fontId="1" numFmtId="0" xfId="0" applyAlignment="1" applyBorder="1" applyFont="1">
      <alignment horizontal="center" vertical="center"/>
    </xf>
    <xf borderId="33" fillId="0" fontId="38" numFmtId="0" xfId="0" applyAlignment="1" applyBorder="1" applyFont="1">
      <alignment horizontal="center" shrinkToFit="0" vertical="center" wrapText="1"/>
    </xf>
    <xf borderId="0" fillId="0" fontId="41" numFmtId="0" xfId="0" applyAlignment="1" applyFont="1">
      <alignment horizontal="center" vertical="center"/>
    </xf>
    <xf borderId="34" fillId="3" fontId="3" numFmtId="0" xfId="0" applyBorder="1" applyFont="1"/>
    <xf borderId="30" fillId="0" fontId="5" numFmtId="0" xfId="0" applyBorder="1" applyFont="1"/>
    <xf borderId="35" fillId="0" fontId="46" numFmtId="0" xfId="0" applyAlignment="1" applyBorder="1" applyFont="1">
      <alignment horizontal="center" vertical="center"/>
    </xf>
    <xf borderId="32" fillId="0" fontId="47" numFmtId="0" xfId="0" applyAlignment="1" applyBorder="1" applyFont="1">
      <alignment horizontal="center" vertical="center"/>
    </xf>
    <xf borderId="31" fillId="0" fontId="5" numFmtId="0" xfId="0" applyAlignment="1" applyBorder="1" applyFont="1">
      <alignment horizontal="center" vertical="center"/>
    </xf>
    <xf borderId="33" fillId="0" fontId="38" numFmtId="164" xfId="0" applyAlignment="1" applyBorder="1" applyFont="1" applyNumberFormat="1">
      <alignment horizontal="center" vertical="center"/>
    </xf>
    <xf borderId="0" fillId="0" fontId="42" numFmtId="0" xfId="0" applyFont="1"/>
    <xf borderId="36" fillId="3" fontId="3" numFmtId="0" xfId="0" applyBorder="1" applyFont="1"/>
    <xf borderId="30" fillId="11" fontId="48" numFmtId="0" xfId="0" applyAlignment="1" applyBorder="1" applyFont="1">
      <alignment horizontal="center" vertical="center"/>
    </xf>
    <xf borderId="35" fillId="0" fontId="44" numFmtId="0" xfId="0" applyAlignment="1" applyBorder="1" applyFont="1">
      <alignment horizontal="center" vertical="center"/>
    </xf>
    <xf borderId="37" fillId="0" fontId="13" numFmtId="0" xfId="0" applyBorder="1" applyFont="1"/>
    <xf borderId="0" fillId="11" fontId="42" numFmtId="0" xfId="0" applyAlignment="1" applyFont="1">
      <alignment horizontal="center" vertical="center"/>
    </xf>
    <xf borderId="38" fillId="0" fontId="44" numFmtId="0" xfId="0" applyAlignment="1" applyBorder="1" applyFont="1">
      <alignment horizontal="center" vertical="center"/>
    </xf>
    <xf borderId="39" fillId="0" fontId="5" numFmtId="0" xfId="0" applyAlignment="1" applyBorder="1" applyFont="1">
      <alignment horizontal="center" vertical="center"/>
    </xf>
    <xf borderId="38" fillId="0" fontId="47" numFmtId="0" xfId="0" applyAlignment="1" applyBorder="1" applyFont="1">
      <alignment horizontal="center" vertical="center"/>
    </xf>
    <xf borderId="38" fillId="0" fontId="13" numFmtId="0" xfId="0" applyBorder="1" applyFont="1"/>
    <xf borderId="40" fillId="0" fontId="13" numFmtId="0" xfId="0" applyBorder="1" applyFont="1"/>
    <xf borderId="41" fillId="0" fontId="37" numFmtId="0" xfId="0" applyBorder="1" applyFont="1"/>
    <xf borderId="31" fillId="0" fontId="49" numFmtId="0" xfId="0" applyAlignment="1" applyBorder="1" applyFont="1">
      <alignment readingOrder="0"/>
    </xf>
    <xf borderId="31" fillId="0" fontId="5" numFmtId="0" xfId="0" applyAlignment="1" applyBorder="1" applyFont="1">
      <alignment horizontal="right" vertical="center"/>
    </xf>
    <xf borderId="31" fillId="0" fontId="13" numFmtId="0" xfId="0" applyBorder="1" applyFont="1"/>
    <xf borderId="0" fillId="0" fontId="20" numFmtId="0" xfId="0" applyAlignment="1" applyFont="1">
      <alignment horizontal="center" vertical="center"/>
    </xf>
    <xf borderId="37" fillId="0" fontId="38" numFmtId="164" xfId="0" applyAlignment="1" applyBorder="1" applyFont="1" applyNumberFormat="1">
      <alignment horizontal="center" vertical="center"/>
    </xf>
    <xf borderId="0" fillId="0" fontId="50" numFmtId="0" xfId="0" applyFont="1"/>
    <xf borderId="42" fillId="0" fontId="5" numFmtId="0" xfId="0" applyAlignment="1" applyBorder="1" applyFont="1">
      <alignment horizontal="center" vertical="center"/>
    </xf>
    <xf borderId="38" fillId="0" fontId="5" numFmtId="0" xfId="0" applyAlignment="1" applyBorder="1" applyFont="1">
      <alignment horizontal="center" vertical="center"/>
    </xf>
    <xf borderId="38" fillId="0" fontId="20" numFmtId="0" xfId="0" applyAlignment="1" applyBorder="1" applyFont="1">
      <alignment horizontal="center" vertical="center"/>
    </xf>
    <xf borderId="40" fillId="0" fontId="38" numFmtId="164" xfId="0" applyAlignment="1" applyBorder="1" applyFont="1" applyNumberFormat="1">
      <alignment horizontal="center" vertical="center"/>
    </xf>
    <xf borderId="0" fillId="0" fontId="42" numFmtId="0" xfId="0" applyAlignment="1" applyFont="1">
      <alignment horizontal="center" vertical="center"/>
    </xf>
    <xf borderId="42" fillId="8" fontId="5" numFmtId="0" xfId="0" applyAlignment="1" applyBorder="1" applyFont="1">
      <alignment horizontal="center" vertical="center"/>
    </xf>
    <xf borderId="38" fillId="8" fontId="44" numFmtId="0" xfId="0" applyAlignment="1" applyBorder="1" applyFont="1">
      <alignment horizontal="center" vertical="center"/>
    </xf>
    <xf borderId="38" fillId="8" fontId="5" numFmtId="0" xfId="0" applyAlignment="1" applyBorder="1" applyFont="1">
      <alignment horizontal="center" readingOrder="0" vertical="center"/>
    </xf>
    <xf borderId="38" fillId="8" fontId="5" numFmtId="0" xfId="0" applyAlignment="1" applyBorder="1" applyFont="1">
      <alignment horizontal="center" vertical="center"/>
    </xf>
    <xf borderId="38" fillId="8" fontId="20" numFmtId="0" xfId="0" applyAlignment="1" applyBorder="1" applyFont="1">
      <alignment horizontal="center" vertical="center"/>
    </xf>
    <xf borderId="40" fillId="8" fontId="38" numFmtId="164" xfId="0" applyAlignment="1" applyBorder="1" applyFont="1" applyNumberFormat="1">
      <alignment horizontal="center" vertical="center"/>
    </xf>
    <xf borderId="42" fillId="16" fontId="5" numFmtId="0" xfId="0" applyAlignment="1" applyBorder="1" applyFill="1" applyFont="1">
      <alignment horizontal="center" vertical="center"/>
    </xf>
    <xf borderId="38" fillId="16" fontId="44" numFmtId="0" xfId="0" applyAlignment="1" applyBorder="1" applyFont="1">
      <alignment horizontal="center" readingOrder="0" vertical="center"/>
    </xf>
    <xf borderId="42" fillId="16" fontId="5" numFmtId="0" xfId="0" applyAlignment="1" applyBorder="1" applyFont="1">
      <alignment horizontal="center" readingOrder="0" vertical="center"/>
    </xf>
    <xf borderId="38" fillId="16" fontId="5" numFmtId="0" xfId="0" applyAlignment="1" applyBorder="1" applyFont="1">
      <alignment horizontal="center" vertical="center"/>
    </xf>
    <xf borderId="38" fillId="16" fontId="20" numFmtId="0" xfId="0" applyAlignment="1" applyBorder="1" applyFont="1">
      <alignment horizontal="center" vertical="center"/>
    </xf>
    <xf borderId="40" fillId="16" fontId="38" numFmtId="164" xfId="0" applyAlignment="1" applyBorder="1" applyFont="1" applyNumberFormat="1">
      <alignment horizontal="center" vertical="center"/>
    </xf>
    <xf borderId="43" fillId="3" fontId="5" numFmtId="0" xfId="0" applyBorder="1" applyFont="1"/>
    <xf borderId="38" fillId="0" fontId="5" numFmtId="0" xfId="0" applyBorder="1" applyFont="1"/>
    <xf borderId="0" fillId="0" fontId="44"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3" fontId="5" numFmtId="0" xfId="0" applyFont="1"/>
    <xf borderId="0" fillId="0" fontId="5" numFmtId="0" xfId="0" applyAlignment="1" applyFont="1">
      <alignment horizontal="center"/>
    </xf>
    <xf borderId="12" fillId="0" fontId="5" numFmtId="0" xfId="0" applyAlignment="1" applyBorder="1" applyFont="1">
      <alignment horizontal="center"/>
    </xf>
    <xf borderId="0" fillId="0" fontId="51" numFmtId="0" xfId="0" applyAlignment="1" applyFont="1">
      <alignment horizontal="center" readingOrder="0"/>
    </xf>
    <xf borderId="44" fillId="0" fontId="52" numFmtId="0" xfId="0" applyAlignment="1" applyBorder="1" applyFont="1">
      <alignment horizontal="center" readingOrder="0"/>
    </xf>
    <xf borderId="44" fillId="0" fontId="2" numFmtId="0" xfId="0" applyAlignment="1" applyBorder="1" applyFont="1">
      <alignment horizontal="center"/>
    </xf>
    <xf borderId="44" fillId="0" fontId="2" numFmtId="0" xfId="0" applyAlignment="1" applyBorder="1" applyFont="1">
      <alignment horizontal="center" readingOrder="0"/>
    </xf>
    <xf borderId="44" fillId="0" fontId="22" numFmtId="0" xfId="0" applyAlignment="1" applyBorder="1" applyFont="1">
      <alignment horizontal="center" readingOrder="0"/>
    </xf>
    <xf borderId="0" fillId="0" fontId="52" numFmtId="0" xfId="0" applyAlignment="1" applyFont="1">
      <alignment horizontal="center" readingOrder="0"/>
    </xf>
    <xf borderId="0" fillId="0" fontId="2" numFmtId="1" xfId="0" applyAlignment="1" applyFont="1" applyNumberFormat="1">
      <alignment horizontal="center"/>
    </xf>
    <xf borderId="0" fillId="0" fontId="53" numFmtId="0" xfId="0" applyAlignment="1" applyFont="1">
      <alignment horizontal="center" readingOrder="0"/>
    </xf>
    <xf borderId="0" fillId="17" fontId="22" numFmtId="0" xfId="0" applyAlignment="1" applyFill="1" applyFont="1">
      <alignment horizontal="center" readingOrder="0"/>
    </xf>
    <xf borderId="0" fillId="17" fontId="22" numFmtId="0" xfId="0" applyAlignment="1" applyFont="1">
      <alignment readingOrder="0"/>
    </xf>
    <xf borderId="0" fillId="0" fontId="54" numFmtId="0" xfId="0" applyAlignment="1" applyFont="1">
      <alignment horizontal="center" readingOrder="0"/>
    </xf>
    <xf borderId="0" fillId="0" fontId="54" numFmtId="2" xfId="0" applyAlignment="1" applyFont="1" applyNumberFormat="1">
      <alignment horizontal="center"/>
    </xf>
    <xf borderId="0" fillId="0" fontId="54" numFmtId="1" xfId="0" applyAlignment="1" applyFont="1" applyNumberFormat="1">
      <alignment horizontal="center"/>
    </xf>
    <xf borderId="0" fillId="0" fontId="54" numFmtId="0" xfId="0" applyAlignment="1" applyFont="1">
      <alignment horizontal="left"/>
    </xf>
    <xf borderId="44" fillId="0" fontId="55" numFmtId="0" xfId="0" applyAlignment="1" applyBorder="1" applyFont="1">
      <alignment horizontal="center" readingOrder="0" shrinkToFit="0" vertical="bottom" wrapText="0"/>
    </xf>
    <xf borderId="0" fillId="0" fontId="56" numFmtId="0" xfId="0" applyAlignment="1" applyFont="1">
      <alignment horizontal="left" shrinkToFit="0" vertical="top" wrapText="0"/>
    </xf>
    <xf borderId="44" fillId="0" fontId="57" numFmtId="0" xfId="0" applyAlignment="1" applyBorder="1" applyFont="1">
      <alignment horizontal="center" readingOrder="0" shrinkToFit="0" vertical="bottom" wrapText="0"/>
    </xf>
    <xf borderId="0" fillId="0" fontId="58" numFmtId="0" xfId="0" applyFont="1"/>
    <xf borderId="44" fillId="0" fontId="59" numFmtId="0" xfId="0" applyAlignment="1" applyBorder="1" applyFont="1">
      <alignment horizontal="center" readingOrder="0" shrinkToFit="0" vertical="bottom" wrapText="0"/>
    </xf>
    <xf borderId="44" fillId="0" fontId="59" numFmtId="0" xfId="0" applyAlignment="1" applyBorder="1" applyFont="1">
      <alignment horizontal="center" readingOrder="0" shrinkToFit="0" vertical="center" wrapText="0"/>
    </xf>
    <xf borderId="44" fillId="0" fontId="59" numFmtId="2" xfId="0" applyAlignment="1" applyBorder="1" applyFont="1" applyNumberFormat="1">
      <alignment horizontal="center" readingOrder="0" shrinkToFit="0" vertical="bottom" wrapText="0"/>
    </xf>
    <xf borderId="0" fillId="0" fontId="56" numFmtId="0" xfId="0" applyAlignment="1" applyFont="1">
      <alignment shrinkToFit="0" vertical="bottom" wrapText="0"/>
    </xf>
    <xf borderId="37" fillId="0" fontId="60" numFmtId="0" xfId="0" applyAlignment="1" applyBorder="1" applyFont="1">
      <alignment shrinkToFit="0" wrapText="0"/>
    </xf>
    <xf borderId="45" fillId="0" fontId="60" numFmtId="0" xfId="0" applyAlignment="1" applyBorder="1" applyFont="1">
      <alignment horizontal="center" readingOrder="0" shrinkToFit="0" textRotation="90" vertical="center" wrapText="0"/>
    </xf>
    <xf borderId="45" fillId="0" fontId="13" numFmtId="0" xfId="0" applyBorder="1" applyFont="1"/>
    <xf borderId="0" fillId="0" fontId="58" numFmtId="0" xfId="0" applyAlignment="1" applyFont="1">
      <alignment readingOrder="0"/>
    </xf>
    <xf borderId="44" fillId="0" fontId="56" numFmtId="0" xfId="0" applyAlignment="1" applyBorder="1" applyFont="1">
      <alignment horizontal="center" readingOrder="0" shrinkToFit="0" vertical="bottom" wrapText="0"/>
    </xf>
    <xf borderId="44" fillId="0" fontId="56" numFmtId="2" xfId="0" applyAlignment="1" applyBorder="1" applyFont="1" applyNumberFormat="1">
      <alignment horizontal="center" readingOrder="0" shrinkToFit="0" vertical="bottom" wrapText="0"/>
    </xf>
    <xf borderId="0" fillId="0" fontId="61" numFmtId="0" xfId="0" applyFont="1"/>
  </cellXfs>
  <cellStyles count="1">
    <cellStyle xfId="0" name="Normal" builtinId="0"/>
  </cellStyles>
  <dxfs count="7">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
      <font/>
      <fill>
        <patternFill patternType="solid">
          <fgColor rgb="FFFF0000"/>
          <bgColor rgb="FFFF0000"/>
        </patternFill>
      </fill>
      <border/>
    </dxf>
    <dxf>
      <font>
        <color theme="0"/>
      </font>
      <fill>
        <patternFill patternType="none"/>
      </fill>
      <border/>
    </dxf>
    <dxf>
      <font/>
      <fill>
        <patternFill patternType="solid">
          <fgColor rgb="FFB7E1CD"/>
          <bgColor rgb="FFB7E1CD"/>
        </patternFill>
      </fill>
      <border/>
    </dxf>
  </dxfs>
  <tableStyles count="2">
    <tableStyle count="3" pivot="0" name="Mitglieder BBU-style">
      <tableStyleElement dxfId="1" type="headerRow"/>
      <tableStyleElement dxfId="2" type="firstRowStripe"/>
      <tableStyleElement dxfId="3" type="secondRowStripe"/>
    </tableStyle>
    <tableStyle count="2" pivot="0" name="Mitglieder BBU-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0</xdr:row>
      <xdr:rowOff>0</xdr:rowOff>
    </xdr:from>
    <xdr:ext cx="552450" cy="571500"/>
    <xdr:pic>
      <xdr:nvPicPr>
        <xdr:cNvPr id="0" name="image1.jp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1476375</xdr:colOff>
      <xdr:row>0</xdr:row>
      <xdr:rowOff>0</xdr:rowOff>
    </xdr:from>
    <xdr:ext cx="552450" cy="571500"/>
    <xdr:pic>
      <xdr:nvPicPr>
        <xdr:cNvPr id="0" name="image1.jp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K1040" displayName="Table_1" name="Table_1" id="1">
  <tableColumns count="11">
    <tableColumn name="16051" id="1"/>
    <tableColumn name="148840" id="2"/>
    <tableColumn name="Herr" id="3"/>
    <tableColumn name="Daniel" id="4"/>
    <tableColumn name="Baumann" id="5"/>
    <tableColumn name="Daniel Baumann" id="6"/>
    <tableColumn name="1. BSV Ulm/Neu-Ulm" id="7"/>
    <tableColumn name="BC Neu-Ulmer Falken" id="8"/>
    <tableColumn name="X" id="9"/>
    <tableColumn name="Männer" id="10"/>
    <tableColumn name="Erwachsener" id="11"/>
  </tableColumns>
  <tableStyleInfo name="Mitglieder BBU-style" showColumnStripes="0" showFirstColumn="1" showLastColumn="1" showRowStripes="1"/>
</table>
</file>

<file path=xl/tables/table2.xml><?xml version="1.0" encoding="utf-8"?>
<table xmlns="http://schemas.openxmlformats.org/spreadsheetml/2006/main" headerRowCount="0" ref="G1057:H1058" displayName="Table_2" name="Table_2" id="2">
  <tableColumns count="2">
    <tableColumn name="Column1" id="1"/>
    <tableColumn name="Column2" id="2"/>
  </tableColumns>
  <tableStyleInfo name="Mitglieder BBU-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1.22" defaultRowHeight="15.0"/>
  <cols>
    <col customWidth="1" min="1" max="1" width="34.56"/>
    <col customWidth="1" min="2" max="4" width="8.33"/>
    <col customWidth="1" min="5" max="5" width="26.33"/>
    <col customWidth="1" min="6" max="6" width="44.44"/>
    <col customWidth="1" min="7" max="7" width="17.0"/>
    <col customWidth="1" min="8" max="8" width="15.11"/>
    <col customWidth="1" min="9" max="26" width="8.33"/>
  </cols>
  <sheetData>
    <row r="1">
      <c r="A1" s="1" t="s">
        <v>0</v>
      </c>
      <c r="B1" s="1"/>
      <c r="C1" s="1"/>
      <c r="D1" s="1" t="s">
        <v>1</v>
      </c>
      <c r="E1" s="1" t="s">
        <v>2</v>
      </c>
      <c r="F1" s="1" t="s">
        <v>3</v>
      </c>
      <c r="G1" s="1" t="s">
        <v>4</v>
      </c>
      <c r="H1" s="1" t="s">
        <v>5</v>
      </c>
      <c r="I1" s="1" t="s">
        <v>6</v>
      </c>
      <c r="J1" s="1" t="s">
        <v>7</v>
      </c>
      <c r="K1" s="1"/>
      <c r="L1" s="1"/>
      <c r="M1" s="1"/>
      <c r="N1" s="1"/>
      <c r="O1" s="1"/>
      <c r="P1" s="1"/>
      <c r="Q1" s="1"/>
      <c r="R1" s="1"/>
      <c r="S1" s="1"/>
      <c r="T1" s="1"/>
      <c r="U1" s="1"/>
      <c r="V1" s="1"/>
      <c r="W1" s="1"/>
      <c r="X1" s="1"/>
      <c r="Y1" s="1"/>
      <c r="Z1" s="1"/>
    </row>
    <row r="2">
      <c r="A2" s="2" t="s">
        <v>8</v>
      </c>
      <c r="B2" s="2">
        <v>2023.0</v>
      </c>
      <c r="C2" s="2">
        <v>2024.0</v>
      </c>
      <c r="D2" s="2" t="str">
        <f t="shared" ref="D2:D50" si="2">CONCAT(B2,"/",C2)</f>
        <v>#N/A</v>
      </c>
      <c r="E2" s="2" t="s">
        <v>9</v>
      </c>
      <c r="F2" s="2" t="s">
        <v>10</v>
      </c>
      <c r="G2" s="2" t="s">
        <v>11</v>
      </c>
      <c r="H2" s="3" t="s">
        <v>12</v>
      </c>
      <c r="I2" s="2" t="s">
        <v>13</v>
      </c>
      <c r="J2" s="4" t="s">
        <v>14</v>
      </c>
    </row>
    <row r="3">
      <c r="A3" s="2" t="s">
        <v>15</v>
      </c>
      <c r="B3" s="2">
        <f t="shared" ref="B3:C3" si="1">B2+1</f>
        <v>2024</v>
      </c>
      <c r="C3" s="2">
        <f t="shared" si="1"/>
        <v>2025</v>
      </c>
      <c r="D3" s="2" t="str">
        <f t="shared" si="2"/>
        <v>#N/A</v>
      </c>
      <c r="E3" s="2" t="s">
        <v>16</v>
      </c>
      <c r="F3" s="2" t="s">
        <v>17</v>
      </c>
      <c r="G3" s="2" t="s">
        <v>18</v>
      </c>
      <c r="H3" s="5" t="s">
        <v>19</v>
      </c>
      <c r="I3" s="2" t="s">
        <v>20</v>
      </c>
      <c r="J3" s="4" t="s">
        <v>21</v>
      </c>
    </row>
    <row r="4">
      <c r="A4" s="2" t="s">
        <v>22</v>
      </c>
      <c r="B4" s="2">
        <f t="shared" ref="B4:C4" si="3">B3+1</f>
        <v>2025</v>
      </c>
      <c r="C4" s="2">
        <f t="shared" si="3"/>
        <v>2026</v>
      </c>
      <c r="D4" s="2" t="str">
        <f t="shared" si="2"/>
        <v>#N/A</v>
      </c>
      <c r="E4" s="2" t="s">
        <v>23</v>
      </c>
      <c r="G4" s="2" t="s">
        <v>24</v>
      </c>
      <c r="H4" s="6" t="s">
        <v>25</v>
      </c>
      <c r="J4" s="4" t="s">
        <v>26</v>
      </c>
    </row>
    <row r="5">
      <c r="A5" s="2" t="s">
        <v>27</v>
      </c>
      <c r="B5" s="2">
        <f t="shared" ref="B5:C5" si="4">B4+1</f>
        <v>2026</v>
      </c>
      <c r="C5" s="2">
        <f t="shared" si="4"/>
        <v>2027</v>
      </c>
      <c r="D5" s="2" t="str">
        <f t="shared" si="2"/>
        <v>#N/A</v>
      </c>
      <c r="E5" s="2" t="s">
        <v>28</v>
      </c>
      <c r="H5" s="7" t="s">
        <v>29</v>
      </c>
      <c r="J5" s="4" t="s">
        <v>30</v>
      </c>
    </row>
    <row r="6">
      <c r="A6" s="2" t="s">
        <v>31</v>
      </c>
      <c r="B6" s="2">
        <f t="shared" ref="B6:C6" si="5">B5+1</f>
        <v>2027</v>
      </c>
      <c r="C6" s="2">
        <f t="shared" si="5"/>
        <v>2028</v>
      </c>
      <c r="D6" s="2" t="str">
        <f t="shared" si="2"/>
        <v>#N/A</v>
      </c>
      <c r="E6" s="2" t="s">
        <v>32</v>
      </c>
      <c r="H6" s="8" t="s">
        <v>33</v>
      </c>
      <c r="J6" s="4" t="s">
        <v>34</v>
      </c>
    </row>
    <row r="7">
      <c r="A7" s="2" t="s">
        <v>35</v>
      </c>
      <c r="B7" s="2">
        <f t="shared" ref="B7:C7" si="6">B6+1</f>
        <v>2028</v>
      </c>
      <c r="C7" s="2">
        <f t="shared" si="6"/>
        <v>2029</v>
      </c>
      <c r="D7" s="2" t="str">
        <f t="shared" si="2"/>
        <v>#N/A</v>
      </c>
      <c r="E7" s="2" t="s">
        <v>36</v>
      </c>
      <c r="H7" s="9" t="s">
        <v>37</v>
      </c>
      <c r="J7" s="4" t="s">
        <v>38</v>
      </c>
    </row>
    <row r="8">
      <c r="A8" s="2" t="s">
        <v>39</v>
      </c>
      <c r="B8" s="2">
        <f t="shared" ref="B8:C8" si="7">B7+1</f>
        <v>2029</v>
      </c>
      <c r="C8" s="2">
        <f t="shared" si="7"/>
        <v>2030</v>
      </c>
      <c r="D8" s="2" t="str">
        <f t="shared" si="2"/>
        <v>#N/A</v>
      </c>
      <c r="E8" s="2" t="s">
        <v>40</v>
      </c>
      <c r="J8" s="4" t="s">
        <v>41</v>
      </c>
    </row>
    <row r="9">
      <c r="A9" s="2" t="s">
        <v>42</v>
      </c>
      <c r="B9" s="2">
        <f t="shared" ref="B9:C9" si="8">B8+1</f>
        <v>2030</v>
      </c>
      <c r="C9" s="2">
        <f t="shared" si="8"/>
        <v>2031</v>
      </c>
      <c r="D9" s="2" t="str">
        <f t="shared" si="2"/>
        <v>#N/A</v>
      </c>
      <c r="E9" s="2" t="s">
        <v>43</v>
      </c>
      <c r="J9" s="4" t="s">
        <v>44</v>
      </c>
    </row>
    <row r="10">
      <c r="A10" s="2" t="s">
        <v>45</v>
      </c>
      <c r="B10" s="2">
        <f t="shared" ref="B10:C10" si="9">B9+1</f>
        <v>2031</v>
      </c>
      <c r="C10" s="2">
        <f t="shared" si="9"/>
        <v>2032</v>
      </c>
      <c r="D10" s="2" t="str">
        <f t="shared" si="2"/>
        <v>#N/A</v>
      </c>
      <c r="E10" s="2" t="s">
        <v>46</v>
      </c>
      <c r="J10" s="4" t="s">
        <v>47</v>
      </c>
    </row>
    <row r="11">
      <c r="A11" s="2" t="s">
        <v>48</v>
      </c>
      <c r="B11" s="2">
        <f t="shared" ref="B11:C11" si="10">B10+1</f>
        <v>2032</v>
      </c>
      <c r="C11" s="2">
        <f t="shared" si="10"/>
        <v>2033</v>
      </c>
      <c r="D11" s="2" t="str">
        <f t="shared" si="2"/>
        <v>#N/A</v>
      </c>
      <c r="E11" s="2" t="s">
        <v>49</v>
      </c>
      <c r="J11" s="4" t="s">
        <v>50</v>
      </c>
    </row>
    <row r="12">
      <c r="A12" s="2" t="s">
        <v>51</v>
      </c>
      <c r="B12" s="2">
        <f t="shared" ref="B12:C12" si="11">B11+1</f>
        <v>2033</v>
      </c>
      <c r="C12" s="2">
        <f t="shared" si="11"/>
        <v>2034</v>
      </c>
      <c r="D12" s="2" t="str">
        <f t="shared" si="2"/>
        <v>#N/A</v>
      </c>
      <c r="E12" s="2" t="s">
        <v>52</v>
      </c>
      <c r="J12" s="4" t="s">
        <v>53</v>
      </c>
    </row>
    <row r="13">
      <c r="A13" s="2" t="s">
        <v>54</v>
      </c>
      <c r="B13" s="2">
        <f t="shared" ref="B13:C13" si="12">B12+1</f>
        <v>2034</v>
      </c>
      <c r="C13" s="2">
        <f t="shared" si="12"/>
        <v>2035</v>
      </c>
      <c r="D13" s="2" t="str">
        <f t="shared" si="2"/>
        <v>#N/A</v>
      </c>
      <c r="E13" s="2" t="s">
        <v>55</v>
      </c>
      <c r="J13" s="4" t="s">
        <v>56</v>
      </c>
    </row>
    <row r="14">
      <c r="A14" s="2" t="s">
        <v>57</v>
      </c>
      <c r="B14" s="2">
        <f t="shared" ref="B14:C14" si="13">B13+1</f>
        <v>2035</v>
      </c>
      <c r="C14" s="2">
        <f t="shared" si="13"/>
        <v>2036</v>
      </c>
      <c r="D14" s="2" t="str">
        <f t="shared" si="2"/>
        <v>#N/A</v>
      </c>
      <c r="E14" s="2" t="s">
        <v>58</v>
      </c>
      <c r="J14" s="4" t="s">
        <v>59</v>
      </c>
    </row>
    <row r="15">
      <c r="A15" s="2" t="s">
        <v>60</v>
      </c>
      <c r="B15" s="2">
        <f t="shared" ref="B15:C15" si="14">B14+1</f>
        <v>2036</v>
      </c>
      <c r="C15" s="2">
        <f t="shared" si="14"/>
        <v>2037</v>
      </c>
      <c r="D15" s="2" t="str">
        <f t="shared" si="2"/>
        <v>#N/A</v>
      </c>
      <c r="E15" s="2" t="s">
        <v>61</v>
      </c>
      <c r="J15" s="4" t="s">
        <v>62</v>
      </c>
    </row>
    <row r="16">
      <c r="A16" s="2" t="s">
        <v>63</v>
      </c>
      <c r="B16" s="2">
        <f t="shared" ref="B16:C16" si="15">B15+1</f>
        <v>2037</v>
      </c>
      <c r="C16" s="2">
        <f t="shared" si="15"/>
        <v>2038</v>
      </c>
      <c r="D16" s="2" t="str">
        <f t="shared" si="2"/>
        <v>#N/A</v>
      </c>
      <c r="E16" s="2" t="s">
        <v>64</v>
      </c>
      <c r="J16" s="4" t="s">
        <v>65</v>
      </c>
    </row>
    <row r="17">
      <c r="A17" s="2" t="s">
        <v>66</v>
      </c>
      <c r="B17" s="2">
        <f t="shared" ref="B17:C17" si="16">B16+1</f>
        <v>2038</v>
      </c>
      <c r="C17" s="2">
        <f t="shared" si="16"/>
        <v>2039</v>
      </c>
      <c r="D17" s="2" t="str">
        <f t="shared" si="2"/>
        <v>#N/A</v>
      </c>
      <c r="E17" s="2" t="s">
        <v>67</v>
      </c>
      <c r="J17" s="4" t="s">
        <v>68</v>
      </c>
    </row>
    <row r="18">
      <c r="A18" s="2" t="s">
        <v>69</v>
      </c>
      <c r="B18" s="2">
        <f t="shared" ref="B18:C18" si="17">B17+1</f>
        <v>2039</v>
      </c>
      <c r="C18" s="2">
        <f t="shared" si="17"/>
        <v>2040</v>
      </c>
      <c r="D18" s="2" t="str">
        <f t="shared" si="2"/>
        <v>#N/A</v>
      </c>
      <c r="E18" s="2" t="s">
        <v>70</v>
      </c>
      <c r="J18" s="4" t="s">
        <v>71</v>
      </c>
    </row>
    <row r="19">
      <c r="A19" s="2" t="s">
        <v>72</v>
      </c>
      <c r="B19" s="2">
        <f t="shared" ref="B19:C19" si="18">B18+1</f>
        <v>2040</v>
      </c>
      <c r="C19" s="2">
        <f t="shared" si="18"/>
        <v>2041</v>
      </c>
      <c r="D19" s="2" t="str">
        <f t="shared" si="2"/>
        <v>#N/A</v>
      </c>
      <c r="E19" s="2" t="s">
        <v>73</v>
      </c>
      <c r="J19" s="4" t="s">
        <v>74</v>
      </c>
    </row>
    <row r="20">
      <c r="A20" s="10" t="s">
        <v>75</v>
      </c>
      <c r="B20" s="2">
        <f t="shared" ref="B20:C20" si="19">B19+1</f>
        <v>2041</v>
      </c>
      <c r="C20" s="2">
        <f t="shared" si="19"/>
        <v>2042</v>
      </c>
      <c r="D20" s="2" t="str">
        <f t="shared" si="2"/>
        <v>#N/A</v>
      </c>
      <c r="E20" s="2" t="s">
        <v>76</v>
      </c>
      <c r="J20" s="4" t="s">
        <v>77</v>
      </c>
    </row>
    <row r="21">
      <c r="A21" s="10" t="s">
        <v>78</v>
      </c>
      <c r="B21" s="2">
        <f t="shared" ref="B21:C21" si="20">B20+1</f>
        <v>2042</v>
      </c>
      <c r="C21" s="2">
        <f t="shared" si="20"/>
        <v>2043</v>
      </c>
      <c r="D21" s="2" t="str">
        <f t="shared" si="2"/>
        <v>#N/A</v>
      </c>
      <c r="E21" s="2" t="s">
        <v>79</v>
      </c>
      <c r="J21" s="4" t="s">
        <v>80</v>
      </c>
    </row>
    <row r="22">
      <c r="B22" s="2">
        <f t="shared" ref="B22:C22" si="21">B21+1</f>
        <v>2043</v>
      </c>
      <c r="C22" s="2">
        <f t="shared" si="21"/>
        <v>2044</v>
      </c>
      <c r="D22" s="2" t="str">
        <f t="shared" si="2"/>
        <v>#N/A</v>
      </c>
      <c r="E22" s="2" t="s">
        <v>81</v>
      </c>
    </row>
    <row r="23">
      <c r="B23" s="2">
        <f t="shared" ref="B23:C23" si="22">B22+1</f>
        <v>2044</v>
      </c>
      <c r="C23" s="2">
        <f t="shared" si="22"/>
        <v>2045</v>
      </c>
      <c r="D23" s="2" t="str">
        <f t="shared" si="2"/>
        <v>#N/A</v>
      </c>
      <c r="E23" s="2" t="s">
        <v>82</v>
      </c>
    </row>
    <row r="24">
      <c r="B24" s="2">
        <f t="shared" ref="B24:C24" si="23">B23+1</f>
        <v>2045</v>
      </c>
      <c r="C24" s="2">
        <f t="shared" si="23"/>
        <v>2046</v>
      </c>
      <c r="D24" s="2" t="str">
        <f t="shared" si="2"/>
        <v>#N/A</v>
      </c>
    </row>
    <row r="25">
      <c r="B25" s="2">
        <f t="shared" ref="B25:C25" si="24">B24+1</f>
        <v>2046</v>
      </c>
      <c r="C25" s="2">
        <f t="shared" si="24"/>
        <v>2047</v>
      </c>
      <c r="D25" s="2" t="str">
        <f t="shared" si="2"/>
        <v>#N/A</v>
      </c>
    </row>
    <row r="26">
      <c r="B26" s="2">
        <f t="shared" ref="B26:C26" si="25">B25+1</f>
        <v>2047</v>
      </c>
      <c r="C26" s="2">
        <f t="shared" si="25"/>
        <v>2048</v>
      </c>
      <c r="D26" s="2" t="str">
        <f t="shared" si="2"/>
        <v>#N/A</v>
      </c>
    </row>
    <row r="27">
      <c r="B27" s="2">
        <f t="shared" ref="B27:C27" si="26">B26+1</f>
        <v>2048</v>
      </c>
      <c r="C27" s="2">
        <f t="shared" si="26"/>
        <v>2049</v>
      </c>
      <c r="D27" s="2" t="str">
        <f t="shared" si="2"/>
        <v>#N/A</v>
      </c>
    </row>
    <row r="28">
      <c r="B28" s="2">
        <f t="shared" ref="B28:C28" si="27">B27+1</f>
        <v>2049</v>
      </c>
      <c r="C28" s="2">
        <f t="shared" si="27"/>
        <v>2050</v>
      </c>
      <c r="D28" s="2" t="str">
        <f t="shared" si="2"/>
        <v>#N/A</v>
      </c>
    </row>
    <row r="29">
      <c r="B29" s="2">
        <f t="shared" ref="B29:C29" si="28">B28+1</f>
        <v>2050</v>
      </c>
      <c r="C29" s="2">
        <f t="shared" si="28"/>
        <v>2051</v>
      </c>
      <c r="D29" s="2" t="str">
        <f t="shared" si="2"/>
        <v>#N/A</v>
      </c>
    </row>
    <row r="30">
      <c r="B30" s="2">
        <f t="shared" ref="B30:C30" si="29">B29+1</f>
        <v>2051</v>
      </c>
      <c r="C30" s="2">
        <f t="shared" si="29"/>
        <v>2052</v>
      </c>
      <c r="D30" s="2" t="str">
        <f t="shared" si="2"/>
        <v>#N/A</v>
      </c>
    </row>
    <row r="31">
      <c r="B31" s="2">
        <f t="shared" ref="B31:C31" si="30">B30+1</f>
        <v>2052</v>
      </c>
      <c r="C31" s="2">
        <f t="shared" si="30"/>
        <v>2053</v>
      </c>
      <c r="D31" s="2" t="str">
        <f t="shared" si="2"/>
        <v>#N/A</v>
      </c>
    </row>
    <row r="32">
      <c r="B32" s="2">
        <f t="shared" ref="B32:C32" si="31">B31+1</f>
        <v>2053</v>
      </c>
      <c r="C32" s="2">
        <f t="shared" si="31"/>
        <v>2054</v>
      </c>
      <c r="D32" s="2" t="str">
        <f t="shared" si="2"/>
        <v>#N/A</v>
      </c>
    </row>
    <row r="33">
      <c r="B33" s="2">
        <f t="shared" ref="B33:C33" si="32">B32+1</f>
        <v>2054</v>
      </c>
      <c r="C33" s="2">
        <f t="shared" si="32"/>
        <v>2055</v>
      </c>
      <c r="D33" s="2" t="str">
        <f t="shared" si="2"/>
        <v>#N/A</v>
      </c>
    </row>
    <row r="34">
      <c r="B34" s="2">
        <f t="shared" ref="B34:C34" si="33">B33+1</f>
        <v>2055</v>
      </c>
      <c r="C34" s="2">
        <f t="shared" si="33"/>
        <v>2056</v>
      </c>
      <c r="D34" s="2" t="str">
        <f t="shared" si="2"/>
        <v>#N/A</v>
      </c>
    </row>
    <row r="35">
      <c r="B35" s="2">
        <f t="shared" ref="B35:C35" si="34">B34+1</f>
        <v>2056</v>
      </c>
      <c r="C35" s="2">
        <f t="shared" si="34"/>
        <v>2057</v>
      </c>
      <c r="D35" s="2" t="str">
        <f t="shared" si="2"/>
        <v>#N/A</v>
      </c>
    </row>
    <row r="36">
      <c r="B36" s="2">
        <f t="shared" ref="B36:C36" si="35">B35+1</f>
        <v>2057</v>
      </c>
      <c r="C36" s="2">
        <f t="shared" si="35"/>
        <v>2058</v>
      </c>
      <c r="D36" s="2" t="str">
        <f t="shared" si="2"/>
        <v>#N/A</v>
      </c>
    </row>
    <row r="37">
      <c r="B37" s="2">
        <f t="shared" ref="B37:C37" si="36">B36+1</f>
        <v>2058</v>
      </c>
      <c r="C37" s="2">
        <f t="shared" si="36"/>
        <v>2059</v>
      </c>
      <c r="D37" s="2" t="str">
        <f t="shared" si="2"/>
        <v>#N/A</v>
      </c>
    </row>
    <row r="38">
      <c r="B38" s="2">
        <f t="shared" ref="B38:C38" si="37">B37+1</f>
        <v>2059</v>
      </c>
      <c r="C38" s="2">
        <f t="shared" si="37"/>
        <v>2060</v>
      </c>
      <c r="D38" s="2" t="str">
        <f t="shared" si="2"/>
        <v>#N/A</v>
      </c>
    </row>
    <row r="39">
      <c r="B39" s="2">
        <f t="shared" ref="B39:C39" si="38">B38+1</f>
        <v>2060</v>
      </c>
      <c r="C39" s="2">
        <f t="shared" si="38"/>
        <v>2061</v>
      </c>
      <c r="D39" s="2" t="str">
        <f t="shared" si="2"/>
        <v>#N/A</v>
      </c>
    </row>
    <row r="40">
      <c r="B40" s="2">
        <f t="shared" ref="B40:C40" si="39">B39+1</f>
        <v>2061</v>
      </c>
      <c r="C40" s="2">
        <f t="shared" si="39"/>
        <v>2062</v>
      </c>
      <c r="D40" s="2" t="str">
        <f t="shared" si="2"/>
        <v>#N/A</v>
      </c>
    </row>
    <row r="41">
      <c r="B41" s="2">
        <f t="shared" ref="B41:C41" si="40">B40+1</f>
        <v>2062</v>
      </c>
      <c r="C41" s="2">
        <f t="shared" si="40"/>
        <v>2063</v>
      </c>
      <c r="D41" s="2" t="str">
        <f t="shared" si="2"/>
        <v>#N/A</v>
      </c>
    </row>
    <row r="42">
      <c r="B42" s="2">
        <f t="shared" ref="B42:C42" si="41">B41+1</f>
        <v>2063</v>
      </c>
      <c r="C42" s="2">
        <f t="shared" si="41"/>
        <v>2064</v>
      </c>
      <c r="D42" s="2" t="str">
        <f t="shared" si="2"/>
        <v>#N/A</v>
      </c>
    </row>
    <row r="43">
      <c r="B43" s="2">
        <f t="shared" ref="B43:C43" si="42">B42+1</f>
        <v>2064</v>
      </c>
      <c r="C43" s="2">
        <f t="shared" si="42"/>
        <v>2065</v>
      </c>
      <c r="D43" s="2" t="str">
        <f t="shared" si="2"/>
        <v>#N/A</v>
      </c>
    </row>
    <row r="44">
      <c r="B44" s="2">
        <f t="shared" ref="B44:C44" si="43">B43+1</f>
        <v>2065</v>
      </c>
      <c r="C44" s="2">
        <f t="shared" si="43"/>
        <v>2066</v>
      </c>
      <c r="D44" s="2" t="str">
        <f t="shared" si="2"/>
        <v>#N/A</v>
      </c>
    </row>
    <row r="45">
      <c r="B45" s="2">
        <f t="shared" ref="B45:C45" si="44">B44+1</f>
        <v>2066</v>
      </c>
      <c r="C45" s="2">
        <f t="shared" si="44"/>
        <v>2067</v>
      </c>
      <c r="D45" s="2" t="str">
        <f t="shared" si="2"/>
        <v>#N/A</v>
      </c>
    </row>
    <row r="46">
      <c r="B46" s="2">
        <f t="shared" ref="B46:C46" si="45">B45+1</f>
        <v>2067</v>
      </c>
      <c r="C46" s="2">
        <f t="shared" si="45"/>
        <v>2068</v>
      </c>
      <c r="D46" s="2" t="str">
        <f t="shared" si="2"/>
        <v>#N/A</v>
      </c>
    </row>
    <row r="47">
      <c r="B47" s="2">
        <f t="shared" ref="B47:C47" si="46">B46+1</f>
        <v>2068</v>
      </c>
      <c r="C47" s="2">
        <f t="shared" si="46"/>
        <v>2069</v>
      </c>
      <c r="D47" s="2" t="str">
        <f t="shared" si="2"/>
        <v>#N/A</v>
      </c>
    </row>
    <row r="48">
      <c r="B48" s="2">
        <f t="shared" ref="B48:C48" si="47">B47+1</f>
        <v>2069</v>
      </c>
      <c r="C48" s="2">
        <f t="shared" si="47"/>
        <v>2070</v>
      </c>
      <c r="D48" s="2" t="str">
        <f t="shared" si="2"/>
        <v>#N/A</v>
      </c>
    </row>
    <row r="49">
      <c r="B49" s="2">
        <f t="shared" ref="B49:C49" si="48">B48+1</f>
        <v>2070</v>
      </c>
      <c r="C49" s="2">
        <f t="shared" si="48"/>
        <v>2071</v>
      </c>
      <c r="D49" s="2" t="str">
        <f t="shared" si="2"/>
        <v>#N/A</v>
      </c>
    </row>
    <row r="50">
      <c r="B50" s="2">
        <f t="shared" ref="B50:C50" si="49">B49+1</f>
        <v>2071</v>
      </c>
      <c r="C50" s="2">
        <f t="shared" si="49"/>
        <v>2072</v>
      </c>
      <c r="D50" s="2" t="str">
        <f t="shared" si="2"/>
        <v>#N/A</v>
      </c>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sheetData>
  <printOptions/>
  <pageMargins bottom="0.787401575" footer="0.0" header="0.0" left="0.7" right="0.7"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7.89"/>
    <col customWidth="1" min="2" max="2" width="6.67"/>
    <col customWidth="1" min="3" max="3" width="10.22"/>
    <col customWidth="1" min="4" max="4" width="10.44"/>
    <col customWidth="1" min="5" max="5" width="15.33"/>
    <col customWidth="1" min="6" max="6" width="13.89"/>
    <col customWidth="1" min="7" max="7" width="16.78"/>
    <col customWidth="1" min="8" max="8" width="18.0"/>
    <col customWidth="1" min="9" max="9" width="16.44"/>
    <col customWidth="1" min="10" max="10" width="17.78"/>
    <col customWidth="1" min="11" max="11" width="12.89"/>
    <col customWidth="1" min="12" max="26" width="8.33"/>
  </cols>
  <sheetData>
    <row r="1">
      <c r="A1" s="12" t="s">
        <v>83</v>
      </c>
      <c r="B1" s="13" t="s">
        <v>84</v>
      </c>
      <c r="C1" s="13" t="s">
        <v>85</v>
      </c>
      <c r="D1" s="13" t="s">
        <v>86</v>
      </c>
      <c r="E1" s="13" t="s">
        <v>87</v>
      </c>
      <c r="F1" s="13" t="s">
        <v>88</v>
      </c>
      <c r="G1" s="13" t="s">
        <v>89</v>
      </c>
      <c r="H1" s="13" t="s">
        <v>90</v>
      </c>
      <c r="I1" s="13" t="s">
        <v>91</v>
      </c>
      <c r="J1" s="13" t="s">
        <v>92</v>
      </c>
      <c r="K1" s="14" t="s">
        <v>93</v>
      </c>
    </row>
    <row r="2">
      <c r="A2" s="15">
        <v>7981.0</v>
      </c>
      <c r="B2" s="16">
        <v>125194.0</v>
      </c>
      <c r="C2" s="17" t="s">
        <v>94</v>
      </c>
      <c r="D2" s="17" t="s">
        <v>95</v>
      </c>
      <c r="E2" s="17" t="s">
        <v>96</v>
      </c>
      <c r="F2" s="17" t="s">
        <v>97</v>
      </c>
      <c r="G2" s="17" t="s">
        <v>98</v>
      </c>
      <c r="H2" s="17" t="s">
        <v>99</v>
      </c>
      <c r="I2" s="17" t="s">
        <v>100</v>
      </c>
      <c r="J2" s="17" t="s">
        <v>65</v>
      </c>
      <c r="K2" s="18" t="s">
        <v>101</v>
      </c>
    </row>
    <row r="3">
      <c r="A3" s="19">
        <v>16024.0</v>
      </c>
      <c r="B3" s="20">
        <v>125183.0</v>
      </c>
      <c r="C3" s="21" t="s">
        <v>102</v>
      </c>
      <c r="D3" s="21" t="s">
        <v>103</v>
      </c>
      <c r="E3" s="21" t="s">
        <v>104</v>
      </c>
      <c r="F3" s="21" t="s">
        <v>105</v>
      </c>
      <c r="G3" s="21" t="s">
        <v>98</v>
      </c>
      <c r="H3" s="21" t="s">
        <v>106</v>
      </c>
      <c r="I3" s="21" t="s">
        <v>100</v>
      </c>
      <c r="J3" s="21" t="s">
        <v>41</v>
      </c>
      <c r="K3" s="22" t="s">
        <v>101</v>
      </c>
    </row>
    <row r="4">
      <c r="A4" s="23" t="s">
        <v>107</v>
      </c>
      <c r="B4" s="24" t="s">
        <v>108</v>
      </c>
      <c r="C4" s="25" t="s">
        <v>102</v>
      </c>
      <c r="D4" s="25" t="s">
        <v>109</v>
      </c>
      <c r="E4" s="25" t="s">
        <v>104</v>
      </c>
      <c r="F4" s="25" t="s">
        <v>110</v>
      </c>
      <c r="G4" s="25" t="s">
        <v>98</v>
      </c>
      <c r="H4" s="25" t="s">
        <v>106</v>
      </c>
      <c r="I4" s="25" t="s">
        <v>100</v>
      </c>
      <c r="J4" s="25" t="s">
        <v>41</v>
      </c>
      <c r="K4" s="26" t="s">
        <v>101</v>
      </c>
    </row>
    <row r="5">
      <c r="A5" s="27">
        <v>7245.0</v>
      </c>
      <c r="B5" s="28">
        <v>136420.0</v>
      </c>
      <c r="C5" s="29" t="s">
        <v>102</v>
      </c>
      <c r="D5" s="29" t="s">
        <v>111</v>
      </c>
      <c r="E5" s="29" t="s">
        <v>112</v>
      </c>
      <c r="F5" s="29" t="s">
        <v>113</v>
      </c>
      <c r="G5" s="29" t="s">
        <v>114</v>
      </c>
      <c r="H5" s="29" t="s">
        <v>115</v>
      </c>
      <c r="I5" s="29" t="s">
        <v>100</v>
      </c>
      <c r="J5" s="29" t="s">
        <v>59</v>
      </c>
      <c r="K5" s="30" t="s">
        <v>101</v>
      </c>
    </row>
    <row r="6">
      <c r="A6" s="31">
        <v>16861.0</v>
      </c>
      <c r="B6" s="32">
        <v>16489.0</v>
      </c>
      <c r="C6" s="33" t="s">
        <v>102</v>
      </c>
      <c r="D6" s="33" t="s">
        <v>116</v>
      </c>
      <c r="E6" s="33" t="s">
        <v>117</v>
      </c>
      <c r="F6" s="33" t="s">
        <v>118</v>
      </c>
      <c r="G6" s="33" t="s">
        <v>119</v>
      </c>
      <c r="H6" s="33" t="s">
        <v>120</v>
      </c>
      <c r="I6" s="33" t="s">
        <v>100</v>
      </c>
      <c r="J6" s="33" t="s">
        <v>41</v>
      </c>
      <c r="K6" s="34" t="s">
        <v>101</v>
      </c>
    </row>
    <row r="7">
      <c r="A7" s="27">
        <v>16860.0</v>
      </c>
      <c r="B7" s="28">
        <v>16486.0</v>
      </c>
      <c r="C7" s="29" t="s">
        <v>102</v>
      </c>
      <c r="D7" s="29" t="s">
        <v>121</v>
      </c>
      <c r="E7" s="29" t="s">
        <v>117</v>
      </c>
      <c r="F7" s="29" t="s">
        <v>122</v>
      </c>
      <c r="G7" s="29" t="s">
        <v>119</v>
      </c>
      <c r="H7" s="29" t="s">
        <v>120</v>
      </c>
      <c r="I7" s="29" t="s">
        <v>100</v>
      </c>
      <c r="J7" s="29" t="s">
        <v>56</v>
      </c>
      <c r="K7" s="30" t="s">
        <v>101</v>
      </c>
    </row>
    <row r="8">
      <c r="A8" s="31">
        <v>16096.0</v>
      </c>
      <c r="B8" s="32">
        <v>109358.0</v>
      </c>
      <c r="C8" s="33" t="s">
        <v>102</v>
      </c>
      <c r="D8" s="33" t="s">
        <v>123</v>
      </c>
      <c r="E8" s="33" t="s">
        <v>117</v>
      </c>
      <c r="F8" s="33" t="s">
        <v>124</v>
      </c>
      <c r="G8" s="33" t="s">
        <v>125</v>
      </c>
      <c r="H8" s="33" t="s">
        <v>126</v>
      </c>
      <c r="I8" s="33" t="s">
        <v>100</v>
      </c>
      <c r="J8" s="33" t="s">
        <v>59</v>
      </c>
      <c r="K8" s="34" t="s">
        <v>101</v>
      </c>
    </row>
    <row r="9">
      <c r="A9" s="27">
        <v>7886.0</v>
      </c>
      <c r="B9" s="28">
        <v>112186.0</v>
      </c>
      <c r="C9" s="29" t="s">
        <v>102</v>
      </c>
      <c r="D9" s="29" t="s">
        <v>127</v>
      </c>
      <c r="E9" s="29" t="s">
        <v>128</v>
      </c>
      <c r="F9" s="29" t="s">
        <v>129</v>
      </c>
      <c r="G9" s="29" t="s">
        <v>130</v>
      </c>
      <c r="H9" s="35" t="s">
        <v>131</v>
      </c>
      <c r="I9" s="29" t="s">
        <v>100</v>
      </c>
      <c r="J9" s="29" t="s">
        <v>41</v>
      </c>
      <c r="K9" s="30" t="s">
        <v>101</v>
      </c>
    </row>
    <row r="10">
      <c r="A10" s="31">
        <v>38774.0</v>
      </c>
      <c r="B10" s="32">
        <v>158005.0</v>
      </c>
      <c r="C10" s="33" t="s">
        <v>102</v>
      </c>
      <c r="D10" s="33" t="s">
        <v>132</v>
      </c>
      <c r="E10" s="33" t="s">
        <v>133</v>
      </c>
      <c r="F10" s="33" t="s">
        <v>134</v>
      </c>
      <c r="G10" s="33" t="s">
        <v>135</v>
      </c>
      <c r="H10" s="33" t="s">
        <v>136</v>
      </c>
      <c r="I10" s="33" t="s">
        <v>100</v>
      </c>
      <c r="J10" s="33" t="s">
        <v>41</v>
      </c>
      <c r="K10" s="34" t="s">
        <v>101</v>
      </c>
    </row>
    <row r="11">
      <c r="A11" s="27">
        <v>25692.0</v>
      </c>
      <c r="B11" s="28">
        <v>87303.0</v>
      </c>
      <c r="C11" s="29" t="s">
        <v>102</v>
      </c>
      <c r="D11" s="29" t="s">
        <v>137</v>
      </c>
      <c r="E11" s="29" t="s">
        <v>138</v>
      </c>
      <c r="F11" s="29" t="s">
        <v>139</v>
      </c>
      <c r="G11" s="29" t="s">
        <v>135</v>
      </c>
      <c r="H11" s="29" t="s">
        <v>136</v>
      </c>
      <c r="I11" s="29" t="s">
        <v>100</v>
      </c>
      <c r="J11" s="29" t="s">
        <v>53</v>
      </c>
      <c r="K11" s="30" t="s">
        <v>101</v>
      </c>
    </row>
    <row r="12">
      <c r="A12" s="31">
        <v>16085.0</v>
      </c>
      <c r="B12" s="32">
        <v>112598.0</v>
      </c>
      <c r="C12" s="33" t="s">
        <v>102</v>
      </c>
      <c r="D12" s="33" t="s">
        <v>140</v>
      </c>
      <c r="E12" s="33" t="s">
        <v>141</v>
      </c>
      <c r="F12" s="33" t="s">
        <v>142</v>
      </c>
      <c r="G12" s="33" t="s">
        <v>143</v>
      </c>
      <c r="H12" s="33" t="s">
        <v>144</v>
      </c>
      <c r="I12" s="33" t="s">
        <v>100</v>
      </c>
      <c r="J12" s="33" t="s">
        <v>53</v>
      </c>
      <c r="K12" s="34" t="s">
        <v>101</v>
      </c>
    </row>
    <row r="13">
      <c r="A13" s="27">
        <v>7907.0</v>
      </c>
      <c r="B13" s="28">
        <v>112054.0</v>
      </c>
      <c r="C13" s="29" t="s">
        <v>102</v>
      </c>
      <c r="D13" s="29" t="s">
        <v>145</v>
      </c>
      <c r="E13" s="29" t="s">
        <v>146</v>
      </c>
      <c r="F13" s="29" t="s">
        <v>147</v>
      </c>
      <c r="G13" s="29" t="s">
        <v>148</v>
      </c>
      <c r="H13" s="29" t="s">
        <v>149</v>
      </c>
      <c r="I13" s="29" t="s">
        <v>100</v>
      </c>
      <c r="J13" s="29" t="s">
        <v>56</v>
      </c>
      <c r="K13" s="30" t="s">
        <v>101</v>
      </c>
    </row>
    <row r="14">
      <c r="A14" s="31">
        <v>25344.0</v>
      </c>
      <c r="B14" s="32">
        <v>52752.0</v>
      </c>
      <c r="C14" s="33" t="s">
        <v>94</v>
      </c>
      <c r="D14" s="33" t="s">
        <v>150</v>
      </c>
      <c r="E14" s="33" t="s">
        <v>151</v>
      </c>
      <c r="F14" s="33" t="s">
        <v>152</v>
      </c>
      <c r="G14" s="33" t="s">
        <v>130</v>
      </c>
      <c r="H14" s="33" t="s">
        <v>153</v>
      </c>
      <c r="I14" s="33" t="s">
        <v>100</v>
      </c>
      <c r="J14" s="33" t="s">
        <v>44</v>
      </c>
      <c r="K14" s="34" t="s">
        <v>101</v>
      </c>
    </row>
    <row r="15">
      <c r="A15" s="27">
        <v>25786.0</v>
      </c>
      <c r="B15" s="28">
        <v>99322.0</v>
      </c>
      <c r="C15" s="29" t="s">
        <v>102</v>
      </c>
      <c r="D15" s="29" t="s">
        <v>154</v>
      </c>
      <c r="E15" s="29" t="s">
        <v>155</v>
      </c>
      <c r="F15" s="29" t="s">
        <v>156</v>
      </c>
      <c r="G15" s="29" t="s">
        <v>130</v>
      </c>
      <c r="H15" s="29" t="s">
        <v>157</v>
      </c>
      <c r="I15" s="29" t="s">
        <v>100</v>
      </c>
      <c r="J15" s="29" t="s">
        <v>41</v>
      </c>
      <c r="K15" s="30" t="s">
        <v>101</v>
      </c>
    </row>
    <row r="16">
      <c r="A16" s="31">
        <v>38837.0</v>
      </c>
      <c r="B16" s="32">
        <v>159623.0</v>
      </c>
      <c r="C16" s="33" t="s">
        <v>94</v>
      </c>
      <c r="D16" s="33" t="s">
        <v>158</v>
      </c>
      <c r="E16" s="33" t="s">
        <v>159</v>
      </c>
      <c r="F16" s="33" t="s">
        <v>160</v>
      </c>
      <c r="G16" s="33" t="s">
        <v>130</v>
      </c>
      <c r="H16" s="33" t="s">
        <v>157</v>
      </c>
      <c r="I16" s="33" t="s">
        <v>100</v>
      </c>
      <c r="J16" s="33" t="s">
        <v>65</v>
      </c>
      <c r="K16" s="34" t="s">
        <v>101</v>
      </c>
    </row>
    <row r="17">
      <c r="A17" s="27">
        <v>38786.0</v>
      </c>
      <c r="B17" s="28">
        <v>158018.0</v>
      </c>
      <c r="C17" s="29" t="s">
        <v>102</v>
      </c>
      <c r="D17" s="29" t="s">
        <v>161</v>
      </c>
      <c r="E17" s="29" t="s">
        <v>162</v>
      </c>
      <c r="F17" s="29" t="s">
        <v>163</v>
      </c>
      <c r="G17" s="29" t="s">
        <v>164</v>
      </c>
      <c r="H17" s="29" t="s">
        <v>165</v>
      </c>
      <c r="I17" s="29" t="s">
        <v>100</v>
      </c>
      <c r="J17" s="29" t="s">
        <v>53</v>
      </c>
      <c r="K17" s="30" t="s">
        <v>101</v>
      </c>
    </row>
    <row r="18">
      <c r="A18" s="31">
        <v>7393.0</v>
      </c>
      <c r="B18" s="32">
        <v>112609.0</v>
      </c>
      <c r="C18" s="33" t="s">
        <v>102</v>
      </c>
      <c r="D18" s="33" t="s">
        <v>166</v>
      </c>
      <c r="E18" s="33" t="s">
        <v>162</v>
      </c>
      <c r="F18" s="33" t="s">
        <v>167</v>
      </c>
      <c r="G18" s="33" t="s">
        <v>168</v>
      </c>
      <c r="H18" s="33" t="s">
        <v>169</v>
      </c>
      <c r="I18" s="33" t="s">
        <v>100</v>
      </c>
      <c r="J18" s="33" t="s">
        <v>56</v>
      </c>
      <c r="K18" s="34" t="s">
        <v>101</v>
      </c>
    </row>
    <row r="19">
      <c r="A19" s="27">
        <v>7666.0</v>
      </c>
      <c r="B19" s="28">
        <v>117034.0</v>
      </c>
      <c r="C19" s="29" t="s">
        <v>102</v>
      </c>
      <c r="D19" s="29" t="s">
        <v>166</v>
      </c>
      <c r="E19" s="29" t="s">
        <v>170</v>
      </c>
      <c r="F19" s="29" t="s">
        <v>171</v>
      </c>
      <c r="G19" s="29" t="s">
        <v>130</v>
      </c>
      <c r="H19" s="29" t="s">
        <v>172</v>
      </c>
      <c r="I19" s="29" t="s">
        <v>100</v>
      </c>
      <c r="J19" s="29" t="s">
        <v>59</v>
      </c>
      <c r="K19" s="30" t="s">
        <v>101</v>
      </c>
    </row>
    <row r="20">
      <c r="A20" s="31">
        <v>38175.0</v>
      </c>
      <c r="B20" s="32">
        <v>131530.0</v>
      </c>
      <c r="C20" s="33" t="s">
        <v>102</v>
      </c>
      <c r="D20" s="33" t="s">
        <v>173</v>
      </c>
      <c r="E20" s="33" t="s">
        <v>174</v>
      </c>
      <c r="F20" s="33" t="s">
        <v>175</v>
      </c>
      <c r="G20" s="33" t="s">
        <v>176</v>
      </c>
      <c r="H20" s="33" t="s">
        <v>177</v>
      </c>
      <c r="I20" s="33" t="s">
        <v>100</v>
      </c>
      <c r="J20" s="33" t="s">
        <v>41</v>
      </c>
      <c r="K20" s="34" t="s">
        <v>101</v>
      </c>
    </row>
    <row r="21">
      <c r="A21" s="27">
        <v>38490.0</v>
      </c>
      <c r="B21" s="28">
        <v>142889.0</v>
      </c>
      <c r="C21" s="29" t="s">
        <v>94</v>
      </c>
      <c r="D21" s="29" t="s">
        <v>178</v>
      </c>
      <c r="E21" s="29" t="s">
        <v>179</v>
      </c>
      <c r="F21" s="29" t="s">
        <v>180</v>
      </c>
      <c r="G21" s="29" t="s">
        <v>181</v>
      </c>
      <c r="H21" s="29" t="s">
        <v>182</v>
      </c>
      <c r="I21" s="29" t="s">
        <v>100</v>
      </c>
      <c r="J21" s="29" t="s">
        <v>62</v>
      </c>
      <c r="K21" s="30" t="s">
        <v>101</v>
      </c>
    </row>
    <row r="22">
      <c r="A22" s="31">
        <v>38043.0</v>
      </c>
      <c r="B22" s="32">
        <v>128901.0</v>
      </c>
      <c r="C22" s="33" t="s">
        <v>102</v>
      </c>
      <c r="D22" s="33" t="s">
        <v>109</v>
      </c>
      <c r="E22" s="33" t="s">
        <v>183</v>
      </c>
      <c r="F22" s="33" t="s">
        <v>184</v>
      </c>
      <c r="G22" s="33" t="s">
        <v>185</v>
      </c>
      <c r="H22" s="33" t="s">
        <v>186</v>
      </c>
      <c r="I22" s="33" t="s">
        <v>100</v>
      </c>
      <c r="J22" s="33" t="s">
        <v>41</v>
      </c>
      <c r="K22" s="34" t="s">
        <v>101</v>
      </c>
    </row>
    <row r="23">
      <c r="A23" s="27">
        <v>25853.0</v>
      </c>
      <c r="B23" s="28">
        <v>109249.0</v>
      </c>
      <c r="C23" s="29" t="s">
        <v>102</v>
      </c>
      <c r="D23" s="29" t="s">
        <v>187</v>
      </c>
      <c r="E23" s="29" t="s">
        <v>188</v>
      </c>
      <c r="F23" s="29" t="s">
        <v>189</v>
      </c>
      <c r="G23" s="29" t="s">
        <v>190</v>
      </c>
      <c r="H23" s="29" t="s">
        <v>191</v>
      </c>
      <c r="I23" s="29" t="s">
        <v>100</v>
      </c>
      <c r="J23" s="29" t="s">
        <v>41</v>
      </c>
      <c r="K23" s="30" t="s">
        <v>101</v>
      </c>
    </row>
    <row r="24">
      <c r="A24" s="31">
        <v>25886.0</v>
      </c>
      <c r="B24" s="32">
        <v>111433.0</v>
      </c>
      <c r="C24" s="33" t="s">
        <v>94</v>
      </c>
      <c r="D24" s="33" t="s">
        <v>192</v>
      </c>
      <c r="E24" s="33" t="s">
        <v>193</v>
      </c>
      <c r="F24" s="33" t="s">
        <v>194</v>
      </c>
      <c r="G24" s="33" t="s">
        <v>130</v>
      </c>
      <c r="H24" s="33" t="s">
        <v>157</v>
      </c>
      <c r="I24" s="33" t="s">
        <v>100</v>
      </c>
      <c r="J24" s="33" t="s">
        <v>62</v>
      </c>
      <c r="K24" s="34" t="s">
        <v>101</v>
      </c>
    </row>
    <row r="25">
      <c r="A25" s="27">
        <v>25130.0</v>
      </c>
      <c r="B25" s="28">
        <v>40784.0</v>
      </c>
      <c r="C25" s="29" t="s">
        <v>102</v>
      </c>
      <c r="D25" s="29" t="s">
        <v>195</v>
      </c>
      <c r="E25" s="29" t="s">
        <v>196</v>
      </c>
      <c r="F25" s="29" t="s">
        <v>197</v>
      </c>
      <c r="G25" s="29" t="s">
        <v>198</v>
      </c>
      <c r="H25" s="29" t="s">
        <v>199</v>
      </c>
      <c r="I25" s="29" t="s">
        <v>100</v>
      </c>
      <c r="J25" s="29" t="s">
        <v>56</v>
      </c>
      <c r="K25" s="30" t="s">
        <v>101</v>
      </c>
    </row>
    <row r="26">
      <c r="A26" s="31">
        <v>38549.0</v>
      </c>
      <c r="B26" s="32">
        <v>145594.0</v>
      </c>
      <c r="C26" s="33" t="s">
        <v>102</v>
      </c>
      <c r="D26" s="33" t="s">
        <v>200</v>
      </c>
      <c r="E26" s="33" t="s">
        <v>201</v>
      </c>
      <c r="F26" s="33" t="s">
        <v>202</v>
      </c>
      <c r="G26" s="33" t="s">
        <v>135</v>
      </c>
      <c r="H26" s="33" t="s">
        <v>203</v>
      </c>
      <c r="I26" s="33" t="s">
        <v>100</v>
      </c>
      <c r="J26" s="33" t="s">
        <v>56</v>
      </c>
      <c r="K26" s="34" t="s">
        <v>101</v>
      </c>
    </row>
    <row r="27">
      <c r="A27" s="27">
        <v>16888.0</v>
      </c>
      <c r="B27" s="28">
        <v>19395.0</v>
      </c>
      <c r="C27" s="29" t="s">
        <v>102</v>
      </c>
      <c r="D27" s="29" t="s">
        <v>204</v>
      </c>
      <c r="E27" s="29" t="s">
        <v>205</v>
      </c>
      <c r="F27" s="29" t="s">
        <v>206</v>
      </c>
      <c r="G27" s="29" t="s">
        <v>207</v>
      </c>
      <c r="H27" s="29" t="s">
        <v>208</v>
      </c>
      <c r="I27" s="29" t="s">
        <v>100</v>
      </c>
      <c r="J27" s="29" t="s">
        <v>41</v>
      </c>
      <c r="K27" s="30" t="s">
        <v>101</v>
      </c>
    </row>
    <row r="28">
      <c r="A28" s="31">
        <v>38459.0</v>
      </c>
      <c r="B28" s="32">
        <v>142757.0</v>
      </c>
      <c r="C28" s="33" t="s">
        <v>102</v>
      </c>
      <c r="D28" s="33" t="s">
        <v>209</v>
      </c>
      <c r="E28" s="33" t="s">
        <v>205</v>
      </c>
      <c r="F28" s="33" t="s">
        <v>210</v>
      </c>
      <c r="G28" s="33" t="s">
        <v>130</v>
      </c>
      <c r="H28" s="33" t="s">
        <v>211</v>
      </c>
      <c r="I28" s="33" t="s">
        <v>100</v>
      </c>
      <c r="J28" s="33" t="s">
        <v>53</v>
      </c>
      <c r="K28" s="34" t="s">
        <v>101</v>
      </c>
    </row>
    <row r="29">
      <c r="A29" s="27">
        <v>25788.0</v>
      </c>
      <c r="B29" s="28">
        <v>99245.0</v>
      </c>
      <c r="C29" s="29" t="s">
        <v>102</v>
      </c>
      <c r="D29" s="29" t="s">
        <v>212</v>
      </c>
      <c r="E29" s="29" t="s">
        <v>205</v>
      </c>
      <c r="F29" s="29" t="s">
        <v>213</v>
      </c>
      <c r="G29" s="29" t="s">
        <v>214</v>
      </c>
      <c r="H29" s="29" t="s">
        <v>215</v>
      </c>
      <c r="I29" s="29" t="s">
        <v>100</v>
      </c>
      <c r="J29" s="29" t="s">
        <v>41</v>
      </c>
      <c r="K29" s="30" t="s">
        <v>101</v>
      </c>
    </row>
    <row r="30">
      <c r="A30" s="31">
        <v>25298.0</v>
      </c>
      <c r="B30" s="32">
        <v>48020.0</v>
      </c>
      <c r="C30" s="33" t="s">
        <v>94</v>
      </c>
      <c r="D30" s="33" t="s">
        <v>216</v>
      </c>
      <c r="E30" s="33" t="s">
        <v>205</v>
      </c>
      <c r="F30" s="33" t="s">
        <v>217</v>
      </c>
      <c r="G30" s="33" t="s">
        <v>207</v>
      </c>
      <c r="H30" s="33" t="s">
        <v>208</v>
      </c>
      <c r="I30" s="33" t="s">
        <v>100</v>
      </c>
      <c r="J30" s="33" t="s">
        <v>44</v>
      </c>
      <c r="K30" s="34" t="s">
        <v>101</v>
      </c>
    </row>
    <row r="31">
      <c r="A31" s="27">
        <v>38771.0</v>
      </c>
      <c r="B31" s="28">
        <v>158002.0</v>
      </c>
      <c r="C31" s="29" t="s">
        <v>102</v>
      </c>
      <c r="D31" s="29" t="s">
        <v>218</v>
      </c>
      <c r="E31" s="29" t="s">
        <v>219</v>
      </c>
      <c r="F31" s="29" t="s">
        <v>220</v>
      </c>
      <c r="G31" s="29" t="s">
        <v>221</v>
      </c>
      <c r="H31" s="29" t="s">
        <v>222</v>
      </c>
      <c r="I31" s="29" t="s">
        <v>100</v>
      </c>
      <c r="J31" s="29" t="s">
        <v>47</v>
      </c>
      <c r="K31" s="30" t="s">
        <v>101</v>
      </c>
    </row>
    <row r="32">
      <c r="A32" s="31">
        <v>25378.0</v>
      </c>
      <c r="B32" s="32">
        <v>56364.0</v>
      </c>
      <c r="C32" s="33" t="s">
        <v>94</v>
      </c>
      <c r="D32" s="33" t="s">
        <v>223</v>
      </c>
      <c r="E32" s="33" t="s">
        <v>224</v>
      </c>
      <c r="F32" s="33" t="s">
        <v>225</v>
      </c>
      <c r="G32" s="33" t="s">
        <v>181</v>
      </c>
      <c r="H32" s="33" t="s">
        <v>182</v>
      </c>
      <c r="I32" s="33" t="s">
        <v>100</v>
      </c>
      <c r="J32" s="33" t="s">
        <v>44</v>
      </c>
      <c r="K32" s="34" t="s">
        <v>101</v>
      </c>
    </row>
    <row r="33">
      <c r="A33" s="27">
        <v>38886.0</v>
      </c>
      <c r="B33" s="28">
        <v>162035.0</v>
      </c>
      <c r="C33" s="29" t="s">
        <v>102</v>
      </c>
      <c r="D33" s="29" t="s">
        <v>226</v>
      </c>
      <c r="E33" s="29" t="s">
        <v>227</v>
      </c>
      <c r="F33" s="29" t="s">
        <v>228</v>
      </c>
      <c r="G33" s="29" t="s">
        <v>181</v>
      </c>
      <c r="H33" s="29" t="s">
        <v>229</v>
      </c>
      <c r="I33" s="29" t="s">
        <v>100</v>
      </c>
      <c r="J33" s="29" t="s">
        <v>47</v>
      </c>
      <c r="K33" s="30" t="s">
        <v>101</v>
      </c>
    </row>
    <row r="34">
      <c r="A34" s="31">
        <v>10526.0</v>
      </c>
      <c r="B34" s="32">
        <v>146900.0</v>
      </c>
      <c r="C34" s="33" t="s">
        <v>102</v>
      </c>
      <c r="D34" s="33" t="s">
        <v>230</v>
      </c>
      <c r="E34" s="33" t="s">
        <v>227</v>
      </c>
      <c r="F34" s="33" t="s">
        <v>231</v>
      </c>
      <c r="G34" s="33" t="s">
        <v>130</v>
      </c>
      <c r="H34" s="33" t="s">
        <v>157</v>
      </c>
      <c r="I34" s="33" t="s">
        <v>100</v>
      </c>
      <c r="J34" s="33" t="s">
        <v>41</v>
      </c>
      <c r="K34" s="34" t="s">
        <v>101</v>
      </c>
    </row>
    <row r="35">
      <c r="A35" s="27">
        <v>38575.0</v>
      </c>
      <c r="B35" s="28">
        <v>146882.0</v>
      </c>
      <c r="C35" s="29" t="s">
        <v>102</v>
      </c>
      <c r="D35" s="29" t="s">
        <v>232</v>
      </c>
      <c r="E35" s="29" t="s">
        <v>233</v>
      </c>
      <c r="F35" s="29" t="s">
        <v>234</v>
      </c>
      <c r="G35" s="29" t="s">
        <v>207</v>
      </c>
      <c r="H35" s="29" t="s">
        <v>208</v>
      </c>
      <c r="I35" s="29" t="s">
        <v>100</v>
      </c>
      <c r="J35" s="29" t="s">
        <v>41</v>
      </c>
      <c r="K35" s="30" t="s">
        <v>101</v>
      </c>
    </row>
    <row r="36">
      <c r="A36" s="31">
        <v>38962.0</v>
      </c>
      <c r="B36" s="32">
        <v>164089.0</v>
      </c>
      <c r="C36" s="33" t="s">
        <v>94</v>
      </c>
      <c r="D36" s="33" t="s">
        <v>235</v>
      </c>
      <c r="E36" s="33" t="s">
        <v>236</v>
      </c>
      <c r="F36" s="33" t="s">
        <v>237</v>
      </c>
      <c r="G36" s="33" t="s">
        <v>207</v>
      </c>
      <c r="H36" s="33" t="s">
        <v>208</v>
      </c>
      <c r="I36" s="33" t="s">
        <v>100</v>
      </c>
      <c r="J36" s="33" t="s">
        <v>44</v>
      </c>
      <c r="K36" s="34" t="s">
        <v>101</v>
      </c>
    </row>
    <row r="37">
      <c r="A37" s="27">
        <v>38713.0</v>
      </c>
      <c r="B37" s="28">
        <v>153877.0</v>
      </c>
      <c r="C37" s="29" t="s">
        <v>94</v>
      </c>
      <c r="D37" s="29" t="s">
        <v>238</v>
      </c>
      <c r="E37" s="29" t="s">
        <v>239</v>
      </c>
      <c r="F37" s="29" t="s">
        <v>240</v>
      </c>
      <c r="G37" s="29" t="s">
        <v>130</v>
      </c>
      <c r="H37" s="29" t="s">
        <v>241</v>
      </c>
      <c r="I37" s="29" t="s">
        <v>100</v>
      </c>
      <c r="J37" s="29" t="s">
        <v>62</v>
      </c>
      <c r="K37" s="30" t="s">
        <v>101</v>
      </c>
    </row>
    <row r="38">
      <c r="A38" s="31">
        <v>38672.0</v>
      </c>
      <c r="B38" s="32">
        <v>148821.0</v>
      </c>
      <c r="C38" s="33" t="s">
        <v>102</v>
      </c>
      <c r="D38" s="33" t="s">
        <v>242</v>
      </c>
      <c r="E38" s="33" t="s">
        <v>239</v>
      </c>
      <c r="F38" s="33" t="s">
        <v>243</v>
      </c>
      <c r="G38" s="33" t="s">
        <v>130</v>
      </c>
      <c r="H38" s="33" t="s">
        <v>244</v>
      </c>
      <c r="I38" s="33" t="s">
        <v>100</v>
      </c>
      <c r="J38" s="33" t="s">
        <v>47</v>
      </c>
      <c r="K38" s="34" t="s">
        <v>101</v>
      </c>
    </row>
    <row r="39">
      <c r="A39" s="27">
        <v>38944.0</v>
      </c>
      <c r="B39" s="28">
        <v>164066.0</v>
      </c>
      <c r="C39" s="29" t="s">
        <v>102</v>
      </c>
      <c r="D39" s="29" t="s">
        <v>245</v>
      </c>
      <c r="E39" s="29" t="s">
        <v>239</v>
      </c>
      <c r="F39" s="29" t="s">
        <v>246</v>
      </c>
      <c r="G39" s="29" t="s">
        <v>130</v>
      </c>
      <c r="H39" s="29" t="s">
        <v>241</v>
      </c>
      <c r="I39" s="29" t="s">
        <v>100</v>
      </c>
      <c r="J39" s="29" t="s">
        <v>53</v>
      </c>
      <c r="K39" s="30" t="s">
        <v>101</v>
      </c>
    </row>
    <row r="40">
      <c r="A40" s="31">
        <v>3316.0</v>
      </c>
      <c r="B40" s="32">
        <v>136100.0</v>
      </c>
      <c r="C40" s="33" t="s">
        <v>102</v>
      </c>
      <c r="D40" s="33" t="s">
        <v>247</v>
      </c>
      <c r="E40" s="33" t="s">
        <v>248</v>
      </c>
      <c r="F40" s="33" t="s">
        <v>249</v>
      </c>
      <c r="G40" s="33" t="s">
        <v>130</v>
      </c>
      <c r="H40" s="36" t="s">
        <v>131</v>
      </c>
      <c r="I40" s="33" t="s">
        <v>100</v>
      </c>
      <c r="J40" s="33" t="s">
        <v>41</v>
      </c>
      <c r="K40" s="34" t="s">
        <v>101</v>
      </c>
    </row>
    <row r="41">
      <c r="A41" s="27">
        <v>16080.0</v>
      </c>
      <c r="B41" s="28">
        <v>112597.0</v>
      </c>
      <c r="C41" s="29" t="s">
        <v>102</v>
      </c>
      <c r="D41" s="29" t="s">
        <v>250</v>
      </c>
      <c r="E41" s="29" t="s">
        <v>251</v>
      </c>
      <c r="F41" s="29" t="s">
        <v>252</v>
      </c>
      <c r="G41" s="29" t="s">
        <v>253</v>
      </c>
      <c r="H41" s="29" t="s">
        <v>254</v>
      </c>
      <c r="I41" s="29" t="s">
        <v>100</v>
      </c>
      <c r="J41" s="29" t="s">
        <v>59</v>
      </c>
      <c r="K41" s="30" t="s">
        <v>101</v>
      </c>
    </row>
    <row r="42">
      <c r="A42" s="31">
        <v>16443.0</v>
      </c>
      <c r="B42" s="32">
        <v>136489.0</v>
      </c>
      <c r="C42" s="33" t="s">
        <v>102</v>
      </c>
      <c r="D42" s="33" t="s">
        <v>109</v>
      </c>
      <c r="E42" s="33" t="s">
        <v>255</v>
      </c>
      <c r="F42" s="33" t="s">
        <v>256</v>
      </c>
      <c r="G42" s="33" t="s">
        <v>257</v>
      </c>
      <c r="H42" s="33" t="s">
        <v>258</v>
      </c>
      <c r="I42" s="33" t="s">
        <v>100</v>
      </c>
      <c r="J42" s="33" t="s">
        <v>41</v>
      </c>
      <c r="K42" s="34" t="s">
        <v>101</v>
      </c>
    </row>
    <row r="43">
      <c r="A43" s="27">
        <v>7641.0</v>
      </c>
      <c r="B43" s="28">
        <v>116624.0</v>
      </c>
      <c r="C43" s="29" t="s">
        <v>102</v>
      </c>
      <c r="D43" s="29" t="s">
        <v>204</v>
      </c>
      <c r="E43" s="29" t="s">
        <v>259</v>
      </c>
      <c r="F43" s="29" t="s">
        <v>260</v>
      </c>
      <c r="G43" s="29" t="s">
        <v>130</v>
      </c>
      <c r="H43" s="29" t="s">
        <v>157</v>
      </c>
      <c r="I43" s="29" t="s">
        <v>100</v>
      </c>
      <c r="J43" s="29" t="s">
        <v>53</v>
      </c>
      <c r="K43" s="30" t="s">
        <v>101</v>
      </c>
    </row>
    <row r="44">
      <c r="A44" s="31">
        <v>7076.0</v>
      </c>
      <c r="B44" s="32">
        <v>111186.0</v>
      </c>
      <c r="C44" s="33" t="s">
        <v>102</v>
      </c>
      <c r="D44" s="33" t="s">
        <v>261</v>
      </c>
      <c r="E44" s="33" t="s">
        <v>262</v>
      </c>
      <c r="F44" s="33" t="s">
        <v>263</v>
      </c>
      <c r="G44" s="33" t="s">
        <v>264</v>
      </c>
      <c r="H44" s="33" t="s">
        <v>265</v>
      </c>
      <c r="I44" s="33" t="s">
        <v>100</v>
      </c>
      <c r="J44" s="33" t="s">
        <v>59</v>
      </c>
      <c r="K44" s="34" t="s">
        <v>101</v>
      </c>
    </row>
    <row r="45">
      <c r="A45" s="27">
        <v>16746.0</v>
      </c>
      <c r="B45" s="28">
        <v>112107.0</v>
      </c>
      <c r="C45" s="29" t="s">
        <v>94</v>
      </c>
      <c r="D45" s="29" t="s">
        <v>266</v>
      </c>
      <c r="E45" s="29" t="s">
        <v>262</v>
      </c>
      <c r="F45" s="29" t="s">
        <v>267</v>
      </c>
      <c r="G45" s="29" t="s">
        <v>257</v>
      </c>
      <c r="H45" s="29" t="s">
        <v>258</v>
      </c>
      <c r="I45" s="29" t="s">
        <v>100</v>
      </c>
      <c r="J45" s="29" t="s">
        <v>68</v>
      </c>
      <c r="K45" s="30" t="s">
        <v>101</v>
      </c>
    </row>
    <row r="46">
      <c r="A46" s="31">
        <v>7087.0</v>
      </c>
      <c r="B46" s="32">
        <v>109427.0</v>
      </c>
      <c r="C46" s="33" t="s">
        <v>94</v>
      </c>
      <c r="D46" s="33" t="s">
        <v>268</v>
      </c>
      <c r="E46" s="33" t="s">
        <v>262</v>
      </c>
      <c r="F46" s="33" t="s">
        <v>269</v>
      </c>
      <c r="G46" s="33" t="s">
        <v>270</v>
      </c>
      <c r="H46" s="33" t="s">
        <v>271</v>
      </c>
      <c r="I46" s="33" t="s">
        <v>100</v>
      </c>
      <c r="J46" s="33" t="s">
        <v>65</v>
      </c>
      <c r="K46" s="34" t="s">
        <v>101</v>
      </c>
    </row>
    <row r="47">
      <c r="A47" s="27">
        <v>16864.0</v>
      </c>
      <c r="B47" s="28">
        <v>16442.0</v>
      </c>
      <c r="C47" s="29" t="s">
        <v>102</v>
      </c>
      <c r="D47" s="29" t="s">
        <v>272</v>
      </c>
      <c r="E47" s="29" t="s">
        <v>273</v>
      </c>
      <c r="F47" s="29" t="s">
        <v>274</v>
      </c>
      <c r="G47" s="29" t="s">
        <v>275</v>
      </c>
      <c r="H47" s="29" t="s">
        <v>276</v>
      </c>
      <c r="I47" s="29" t="s">
        <v>100</v>
      </c>
      <c r="J47" s="29" t="s">
        <v>56</v>
      </c>
      <c r="K47" s="30" t="s">
        <v>101</v>
      </c>
    </row>
    <row r="48">
      <c r="A48" s="31">
        <v>38988.0</v>
      </c>
      <c r="B48" s="32">
        <v>168168.0</v>
      </c>
      <c r="C48" s="33" t="s">
        <v>102</v>
      </c>
      <c r="D48" s="33" t="s">
        <v>277</v>
      </c>
      <c r="E48" s="33" t="s">
        <v>278</v>
      </c>
      <c r="F48" s="33" t="s">
        <v>279</v>
      </c>
      <c r="G48" s="33" t="s">
        <v>119</v>
      </c>
      <c r="H48" s="33" t="s">
        <v>120</v>
      </c>
      <c r="I48" s="33" t="s">
        <v>100</v>
      </c>
      <c r="J48" s="33" t="s">
        <v>280</v>
      </c>
      <c r="K48" s="34" t="s">
        <v>281</v>
      </c>
    </row>
    <row r="49">
      <c r="A49" s="27">
        <v>46006.0</v>
      </c>
      <c r="B49" s="28">
        <v>183179.0</v>
      </c>
      <c r="C49" s="29" t="s">
        <v>94</v>
      </c>
      <c r="D49" s="29" t="s">
        <v>282</v>
      </c>
      <c r="E49" s="29" t="s">
        <v>283</v>
      </c>
      <c r="F49" s="29" t="s">
        <v>284</v>
      </c>
      <c r="G49" s="29" t="s">
        <v>207</v>
      </c>
      <c r="H49" s="29" t="s">
        <v>208</v>
      </c>
      <c r="I49" s="29" t="s">
        <v>100</v>
      </c>
      <c r="J49" s="29" t="s">
        <v>285</v>
      </c>
      <c r="K49" s="30" t="s">
        <v>281</v>
      </c>
    </row>
    <row r="50">
      <c r="A50" s="31">
        <v>46007.0</v>
      </c>
      <c r="B50" s="32">
        <v>183180.0</v>
      </c>
      <c r="C50" s="33" t="s">
        <v>94</v>
      </c>
      <c r="D50" s="33" t="s">
        <v>286</v>
      </c>
      <c r="E50" s="33" t="s">
        <v>283</v>
      </c>
      <c r="F50" s="33" t="s">
        <v>287</v>
      </c>
      <c r="G50" s="33" t="s">
        <v>207</v>
      </c>
      <c r="H50" s="33" t="s">
        <v>208</v>
      </c>
      <c r="I50" s="33" t="s">
        <v>100</v>
      </c>
      <c r="J50" s="33" t="s">
        <v>285</v>
      </c>
      <c r="K50" s="34" t="s">
        <v>281</v>
      </c>
    </row>
    <row r="51">
      <c r="A51" s="27">
        <v>38760.0</v>
      </c>
      <c r="B51" s="28">
        <v>155285.0</v>
      </c>
      <c r="C51" s="29" t="s">
        <v>94</v>
      </c>
      <c r="D51" s="29" t="s">
        <v>288</v>
      </c>
      <c r="E51" s="29" t="s">
        <v>283</v>
      </c>
      <c r="F51" s="29" t="s">
        <v>289</v>
      </c>
      <c r="G51" s="29" t="s">
        <v>207</v>
      </c>
      <c r="H51" s="29" t="s">
        <v>208</v>
      </c>
      <c r="I51" s="29" t="s">
        <v>100</v>
      </c>
      <c r="J51" s="29" t="s">
        <v>290</v>
      </c>
      <c r="K51" s="30" t="s">
        <v>281</v>
      </c>
    </row>
    <row r="52">
      <c r="A52" s="31">
        <v>16917.0</v>
      </c>
      <c r="B52" s="32">
        <v>164065.0</v>
      </c>
      <c r="C52" s="33" t="s">
        <v>102</v>
      </c>
      <c r="D52" s="33" t="s">
        <v>291</v>
      </c>
      <c r="E52" s="33" t="s">
        <v>292</v>
      </c>
      <c r="F52" s="33" t="s">
        <v>293</v>
      </c>
      <c r="G52" s="33" t="s">
        <v>135</v>
      </c>
      <c r="H52" s="33" t="s">
        <v>294</v>
      </c>
      <c r="I52" s="33" t="s">
        <v>100</v>
      </c>
      <c r="J52" s="33" t="s">
        <v>41</v>
      </c>
      <c r="K52" s="34" t="s">
        <v>101</v>
      </c>
    </row>
    <row r="53">
      <c r="A53" s="27">
        <v>38795.0</v>
      </c>
      <c r="B53" s="28">
        <v>158028.0</v>
      </c>
      <c r="C53" s="29" t="s">
        <v>102</v>
      </c>
      <c r="D53" s="29" t="s">
        <v>295</v>
      </c>
      <c r="E53" s="29" t="s">
        <v>296</v>
      </c>
      <c r="F53" s="29" t="s">
        <v>297</v>
      </c>
      <c r="G53" s="29" t="s">
        <v>298</v>
      </c>
      <c r="H53" s="29" t="s">
        <v>299</v>
      </c>
      <c r="I53" s="29" t="s">
        <v>100</v>
      </c>
      <c r="J53" s="29" t="s">
        <v>280</v>
      </c>
      <c r="K53" s="30" t="s">
        <v>281</v>
      </c>
    </row>
    <row r="54">
      <c r="A54" s="31">
        <v>12248.0</v>
      </c>
      <c r="B54" s="32">
        <v>42187.0</v>
      </c>
      <c r="C54" s="33" t="s">
        <v>102</v>
      </c>
      <c r="D54" s="33" t="s">
        <v>300</v>
      </c>
      <c r="E54" s="33" t="s">
        <v>301</v>
      </c>
      <c r="F54" s="33" t="s">
        <v>302</v>
      </c>
      <c r="G54" s="33" t="s">
        <v>185</v>
      </c>
      <c r="H54" s="33" t="s">
        <v>186</v>
      </c>
      <c r="I54" s="33" t="s">
        <v>100</v>
      </c>
      <c r="J54" s="33" t="s">
        <v>41</v>
      </c>
      <c r="K54" s="34" t="s">
        <v>101</v>
      </c>
    </row>
    <row r="55">
      <c r="A55" s="27">
        <v>16341.0</v>
      </c>
      <c r="B55" s="28">
        <v>116717.0</v>
      </c>
      <c r="C55" s="29" t="s">
        <v>94</v>
      </c>
      <c r="D55" s="29" t="s">
        <v>303</v>
      </c>
      <c r="E55" s="29" t="s">
        <v>304</v>
      </c>
      <c r="F55" s="29" t="s">
        <v>305</v>
      </c>
      <c r="G55" s="29" t="s">
        <v>164</v>
      </c>
      <c r="H55" s="29" t="s">
        <v>165</v>
      </c>
      <c r="I55" s="29" t="s">
        <v>100</v>
      </c>
      <c r="J55" s="29" t="s">
        <v>62</v>
      </c>
      <c r="K55" s="30" t="s">
        <v>101</v>
      </c>
    </row>
    <row r="56">
      <c r="A56" s="31">
        <v>25173.0</v>
      </c>
      <c r="B56" s="32">
        <v>109421.0</v>
      </c>
      <c r="C56" s="33" t="s">
        <v>94</v>
      </c>
      <c r="D56" s="33" t="s">
        <v>306</v>
      </c>
      <c r="E56" s="33" t="s">
        <v>304</v>
      </c>
      <c r="F56" s="33" t="s">
        <v>307</v>
      </c>
      <c r="G56" s="33" t="s">
        <v>164</v>
      </c>
      <c r="H56" s="33" t="s">
        <v>165</v>
      </c>
      <c r="I56" s="33" t="s">
        <v>100</v>
      </c>
      <c r="J56" s="33" t="s">
        <v>44</v>
      </c>
      <c r="K56" s="34" t="s">
        <v>101</v>
      </c>
    </row>
    <row r="57">
      <c r="A57" s="27">
        <v>7598.0</v>
      </c>
      <c r="B57" s="28">
        <v>109428.0</v>
      </c>
      <c r="C57" s="29" t="s">
        <v>102</v>
      </c>
      <c r="D57" s="29" t="s">
        <v>308</v>
      </c>
      <c r="E57" s="29" t="s">
        <v>309</v>
      </c>
      <c r="F57" s="29" t="s">
        <v>310</v>
      </c>
      <c r="G57" s="29" t="s">
        <v>130</v>
      </c>
      <c r="H57" s="35" t="s">
        <v>131</v>
      </c>
      <c r="I57" s="29" t="s">
        <v>100</v>
      </c>
      <c r="J57" s="29" t="s">
        <v>59</v>
      </c>
      <c r="K57" s="30" t="s">
        <v>101</v>
      </c>
    </row>
    <row r="58">
      <c r="A58" s="31">
        <v>38066.0</v>
      </c>
      <c r="B58" s="32">
        <v>128262.0</v>
      </c>
      <c r="C58" s="33" t="s">
        <v>102</v>
      </c>
      <c r="D58" s="33" t="s">
        <v>311</v>
      </c>
      <c r="E58" s="33" t="s">
        <v>312</v>
      </c>
      <c r="F58" s="33" t="s">
        <v>313</v>
      </c>
      <c r="G58" s="33" t="s">
        <v>214</v>
      </c>
      <c r="H58" s="33" t="s">
        <v>215</v>
      </c>
      <c r="I58" s="33" t="s">
        <v>100</v>
      </c>
      <c r="J58" s="33" t="s">
        <v>41</v>
      </c>
      <c r="K58" s="34" t="s">
        <v>101</v>
      </c>
    </row>
    <row r="59">
      <c r="A59" s="27">
        <v>7228.0</v>
      </c>
      <c r="B59" s="28">
        <v>162047.0</v>
      </c>
      <c r="C59" s="29" t="s">
        <v>102</v>
      </c>
      <c r="D59" s="29" t="s">
        <v>314</v>
      </c>
      <c r="E59" s="29" t="s">
        <v>315</v>
      </c>
      <c r="F59" s="29" t="s">
        <v>316</v>
      </c>
      <c r="G59" s="29" t="s">
        <v>190</v>
      </c>
      <c r="H59" s="29" t="s">
        <v>317</v>
      </c>
      <c r="I59" s="29" t="s">
        <v>100</v>
      </c>
      <c r="J59" s="29" t="s">
        <v>41</v>
      </c>
      <c r="K59" s="30" t="s">
        <v>101</v>
      </c>
    </row>
    <row r="60">
      <c r="A60" s="31">
        <v>16862.0</v>
      </c>
      <c r="B60" s="32">
        <v>16393.0</v>
      </c>
      <c r="C60" s="33" t="s">
        <v>102</v>
      </c>
      <c r="D60" s="33" t="s">
        <v>230</v>
      </c>
      <c r="E60" s="33" t="s">
        <v>318</v>
      </c>
      <c r="F60" s="33" t="s">
        <v>319</v>
      </c>
      <c r="G60" s="33" t="s">
        <v>119</v>
      </c>
      <c r="H60" s="33" t="s">
        <v>120</v>
      </c>
      <c r="I60" s="33" t="s">
        <v>100</v>
      </c>
      <c r="J60" s="33" t="s">
        <v>41</v>
      </c>
      <c r="K60" s="34" t="s">
        <v>101</v>
      </c>
    </row>
    <row r="61">
      <c r="A61" s="27">
        <v>7926.0</v>
      </c>
      <c r="B61" s="28">
        <v>125153.0</v>
      </c>
      <c r="C61" s="29" t="s">
        <v>102</v>
      </c>
      <c r="D61" s="29" t="s">
        <v>320</v>
      </c>
      <c r="E61" s="29" t="s">
        <v>321</v>
      </c>
      <c r="F61" s="29" t="s">
        <v>322</v>
      </c>
      <c r="G61" s="29" t="s">
        <v>323</v>
      </c>
      <c r="H61" s="29" t="s">
        <v>324</v>
      </c>
      <c r="I61" s="29" t="s">
        <v>100</v>
      </c>
      <c r="J61" s="29" t="s">
        <v>56</v>
      </c>
      <c r="K61" s="30" t="s">
        <v>101</v>
      </c>
    </row>
    <row r="62">
      <c r="A62" s="31">
        <v>13855.0</v>
      </c>
      <c r="B62" s="32">
        <v>57258.0</v>
      </c>
      <c r="C62" s="33" t="s">
        <v>94</v>
      </c>
      <c r="D62" s="33" t="s">
        <v>325</v>
      </c>
      <c r="E62" s="33" t="s">
        <v>326</v>
      </c>
      <c r="F62" s="33" t="s">
        <v>327</v>
      </c>
      <c r="G62" s="33" t="s">
        <v>198</v>
      </c>
      <c r="H62" s="33" t="s">
        <v>328</v>
      </c>
      <c r="I62" s="33" t="s">
        <v>100</v>
      </c>
      <c r="J62" s="33" t="s">
        <v>44</v>
      </c>
      <c r="K62" s="34" t="s">
        <v>101</v>
      </c>
    </row>
    <row r="63">
      <c r="A63" s="27">
        <v>38352.0</v>
      </c>
      <c r="B63" s="28">
        <v>136757.0</v>
      </c>
      <c r="C63" s="29" t="s">
        <v>102</v>
      </c>
      <c r="D63" s="29" t="s">
        <v>255</v>
      </c>
      <c r="E63" s="29" t="s">
        <v>329</v>
      </c>
      <c r="F63" s="29" t="s">
        <v>330</v>
      </c>
      <c r="G63" s="29" t="s">
        <v>331</v>
      </c>
      <c r="H63" s="29" t="s">
        <v>332</v>
      </c>
      <c r="I63" s="29" t="s">
        <v>100</v>
      </c>
      <c r="J63" s="29" t="s">
        <v>53</v>
      </c>
      <c r="K63" s="30" t="s">
        <v>101</v>
      </c>
    </row>
    <row r="64">
      <c r="A64" s="31">
        <v>7914.0</v>
      </c>
      <c r="B64" s="32">
        <v>112055.0</v>
      </c>
      <c r="C64" s="33" t="s">
        <v>102</v>
      </c>
      <c r="D64" s="33" t="s">
        <v>333</v>
      </c>
      <c r="E64" s="33" t="s">
        <v>334</v>
      </c>
      <c r="F64" s="33" t="s">
        <v>335</v>
      </c>
      <c r="G64" s="33" t="s">
        <v>148</v>
      </c>
      <c r="H64" s="33" t="s">
        <v>149</v>
      </c>
      <c r="I64" s="33" t="s">
        <v>100</v>
      </c>
      <c r="J64" s="33" t="s">
        <v>56</v>
      </c>
      <c r="K64" s="34" t="s">
        <v>101</v>
      </c>
    </row>
    <row r="65">
      <c r="A65" s="27">
        <v>38310.0</v>
      </c>
      <c r="B65" s="28">
        <v>136428.0</v>
      </c>
      <c r="C65" s="29" t="s">
        <v>102</v>
      </c>
      <c r="D65" s="29" t="s">
        <v>336</v>
      </c>
      <c r="E65" s="29" t="s">
        <v>337</v>
      </c>
      <c r="F65" s="29" t="s">
        <v>338</v>
      </c>
      <c r="G65" s="29" t="s">
        <v>114</v>
      </c>
      <c r="H65" s="29" t="s">
        <v>115</v>
      </c>
      <c r="I65" s="29" t="s">
        <v>100</v>
      </c>
      <c r="J65" s="29" t="s">
        <v>53</v>
      </c>
      <c r="K65" s="30" t="s">
        <v>101</v>
      </c>
    </row>
    <row r="66">
      <c r="A66" s="31">
        <v>25423.0</v>
      </c>
      <c r="B66" s="32">
        <v>63005.0</v>
      </c>
      <c r="C66" s="33" t="s">
        <v>102</v>
      </c>
      <c r="D66" s="33" t="s">
        <v>212</v>
      </c>
      <c r="E66" s="33" t="s">
        <v>339</v>
      </c>
      <c r="F66" s="33" t="s">
        <v>340</v>
      </c>
      <c r="G66" s="33" t="s">
        <v>135</v>
      </c>
      <c r="H66" s="33" t="s">
        <v>136</v>
      </c>
      <c r="I66" s="33" t="s">
        <v>100</v>
      </c>
      <c r="J66" s="33" t="s">
        <v>41</v>
      </c>
      <c r="K66" s="34" t="s">
        <v>101</v>
      </c>
    </row>
    <row r="67">
      <c r="A67" s="27">
        <v>25761.0</v>
      </c>
      <c r="B67" s="28">
        <v>91544.0</v>
      </c>
      <c r="C67" s="29" t="s">
        <v>102</v>
      </c>
      <c r="D67" s="29" t="s">
        <v>209</v>
      </c>
      <c r="E67" s="29" t="s">
        <v>341</v>
      </c>
      <c r="F67" s="29" t="s">
        <v>342</v>
      </c>
      <c r="G67" s="29" t="s">
        <v>181</v>
      </c>
      <c r="H67" s="29" t="s">
        <v>229</v>
      </c>
      <c r="I67" s="29" t="s">
        <v>100</v>
      </c>
      <c r="J67" s="29" t="s">
        <v>41</v>
      </c>
      <c r="K67" s="30" t="s">
        <v>101</v>
      </c>
    </row>
    <row r="68">
      <c r="A68" s="31">
        <v>7650.0</v>
      </c>
      <c r="B68" s="32">
        <v>145647.0</v>
      </c>
      <c r="C68" s="33" t="s">
        <v>102</v>
      </c>
      <c r="D68" s="33" t="s">
        <v>343</v>
      </c>
      <c r="E68" s="33" t="s">
        <v>344</v>
      </c>
      <c r="F68" s="33" t="s">
        <v>345</v>
      </c>
      <c r="G68" s="33" t="s">
        <v>130</v>
      </c>
      <c r="H68" s="33" t="s">
        <v>346</v>
      </c>
      <c r="I68" s="33" t="s">
        <v>100</v>
      </c>
      <c r="J68" s="33" t="s">
        <v>41</v>
      </c>
      <c r="K68" s="34" t="s">
        <v>101</v>
      </c>
    </row>
    <row r="69">
      <c r="A69" s="27">
        <v>38034.0</v>
      </c>
      <c r="B69" s="28">
        <v>129093.0</v>
      </c>
      <c r="C69" s="29" t="s">
        <v>102</v>
      </c>
      <c r="D69" s="29" t="s">
        <v>212</v>
      </c>
      <c r="E69" s="29" t="s">
        <v>347</v>
      </c>
      <c r="F69" s="29" t="s">
        <v>348</v>
      </c>
      <c r="G69" s="29" t="s">
        <v>275</v>
      </c>
      <c r="H69" s="29" t="s">
        <v>276</v>
      </c>
      <c r="I69" s="29" t="s">
        <v>100</v>
      </c>
      <c r="J69" s="29" t="s">
        <v>41</v>
      </c>
      <c r="K69" s="30" t="s">
        <v>101</v>
      </c>
    </row>
    <row r="70">
      <c r="A70" s="31">
        <v>38033.0</v>
      </c>
      <c r="B70" s="32">
        <v>129092.0</v>
      </c>
      <c r="C70" s="33" t="s">
        <v>102</v>
      </c>
      <c r="D70" s="33" t="s">
        <v>245</v>
      </c>
      <c r="E70" s="33" t="s">
        <v>347</v>
      </c>
      <c r="F70" s="33" t="s">
        <v>349</v>
      </c>
      <c r="G70" s="33" t="s">
        <v>275</v>
      </c>
      <c r="H70" s="33" t="s">
        <v>276</v>
      </c>
      <c r="I70" s="33" t="s">
        <v>100</v>
      </c>
      <c r="J70" s="33" t="s">
        <v>41</v>
      </c>
      <c r="K70" s="34" t="s">
        <v>101</v>
      </c>
    </row>
    <row r="71">
      <c r="A71" s="27">
        <v>38740.0</v>
      </c>
      <c r="B71" s="28">
        <v>155263.0</v>
      </c>
      <c r="C71" s="29" t="s">
        <v>102</v>
      </c>
      <c r="D71" s="29" t="s">
        <v>350</v>
      </c>
      <c r="E71" s="29" t="s">
        <v>351</v>
      </c>
      <c r="F71" s="29" t="s">
        <v>352</v>
      </c>
      <c r="G71" s="29" t="s">
        <v>198</v>
      </c>
      <c r="H71" s="29" t="s">
        <v>353</v>
      </c>
      <c r="I71" s="29" t="s">
        <v>100</v>
      </c>
      <c r="J71" s="29" t="s">
        <v>41</v>
      </c>
      <c r="K71" s="30" t="s">
        <v>101</v>
      </c>
    </row>
    <row r="72">
      <c r="A72" s="31">
        <v>25945.0</v>
      </c>
      <c r="B72" s="32">
        <v>111702.0</v>
      </c>
      <c r="C72" s="33" t="s">
        <v>102</v>
      </c>
      <c r="D72" s="33" t="s">
        <v>354</v>
      </c>
      <c r="E72" s="33" t="s">
        <v>355</v>
      </c>
      <c r="F72" s="33" t="s">
        <v>356</v>
      </c>
      <c r="G72" s="33" t="s">
        <v>275</v>
      </c>
      <c r="H72" s="33" t="s">
        <v>276</v>
      </c>
      <c r="I72" s="33" t="s">
        <v>100</v>
      </c>
      <c r="J72" s="33" t="s">
        <v>56</v>
      </c>
      <c r="K72" s="34" t="s">
        <v>101</v>
      </c>
    </row>
    <row r="73">
      <c r="A73" s="27">
        <v>38110.0</v>
      </c>
      <c r="B73" s="28">
        <v>129550.0</v>
      </c>
      <c r="C73" s="29" t="s">
        <v>102</v>
      </c>
      <c r="D73" s="29" t="s">
        <v>209</v>
      </c>
      <c r="E73" s="29" t="s">
        <v>357</v>
      </c>
      <c r="F73" s="29" t="s">
        <v>358</v>
      </c>
      <c r="G73" s="29" t="s">
        <v>98</v>
      </c>
      <c r="H73" s="29" t="s">
        <v>99</v>
      </c>
      <c r="I73" s="29" t="s">
        <v>100</v>
      </c>
      <c r="J73" s="29" t="s">
        <v>41</v>
      </c>
      <c r="K73" s="30" t="s">
        <v>101</v>
      </c>
    </row>
    <row r="74">
      <c r="A74" s="31">
        <v>7041.0</v>
      </c>
      <c r="B74" s="32">
        <v>120975.0</v>
      </c>
      <c r="C74" s="33" t="s">
        <v>102</v>
      </c>
      <c r="D74" s="33" t="s">
        <v>354</v>
      </c>
      <c r="E74" s="33" t="s">
        <v>357</v>
      </c>
      <c r="F74" s="33" t="s">
        <v>359</v>
      </c>
      <c r="G74" s="33" t="s">
        <v>264</v>
      </c>
      <c r="H74" s="33" t="s">
        <v>265</v>
      </c>
      <c r="I74" s="33" t="s">
        <v>100</v>
      </c>
      <c r="J74" s="33" t="s">
        <v>59</v>
      </c>
      <c r="K74" s="34" t="s">
        <v>101</v>
      </c>
    </row>
    <row r="75">
      <c r="A75" s="27">
        <v>7860.0</v>
      </c>
      <c r="B75" s="28">
        <v>114532.0</v>
      </c>
      <c r="C75" s="29" t="s">
        <v>94</v>
      </c>
      <c r="D75" s="29" t="s">
        <v>360</v>
      </c>
      <c r="E75" s="29" t="s">
        <v>361</v>
      </c>
      <c r="F75" s="29" t="s">
        <v>362</v>
      </c>
      <c r="G75" s="29" t="s">
        <v>190</v>
      </c>
      <c r="H75" s="29" t="s">
        <v>191</v>
      </c>
      <c r="I75" s="29" t="s">
        <v>100</v>
      </c>
      <c r="J75" s="29" t="s">
        <v>65</v>
      </c>
      <c r="K75" s="30" t="s">
        <v>101</v>
      </c>
    </row>
    <row r="76">
      <c r="A76" s="31">
        <v>38115.0</v>
      </c>
      <c r="B76" s="32">
        <v>16252.0</v>
      </c>
      <c r="C76" s="33" t="s">
        <v>102</v>
      </c>
      <c r="D76" s="33" t="s">
        <v>363</v>
      </c>
      <c r="E76" s="33" t="s">
        <v>361</v>
      </c>
      <c r="F76" s="33" t="s">
        <v>364</v>
      </c>
      <c r="G76" s="33" t="s">
        <v>190</v>
      </c>
      <c r="H76" s="33" t="s">
        <v>317</v>
      </c>
      <c r="I76" s="33" t="s">
        <v>100</v>
      </c>
      <c r="J76" s="33" t="s">
        <v>41</v>
      </c>
      <c r="K76" s="34" t="s">
        <v>101</v>
      </c>
    </row>
    <row r="77">
      <c r="A77" s="27">
        <v>38570.0</v>
      </c>
      <c r="B77" s="28">
        <v>146877.0</v>
      </c>
      <c r="C77" s="29" t="s">
        <v>102</v>
      </c>
      <c r="D77" s="29" t="s">
        <v>365</v>
      </c>
      <c r="E77" s="29" t="s">
        <v>366</v>
      </c>
      <c r="F77" s="29" t="s">
        <v>367</v>
      </c>
      <c r="G77" s="29" t="s">
        <v>198</v>
      </c>
      <c r="H77" s="29" t="s">
        <v>199</v>
      </c>
      <c r="I77" s="29" t="s">
        <v>100</v>
      </c>
      <c r="J77" s="29" t="s">
        <v>56</v>
      </c>
      <c r="K77" s="30" t="s">
        <v>101</v>
      </c>
    </row>
    <row r="78">
      <c r="A78" s="31">
        <v>25723.0</v>
      </c>
      <c r="B78" s="32">
        <v>70552.0</v>
      </c>
      <c r="C78" s="33" t="s">
        <v>102</v>
      </c>
      <c r="D78" s="33" t="s">
        <v>204</v>
      </c>
      <c r="E78" s="33" t="s">
        <v>366</v>
      </c>
      <c r="F78" s="33" t="s">
        <v>368</v>
      </c>
      <c r="G78" s="33" t="s">
        <v>198</v>
      </c>
      <c r="H78" s="33" t="s">
        <v>199</v>
      </c>
      <c r="I78" s="33" t="s">
        <v>100</v>
      </c>
      <c r="J78" s="33" t="s">
        <v>41</v>
      </c>
      <c r="K78" s="34" t="s">
        <v>101</v>
      </c>
    </row>
    <row r="79">
      <c r="A79" s="27">
        <v>38677.0</v>
      </c>
      <c r="B79" s="28">
        <v>148828.0</v>
      </c>
      <c r="C79" s="29" t="s">
        <v>94</v>
      </c>
      <c r="D79" s="29" t="s">
        <v>369</v>
      </c>
      <c r="E79" s="29" t="s">
        <v>370</v>
      </c>
      <c r="F79" s="29" t="s">
        <v>371</v>
      </c>
      <c r="G79" s="29" t="s">
        <v>130</v>
      </c>
      <c r="H79" s="29" t="s">
        <v>241</v>
      </c>
      <c r="I79" s="29" t="s">
        <v>100</v>
      </c>
      <c r="J79" s="29" t="s">
        <v>62</v>
      </c>
      <c r="K79" s="30" t="s">
        <v>101</v>
      </c>
    </row>
    <row r="80">
      <c r="A80" s="31">
        <v>38927.0</v>
      </c>
      <c r="B80" s="32">
        <v>162995.0</v>
      </c>
      <c r="C80" s="33" t="s">
        <v>102</v>
      </c>
      <c r="D80" s="33" t="s">
        <v>372</v>
      </c>
      <c r="E80" s="33" t="s">
        <v>370</v>
      </c>
      <c r="F80" s="33" t="s">
        <v>373</v>
      </c>
      <c r="G80" s="33" t="s">
        <v>270</v>
      </c>
      <c r="H80" s="33" t="s">
        <v>374</v>
      </c>
      <c r="I80" s="33" t="s">
        <v>100</v>
      </c>
      <c r="J80" s="33" t="s">
        <v>280</v>
      </c>
      <c r="K80" s="34" t="s">
        <v>281</v>
      </c>
    </row>
    <row r="81">
      <c r="A81" s="27">
        <v>25408.0</v>
      </c>
      <c r="B81" s="28">
        <v>65775.0</v>
      </c>
      <c r="C81" s="29" t="s">
        <v>102</v>
      </c>
      <c r="D81" s="29" t="s">
        <v>375</v>
      </c>
      <c r="E81" s="29" t="s">
        <v>376</v>
      </c>
      <c r="F81" s="29" t="s">
        <v>377</v>
      </c>
      <c r="G81" s="29" t="s">
        <v>98</v>
      </c>
      <c r="H81" s="29" t="s">
        <v>99</v>
      </c>
      <c r="I81" s="29" t="s">
        <v>100</v>
      </c>
      <c r="J81" s="29" t="s">
        <v>41</v>
      </c>
      <c r="K81" s="30" t="s">
        <v>101</v>
      </c>
    </row>
    <row r="82">
      <c r="A82" s="31">
        <v>38359.0</v>
      </c>
      <c r="B82" s="32">
        <v>54218.0</v>
      </c>
      <c r="C82" s="33" t="s">
        <v>102</v>
      </c>
      <c r="D82" s="33" t="s">
        <v>378</v>
      </c>
      <c r="E82" s="33" t="s">
        <v>379</v>
      </c>
      <c r="F82" s="33" t="s">
        <v>380</v>
      </c>
      <c r="G82" s="33" t="s">
        <v>164</v>
      </c>
      <c r="H82" s="33" t="s">
        <v>165</v>
      </c>
      <c r="I82" s="33" t="s">
        <v>100</v>
      </c>
      <c r="J82" s="33" t="s">
        <v>56</v>
      </c>
      <c r="K82" s="34" t="s">
        <v>101</v>
      </c>
    </row>
    <row r="83">
      <c r="A83" s="27">
        <v>38257.0</v>
      </c>
      <c r="B83" s="28">
        <v>135363.0</v>
      </c>
      <c r="C83" s="29" t="s">
        <v>102</v>
      </c>
      <c r="D83" s="29" t="s">
        <v>381</v>
      </c>
      <c r="E83" s="29" t="s">
        <v>382</v>
      </c>
      <c r="F83" s="29" t="s">
        <v>383</v>
      </c>
      <c r="G83" s="29" t="s">
        <v>135</v>
      </c>
      <c r="H83" s="29" t="s">
        <v>136</v>
      </c>
      <c r="I83" s="29" t="s">
        <v>100</v>
      </c>
      <c r="J83" s="29" t="s">
        <v>53</v>
      </c>
      <c r="K83" s="30" t="s">
        <v>101</v>
      </c>
    </row>
    <row r="84">
      <c r="A84" s="31">
        <v>38258.0</v>
      </c>
      <c r="B84" s="32">
        <v>135364.0</v>
      </c>
      <c r="C84" s="33" t="s">
        <v>94</v>
      </c>
      <c r="D84" s="33" t="s">
        <v>384</v>
      </c>
      <c r="E84" s="33" t="s">
        <v>382</v>
      </c>
      <c r="F84" s="33" t="s">
        <v>385</v>
      </c>
      <c r="G84" s="33" t="s">
        <v>198</v>
      </c>
      <c r="H84" s="33" t="s">
        <v>386</v>
      </c>
      <c r="I84" s="33" t="s">
        <v>100</v>
      </c>
      <c r="J84" s="33" t="s">
        <v>62</v>
      </c>
      <c r="K84" s="34" t="s">
        <v>101</v>
      </c>
    </row>
    <row r="85">
      <c r="A85" s="27">
        <v>7592.0</v>
      </c>
      <c r="B85" s="28">
        <v>131956.0</v>
      </c>
      <c r="C85" s="29" t="s">
        <v>102</v>
      </c>
      <c r="D85" s="29" t="s">
        <v>387</v>
      </c>
      <c r="E85" s="29" t="s">
        <v>388</v>
      </c>
      <c r="F85" s="29" t="s">
        <v>389</v>
      </c>
      <c r="G85" s="29" t="s">
        <v>130</v>
      </c>
      <c r="H85" s="35" t="s">
        <v>131</v>
      </c>
      <c r="I85" s="29" t="s">
        <v>100</v>
      </c>
      <c r="J85" s="29" t="s">
        <v>41</v>
      </c>
      <c r="K85" s="30" t="s">
        <v>101</v>
      </c>
    </row>
    <row r="86">
      <c r="A86" s="31">
        <v>7539.0</v>
      </c>
      <c r="B86" s="32">
        <v>148762.0</v>
      </c>
      <c r="C86" s="33" t="s">
        <v>94</v>
      </c>
      <c r="D86" s="33" t="s">
        <v>390</v>
      </c>
      <c r="E86" s="33" t="s">
        <v>388</v>
      </c>
      <c r="F86" s="33" t="s">
        <v>391</v>
      </c>
      <c r="G86" s="33" t="s">
        <v>130</v>
      </c>
      <c r="H86" s="36" t="s">
        <v>131</v>
      </c>
      <c r="I86" s="33" t="s">
        <v>100</v>
      </c>
      <c r="J86" s="33" t="s">
        <v>65</v>
      </c>
      <c r="K86" s="34" t="s">
        <v>101</v>
      </c>
    </row>
    <row r="87">
      <c r="A87" s="27">
        <v>7593.0</v>
      </c>
      <c r="B87" s="28">
        <v>119964.0</v>
      </c>
      <c r="C87" s="29" t="s">
        <v>102</v>
      </c>
      <c r="D87" s="29" t="s">
        <v>392</v>
      </c>
      <c r="E87" s="29" t="s">
        <v>388</v>
      </c>
      <c r="F87" s="29" t="s">
        <v>393</v>
      </c>
      <c r="G87" s="29" t="s">
        <v>130</v>
      </c>
      <c r="H87" s="35" t="s">
        <v>131</v>
      </c>
      <c r="I87" s="29" t="s">
        <v>100</v>
      </c>
      <c r="J87" s="29" t="s">
        <v>56</v>
      </c>
      <c r="K87" s="30" t="s">
        <v>101</v>
      </c>
    </row>
    <row r="88">
      <c r="A88" s="31">
        <v>7591.0</v>
      </c>
      <c r="B88" s="32">
        <v>117954.0</v>
      </c>
      <c r="C88" s="33" t="s">
        <v>102</v>
      </c>
      <c r="D88" s="33" t="s">
        <v>109</v>
      </c>
      <c r="E88" s="33" t="s">
        <v>388</v>
      </c>
      <c r="F88" s="33" t="s">
        <v>394</v>
      </c>
      <c r="G88" s="33" t="s">
        <v>130</v>
      </c>
      <c r="H88" s="36" t="s">
        <v>131</v>
      </c>
      <c r="I88" s="33" t="s">
        <v>100</v>
      </c>
      <c r="J88" s="33" t="s">
        <v>41</v>
      </c>
      <c r="K88" s="34" t="s">
        <v>101</v>
      </c>
    </row>
    <row r="89">
      <c r="A89" s="27">
        <v>16424.0</v>
      </c>
      <c r="B89" s="28">
        <v>116632.0</v>
      </c>
      <c r="C89" s="29" t="s">
        <v>102</v>
      </c>
      <c r="D89" s="29" t="s">
        <v>395</v>
      </c>
      <c r="E89" s="29" t="s">
        <v>396</v>
      </c>
      <c r="F89" s="29" t="s">
        <v>397</v>
      </c>
      <c r="G89" s="29" t="s">
        <v>398</v>
      </c>
      <c r="H89" s="29" t="s">
        <v>399</v>
      </c>
      <c r="I89" s="29" t="s">
        <v>100</v>
      </c>
      <c r="J89" s="29" t="s">
        <v>53</v>
      </c>
      <c r="K89" s="30" t="s">
        <v>101</v>
      </c>
    </row>
    <row r="90">
      <c r="A90" s="31">
        <v>16999.0</v>
      </c>
      <c r="B90" s="32">
        <v>29362.0</v>
      </c>
      <c r="C90" s="33" t="s">
        <v>102</v>
      </c>
      <c r="D90" s="33" t="s">
        <v>400</v>
      </c>
      <c r="E90" s="33" t="s">
        <v>401</v>
      </c>
      <c r="F90" s="33" t="s">
        <v>402</v>
      </c>
      <c r="G90" s="33" t="s">
        <v>275</v>
      </c>
      <c r="H90" s="33" t="s">
        <v>276</v>
      </c>
      <c r="I90" s="33" t="s">
        <v>100</v>
      </c>
      <c r="J90" s="33" t="s">
        <v>59</v>
      </c>
      <c r="K90" s="34" t="s">
        <v>101</v>
      </c>
    </row>
    <row r="91">
      <c r="A91" s="27">
        <v>38706.0</v>
      </c>
      <c r="B91" s="28">
        <v>153866.0</v>
      </c>
      <c r="C91" s="29" t="s">
        <v>102</v>
      </c>
      <c r="D91" s="29" t="s">
        <v>403</v>
      </c>
      <c r="E91" s="29" t="s">
        <v>401</v>
      </c>
      <c r="F91" s="29" t="s">
        <v>404</v>
      </c>
      <c r="G91" s="29" t="s">
        <v>270</v>
      </c>
      <c r="H91" s="29" t="s">
        <v>374</v>
      </c>
      <c r="I91" s="29" t="s">
        <v>100</v>
      </c>
      <c r="J91" s="29" t="s">
        <v>280</v>
      </c>
      <c r="K91" s="30" t="s">
        <v>281</v>
      </c>
    </row>
    <row r="92">
      <c r="A92" s="31">
        <v>16287.0</v>
      </c>
      <c r="B92" s="32">
        <v>141705.0</v>
      </c>
      <c r="C92" s="33" t="s">
        <v>102</v>
      </c>
      <c r="D92" s="33" t="s">
        <v>405</v>
      </c>
      <c r="E92" s="33" t="s">
        <v>406</v>
      </c>
      <c r="F92" s="33" t="s">
        <v>407</v>
      </c>
      <c r="G92" s="33" t="s">
        <v>408</v>
      </c>
      <c r="H92" s="33" t="s">
        <v>409</v>
      </c>
      <c r="I92" s="33" t="s">
        <v>100</v>
      </c>
      <c r="J92" s="33" t="s">
        <v>41</v>
      </c>
      <c r="K92" s="34" t="s">
        <v>101</v>
      </c>
    </row>
    <row r="93">
      <c r="A93" s="27">
        <v>7230.0</v>
      </c>
      <c r="B93" s="28">
        <v>114503.0</v>
      </c>
      <c r="C93" s="29" t="s">
        <v>102</v>
      </c>
      <c r="D93" s="29" t="s">
        <v>242</v>
      </c>
      <c r="E93" s="29" t="s">
        <v>410</v>
      </c>
      <c r="F93" s="29" t="s">
        <v>411</v>
      </c>
      <c r="G93" s="29" t="s">
        <v>412</v>
      </c>
      <c r="H93" s="29" t="s">
        <v>413</v>
      </c>
      <c r="I93" s="29" t="s">
        <v>100</v>
      </c>
      <c r="J93" s="29" t="s">
        <v>41</v>
      </c>
      <c r="K93" s="30" t="s">
        <v>101</v>
      </c>
    </row>
    <row r="94">
      <c r="A94" s="31">
        <v>7977.0</v>
      </c>
      <c r="B94" s="32">
        <v>91422.0</v>
      </c>
      <c r="C94" s="33" t="s">
        <v>94</v>
      </c>
      <c r="D94" s="33" t="s">
        <v>414</v>
      </c>
      <c r="E94" s="33" t="s">
        <v>415</v>
      </c>
      <c r="F94" s="33" t="s">
        <v>416</v>
      </c>
      <c r="G94" s="33" t="s">
        <v>323</v>
      </c>
      <c r="H94" s="33" t="s">
        <v>417</v>
      </c>
      <c r="I94" s="33" t="s">
        <v>100</v>
      </c>
      <c r="J94" s="33" t="s">
        <v>62</v>
      </c>
      <c r="K94" s="34" t="s">
        <v>101</v>
      </c>
    </row>
    <row r="95">
      <c r="A95" s="27">
        <v>7746.0</v>
      </c>
      <c r="B95" s="28">
        <v>145519.0</v>
      </c>
      <c r="C95" s="29" t="s">
        <v>102</v>
      </c>
      <c r="D95" s="29" t="s">
        <v>395</v>
      </c>
      <c r="E95" s="29" t="s">
        <v>418</v>
      </c>
      <c r="F95" s="29" t="s">
        <v>419</v>
      </c>
      <c r="G95" s="29" t="s">
        <v>323</v>
      </c>
      <c r="H95" s="29" t="s">
        <v>417</v>
      </c>
      <c r="I95" s="29" t="s">
        <v>100</v>
      </c>
      <c r="J95" s="29" t="s">
        <v>53</v>
      </c>
      <c r="K95" s="30" t="s">
        <v>101</v>
      </c>
    </row>
    <row r="96">
      <c r="A96" s="31">
        <v>25554.0</v>
      </c>
      <c r="B96" s="32">
        <v>70707.0</v>
      </c>
      <c r="C96" s="33" t="s">
        <v>102</v>
      </c>
      <c r="D96" s="33" t="s">
        <v>420</v>
      </c>
      <c r="E96" s="33" t="s">
        <v>421</v>
      </c>
      <c r="F96" s="33" t="s">
        <v>422</v>
      </c>
      <c r="G96" s="33" t="s">
        <v>270</v>
      </c>
      <c r="H96" s="33" t="s">
        <v>374</v>
      </c>
      <c r="I96" s="33" t="s">
        <v>100</v>
      </c>
      <c r="J96" s="33" t="s">
        <v>56</v>
      </c>
      <c r="K96" s="34" t="s">
        <v>101</v>
      </c>
    </row>
    <row r="97">
      <c r="A97" s="27">
        <v>38216.0</v>
      </c>
      <c r="B97" s="28">
        <v>132189.0</v>
      </c>
      <c r="C97" s="29" t="s">
        <v>102</v>
      </c>
      <c r="D97" s="29" t="s">
        <v>423</v>
      </c>
      <c r="E97" s="29" t="s">
        <v>424</v>
      </c>
      <c r="F97" s="29" t="s">
        <v>425</v>
      </c>
      <c r="G97" s="29" t="s">
        <v>130</v>
      </c>
      <c r="H97" s="29" t="s">
        <v>241</v>
      </c>
      <c r="I97" s="29" t="s">
        <v>100</v>
      </c>
      <c r="J97" s="29" t="s">
        <v>53</v>
      </c>
      <c r="K97" s="30" t="s">
        <v>101</v>
      </c>
    </row>
    <row r="98">
      <c r="A98" s="31">
        <v>25082.0</v>
      </c>
      <c r="B98" s="32">
        <v>33923.0</v>
      </c>
      <c r="C98" s="33" t="s">
        <v>102</v>
      </c>
      <c r="D98" s="33" t="s">
        <v>426</v>
      </c>
      <c r="E98" s="33" t="s">
        <v>427</v>
      </c>
      <c r="F98" s="33" t="s">
        <v>428</v>
      </c>
      <c r="G98" s="33" t="s">
        <v>190</v>
      </c>
      <c r="H98" s="33" t="s">
        <v>317</v>
      </c>
      <c r="I98" s="33" t="s">
        <v>100</v>
      </c>
      <c r="J98" s="33" t="s">
        <v>41</v>
      </c>
      <c r="K98" s="34" t="s">
        <v>101</v>
      </c>
    </row>
    <row r="99">
      <c r="A99" s="27">
        <v>7937.0</v>
      </c>
      <c r="B99" s="28">
        <v>146865.0</v>
      </c>
      <c r="C99" s="29" t="s">
        <v>102</v>
      </c>
      <c r="D99" s="29" t="s">
        <v>429</v>
      </c>
      <c r="E99" s="29" t="s">
        <v>427</v>
      </c>
      <c r="F99" s="29" t="s">
        <v>430</v>
      </c>
      <c r="G99" s="29" t="s">
        <v>323</v>
      </c>
      <c r="H99" s="29" t="s">
        <v>417</v>
      </c>
      <c r="I99" s="29" t="s">
        <v>100</v>
      </c>
      <c r="J99" s="29" t="s">
        <v>41</v>
      </c>
      <c r="K99" s="30" t="s">
        <v>101</v>
      </c>
    </row>
    <row r="100">
      <c r="A100" s="31">
        <v>7947.0</v>
      </c>
      <c r="B100" s="32">
        <v>155261.0</v>
      </c>
      <c r="C100" s="33" t="s">
        <v>102</v>
      </c>
      <c r="D100" s="33" t="s">
        <v>140</v>
      </c>
      <c r="E100" s="33" t="s">
        <v>427</v>
      </c>
      <c r="F100" s="33" t="s">
        <v>431</v>
      </c>
      <c r="G100" s="33" t="s">
        <v>323</v>
      </c>
      <c r="H100" s="33" t="s">
        <v>417</v>
      </c>
      <c r="I100" s="33" t="s">
        <v>100</v>
      </c>
      <c r="J100" s="33" t="s">
        <v>56</v>
      </c>
      <c r="K100" s="34" t="s">
        <v>101</v>
      </c>
    </row>
    <row r="101">
      <c r="A101" s="27">
        <v>38949.0</v>
      </c>
      <c r="B101" s="28">
        <v>164072.0</v>
      </c>
      <c r="C101" s="29" t="s">
        <v>102</v>
      </c>
      <c r="D101" s="29" t="s">
        <v>432</v>
      </c>
      <c r="E101" s="29" t="s">
        <v>433</v>
      </c>
      <c r="F101" s="29" t="s">
        <v>434</v>
      </c>
      <c r="G101" s="29" t="s">
        <v>270</v>
      </c>
      <c r="H101" s="29" t="s">
        <v>374</v>
      </c>
      <c r="I101" s="29" t="s">
        <v>100</v>
      </c>
      <c r="J101" s="29" t="s">
        <v>435</v>
      </c>
      <c r="K101" s="30" t="s">
        <v>281</v>
      </c>
    </row>
    <row r="102">
      <c r="A102" s="31">
        <v>10797.0</v>
      </c>
      <c r="B102" s="32">
        <v>153893.0</v>
      </c>
      <c r="C102" s="33" t="s">
        <v>102</v>
      </c>
      <c r="D102" s="33" t="s">
        <v>436</v>
      </c>
      <c r="E102" s="33" t="s">
        <v>437</v>
      </c>
      <c r="F102" s="33" t="s">
        <v>438</v>
      </c>
      <c r="G102" s="33" t="s">
        <v>130</v>
      </c>
      <c r="H102" s="33" t="s">
        <v>157</v>
      </c>
      <c r="I102" s="33" t="s">
        <v>100</v>
      </c>
      <c r="J102" s="33" t="s">
        <v>53</v>
      </c>
      <c r="K102" s="34" t="s">
        <v>101</v>
      </c>
    </row>
    <row r="103">
      <c r="A103" s="27">
        <v>16423.0</v>
      </c>
      <c r="B103" s="28">
        <v>116631.0</v>
      </c>
      <c r="C103" s="29" t="s">
        <v>102</v>
      </c>
      <c r="D103" s="29" t="s">
        <v>400</v>
      </c>
      <c r="E103" s="29" t="s">
        <v>439</v>
      </c>
      <c r="F103" s="29" t="s">
        <v>440</v>
      </c>
      <c r="G103" s="29" t="s">
        <v>398</v>
      </c>
      <c r="H103" s="29" t="s">
        <v>399</v>
      </c>
      <c r="I103" s="29" t="s">
        <v>100</v>
      </c>
      <c r="J103" s="29" t="s">
        <v>56</v>
      </c>
      <c r="K103" s="30" t="s">
        <v>101</v>
      </c>
    </row>
    <row r="104">
      <c r="A104" s="31">
        <v>38011.0</v>
      </c>
      <c r="B104" s="32">
        <v>124255.0</v>
      </c>
      <c r="C104" s="33" t="s">
        <v>94</v>
      </c>
      <c r="D104" s="33" t="s">
        <v>441</v>
      </c>
      <c r="E104" s="33" t="s">
        <v>439</v>
      </c>
      <c r="F104" s="33" t="s">
        <v>442</v>
      </c>
      <c r="G104" s="33" t="s">
        <v>398</v>
      </c>
      <c r="H104" s="33" t="s">
        <v>399</v>
      </c>
      <c r="I104" s="33" t="s">
        <v>100</v>
      </c>
      <c r="J104" s="33" t="s">
        <v>50</v>
      </c>
      <c r="K104" s="34" t="s">
        <v>101</v>
      </c>
    </row>
    <row r="105">
      <c r="A105" s="27">
        <v>16426.0</v>
      </c>
      <c r="B105" s="28">
        <v>116630.0</v>
      </c>
      <c r="C105" s="29" t="s">
        <v>94</v>
      </c>
      <c r="D105" s="29" t="s">
        <v>443</v>
      </c>
      <c r="E105" s="29" t="s">
        <v>439</v>
      </c>
      <c r="F105" s="29" t="s">
        <v>444</v>
      </c>
      <c r="G105" s="29" t="s">
        <v>398</v>
      </c>
      <c r="H105" s="29" t="s">
        <v>399</v>
      </c>
      <c r="I105" s="29" t="s">
        <v>100</v>
      </c>
      <c r="J105" s="29" t="s">
        <v>62</v>
      </c>
      <c r="K105" s="30" t="s">
        <v>101</v>
      </c>
    </row>
    <row r="106">
      <c r="A106" s="31">
        <v>38969.0</v>
      </c>
      <c r="B106" s="32">
        <v>164097.0</v>
      </c>
      <c r="C106" s="33" t="s">
        <v>102</v>
      </c>
      <c r="D106" s="33" t="s">
        <v>445</v>
      </c>
      <c r="E106" s="33" t="s">
        <v>446</v>
      </c>
      <c r="F106" s="33" t="s">
        <v>447</v>
      </c>
      <c r="G106" s="33" t="s">
        <v>270</v>
      </c>
      <c r="H106" s="33" t="s">
        <v>374</v>
      </c>
      <c r="I106" s="33" t="s">
        <v>100</v>
      </c>
      <c r="J106" s="33" t="s">
        <v>53</v>
      </c>
      <c r="K106" s="34" t="s">
        <v>101</v>
      </c>
    </row>
    <row r="107">
      <c r="A107" s="27">
        <v>38489.0</v>
      </c>
      <c r="B107" s="28">
        <v>142888.0</v>
      </c>
      <c r="C107" s="29" t="s">
        <v>102</v>
      </c>
      <c r="D107" s="29" t="s">
        <v>448</v>
      </c>
      <c r="E107" s="29" t="s">
        <v>449</v>
      </c>
      <c r="F107" s="29" t="s">
        <v>450</v>
      </c>
      <c r="G107" s="29" t="s">
        <v>181</v>
      </c>
      <c r="H107" s="29" t="s">
        <v>182</v>
      </c>
      <c r="I107" s="29" t="s">
        <v>100</v>
      </c>
      <c r="J107" s="29" t="s">
        <v>41</v>
      </c>
      <c r="K107" s="30" t="s">
        <v>101</v>
      </c>
    </row>
    <row r="108">
      <c r="A108" s="31">
        <v>25784.0</v>
      </c>
      <c r="B108" s="32">
        <v>42130.0</v>
      </c>
      <c r="C108" s="33" t="s">
        <v>102</v>
      </c>
      <c r="D108" s="33" t="s">
        <v>436</v>
      </c>
      <c r="E108" s="33" t="s">
        <v>451</v>
      </c>
      <c r="F108" s="33" t="s">
        <v>452</v>
      </c>
      <c r="G108" s="33" t="s">
        <v>164</v>
      </c>
      <c r="H108" s="33" t="s">
        <v>165</v>
      </c>
      <c r="I108" s="33" t="s">
        <v>100</v>
      </c>
      <c r="J108" s="33" t="s">
        <v>53</v>
      </c>
      <c r="K108" s="34" t="s">
        <v>101</v>
      </c>
    </row>
    <row r="109">
      <c r="A109" s="27">
        <v>38994.0</v>
      </c>
      <c r="B109" s="28">
        <v>168174.0</v>
      </c>
      <c r="C109" s="29" t="s">
        <v>94</v>
      </c>
      <c r="D109" s="29" t="s">
        <v>453</v>
      </c>
      <c r="E109" s="29" t="s">
        <v>454</v>
      </c>
      <c r="F109" s="29" t="s">
        <v>455</v>
      </c>
      <c r="G109" s="29" t="s">
        <v>130</v>
      </c>
      <c r="H109" s="35" t="s">
        <v>131</v>
      </c>
      <c r="I109" s="29" t="s">
        <v>100</v>
      </c>
      <c r="J109" s="29" t="s">
        <v>44</v>
      </c>
      <c r="K109" s="30" t="s">
        <v>101</v>
      </c>
    </row>
    <row r="110">
      <c r="A110" s="31">
        <v>38635.0</v>
      </c>
      <c r="B110" s="32">
        <v>148772.0</v>
      </c>
      <c r="C110" s="33" t="s">
        <v>102</v>
      </c>
      <c r="D110" s="33" t="s">
        <v>456</v>
      </c>
      <c r="E110" s="33" t="s">
        <v>457</v>
      </c>
      <c r="F110" s="33" t="s">
        <v>458</v>
      </c>
      <c r="G110" s="33" t="s">
        <v>130</v>
      </c>
      <c r="H110" s="33" t="s">
        <v>459</v>
      </c>
      <c r="I110" s="33" t="s">
        <v>100</v>
      </c>
      <c r="J110" s="33" t="s">
        <v>41</v>
      </c>
      <c r="K110" s="34" t="s">
        <v>101</v>
      </c>
    </row>
    <row r="111">
      <c r="A111" s="27">
        <v>25273.0</v>
      </c>
      <c r="B111" s="28">
        <v>46705.0</v>
      </c>
      <c r="C111" s="29" t="s">
        <v>94</v>
      </c>
      <c r="D111" s="29" t="s">
        <v>460</v>
      </c>
      <c r="E111" s="29" t="s">
        <v>457</v>
      </c>
      <c r="F111" s="29" t="s">
        <v>461</v>
      </c>
      <c r="G111" s="29" t="s">
        <v>398</v>
      </c>
      <c r="H111" s="29" t="s">
        <v>399</v>
      </c>
      <c r="I111" s="29" t="s">
        <v>100</v>
      </c>
      <c r="J111" s="29" t="s">
        <v>65</v>
      </c>
      <c r="K111" s="30" t="s">
        <v>101</v>
      </c>
    </row>
    <row r="112">
      <c r="A112" s="31">
        <v>35141.0</v>
      </c>
      <c r="B112" s="32">
        <v>114985.0</v>
      </c>
      <c r="C112" s="33" t="s">
        <v>102</v>
      </c>
      <c r="D112" s="33" t="s">
        <v>462</v>
      </c>
      <c r="E112" s="33" t="s">
        <v>463</v>
      </c>
      <c r="F112" s="33" t="s">
        <v>464</v>
      </c>
      <c r="G112" s="33" t="s">
        <v>198</v>
      </c>
      <c r="H112" s="33" t="s">
        <v>353</v>
      </c>
      <c r="I112" s="33" t="s">
        <v>100</v>
      </c>
      <c r="J112" s="33" t="s">
        <v>41</v>
      </c>
      <c r="K112" s="34" t="s">
        <v>101</v>
      </c>
    </row>
    <row r="113">
      <c r="A113" s="27">
        <v>25025.0</v>
      </c>
      <c r="B113" s="28">
        <v>162955.0</v>
      </c>
      <c r="C113" s="29" t="s">
        <v>102</v>
      </c>
      <c r="D113" s="29" t="s">
        <v>465</v>
      </c>
      <c r="E113" s="29" t="s">
        <v>466</v>
      </c>
      <c r="F113" s="29" t="s">
        <v>467</v>
      </c>
      <c r="G113" s="29" t="s">
        <v>468</v>
      </c>
      <c r="H113" s="29" t="s">
        <v>469</v>
      </c>
      <c r="I113" s="29" t="s">
        <v>100</v>
      </c>
      <c r="J113" s="29" t="s">
        <v>53</v>
      </c>
      <c r="K113" s="30" t="s">
        <v>101</v>
      </c>
    </row>
    <row r="114">
      <c r="A114" s="31">
        <v>38998.0</v>
      </c>
      <c r="B114" s="32">
        <v>168178.0</v>
      </c>
      <c r="C114" s="33" t="s">
        <v>102</v>
      </c>
      <c r="D114" s="33" t="s">
        <v>470</v>
      </c>
      <c r="E114" s="33" t="s">
        <v>466</v>
      </c>
      <c r="F114" s="33" t="s">
        <v>471</v>
      </c>
      <c r="G114" s="33" t="s">
        <v>135</v>
      </c>
      <c r="H114" s="33" t="s">
        <v>203</v>
      </c>
      <c r="I114" s="33" t="s">
        <v>100</v>
      </c>
      <c r="J114" s="33" t="s">
        <v>41</v>
      </c>
      <c r="K114" s="34" t="s">
        <v>101</v>
      </c>
    </row>
    <row r="115">
      <c r="A115" s="27">
        <v>7683.0</v>
      </c>
      <c r="B115" s="28">
        <v>91425.0</v>
      </c>
      <c r="C115" s="29" t="s">
        <v>94</v>
      </c>
      <c r="D115" s="29" t="s">
        <v>472</v>
      </c>
      <c r="E115" s="29" t="s">
        <v>466</v>
      </c>
      <c r="F115" s="29" t="s">
        <v>473</v>
      </c>
      <c r="G115" s="29" t="s">
        <v>398</v>
      </c>
      <c r="H115" s="29" t="s">
        <v>399</v>
      </c>
      <c r="I115" s="29" t="s">
        <v>100</v>
      </c>
      <c r="J115" s="29" t="s">
        <v>62</v>
      </c>
      <c r="K115" s="30" t="s">
        <v>101</v>
      </c>
    </row>
    <row r="116">
      <c r="A116" s="31">
        <v>25192.0</v>
      </c>
      <c r="B116" s="32">
        <v>42361.0</v>
      </c>
      <c r="C116" s="33" t="s">
        <v>94</v>
      </c>
      <c r="D116" s="33" t="s">
        <v>474</v>
      </c>
      <c r="E116" s="33" t="s">
        <v>475</v>
      </c>
      <c r="F116" s="33" t="s">
        <v>476</v>
      </c>
      <c r="G116" s="33" t="s">
        <v>130</v>
      </c>
      <c r="H116" s="33" t="s">
        <v>172</v>
      </c>
      <c r="I116" s="33" t="s">
        <v>100</v>
      </c>
      <c r="J116" s="33" t="s">
        <v>44</v>
      </c>
      <c r="K116" s="34" t="s">
        <v>101</v>
      </c>
    </row>
    <row r="117">
      <c r="A117" s="27">
        <v>7730.0</v>
      </c>
      <c r="B117" s="28">
        <v>136885.0</v>
      </c>
      <c r="C117" s="29" t="s">
        <v>102</v>
      </c>
      <c r="D117" s="29" t="s">
        <v>477</v>
      </c>
      <c r="E117" s="29" t="s">
        <v>475</v>
      </c>
      <c r="F117" s="29" t="s">
        <v>478</v>
      </c>
      <c r="G117" s="29" t="s">
        <v>198</v>
      </c>
      <c r="H117" s="29" t="s">
        <v>199</v>
      </c>
      <c r="I117" s="29" t="s">
        <v>100</v>
      </c>
      <c r="J117" s="29" t="s">
        <v>41</v>
      </c>
      <c r="K117" s="30" t="s">
        <v>101</v>
      </c>
    </row>
    <row r="118">
      <c r="A118" s="31">
        <v>38979.0</v>
      </c>
      <c r="B118" s="32">
        <v>168158.0</v>
      </c>
      <c r="C118" s="33" t="s">
        <v>102</v>
      </c>
      <c r="D118" s="33" t="s">
        <v>479</v>
      </c>
      <c r="E118" s="33" t="s">
        <v>480</v>
      </c>
      <c r="F118" s="33" t="s">
        <v>481</v>
      </c>
      <c r="G118" s="33" t="s">
        <v>298</v>
      </c>
      <c r="H118" s="33" t="s">
        <v>299</v>
      </c>
      <c r="I118" s="33" t="s">
        <v>100</v>
      </c>
      <c r="J118" s="33" t="s">
        <v>435</v>
      </c>
      <c r="K118" s="34" t="s">
        <v>281</v>
      </c>
    </row>
    <row r="119">
      <c r="A119" s="27">
        <v>38634.0</v>
      </c>
      <c r="B119" s="28">
        <v>148771.0</v>
      </c>
      <c r="C119" s="29" t="s">
        <v>94</v>
      </c>
      <c r="D119" s="29" t="s">
        <v>482</v>
      </c>
      <c r="E119" s="29" t="s">
        <v>483</v>
      </c>
      <c r="F119" s="29" t="s">
        <v>484</v>
      </c>
      <c r="G119" s="29" t="s">
        <v>270</v>
      </c>
      <c r="H119" s="29" t="s">
        <v>374</v>
      </c>
      <c r="I119" s="29" t="s">
        <v>100</v>
      </c>
      <c r="J119" s="29" t="s">
        <v>44</v>
      </c>
      <c r="K119" s="30" t="s">
        <v>101</v>
      </c>
    </row>
    <row r="120">
      <c r="A120" s="31">
        <v>38746.0</v>
      </c>
      <c r="B120" s="32">
        <v>155270.0</v>
      </c>
      <c r="C120" s="33" t="s">
        <v>102</v>
      </c>
      <c r="D120" s="33" t="s">
        <v>116</v>
      </c>
      <c r="E120" s="33" t="s">
        <v>485</v>
      </c>
      <c r="F120" s="33" t="s">
        <v>486</v>
      </c>
      <c r="G120" s="33" t="s">
        <v>135</v>
      </c>
      <c r="H120" s="33" t="s">
        <v>203</v>
      </c>
      <c r="I120" s="33" t="s">
        <v>100</v>
      </c>
      <c r="J120" s="33" t="s">
        <v>47</v>
      </c>
      <c r="K120" s="34" t="s">
        <v>101</v>
      </c>
    </row>
    <row r="121">
      <c r="A121" s="27">
        <v>16289.0</v>
      </c>
      <c r="B121" s="28">
        <v>116661.0</v>
      </c>
      <c r="C121" s="29" t="s">
        <v>102</v>
      </c>
      <c r="D121" s="29" t="s">
        <v>487</v>
      </c>
      <c r="E121" s="29" t="s">
        <v>488</v>
      </c>
      <c r="F121" s="29" t="s">
        <v>489</v>
      </c>
      <c r="G121" s="29" t="s">
        <v>408</v>
      </c>
      <c r="H121" s="29" t="s">
        <v>409</v>
      </c>
      <c r="I121" s="29" t="s">
        <v>100</v>
      </c>
      <c r="J121" s="29" t="s">
        <v>53</v>
      </c>
      <c r="K121" s="30" t="s">
        <v>101</v>
      </c>
    </row>
    <row r="122">
      <c r="A122" s="31">
        <v>38697.0</v>
      </c>
      <c r="B122" s="32">
        <v>153856.0</v>
      </c>
      <c r="C122" s="33" t="s">
        <v>94</v>
      </c>
      <c r="D122" s="33" t="s">
        <v>490</v>
      </c>
      <c r="E122" s="33" t="s">
        <v>491</v>
      </c>
      <c r="F122" s="33" t="s">
        <v>492</v>
      </c>
      <c r="G122" s="33" t="s">
        <v>323</v>
      </c>
      <c r="H122" s="33" t="s">
        <v>493</v>
      </c>
      <c r="I122" s="33" t="s">
        <v>100</v>
      </c>
      <c r="J122" s="33" t="s">
        <v>62</v>
      </c>
      <c r="K122" s="34" t="s">
        <v>101</v>
      </c>
    </row>
    <row r="123">
      <c r="A123" s="27">
        <v>16707.0</v>
      </c>
      <c r="B123" s="28">
        <v>120953.0</v>
      </c>
      <c r="C123" s="29" t="s">
        <v>102</v>
      </c>
      <c r="D123" s="29" t="s">
        <v>204</v>
      </c>
      <c r="E123" s="29" t="s">
        <v>494</v>
      </c>
      <c r="F123" s="29" t="s">
        <v>495</v>
      </c>
      <c r="G123" s="29" t="s">
        <v>496</v>
      </c>
      <c r="H123" s="29" t="s">
        <v>497</v>
      </c>
      <c r="I123" s="29" t="s">
        <v>100</v>
      </c>
      <c r="J123" s="29" t="s">
        <v>53</v>
      </c>
      <c r="K123" s="30" t="s">
        <v>101</v>
      </c>
    </row>
    <row r="124">
      <c r="A124" s="31">
        <v>25502.0</v>
      </c>
      <c r="B124" s="32">
        <v>66128.0</v>
      </c>
      <c r="C124" s="33" t="s">
        <v>102</v>
      </c>
      <c r="D124" s="33" t="s">
        <v>465</v>
      </c>
      <c r="E124" s="33" t="s">
        <v>498</v>
      </c>
      <c r="F124" s="33" t="s">
        <v>499</v>
      </c>
      <c r="G124" s="33" t="s">
        <v>164</v>
      </c>
      <c r="H124" s="33" t="s">
        <v>165</v>
      </c>
      <c r="I124" s="33" t="s">
        <v>100</v>
      </c>
      <c r="J124" s="33" t="s">
        <v>56</v>
      </c>
      <c r="K124" s="34" t="s">
        <v>101</v>
      </c>
    </row>
    <row r="125">
      <c r="A125" s="27">
        <v>38686.0</v>
      </c>
      <c r="B125" s="28">
        <v>148843.0</v>
      </c>
      <c r="C125" s="29" t="s">
        <v>102</v>
      </c>
      <c r="D125" s="29" t="s">
        <v>477</v>
      </c>
      <c r="E125" s="29" t="s">
        <v>500</v>
      </c>
      <c r="F125" s="29" t="s">
        <v>501</v>
      </c>
      <c r="G125" s="29" t="s">
        <v>408</v>
      </c>
      <c r="H125" s="29" t="s">
        <v>409</v>
      </c>
      <c r="I125" s="29" t="s">
        <v>100</v>
      </c>
      <c r="J125" s="29" t="s">
        <v>41</v>
      </c>
      <c r="K125" s="30" t="s">
        <v>101</v>
      </c>
    </row>
    <row r="126">
      <c r="A126" s="31">
        <v>38643.0</v>
      </c>
      <c r="B126" s="32">
        <v>148780.0</v>
      </c>
      <c r="C126" s="33" t="s">
        <v>102</v>
      </c>
      <c r="D126" s="33" t="s">
        <v>502</v>
      </c>
      <c r="E126" s="33" t="s">
        <v>503</v>
      </c>
      <c r="F126" s="33" t="s">
        <v>504</v>
      </c>
      <c r="G126" s="33" t="s">
        <v>119</v>
      </c>
      <c r="H126" s="33" t="s">
        <v>120</v>
      </c>
      <c r="I126" s="33" t="s">
        <v>100</v>
      </c>
      <c r="J126" s="33" t="s">
        <v>41</v>
      </c>
      <c r="K126" s="34" t="s">
        <v>101</v>
      </c>
    </row>
    <row r="127">
      <c r="A127" s="27">
        <v>38850.0</v>
      </c>
      <c r="B127" s="28">
        <v>159638.0</v>
      </c>
      <c r="C127" s="29" t="s">
        <v>102</v>
      </c>
      <c r="D127" s="29" t="s">
        <v>505</v>
      </c>
      <c r="E127" s="29" t="s">
        <v>506</v>
      </c>
      <c r="F127" s="29" t="s">
        <v>507</v>
      </c>
      <c r="G127" s="29" t="s">
        <v>207</v>
      </c>
      <c r="H127" s="29" t="s">
        <v>208</v>
      </c>
      <c r="I127" s="29" t="s">
        <v>100</v>
      </c>
      <c r="J127" s="29" t="s">
        <v>56</v>
      </c>
      <c r="K127" s="30" t="s">
        <v>101</v>
      </c>
    </row>
    <row r="128">
      <c r="A128" s="31">
        <v>7438.0</v>
      </c>
      <c r="B128" s="32">
        <v>99133.0</v>
      </c>
      <c r="C128" s="33" t="s">
        <v>94</v>
      </c>
      <c r="D128" s="33" t="s">
        <v>508</v>
      </c>
      <c r="E128" s="33" t="s">
        <v>509</v>
      </c>
      <c r="F128" s="33" t="s">
        <v>510</v>
      </c>
      <c r="G128" s="33" t="s">
        <v>323</v>
      </c>
      <c r="H128" s="33" t="s">
        <v>417</v>
      </c>
      <c r="I128" s="33" t="s">
        <v>100</v>
      </c>
      <c r="J128" s="33" t="s">
        <v>44</v>
      </c>
      <c r="K128" s="34" t="s">
        <v>101</v>
      </c>
    </row>
    <row r="129">
      <c r="A129" s="27">
        <v>38725.0</v>
      </c>
      <c r="B129" s="28">
        <v>153895.0</v>
      </c>
      <c r="C129" s="29" t="s">
        <v>94</v>
      </c>
      <c r="D129" s="29" t="s">
        <v>511</v>
      </c>
      <c r="E129" s="29" t="s">
        <v>512</v>
      </c>
      <c r="F129" s="29" t="s">
        <v>513</v>
      </c>
      <c r="G129" s="29" t="s">
        <v>207</v>
      </c>
      <c r="H129" s="29" t="s">
        <v>208</v>
      </c>
      <c r="I129" s="29" t="s">
        <v>100</v>
      </c>
      <c r="J129" s="29" t="s">
        <v>44</v>
      </c>
      <c r="K129" s="30" t="s">
        <v>101</v>
      </c>
    </row>
    <row r="130">
      <c r="A130" s="31">
        <v>16760.0</v>
      </c>
      <c r="B130" s="32">
        <v>128827.0</v>
      </c>
      <c r="C130" s="33" t="s">
        <v>102</v>
      </c>
      <c r="D130" s="33" t="s">
        <v>230</v>
      </c>
      <c r="E130" s="33" t="s">
        <v>514</v>
      </c>
      <c r="F130" s="33" t="s">
        <v>515</v>
      </c>
      <c r="G130" s="33" t="s">
        <v>130</v>
      </c>
      <c r="H130" s="33" t="s">
        <v>157</v>
      </c>
      <c r="I130" s="33" t="s">
        <v>100</v>
      </c>
      <c r="J130" s="33" t="s">
        <v>53</v>
      </c>
      <c r="K130" s="34" t="s">
        <v>101</v>
      </c>
    </row>
    <row r="131">
      <c r="A131" s="27">
        <v>16224.0</v>
      </c>
      <c r="B131" s="28">
        <v>111985.0</v>
      </c>
      <c r="C131" s="29" t="s">
        <v>102</v>
      </c>
      <c r="D131" s="29" t="s">
        <v>516</v>
      </c>
      <c r="E131" s="29" t="s">
        <v>517</v>
      </c>
      <c r="F131" s="29" t="s">
        <v>518</v>
      </c>
      <c r="G131" s="29" t="s">
        <v>143</v>
      </c>
      <c r="H131" s="29" t="s">
        <v>144</v>
      </c>
      <c r="I131" s="29" t="s">
        <v>100</v>
      </c>
      <c r="J131" s="29" t="s">
        <v>59</v>
      </c>
      <c r="K131" s="30" t="s">
        <v>101</v>
      </c>
    </row>
    <row r="132">
      <c r="A132" s="31">
        <v>7590.0</v>
      </c>
      <c r="B132" s="32">
        <v>125222.0</v>
      </c>
      <c r="C132" s="33" t="s">
        <v>102</v>
      </c>
      <c r="D132" s="33" t="s">
        <v>519</v>
      </c>
      <c r="E132" s="33" t="s">
        <v>520</v>
      </c>
      <c r="F132" s="33" t="s">
        <v>521</v>
      </c>
      <c r="G132" s="33" t="s">
        <v>98</v>
      </c>
      <c r="H132" s="33" t="s">
        <v>522</v>
      </c>
      <c r="I132" s="33" t="s">
        <v>100</v>
      </c>
      <c r="J132" s="33" t="s">
        <v>56</v>
      </c>
      <c r="K132" s="34" t="s">
        <v>101</v>
      </c>
    </row>
    <row r="133">
      <c r="A133" s="27">
        <v>25953.0</v>
      </c>
      <c r="B133" s="28">
        <v>111882.0</v>
      </c>
      <c r="C133" s="29" t="s">
        <v>102</v>
      </c>
      <c r="D133" s="29" t="s">
        <v>523</v>
      </c>
      <c r="E133" s="29" t="s">
        <v>524</v>
      </c>
      <c r="F133" s="29" t="s">
        <v>525</v>
      </c>
      <c r="G133" s="29" t="s">
        <v>207</v>
      </c>
      <c r="H133" s="29" t="s">
        <v>208</v>
      </c>
      <c r="I133" s="29" t="s">
        <v>100</v>
      </c>
      <c r="J133" s="29" t="s">
        <v>41</v>
      </c>
      <c r="K133" s="30" t="s">
        <v>101</v>
      </c>
    </row>
    <row r="134">
      <c r="A134" s="31">
        <v>7024.0</v>
      </c>
      <c r="B134" s="32">
        <v>153892.0</v>
      </c>
      <c r="C134" s="33" t="s">
        <v>94</v>
      </c>
      <c r="D134" s="33" t="s">
        <v>303</v>
      </c>
      <c r="E134" s="33" t="s">
        <v>524</v>
      </c>
      <c r="F134" s="33" t="s">
        <v>526</v>
      </c>
      <c r="G134" s="33" t="s">
        <v>130</v>
      </c>
      <c r="H134" s="36" t="s">
        <v>131</v>
      </c>
      <c r="I134" s="33" t="s">
        <v>100</v>
      </c>
      <c r="J134" s="33" t="s">
        <v>44</v>
      </c>
      <c r="K134" s="34" t="s">
        <v>101</v>
      </c>
    </row>
    <row r="135">
      <c r="A135" s="27">
        <v>16432.0</v>
      </c>
      <c r="B135" s="28">
        <v>112102.0</v>
      </c>
      <c r="C135" s="29" t="s">
        <v>102</v>
      </c>
      <c r="D135" s="29" t="s">
        <v>354</v>
      </c>
      <c r="E135" s="29" t="s">
        <v>527</v>
      </c>
      <c r="F135" s="29" t="s">
        <v>528</v>
      </c>
      <c r="G135" s="29" t="s">
        <v>257</v>
      </c>
      <c r="H135" s="29" t="s">
        <v>258</v>
      </c>
      <c r="I135" s="29" t="s">
        <v>100</v>
      </c>
      <c r="J135" s="29" t="s">
        <v>59</v>
      </c>
      <c r="K135" s="30" t="s">
        <v>101</v>
      </c>
    </row>
    <row r="136">
      <c r="A136" s="31">
        <v>38044.0</v>
      </c>
      <c r="B136" s="32">
        <v>128197.0</v>
      </c>
      <c r="C136" s="33" t="s">
        <v>102</v>
      </c>
      <c r="D136" s="33" t="s">
        <v>204</v>
      </c>
      <c r="E136" s="33" t="s">
        <v>529</v>
      </c>
      <c r="F136" s="33" t="s">
        <v>530</v>
      </c>
      <c r="G136" s="33" t="s">
        <v>135</v>
      </c>
      <c r="H136" s="33" t="s">
        <v>531</v>
      </c>
      <c r="I136" s="33" t="s">
        <v>100</v>
      </c>
      <c r="J136" s="33" t="s">
        <v>53</v>
      </c>
      <c r="K136" s="34" t="s">
        <v>101</v>
      </c>
    </row>
    <row r="137">
      <c r="A137" s="27">
        <v>38193.0</v>
      </c>
      <c r="B137" s="28">
        <v>131787.0</v>
      </c>
      <c r="C137" s="29" t="s">
        <v>102</v>
      </c>
      <c r="D137" s="29" t="s">
        <v>532</v>
      </c>
      <c r="E137" s="29" t="s">
        <v>533</v>
      </c>
      <c r="F137" s="29" t="s">
        <v>534</v>
      </c>
      <c r="G137" s="29" t="s">
        <v>214</v>
      </c>
      <c r="H137" s="29" t="s">
        <v>215</v>
      </c>
      <c r="I137" s="29" t="s">
        <v>100</v>
      </c>
      <c r="J137" s="29" t="s">
        <v>41</v>
      </c>
      <c r="K137" s="30" t="s">
        <v>101</v>
      </c>
    </row>
    <row r="138">
      <c r="A138" s="31">
        <v>38498.0</v>
      </c>
      <c r="B138" s="32">
        <v>142928.0</v>
      </c>
      <c r="C138" s="33" t="s">
        <v>102</v>
      </c>
      <c r="D138" s="33" t="s">
        <v>535</v>
      </c>
      <c r="E138" s="33" t="s">
        <v>536</v>
      </c>
      <c r="F138" s="33" t="s">
        <v>537</v>
      </c>
      <c r="G138" s="33" t="s">
        <v>148</v>
      </c>
      <c r="H138" s="33" t="s">
        <v>149</v>
      </c>
      <c r="I138" s="33" t="s">
        <v>100</v>
      </c>
      <c r="J138" s="33" t="s">
        <v>53</v>
      </c>
      <c r="K138" s="34" t="s">
        <v>101</v>
      </c>
    </row>
    <row r="139">
      <c r="A139" s="27">
        <v>34468.0</v>
      </c>
      <c r="B139" s="28">
        <v>140291.0</v>
      </c>
      <c r="C139" s="29" t="s">
        <v>94</v>
      </c>
      <c r="D139" s="29" t="s">
        <v>538</v>
      </c>
      <c r="E139" s="29" t="s">
        <v>539</v>
      </c>
      <c r="F139" s="29" t="s">
        <v>540</v>
      </c>
      <c r="G139" s="29" t="s">
        <v>398</v>
      </c>
      <c r="H139" s="29" t="s">
        <v>399</v>
      </c>
      <c r="I139" s="29" t="s">
        <v>100</v>
      </c>
      <c r="J139" s="29" t="s">
        <v>44</v>
      </c>
      <c r="K139" s="30" t="s">
        <v>101</v>
      </c>
    </row>
    <row r="140">
      <c r="A140" s="31">
        <v>25315.0</v>
      </c>
      <c r="B140" s="32">
        <v>112196.0</v>
      </c>
      <c r="C140" s="33" t="s">
        <v>102</v>
      </c>
      <c r="D140" s="33" t="s">
        <v>541</v>
      </c>
      <c r="E140" s="33" t="s">
        <v>542</v>
      </c>
      <c r="F140" s="33" t="s">
        <v>543</v>
      </c>
      <c r="G140" s="33" t="s">
        <v>198</v>
      </c>
      <c r="H140" s="33" t="s">
        <v>544</v>
      </c>
      <c r="I140" s="33" t="s">
        <v>100</v>
      </c>
      <c r="J140" s="33" t="s">
        <v>59</v>
      </c>
      <c r="K140" s="34" t="s">
        <v>101</v>
      </c>
    </row>
    <row r="141">
      <c r="A141" s="27">
        <v>38912.0</v>
      </c>
      <c r="B141" s="28">
        <v>162979.0</v>
      </c>
      <c r="C141" s="29" t="s">
        <v>102</v>
      </c>
      <c r="D141" s="29" t="s">
        <v>545</v>
      </c>
      <c r="E141" s="29" t="s">
        <v>542</v>
      </c>
      <c r="F141" s="29" t="s">
        <v>546</v>
      </c>
      <c r="G141" s="29" t="s">
        <v>207</v>
      </c>
      <c r="H141" s="29" t="s">
        <v>208</v>
      </c>
      <c r="I141" s="29" t="s">
        <v>100</v>
      </c>
      <c r="J141" s="29" t="s">
        <v>41</v>
      </c>
      <c r="K141" s="30" t="s">
        <v>101</v>
      </c>
    </row>
    <row r="142">
      <c r="A142" s="31">
        <v>38809.0</v>
      </c>
      <c r="B142" s="32">
        <v>158044.0</v>
      </c>
      <c r="C142" s="33" t="s">
        <v>102</v>
      </c>
      <c r="D142" s="33" t="s">
        <v>547</v>
      </c>
      <c r="E142" s="33" t="s">
        <v>542</v>
      </c>
      <c r="F142" s="33" t="s">
        <v>548</v>
      </c>
      <c r="G142" s="33" t="s">
        <v>207</v>
      </c>
      <c r="H142" s="33" t="s">
        <v>208</v>
      </c>
      <c r="I142" s="33" t="s">
        <v>100</v>
      </c>
      <c r="J142" s="33" t="s">
        <v>280</v>
      </c>
      <c r="K142" s="34" t="s">
        <v>281</v>
      </c>
    </row>
    <row r="143">
      <c r="A143" s="27">
        <v>7595.0</v>
      </c>
      <c r="B143" s="28">
        <v>119965.0</v>
      </c>
      <c r="C143" s="29" t="s">
        <v>102</v>
      </c>
      <c r="D143" s="29" t="s">
        <v>209</v>
      </c>
      <c r="E143" s="29" t="s">
        <v>549</v>
      </c>
      <c r="F143" s="29" t="s">
        <v>550</v>
      </c>
      <c r="G143" s="29" t="s">
        <v>130</v>
      </c>
      <c r="H143" s="35" t="s">
        <v>131</v>
      </c>
      <c r="I143" s="29" t="s">
        <v>100</v>
      </c>
      <c r="J143" s="29" t="s">
        <v>41</v>
      </c>
      <c r="K143" s="30" t="s">
        <v>101</v>
      </c>
    </row>
    <row r="144">
      <c r="A144" s="31">
        <v>38144.0</v>
      </c>
      <c r="B144" s="32">
        <v>129814.0</v>
      </c>
      <c r="C144" s="33" t="s">
        <v>102</v>
      </c>
      <c r="D144" s="33" t="s">
        <v>551</v>
      </c>
      <c r="E144" s="33" t="s">
        <v>552</v>
      </c>
      <c r="F144" s="33" t="s">
        <v>553</v>
      </c>
      <c r="G144" s="33" t="s">
        <v>198</v>
      </c>
      <c r="H144" s="33" t="s">
        <v>199</v>
      </c>
      <c r="I144" s="33" t="s">
        <v>100</v>
      </c>
      <c r="J144" s="33" t="s">
        <v>41</v>
      </c>
      <c r="K144" s="34" t="s">
        <v>101</v>
      </c>
    </row>
    <row r="145">
      <c r="A145" s="27">
        <v>7586.0</v>
      </c>
      <c r="B145" s="28">
        <v>111435.0</v>
      </c>
      <c r="C145" s="29" t="s">
        <v>102</v>
      </c>
      <c r="D145" s="29" t="s">
        <v>554</v>
      </c>
      <c r="E145" s="29" t="s">
        <v>555</v>
      </c>
      <c r="F145" s="29" t="s">
        <v>556</v>
      </c>
      <c r="G145" s="29" t="s">
        <v>190</v>
      </c>
      <c r="H145" s="29" t="s">
        <v>191</v>
      </c>
      <c r="I145" s="29" t="s">
        <v>100</v>
      </c>
      <c r="J145" s="29" t="s">
        <v>56</v>
      </c>
      <c r="K145" s="30" t="s">
        <v>101</v>
      </c>
    </row>
    <row r="146">
      <c r="A146" s="31">
        <v>25387.0</v>
      </c>
      <c r="B146" s="32">
        <v>135393.0</v>
      </c>
      <c r="C146" s="33" t="s">
        <v>102</v>
      </c>
      <c r="D146" s="33" t="s">
        <v>557</v>
      </c>
      <c r="E146" s="33" t="s">
        <v>558</v>
      </c>
      <c r="F146" s="33" t="s">
        <v>559</v>
      </c>
      <c r="G146" s="33" t="s">
        <v>190</v>
      </c>
      <c r="H146" s="33" t="s">
        <v>191</v>
      </c>
      <c r="I146" s="33" t="s">
        <v>100</v>
      </c>
      <c r="J146" s="33" t="s">
        <v>53</v>
      </c>
      <c r="K146" s="34" t="s">
        <v>101</v>
      </c>
    </row>
    <row r="147">
      <c r="A147" s="27">
        <v>25411.0</v>
      </c>
      <c r="B147" s="28">
        <v>63186.0</v>
      </c>
      <c r="C147" s="29" t="s">
        <v>102</v>
      </c>
      <c r="D147" s="29" t="s">
        <v>560</v>
      </c>
      <c r="E147" s="29" t="s">
        <v>561</v>
      </c>
      <c r="F147" s="29" t="s">
        <v>562</v>
      </c>
      <c r="G147" s="29" t="s">
        <v>264</v>
      </c>
      <c r="H147" s="29" t="s">
        <v>265</v>
      </c>
      <c r="I147" s="29" t="s">
        <v>100</v>
      </c>
      <c r="J147" s="29" t="s">
        <v>56</v>
      </c>
      <c r="K147" s="30" t="s">
        <v>101</v>
      </c>
    </row>
    <row r="148">
      <c r="A148" s="31">
        <v>25229.0</v>
      </c>
      <c r="B148" s="32">
        <v>46330.0</v>
      </c>
      <c r="C148" s="33" t="s">
        <v>102</v>
      </c>
      <c r="D148" s="33" t="s">
        <v>354</v>
      </c>
      <c r="E148" s="33" t="s">
        <v>561</v>
      </c>
      <c r="F148" s="33" t="s">
        <v>563</v>
      </c>
      <c r="G148" s="33" t="s">
        <v>98</v>
      </c>
      <c r="H148" s="33" t="s">
        <v>106</v>
      </c>
      <c r="I148" s="33" t="s">
        <v>100</v>
      </c>
      <c r="J148" s="33" t="s">
        <v>41</v>
      </c>
      <c r="K148" s="34" t="s">
        <v>101</v>
      </c>
    </row>
    <row r="149">
      <c r="A149" s="27">
        <v>25785.0</v>
      </c>
      <c r="B149" s="28">
        <v>62978.0</v>
      </c>
      <c r="C149" s="29" t="s">
        <v>102</v>
      </c>
      <c r="D149" s="29" t="s">
        <v>209</v>
      </c>
      <c r="E149" s="29" t="s">
        <v>564</v>
      </c>
      <c r="F149" s="29" t="s">
        <v>565</v>
      </c>
      <c r="G149" s="29" t="s">
        <v>114</v>
      </c>
      <c r="H149" s="29" t="s">
        <v>115</v>
      </c>
      <c r="I149" s="29" t="s">
        <v>100</v>
      </c>
      <c r="J149" s="29" t="s">
        <v>53</v>
      </c>
      <c r="K149" s="30" t="s">
        <v>101</v>
      </c>
    </row>
    <row r="150">
      <c r="A150" s="31">
        <v>38889.0</v>
      </c>
      <c r="B150" s="32">
        <v>162039.0</v>
      </c>
      <c r="C150" s="33" t="s">
        <v>94</v>
      </c>
      <c r="D150" s="33" t="s">
        <v>460</v>
      </c>
      <c r="E150" s="33" t="s">
        <v>564</v>
      </c>
      <c r="F150" s="33" t="s">
        <v>566</v>
      </c>
      <c r="G150" s="33" t="s">
        <v>114</v>
      </c>
      <c r="H150" s="33" t="s">
        <v>115</v>
      </c>
      <c r="I150" s="33" t="s">
        <v>100</v>
      </c>
      <c r="J150" s="33" t="s">
        <v>62</v>
      </c>
      <c r="K150" s="34" t="s">
        <v>101</v>
      </c>
    </row>
    <row r="151">
      <c r="A151" s="27">
        <v>38541.0</v>
      </c>
      <c r="B151" s="28">
        <v>145518.0</v>
      </c>
      <c r="C151" s="29" t="s">
        <v>102</v>
      </c>
      <c r="D151" s="29" t="s">
        <v>255</v>
      </c>
      <c r="E151" s="29" t="s">
        <v>564</v>
      </c>
      <c r="F151" s="29" t="s">
        <v>567</v>
      </c>
      <c r="G151" s="29" t="s">
        <v>114</v>
      </c>
      <c r="H151" s="29" t="s">
        <v>115</v>
      </c>
      <c r="I151" s="29" t="s">
        <v>100</v>
      </c>
      <c r="J151" s="29" t="s">
        <v>47</v>
      </c>
      <c r="K151" s="30" t="s">
        <v>101</v>
      </c>
    </row>
    <row r="152">
      <c r="A152" s="31">
        <v>38867.0</v>
      </c>
      <c r="B152" s="32">
        <v>162007.0</v>
      </c>
      <c r="C152" s="33" t="s">
        <v>102</v>
      </c>
      <c r="D152" s="33" t="s">
        <v>568</v>
      </c>
      <c r="E152" s="33" t="s">
        <v>569</v>
      </c>
      <c r="F152" s="33" t="s">
        <v>570</v>
      </c>
      <c r="G152" s="33" t="s">
        <v>130</v>
      </c>
      <c r="H152" s="33" t="s">
        <v>244</v>
      </c>
      <c r="I152" s="33" t="s">
        <v>100</v>
      </c>
      <c r="J152" s="33" t="s">
        <v>435</v>
      </c>
      <c r="K152" s="34" t="s">
        <v>281</v>
      </c>
    </row>
    <row r="153">
      <c r="A153" s="27">
        <v>38050.0</v>
      </c>
      <c r="B153" s="28">
        <v>129146.0</v>
      </c>
      <c r="C153" s="29" t="s">
        <v>102</v>
      </c>
      <c r="D153" s="29" t="s">
        <v>571</v>
      </c>
      <c r="E153" s="29" t="s">
        <v>572</v>
      </c>
      <c r="F153" s="29" t="s">
        <v>573</v>
      </c>
      <c r="G153" s="29" t="s">
        <v>207</v>
      </c>
      <c r="H153" s="29" t="s">
        <v>208</v>
      </c>
      <c r="I153" s="29" t="s">
        <v>100</v>
      </c>
      <c r="J153" s="29" t="s">
        <v>41</v>
      </c>
      <c r="K153" s="30" t="s">
        <v>101</v>
      </c>
    </row>
    <row r="154">
      <c r="A154" s="31">
        <v>38061.0</v>
      </c>
      <c r="B154" s="32">
        <v>129143.0</v>
      </c>
      <c r="C154" s="33" t="s">
        <v>94</v>
      </c>
      <c r="D154" s="33" t="s">
        <v>574</v>
      </c>
      <c r="E154" s="33" t="s">
        <v>572</v>
      </c>
      <c r="F154" s="33" t="s">
        <v>575</v>
      </c>
      <c r="G154" s="33" t="s">
        <v>207</v>
      </c>
      <c r="H154" s="33" t="s">
        <v>208</v>
      </c>
      <c r="I154" s="33" t="s">
        <v>100</v>
      </c>
      <c r="J154" s="33" t="s">
        <v>44</v>
      </c>
      <c r="K154" s="34" t="s">
        <v>101</v>
      </c>
    </row>
    <row r="155">
      <c r="A155" s="27">
        <v>38240.0</v>
      </c>
      <c r="B155" s="28">
        <v>135176.0</v>
      </c>
      <c r="C155" s="29" t="s">
        <v>102</v>
      </c>
      <c r="D155" s="29" t="s">
        <v>161</v>
      </c>
      <c r="E155" s="29" t="s">
        <v>572</v>
      </c>
      <c r="F155" s="29" t="s">
        <v>576</v>
      </c>
      <c r="G155" s="29" t="s">
        <v>143</v>
      </c>
      <c r="H155" s="29" t="s">
        <v>144</v>
      </c>
      <c r="I155" s="29" t="s">
        <v>100</v>
      </c>
      <c r="J155" s="29" t="s">
        <v>41</v>
      </c>
      <c r="K155" s="30" t="s">
        <v>101</v>
      </c>
    </row>
    <row r="156">
      <c r="A156" s="31">
        <v>7965.0</v>
      </c>
      <c r="B156" s="32">
        <v>116555.0</v>
      </c>
      <c r="C156" s="33" t="s">
        <v>102</v>
      </c>
      <c r="D156" s="33" t="s">
        <v>577</v>
      </c>
      <c r="E156" s="33" t="s">
        <v>578</v>
      </c>
      <c r="F156" s="33" t="s">
        <v>579</v>
      </c>
      <c r="G156" s="33" t="s">
        <v>323</v>
      </c>
      <c r="H156" s="33" t="s">
        <v>417</v>
      </c>
      <c r="I156" s="33" t="s">
        <v>100</v>
      </c>
      <c r="J156" s="33" t="s">
        <v>53</v>
      </c>
      <c r="K156" s="34" t="s">
        <v>101</v>
      </c>
    </row>
    <row r="157">
      <c r="A157" s="27">
        <v>7928.0</v>
      </c>
      <c r="B157" s="28">
        <v>116570.0</v>
      </c>
      <c r="C157" s="29" t="s">
        <v>102</v>
      </c>
      <c r="D157" s="29" t="s">
        <v>580</v>
      </c>
      <c r="E157" s="29" t="s">
        <v>581</v>
      </c>
      <c r="F157" s="29" t="s">
        <v>582</v>
      </c>
      <c r="G157" s="29" t="s">
        <v>323</v>
      </c>
      <c r="H157" s="29" t="s">
        <v>324</v>
      </c>
      <c r="I157" s="29" t="s">
        <v>100</v>
      </c>
      <c r="J157" s="29" t="s">
        <v>41</v>
      </c>
      <c r="K157" s="30" t="s">
        <v>101</v>
      </c>
    </row>
    <row r="158">
      <c r="A158" s="31">
        <v>38565.0</v>
      </c>
      <c r="B158" s="32">
        <v>146872.0</v>
      </c>
      <c r="C158" s="33" t="s">
        <v>102</v>
      </c>
      <c r="D158" s="33" t="s">
        <v>583</v>
      </c>
      <c r="E158" s="33" t="s">
        <v>584</v>
      </c>
      <c r="F158" s="33" t="s">
        <v>585</v>
      </c>
      <c r="G158" s="33" t="s">
        <v>275</v>
      </c>
      <c r="H158" s="33" t="s">
        <v>276</v>
      </c>
      <c r="I158" s="33" t="s">
        <v>100</v>
      </c>
      <c r="J158" s="33" t="s">
        <v>41</v>
      </c>
      <c r="K158" s="34" t="s">
        <v>101</v>
      </c>
    </row>
    <row r="159">
      <c r="A159" s="27">
        <v>38895.0</v>
      </c>
      <c r="B159" s="28">
        <v>162956.0</v>
      </c>
      <c r="C159" s="29" t="s">
        <v>102</v>
      </c>
      <c r="D159" s="29" t="s">
        <v>161</v>
      </c>
      <c r="E159" s="29" t="s">
        <v>586</v>
      </c>
      <c r="F159" s="29" t="s">
        <v>587</v>
      </c>
      <c r="G159" s="29" t="s">
        <v>119</v>
      </c>
      <c r="H159" s="29" t="s">
        <v>120</v>
      </c>
      <c r="I159" s="29" t="s">
        <v>100</v>
      </c>
      <c r="J159" s="29" t="s">
        <v>435</v>
      </c>
      <c r="K159" s="30" t="s">
        <v>281</v>
      </c>
    </row>
    <row r="160">
      <c r="A160" s="31">
        <v>16679.0</v>
      </c>
      <c r="B160" s="32">
        <v>111163.0</v>
      </c>
      <c r="C160" s="33" t="s">
        <v>102</v>
      </c>
      <c r="D160" s="33" t="s">
        <v>109</v>
      </c>
      <c r="E160" s="33" t="s">
        <v>588</v>
      </c>
      <c r="F160" s="33" t="s">
        <v>589</v>
      </c>
      <c r="G160" s="33" t="s">
        <v>130</v>
      </c>
      <c r="H160" s="36" t="s">
        <v>131</v>
      </c>
      <c r="I160" s="33" t="s">
        <v>100</v>
      </c>
      <c r="J160" s="33" t="s">
        <v>41</v>
      </c>
      <c r="K160" s="34" t="s">
        <v>101</v>
      </c>
    </row>
    <row r="161">
      <c r="A161" s="27">
        <v>7575.0</v>
      </c>
      <c r="B161" s="28">
        <v>153867.0</v>
      </c>
      <c r="C161" s="29" t="s">
        <v>94</v>
      </c>
      <c r="D161" s="29" t="s">
        <v>441</v>
      </c>
      <c r="E161" s="29" t="s">
        <v>590</v>
      </c>
      <c r="F161" s="29" t="s">
        <v>591</v>
      </c>
      <c r="G161" s="29" t="s">
        <v>130</v>
      </c>
      <c r="H161" s="35" t="s">
        <v>131</v>
      </c>
      <c r="I161" s="29" t="s">
        <v>100</v>
      </c>
      <c r="J161" s="29" t="s">
        <v>62</v>
      </c>
      <c r="K161" s="30" t="s">
        <v>101</v>
      </c>
    </row>
    <row r="162">
      <c r="A162" s="31">
        <v>7714.0</v>
      </c>
      <c r="B162" s="32">
        <v>120955.0</v>
      </c>
      <c r="C162" s="33" t="s">
        <v>102</v>
      </c>
      <c r="D162" s="33" t="s">
        <v>204</v>
      </c>
      <c r="E162" s="33" t="s">
        <v>592</v>
      </c>
      <c r="F162" s="33" t="s">
        <v>593</v>
      </c>
      <c r="G162" s="33" t="s">
        <v>496</v>
      </c>
      <c r="H162" s="33" t="s">
        <v>497</v>
      </c>
      <c r="I162" s="33" t="s">
        <v>100</v>
      </c>
      <c r="J162" s="33" t="s">
        <v>53</v>
      </c>
      <c r="K162" s="34" t="s">
        <v>101</v>
      </c>
    </row>
    <row r="163">
      <c r="A163" s="27">
        <v>16414.0</v>
      </c>
      <c r="B163" s="28">
        <v>105704.0</v>
      </c>
      <c r="C163" s="29" t="s">
        <v>94</v>
      </c>
      <c r="D163" s="29" t="s">
        <v>594</v>
      </c>
      <c r="E163" s="29" t="s">
        <v>595</v>
      </c>
      <c r="F163" s="29" t="s">
        <v>596</v>
      </c>
      <c r="G163" s="29" t="s">
        <v>270</v>
      </c>
      <c r="H163" s="29" t="s">
        <v>271</v>
      </c>
      <c r="I163" s="29" t="s">
        <v>100</v>
      </c>
      <c r="J163" s="29" t="s">
        <v>62</v>
      </c>
      <c r="K163" s="30" t="s">
        <v>101</v>
      </c>
    </row>
    <row r="164">
      <c r="A164" s="31">
        <v>38738.0</v>
      </c>
      <c r="B164" s="32">
        <v>155259.0</v>
      </c>
      <c r="C164" s="33" t="s">
        <v>102</v>
      </c>
      <c r="D164" s="33" t="s">
        <v>272</v>
      </c>
      <c r="E164" s="33" t="s">
        <v>597</v>
      </c>
      <c r="F164" s="33" t="s">
        <v>598</v>
      </c>
      <c r="G164" s="33" t="s">
        <v>130</v>
      </c>
      <c r="H164" s="33" t="s">
        <v>172</v>
      </c>
      <c r="I164" s="33" t="s">
        <v>100</v>
      </c>
      <c r="J164" s="33" t="s">
        <v>56</v>
      </c>
      <c r="K164" s="34" t="s">
        <v>101</v>
      </c>
    </row>
    <row r="165">
      <c r="A165" s="27">
        <v>38737.0</v>
      </c>
      <c r="B165" s="28">
        <v>155258.0</v>
      </c>
      <c r="C165" s="29" t="s">
        <v>94</v>
      </c>
      <c r="D165" s="29" t="s">
        <v>594</v>
      </c>
      <c r="E165" s="29" t="s">
        <v>597</v>
      </c>
      <c r="F165" s="29" t="s">
        <v>599</v>
      </c>
      <c r="G165" s="29" t="s">
        <v>130</v>
      </c>
      <c r="H165" s="29" t="s">
        <v>172</v>
      </c>
      <c r="I165" s="29" t="s">
        <v>100</v>
      </c>
      <c r="J165" s="29" t="s">
        <v>62</v>
      </c>
      <c r="K165" s="30" t="s">
        <v>101</v>
      </c>
    </row>
    <row r="166">
      <c r="A166" s="31">
        <v>38443.0</v>
      </c>
      <c r="B166" s="32">
        <v>141743.0</v>
      </c>
      <c r="C166" s="33" t="s">
        <v>102</v>
      </c>
      <c r="D166" s="33" t="s">
        <v>551</v>
      </c>
      <c r="E166" s="33" t="s">
        <v>600</v>
      </c>
      <c r="F166" s="33" t="s">
        <v>601</v>
      </c>
      <c r="G166" s="33" t="s">
        <v>323</v>
      </c>
      <c r="H166" s="33" t="s">
        <v>417</v>
      </c>
      <c r="I166" s="33" t="s">
        <v>100</v>
      </c>
      <c r="J166" s="33" t="s">
        <v>47</v>
      </c>
      <c r="K166" s="34" t="s">
        <v>101</v>
      </c>
    </row>
    <row r="167">
      <c r="A167" s="27">
        <v>38469.0</v>
      </c>
      <c r="B167" s="28">
        <v>142805.0</v>
      </c>
      <c r="C167" s="29" t="s">
        <v>102</v>
      </c>
      <c r="D167" s="29" t="s">
        <v>602</v>
      </c>
      <c r="E167" s="29" t="s">
        <v>600</v>
      </c>
      <c r="F167" s="29" t="s">
        <v>603</v>
      </c>
      <c r="G167" s="29" t="s">
        <v>323</v>
      </c>
      <c r="H167" s="29" t="s">
        <v>417</v>
      </c>
      <c r="I167" s="29" t="s">
        <v>100</v>
      </c>
      <c r="J167" s="29" t="s">
        <v>53</v>
      </c>
      <c r="K167" s="30" t="s">
        <v>101</v>
      </c>
    </row>
    <row r="168">
      <c r="A168" s="31">
        <v>38393.0</v>
      </c>
      <c r="B168" s="32">
        <v>139233.0</v>
      </c>
      <c r="C168" s="33" t="s">
        <v>94</v>
      </c>
      <c r="D168" s="33" t="s">
        <v>443</v>
      </c>
      <c r="E168" s="33" t="s">
        <v>604</v>
      </c>
      <c r="F168" s="33" t="s">
        <v>605</v>
      </c>
      <c r="G168" s="33" t="s">
        <v>130</v>
      </c>
      <c r="H168" s="33" t="s">
        <v>157</v>
      </c>
      <c r="I168" s="33" t="s">
        <v>100</v>
      </c>
      <c r="J168" s="33" t="s">
        <v>65</v>
      </c>
      <c r="K168" s="34" t="s">
        <v>101</v>
      </c>
    </row>
    <row r="169">
      <c r="A169" s="27">
        <v>25808.0</v>
      </c>
      <c r="B169" s="28">
        <v>105318.0</v>
      </c>
      <c r="C169" s="29" t="s">
        <v>94</v>
      </c>
      <c r="D169" s="29" t="s">
        <v>606</v>
      </c>
      <c r="E169" s="29" t="s">
        <v>607</v>
      </c>
      <c r="F169" s="29" t="s">
        <v>608</v>
      </c>
      <c r="G169" s="29" t="s">
        <v>130</v>
      </c>
      <c r="H169" s="29" t="s">
        <v>211</v>
      </c>
      <c r="I169" s="29" t="s">
        <v>100</v>
      </c>
      <c r="J169" s="29" t="s">
        <v>65</v>
      </c>
      <c r="K169" s="30" t="s">
        <v>101</v>
      </c>
    </row>
    <row r="170">
      <c r="A170" s="31">
        <v>7422.0</v>
      </c>
      <c r="B170" s="32">
        <v>118651.0</v>
      </c>
      <c r="C170" s="33" t="s">
        <v>102</v>
      </c>
      <c r="D170" s="33" t="s">
        <v>209</v>
      </c>
      <c r="E170" s="33" t="s">
        <v>609</v>
      </c>
      <c r="F170" s="33" t="s">
        <v>610</v>
      </c>
      <c r="G170" s="33" t="s">
        <v>130</v>
      </c>
      <c r="H170" s="33" t="s">
        <v>153</v>
      </c>
      <c r="I170" s="33" t="s">
        <v>100</v>
      </c>
      <c r="J170" s="33" t="s">
        <v>41</v>
      </c>
      <c r="K170" s="34" t="s">
        <v>101</v>
      </c>
    </row>
    <row r="171">
      <c r="A171" s="27">
        <v>16338.0</v>
      </c>
      <c r="B171" s="28">
        <v>116718.0</v>
      </c>
      <c r="C171" s="29" t="s">
        <v>102</v>
      </c>
      <c r="D171" s="29" t="s">
        <v>204</v>
      </c>
      <c r="E171" s="29" t="s">
        <v>611</v>
      </c>
      <c r="F171" s="29" t="s">
        <v>612</v>
      </c>
      <c r="G171" s="29" t="s">
        <v>164</v>
      </c>
      <c r="H171" s="29" t="s">
        <v>165</v>
      </c>
      <c r="I171" s="29" t="s">
        <v>100</v>
      </c>
      <c r="J171" s="29" t="s">
        <v>53</v>
      </c>
      <c r="K171" s="30" t="s">
        <v>101</v>
      </c>
    </row>
    <row r="172">
      <c r="A172" s="31">
        <v>38748.0</v>
      </c>
      <c r="B172" s="32">
        <v>155272.0</v>
      </c>
      <c r="C172" s="33" t="s">
        <v>94</v>
      </c>
      <c r="D172" s="33" t="s">
        <v>613</v>
      </c>
      <c r="E172" s="33" t="s">
        <v>614</v>
      </c>
      <c r="F172" s="33" t="s">
        <v>615</v>
      </c>
      <c r="G172" s="33" t="s">
        <v>130</v>
      </c>
      <c r="H172" s="36" t="s">
        <v>131</v>
      </c>
      <c r="I172" s="33" t="s">
        <v>100</v>
      </c>
      <c r="J172" s="33" t="s">
        <v>44</v>
      </c>
      <c r="K172" s="34" t="s">
        <v>101</v>
      </c>
    </row>
    <row r="173">
      <c r="A173" s="27">
        <v>38970.0</v>
      </c>
      <c r="B173" s="28">
        <v>164098.0</v>
      </c>
      <c r="C173" s="29" t="s">
        <v>102</v>
      </c>
      <c r="D173" s="29" t="s">
        <v>616</v>
      </c>
      <c r="E173" s="29" t="s">
        <v>617</v>
      </c>
      <c r="F173" s="29" t="s">
        <v>618</v>
      </c>
      <c r="G173" s="29" t="s">
        <v>130</v>
      </c>
      <c r="H173" s="29" t="s">
        <v>346</v>
      </c>
      <c r="I173" s="29" t="s">
        <v>100</v>
      </c>
      <c r="J173" s="29" t="s">
        <v>41</v>
      </c>
      <c r="K173" s="30" t="s">
        <v>101</v>
      </c>
    </row>
    <row r="174">
      <c r="A174" s="31">
        <v>38270.0</v>
      </c>
      <c r="B174" s="32">
        <v>135573.0</v>
      </c>
      <c r="C174" s="33" t="s">
        <v>102</v>
      </c>
      <c r="D174" s="33" t="s">
        <v>387</v>
      </c>
      <c r="E174" s="33" t="s">
        <v>619</v>
      </c>
      <c r="F174" s="33" t="s">
        <v>620</v>
      </c>
      <c r="G174" s="33" t="s">
        <v>275</v>
      </c>
      <c r="H174" s="33" t="s">
        <v>276</v>
      </c>
      <c r="I174" s="33" t="s">
        <v>100</v>
      </c>
      <c r="J174" s="33" t="s">
        <v>41</v>
      </c>
      <c r="K174" s="34" t="s">
        <v>101</v>
      </c>
    </row>
    <row r="175">
      <c r="A175" s="27">
        <v>16398.0</v>
      </c>
      <c r="B175" s="28">
        <v>109462.0</v>
      </c>
      <c r="C175" s="29" t="s">
        <v>102</v>
      </c>
      <c r="D175" s="29" t="s">
        <v>505</v>
      </c>
      <c r="E175" s="29" t="s">
        <v>621</v>
      </c>
      <c r="F175" s="29" t="s">
        <v>622</v>
      </c>
      <c r="G175" s="29" t="s">
        <v>270</v>
      </c>
      <c r="H175" s="29" t="s">
        <v>374</v>
      </c>
      <c r="I175" s="29" t="s">
        <v>100</v>
      </c>
      <c r="J175" s="29" t="s">
        <v>53</v>
      </c>
      <c r="K175" s="30" t="s">
        <v>101</v>
      </c>
    </row>
    <row r="176">
      <c r="A176" s="31">
        <v>7431.0</v>
      </c>
      <c r="B176" s="32">
        <v>115598.0</v>
      </c>
      <c r="C176" s="33" t="s">
        <v>94</v>
      </c>
      <c r="D176" s="33" t="s">
        <v>623</v>
      </c>
      <c r="E176" s="33" t="s">
        <v>621</v>
      </c>
      <c r="F176" s="33" t="s">
        <v>624</v>
      </c>
      <c r="G176" s="33" t="s">
        <v>270</v>
      </c>
      <c r="H176" s="33" t="s">
        <v>271</v>
      </c>
      <c r="I176" s="33" t="s">
        <v>100</v>
      </c>
      <c r="J176" s="33" t="s">
        <v>62</v>
      </c>
      <c r="K176" s="34" t="s">
        <v>101</v>
      </c>
    </row>
    <row r="177">
      <c r="A177" s="27">
        <v>38751.0</v>
      </c>
      <c r="B177" s="28">
        <v>155275.0</v>
      </c>
      <c r="C177" s="29" t="s">
        <v>102</v>
      </c>
      <c r="D177" s="29" t="s">
        <v>560</v>
      </c>
      <c r="E177" s="29" t="s">
        <v>625</v>
      </c>
      <c r="F177" s="29" t="s">
        <v>626</v>
      </c>
      <c r="G177" s="29" t="s">
        <v>130</v>
      </c>
      <c r="H177" s="29" t="s">
        <v>211</v>
      </c>
      <c r="I177" s="29" t="s">
        <v>100</v>
      </c>
      <c r="J177" s="29" t="s">
        <v>59</v>
      </c>
      <c r="K177" s="30" t="s">
        <v>101</v>
      </c>
    </row>
    <row r="178">
      <c r="A178" s="31">
        <v>38985.0</v>
      </c>
      <c r="B178" s="32">
        <v>168165.0</v>
      </c>
      <c r="C178" s="33" t="s">
        <v>102</v>
      </c>
      <c r="D178" s="33" t="s">
        <v>560</v>
      </c>
      <c r="E178" s="33" t="s">
        <v>627</v>
      </c>
      <c r="F178" s="33" t="s">
        <v>628</v>
      </c>
      <c r="G178" s="33" t="s">
        <v>221</v>
      </c>
      <c r="H178" s="33" t="s">
        <v>222</v>
      </c>
      <c r="I178" s="33" t="s">
        <v>100</v>
      </c>
      <c r="J178" s="33" t="s">
        <v>41</v>
      </c>
      <c r="K178" s="34" t="s">
        <v>101</v>
      </c>
    </row>
    <row r="179">
      <c r="A179" s="27">
        <v>38728.0</v>
      </c>
      <c r="B179" s="28">
        <v>153899.0</v>
      </c>
      <c r="C179" s="29" t="s">
        <v>102</v>
      </c>
      <c r="D179" s="29" t="s">
        <v>629</v>
      </c>
      <c r="E179" s="29" t="s">
        <v>630</v>
      </c>
      <c r="F179" s="29" t="s">
        <v>631</v>
      </c>
      <c r="G179" s="29" t="s">
        <v>130</v>
      </c>
      <c r="H179" s="29" t="s">
        <v>346</v>
      </c>
      <c r="I179" s="29" t="s">
        <v>100</v>
      </c>
      <c r="J179" s="29" t="s">
        <v>41</v>
      </c>
      <c r="K179" s="30" t="s">
        <v>101</v>
      </c>
    </row>
    <row r="180">
      <c r="A180" s="31">
        <v>16247.0</v>
      </c>
      <c r="B180" s="32">
        <v>111913.0</v>
      </c>
      <c r="C180" s="33" t="s">
        <v>102</v>
      </c>
      <c r="D180" s="33" t="s">
        <v>632</v>
      </c>
      <c r="E180" s="33" t="s">
        <v>633</v>
      </c>
      <c r="F180" s="33" t="s">
        <v>634</v>
      </c>
      <c r="G180" s="33" t="s">
        <v>185</v>
      </c>
      <c r="H180" s="33" t="s">
        <v>186</v>
      </c>
      <c r="I180" s="33" t="s">
        <v>100</v>
      </c>
      <c r="J180" s="33" t="s">
        <v>53</v>
      </c>
      <c r="K180" s="34" t="s">
        <v>101</v>
      </c>
    </row>
    <row r="181">
      <c r="A181" s="27">
        <v>16856.0</v>
      </c>
      <c r="B181" s="28">
        <v>16464.0</v>
      </c>
      <c r="C181" s="29" t="s">
        <v>102</v>
      </c>
      <c r="D181" s="29" t="s">
        <v>635</v>
      </c>
      <c r="E181" s="29" t="s">
        <v>636</v>
      </c>
      <c r="F181" s="29" t="s">
        <v>637</v>
      </c>
      <c r="G181" s="29" t="s">
        <v>130</v>
      </c>
      <c r="H181" s="35" t="s">
        <v>131</v>
      </c>
      <c r="I181" s="29" t="s">
        <v>100</v>
      </c>
      <c r="J181" s="29" t="s">
        <v>56</v>
      </c>
      <c r="K181" s="30" t="s">
        <v>101</v>
      </c>
    </row>
    <row r="182">
      <c r="A182" s="31">
        <v>16879.0</v>
      </c>
      <c r="B182" s="32">
        <v>16463.0</v>
      </c>
      <c r="C182" s="33" t="s">
        <v>94</v>
      </c>
      <c r="D182" s="33" t="s">
        <v>638</v>
      </c>
      <c r="E182" s="33" t="s">
        <v>636</v>
      </c>
      <c r="F182" s="33" t="s">
        <v>639</v>
      </c>
      <c r="G182" s="33" t="s">
        <v>130</v>
      </c>
      <c r="H182" s="36" t="s">
        <v>131</v>
      </c>
      <c r="I182" s="33" t="s">
        <v>100</v>
      </c>
      <c r="J182" s="33" t="s">
        <v>65</v>
      </c>
      <c r="K182" s="34" t="s">
        <v>101</v>
      </c>
    </row>
    <row r="183">
      <c r="A183" s="27">
        <v>38595.0</v>
      </c>
      <c r="B183" s="28">
        <v>146907.0</v>
      </c>
      <c r="C183" s="29" t="s">
        <v>102</v>
      </c>
      <c r="D183" s="29" t="s">
        <v>640</v>
      </c>
      <c r="E183" s="29" t="s">
        <v>641</v>
      </c>
      <c r="F183" s="29" t="s">
        <v>642</v>
      </c>
      <c r="G183" s="29" t="s">
        <v>253</v>
      </c>
      <c r="H183" s="29" t="s">
        <v>254</v>
      </c>
      <c r="I183" s="29" t="s">
        <v>100</v>
      </c>
      <c r="J183" s="29" t="s">
        <v>56</v>
      </c>
      <c r="K183" s="30" t="s">
        <v>101</v>
      </c>
    </row>
    <row r="184">
      <c r="A184" s="31">
        <v>16749.0</v>
      </c>
      <c r="B184" s="32">
        <v>124808.0</v>
      </c>
      <c r="C184" s="33" t="s">
        <v>102</v>
      </c>
      <c r="D184" s="33" t="s">
        <v>109</v>
      </c>
      <c r="E184" s="33" t="s">
        <v>643</v>
      </c>
      <c r="F184" s="33" t="s">
        <v>644</v>
      </c>
      <c r="G184" s="33" t="s">
        <v>214</v>
      </c>
      <c r="H184" s="33" t="s">
        <v>215</v>
      </c>
      <c r="I184" s="33" t="s">
        <v>100</v>
      </c>
      <c r="J184" s="33" t="s">
        <v>53</v>
      </c>
      <c r="K184" s="34" t="s">
        <v>101</v>
      </c>
    </row>
    <row r="185">
      <c r="A185" s="27">
        <v>25381.0</v>
      </c>
      <c r="B185" s="28">
        <v>59900.0</v>
      </c>
      <c r="C185" s="29" t="s">
        <v>94</v>
      </c>
      <c r="D185" s="29" t="s">
        <v>645</v>
      </c>
      <c r="E185" s="29" t="s">
        <v>646</v>
      </c>
      <c r="F185" s="29" t="s">
        <v>647</v>
      </c>
      <c r="G185" s="29" t="s">
        <v>198</v>
      </c>
      <c r="H185" s="29" t="s">
        <v>328</v>
      </c>
      <c r="I185" s="29" t="s">
        <v>100</v>
      </c>
      <c r="J185" s="29" t="s">
        <v>62</v>
      </c>
      <c r="K185" s="30" t="s">
        <v>101</v>
      </c>
    </row>
    <row r="186">
      <c r="A186" s="31">
        <v>38049.0</v>
      </c>
      <c r="B186" s="32">
        <v>125939.0</v>
      </c>
      <c r="C186" s="33" t="s">
        <v>94</v>
      </c>
      <c r="D186" s="33" t="s">
        <v>648</v>
      </c>
      <c r="E186" s="33" t="s">
        <v>646</v>
      </c>
      <c r="F186" s="33" t="s">
        <v>649</v>
      </c>
      <c r="G186" s="33" t="s">
        <v>323</v>
      </c>
      <c r="H186" s="33" t="s">
        <v>417</v>
      </c>
      <c r="I186" s="33" t="s">
        <v>100</v>
      </c>
      <c r="J186" s="33" t="s">
        <v>44</v>
      </c>
      <c r="K186" s="34" t="s">
        <v>101</v>
      </c>
    </row>
    <row r="187">
      <c r="A187" s="27">
        <v>38993.0</v>
      </c>
      <c r="B187" s="28">
        <v>168173.0</v>
      </c>
      <c r="C187" s="29" t="s">
        <v>102</v>
      </c>
      <c r="D187" s="29" t="s">
        <v>650</v>
      </c>
      <c r="E187" s="29" t="s">
        <v>651</v>
      </c>
      <c r="F187" s="29" t="s">
        <v>652</v>
      </c>
      <c r="G187" s="29" t="s">
        <v>130</v>
      </c>
      <c r="H187" s="29" t="s">
        <v>346</v>
      </c>
      <c r="I187" s="29" t="s">
        <v>100</v>
      </c>
      <c r="J187" s="29" t="s">
        <v>47</v>
      </c>
      <c r="K187" s="30" t="s">
        <v>101</v>
      </c>
    </row>
    <row r="188">
      <c r="A188" s="31">
        <v>38906.0</v>
      </c>
      <c r="B188" s="32">
        <v>162970.0</v>
      </c>
      <c r="C188" s="33" t="s">
        <v>94</v>
      </c>
      <c r="D188" s="33" t="s">
        <v>235</v>
      </c>
      <c r="E188" s="33" t="s">
        <v>653</v>
      </c>
      <c r="F188" s="33" t="s">
        <v>654</v>
      </c>
      <c r="G188" s="33" t="s">
        <v>496</v>
      </c>
      <c r="H188" s="33" t="s">
        <v>655</v>
      </c>
      <c r="I188" s="33" t="s">
        <v>100</v>
      </c>
      <c r="J188" s="33" t="s">
        <v>44</v>
      </c>
      <c r="K188" s="34" t="s">
        <v>101</v>
      </c>
    </row>
    <row r="189">
      <c r="A189" s="27">
        <v>7574.0</v>
      </c>
      <c r="B189" s="28">
        <v>131502.0</v>
      </c>
      <c r="C189" s="29" t="s">
        <v>94</v>
      </c>
      <c r="D189" s="29" t="s">
        <v>192</v>
      </c>
      <c r="E189" s="29" t="s">
        <v>656</v>
      </c>
      <c r="F189" s="29" t="s">
        <v>657</v>
      </c>
      <c r="G189" s="29" t="s">
        <v>130</v>
      </c>
      <c r="H189" s="35" t="s">
        <v>131</v>
      </c>
      <c r="I189" s="29" t="s">
        <v>100</v>
      </c>
      <c r="J189" s="29" t="s">
        <v>68</v>
      </c>
      <c r="K189" s="30" t="s">
        <v>101</v>
      </c>
    </row>
    <row r="190">
      <c r="A190" s="31">
        <v>38184.0</v>
      </c>
      <c r="B190" s="32">
        <v>131622.0</v>
      </c>
      <c r="C190" s="33" t="s">
        <v>102</v>
      </c>
      <c r="D190" s="33" t="s">
        <v>658</v>
      </c>
      <c r="E190" s="33" t="s">
        <v>659</v>
      </c>
      <c r="F190" s="33" t="s">
        <v>660</v>
      </c>
      <c r="G190" s="33" t="s">
        <v>323</v>
      </c>
      <c r="H190" s="33" t="s">
        <v>417</v>
      </c>
      <c r="I190" s="33" t="s">
        <v>100</v>
      </c>
      <c r="J190" s="33" t="s">
        <v>59</v>
      </c>
      <c r="K190" s="34" t="s">
        <v>101</v>
      </c>
    </row>
    <row r="191">
      <c r="A191" s="27">
        <v>38972.0</v>
      </c>
      <c r="B191" s="28">
        <v>168152.0</v>
      </c>
      <c r="C191" s="29" t="s">
        <v>94</v>
      </c>
      <c r="D191" s="29" t="s">
        <v>538</v>
      </c>
      <c r="E191" s="29" t="s">
        <v>661</v>
      </c>
      <c r="F191" s="29" t="s">
        <v>662</v>
      </c>
      <c r="G191" s="29" t="s">
        <v>164</v>
      </c>
      <c r="H191" s="29" t="s">
        <v>165</v>
      </c>
      <c r="I191" s="29" t="s">
        <v>100</v>
      </c>
      <c r="J191" s="29" t="s">
        <v>44</v>
      </c>
      <c r="K191" s="30" t="s">
        <v>101</v>
      </c>
    </row>
    <row r="192">
      <c r="A192" s="31">
        <v>16465.0</v>
      </c>
      <c r="B192" s="32">
        <v>111842.0</v>
      </c>
      <c r="C192" s="33" t="s">
        <v>102</v>
      </c>
      <c r="D192" s="33" t="s">
        <v>663</v>
      </c>
      <c r="E192" s="33" t="s">
        <v>292</v>
      </c>
      <c r="F192" s="33" t="s">
        <v>664</v>
      </c>
      <c r="G192" s="33" t="s">
        <v>135</v>
      </c>
      <c r="H192" s="33" t="s">
        <v>294</v>
      </c>
      <c r="I192" s="33" t="s">
        <v>100</v>
      </c>
      <c r="J192" s="33" t="s">
        <v>56</v>
      </c>
      <c r="K192" s="34" t="s">
        <v>101</v>
      </c>
    </row>
    <row r="193">
      <c r="A193" s="27">
        <v>38318.0</v>
      </c>
      <c r="B193" s="28">
        <v>136496.0</v>
      </c>
      <c r="C193" s="29" t="s">
        <v>102</v>
      </c>
      <c r="D193" s="29" t="s">
        <v>665</v>
      </c>
      <c r="E193" s="29" t="s">
        <v>666</v>
      </c>
      <c r="F193" s="29" t="s">
        <v>667</v>
      </c>
      <c r="G193" s="29" t="s">
        <v>114</v>
      </c>
      <c r="H193" s="29" t="s">
        <v>115</v>
      </c>
      <c r="I193" s="29" t="s">
        <v>100</v>
      </c>
      <c r="J193" s="29" t="s">
        <v>41</v>
      </c>
      <c r="K193" s="30" t="s">
        <v>101</v>
      </c>
    </row>
    <row r="194">
      <c r="A194" s="31">
        <v>38357.0</v>
      </c>
      <c r="B194" s="32">
        <v>139102.0</v>
      </c>
      <c r="C194" s="33" t="s">
        <v>102</v>
      </c>
      <c r="D194" s="33" t="s">
        <v>668</v>
      </c>
      <c r="E194" s="33" t="s">
        <v>666</v>
      </c>
      <c r="F194" s="33" t="s">
        <v>669</v>
      </c>
      <c r="G194" s="33" t="s">
        <v>114</v>
      </c>
      <c r="H194" s="33" t="s">
        <v>115</v>
      </c>
      <c r="I194" s="33" t="s">
        <v>100</v>
      </c>
      <c r="J194" s="33" t="s">
        <v>41</v>
      </c>
      <c r="K194" s="34" t="s">
        <v>101</v>
      </c>
    </row>
    <row r="195">
      <c r="A195" s="27">
        <v>13166.0</v>
      </c>
      <c r="B195" s="28">
        <v>148841.0</v>
      </c>
      <c r="C195" s="29" t="s">
        <v>102</v>
      </c>
      <c r="D195" s="29" t="s">
        <v>230</v>
      </c>
      <c r="E195" s="29" t="s">
        <v>670</v>
      </c>
      <c r="F195" s="29" t="s">
        <v>671</v>
      </c>
      <c r="G195" s="29" t="s">
        <v>323</v>
      </c>
      <c r="H195" s="29" t="s">
        <v>417</v>
      </c>
      <c r="I195" s="29" t="s">
        <v>100</v>
      </c>
      <c r="J195" s="29" t="s">
        <v>41</v>
      </c>
      <c r="K195" s="30" t="s">
        <v>101</v>
      </c>
    </row>
    <row r="196">
      <c r="A196" s="31">
        <v>16900.0</v>
      </c>
      <c r="B196" s="32">
        <v>19446.0</v>
      </c>
      <c r="C196" s="33" t="s">
        <v>94</v>
      </c>
      <c r="D196" s="33" t="s">
        <v>672</v>
      </c>
      <c r="E196" s="33" t="s">
        <v>673</v>
      </c>
      <c r="F196" s="33" t="s">
        <v>674</v>
      </c>
      <c r="G196" s="33" t="s">
        <v>135</v>
      </c>
      <c r="H196" s="33" t="s">
        <v>531</v>
      </c>
      <c r="I196" s="33" t="s">
        <v>100</v>
      </c>
      <c r="J196" s="33" t="s">
        <v>62</v>
      </c>
      <c r="K196" s="34" t="s">
        <v>101</v>
      </c>
    </row>
    <row r="197">
      <c r="A197" s="27">
        <v>25857.0</v>
      </c>
      <c r="B197" s="28">
        <v>109342.0</v>
      </c>
      <c r="C197" s="29" t="s">
        <v>94</v>
      </c>
      <c r="D197" s="29" t="s">
        <v>511</v>
      </c>
      <c r="E197" s="29" t="s">
        <v>675</v>
      </c>
      <c r="F197" s="29" t="s">
        <v>676</v>
      </c>
      <c r="G197" s="29" t="s">
        <v>207</v>
      </c>
      <c r="H197" s="29" t="s">
        <v>208</v>
      </c>
      <c r="I197" s="29" t="s">
        <v>100</v>
      </c>
      <c r="J197" s="29" t="s">
        <v>50</v>
      </c>
      <c r="K197" s="30" t="s">
        <v>101</v>
      </c>
    </row>
    <row r="198">
      <c r="A198" s="31">
        <v>25630.0</v>
      </c>
      <c r="B198" s="32">
        <v>79703.0</v>
      </c>
      <c r="C198" s="33" t="s">
        <v>94</v>
      </c>
      <c r="D198" s="33" t="s">
        <v>677</v>
      </c>
      <c r="E198" s="33" t="s">
        <v>675</v>
      </c>
      <c r="F198" s="33" t="s">
        <v>678</v>
      </c>
      <c r="G198" s="33" t="s">
        <v>207</v>
      </c>
      <c r="H198" s="33" t="s">
        <v>208</v>
      </c>
      <c r="I198" s="33" t="s">
        <v>100</v>
      </c>
      <c r="J198" s="33" t="s">
        <v>62</v>
      </c>
      <c r="K198" s="34" t="s">
        <v>101</v>
      </c>
    </row>
    <row r="199">
      <c r="A199" s="27">
        <v>7596.0</v>
      </c>
      <c r="B199" s="28">
        <v>146945.0</v>
      </c>
      <c r="C199" s="29" t="s">
        <v>102</v>
      </c>
      <c r="D199" s="29" t="s">
        <v>255</v>
      </c>
      <c r="E199" s="29" t="s">
        <v>675</v>
      </c>
      <c r="F199" s="29" t="s">
        <v>679</v>
      </c>
      <c r="G199" s="29" t="s">
        <v>270</v>
      </c>
      <c r="H199" s="29" t="s">
        <v>374</v>
      </c>
      <c r="I199" s="29" t="s">
        <v>100</v>
      </c>
      <c r="J199" s="29" t="s">
        <v>53</v>
      </c>
      <c r="K199" s="30" t="s">
        <v>101</v>
      </c>
    </row>
    <row r="200">
      <c r="A200" s="31">
        <v>7868.0</v>
      </c>
      <c r="B200" s="32">
        <v>140497.0</v>
      </c>
      <c r="C200" s="33" t="s">
        <v>102</v>
      </c>
      <c r="D200" s="33" t="s">
        <v>212</v>
      </c>
      <c r="E200" s="33" t="s">
        <v>680</v>
      </c>
      <c r="F200" s="33" t="s">
        <v>681</v>
      </c>
      <c r="G200" s="33" t="s">
        <v>198</v>
      </c>
      <c r="H200" s="33" t="s">
        <v>353</v>
      </c>
      <c r="I200" s="33" t="s">
        <v>100</v>
      </c>
      <c r="J200" s="33" t="s">
        <v>53</v>
      </c>
      <c r="K200" s="34" t="s">
        <v>101</v>
      </c>
    </row>
    <row r="201">
      <c r="A201" s="27">
        <v>38974.0</v>
      </c>
      <c r="B201" s="28">
        <v>168154.0</v>
      </c>
      <c r="C201" s="29" t="s">
        <v>102</v>
      </c>
      <c r="D201" s="29" t="s">
        <v>448</v>
      </c>
      <c r="E201" s="29" t="s">
        <v>682</v>
      </c>
      <c r="F201" s="29" t="s">
        <v>683</v>
      </c>
      <c r="G201" s="29" t="s">
        <v>181</v>
      </c>
      <c r="H201" s="29" t="s">
        <v>182</v>
      </c>
      <c r="I201" s="29" t="s">
        <v>100</v>
      </c>
      <c r="J201" s="29" t="s">
        <v>41</v>
      </c>
      <c r="K201" s="30" t="s">
        <v>101</v>
      </c>
    </row>
    <row r="202">
      <c r="A202" s="31">
        <v>7390.0</v>
      </c>
      <c r="B202" s="32">
        <v>65102.0</v>
      </c>
      <c r="C202" s="33" t="s">
        <v>102</v>
      </c>
      <c r="D202" s="33" t="s">
        <v>557</v>
      </c>
      <c r="E202" s="33" t="s">
        <v>684</v>
      </c>
      <c r="F202" s="33" t="s">
        <v>685</v>
      </c>
      <c r="G202" s="33" t="s">
        <v>168</v>
      </c>
      <c r="H202" s="33" t="s">
        <v>169</v>
      </c>
      <c r="I202" s="33" t="s">
        <v>100</v>
      </c>
      <c r="J202" s="33" t="s">
        <v>56</v>
      </c>
      <c r="K202" s="34" t="s">
        <v>101</v>
      </c>
    </row>
    <row r="203">
      <c r="A203" s="27">
        <v>38687.0</v>
      </c>
      <c r="B203" s="28">
        <v>148844.0</v>
      </c>
      <c r="C203" s="29" t="s">
        <v>102</v>
      </c>
      <c r="D203" s="29" t="s">
        <v>405</v>
      </c>
      <c r="E203" s="29" t="s">
        <v>686</v>
      </c>
      <c r="F203" s="29" t="s">
        <v>687</v>
      </c>
      <c r="G203" s="29" t="s">
        <v>408</v>
      </c>
      <c r="H203" s="29" t="s">
        <v>409</v>
      </c>
      <c r="I203" s="29" t="s">
        <v>100</v>
      </c>
      <c r="J203" s="29" t="s">
        <v>41</v>
      </c>
      <c r="K203" s="30" t="s">
        <v>101</v>
      </c>
    </row>
    <row r="204">
      <c r="A204" s="31">
        <v>46005.0</v>
      </c>
      <c r="B204" s="32">
        <v>183178.0</v>
      </c>
      <c r="C204" s="33" t="s">
        <v>102</v>
      </c>
      <c r="D204" s="33" t="s">
        <v>479</v>
      </c>
      <c r="E204" s="33" t="s">
        <v>688</v>
      </c>
      <c r="F204" s="33" t="s">
        <v>689</v>
      </c>
      <c r="G204" s="33" t="s">
        <v>130</v>
      </c>
      <c r="H204" s="33" t="s">
        <v>244</v>
      </c>
      <c r="I204" s="33" t="s">
        <v>100</v>
      </c>
      <c r="J204" s="33" t="s">
        <v>47</v>
      </c>
      <c r="K204" s="34" t="s">
        <v>101</v>
      </c>
    </row>
    <row r="205">
      <c r="A205" s="27">
        <v>7412.0</v>
      </c>
      <c r="B205" s="28">
        <v>118653.0</v>
      </c>
      <c r="C205" s="29" t="s">
        <v>102</v>
      </c>
      <c r="D205" s="29" t="s">
        <v>209</v>
      </c>
      <c r="E205" s="29" t="s">
        <v>690</v>
      </c>
      <c r="F205" s="29" t="s">
        <v>691</v>
      </c>
      <c r="G205" s="29" t="s">
        <v>130</v>
      </c>
      <c r="H205" s="29" t="s">
        <v>172</v>
      </c>
      <c r="I205" s="29" t="s">
        <v>100</v>
      </c>
      <c r="J205" s="29" t="s">
        <v>56</v>
      </c>
      <c r="K205" s="30" t="s">
        <v>101</v>
      </c>
    </row>
    <row r="206">
      <c r="A206" s="31">
        <v>25359.0</v>
      </c>
      <c r="B206" s="32">
        <v>54392.0</v>
      </c>
      <c r="C206" s="33" t="s">
        <v>102</v>
      </c>
      <c r="D206" s="33" t="s">
        <v>523</v>
      </c>
      <c r="E206" s="33" t="s">
        <v>692</v>
      </c>
      <c r="F206" s="33" t="s">
        <v>693</v>
      </c>
      <c r="G206" s="33" t="s">
        <v>331</v>
      </c>
      <c r="H206" s="33" t="s">
        <v>332</v>
      </c>
      <c r="I206" s="33" t="s">
        <v>100</v>
      </c>
      <c r="J206" s="33" t="s">
        <v>41</v>
      </c>
      <c r="K206" s="34" t="s">
        <v>101</v>
      </c>
    </row>
    <row r="207">
      <c r="A207" s="27">
        <v>38840.0</v>
      </c>
      <c r="B207" s="28">
        <v>159626.0</v>
      </c>
      <c r="C207" s="29" t="s">
        <v>102</v>
      </c>
      <c r="D207" s="29" t="s">
        <v>694</v>
      </c>
      <c r="E207" s="29" t="s">
        <v>695</v>
      </c>
      <c r="F207" s="29" t="s">
        <v>696</v>
      </c>
      <c r="G207" s="29" t="s">
        <v>408</v>
      </c>
      <c r="H207" s="29" t="s">
        <v>409</v>
      </c>
      <c r="I207" s="29" t="s">
        <v>100</v>
      </c>
      <c r="J207" s="29" t="s">
        <v>53</v>
      </c>
      <c r="K207" s="30" t="s">
        <v>101</v>
      </c>
    </row>
    <row r="208">
      <c r="A208" s="31">
        <v>16243.0</v>
      </c>
      <c r="B208" s="32">
        <v>162046.0</v>
      </c>
      <c r="C208" s="33" t="s">
        <v>102</v>
      </c>
      <c r="D208" s="33" t="s">
        <v>109</v>
      </c>
      <c r="E208" s="33" t="s">
        <v>697</v>
      </c>
      <c r="F208" s="33" t="s">
        <v>698</v>
      </c>
      <c r="G208" s="33" t="s">
        <v>496</v>
      </c>
      <c r="H208" s="33" t="s">
        <v>699</v>
      </c>
      <c r="I208" s="33" t="s">
        <v>100</v>
      </c>
      <c r="J208" s="33" t="s">
        <v>41</v>
      </c>
      <c r="K208" s="34" t="s">
        <v>101</v>
      </c>
    </row>
    <row r="209">
      <c r="A209" s="27">
        <v>16762.0</v>
      </c>
      <c r="B209" s="28">
        <v>118652.0</v>
      </c>
      <c r="C209" s="29" t="s">
        <v>102</v>
      </c>
      <c r="D209" s="29" t="s">
        <v>602</v>
      </c>
      <c r="E209" s="29" t="s">
        <v>700</v>
      </c>
      <c r="F209" s="29" t="s">
        <v>701</v>
      </c>
      <c r="G209" s="29" t="s">
        <v>130</v>
      </c>
      <c r="H209" s="29" t="s">
        <v>153</v>
      </c>
      <c r="I209" s="29" t="s">
        <v>100</v>
      </c>
      <c r="J209" s="29" t="s">
        <v>56</v>
      </c>
      <c r="K209" s="30" t="s">
        <v>101</v>
      </c>
    </row>
    <row r="210">
      <c r="A210" s="31">
        <v>7408.0</v>
      </c>
      <c r="B210" s="32">
        <v>111164.0</v>
      </c>
      <c r="C210" s="33" t="s">
        <v>102</v>
      </c>
      <c r="D210" s="33" t="s">
        <v>602</v>
      </c>
      <c r="E210" s="33" t="s">
        <v>702</v>
      </c>
      <c r="F210" s="33" t="s">
        <v>703</v>
      </c>
      <c r="G210" s="33" t="s">
        <v>130</v>
      </c>
      <c r="H210" s="33" t="s">
        <v>153</v>
      </c>
      <c r="I210" s="33" t="s">
        <v>100</v>
      </c>
      <c r="J210" s="33" t="s">
        <v>41</v>
      </c>
      <c r="K210" s="34" t="s">
        <v>101</v>
      </c>
    </row>
    <row r="211">
      <c r="A211" s="27">
        <v>25010.0</v>
      </c>
      <c r="B211" s="28">
        <v>29383.0</v>
      </c>
      <c r="C211" s="29" t="s">
        <v>94</v>
      </c>
      <c r="D211" s="29" t="s">
        <v>704</v>
      </c>
      <c r="E211" s="29" t="s">
        <v>702</v>
      </c>
      <c r="F211" s="29" t="s">
        <v>705</v>
      </c>
      <c r="G211" s="29" t="s">
        <v>130</v>
      </c>
      <c r="H211" s="29" t="s">
        <v>153</v>
      </c>
      <c r="I211" s="29" t="s">
        <v>100</v>
      </c>
      <c r="J211" s="29" t="s">
        <v>65</v>
      </c>
      <c r="K211" s="30" t="s">
        <v>101</v>
      </c>
    </row>
    <row r="212">
      <c r="A212" s="31">
        <v>16277.0</v>
      </c>
      <c r="B212" s="32">
        <v>116662.0</v>
      </c>
      <c r="C212" s="33" t="s">
        <v>102</v>
      </c>
      <c r="D212" s="33" t="s">
        <v>166</v>
      </c>
      <c r="E212" s="33" t="s">
        <v>706</v>
      </c>
      <c r="F212" s="33" t="s">
        <v>707</v>
      </c>
      <c r="G212" s="33" t="s">
        <v>408</v>
      </c>
      <c r="H212" s="33" t="s">
        <v>409</v>
      </c>
      <c r="I212" s="33" t="s">
        <v>100</v>
      </c>
      <c r="J212" s="33" t="s">
        <v>59</v>
      </c>
      <c r="K212" s="34" t="s">
        <v>101</v>
      </c>
    </row>
    <row r="213">
      <c r="A213" s="27">
        <v>25083.0</v>
      </c>
      <c r="B213" s="28">
        <v>33917.0</v>
      </c>
      <c r="C213" s="29" t="s">
        <v>94</v>
      </c>
      <c r="D213" s="29" t="s">
        <v>223</v>
      </c>
      <c r="E213" s="29" t="s">
        <v>708</v>
      </c>
      <c r="F213" s="29" t="s">
        <v>709</v>
      </c>
      <c r="G213" s="29" t="s">
        <v>130</v>
      </c>
      <c r="H213" s="29" t="s">
        <v>153</v>
      </c>
      <c r="I213" s="29" t="s">
        <v>100</v>
      </c>
      <c r="J213" s="29" t="s">
        <v>44</v>
      </c>
      <c r="K213" s="30" t="s">
        <v>101</v>
      </c>
    </row>
    <row r="214">
      <c r="A214" s="31">
        <v>25895.0</v>
      </c>
      <c r="B214" s="32">
        <v>111342.0</v>
      </c>
      <c r="C214" s="33" t="s">
        <v>102</v>
      </c>
      <c r="D214" s="33" t="s">
        <v>477</v>
      </c>
      <c r="E214" s="33" t="s">
        <v>710</v>
      </c>
      <c r="F214" s="33" t="s">
        <v>711</v>
      </c>
      <c r="G214" s="33" t="s">
        <v>198</v>
      </c>
      <c r="H214" s="33" t="s">
        <v>199</v>
      </c>
      <c r="I214" s="33" t="s">
        <v>100</v>
      </c>
      <c r="J214" s="33" t="s">
        <v>41</v>
      </c>
      <c r="K214" s="34" t="s">
        <v>101</v>
      </c>
    </row>
    <row r="215">
      <c r="A215" s="27">
        <v>25127.0</v>
      </c>
      <c r="B215" s="28">
        <v>40533.0</v>
      </c>
      <c r="C215" s="29" t="s">
        <v>102</v>
      </c>
      <c r="D215" s="29" t="s">
        <v>272</v>
      </c>
      <c r="E215" s="29" t="s">
        <v>712</v>
      </c>
      <c r="F215" s="29" t="s">
        <v>713</v>
      </c>
      <c r="G215" s="29" t="s">
        <v>130</v>
      </c>
      <c r="H215" s="29" t="s">
        <v>244</v>
      </c>
      <c r="I215" s="29" t="s">
        <v>100</v>
      </c>
      <c r="J215" s="29" t="s">
        <v>56</v>
      </c>
      <c r="K215" s="30" t="s">
        <v>101</v>
      </c>
    </row>
    <row r="216">
      <c r="A216" s="31">
        <v>7901.0</v>
      </c>
      <c r="B216" s="32">
        <v>141666.0</v>
      </c>
      <c r="C216" s="33" t="s">
        <v>102</v>
      </c>
      <c r="D216" s="33" t="s">
        <v>714</v>
      </c>
      <c r="E216" s="33" t="s">
        <v>715</v>
      </c>
      <c r="F216" s="33" t="s">
        <v>716</v>
      </c>
      <c r="G216" s="33" t="s">
        <v>198</v>
      </c>
      <c r="H216" s="33" t="s">
        <v>544</v>
      </c>
      <c r="I216" s="33" t="s">
        <v>100</v>
      </c>
      <c r="J216" s="33" t="s">
        <v>56</v>
      </c>
      <c r="K216" s="34" t="s">
        <v>101</v>
      </c>
    </row>
    <row r="217">
      <c r="A217" s="27">
        <v>25684.0</v>
      </c>
      <c r="B217" s="28">
        <v>162036.0</v>
      </c>
      <c r="C217" s="29" t="s">
        <v>102</v>
      </c>
      <c r="D217" s="29" t="s">
        <v>668</v>
      </c>
      <c r="E217" s="29" t="s">
        <v>717</v>
      </c>
      <c r="F217" s="29" t="s">
        <v>718</v>
      </c>
      <c r="G217" s="29" t="s">
        <v>270</v>
      </c>
      <c r="H217" s="29" t="s">
        <v>719</v>
      </c>
      <c r="I217" s="29" t="s">
        <v>100</v>
      </c>
      <c r="J217" s="29" t="s">
        <v>41</v>
      </c>
      <c r="K217" s="30" t="s">
        <v>101</v>
      </c>
    </row>
    <row r="218">
      <c r="A218" s="31">
        <v>38236.0</v>
      </c>
      <c r="B218" s="32">
        <v>135133.0</v>
      </c>
      <c r="C218" s="33" t="s">
        <v>102</v>
      </c>
      <c r="D218" s="33" t="s">
        <v>720</v>
      </c>
      <c r="E218" s="33" t="s">
        <v>166</v>
      </c>
      <c r="F218" s="33" t="s">
        <v>721</v>
      </c>
      <c r="G218" s="33" t="s">
        <v>253</v>
      </c>
      <c r="H218" s="33" t="s">
        <v>254</v>
      </c>
      <c r="I218" s="33" t="s">
        <v>100</v>
      </c>
      <c r="J218" s="33" t="s">
        <v>56</v>
      </c>
      <c r="K218" s="34" t="s">
        <v>101</v>
      </c>
    </row>
    <row r="219">
      <c r="A219" s="27">
        <v>16807.0</v>
      </c>
      <c r="B219" s="28">
        <v>16336.0</v>
      </c>
      <c r="C219" s="29" t="s">
        <v>102</v>
      </c>
      <c r="D219" s="29" t="s">
        <v>722</v>
      </c>
      <c r="E219" s="29" t="s">
        <v>723</v>
      </c>
      <c r="F219" s="29" t="s">
        <v>724</v>
      </c>
      <c r="G219" s="29" t="s">
        <v>130</v>
      </c>
      <c r="H219" s="29" t="s">
        <v>172</v>
      </c>
      <c r="I219" s="29" t="s">
        <v>100</v>
      </c>
      <c r="J219" s="29" t="s">
        <v>59</v>
      </c>
      <c r="K219" s="30" t="s">
        <v>101</v>
      </c>
    </row>
    <row r="220">
      <c r="A220" s="31">
        <v>25911.0</v>
      </c>
      <c r="B220" s="32">
        <v>111651.0</v>
      </c>
      <c r="C220" s="33" t="s">
        <v>102</v>
      </c>
      <c r="D220" s="33" t="s">
        <v>465</v>
      </c>
      <c r="E220" s="33" t="s">
        <v>725</v>
      </c>
      <c r="F220" s="33" t="s">
        <v>726</v>
      </c>
      <c r="G220" s="33" t="s">
        <v>143</v>
      </c>
      <c r="H220" s="33" t="s">
        <v>144</v>
      </c>
      <c r="I220" s="33" t="s">
        <v>100</v>
      </c>
      <c r="J220" s="33" t="s">
        <v>59</v>
      </c>
      <c r="K220" s="34" t="s">
        <v>101</v>
      </c>
    </row>
    <row r="221">
      <c r="A221" s="27">
        <v>7587.0</v>
      </c>
      <c r="B221" s="28">
        <v>125208.0</v>
      </c>
      <c r="C221" s="29" t="s">
        <v>102</v>
      </c>
      <c r="D221" s="29" t="s">
        <v>242</v>
      </c>
      <c r="E221" s="29" t="s">
        <v>727</v>
      </c>
      <c r="F221" s="29" t="s">
        <v>728</v>
      </c>
      <c r="G221" s="29" t="s">
        <v>98</v>
      </c>
      <c r="H221" s="29" t="s">
        <v>106</v>
      </c>
      <c r="I221" s="29" t="s">
        <v>100</v>
      </c>
      <c r="J221" s="29" t="s">
        <v>41</v>
      </c>
      <c r="K221" s="30" t="s">
        <v>101</v>
      </c>
    </row>
    <row r="222">
      <c r="A222" s="31">
        <v>38250.0</v>
      </c>
      <c r="B222" s="32">
        <v>135248.0</v>
      </c>
      <c r="C222" s="33" t="s">
        <v>102</v>
      </c>
      <c r="D222" s="33" t="s">
        <v>209</v>
      </c>
      <c r="E222" s="33" t="s">
        <v>729</v>
      </c>
      <c r="F222" s="33" t="s">
        <v>730</v>
      </c>
      <c r="G222" s="33" t="s">
        <v>275</v>
      </c>
      <c r="H222" s="33" t="s">
        <v>276</v>
      </c>
      <c r="I222" s="33" t="s">
        <v>100</v>
      </c>
      <c r="J222" s="33" t="s">
        <v>41</v>
      </c>
      <c r="K222" s="34" t="s">
        <v>101</v>
      </c>
    </row>
    <row r="223">
      <c r="A223" s="27">
        <v>16182.0</v>
      </c>
      <c r="B223" s="28">
        <v>113029.0</v>
      </c>
      <c r="C223" s="29" t="s">
        <v>102</v>
      </c>
      <c r="D223" s="29" t="s">
        <v>212</v>
      </c>
      <c r="E223" s="29" t="s">
        <v>731</v>
      </c>
      <c r="F223" s="29" t="s">
        <v>732</v>
      </c>
      <c r="G223" s="29" t="s">
        <v>130</v>
      </c>
      <c r="H223" s="29" t="s">
        <v>157</v>
      </c>
      <c r="I223" s="29" t="s">
        <v>100</v>
      </c>
      <c r="J223" s="29" t="s">
        <v>41</v>
      </c>
      <c r="K223" s="30" t="s">
        <v>101</v>
      </c>
    </row>
    <row r="224">
      <c r="A224" s="31">
        <v>38761.0</v>
      </c>
      <c r="B224" s="32">
        <v>155286.0</v>
      </c>
      <c r="C224" s="33" t="s">
        <v>102</v>
      </c>
      <c r="D224" s="33" t="s">
        <v>733</v>
      </c>
      <c r="E224" s="33" t="s">
        <v>734</v>
      </c>
      <c r="F224" s="33" t="s">
        <v>735</v>
      </c>
      <c r="G224" s="33" t="s">
        <v>221</v>
      </c>
      <c r="H224" s="33" t="s">
        <v>222</v>
      </c>
      <c r="I224" s="33" t="s">
        <v>100</v>
      </c>
      <c r="J224" s="33" t="s">
        <v>41</v>
      </c>
      <c r="K224" s="34" t="s">
        <v>101</v>
      </c>
    </row>
    <row r="225">
      <c r="A225" s="27">
        <v>25711.0</v>
      </c>
      <c r="B225" s="28">
        <v>91132.0</v>
      </c>
      <c r="C225" s="29" t="s">
        <v>102</v>
      </c>
      <c r="D225" s="29" t="s">
        <v>230</v>
      </c>
      <c r="E225" s="29" t="s">
        <v>736</v>
      </c>
      <c r="F225" s="29" t="s">
        <v>737</v>
      </c>
      <c r="G225" s="29" t="s">
        <v>130</v>
      </c>
      <c r="H225" s="29" t="s">
        <v>241</v>
      </c>
      <c r="I225" s="29" t="s">
        <v>100</v>
      </c>
      <c r="J225" s="29" t="s">
        <v>41</v>
      </c>
      <c r="K225" s="30" t="s">
        <v>101</v>
      </c>
    </row>
    <row r="226">
      <c r="A226" s="31">
        <v>38555.0</v>
      </c>
      <c r="B226" s="32">
        <v>145650.0</v>
      </c>
      <c r="C226" s="33" t="s">
        <v>94</v>
      </c>
      <c r="D226" s="33" t="s">
        <v>738</v>
      </c>
      <c r="E226" s="33" t="s">
        <v>739</v>
      </c>
      <c r="F226" s="33" t="s">
        <v>740</v>
      </c>
      <c r="G226" s="33" t="s">
        <v>741</v>
      </c>
      <c r="H226" s="33" t="s">
        <v>742</v>
      </c>
      <c r="I226" s="33" t="s">
        <v>100</v>
      </c>
      <c r="J226" s="33" t="s">
        <v>44</v>
      </c>
      <c r="K226" s="34" t="s">
        <v>101</v>
      </c>
    </row>
    <row r="227">
      <c r="A227" s="27">
        <v>25649.0</v>
      </c>
      <c r="B227" s="28">
        <v>79890.0</v>
      </c>
      <c r="C227" s="29" t="s">
        <v>102</v>
      </c>
      <c r="D227" s="29" t="s">
        <v>743</v>
      </c>
      <c r="E227" s="29" t="s">
        <v>744</v>
      </c>
      <c r="F227" s="29" t="s">
        <v>745</v>
      </c>
      <c r="G227" s="29" t="s">
        <v>214</v>
      </c>
      <c r="H227" s="29" t="s">
        <v>215</v>
      </c>
      <c r="I227" s="29" t="s">
        <v>100</v>
      </c>
      <c r="J227" s="29" t="s">
        <v>41</v>
      </c>
      <c r="K227" s="30" t="s">
        <v>101</v>
      </c>
    </row>
    <row r="228">
      <c r="A228" s="31">
        <v>38546.0</v>
      </c>
      <c r="B228" s="32">
        <v>145549.0</v>
      </c>
      <c r="C228" s="33" t="s">
        <v>102</v>
      </c>
      <c r="D228" s="33" t="s">
        <v>746</v>
      </c>
      <c r="E228" s="33" t="s">
        <v>747</v>
      </c>
      <c r="F228" s="33" t="s">
        <v>748</v>
      </c>
      <c r="G228" s="33" t="s">
        <v>130</v>
      </c>
      <c r="H228" s="36" t="s">
        <v>131</v>
      </c>
      <c r="I228" s="33" t="s">
        <v>100</v>
      </c>
      <c r="J228" s="33" t="s">
        <v>435</v>
      </c>
      <c r="K228" s="34" t="s">
        <v>281</v>
      </c>
    </row>
    <row r="229">
      <c r="A229" s="27">
        <v>16713.0</v>
      </c>
      <c r="B229" s="28">
        <v>139270.0</v>
      </c>
      <c r="C229" s="29" t="s">
        <v>94</v>
      </c>
      <c r="D229" s="29" t="s">
        <v>749</v>
      </c>
      <c r="E229" s="29" t="s">
        <v>750</v>
      </c>
      <c r="F229" s="29" t="s">
        <v>751</v>
      </c>
      <c r="G229" s="29" t="s">
        <v>270</v>
      </c>
      <c r="H229" s="29" t="s">
        <v>374</v>
      </c>
      <c r="I229" s="29" t="s">
        <v>100</v>
      </c>
      <c r="J229" s="29" t="s">
        <v>65</v>
      </c>
      <c r="K229" s="30" t="s">
        <v>101</v>
      </c>
    </row>
    <row r="230">
      <c r="A230" s="31">
        <v>7214.0</v>
      </c>
      <c r="B230" s="32">
        <v>159634.0</v>
      </c>
      <c r="C230" s="33" t="s">
        <v>102</v>
      </c>
      <c r="D230" s="33" t="s">
        <v>204</v>
      </c>
      <c r="E230" s="33" t="s">
        <v>752</v>
      </c>
      <c r="F230" s="33" t="s">
        <v>753</v>
      </c>
      <c r="G230" s="33" t="s">
        <v>412</v>
      </c>
      <c r="H230" s="33" t="s">
        <v>413</v>
      </c>
      <c r="I230" s="33" t="s">
        <v>100</v>
      </c>
      <c r="J230" s="33" t="s">
        <v>53</v>
      </c>
      <c r="K230" s="34" t="s">
        <v>101</v>
      </c>
    </row>
    <row r="231">
      <c r="A231" s="27">
        <v>38827.0</v>
      </c>
      <c r="B231" s="28">
        <v>159612.0</v>
      </c>
      <c r="C231" s="29" t="s">
        <v>102</v>
      </c>
      <c r="D231" s="29" t="s">
        <v>754</v>
      </c>
      <c r="E231" s="29" t="s">
        <v>755</v>
      </c>
      <c r="F231" s="29" t="s">
        <v>756</v>
      </c>
      <c r="G231" s="29" t="s">
        <v>98</v>
      </c>
      <c r="H231" s="29" t="s">
        <v>99</v>
      </c>
      <c r="I231" s="29" t="s">
        <v>100</v>
      </c>
      <c r="J231" s="29" t="s">
        <v>41</v>
      </c>
      <c r="K231" s="30" t="s">
        <v>101</v>
      </c>
    </row>
    <row r="232">
      <c r="A232" s="31">
        <v>7265.0</v>
      </c>
      <c r="B232" s="32">
        <v>114229.0</v>
      </c>
      <c r="C232" s="33" t="s">
        <v>102</v>
      </c>
      <c r="D232" s="33" t="s">
        <v>111</v>
      </c>
      <c r="E232" s="33" t="s">
        <v>757</v>
      </c>
      <c r="F232" s="33" t="s">
        <v>758</v>
      </c>
      <c r="G232" s="33" t="s">
        <v>181</v>
      </c>
      <c r="H232" s="33" t="s">
        <v>182</v>
      </c>
      <c r="I232" s="33" t="s">
        <v>100</v>
      </c>
      <c r="J232" s="33" t="s">
        <v>56</v>
      </c>
      <c r="K232" s="34" t="s">
        <v>101</v>
      </c>
    </row>
    <row r="233">
      <c r="A233" s="27">
        <v>16796.0</v>
      </c>
      <c r="B233" s="28">
        <v>146915.0</v>
      </c>
      <c r="C233" s="29" t="s">
        <v>102</v>
      </c>
      <c r="D233" s="29" t="s">
        <v>127</v>
      </c>
      <c r="E233" s="29" t="s">
        <v>759</v>
      </c>
      <c r="F233" s="29" t="s">
        <v>760</v>
      </c>
      <c r="G233" s="29" t="s">
        <v>198</v>
      </c>
      <c r="H233" s="29" t="s">
        <v>353</v>
      </c>
      <c r="I233" s="29" t="s">
        <v>100</v>
      </c>
      <c r="J233" s="29" t="s">
        <v>41</v>
      </c>
      <c r="K233" s="30" t="s">
        <v>101</v>
      </c>
    </row>
    <row r="234">
      <c r="A234" s="31">
        <v>25638.0</v>
      </c>
      <c r="B234" s="32">
        <v>79758.0</v>
      </c>
      <c r="C234" s="33" t="s">
        <v>102</v>
      </c>
      <c r="D234" s="33" t="s">
        <v>387</v>
      </c>
      <c r="E234" s="33" t="s">
        <v>635</v>
      </c>
      <c r="F234" s="33" t="s">
        <v>761</v>
      </c>
      <c r="G234" s="33" t="s">
        <v>168</v>
      </c>
      <c r="H234" s="33" t="s">
        <v>169</v>
      </c>
      <c r="I234" s="33" t="s">
        <v>100</v>
      </c>
      <c r="J234" s="33" t="s">
        <v>41</v>
      </c>
      <c r="K234" s="34" t="s">
        <v>101</v>
      </c>
    </row>
    <row r="235">
      <c r="A235" s="27">
        <v>38275.0</v>
      </c>
      <c r="B235" s="28">
        <v>136273.0</v>
      </c>
      <c r="C235" s="29" t="s">
        <v>102</v>
      </c>
      <c r="D235" s="29" t="s">
        <v>387</v>
      </c>
      <c r="E235" s="29" t="s">
        <v>762</v>
      </c>
      <c r="F235" s="29" t="s">
        <v>763</v>
      </c>
      <c r="G235" s="29" t="s">
        <v>190</v>
      </c>
      <c r="H235" s="29" t="s">
        <v>317</v>
      </c>
      <c r="I235" s="29" t="s">
        <v>100</v>
      </c>
      <c r="J235" s="29" t="s">
        <v>41</v>
      </c>
      <c r="K235" s="30" t="s">
        <v>101</v>
      </c>
    </row>
    <row r="236">
      <c r="A236" s="31">
        <v>7135.0</v>
      </c>
      <c r="B236" s="32">
        <v>114541.0</v>
      </c>
      <c r="C236" s="33" t="s">
        <v>102</v>
      </c>
      <c r="D236" s="33" t="s">
        <v>764</v>
      </c>
      <c r="E236" s="33" t="s">
        <v>762</v>
      </c>
      <c r="F236" s="33" t="s">
        <v>765</v>
      </c>
      <c r="G236" s="33" t="s">
        <v>190</v>
      </c>
      <c r="H236" s="33" t="s">
        <v>317</v>
      </c>
      <c r="I236" s="33" t="s">
        <v>100</v>
      </c>
      <c r="J236" s="33" t="s">
        <v>56</v>
      </c>
      <c r="K236" s="34" t="s">
        <v>101</v>
      </c>
    </row>
    <row r="237">
      <c r="A237" s="27">
        <v>7741.0</v>
      </c>
      <c r="B237" s="28">
        <v>120957.0</v>
      </c>
      <c r="C237" s="29" t="s">
        <v>102</v>
      </c>
      <c r="D237" s="29" t="s">
        <v>204</v>
      </c>
      <c r="E237" s="29" t="s">
        <v>378</v>
      </c>
      <c r="F237" s="29" t="s">
        <v>766</v>
      </c>
      <c r="G237" s="29" t="s">
        <v>323</v>
      </c>
      <c r="H237" s="29" t="s">
        <v>417</v>
      </c>
      <c r="I237" s="29" t="s">
        <v>100</v>
      </c>
      <c r="J237" s="29" t="s">
        <v>56</v>
      </c>
      <c r="K237" s="30" t="s">
        <v>101</v>
      </c>
    </row>
    <row r="238">
      <c r="A238" s="31">
        <v>25555.0</v>
      </c>
      <c r="B238" s="32">
        <v>70673.0</v>
      </c>
      <c r="C238" s="33" t="s">
        <v>102</v>
      </c>
      <c r="D238" s="33" t="s">
        <v>767</v>
      </c>
      <c r="E238" s="33" t="s">
        <v>768</v>
      </c>
      <c r="F238" s="33" t="s">
        <v>769</v>
      </c>
      <c r="G238" s="33" t="s">
        <v>135</v>
      </c>
      <c r="H238" s="33" t="s">
        <v>294</v>
      </c>
      <c r="I238" s="33" t="s">
        <v>100</v>
      </c>
      <c r="J238" s="33" t="s">
        <v>41</v>
      </c>
      <c r="K238" s="34" t="s">
        <v>101</v>
      </c>
    </row>
    <row r="239">
      <c r="A239" s="27">
        <v>38712.0</v>
      </c>
      <c r="B239" s="28">
        <v>153876.0</v>
      </c>
      <c r="C239" s="29" t="s">
        <v>102</v>
      </c>
      <c r="D239" s="29" t="s">
        <v>770</v>
      </c>
      <c r="E239" s="29" t="s">
        <v>771</v>
      </c>
      <c r="F239" s="29" t="s">
        <v>772</v>
      </c>
      <c r="G239" s="29" t="s">
        <v>114</v>
      </c>
      <c r="H239" s="29" t="s">
        <v>115</v>
      </c>
      <c r="I239" s="29" t="s">
        <v>100</v>
      </c>
      <c r="J239" s="29" t="s">
        <v>56</v>
      </c>
      <c r="K239" s="30" t="s">
        <v>101</v>
      </c>
    </row>
    <row r="240">
      <c r="A240" s="31">
        <v>38183.0</v>
      </c>
      <c r="B240" s="32">
        <v>131606.0</v>
      </c>
      <c r="C240" s="33" t="s">
        <v>102</v>
      </c>
      <c r="D240" s="33" t="s">
        <v>773</v>
      </c>
      <c r="E240" s="33" t="s">
        <v>774</v>
      </c>
      <c r="F240" s="33" t="s">
        <v>775</v>
      </c>
      <c r="G240" s="33" t="s">
        <v>275</v>
      </c>
      <c r="H240" s="33" t="s">
        <v>276</v>
      </c>
      <c r="I240" s="33" t="s">
        <v>100</v>
      </c>
      <c r="J240" s="33" t="s">
        <v>41</v>
      </c>
      <c r="K240" s="34" t="s">
        <v>101</v>
      </c>
    </row>
    <row r="241">
      <c r="A241" s="27">
        <v>38322.0</v>
      </c>
      <c r="B241" s="28">
        <v>131764.0</v>
      </c>
      <c r="C241" s="29" t="s">
        <v>102</v>
      </c>
      <c r="D241" s="29" t="s">
        <v>776</v>
      </c>
      <c r="E241" s="29" t="s">
        <v>774</v>
      </c>
      <c r="F241" s="29" t="s">
        <v>777</v>
      </c>
      <c r="G241" s="29" t="s">
        <v>275</v>
      </c>
      <c r="H241" s="29" t="s">
        <v>276</v>
      </c>
      <c r="I241" s="29" t="s">
        <v>100</v>
      </c>
      <c r="J241" s="29" t="s">
        <v>59</v>
      </c>
      <c r="K241" s="30" t="s">
        <v>101</v>
      </c>
    </row>
    <row r="242">
      <c r="A242" s="31">
        <v>16120.0</v>
      </c>
      <c r="B242" s="32">
        <v>112202.0</v>
      </c>
      <c r="C242" s="33" t="s">
        <v>94</v>
      </c>
      <c r="D242" s="33" t="s">
        <v>778</v>
      </c>
      <c r="E242" s="33" t="s">
        <v>779</v>
      </c>
      <c r="F242" s="33" t="s">
        <v>780</v>
      </c>
      <c r="G242" s="33" t="s">
        <v>143</v>
      </c>
      <c r="H242" s="33" t="s">
        <v>144</v>
      </c>
      <c r="I242" s="33" t="s">
        <v>100</v>
      </c>
      <c r="J242" s="33" t="s">
        <v>65</v>
      </c>
      <c r="K242" s="34" t="s">
        <v>101</v>
      </c>
    </row>
    <row r="243">
      <c r="A243" s="27">
        <v>25095.0</v>
      </c>
      <c r="B243" s="28">
        <v>36144.0</v>
      </c>
      <c r="C243" s="29" t="s">
        <v>102</v>
      </c>
      <c r="D243" s="29" t="s">
        <v>781</v>
      </c>
      <c r="E243" s="29" t="s">
        <v>779</v>
      </c>
      <c r="F243" s="29" t="s">
        <v>782</v>
      </c>
      <c r="G243" s="29" t="s">
        <v>135</v>
      </c>
      <c r="H243" s="29" t="s">
        <v>294</v>
      </c>
      <c r="I243" s="29" t="s">
        <v>100</v>
      </c>
      <c r="J243" s="29" t="s">
        <v>53</v>
      </c>
      <c r="K243" s="30" t="s">
        <v>101</v>
      </c>
    </row>
    <row r="244">
      <c r="A244" s="31">
        <v>16099.0</v>
      </c>
      <c r="B244" s="32">
        <v>112197.0</v>
      </c>
      <c r="C244" s="33" t="s">
        <v>102</v>
      </c>
      <c r="D244" s="33" t="s">
        <v>166</v>
      </c>
      <c r="E244" s="33" t="s">
        <v>783</v>
      </c>
      <c r="F244" s="33" t="s">
        <v>784</v>
      </c>
      <c r="G244" s="33" t="s">
        <v>125</v>
      </c>
      <c r="H244" s="33" t="s">
        <v>126</v>
      </c>
      <c r="I244" s="33" t="s">
        <v>100</v>
      </c>
      <c r="J244" s="33" t="s">
        <v>41</v>
      </c>
      <c r="K244" s="34" t="s">
        <v>101</v>
      </c>
    </row>
    <row r="245">
      <c r="A245" s="27">
        <v>7418.0</v>
      </c>
      <c r="B245" s="28">
        <v>139329.0</v>
      </c>
      <c r="C245" s="29" t="s">
        <v>102</v>
      </c>
      <c r="D245" s="29" t="s">
        <v>785</v>
      </c>
      <c r="E245" s="29" t="s">
        <v>786</v>
      </c>
      <c r="F245" s="29" t="s">
        <v>787</v>
      </c>
      <c r="G245" s="29" t="s">
        <v>270</v>
      </c>
      <c r="H245" s="29" t="s">
        <v>374</v>
      </c>
      <c r="I245" s="29" t="s">
        <v>100</v>
      </c>
      <c r="J245" s="29" t="s">
        <v>53</v>
      </c>
      <c r="K245" s="30" t="s">
        <v>101</v>
      </c>
    </row>
    <row r="246">
      <c r="A246" s="31">
        <v>38673.0</v>
      </c>
      <c r="B246" s="32">
        <v>148822.0</v>
      </c>
      <c r="C246" s="33" t="s">
        <v>102</v>
      </c>
      <c r="D246" s="33" t="s">
        <v>788</v>
      </c>
      <c r="E246" s="33" t="s">
        <v>786</v>
      </c>
      <c r="F246" s="33" t="s">
        <v>789</v>
      </c>
      <c r="G246" s="33" t="s">
        <v>270</v>
      </c>
      <c r="H246" s="33" t="s">
        <v>374</v>
      </c>
      <c r="I246" s="33" t="s">
        <v>100</v>
      </c>
      <c r="J246" s="33" t="s">
        <v>47</v>
      </c>
      <c r="K246" s="34" t="s">
        <v>101</v>
      </c>
    </row>
    <row r="247">
      <c r="A247" s="27">
        <v>38540.0</v>
      </c>
      <c r="B247" s="28">
        <v>145503.0</v>
      </c>
      <c r="C247" s="29" t="s">
        <v>102</v>
      </c>
      <c r="D247" s="29" t="s">
        <v>387</v>
      </c>
      <c r="E247" s="29" t="s">
        <v>790</v>
      </c>
      <c r="F247" s="29" t="s">
        <v>791</v>
      </c>
      <c r="G247" s="29" t="s">
        <v>331</v>
      </c>
      <c r="H247" s="29" t="s">
        <v>332</v>
      </c>
      <c r="I247" s="29" t="s">
        <v>100</v>
      </c>
      <c r="J247" s="29" t="s">
        <v>41</v>
      </c>
      <c r="K247" s="30" t="s">
        <v>101</v>
      </c>
    </row>
    <row r="248">
      <c r="A248" s="31">
        <v>38929.0</v>
      </c>
      <c r="B248" s="32">
        <v>162997.0</v>
      </c>
      <c r="C248" s="33" t="s">
        <v>102</v>
      </c>
      <c r="D248" s="33" t="s">
        <v>204</v>
      </c>
      <c r="E248" s="33" t="s">
        <v>790</v>
      </c>
      <c r="F248" s="33" t="s">
        <v>792</v>
      </c>
      <c r="G248" s="33" t="s">
        <v>130</v>
      </c>
      <c r="H248" s="33" t="s">
        <v>211</v>
      </c>
      <c r="I248" s="33" t="s">
        <v>100</v>
      </c>
      <c r="J248" s="33" t="s">
        <v>41</v>
      </c>
      <c r="K248" s="34" t="s">
        <v>101</v>
      </c>
    </row>
    <row r="249">
      <c r="A249" s="27">
        <v>38789.0</v>
      </c>
      <c r="B249" s="28">
        <v>158021.0</v>
      </c>
      <c r="C249" s="29" t="s">
        <v>94</v>
      </c>
      <c r="D249" s="29" t="s">
        <v>793</v>
      </c>
      <c r="E249" s="29" t="s">
        <v>790</v>
      </c>
      <c r="F249" s="29" t="s">
        <v>794</v>
      </c>
      <c r="G249" s="29" t="s">
        <v>275</v>
      </c>
      <c r="H249" s="29" t="s">
        <v>276</v>
      </c>
      <c r="I249" s="29" t="s">
        <v>100</v>
      </c>
      <c r="J249" s="29" t="s">
        <v>44</v>
      </c>
      <c r="K249" s="30" t="s">
        <v>101</v>
      </c>
    </row>
    <row r="250">
      <c r="A250" s="31">
        <v>38539.0</v>
      </c>
      <c r="B250" s="32">
        <v>145502.0</v>
      </c>
      <c r="C250" s="33" t="s">
        <v>94</v>
      </c>
      <c r="D250" s="33" t="s">
        <v>793</v>
      </c>
      <c r="E250" s="33" t="s">
        <v>790</v>
      </c>
      <c r="F250" s="33" t="s">
        <v>794</v>
      </c>
      <c r="G250" s="33" t="s">
        <v>331</v>
      </c>
      <c r="H250" s="33" t="s">
        <v>332</v>
      </c>
      <c r="I250" s="33" t="s">
        <v>100</v>
      </c>
      <c r="J250" s="33" t="s">
        <v>44</v>
      </c>
      <c r="K250" s="34" t="s">
        <v>101</v>
      </c>
    </row>
    <row r="251">
      <c r="A251" s="27">
        <v>9936.0</v>
      </c>
      <c r="B251" s="28">
        <v>83471.0</v>
      </c>
      <c r="C251" s="29" t="s">
        <v>102</v>
      </c>
      <c r="D251" s="29" t="s">
        <v>795</v>
      </c>
      <c r="E251" s="29" t="s">
        <v>790</v>
      </c>
      <c r="F251" s="29" t="s">
        <v>796</v>
      </c>
      <c r="G251" s="29" t="s">
        <v>190</v>
      </c>
      <c r="H251" s="29" t="s">
        <v>191</v>
      </c>
      <c r="I251" s="29" t="s">
        <v>100</v>
      </c>
      <c r="J251" s="29" t="s">
        <v>41</v>
      </c>
      <c r="K251" s="30" t="s">
        <v>101</v>
      </c>
    </row>
    <row r="252">
      <c r="A252" s="31">
        <v>38237.0</v>
      </c>
      <c r="B252" s="32">
        <v>135136.0</v>
      </c>
      <c r="C252" s="33" t="s">
        <v>102</v>
      </c>
      <c r="D252" s="33" t="s">
        <v>212</v>
      </c>
      <c r="E252" s="33" t="s">
        <v>790</v>
      </c>
      <c r="F252" s="33" t="s">
        <v>797</v>
      </c>
      <c r="G252" s="33" t="s">
        <v>275</v>
      </c>
      <c r="H252" s="33" t="s">
        <v>276</v>
      </c>
      <c r="I252" s="33" t="s">
        <v>100</v>
      </c>
      <c r="J252" s="33" t="s">
        <v>41</v>
      </c>
      <c r="K252" s="34" t="s">
        <v>101</v>
      </c>
    </row>
    <row r="253">
      <c r="A253" s="27">
        <v>38401.0</v>
      </c>
      <c r="B253" s="28">
        <v>139272.0</v>
      </c>
      <c r="C253" s="29" t="s">
        <v>94</v>
      </c>
      <c r="D253" s="29" t="s">
        <v>798</v>
      </c>
      <c r="E253" s="29" t="s">
        <v>790</v>
      </c>
      <c r="F253" s="29" t="s">
        <v>799</v>
      </c>
      <c r="G253" s="29" t="s">
        <v>135</v>
      </c>
      <c r="H253" s="29" t="s">
        <v>531</v>
      </c>
      <c r="I253" s="29" t="s">
        <v>100</v>
      </c>
      <c r="J253" s="29" t="s">
        <v>65</v>
      </c>
      <c r="K253" s="30" t="s">
        <v>101</v>
      </c>
    </row>
    <row r="254">
      <c r="A254" s="31">
        <v>16245.0</v>
      </c>
      <c r="B254" s="32">
        <v>162983.0</v>
      </c>
      <c r="C254" s="33" t="s">
        <v>102</v>
      </c>
      <c r="D254" s="33" t="s">
        <v>314</v>
      </c>
      <c r="E254" s="33" t="s">
        <v>800</v>
      </c>
      <c r="F254" s="33" t="s">
        <v>801</v>
      </c>
      <c r="G254" s="33" t="s">
        <v>496</v>
      </c>
      <c r="H254" s="33" t="s">
        <v>699</v>
      </c>
      <c r="I254" s="33" t="s">
        <v>100</v>
      </c>
      <c r="J254" s="33" t="s">
        <v>56</v>
      </c>
      <c r="K254" s="34" t="s">
        <v>101</v>
      </c>
    </row>
    <row r="255">
      <c r="A255" s="27">
        <v>7967.0</v>
      </c>
      <c r="B255" s="28">
        <v>120956.0</v>
      </c>
      <c r="C255" s="29" t="s">
        <v>102</v>
      </c>
      <c r="D255" s="29" t="s">
        <v>802</v>
      </c>
      <c r="E255" s="29" t="s">
        <v>803</v>
      </c>
      <c r="F255" s="29" t="s">
        <v>804</v>
      </c>
      <c r="G255" s="29" t="s">
        <v>190</v>
      </c>
      <c r="H255" s="29" t="s">
        <v>191</v>
      </c>
      <c r="I255" s="29" t="s">
        <v>100</v>
      </c>
      <c r="J255" s="29" t="s">
        <v>59</v>
      </c>
      <c r="K255" s="30" t="s">
        <v>101</v>
      </c>
    </row>
    <row r="256">
      <c r="A256" s="31">
        <v>16565.0</v>
      </c>
      <c r="B256" s="32">
        <v>128761.0</v>
      </c>
      <c r="C256" s="33" t="s">
        <v>102</v>
      </c>
      <c r="D256" s="33" t="s">
        <v>255</v>
      </c>
      <c r="E256" s="33" t="s">
        <v>805</v>
      </c>
      <c r="F256" s="33" t="s">
        <v>806</v>
      </c>
      <c r="G256" s="33" t="s">
        <v>119</v>
      </c>
      <c r="H256" s="33" t="s">
        <v>120</v>
      </c>
      <c r="I256" s="33" t="s">
        <v>100</v>
      </c>
      <c r="J256" s="33" t="s">
        <v>53</v>
      </c>
      <c r="K256" s="34" t="s">
        <v>101</v>
      </c>
    </row>
    <row r="257">
      <c r="A257" s="27">
        <v>7387.0</v>
      </c>
      <c r="B257" s="28">
        <v>155292.0</v>
      </c>
      <c r="C257" s="29" t="s">
        <v>102</v>
      </c>
      <c r="D257" s="29" t="s">
        <v>807</v>
      </c>
      <c r="E257" s="29" t="s">
        <v>808</v>
      </c>
      <c r="F257" s="29" t="s">
        <v>809</v>
      </c>
      <c r="G257" s="29" t="s">
        <v>168</v>
      </c>
      <c r="H257" s="29" t="s">
        <v>169</v>
      </c>
      <c r="I257" s="29" t="s">
        <v>100</v>
      </c>
      <c r="J257" s="29" t="s">
        <v>56</v>
      </c>
      <c r="K257" s="30" t="s">
        <v>101</v>
      </c>
    </row>
    <row r="258">
      <c r="A258" s="31">
        <v>7930.0</v>
      </c>
      <c r="B258" s="32">
        <v>116569.0</v>
      </c>
      <c r="C258" s="33" t="s">
        <v>94</v>
      </c>
      <c r="D258" s="33" t="s">
        <v>810</v>
      </c>
      <c r="E258" s="33" t="s">
        <v>811</v>
      </c>
      <c r="F258" s="33" t="s">
        <v>812</v>
      </c>
      <c r="G258" s="33" t="s">
        <v>323</v>
      </c>
      <c r="H258" s="33" t="s">
        <v>324</v>
      </c>
      <c r="I258" s="33" t="s">
        <v>100</v>
      </c>
      <c r="J258" s="33" t="s">
        <v>65</v>
      </c>
      <c r="K258" s="34" t="s">
        <v>101</v>
      </c>
    </row>
    <row r="259">
      <c r="A259" s="27">
        <v>38967.0</v>
      </c>
      <c r="B259" s="28">
        <v>164095.0</v>
      </c>
      <c r="C259" s="29" t="s">
        <v>102</v>
      </c>
      <c r="D259" s="29" t="s">
        <v>226</v>
      </c>
      <c r="E259" s="29" t="s">
        <v>813</v>
      </c>
      <c r="F259" s="29" t="s">
        <v>814</v>
      </c>
      <c r="G259" s="29" t="s">
        <v>98</v>
      </c>
      <c r="H259" s="29" t="s">
        <v>99</v>
      </c>
      <c r="I259" s="29" t="s">
        <v>100</v>
      </c>
      <c r="J259" s="29" t="s">
        <v>41</v>
      </c>
      <c r="K259" s="30" t="s">
        <v>101</v>
      </c>
    </row>
    <row r="260">
      <c r="A260" s="31">
        <v>16270.0</v>
      </c>
      <c r="B260" s="32">
        <v>112614.0</v>
      </c>
      <c r="C260" s="33" t="s">
        <v>102</v>
      </c>
      <c r="D260" s="33" t="s">
        <v>245</v>
      </c>
      <c r="E260" s="33" t="s">
        <v>815</v>
      </c>
      <c r="F260" s="33" t="s">
        <v>816</v>
      </c>
      <c r="G260" s="33" t="s">
        <v>130</v>
      </c>
      <c r="H260" s="33" t="s">
        <v>172</v>
      </c>
      <c r="I260" s="33" t="s">
        <v>100</v>
      </c>
      <c r="J260" s="33" t="s">
        <v>56</v>
      </c>
      <c r="K260" s="34" t="s">
        <v>101</v>
      </c>
    </row>
    <row r="261">
      <c r="A261" s="27">
        <v>16007.0</v>
      </c>
      <c r="B261" s="28">
        <v>125207.0</v>
      </c>
      <c r="C261" s="29" t="s">
        <v>102</v>
      </c>
      <c r="D261" s="29" t="s">
        <v>230</v>
      </c>
      <c r="E261" s="29" t="s">
        <v>817</v>
      </c>
      <c r="F261" s="29" t="s">
        <v>818</v>
      </c>
      <c r="G261" s="29" t="s">
        <v>198</v>
      </c>
      <c r="H261" s="29" t="s">
        <v>544</v>
      </c>
      <c r="I261" s="29" t="s">
        <v>100</v>
      </c>
      <c r="J261" s="29" t="s">
        <v>41</v>
      </c>
      <c r="K261" s="30" t="s">
        <v>101</v>
      </c>
    </row>
    <row r="262">
      <c r="A262" s="31">
        <v>7082.0</v>
      </c>
      <c r="B262" s="32">
        <v>120978.0</v>
      </c>
      <c r="C262" s="33" t="s">
        <v>94</v>
      </c>
      <c r="D262" s="33" t="s">
        <v>819</v>
      </c>
      <c r="E262" s="33" t="s">
        <v>820</v>
      </c>
      <c r="F262" s="33" t="s">
        <v>821</v>
      </c>
      <c r="G262" s="33" t="s">
        <v>130</v>
      </c>
      <c r="H262" s="33" t="s">
        <v>172</v>
      </c>
      <c r="I262" s="33" t="s">
        <v>100</v>
      </c>
      <c r="J262" s="33" t="s">
        <v>68</v>
      </c>
      <c r="K262" s="34" t="s">
        <v>101</v>
      </c>
    </row>
    <row r="263">
      <c r="A263" s="27">
        <v>25390.0</v>
      </c>
      <c r="B263" s="28">
        <v>158037.0</v>
      </c>
      <c r="C263" s="29" t="s">
        <v>102</v>
      </c>
      <c r="D263" s="29" t="s">
        <v>392</v>
      </c>
      <c r="E263" s="29" t="s">
        <v>820</v>
      </c>
      <c r="F263" s="29" t="s">
        <v>822</v>
      </c>
      <c r="G263" s="29" t="s">
        <v>130</v>
      </c>
      <c r="H263" s="29" t="s">
        <v>172</v>
      </c>
      <c r="I263" s="29" t="s">
        <v>100</v>
      </c>
      <c r="J263" s="29" t="s">
        <v>56</v>
      </c>
      <c r="K263" s="30" t="s">
        <v>101</v>
      </c>
    </row>
    <row r="264">
      <c r="A264" s="31">
        <v>38730.0</v>
      </c>
      <c r="B264" s="32">
        <v>155251.0</v>
      </c>
      <c r="C264" s="33" t="s">
        <v>102</v>
      </c>
      <c r="D264" s="33" t="s">
        <v>823</v>
      </c>
      <c r="E264" s="33" t="s">
        <v>824</v>
      </c>
      <c r="F264" s="33" t="s">
        <v>825</v>
      </c>
      <c r="G264" s="33" t="s">
        <v>164</v>
      </c>
      <c r="H264" s="33" t="s">
        <v>165</v>
      </c>
      <c r="I264" s="33" t="s">
        <v>100</v>
      </c>
      <c r="J264" s="33" t="s">
        <v>41</v>
      </c>
      <c r="K264" s="34" t="s">
        <v>101</v>
      </c>
    </row>
    <row r="265">
      <c r="A265" s="27">
        <v>38472.0</v>
      </c>
      <c r="B265" s="28">
        <v>142936.0</v>
      </c>
      <c r="C265" s="29" t="s">
        <v>102</v>
      </c>
      <c r="D265" s="29" t="s">
        <v>272</v>
      </c>
      <c r="E265" s="29" t="s">
        <v>826</v>
      </c>
      <c r="F265" s="29" t="s">
        <v>827</v>
      </c>
      <c r="G265" s="29" t="s">
        <v>164</v>
      </c>
      <c r="H265" s="29" t="s">
        <v>165</v>
      </c>
      <c r="I265" s="29" t="s">
        <v>100</v>
      </c>
      <c r="J265" s="29" t="s">
        <v>56</v>
      </c>
      <c r="K265" s="30" t="s">
        <v>101</v>
      </c>
    </row>
    <row r="266">
      <c r="A266" s="31">
        <v>38388.0</v>
      </c>
      <c r="B266" s="32">
        <v>139204.0</v>
      </c>
      <c r="C266" s="33" t="s">
        <v>102</v>
      </c>
      <c r="D266" s="33" t="s">
        <v>200</v>
      </c>
      <c r="E266" s="33" t="s">
        <v>828</v>
      </c>
      <c r="F266" s="33" t="s">
        <v>829</v>
      </c>
      <c r="G266" s="33" t="s">
        <v>741</v>
      </c>
      <c r="H266" s="33" t="s">
        <v>742</v>
      </c>
      <c r="I266" s="33" t="s">
        <v>100</v>
      </c>
      <c r="J266" s="33" t="s">
        <v>56</v>
      </c>
      <c r="K266" s="34" t="s">
        <v>101</v>
      </c>
    </row>
    <row r="267">
      <c r="A267" s="27">
        <v>46009.0</v>
      </c>
      <c r="B267" s="28">
        <v>118911.0</v>
      </c>
      <c r="C267" s="29" t="s">
        <v>102</v>
      </c>
      <c r="D267" s="29" t="s">
        <v>830</v>
      </c>
      <c r="E267" s="29" t="s">
        <v>831</v>
      </c>
      <c r="F267" s="29" t="s">
        <v>832</v>
      </c>
      <c r="G267" s="29" t="s">
        <v>398</v>
      </c>
      <c r="H267" s="29" t="s">
        <v>399</v>
      </c>
      <c r="I267" s="29" t="s">
        <v>100</v>
      </c>
      <c r="J267" s="29" t="s">
        <v>59</v>
      </c>
      <c r="K267" s="30" t="s">
        <v>101</v>
      </c>
    </row>
    <row r="268">
      <c r="A268" s="31">
        <v>7541.0</v>
      </c>
      <c r="B268" s="32">
        <v>109429.0</v>
      </c>
      <c r="C268" s="33" t="s">
        <v>94</v>
      </c>
      <c r="D268" s="33" t="s">
        <v>833</v>
      </c>
      <c r="E268" s="33" t="s">
        <v>831</v>
      </c>
      <c r="F268" s="33" t="s">
        <v>834</v>
      </c>
      <c r="G268" s="33" t="s">
        <v>398</v>
      </c>
      <c r="H268" s="33" t="s">
        <v>399</v>
      </c>
      <c r="I268" s="33" t="s">
        <v>100</v>
      </c>
      <c r="J268" s="33" t="s">
        <v>68</v>
      </c>
      <c r="K268" s="34" t="s">
        <v>101</v>
      </c>
    </row>
    <row r="269">
      <c r="A269" s="27">
        <v>7055.0</v>
      </c>
      <c r="B269" s="28">
        <v>120981.0</v>
      </c>
      <c r="C269" s="29" t="s">
        <v>94</v>
      </c>
      <c r="D269" s="29" t="s">
        <v>835</v>
      </c>
      <c r="E269" s="29" t="s">
        <v>836</v>
      </c>
      <c r="F269" s="29" t="s">
        <v>837</v>
      </c>
      <c r="G269" s="29" t="s">
        <v>264</v>
      </c>
      <c r="H269" s="29" t="s">
        <v>265</v>
      </c>
      <c r="I269" s="29" t="s">
        <v>100</v>
      </c>
      <c r="J269" s="29" t="s">
        <v>62</v>
      </c>
      <c r="K269" s="30" t="s">
        <v>101</v>
      </c>
    </row>
    <row r="270">
      <c r="A270" s="31">
        <v>38966.0</v>
      </c>
      <c r="B270" s="32">
        <v>164094.0</v>
      </c>
      <c r="C270" s="33" t="s">
        <v>102</v>
      </c>
      <c r="D270" s="33" t="s">
        <v>432</v>
      </c>
      <c r="E270" s="33" t="s">
        <v>836</v>
      </c>
      <c r="F270" s="33" t="s">
        <v>838</v>
      </c>
      <c r="G270" s="33" t="s">
        <v>264</v>
      </c>
      <c r="H270" s="33" t="s">
        <v>265</v>
      </c>
      <c r="I270" s="33" t="s">
        <v>100</v>
      </c>
      <c r="J270" s="33" t="s">
        <v>47</v>
      </c>
      <c r="K270" s="34" t="s">
        <v>101</v>
      </c>
    </row>
    <row r="271">
      <c r="A271" s="27">
        <v>7030.0</v>
      </c>
      <c r="B271" s="28">
        <v>148788.0</v>
      </c>
      <c r="C271" s="29" t="s">
        <v>102</v>
      </c>
      <c r="D271" s="29" t="s">
        <v>245</v>
      </c>
      <c r="E271" s="29" t="s">
        <v>836</v>
      </c>
      <c r="F271" s="29" t="s">
        <v>839</v>
      </c>
      <c r="G271" s="29" t="s">
        <v>264</v>
      </c>
      <c r="H271" s="29" t="s">
        <v>265</v>
      </c>
      <c r="I271" s="29" t="s">
        <v>100</v>
      </c>
      <c r="J271" s="29" t="s">
        <v>53</v>
      </c>
      <c r="K271" s="30" t="s">
        <v>101</v>
      </c>
    </row>
    <row r="272">
      <c r="A272" s="31">
        <v>38082.0</v>
      </c>
      <c r="B272" s="32">
        <v>129216.0</v>
      </c>
      <c r="C272" s="33" t="s">
        <v>102</v>
      </c>
      <c r="D272" s="33" t="s">
        <v>840</v>
      </c>
      <c r="E272" s="33" t="s">
        <v>841</v>
      </c>
      <c r="F272" s="33" t="s">
        <v>842</v>
      </c>
      <c r="G272" s="33" t="s">
        <v>181</v>
      </c>
      <c r="H272" s="33" t="s">
        <v>229</v>
      </c>
      <c r="I272" s="33" t="s">
        <v>100</v>
      </c>
      <c r="J272" s="33" t="s">
        <v>41</v>
      </c>
      <c r="K272" s="34" t="s">
        <v>101</v>
      </c>
    </row>
    <row r="273">
      <c r="A273" s="27">
        <v>38380.0</v>
      </c>
      <c r="B273" s="28">
        <v>139178.0</v>
      </c>
      <c r="C273" s="29" t="s">
        <v>102</v>
      </c>
      <c r="D273" s="29" t="s">
        <v>123</v>
      </c>
      <c r="E273" s="29" t="s">
        <v>843</v>
      </c>
      <c r="F273" s="29" t="s">
        <v>844</v>
      </c>
      <c r="G273" s="29" t="s">
        <v>143</v>
      </c>
      <c r="H273" s="29" t="s">
        <v>144</v>
      </c>
      <c r="I273" s="29" t="s">
        <v>100</v>
      </c>
      <c r="J273" s="29" t="s">
        <v>56</v>
      </c>
      <c r="K273" s="30" t="s">
        <v>101</v>
      </c>
    </row>
    <row r="274">
      <c r="A274" s="31">
        <v>16897.0</v>
      </c>
      <c r="B274" s="32">
        <v>19450.0</v>
      </c>
      <c r="C274" s="33" t="s">
        <v>102</v>
      </c>
      <c r="D274" s="33" t="s">
        <v>465</v>
      </c>
      <c r="E274" s="33" t="s">
        <v>843</v>
      </c>
      <c r="F274" s="33" t="s">
        <v>845</v>
      </c>
      <c r="G274" s="33" t="s">
        <v>181</v>
      </c>
      <c r="H274" s="33" t="s">
        <v>182</v>
      </c>
      <c r="I274" s="33" t="s">
        <v>100</v>
      </c>
      <c r="J274" s="33" t="s">
        <v>53</v>
      </c>
      <c r="K274" s="34" t="s">
        <v>101</v>
      </c>
    </row>
    <row r="275">
      <c r="A275" s="27">
        <v>25436.0</v>
      </c>
      <c r="B275" s="28">
        <v>65975.0</v>
      </c>
      <c r="C275" s="29" t="s">
        <v>94</v>
      </c>
      <c r="D275" s="29" t="s">
        <v>443</v>
      </c>
      <c r="E275" s="29" t="s">
        <v>843</v>
      </c>
      <c r="F275" s="29" t="s">
        <v>846</v>
      </c>
      <c r="G275" s="29" t="s">
        <v>181</v>
      </c>
      <c r="H275" s="29" t="s">
        <v>182</v>
      </c>
      <c r="I275" s="29" t="s">
        <v>100</v>
      </c>
      <c r="J275" s="29" t="s">
        <v>62</v>
      </c>
      <c r="K275" s="30" t="s">
        <v>101</v>
      </c>
    </row>
    <row r="276">
      <c r="A276" s="31">
        <v>38892.0</v>
      </c>
      <c r="B276" s="32">
        <v>162045.0</v>
      </c>
      <c r="C276" s="33" t="s">
        <v>102</v>
      </c>
      <c r="D276" s="33" t="s">
        <v>432</v>
      </c>
      <c r="E276" s="33" t="s">
        <v>847</v>
      </c>
      <c r="F276" s="33" t="s">
        <v>848</v>
      </c>
      <c r="G276" s="33" t="s">
        <v>164</v>
      </c>
      <c r="H276" s="33" t="s">
        <v>165</v>
      </c>
      <c r="I276" s="33" t="s">
        <v>100</v>
      </c>
      <c r="J276" s="33" t="s">
        <v>47</v>
      </c>
      <c r="K276" s="34" t="s">
        <v>101</v>
      </c>
    </row>
    <row r="277">
      <c r="A277" s="27">
        <v>7549.0</v>
      </c>
      <c r="B277" s="28">
        <v>128396.0</v>
      </c>
      <c r="C277" s="29" t="s">
        <v>94</v>
      </c>
      <c r="D277" s="29" t="s">
        <v>623</v>
      </c>
      <c r="E277" s="29" t="s">
        <v>849</v>
      </c>
      <c r="F277" s="29" t="s">
        <v>850</v>
      </c>
      <c r="G277" s="29" t="s">
        <v>130</v>
      </c>
      <c r="H277" s="29" t="s">
        <v>172</v>
      </c>
      <c r="I277" s="29" t="s">
        <v>100</v>
      </c>
      <c r="J277" s="29" t="s">
        <v>65</v>
      </c>
      <c r="K277" s="30" t="s">
        <v>101</v>
      </c>
    </row>
    <row r="278">
      <c r="A278" s="31">
        <v>16386.0</v>
      </c>
      <c r="B278" s="32">
        <v>153282.0</v>
      </c>
      <c r="C278" s="33" t="s">
        <v>102</v>
      </c>
      <c r="D278" s="33" t="s">
        <v>245</v>
      </c>
      <c r="E278" s="33" t="s">
        <v>849</v>
      </c>
      <c r="F278" s="33" t="s">
        <v>851</v>
      </c>
      <c r="G278" s="33" t="s">
        <v>198</v>
      </c>
      <c r="H278" s="33" t="s">
        <v>353</v>
      </c>
      <c r="I278" s="33" t="s">
        <v>100</v>
      </c>
      <c r="J278" s="33" t="s">
        <v>41</v>
      </c>
      <c r="K278" s="34" t="s">
        <v>101</v>
      </c>
    </row>
    <row r="279">
      <c r="A279" s="27">
        <v>25764.0</v>
      </c>
      <c r="B279" s="28">
        <v>99178.0</v>
      </c>
      <c r="C279" s="29" t="s">
        <v>102</v>
      </c>
      <c r="D279" s="29" t="s">
        <v>336</v>
      </c>
      <c r="E279" s="29" t="s">
        <v>807</v>
      </c>
      <c r="F279" s="29" t="s">
        <v>852</v>
      </c>
      <c r="G279" s="29" t="s">
        <v>198</v>
      </c>
      <c r="H279" s="29" t="s">
        <v>544</v>
      </c>
      <c r="I279" s="29" t="s">
        <v>100</v>
      </c>
      <c r="J279" s="29" t="s">
        <v>56</v>
      </c>
      <c r="K279" s="30" t="s">
        <v>101</v>
      </c>
    </row>
    <row r="280">
      <c r="A280" s="31">
        <v>7397.0</v>
      </c>
      <c r="B280" s="32">
        <v>155289.0</v>
      </c>
      <c r="C280" s="33" t="s">
        <v>102</v>
      </c>
      <c r="D280" s="33" t="s">
        <v>140</v>
      </c>
      <c r="E280" s="33" t="s">
        <v>853</v>
      </c>
      <c r="F280" s="33" t="s">
        <v>854</v>
      </c>
      <c r="G280" s="33" t="s">
        <v>168</v>
      </c>
      <c r="H280" s="33" t="s">
        <v>169</v>
      </c>
      <c r="I280" s="33" t="s">
        <v>100</v>
      </c>
      <c r="J280" s="33" t="s">
        <v>56</v>
      </c>
      <c r="K280" s="34" t="s">
        <v>101</v>
      </c>
    </row>
    <row r="281">
      <c r="A281" s="27">
        <v>7881.0</v>
      </c>
      <c r="B281" s="28">
        <v>145624.0</v>
      </c>
      <c r="C281" s="29" t="s">
        <v>102</v>
      </c>
      <c r="D281" s="29" t="s">
        <v>855</v>
      </c>
      <c r="E281" s="29" t="s">
        <v>856</v>
      </c>
      <c r="F281" s="29" t="s">
        <v>857</v>
      </c>
      <c r="G281" s="29" t="s">
        <v>270</v>
      </c>
      <c r="H281" s="29" t="s">
        <v>374</v>
      </c>
      <c r="I281" s="29" t="s">
        <v>100</v>
      </c>
      <c r="J281" s="29" t="s">
        <v>41</v>
      </c>
      <c r="K281" s="30" t="s">
        <v>101</v>
      </c>
    </row>
    <row r="282">
      <c r="A282" s="31">
        <v>7946.0</v>
      </c>
      <c r="B282" s="32">
        <v>116567.0</v>
      </c>
      <c r="C282" s="33" t="s">
        <v>102</v>
      </c>
      <c r="D282" s="33" t="s">
        <v>392</v>
      </c>
      <c r="E282" s="33" t="s">
        <v>858</v>
      </c>
      <c r="F282" s="33" t="s">
        <v>859</v>
      </c>
      <c r="G282" s="33" t="s">
        <v>323</v>
      </c>
      <c r="H282" s="33" t="s">
        <v>493</v>
      </c>
      <c r="I282" s="33" t="s">
        <v>100</v>
      </c>
      <c r="J282" s="33" t="s">
        <v>56</v>
      </c>
      <c r="K282" s="34" t="s">
        <v>101</v>
      </c>
    </row>
    <row r="283">
      <c r="A283" s="27">
        <v>7956.0</v>
      </c>
      <c r="B283" s="28">
        <v>116568.0</v>
      </c>
      <c r="C283" s="29" t="s">
        <v>94</v>
      </c>
      <c r="D283" s="29" t="s">
        <v>443</v>
      </c>
      <c r="E283" s="29" t="s">
        <v>858</v>
      </c>
      <c r="F283" s="29" t="s">
        <v>860</v>
      </c>
      <c r="G283" s="29" t="s">
        <v>323</v>
      </c>
      <c r="H283" s="29" t="s">
        <v>493</v>
      </c>
      <c r="I283" s="29" t="s">
        <v>100</v>
      </c>
      <c r="J283" s="29" t="s">
        <v>65</v>
      </c>
      <c r="K283" s="30" t="s">
        <v>101</v>
      </c>
    </row>
    <row r="284">
      <c r="A284" s="31">
        <v>38249.0</v>
      </c>
      <c r="B284" s="32">
        <v>135247.0</v>
      </c>
      <c r="C284" s="33" t="s">
        <v>102</v>
      </c>
      <c r="D284" s="33" t="s">
        <v>477</v>
      </c>
      <c r="E284" s="33" t="s">
        <v>861</v>
      </c>
      <c r="F284" s="33" t="s">
        <v>862</v>
      </c>
      <c r="G284" s="33" t="s">
        <v>185</v>
      </c>
      <c r="H284" s="33" t="s">
        <v>186</v>
      </c>
      <c r="I284" s="33" t="s">
        <v>100</v>
      </c>
      <c r="J284" s="33" t="s">
        <v>41</v>
      </c>
      <c r="K284" s="34" t="s">
        <v>101</v>
      </c>
    </row>
    <row r="285">
      <c r="A285" s="27">
        <v>10645.0</v>
      </c>
      <c r="B285" s="28">
        <v>146918.0</v>
      </c>
      <c r="C285" s="29" t="s">
        <v>102</v>
      </c>
      <c r="D285" s="29" t="s">
        <v>487</v>
      </c>
      <c r="E285" s="29" t="s">
        <v>863</v>
      </c>
      <c r="F285" s="29" t="s">
        <v>864</v>
      </c>
      <c r="G285" s="29" t="s">
        <v>130</v>
      </c>
      <c r="H285" s="29" t="s">
        <v>211</v>
      </c>
      <c r="I285" s="29" t="s">
        <v>100</v>
      </c>
      <c r="J285" s="29" t="s">
        <v>56</v>
      </c>
      <c r="K285" s="30" t="s">
        <v>101</v>
      </c>
    </row>
    <row r="286">
      <c r="A286" s="31">
        <v>7314.0</v>
      </c>
      <c r="B286" s="32">
        <v>168184.0</v>
      </c>
      <c r="C286" s="33" t="s">
        <v>102</v>
      </c>
      <c r="D286" s="33" t="s">
        <v>109</v>
      </c>
      <c r="E286" s="33" t="s">
        <v>865</v>
      </c>
      <c r="F286" s="33" t="s">
        <v>866</v>
      </c>
      <c r="G286" s="33" t="s">
        <v>214</v>
      </c>
      <c r="H286" s="33" t="s">
        <v>215</v>
      </c>
      <c r="I286" s="33" t="s">
        <v>100</v>
      </c>
      <c r="J286" s="33" t="s">
        <v>41</v>
      </c>
      <c r="K286" s="34" t="s">
        <v>101</v>
      </c>
    </row>
    <row r="287">
      <c r="A287" s="27">
        <v>16912.0</v>
      </c>
      <c r="B287" s="28">
        <v>19508.0</v>
      </c>
      <c r="C287" s="29" t="s">
        <v>102</v>
      </c>
      <c r="D287" s="29" t="s">
        <v>432</v>
      </c>
      <c r="E287" s="29" t="s">
        <v>867</v>
      </c>
      <c r="F287" s="29" t="s">
        <v>868</v>
      </c>
      <c r="G287" s="29" t="s">
        <v>130</v>
      </c>
      <c r="H287" s="35" t="s">
        <v>131</v>
      </c>
      <c r="I287" s="29" t="s">
        <v>100</v>
      </c>
      <c r="J287" s="29" t="s">
        <v>41</v>
      </c>
      <c r="K287" s="30" t="s">
        <v>101</v>
      </c>
    </row>
    <row r="288">
      <c r="A288" s="31">
        <v>25906.0</v>
      </c>
      <c r="B288" s="32">
        <v>111373.0</v>
      </c>
      <c r="C288" s="33" t="s">
        <v>102</v>
      </c>
      <c r="D288" s="33" t="s">
        <v>212</v>
      </c>
      <c r="E288" s="33" t="s">
        <v>869</v>
      </c>
      <c r="F288" s="33" t="s">
        <v>870</v>
      </c>
      <c r="G288" s="33" t="s">
        <v>130</v>
      </c>
      <c r="H288" s="33" t="s">
        <v>172</v>
      </c>
      <c r="I288" s="33" t="s">
        <v>100</v>
      </c>
      <c r="J288" s="33" t="s">
        <v>53</v>
      </c>
      <c r="K288" s="34" t="s">
        <v>101</v>
      </c>
    </row>
    <row r="289">
      <c r="A289" s="27">
        <v>38367.0</v>
      </c>
      <c r="B289" s="28">
        <v>91149.0</v>
      </c>
      <c r="C289" s="29" t="s">
        <v>102</v>
      </c>
      <c r="D289" s="29" t="s">
        <v>387</v>
      </c>
      <c r="E289" s="29" t="s">
        <v>871</v>
      </c>
      <c r="F289" s="29" t="s">
        <v>872</v>
      </c>
      <c r="G289" s="29" t="s">
        <v>190</v>
      </c>
      <c r="H289" s="29" t="s">
        <v>317</v>
      </c>
      <c r="I289" s="29" t="s">
        <v>100</v>
      </c>
      <c r="J289" s="29" t="s">
        <v>41</v>
      </c>
      <c r="K289" s="30" t="s">
        <v>101</v>
      </c>
    </row>
    <row r="290">
      <c r="A290" s="31">
        <v>25388.0</v>
      </c>
      <c r="B290" s="32">
        <v>59926.0</v>
      </c>
      <c r="C290" s="33" t="s">
        <v>102</v>
      </c>
      <c r="D290" s="33" t="s">
        <v>873</v>
      </c>
      <c r="E290" s="33" t="s">
        <v>874</v>
      </c>
      <c r="F290" s="33" t="s">
        <v>875</v>
      </c>
      <c r="G290" s="33" t="s">
        <v>130</v>
      </c>
      <c r="H290" s="33" t="s">
        <v>244</v>
      </c>
      <c r="I290" s="33" t="s">
        <v>100</v>
      </c>
      <c r="J290" s="33" t="s">
        <v>56</v>
      </c>
      <c r="K290" s="34" t="s">
        <v>101</v>
      </c>
    </row>
    <row r="291">
      <c r="A291" s="27">
        <v>38910.0</v>
      </c>
      <c r="B291" s="28">
        <v>162977.0</v>
      </c>
      <c r="C291" s="29" t="s">
        <v>94</v>
      </c>
      <c r="D291" s="29" t="s">
        <v>876</v>
      </c>
      <c r="E291" s="29" t="s">
        <v>877</v>
      </c>
      <c r="F291" s="29" t="s">
        <v>878</v>
      </c>
      <c r="G291" s="29" t="s">
        <v>270</v>
      </c>
      <c r="H291" s="29" t="s">
        <v>374</v>
      </c>
      <c r="I291" s="29" t="s">
        <v>100</v>
      </c>
      <c r="J291" s="29" t="s">
        <v>290</v>
      </c>
      <c r="K291" s="30" t="s">
        <v>281</v>
      </c>
    </row>
    <row r="292">
      <c r="A292" s="31">
        <v>38950.0</v>
      </c>
      <c r="B292" s="32">
        <v>164073.0</v>
      </c>
      <c r="C292" s="33" t="s">
        <v>102</v>
      </c>
      <c r="D292" s="33" t="s">
        <v>879</v>
      </c>
      <c r="E292" s="33" t="s">
        <v>877</v>
      </c>
      <c r="F292" s="33" t="s">
        <v>880</v>
      </c>
      <c r="G292" s="33" t="s">
        <v>270</v>
      </c>
      <c r="H292" s="33" t="s">
        <v>374</v>
      </c>
      <c r="I292" s="33" t="s">
        <v>100</v>
      </c>
      <c r="J292" s="33" t="s">
        <v>280</v>
      </c>
      <c r="K292" s="34" t="s">
        <v>281</v>
      </c>
    </row>
    <row r="293">
      <c r="A293" s="27">
        <v>38918.0</v>
      </c>
      <c r="B293" s="28">
        <v>162986.0</v>
      </c>
      <c r="C293" s="29" t="s">
        <v>102</v>
      </c>
      <c r="D293" s="29" t="s">
        <v>668</v>
      </c>
      <c r="E293" s="29" t="s">
        <v>877</v>
      </c>
      <c r="F293" s="29" t="s">
        <v>881</v>
      </c>
      <c r="G293" s="29" t="s">
        <v>270</v>
      </c>
      <c r="H293" s="29" t="s">
        <v>374</v>
      </c>
      <c r="I293" s="29" t="s">
        <v>100</v>
      </c>
      <c r="J293" s="29" t="s">
        <v>53</v>
      </c>
      <c r="K293" s="30" t="s">
        <v>101</v>
      </c>
    </row>
    <row r="294">
      <c r="A294" s="31">
        <v>10185.0</v>
      </c>
      <c r="B294" s="32">
        <v>111954.0</v>
      </c>
      <c r="C294" s="33" t="s">
        <v>102</v>
      </c>
      <c r="D294" s="33" t="s">
        <v>640</v>
      </c>
      <c r="E294" s="33" t="s">
        <v>882</v>
      </c>
      <c r="F294" s="33" t="s">
        <v>883</v>
      </c>
      <c r="G294" s="33" t="s">
        <v>130</v>
      </c>
      <c r="H294" s="33" t="s">
        <v>157</v>
      </c>
      <c r="I294" s="33" t="s">
        <v>100</v>
      </c>
      <c r="J294" s="33" t="s">
        <v>56</v>
      </c>
      <c r="K294" s="34" t="s">
        <v>101</v>
      </c>
    </row>
    <row r="295">
      <c r="A295" s="27">
        <v>38543.0</v>
      </c>
      <c r="B295" s="28">
        <v>145516.0</v>
      </c>
      <c r="C295" s="29" t="s">
        <v>102</v>
      </c>
      <c r="D295" s="29" t="s">
        <v>855</v>
      </c>
      <c r="E295" s="29" t="s">
        <v>884</v>
      </c>
      <c r="F295" s="29" t="s">
        <v>885</v>
      </c>
      <c r="G295" s="29" t="s">
        <v>190</v>
      </c>
      <c r="H295" s="29" t="s">
        <v>191</v>
      </c>
      <c r="I295" s="29" t="s">
        <v>100</v>
      </c>
      <c r="J295" s="29" t="s">
        <v>41</v>
      </c>
      <c r="K295" s="30" t="s">
        <v>101</v>
      </c>
    </row>
    <row r="296">
      <c r="A296" s="31">
        <v>38307.0</v>
      </c>
      <c r="B296" s="32">
        <v>136414.0</v>
      </c>
      <c r="C296" s="33" t="s">
        <v>102</v>
      </c>
      <c r="D296" s="33" t="s">
        <v>886</v>
      </c>
      <c r="E296" s="33" t="s">
        <v>887</v>
      </c>
      <c r="F296" s="33" t="s">
        <v>888</v>
      </c>
      <c r="G296" s="33" t="s">
        <v>114</v>
      </c>
      <c r="H296" s="33" t="s">
        <v>115</v>
      </c>
      <c r="I296" s="33" t="s">
        <v>100</v>
      </c>
      <c r="J296" s="33" t="s">
        <v>56</v>
      </c>
      <c r="K296" s="34" t="s">
        <v>101</v>
      </c>
    </row>
    <row r="297">
      <c r="A297" s="27">
        <v>25968.0</v>
      </c>
      <c r="B297" s="28">
        <v>111953.0</v>
      </c>
      <c r="C297" s="29" t="s">
        <v>102</v>
      </c>
      <c r="D297" s="29" t="s">
        <v>272</v>
      </c>
      <c r="E297" s="29" t="s">
        <v>889</v>
      </c>
      <c r="F297" s="29" t="s">
        <v>890</v>
      </c>
      <c r="G297" s="29" t="s">
        <v>264</v>
      </c>
      <c r="H297" s="29" t="s">
        <v>265</v>
      </c>
      <c r="I297" s="29" t="s">
        <v>100</v>
      </c>
      <c r="J297" s="29" t="s">
        <v>56</v>
      </c>
      <c r="K297" s="30" t="s">
        <v>101</v>
      </c>
    </row>
    <row r="298">
      <c r="A298" s="31">
        <v>16084.0</v>
      </c>
      <c r="B298" s="32">
        <v>112198.0</v>
      </c>
      <c r="C298" s="33" t="s">
        <v>102</v>
      </c>
      <c r="D298" s="33" t="s">
        <v>891</v>
      </c>
      <c r="E298" s="33" t="s">
        <v>892</v>
      </c>
      <c r="F298" s="33" t="s">
        <v>893</v>
      </c>
      <c r="G298" s="33" t="s">
        <v>125</v>
      </c>
      <c r="H298" s="33" t="s">
        <v>126</v>
      </c>
      <c r="I298" s="33" t="s">
        <v>100</v>
      </c>
      <c r="J298" s="33" t="s">
        <v>41</v>
      </c>
      <c r="K298" s="34" t="s">
        <v>101</v>
      </c>
    </row>
    <row r="299">
      <c r="A299" s="27">
        <v>7337.0</v>
      </c>
      <c r="B299" s="28">
        <v>115831.0</v>
      </c>
      <c r="C299" s="29" t="s">
        <v>102</v>
      </c>
      <c r="D299" s="29" t="s">
        <v>204</v>
      </c>
      <c r="E299" s="29" t="s">
        <v>894</v>
      </c>
      <c r="F299" s="29" t="s">
        <v>895</v>
      </c>
      <c r="G299" s="29" t="s">
        <v>468</v>
      </c>
      <c r="H299" s="29" t="s">
        <v>469</v>
      </c>
      <c r="I299" s="29" t="s">
        <v>100</v>
      </c>
      <c r="J299" s="29" t="s">
        <v>41</v>
      </c>
      <c r="K299" s="30" t="s">
        <v>101</v>
      </c>
    </row>
    <row r="300">
      <c r="A300" s="31">
        <v>25901.0</v>
      </c>
      <c r="B300" s="32">
        <v>111314.0</v>
      </c>
      <c r="C300" s="33" t="s">
        <v>102</v>
      </c>
      <c r="D300" s="33" t="s">
        <v>635</v>
      </c>
      <c r="E300" s="33" t="s">
        <v>896</v>
      </c>
      <c r="F300" s="33" t="s">
        <v>897</v>
      </c>
      <c r="G300" s="33" t="s">
        <v>270</v>
      </c>
      <c r="H300" s="33" t="s">
        <v>719</v>
      </c>
      <c r="I300" s="33" t="s">
        <v>100</v>
      </c>
      <c r="J300" s="33" t="s">
        <v>41</v>
      </c>
      <c r="K300" s="34" t="s">
        <v>101</v>
      </c>
    </row>
    <row r="301">
      <c r="A301" s="27">
        <v>38438.0</v>
      </c>
      <c r="B301" s="28">
        <v>140490.0</v>
      </c>
      <c r="C301" s="29" t="s">
        <v>94</v>
      </c>
      <c r="D301" s="29" t="s">
        <v>898</v>
      </c>
      <c r="E301" s="29" t="s">
        <v>899</v>
      </c>
      <c r="F301" s="29" t="s">
        <v>900</v>
      </c>
      <c r="G301" s="29" t="s">
        <v>130</v>
      </c>
      <c r="H301" s="29" t="s">
        <v>153</v>
      </c>
      <c r="I301" s="29" t="s">
        <v>100</v>
      </c>
      <c r="J301" s="29" t="s">
        <v>901</v>
      </c>
      <c r="K301" s="30" t="s">
        <v>101</v>
      </c>
    </row>
    <row r="302">
      <c r="A302" s="31">
        <v>16214.0</v>
      </c>
      <c r="B302" s="32">
        <v>111987.0</v>
      </c>
      <c r="C302" s="33" t="s">
        <v>102</v>
      </c>
      <c r="D302" s="33" t="s">
        <v>722</v>
      </c>
      <c r="E302" s="33" t="s">
        <v>902</v>
      </c>
      <c r="F302" s="33" t="s">
        <v>903</v>
      </c>
      <c r="G302" s="33" t="s">
        <v>143</v>
      </c>
      <c r="H302" s="33" t="s">
        <v>144</v>
      </c>
      <c r="I302" s="33" t="s">
        <v>100</v>
      </c>
      <c r="J302" s="33" t="s">
        <v>59</v>
      </c>
      <c r="K302" s="34" t="s">
        <v>101</v>
      </c>
    </row>
    <row r="303">
      <c r="A303" s="27">
        <v>16121.0</v>
      </c>
      <c r="B303" s="28">
        <v>112204.0</v>
      </c>
      <c r="C303" s="29" t="s">
        <v>94</v>
      </c>
      <c r="D303" s="29" t="s">
        <v>904</v>
      </c>
      <c r="E303" s="29" t="s">
        <v>902</v>
      </c>
      <c r="F303" s="29" t="s">
        <v>905</v>
      </c>
      <c r="G303" s="29" t="s">
        <v>143</v>
      </c>
      <c r="H303" s="29" t="s">
        <v>144</v>
      </c>
      <c r="I303" s="29" t="s">
        <v>100</v>
      </c>
      <c r="J303" s="29" t="s">
        <v>65</v>
      </c>
      <c r="K303" s="30" t="s">
        <v>101</v>
      </c>
    </row>
    <row r="304">
      <c r="A304" s="31">
        <v>38112.0</v>
      </c>
      <c r="B304" s="32">
        <v>129566.0</v>
      </c>
      <c r="C304" s="33" t="s">
        <v>102</v>
      </c>
      <c r="D304" s="33" t="s">
        <v>906</v>
      </c>
      <c r="E304" s="33" t="s">
        <v>902</v>
      </c>
      <c r="F304" s="33" t="s">
        <v>907</v>
      </c>
      <c r="G304" s="33" t="s">
        <v>270</v>
      </c>
      <c r="H304" s="33" t="s">
        <v>719</v>
      </c>
      <c r="I304" s="33" t="s">
        <v>100</v>
      </c>
      <c r="J304" s="33" t="s">
        <v>41</v>
      </c>
      <c r="K304" s="34" t="s">
        <v>101</v>
      </c>
    </row>
    <row r="305">
      <c r="A305" s="27">
        <v>38411.0</v>
      </c>
      <c r="B305" s="28">
        <v>139319.0</v>
      </c>
      <c r="C305" s="29" t="s">
        <v>102</v>
      </c>
      <c r="D305" s="29" t="s">
        <v>204</v>
      </c>
      <c r="E305" s="29" t="s">
        <v>908</v>
      </c>
      <c r="F305" s="29" t="s">
        <v>909</v>
      </c>
      <c r="G305" s="29" t="s">
        <v>468</v>
      </c>
      <c r="H305" s="29" t="s">
        <v>469</v>
      </c>
      <c r="I305" s="29" t="s">
        <v>100</v>
      </c>
      <c r="J305" s="29" t="s">
        <v>41</v>
      </c>
      <c r="K305" s="30" t="s">
        <v>101</v>
      </c>
    </row>
    <row r="306">
      <c r="A306" s="31">
        <v>38065.0</v>
      </c>
      <c r="B306" s="32">
        <v>129145.0</v>
      </c>
      <c r="C306" s="33" t="s">
        <v>102</v>
      </c>
      <c r="D306" s="33" t="s">
        <v>395</v>
      </c>
      <c r="E306" s="33" t="s">
        <v>908</v>
      </c>
      <c r="F306" s="33" t="s">
        <v>910</v>
      </c>
      <c r="G306" s="33" t="s">
        <v>214</v>
      </c>
      <c r="H306" s="33" t="s">
        <v>215</v>
      </c>
      <c r="I306" s="33" t="s">
        <v>100</v>
      </c>
      <c r="J306" s="33" t="s">
        <v>53</v>
      </c>
      <c r="K306" s="34" t="s">
        <v>101</v>
      </c>
    </row>
    <row r="307">
      <c r="A307" s="27">
        <v>7830.0</v>
      </c>
      <c r="B307" s="28">
        <v>141667.0</v>
      </c>
      <c r="C307" s="29" t="s">
        <v>102</v>
      </c>
      <c r="D307" s="29" t="s">
        <v>911</v>
      </c>
      <c r="E307" s="29" t="s">
        <v>912</v>
      </c>
      <c r="F307" s="29" t="s">
        <v>913</v>
      </c>
      <c r="G307" s="29" t="s">
        <v>198</v>
      </c>
      <c r="H307" s="29" t="s">
        <v>544</v>
      </c>
      <c r="I307" s="29" t="s">
        <v>100</v>
      </c>
      <c r="J307" s="29" t="s">
        <v>53</v>
      </c>
      <c r="K307" s="30" t="s">
        <v>101</v>
      </c>
    </row>
    <row r="308">
      <c r="A308" s="31">
        <v>16809.0</v>
      </c>
      <c r="B308" s="32">
        <v>16237.0</v>
      </c>
      <c r="C308" s="33" t="s">
        <v>102</v>
      </c>
      <c r="D308" s="33" t="s">
        <v>127</v>
      </c>
      <c r="E308" s="33" t="s">
        <v>914</v>
      </c>
      <c r="F308" s="33" t="s">
        <v>915</v>
      </c>
      <c r="G308" s="33" t="s">
        <v>168</v>
      </c>
      <c r="H308" s="33" t="s">
        <v>169</v>
      </c>
      <c r="I308" s="33" t="s">
        <v>100</v>
      </c>
      <c r="J308" s="33" t="s">
        <v>41</v>
      </c>
      <c r="K308" s="34" t="s">
        <v>101</v>
      </c>
    </row>
    <row r="309">
      <c r="A309" s="27">
        <v>38450.0</v>
      </c>
      <c r="B309" s="28">
        <v>141792.0</v>
      </c>
      <c r="C309" s="29" t="s">
        <v>102</v>
      </c>
      <c r="D309" s="29" t="s">
        <v>204</v>
      </c>
      <c r="E309" s="29" t="s">
        <v>916</v>
      </c>
      <c r="F309" s="29" t="s">
        <v>917</v>
      </c>
      <c r="G309" s="29" t="s">
        <v>270</v>
      </c>
      <c r="H309" s="29" t="s">
        <v>719</v>
      </c>
      <c r="I309" s="29" t="s">
        <v>100</v>
      </c>
      <c r="J309" s="29" t="s">
        <v>41</v>
      </c>
      <c r="K309" s="30" t="s">
        <v>101</v>
      </c>
    </row>
    <row r="310">
      <c r="A310" s="31">
        <v>25055.0</v>
      </c>
      <c r="B310" s="32">
        <v>34033.0</v>
      </c>
      <c r="C310" s="33" t="s">
        <v>102</v>
      </c>
      <c r="D310" s="33" t="s">
        <v>918</v>
      </c>
      <c r="E310" s="33" t="s">
        <v>916</v>
      </c>
      <c r="F310" s="33" t="s">
        <v>919</v>
      </c>
      <c r="G310" s="33" t="s">
        <v>270</v>
      </c>
      <c r="H310" s="33" t="s">
        <v>719</v>
      </c>
      <c r="I310" s="33" t="s">
        <v>100</v>
      </c>
      <c r="J310" s="33" t="s">
        <v>59</v>
      </c>
      <c r="K310" s="34" t="s">
        <v>101</v>
      </c>
    </row>
    <row r="311">
      <c r="A311" s="27">
        <v>16336.0</v>
      </c>
      <c r="B311" s="28">
        <v>116725.0</v>
      </c>
      <c r="C311" s="29" t="s">
        <v>102</v>
      </c>
      <c r="D311" s="29" t="s">
        <v>200</v>
      </c>
      <c r="E311" s="29" t="s">
        <v>920</v>
      </c>
      <c r="F311" s="29" t="s">
        <v>921</v>
      </c>
      <c r="G311" s="29" t="s">
        <v>221</v>
      </c>
      <c r="H311" s="29" t="s">
        <v>222</v>
      </c>
      <c r="I311" s="29" t="s">
        <v>100</v>
      </c>
      <c r="J311" s="29" t="s">
        <v>53</v>
      </c>
      <c r="K311" s="30" t="s">
        <v>101</v>
      </c>
    </row>
    <row r="312">
      <c r="A312" s="31">
        <v>16342.0</v>
      </c>
      <c r="B312" s="32">
        <v>116724.0</v>
      </c>
      <c r="C312" s="33" t="s">
        <v>94</v>
      </c>
      <c r="D312" s="33" t="s">
        <v>922</v>
      </c>
      <c r="E312" s="33" t="s">
        <v>920</v>
      </c>
      <c r="F312" s="33" t="s">
        <v>923</v>
      </c>
      <c r="G312" s="33" t="s">
        <v>164</v>
      </c>
      <c r="H312" s="33" t="s">
        <v>165</v>
      </c>
      <c r="I312" s="33" t="s">
        <v>100</v>
      </c>
      <c r="J312" s="33" t="s">
        <v>68</v>
      </c>
      <c r="K312" s="34" t="s">
        <v>101</v>
      </c>
    </row>
    <row r="313">
      <c r="A313" s="27">
        <v>16335.0</v>
      </c>
      <c r="B313" s="28">
        <v>116723.0</v>
      </c>
      <c r="C313" s="29" t="s">
        <v>102</v>
      </c>
      <c r="D313" s="29" t="s">
        <v>924</v>
      </c>
      <c r="E313" s="29" t="s">
        <v>920</v>
      </c>
      <c r="F313" s="29" t="s">
        <v>925</v>
      </c>
      <c r="G313" s="29" t="s">
        <v>164</v>
      </c>
      <c r="H313" s="29" t="s">
        <v>165</v>
      </c>
      <c r="I313" s="29" t="s">
        <v>100</v>
      </c>
      <c r="J313" s="29" t="s">
        <v>59</v>
      </c>
      <c r="K313" s="30" t="s">
        <v>101</v>
      </c>
    </row>
    <row r="314">
      <c r="A314" s="31">
        <v>38898.0</v>
      </c>
      <c r="B314" s="32">
        <v>162961.0</v>
      </c>
      <c r="C314" s="33" t="s">
        <v>102</v>
      </c>
      <c r="D314" s="33" t="s">
        <v>926</v>
      </c>
      <c r="E314" s="33" t="s">
        <v>927</v>
      </c>
      <c r="F314" s="33" t="s">
        <v>928</v>
      </c>
      <c r="G314" s="33" t="s">
        <v>275</v>
      </c>
      <c r="H314" s="33" t="s">
        <v>276</v>
      </c>
      <c r="I314" s="33" t="s">
        <v>100</v>
      </c>
      <c r="J314" s="33" t="s">
        <v>41</v>
      </c>
      <c r="K314" s="34" t="s">
        <v>101</v>
      </c>
    </row>
    <row r="315">
      <c r="A315" s="27">
        <v>38214.0</v>
      </c>
      <c r="B315" s="28">
        <v>132135.0</v>
      </c>
      <c r="C315" s="29" t="s">
        <v>102</v>
      </c>
      <c r="D315" s="29" t="s">
        <v>212</v>
      </c>
      <c r="E315" s="29" t="s">
        <v>929</v>
      </c>
      <c r="F315" s="29" t="s">
        <v>930</v>
      </c>
      <c r="G315" s="29" t="s">
        <v>270</v>
      </c>
      <c r="H315" s="29" t="s">
        <v>719</v>
      </c>
      <c r="I315" s="29" t="s">
        <v>100</v>
      </c>
      <c r="J315" s="29" t="s">
        <v>47</v>
      </c>
      <c r="K315" s="30" t="s">
        <v>101</v>
      </c>
    </row>
    <row r="316">
      <c r="A316" s="31">
        <v>38001.0</v>
      </c>
      <c r="B316" s="32">
        <v>117987.0</v>
      </c>
      <c r="C316" s="33" t="s">
        <v>102</v>
      </c>
      <c r="D316" s="33" t="s">
        <v>840</v>
      </c>
      <c r="E316" s="33" t="s">
        <v>929</v>
      </c>
      <c r="F316" s="33" t="s">
        <v>931</v>
      </c>
      <c r="G316" s="33" t="s">
        <v>221</v>
      </c>
      <c r="H316" s="33" t="s">
        <v>222</v>
      </c>
      <c r="I316" s="33" t="s">
        <v>100</v>
      </c>
      <c r="J316" s="33" t="s">
        <v>41</v>
      </c>
      <c r="K316" s="34" t="s">
        <v>101</v>
      </c>
    </row>
    <row r="317">
      <c r="A317" s="27">
        <v>7747.0</v>
      </c>
      <c r="B317" s="28">
        <v>120962.0</v>
      </c>
      <c r="C317" s="29" t="s">
        <v>102</v>
      </c>
      <c r="D317" s="29" t="s">
        <v>400</v>
      </c>
      <c r="E317" s="29" t="s">
        <v>932</v>
      </c>
      <c r="F317" s="29" t="s">
        <v>933</v>
      </c>
      <c r="G317" s="29" t="s">
        <v>190</v>
      </c>
      <c r="H317" s="29" t="s">
        <v>191</v>
      </c>
      <c r="I317" s="29" t="s">
        <v>100</v>
      </c>
      <c r="J317" s="29" t="s">
        <v>56</v>
      </c>
      <c r="K317" s="30" t="s">
        <v>101</v>
      </c>
    </row>
    <row r="318">
      <c r="A318" s="31">
        <v>25727.0</v>
      </c>
      <c r="B318" s="32">
        <v>91078.0</v>
      </c>
      <c r="C318" s="33" t="s">
        <v>102</v>
      </c>
      <c r="D318" s="33" t="s">
        <v>934</v>
      </c>
      <c r="E318" s="33" t="s">
        <v>935</v>
      </c>
      <c r="F318" s="33" t="s">
        <v>936</v>
      </c>
      <c r="G318" s="33" t="s">
        <v>168</v>
      </c>
      <c r="H318" s="33" t="s">
        <v>169</v>
      </c>
      <c r="I318" s="33" t="s">
        <v>100</v>
      </c>
      <c r="J318" s="33" t="s">
        <v>56</v>
      </c>
      <c r="K318" s="34" t="s">
        <v>101</v>
      </c>
    </row>
    <row r="319">
      <c r="A319" s="27">
        <v>38287.0</v>
      </c>
      <c r="B319" s="28">
        <v>136285.0</v>
      </c>
      <c r="C319" s="29" t="s">
        <v>102</v>
      </c>
      <c r="D319" s="29" t="s">
        <v>477</v>
      </c>
      <c r="E319" s="29" t="s">
        <v>935</v>
      </c>
      <c r="F319" s="29" t="s">
        <v>937</v>
      </c>
      <c r="G319" s="29" t="s">
        <v>143</v>
      </c>
      <c r="H319" s="29" t="s">
        <v>144</v>
      </c>
      <c r="I319" s="29" t="s">
        <v>100</v>
      </c>
      <c r="J319" s="29" t="s">
        <v>56</v>
      </c>
      <c r="K319" s="30" t="s">
        <v>101</v>
      </c>
    </row>
    <row r="320">
      <c r="A320" s="31">
        <v>38366.0</v>
      </c>
      <c r="B320" s="32">
        <v>136838.0</v>
      </c>
      <c r="C320" s="33" t="s">
        <v>102</v>
      </c>
      <c r="D320" s="33" t="s">
        <v>938</v>
      </c>
      <c r="E320" s="33" t="s">
        <v>939</v>
      </c>
      <c r="F320" s="33" t="s">
        <v>940</v>
      </c>
      <c r="G320" s="33" t="s">
        <v>190</v>
      </c>
      <c r="H320" s="33" t="s">
        <v>317</v>
      </c>
      <c r="I320" s="33" t="s">
        <v>100</v>
      </c>
      <c r="J320" s="33" t="s">
        <v>41</v>
      </c>
      <c r="K320" s="34" t="s">
        <v>101</v>
      </c>
    </row>
    <row r="321">
      <c r="A321" s="27">
        <v>25409.0</v>
      </c>
      <c r="B321" s="28">
        <v>62970.0</v>
      </c>
      <c r="C321" s="29" t="s">
        <v>102</v>
      </c>
      <c r="D321" s="29" t="s">
        <v>941</v>
      </c>
      <c r="E321" s="29" t="s">
        <v>942</v>
      </c>
      <c r="F321" s="29" t="s">
        <v>943</v>
      </c>
      <c r="G321" s="29" t="s">
        <v>130</v>
      </c>
      <c r="H321" s="29" t="s">
        <v>172</v>
      </c>
      <c r="I321" s="29" t="s">
        <v>100</v>
      </c>
      <c r="J321" s="29" t="s">
        <v>59</v>
      </c>
      <c r="K321" s="30" t="s">
        <v>101</v>
      </c>
    </row>
    <row r="322">
      <c r="A322" s="31">
        <v>38512.0</v>
      </c>
      <c r="B322" s="32">
        <v>144559.0</v>
      </c>
      <c r="C322" s="33" t="s">
        <v>94</v>
      </c>
      <c r="D322" s="33" t="s">
        <v>944</v>
      </c>
      <c r="E322" s="33" t="s">
        <v>945</v>
      </c>
      <c r="F322" s="33" t="s">
        <v>946</v>
      </c>
      <c r="G322" s="33" t="s">
        <v>323</v>
      </c>
      <c r="H322" s="33" t="s">
        <v>493</v>
      </c>
      <c r="I322" s="33" t="s">
        <v>100</v>
      </c>
      <c r="J322" s="33" t="s">
        <v>68</v>
      </c>
      <c r="K322" s="34" t="s">
        <v>101</v>
      </c>
    </row>
    <row r="323">
      <c r="A323" s="27">
        <v>38424.0</v>
      </c>
      <c r="B323" s="28">
        <v>140367.0</v>
      </c>
      <c r="C323" s="29" t="s">
        <v>102</v>
      </c>
      <c r="D323" s="29" t="s">
        <v>947</v>
      </c>
      <c r="E323" s="29" t="s">
        <v>948</v>
      </c>
      <c r="F323" s="29" t="s">
        <v>949</v>
      </c>
      <c r="G323" s="29" t="s">
        <v>270</v>
      </c>
      <c r="H323" s="29" t="s">
        <v>374</v>
      </c>
      <c r="I323" s="29" t="s">
        <v>100</v>
      </c>
      <c r="J323" s="29" t="s">
        <v>41</v>
      </c>
      <c r="K323" s="30" t="s">
        <v>101</v>
      </c>
    </row>
    <row r="324">
      <c r="A324" s="31">
        <v>16095.0</v>
      </c>
      <c r="B324" s="32">
        <v>109450.0</v>
      </c>
      <c r="C324" s="33" t="s">
        <v>102</v>
      </c>
      <c r="D324" s="33" t="s">
        <v>400</v>
      </c>
      <c r="E324" s="33" t="s">
        <v>950</v>
      </c>
      <c r="F324" s="33" t="s">
        <v>951</v>
      </c>
      <c r="G324" s="33" t="s">
        <v>125</v>
      </c>
      <c r="H324" s="33" t="s">
        <v>126</v>
      </c>
      <c r="I324" s="33" t="s">
        <v>100</v>
      </c>
      <c r="J324" s="33" t="s">
        <v>59</v>
      </c>
      <c r="K324" s="34" t="s">
        <v>101</v>
      </c>
    </row>
    <row r="325">
      <c r="A325" s="27">
        <v>16094.0</v>
      </c>
      <c r="B325" s="28">
        <v>109449.0</v>
      </c>
      <c r="C325" s="29" t="s">
        <v>102</v>
      </c>
      <c r="D325" s="29" t="s">
        <v>204</v>
      </c>
      <c r="E325" s="29" t="s">
        <v>950</v>
      </c>
      <c r="F325" s="29" t="s">
        <v>952</v>
      </c>
      <c r="G325" s="29" t="s">
        <v>125</v>
      </c>
      <c r="H325" s="29" t="s">
        <v>126</v>
      </c>
      <c r="I325" s="29" t="s">
        <v>100</v>
      </c>
      <c r="J325" s="29" t="s">
        <v>59</v>
      </c>
      <c r="K325" s="30" t="s">
        <v>101</v>
      </c>
    </row>
    <row r="326">
      <c r="A326" s="31">
        <v>16820.0</v>
      </c>
      <c r="B326" s="32">
        <v>16427.0</v>
      </c>
      <c r="C326" s="33" t="s">
        <v>102</v>
      </c>
      <c r="D326" s="33" t="s">
        <v>195</v>
      </c>
      <c r="E326" s="33" t="s">
        <v>953</v>
      </c>
      <c r="F326" s="33" t="s">
        <v>954</v>
      </c>
      <c r="G326" s="33" t="s">
        <v>114</v>
      </c>
      <c r="H326" s="33" t="s">
        <v>115</v>
      </c>
      <c r="I326" s="33" t="s">
        <v>100</v>
      </c>
      <c r="J326" s="33" t="s">
        <v>56</v>
      </c>
      <c r="K326" s="34" t="s">
        <v>101</v>
      </c>
    </row>
    <row r="327">
      <c r="A327" s="27">
        <v>7193.0</v>
      </c>
      <c r="B327" s="28">
        <v>162019.0</v>
      </c>
      <c r="C327" s="29" t="s">
        <v>102</v>
      </c>
      <c r="D327" s="29" t="s">
        <v>955</v>
      </c>
      <c r="E327" s="29" t="s">
        <v>956</v>
      </c>
      <c r="F327" s="29" t="s">
        <v>957</v>
      </c>
      <c r="G327" s="29" t="s">
        <v>190</v>
      </c>
      <c r="H327" s="29" t="s">
        <v>191</v>
      </c>
      <c r="I327" s="29" t="s">
        <v>100</v>
      </c>
      <c r="J327" s="29" t="s">
        <v>56</v>
      </c>
      <c r="K327" s="30" t="s">
        <v>101</v>
      </c>
    </row>
    <row r="328">
      <c r="A328" s="31">
        <v>25885.0</v>
      </c>
      <c r="B328" s="32">
        <v>111424.0</v>
      </c>
      <c r="C328" s="33" t="s">
        <v>94</v>
      </c>
      <c r="D328" s="33" t="s">
        <v>958</v>
      </c>
      <c r="E328" s="33" t="s">
        <v>959</v>
      </c>
      <c r="F328" s="33" t="s">
        <v>960</v>
      </c>
      <c r="G328" s="33" t="s">
        <v>130</v>
      </c>
      <c r="H328" s="33" t="s">
        <v>157</v>
      </c>
      <c r="I328" s="33" t="s">
        <v>100</v>
      </c>
      <c r="J328" s="33" t="s">
        <v>65</v>
      </c>
      <c r="K328" s="34" t="s">
        <v>101</v>
      </c>
    </row>
    <row r="329">
      <c r="A329" s="27">
        <v>25884.0</v>
      </c>
      <c r="B329" s="28">
        <v>111431.0</v>
      </c>
      <c r="C329" s="29" t="s">
        <v>102</v>
      </c>
      <c r="D329" s="29" t="s">
        <v>140</v>
      </c>
      <c r="E329" s="29" t="s">
        <v>959</v>
      </c>
      <c r="F329" s="29" t="s">
        <v>961</v>
      </c>
      <c r="G329" s="29" t="s">
        <v>130</v>
      </c>
      <c r="H329" s="29" t="s">
        <v>157</v>
      </c>
      <c r="I329" s="29" t="s">
        <v>100</v>
      </c>
      <c r="J329" s="29" t="s">
        <v>56</v>
      </c>
      <c r="K329" s="30" t="s">
        <v>101</v>
      </c>
    </row>
    <row r="330">
      <c r="A330" s="31">
        <v>38708.0</v>
      </c>
      <c r="B330" s="32">
        <v>153869.0</v>
      </c>
      <c r="C330" s="33" t="s">
        <v>102</v>
      </c>
      <c r="D330" s="33" t="s">
        <v>255</v>
      </c>
      <c r="E330" s="33" t="s">
        <v>962</v>
      </c>
      <c r="F330" s="33" t="s">
        <v>963</v>
      </c>
      <c r="G330" s="33" t="s">
        <v>130</v>
      </c>
      <c r="H330" s="36" t="s">
        <v>131</v>
      </c>
      <c r="I330" s="33" t="s">
        <v>100</v>
      </c>
      <c r="J330" s="33" t="s">
        <v>435</v>
      </c>
      <c r="K330" s="34" t="s">
        <v>281</v>
      </c>
    </row>
    <row r="331">
      <c r="A331" s="27">
        <v>38741.0</v>
      </c>
      <c r="B331" s="28">
        <v>155265.0</v>
      </c>
      <c r="C331" s="29" t="s">
        <v>102</v>
      </c>
      <c r="D331" s="29" t="s">
        <v>400</v>
      </c>
      <c r="E331" s="29" t="s">
        <v>666</v>
      </c>
      <c r="F331" s="29" t="s">
        <v>964</v>
      </c>
      <c r="G331" s="29" t="s">
        <v>270</v>
      </c>
      <c r="H331" s="29" t="s">
        <v>719</v>
      </c>
      <c r="I331" s="29" t="s">
        <v>100</v>
      </c>
      <c r="J331" s="29" t="s">
        <v>56</v>
      </c>
      <c r="K331" s="30" t="s">
        <v>101</v>
      </c>
    </row>
    <row r="332">
      <c r="A332" s="31">
        <v>38957.0</v>
      </c>
      <c r="B332" s="32">
        <v>164082.0</v>
      </c>
      <c r="C332" s="33" t="s">
        <v>102</v>
      </c>
      <c r="D332" s="33" t="s">
        <v>965</v>
      </c>
      <c r="E332" s="33" t="s">
        <v>666</v>
      </c>
      <c r="F332" s="33" t="s">
        <v>966</v>
      </c>
      <c r="G332" s="33" t="s">
        <v>98</v>
      </c>
      <c r="H332" s="33" t="s">
        <v>99</v>
      </c>
      <c r="I332" s="33" t="s">
        <v>100</v>
      </c>
      <c r="J332" s="33" t="s">
        <v>41</v>
      </c>
      <c r="K332" s="34" t="s">
        <v>101</v>
      </c>
    </row>
    <row r="333">
      <c r="A333" s="27">
        <v>38650.0</v>
      </c>
      <c r="B333" s="28">
        <v>148790.0</v>
      </c>
      <c r="C333" s="29" t="s">
        <v>102</v>
      </c>
      <c r="D333" s="29" t="s">
        <v>204</v>
      </c>
      <c r="E333" s="29" t="s">
        <v>967</v>
      </c>
      <c r="F333" s="29" t="s">
        <v>968</v>
      </c>
      <c r="G333" s="29" t="s">
        <v>130</v>
      </c>
      <c r="H333" s="29" t="s">
        <v>211</v>
      </c>
      <c r="I333" s="29" t="s">
        <v>100</v>
      </c>
      <c r="J333" s="29" t="s">
        <v>53</v>
      </c>
      <c r="K333" s="30" t="s">
        <v>101</v>
      </c>
    </row>
    <row r="334">
      <c r="A334" s="31">
        <v>16532.0</v>
      </c>
      <c r="B334" s="32">
        <v>111903.0</v>
      </c>
      <c r="C334" s="33" t="s">
        <v>102</v>
      </c>
      <c r="D334" s="33" t="s">
        <v>969</v>
      </c>
      <c r="E334" s="33" t="s">
        <v>554</v>
      </c>
      <c r="F334" s="33" t="s">
        <v>970</v>
      </c>
      <c r="G334" s="33" t="s">
        <v>185</v>
      </c>
      <c r="H334" s="33" t="s">
        <v>186</v>
      </c>
      <c r="I334" s="33" t="s">
        <v>100</v>
      </c>
      <c r="J334" s="33" t="s">
        <v>53</v>
      </c>
      <c r="K334" s="34" t="s">
        <v>101</v>
      </c>
    </row>
    <row r="335">
      <c r="A335" s="27">
        <v>16545.0</v>
      </c>
      <c r="B335" s="28">
        <v>111904.0</v>
      </c>
      <c r="C335" s="29" t="s">
        <v>102</v>
      </c>
      <c r="D335" s="29" t="s">
        <v>640</v>
      </c>
      <c r="E335" s="29" t="s">
        <v>554</v>
      </c>
      <c r="F335" s="29" t="s">
        <v>971</v>
      </c>
      <c r="G335" s="29" t="s">
        <v>185</v>
      </c>
      <c r="H335" s="29" t="s">
        <v>186</v>
      </c>
      <c r="I335" s="29" t="s">
        <v>100</v>
      </c>
      <c r="J335" s="29" t="s">
        <v>59</v>
      </c>
      <c r="K335" s="30" t="s">
        <v>101</v>
      </c>
    </row>
    <row r="336">
      <c r="A336" s="31">
        <v>38669.0</v>
      </c>
      <c r="B336" s="32">
        <v>148817.0</v>
      </c>
      <c r="C336" s="33" t="s">
        <v>102</v>
      </c>
      <c r="D336" s="33" t="s">
        <v>972</v>
      </c>
      <c r="E336" s="33" t="s">
        <v>973</v>
      </c>
      <c r="F336" s="33" t="s">
        <v>974</v>
      </c>
      <c r="G336" s="33" t="s">
        <v>148</v>
      </c>
      <c r="H336" s="33" t="s">
        <v>149</v>
      </c>
      <c r="I336" s="33" t="s">
        <v>100</v>
      </c>
      <c r="J336" s="33" t="s">
        <v>53</v>
      </c>
      <c r="K336" s="34" t="s">
        <v>101</v>
      </c>
    </row>
    <row r="337">
      <c r="A337" s="27">
        <v>7927.0</v>
      </c>
      <c r="B337" s="28">
        <v>111851.0</v>
      </c>
      <c r="C337" s="29" t="s">
        <v>102</v>
      </c>
      <c r="D337" s="29" t="s">
        <v>392</v>
      </c>
      <c r="E337" s="29" t="s">
        <v>975</v>
      </c>
      <c r="F337" s="29" t="s">
        <v>976</v>
      </c>
      <c r="G337" s="29" t="s">
        <v>323</v>
      </c>
      <c r="H337" s="29" t="s">
        <v>324</v>
      </c>
      <c r="I337" s="29" t="s">
        <v>100</v>
      </c>
      <c r="J337" s="29" t="s">
        <v>56</v>
      </c>
      <c r="K337" s="30" t="s">
        <v>101</v>
      </c>
    </row>
    <row r="338">
      <c r="A338" s="31">
        <v>25822.0</v>
      </c>
      <c r="B338" s="32">
        <v>107412.0</v>
      </c>
      <c r="C338" s="33" t="s">
        <v>102</v>
      </c>
      <c r="D338" s="33" t="s">
        <v>432</v>
      </c>
      <c r="E338" s="33" t="s">
        <v>975</v>
      </c>
      <c r="F338" s="33" t="s">
        <v>977</v>
      </c>
      <c r="G338" s="33" t="s">
        <v>214</v>
      </c>
      <c r="H338" s="33" t="s">
        <v>215</v>
      </c>
      <c r="I338" s="33" t="s">
        <v>100</v>
      </c>
      <c r="J338" s="33" t="s">
        <v>41</v>
      </c>
      <c r="K338" s="34" t="s">
        <v>101</v>
      </c>
    </row>
    <row r="339">
      <c r="A339" s="27">
        <v>25821.0</v>
      </c>
      <c r="B339" s="28">
        <v>107411.0</v>
      </c>
      <c r="C339" s="29" t="s">
        <v>102</v>
      </c>
      <c r="D339" s="29" t="s">
        <v>873</v>
      </c>
      <c r="E339" s="29" t="s">
        <v>975</v>
      </c>
      <c r="F339" s="29" t="s">
        <v>978</v>
      </c>
      <c r="G339" s="29" t="s">
        <v>130</v>
      </c>
      <c r="H339" s="29" t="s">
        <v>172</v>
      </c>
      <c r="I339" s="29" t="s">
        <v>100</v>
      </c>
      <c r="J339" s="29" t="s">
        <v>56</v>
      </c>
      <c r="K339" s="30" t="s">
        <v>101</v>
      </c>
    </row>
    <row r="340">
      <c r="A340" s="31">
        <v>25672.0</v>
      </c>
      <c r="B340" s="32">
        <v>80054.0</v>
      </c>
      <c r="C340" s="33" t="s">
        <v>102</v>
      </c>
      <c r="D340" s="33" t="s">
        <v>204</v>
      </c>
      <c r="E340" s="33" t="s">
        <v>979</v>
      </c>
      <c r="F340" s="33" t="s">
        <v>980</v>
      </c>
      <c r="G340" s="33" t="s">
        <v>207</v>
      </c>
      <c r="H340" s="33" t="s">
        <v>208</v>
      </c>
      <c r="I340" s="33" t="s">
        <v>100</v>
      </c>
      <c r="J340" s="33" t="s">
        <v>53</v>
      </c>
      <c r="K340" s="34" t="s">
        <v>101</v>
      </c>
    </row>
    <row r="341">
      <c r="A341" s="27">
        <v>38092.0</v>
      </c>
      <c r="B341" s="28">
        <v>128367.0</v>
      </c>
      <c r="C341" s="29" t="s">
        <v>102</v>
      </c>
      <c r="D341" s="29" t="s">
        <v>981</v>
      </c>
      <c r="E341" s="29" t="s">
        <v>982</v>
      </c>
      <c r="F341" s="29" t="s">
        <v>983</v>
      </c>
      <c r="G341" s="29" t="s">
        <v>207</v>
      </c>
      <c r="H341" s="29" t="s">
        <v>208</v>
      </c>
      <c r="I341" s="29" t="s">
        <v>100</v>
      </c>
      <c r="J341" s="29" t="s">
        <v>41</v>
      </c>
      <c r="K341" s="30" t="s">
        <v>101</v>
      </c>
    </row>
    <row r="342">
      <c r="A342" s="31">
        <v>16730.0</v>
      </c>
      <c r="B342" s="32">
        <v>116618.0</v>
      </c>
      <c r="C342" s="33" t="s">
        <v>102</v>
      </c>
      <c r="D342" s="33" t="s">
        <v>984</v>
      </c>
      <c r="E342" s="33" t="s">
        <v>982</v>
      </c>
      <c r="F342" s="33" t="s">
        <v>985</v>
      </c>
      <c r="G342" s="33" t="s">
        <v>207</v>
      </c>
      <c r="H342" s="33" t="s">
        <v>208</v>
      </c>
      <c r="I342" s="33" t="s">
        <v>100</v>
      </c>
      <c r="J342" s="33" t="s">
        <v>56</v>
      </c>
      <c r="K342" s="34" t="s">
        <v>101</v>
      </c>
    </row>
    <row r="343">
      <c r="A343" s="27">
        <v>38593.0</v>
      </c>
      <c r="B343" s="28">
        <v>146905.0</v>
      </c>
      <c r="C343" s="29" t="s">
        <v>102</v>
      </c>
      <c r="D343" s="29" t="s">
        <v>523</v>
      </c>
      <c r="E343" s="29" t="s">
        <v>986</v>
      </c>
      <c r="F343" s="29" t="s">
        <v>987</v>
      </c>
      <c r="G343" s="29" t="s">
        <v>135</v>
      </c>
      <c r="H343" s="29" t="s">
        <v>203</v>
      </c>
      <c r="I343" s="29" t="s">
        <v>100</v>
      </c>
      <c r="J343" s="29" t="s">
        <v>53</v>
      </c>
      <c r="K343" s="30" t="s">
        <v>101</v>
      </c>
    </row>
    <row r="344">
      <c r="A344" s="31">
        <v>38544.0</v>
      </c>
      <c r="B344" s="32">
        <v>145545.0</v>
      </c>
      <c r="C344" s="33" t="s">
        <v>102</v>
      </c>
      <c r="D344" s="33" t="s">
        <v>988</v>
      </c>
      <c r="E344" s="33" t="s">
        <v>986</v>
      </c>
      <c r="F344" s="33" t="s">
        <v>989</v>
      </c>
      <c r="G344" s="33" t="s">
        <v>119</v>
      </c>
      <c r="H344" s="33" t="s">
        <v>120</v>
      </c>
      <c r="I344" s="33" t="s">
        <v>100</v>
      </c>
      <c r="J344" s="33" t="s">
        <v>435</v>
      </c>
      <c r="K344" s="34" t="s">
        <v>281</v>
      </c>
    </row>
    <row r="345">
      <c r="A345" s="27">
        <v>38735.0</v>
      </c>
      <c r="B345" s="28">
        <v>155256.0</v>
      </c>
      <c r="C345" s="29" t="s">
        <v>94</v>
      </c>
      <c r="D345" s="29" t="s">
        <v>990</v>
      </c>
      <c r="E345" s="29" t="s">
        <v>991</v>
      </c>
      <c r="F345" s="29" t="s">
        <v>992</v>
      </c>
      <c r="G345" s="29" t="s">
        <v>190</v>
      </c>
      <c r="H345" s="29" t="s">
        <v>191</v>
      </c>
      <c r="I345" s="29" t="s">
        <v>100</v>
      </c>
      <c r="J345" s="29" t="s">
        <v>44</v>
      </c>
      <c r="K345" s="30" t="s">
        <v>101</v>
      </c>
    </row>
    <row r="346">
      <c r="A346" s="31">
        <v>38588.0</v>
      </c>
      <c r="B346" s="32">
        <v>146899.0</v>
      </c>
      <c r="C346" s="33" t="s">
        <v>102</v>
      </c>
      <c r="D346" s="33" t="s">
        <v>668</v>
      </c>
      <c r="E346" s="33" t="s">
        <v>993</v>
      </c>
      <c r="F346" s="33" t="s">
        <v>994</v>
      </c>
      <c r="G346" s="33" t="s">
        <v>130</v>
      </c>
      <c r="H346" s="33" t="s">
        <v>157</v>
      </c>
      <c r="I346" s="33" t="s">
        <v>100</v>
      </c>
      <c r="J346" s="33" t="s">
        <v>41</v>
      </c>
      <c r="K346" s="34" t="s">
        <v>101</v>
      </c>
    </row>
    <row r="347">
      <c r="A347" s="27">
        <v>25671.0</v>
      </c>
      <c r="B347" s="28">
        <v>87131.0</v>
      </c>
      <c r="C347" s="29" t="s">
        <v>102</v>
      </c>
      <c r="D347" s="29" t="s">
        <v>392</v>
      </c>
      <c r="E347" s="29" t="s">
        <v>995</v>
      </c>
      <c r="F347" s="29" t="s">
        <v>996</v>
      </c>
      <c r="G347" s="29" t="s">
        <v>207</v>
      </c>
      <c r="H347" s="29" t="s">
        <v>208</v>
      </c>
      <c r="I347" s="29" t="s">
        <v>100</v>
      </c>
      <c r="J347" s="29" t="s">
        <v>56</v>
      </c>
      <c r="K347" s="30" t="s">
        <v>101</v>
      </c>
    </row>
    <row r="348">
      <c r="A348" s="31">
        <v>25675.0</v>
      </c>
      <c r="B348" s="32">
        <v>162030.0</v>
      </c>
      <c r="C348" s="33" t="s">
        <v>94</v>
      </c>
      <c r="D348" s="33" t="s">
        <v>997</v>
      </c>
      <c r="E348" s="33" t="s">
        <v>998</v>
      </c>
      <c r="F348" s="33" t="s">
        <v>999</v>
      </c>
      <c r="G348" s="33" t="s">
        <v>270</v>
      </c>
      <c r="H348" s="33" t="s">
        <v>374</v>
      </c>
      <c r="I348" s="33" t="s">
        <v>100</v>
      </c>
      <c r="J348" s="33" t="s">
        <v>62</v>
      </c>
      <c r="K348" s="34" t="s">
        <v>101</v>
      </c>
    </row>
    <row r="349">
      <c r="A349" s="27">
        <v>38608.0</v>
      </c>
      <c r="B349" s="28">
        <v>146924.0</v>
      </c>
      <c r="C349" s="29" t="s">
        <v>94</v>
      </c>
      <c r="D349" s="29" t="s">
        <v>1000</v>
      </c>
      <c r="E349" s="29" t="s">
        <v>998</v>
      </c>
      <c r="F349" s="29" t="s">
        <v>1001</v>
      </c>
      <c r="G349" s="29" t="s">
        <v>130</v>
      </c>
      <c r="H349" s="29" t="s">
        <v>157</v>
      </c>
      <c r="I349" s="29" t="s">
        <v>100</v>
      </c>
      <c r="J349" s="29" t="s">
        <v>44</v>
      </c>
      <c r="K349" s="30" t="s">
        <v>101</v>
      </c>
    </row>
    <row r="350">
      <c r="A350" s="31">
        <v>38607.0</v>
      </c>
      <c r="B350" s="32">
        <v>146923.0</v>
      </c>
      <c r="C350" s="33" t="s">
        <v>94</v>
      </c>
      <c r="D350" s="33" t="s">
        <v>1002</v>
      </c>
      <c r="E350" s="33" t="s">
        <v>1003</v>
      </c>
      <c r="F350" s="33" t="s">
        <v>1004</v>
      </c>
      <c r="G350" s="33" t="s">
        <v>135</v>
      </c>
      <c r="H350" s="33" t="s">
        <v>531</v>
      </c>
      <c r="I350" s="33" t="s">
        <v>100</v>
      </c>
      <c r="J350" s="33" t="s">
        <v>44</v>
      </c>
      <c r="K350" s="34" t="s">
        <v>101</v>
      </c>
    </row>
    <row r="351">
      <c r="A351" s="27">
        <v>7372.0</v>
      </c>
      <c r="B351" s="28">
        <v>146857.0</v>
      </c>
      <c r="C351" s="29" t="s">
        <v>94</v>
      </c>
      <c r="D351" s="29" t="s">
        <v>1005</v>
      </c>
      <c r="E351" s="29" t="s">
        <v>1006</v>
      </c>
      <c r="F351" s="29" t="s">
        <v>1007</v>
      </c>
      <c r="G351" s="29" t="s">
        <v>164</v>
      </c>
      <c r="H351" s="29" t="s">
        <v>165</v>
      </c>
      <c r="I351" s="29" t="s">
        <v>100</v>
      </c>
      <c r="J351" s="29" t="s">
        <v>44</v>
      </c>
      <c r="K351" s="30" t="s">
        <v>101</v>
      </c>
    </row>
    <row r="352">
      <c r="A352" s="31">
        <v>38954.0</v>
      </c>
      <c r="B352" s="32">
        <v>164079.0</v>
      </c>
      <c r="C352" s="33" t="s">
        <v>102</v>
      </c>
      <c r="D352" s="33" t="s">
        <v>1008</v>
      </c>
      <c r="E352" s="33" t="s">
        <v>1009</v>
      </c>
      <c r="F352" s="33" t="s">
        <v>1010</v>
      </c>
      <c r="G352" s="33" t="s">
        <v>221</v>
      </c>
      <c r="H352" s="33" t="s">
        <v>222</v>
      </c>
      <c r="I352" s="33" t="s">
        <v>100</v>
      </c>
      <c r="J352" s="33" t="s">
        <v>41</v>
      </c>
      <c r="K352" s="34" t="s">
        <v>101</v>
      </c>
    </row>
    <row r="353">
      <c r="A353" s="27">
        <v>25310.0</v>
      </c>
      <c r="B353" s="28">
        <v>46518.0</v>
      </c>
      <c r="C353" s="29" t="s">
        <v>102</v>
      </c>
      <c r="D353" s="29" t="s">
        <v>1011</v>
      </c>
      <c r="E353" s="29" t="s">
        <v>1012</v>
      </c>
      <c r="F353" s="29" t="s">
        <v>1013</v>
      </c>
      <c r="G353" s="29" t="s">
        <v>323</v>
      </c>
      <c r="H353" s="29" t="s">
        <v>493</v>
      </c>
      <c r="I353" s="29" t="s">
        <v>100</v>
      </c>
      <c r="J353" s="29" t="s">
        <v>41</v>
      </c>
      <c r="K353" s="30" t="s">
        <v>101</v>
      </c>
    </row>
    <row r="354">
      <c r="A354" s="31">
        <v>38327.0</v>
      </c>
      <c r="B354" s="32">
        <v>136614.0</v>
      </c>
      <c r="C354" s="33" t="s">
        <v>102</v>
      </c>
      <c r="D354" s="33" t="s">
        <v>1014</v>
      </c>
      <c r="E354" s="33" t="s">
        <v>1015</v>
      </c>
      <c r="F354" s="33" t="s">
        <v>1016</v>
      </c>
      <c r="G354" s="33" t="s">
        <v>130</v>
      </c>
      <c r="H354" s="36" t="s">
        <v>131</v>
      </c>
      <c r="I354" s="33" t="s">
        <v>100</v>
      </c>
      <c r="J354" s="33" t="s">
        <v>435</v>
      </c>
      <c r="K354" s="34" t="s">
        <v>281</v>
      </c>
    </row>
    <row r="355">
      <c r="A355" s="27">
        <v>7816.0</v>
      </c>
      <c r="B355" s="28">
        <v>129349.0</v>
      </c>
      <c r="C355" s="29" t="s">
        <v>102</v>
      </c>
      <c r="D355" s="29" t="s">
        <v>426</v>
      </c>
      <c r="E355" s="29" t="s">
        <v>1017</v>
      </c>
      <c r="F355" s="29" t="s">
        <v>1018</v>
      </c>
      <c r="G355" s="29" t="s">
        <v>198</v>
      </c>
      <c r="H355" s="29" t="s">
        <v>199</v>
      </c>
      <c r="I355" s="29" t="s">
        <v>100</v>
      </c>
      <c r="J355" s="29" t="s">
        <v>53</v>
      </c>
      <c r="K355" s="30" t="s">
        <v>101</v>
      </c>
    </row>
    <row r="356">
      <c r="A356" s="31">
        <v>38980.0</v>
      </c>
      <c r="B356" s="32">
        <v>168159.0</v>
      </c>
      <c r="C356" s="33" t="s">
        <v>94</v>
      </c>
      <c r="D356" s="33" t="s">
        <v>1019</v>
      </c>
      <c r="E356" s="33" t="s">
        <v>1017</v>
      </c>
      <c r="F356" s="33" t="s">
        <v>1020</v>
      </c>
      <c r="G356" s="33" t="s">
        <v>198</v>
      </c>
      <c r="H356" s="33" t="s">
        <v>199</v>
      </c>
      <c r="I356" s="33" t="s">
        <v>100</v>
      </c>
      <c r="J356" s="33" t="s">
        <v>62</v>
      </c>
      <c r="K356" s="34" t="s">
        <v>101</v>
      </c>
    </row>
    <row r="357">
      <c r="A357" s="27">
        <v>7668.0</v>
      </c>
      <c r="B357" s="28">
        <v>148814.0</v>
      </c>
      <c r="C357" s="29" t="s">
        <v>102</v>
      </c>
      <c r="D357" s="29" t="s">
        <v>392</v>
      </c>
      <c r="E357" s="29" t="s">
        <v>1021</v>
      </c>
      <c r="F357" s="29" t="s">
        <v>1022</v>
      </c>
      <c r="G357" s="29" t="s">
        <v>130</v>
      </c>
      <c r="H357" s="29" t="s">
        <v>172</v>
      </c>
      <c r="I357" s="29" t="s">
        <v>100</v>
      </c>
      <c r="J357" s="29" t="s">
        <v>59</v>
      </c>
      <c r="K357" s="30" t="s">
        <v>101</v>
      </c>
    </row>
    <row r="358">
      <c r="A358" s="31">
        <v>7676.0</v>
      </c>
      <c r="B358" s="32">
        <v>117037.0</v>
      </c>
      <c r="C358" s="33" t="s">
        <v>94</v>
      </c>
      <c r="D358" s="33" t="s">
        <v>810</v>
      </c>
      <c r="E358" s="33" t="s">
        <v>1021</v>
      </c>
      <c r="F358" s="33" t="s">
        <v>1023</v>
      </c>
      <c r="G358" s="33" t="s">
        <v>130</v>
      </c>
      <c r="H358" s="33" t="s">
        <v>172</v>
      </c>
      <c r="I358" s="33" t="s">
        <v>100</v>
      </c>
      <c r="J358" s="33" t="s">
        <v>68</v>
      </c>
      <c r="K358" s="34" t="s">
        <v>101</v>
      </c>
    </row>
    <row r="359">
      <c r="A359" s="27">
        <v>38968.0</v>
      </c>
      <c r="B359" s="28">
        <v>164096.0</v>
      </c>
      <c r="C359" s="29" t="s">
        <v>102</v>
      </c>
      <c r="D359" s="29" t="s">
        <v>1024</v>
      </c>
      <c r="E359" s="29" t="s">
        <v>1021</v>
      </c>
      <c r="F359" s="29" t="s">
        <v>1025</v>
      </c>
      <c r="G359" s="29" t="s">
        <v>119</v>
      </c>
      <c r="H359" s="29" t="s">
        <v>120</v>
      </c>
      <c r="I359" s="29" t="s">
        <v>100</v>
      </c>
      <c r="J359" s="29" t="s">
        <v>435</v>
      </c>
      <c r="K359" s="30" t="s">
        <v>281</v>
      </c>
    </row>
    <row r="360">
      <c r="A360" s="31">
        <v>16263.0</v>
      </c>
      <c r="B360" s="32">
        <v>115808.0</v>
      </c>
      <c r="C360" s="33" t="s">
        <v>102</v>
      </c>
      <c r="D360" s="33" t="s">
        <v>1026</v>
      </c>
      <c r="E360" s="33" t="s">
        <v>1027</v>
      </c>
      <c r="F360" s="33" t="s">
        <v>1028</v>
      </c>
      <c r="G360" s="33" t="s">
        <v>323</v>
      </c>
      <c r="H360" s="33" t="s">
        <v>417</v>
      </c>
      <c r="I360" s="33" t="s">
        <v>100</v>
      </c>
      <c r="J360" s="33" t="s">
        <v>56</v>
      </c>
      <c r="K360" s="34" t="s">
        <v>101</v>
      </c>
    </row>
    <row r="361">
      <c r="A361" s="27">
        <v>38946.0</v>
      </c>
      <c r="B361" s="28">
        <v>164069.0</v>
      </c>
      <c r="C361" s="29" t="s">
        <v>102</v>
      </c>
      <c r="D361" s="29" t="s">
        <v>212</v>
      </c>
      <c r="E361" s="29" t="s">
        <v>1029</v>
      </c>
      <c r="F361" s="29" t="s">
        <v>1030</v>
      </c>
      <c r="G361" s="29" t="s">
        <v>198</v>
      </c>
      <c r="H361" s="29" t="s">
        <v>544</v>
      </c>
      <c r="I361" s="29" t="s">
        <v>100</v>
      </c>
      <c r="J361" s="29" t="s">
        <v>41</v>
      </c>
      <c r="K361" s="30" t="s">
        <v>101</v>
      </c>
    </row>
    <row r="362">
      <c r="A362" s="31">
        <v>25760.0</v>
      </c>
      <c r="B362" s="32">
        <v>99239.0</v>
      </c>
      <c r="C362" s="33" t="s">
        <v>102</v>
      </c>
      <c r="D362" s="33" t="s">
        <v>984</v>
      </c>
      <c r="E362" s="33" t="s">
        <v>1031</v>
      </c>
      <c r="F362" s="33" t="s">
        <v>1032</v>
      </c>
      <c r="G362" s="33" t="s">
        <v>181</v>
      </c>
      <c r="H362" s="33" t="s">
        <v>182</v>
      </c>
      <c r="I362" s="33" t="s">
        <v>100</v>
      </c>
      <c r="J362" s="33" t="s">
        <v>41</v>
      </c>
      <c r="K362" s="34" t="s">
        <v>101</v>
      </c>
    </row>
    <row r="363">
      <c r="A363" s="27">
        <v>38360.0</v>
      </c>
      <c r="B363" s="28">
        <v>139142.0</v>
      </c>
      <c r="C363" s="29" t="s">
        <v>102</v>
      </c>
      <c r="D363" s="29" t="s">
        <v>405</v>
      </c>
      <c r="E363" s="29" t="s">
        <v>1033</v>
      </c>
      <c r="F363" s="29" t="s">
        <v>1034</v>
      </c>
      <c r="G363" s="29" t="s">
        <v>468</v>
      </c>
      <c r="H363" s="29" t="s">
        <v>469</v>
      </c>
      <c r="I363" s="29" t="s">
        <v>100</v>
      </c>
      <c r="J363" s="29" t="s">
        <v>41</v>
      </c>
      <c r="K363" s="30" t="s">
        <v>101</v>
      </c>
    </row>
    <row r="364">
      <c r="A364" s="31">
        <v>38891.0</v>
      </c>
      <c r="B364" s="32">
        <v>162042.0</v>
      </c>
      <c r="C364" s="33" t="s">
        <v>102</v>
      </c>
      <c r="D364" s="33" t="s">
        <v>432</v>
      </c>
      <c r="E364" s="33" t="s">
        <v>1035</v>
      </c>
      <c r="F364" s="33" t="s">
        <v>1036</v>
      </c>
      <c r="G364" s="33" t="s">
        <v>130</v>
      </c>
      <c r="H364" s="33" t="s">
        <v>211</v>
      </c>
      <c r="I364" s="33" t="s">
        <v>100</v>
      </c>
      <c r="J364" s="33" t="s">
        <v>41</v>
      </c>
      <c r="K364" s="34" t="s">
        <v>101</v>
      </c>
    </row>
    <row r="365">
      <c r="A365" s="27">
        <v>38046.0</v>
      </c>
      <c r="B365" s="28">
        <v>128196.0</v>
      </c>
      <c r="C365" s="29" t="s">
        <v>102</v>
      </c>
      <c r="D365" s="29" t="s">
        <v>1037</v>
      </c>
      <c r="E365" s="29" t="s">
        <v>1038</v>
      </c>
      <c r="F365" s="29" t="s">
        <v>1039</v>
      </c>
      <c r="G365" s="29" t="s">
        <v>198</v>
      </c>
      <c r="H365" s="29" t="s">
        <v>199</v>
      </c>
      <c r="I365" s="29" t="s">
        <v>100</v>
      </c>
      <c r="J365" s="29" t="s">
        <v>41</v>
      </c>
      <c r="K365" s="30" t="s">
        <v>101</v>
      </c>
    </row>
    <row r="366">
      <c r="A366" s="31">
        <v>25271.0</v>
      </c>
      <c r="B366" s="32">
        <v>46682.0</v>
      </c>
      <c r="C366" s="33" t="s">
        <v>102</v>
      </c>
      <c r="D366" s="33" t="s">
        <v>161</v>
      </c>
      <c r="E366" s="33" t="s">
        <v>1040</v>
      </c>
      <c r="F366" s="33" t="s">
        <v>1041</v>
      </c>
      <c r="G366" s="33" t="s">
        <v>198</v>
      </c>
      <c r="H366" s="33" t="s">
        <v>544</v>
      </c>
      <c r="I366" s="33" t="s">
        <v>100</v>
      </c>
      <c r="J366" s="33" t="s">
        <v>53</v>
      </c>
      <c r="K366" s="34" t="s">
        <v>101</v>
      </c>
    </row>
    <row r="367">
      <c r="A367" s="27">
        <v>16285.0</v>
      </c>
      <c r="B367" s="28">
        <v>116663.0</v>
      </c>
      <c r="C367" s="29" t="s">
        <v>102</v>
      </c>
      <c r="D367" s="29" t="s">
        <v>392</v>
      </c>
      <c r="E367" s="29" t="s">
        <v>1042</v>
      </c>
      <c r="F367" s="29" t="s">
        <v>1043</v>
      </c>
      <c r="G367" s="29" t="s">
        <v>408</v>
      </c>
      <c r="H367" s="29" t="s">
        <v>409</v>
      </c>
      <c r="I367" s="29" t="s">
        <v>100</v>
      </c>
      <c r="J367" s="29" t="s">
        <v>59</v>
      </c>
      <c r="K367" s="30" t="s">
        <v>101</v>
      </c>
    </row>
    <row r="368">
      <c r="A368" s="31">
        <v>25085.0</v>
      </c>
      <c r="B368" s="32">
        <v>33968.0</v>
      </c>
      <c r="C368" s="33" t="s">
        <v>102</v>
      </c>
      <c r="D368" s="33" t="s">
        <v>127</v>
      </c>
      <c r="E368" s="33" t="s">
        <v>1042</v>
      </c>
      <c r="F368" s="33" t="s">
        <v>1044</v>
      </c>
      <c r="G368" s="33" t="s">
        <v>190</v>
      </c>
      <c r="H368" s="33" t="s">
        <v>317</v>
      </c>
      <c r="I368" s="33" t="s">
        <v>100</v>
      </c>
      <c r="J368" s="33" t="s">
        <v>41</v>
      </c>
      <c r="K368" s="34" t="s">
        <v>101</v>
      </c>
    </row>
    <row r="369">
      <c r="A369" s="27">
        <v>10603.0</v>
      </c>
      <c r="B369" s="28">
        <v>148815.0</v>
      </c>
      <c r="C369" s="29" t="s">
        <v>102</v>
      </c>
      <c r="D369" s="29" t="s">
        <v>1045</v>
      </c>
      <c r="E369" s="29" t="s">
        <v>1046</v>
      </c>
      <c r="F369" s="29" t="s">
        <v>1047</v>
      </c>
      <c r="G369" s="29" t="s">
        <v>398</v>
      </c>
      <c r="H369" s="29" t="s">
        <v>399</v>
      </c>
      <c r="I369" s="29" t="s">
        <v>100</v>
      </c>
      <c r="J369" s="29" t="s">
        <v>41</v>
      </c>
      <c r="K369" s="30" t="s">
        <v>101</v>
      </c>
    </row>
    <row r="370">
      <c r="A370" s="31">
        <v>25749.0</v>
      </c>
      <c r="B370" s="32">
        <v>164061.0</v>
      </c>
      <c r="C370" s="33" t="s">
        <v>102</v>
      </c>
      <c r="D370" s="33" t="s">
        <v>272</v>
      </c>
      <c r="E370" s="33" t="s">
        <v>1048</v>
      </c>
      <c r="F370" s="33" t="s">
        <v>1049</v>
      </c>
      <c r="G370" s="33" t="s">
        <v>143</v>
      </c>
      <c r="H370" s="33" t="s">
        <v>144</v>
      </c>
      <c r="I370" s="33" t="s">
        <v>100</v>
      </c>
      <c r="J370" s="33" t="s">
        <v>47</v>
      </c>
      <c r="K370" s="34" t="s">
        <v>101</v>
      </c>
    </row>
    <row r="371">
      <c r="A371" s="27">
        <v>25550.0</v>
      </c>
      <c r="B371" s="28">
        <v>70546.0</v>
      </c>
      <c r="C371" s="29" t="s">
        <v>94</v>
      </c>
      <c r="D371" s="29" t="s">
        <v>303</v>
      </c>
      <c r="E371" s="29" t="s">
        <v>1048</v>
      </c>
      <c r="F371" s="29" t="s">
        <v>1050</v>
      </c>
      <c r="G371" s="29" t="s">
        <v>143</v>
      </c>
      <c r="H371" s="29" t="s">
        <v>144</v>
      </c>
      <c r="I371" s="29" t="s">
        <v>100</v>
      </c>
      <c r="J371" s="29" t="s">
        <v>44</v>
      </c>
      <c r="K371" s="30" t="s">
        <v>101</v>
      </c>
    </row>
    <row r="372">
      <c r="A372" s="31">
        <v>25549.0</v>
      </c>
      <c r="B372" s="32">
        <v>70544.0</v>
      </c>
      <c r="C372" s="33" t="s">
        <v>102</v>
      </c>
      <c r="D372" s="33" t="s">
        <v>195</v>
      </c>
      <c r="E372" s="33" t="s">
        <v>1048</v>
      </c>
      <c r="F372" s="33" t="s">
        <v>1051</v>
      </c>
      <c r="G372" s="33" t="s">
        <v>143</v>
      </c>
      <c r="H372" s="33" t="s">
        <v>144</v>
      </c>
      <c r="I372" s="33" t="s">
        <v>100</v>
      </c>
      <c r="J372" s="33" t="s">
        <v>56</v>
      </c>
      <c r="K372" s="34" t="s">
        <v>101</v>
      </c>
    </row>
    <row r="373">
      <c r="A373" s="27">
        <v>25748.0</v>
      </c>
      <c r="B373" s="28">
        <v>87018.0</v>
      </c>
      <c r="C373" s="29" t="s">
        <v>102</v>
      </c>
      <c r="D373" s="29" t="s">
        <v>1052</v>
      </c>
      <c r="E373" s="29" t="s">
        <v>1048</v>
      </c>
      <c r="F373" s="29" t="s">
        <v>1053</v>
      </c>
      <c r="G373" s="29" t="s">
        <v>143</v>
      </c>
      <c r="H373" s="29" t="s">
        <v>144</v>
      </c>
      <c r="I373" s="29" t="s">
        <v>100</v>
      </c>
      <c r="J373" s="29" t="s">
        <v>41</v>
      </c>
      <c r="K373" s="30" t="s">
        <v>101</v>
      </c>
    </row>
    <row r="374">
      <c r="A374" s="31">
        <v>16533.0</v>
      </c>
      <c r="B374" s="32">
        <v>111907.0</v>
      </c>
      <c r="C374" s="33" t="s">
        <v>102</v>
      </c>
      <c r="D374" s="33" t="s">
        <v>308</v>
      </c>
      <c r="E374" s="33" t="s">
        <v>1054</v>
      </c>
      <c r="F374" s="33" t="s">
        <v>1055</v>
      </c>
      <c r="G374" s="33" t="s">
        <v>185</v>
      </c>
      <c r="H374" s="33" t="s">
        <v>186</v>
      </c>
      <c r="I374" s="33" t="s">
        <v>100</v>
      </c>
      <c r="J374" s="33" t="s">
        <v>41</v>
      </c>
      <c r="K374" s="34" t="s">
        <v>101</v>
      </c>
    </row>
    <row r="375">
      <c r="A375" s="27">
        <v>16324.0</v>
      </c>
      <c r="B375" s="28">
        <v>116727.0</v>
      </c>
      <c r="C375" s="29" t="s">
        <v>102</v>
      </c>
      <c r="D375" s="29" t="s">
        <v>1056</v>
      </c>
      <c r="E375" s="29" t="s">
        <v>1057</v>
      </c>
      <c r="F375" s="29" t="s">
        <v>1058</v>
      </c>
      <c r="G375" s="29" t="s">
        <v>164</v>
      </c>
      <c r="H375" s="29" t="s">
        <v>165</v>
      </c>
      <c r="I375" s="29" t="s">
        <v>100</v>
      </c>
      <c r="J375" s="29" t="s">
        <v>56</v>
      </c>
      <c r="K375" s="30" t="s">
        <v>101</v>
      </c>
    </row>
    <row r="376">
      <c r="A376" s="31">
        <v>25093.0</v>
      </c>
      <c r="B376" s="32">
        <v>36143.0</v>
      </c>
      <c r="C376" s="33" t="s">
        <v>102</v>
      </c>
      <c r="D376" s="33" t="s">
        <v>1059</v>
      </c>
      <c r="E376" s="33" t="s">
        <v>1060</v>
      </c>
      <c r="F376" s="33" t="s">
        <v>1061</v>
      </c>
      <c r="G376" s="33" t="s">
        <v>135</v>
      </c>
      <c r="H376" s="33" t="s">
        <v>294</v>
      </c>
      <c r="I376" s="33" t="s">
        <v>100</v>
      </c>
      <c r="J376" s="33" t="s">
        <v>53</v>
      </c>
      <c r="K376" s="34" t="s">
        <v>101</v>
      </c>
    </row>
    <row r="377">
      <c r="A377" s="27">
        <v>25425.0</v>
      </c>
      <c r="B377" s="28">
        <v>62947.0</v>
      </c>
      <c r="C377" s="29" t="s">
        <v>102</v>
      </c>
      <c r="D377" s="29" t="s">
        <v>204</v>
      </c>
      <c r="E377" s="29" t="s">
        <v>1062</v>
      </c>
      <c r="F377" s="29" t="s">
        <v>1063</v>
      </c>
      <c r="G377" s="29" t="s">
        <v>408</v>
      </c>
      <c r="H377" s="29" t="s">
        <v>409</v>
      </c>
      <c r="I377" s="29" t="s">
        <v>100</v>
      </c>
      <c r="J377" s="29" t="s">
        <v>41</v>
      </c>
      <c r="K377" s="30" t="s">
        <v>101</v>
      </c>
    </row>
    <row r="378">
      <c r="A378" s="31">
        <v>7341.0</v>
      </c>
      <c r="B378" s="32">
        <v>111169.0</v>
      </c>
      <c r="C378" s="33" t="s">
        <v>102</v>
      </c>
      <c r="D378" s="33" t="s">
        <v>109</v>
      </c>
      <c r="E378" s="33" t="s">
        <v>1064</v>
      </c>
      <c r="F378" s="33" t="s">
        <v>1065</v>
      </c>
      <c r="G378" s="33" t="s">
        <v>130</v>
      </c>
      <c r="H378" s="36" t="s">
        <v>131</v>
      </c>
      <c r="I378" s="33" t="s">
        <v>100</v>
      </c>
      <c r="J378" s="33" t="s">
        <v>41</v>
      </c>
      <c r="K378" s="34" t="s">
        <v>101</v>
      </c>
    </row>
    <row r="379">
      <c r="A379" s="27">
        <v>38763.0</v>
      </c>
      <c r="B379" s="28">
        <v>155288.0</v>
      </c>
      <c r="C379" s="29" t="s">
        <v>102</v>
      </c>
      <c r="D379" s="29" t="s">
        <v>392</v>
      </c>
      <c r="E379" s="29" t="s">
        <v>1066</v>
      </c>
      <c r="F379" s="29" t="s">
        <v>1067</v>
      </c>
      <c r="G379" s="29" t="s">
        <v>198</v>
      </c>
      <c r="H379" s="29" t="s">
        <v>544</v>
      </c>
      <c r="I379" s="29" t="s">
        <v>100</v>
      </c>
      <c r="J379" s="29" t="s">
        <v>41</v>
      </c>
      <c r="K379" s="30" t="s">
        <v>101</v>
      </c>
    </row>
    <row r="380">
      <c r="A380" s="31">
        <v>38963.0</v>
      </c>
      <c r="B380" s="32">
        <v>164090.0</v>
      </c>
      <c r="C380" s="33" t="s">
        <v>102</v>
      </c>
      <c r="D380" s="33" t="s">
        <v>1068</v>
      </c>
      <c r="E380" s="33" t="s">
        <v>1069</v>
      </c>
      <c r="F380" s="33" t="s">
        <v>1070</v>
      </c>
      <c r="G380" s="33" t="s">
        <v>207</v>
      </c>
      <c r="H380" s="33" t="s">
        <v>208</v>
      </c>
      <c r="I380" s="33" t="s">
        <v>100</v>
      </c>
      <c r="J380" s="33" t="s">
        <v>41</v>
      </c>
      <c r="K380" s="34" t="s">
        <v>101</v>
      </c>
    </row>
    <row r="381">
      <c r="A381" s="27">
        <v>7952.0</v>
      </c>
      <c r="B381" s="28">
        <v>116564.0</v>
      </c>
      <c r="C381" s="29" t="s">
        <v>94</v>
      </c>
      <c r="D381" s="29" t="s">
        <v>1071</v>
      </c>
      <c r="E381" s="29" t="s">
        <v>1069</v>
      </c>
      <c r="F381" s="29" t="s">
        <v>1072</v>
      </c>
      <c r="G381" s="29" t="s">
        <v>323</v>
      </c>
      <c r="H381" s="29" t="s">
        <v>493</v>
      </c>
      <c r="I381" s="29" t="s">
        <v>100</v>
      </c>
      <c r="J381" s="29" t="s">
        <v>68</v>
      </c>
      <c r="K381" s="30" t="s">
        <v>101</v>
      </c>
    </row>
    <row r="382">
      <c r="A382" s="31">
        <v>25138.0</v>
      </c>
      <c r="B382" s="32">
        <v>40622.0</v>
      </c>
      <c r="C382" s="33" t="s">
        <v>102</v>
      </c>
      <c r="D382" s="33" t="s">
        <v>1073</v>
      </c>
      <c r="E382" s="33" t="s">
        <v>1069</v>
      </c>
      <c r="F382" s="33" t="s">
        <v>1074</v>
      </c>
      <c r="G382" s="33" t="s">
        <v>98</v>
      </c>
      <c r="H382" s="33" t="s">
        <v>99</v>
      </c>
      <c r="I382" s="33" t="s">
        <v>100</v>
      </c>
      <c r="J382" s="33" t="s">
        <v>56</v>
      </c>
      <c r="K382" s="34" t="s">
        <v>101</v>
      </c>
    </row>
    <row r="383">
      <c r="A383" s="27">
        <v>38576.0</v>
      </c>
      <c r="B383" s="28">
        <v>146886.0</v>
      </c>
      <c r="C383" s="29" t="s">
        <v>102</v>
      </c>
      <c r="D383" s="29" t="s">
        <v>387</v>
      </c>
      <c r="E383" s="29" t="s">
        <v>1075</v>
      </c>
      <c r="F383" s="29" t="s">
        <v>1076</v>
      </c>
      <c r="G383" s="29" t="s">
        <v>270</v>
      </c>
      <c r="H383" s="29" t="s">
        <v>719</v>
      </c>
      <c r="I383" s="29" t="s">
        <v>100</v>
      </c>
      <c r="J383" s="29" t="s">
        <v>41</v>
      </c>
      <c r="K383" s="30" t="s">
        <v>101</v>
      </c>
    </row>
    <row r="384">
      <c r="A384" s="31">
        <v>38935.0</v>
      </c>
      <c r="B384" s="32">
        <v>164055.0</v>
      </c>
      <c r="C384" s="33" t="s">
        <v>102</v>
      </c>
      <c r="D384" s="33" t="s">
        <v>981</v>
      </c>
      <c r="E384" s="33" t="s">
        <v>1075</v>
      </c>
      <c r="F384" s="33" t="s">
        <v>1077</v>
      </c>
      <c r="G384" s="33" t="s">
        <v>135</v>
      </c>
      <c r="H384" s="33" t="s">
        <v>136</v>
      </c>
      <c r="I384" s="33" t="s">
        <v>100</v>
      </c>
      <c r="J384" s="33" t="s">
        <v>41</v>
      </c>
      <c r="K384" s="34" t="s">
        <v>101</v>
      </c>
    </row>
    <row r="385">
      <c r="A385" s="27">
        <v>38982.0</v>
      </c>
      <c r="B385" s="28">
        <v>168161.0</v>
      </c>
      <c r="C385" s="29" t="s">
        <v>102</v>
      </c>
      <c r="D385" s="29" t="s">
        <v>209</v>
      </c>
      <c r="E385" s="29" t="s">
        <v>1075</v>
      </c>
      <c r="F385" s="29" t="s">
        <v>1078</v>
      </c>
      <c r="G385" s="29" t="s">
        <v>135</v>
      </c>
      <c r="H385" s="29" t="s">
        <v>136</v>
      </c>
      <c r="I385" s="29" t="s">
        <v>100</v>
      </c>
      <c r="J385" s="29" t="s">
        <v>41</v>
      </c>
      <c r="K385" s="30" t="s">
        <v>101</v>
      </c>
    </row>
    <row r="386">
      <c r="A386" s="31">
        <v>25614.0</v>
      </c>
      <c r="B386" s="32">
        <v>162044.0</v>
      </c>
      <c r="C386" s="33" t="s">
        <v>102</v>
      </c>
      <c r="D386" s="33" t="s">
        <v>465</v>
      </c>
      <c r="E386" s="33" t="s">
        <v>1075</v>
      </c>
      <c r="F386" s="33" t="s">
        <v>1079</v>
      </c>
      <c r="G386" s="33" t="s">
        <v>135</v>
      </c>
      <c r="H386" s="33" t="s">
        <v>294</v>
      </c>
      <c r="I386" s="33" t="s">
        <v>100</v>
      </c>
      <c r="J386" s="33" t="s">
        <v>56</v>
      </c>
      <c r="K386" s="34" t="s">
        <v>101</v>
      </c>
    </row>
    <row r="387">
      <c r="A387" s="27">
        <v>38610.0</v>
      </c>
      <c r="B387" s="28">
        <v>146928.0</v>
      </c>
      <c r="C387" s="29" t="s">
        <v>102</v>
      </c>
      <c r="D387" s="29" t="s">
        <v>255</v>
      </c>
      <c r="E387" s="29" t="s">
        <v>1075</v>
      </c>
      <c r="F387" s="29" t="s">
        <v>1080</v>
      </c>
      <c r="G387" s="29" t="s">
        <v>130</v>
      </c>
      <c r="H387" s="29" t="s">
        <v>172</v>
      </c>
      <c r="I387" s="29" t="s">
        <v>100</v>
      </c>
      <c r="J387" s="29" t="s">
        <v>53</v>
      </c>
      <c r="K387" s="30" t="s">
        <v>101</v>
      </c>
    </row>
    <row r="388">
      <c r="A388" s="31">
        <v>38890.0</v>
      </c>
      <c r="B388" s="32">
        <v>162040.0</v>
      </c>
      <c r="C388" s="33" t="s">
        <v>94</v>
      </c>
      <c r="D388" s="33" t="s">
        <v>1081</v>
      </c>
      <c r="E388" s="33" t="s">
        <v>1082</v>
      </c>
      <c r="F388" s="33" t="s">
        <v>1083</v>
      </c>
      <c r="G388" s="33" t="s">
        <v>270</v>
      </c>
      <c r="H388" s="33" t="s">
        <v>374</v>
      </c>
      <c r="I388" s="33" t="s">
        <v>100</v>
      </c>
      <c r="J388" s="33" t="s">
        <v>290</v>
      </c>
      <c r="K388" s="34" t="s">
        <v>281</v>
      </c>
    </row>
    <row r="389">
      <c r="A389" s="27">
        <v>25540.0</v>
      </c>
      <c r="B389" s="28">
        <v>70333.0</v>
      </c>
      <c r="C389" s="29" t="s">
        <v>102</v>
      </c>
      <c r="D389" s="29" t="s">
        <v>103</v>
      </c>
      <c r="E389" s="29" t="s">
        <v>1084</v>
      </c>
      <c r="F389" s="29" t="s">
        <v>1085</v>
      </c>
      <c r="G389" s="29" t="s">
        <v>270</v>
      </c>
      <c r="H389" s="29" t="s">
        <v>374</v>
      </c>
      <c r="I389" s="29" t="s">
        <v>100</v>
      </c>
      <c r="J389" s="29" t="s">
        <v>41</v>
      </c>
      <c r="K389" s="30" t="s">
        <v>101</v>
      </c>
    </row>
    <row r="390">
      <c r="A390" s="31">
        <v>7883.0</v>
      </c>
      <c r="B390" s="32">
        <v>145625.0</v>
      </c>
      <c r="C390" s="33" t="s">
        <v>102</v>
      </c>
      <c r="D390" s="33" t="s">
        <v>1086</v>
      </c>
      <c r="E390" s="33" t="s">
        <v>1084</v>
      </c>
      <c r="F390" s="33" t="s">
        <v>1087</v>
      </c>
      <c r="G390" s="33" t="s">
        <v>270</v>
      </c>
      <c r="H390" s="33" t="s">
        <v>374</v>
      </c>
      <c r="I390" s="33" t="s">
        <v>100</v>
      </c>
      <c r="J390" s="33" t="s">
        <v>53</v>
      </c>
      <c r="K390" s="34" t="s">
        <v>101</v>
      </c>
    </row>
    <row r="391">
      <c r="A391" s="27">
        <v>38864.0</v>
      </c>
      <c r="B391" s="28">
        <v>162004.0</v>
      </c>
      <c r="C391" s="29" t="s">
        <v>94</v>
      </c>
      <c r="D391" s="29" t="s">
        <v>1005</v>
      </c>
      <c r="E391" s="29" t="s">
        <v>1088</v>
      </c>
      <c r="F391" s="29" t="s">
        <v>1089</v>
      </c>
      <c r="G391" s="29" t="s">
        <v>114</v>
      </c>
      <c r="H391" s="29" t="s">
        <v>115</v>
      </c>
      <c r="I391" s="29" t="s">
        <v>100</v>
      </c>
      <c r="J391" s="29" t="s">
        <v>50</v>
      </c>
      <c r="K391" s="30" t="s">
        <v>101</v>
      </c>
    </row>
    <row r="392">
      <c r="A392" s="31">
        <v>38305.0</v>
      </c>
      <c r="B392" s="32">
        <v>136381.0</v>
      </c>
      <c r="C392" s="33" t="s">
        <v>102</v>
      </c>
      <c r="D392" s="33" t="s">
        <v>245</v>
      </c>
      <c r="E392" s="33" t="s">
        <v>1088</v>
      </c>
      <c r="F392" s="33" t="s">
        <v>1090</v>
      </c>
      <c r="G392" s="33" t="s">
        <v>114</v>
      </c>
      <c r="H392" s="33" t="s">
        <v>115</v>
      </c>
      <c r="I392" s="33" t="s">
        <v>100</v>
      </c>
      <c r="J392" s="33" t="s">
        <v>41</v>
      </c>
      <c r="K392" s="34" t="s">
        <v>101</v>
      </c>
    </row>
    <row r="393">
      <c r="A393" s="27">
        <v>7018.0</v>
      </c>
      <c r="B393" s="28">
        <v>120982.0</v>
      </c>
      <c r="C393" s="29" t="s">
        <v>102</v>
      </c>
      <c r="D393" s="29" t="s">
        <v>1008</v>
      </c>
      <c r="E393" s="29" t="s">
        <v>1091</v>
      </c>
      <c r="F393" s="29" t="s">
        <v>1092</v>
      </c>
      <c r="G393" s="29" t="s">
        <v>98</v>
      </c>
      <c r="H393" s="29" t="s">
        <v>106</v>
      </c>
      <c r="I393" s="29" t="s">
        <v>100</v>
      </c>
      <c r="J393" s="29" t="s">
        <v>41</v>
      </c>
      <c r="K393" s="30" t="s">
        <v>101</v>
      </c>
    </row>
    <row r="394">
      <c r="A394" s="31">
        <v>7972.0</v>
      </c>
      <c r="B394" s="32">
        <v>162029.0</v>
      </c>
      <c r="C394" s="33" t="s">
        <v>94</v>
      </c>
      <c r="D394" s="33" t="s">
        <v>778</v>
      </c>
      <c r="E394" s="33" t="s">
        <v>1093</v>
      </c>
      <c r="F394" s="33" t="s">
        <v>1094</v>
      </c>
      <c r="G394" s="33" t="s">
        <v>323</v>
      </c>
      <c r="H394" s="33" t="s">
        <v>417</v>
      </c>
      <c r="I394" s="33" t="s">
        <v>100</v>
      </c>
      <c r="J394" s="33" t="s">
        <v>65</v>
      </c>
      <c r="K394" s="34" t="s">
        <v>101</v>
      </c>
    </row>
    <row r="395">
      <c r="A395" s="27">
        <v>7958.0</v>
      </c>
      <c r="B395" s="28">
        <v>111157.0</v>
      </c>
      <c r="C395" s="29" t="s">
        <v>102</v>
      </c>
      <c r="D395" s="29" t="s">
        <v>743</v>
      </c>
      <c r="E395" s="29" t="s">
        <v>1093</v>
      </c>
      <c r="F395" s="29" t="s">
        <v>1095</v>
      </c>
      <c r="G395" s="29" t="s">
        <v>323</v>
      </c>
      <c r="H395" s="29" t="s">
        <v>417</v>
      </c>
      <c r="I395" s="29" t="s">
        <v>100</v>
      </c>
      <c r="J395" s="29" t="s">
        <v>59</v>
      </c>
      <c r="K395" s="30" t="s">
        <v>101</v>
      </c>
    </row>
    <row r="396">
      <c r="A396" s="31">
        <v>25993.0</v>
      </c>
      <c r="B396" s="32">
        <v>117985.0</v>
      </c>
      <c r="C396" s="33" t="s">
        <v>102</v>
      </c>
      <c r="D396" s="33" t="s">
        <v>465</v>
      </c>
      <c r="E396" s="33" t="s">
        <v>1096</v>
      </c>
      <c r="F396" s="33" t="s">
        <v>1097</v>
      </c>
      <c r="G396" s="33" t="s">
        <v>130</v>
      </c>
      <c r="H396" s="33" t="s">
        <v>157</v>
      </c>
      <c r="I396" s="33" t="s">
        <v>100</v>
      </c>
      <c r="J396" s="33" t="s">
        <v>56</v>
      </c>
      <c r="K396" s="34" t="s">
        <v>101</v>
      </c>
    </row>
    <row r="397">
      <c r="A397" s="27">
        <v>25992.0</v>
      </c>
      <c r="B397" s="28">
        <v>117986.0</v>
      </c>
      <c r="C397" s="29" t="s">
        <v>94</v>
      </c>
      <c r="D397" s="29" t="s">
        <v>1098</v>
      </c>
      <c r="E397" s="29" t="s">
        <v>1096</v>
      </c>
      <c r="F397" s="29" t="s">
        <v>1099</v>
      </c>
      <c r="G397" s="29" t="s">
        <v>130</v>
      </c>
      <c r="H397" s="29" t="s">
        <v>157</v>
      </c>
      <c r="I397" s="29" t="s">
        <v>100</v>
      </c>
      <c r="J397" s="29" t="s">
        <v>65</v>
      </c>
      <c r="K397" s="30" t="s">
        <v>101</v>
      </c>
    </row>
    <row r="398">
      <c r="A398" s="31">
        <v>25097.0</v>
      </c>
      <c r="B398" s="32">
        <v>36146.0</v>
      </c>
      <c r="C398" s="33" t="s">
        <v>102</v>
      </c>
      <c r="D398" s="33" t="s">
        <v>1100</v>
      </c>
      <c r="E398" s="33" t="s">
        <v>1101</v>
      </c>
      <c r="F398" s="33" t="s">
        <v>1102</v>
      </c>
      <c r="G398" s="33" t="s">
        <v>135</v>
      </c>
      <c r="H398" s="33" t="s">
        <v>294</v>
      </c>
      <c r="I398" s="33" t="s">
        <v>100</v>
      </c>
      <c r="J398" s="33" t="s">
        <v>53</v>
      </c>
      <c r="K398" s="34" t="s">
        <v>101</v>
      </c>
    </row>
    <row r="399">
      <c r="A399" s="27">
        <v>7885.0</v>
      </c>
      <c r="B399" s="28">
        <v>142881.0</v>
      </c>
      <c r="C399" s="29" t="s">
        <v>102</v>
      </c>
      <c r="D399" s="29" t="s">
        <v>405</v>
      </c>
      <c r="E399" s="29" t="s">
        <v>1103</v>
      </c>
      <c r="F399" s="29" t="s">
        <v>1104</v>
      </c>
      <c r="G399" s="29" t="s">
        <v>130</v>
      </c>
      <c r="H399" s="35" t="s">
        <v>131</v>
      </c>
      <c r="I399" s="29" t="s">
        <v>100</v>
      </c>
      <c r="J399" s="29" t="s">
        <v>41</v>
      </c>
      <c r="K399" s="30" t="s">
        <v>101</v>
      </c>
    </row>
    <row r="400">
      <c r="A400" s="31">
        <v>7578.0</v>
      </c>
      <c r="B400" s="32">
        <v>99123.0</v>
      </c>
      <c r="C400" s="33" t="s">
        <v>94</v>
      </c>
      <c r="D400" s="33" t="s">
        <v>645</v>
      </c>
      <c r="E400" s="33" t="s">
        <v>1103</v>
      </c>
      <c r="F400" s="33" t="s">
        <v>1105</v>
      </c>
      <c r="G400" s="33" t="s">
        <v>130</v>
      </c>
      <c r="H400" s="36" t="s">
        <v>131</v>
      </c>
      <c r="I400" s="33" t="s">
        <v>100</v>
      </c>
      <c r="J400" s="33" t="s">
        <v>65</v>
      </c>
      <c r="K400" s="34" t="s">
        <v>101</v>
      </c>
    </row>
    <row r="401">
      <c r="A401" s="27">
        <v>7867.0</v>
      </c>
      <c r="B401" s="28">
        <v>145709.0</v>
      </c>
      <c r="C401" s="29" t="s">
        <v>102</v>
      </c>
      <c r="D401" s="29" t="s">
        <v>640</v>
      </c>
      <c r="E401" s="29" t="s">
        <v>1103</v>
      </c>
      <c r="F401" s="29" t="s">
        <v>1106</v>
      </c>
      <c r="G401" s="29" t="s">
        <v>130</v>
      </c>
      <c r="H401" s="35" t="s">
        <v>131</v>
      </c>
      <c r="I401" s="29" t="s">
        <v>100</v>
      </c>
      <c r="J401" s="29" t="s">
        <v>56</v>
      </c>
      <c r="K401" s="30" t="s">
        <v>101</v>
      </c>
    </row>
    <row r="402">
      <c r="A402" s="31">
        <v>16437.0</v>
      </c>
      <c r="B402" s="32">
        <v>112103.0</v>
      </c>
      <c r="C402" s="33" t="s">
        <v>102</v>
      </c>
      <c r="D402" s="33" t="s">
        <v>262</v>
      </c>
      <c r="E402" s="33" t="s">
        <v>1107</v>
      </c>
      <c r="F402" s="33" t="s">
        <v>1108</v>
      </c>
      <c r="G402" s="33" t="s">
        <v>257</v>
      </c>
      <c r="H402" s="33" t="s">
        <v>258</v>
      </c>
      <c r="I402" s="33" t="s">
        <v>100</v>
      </c>
      <c r="J402" s="33" t="s">
        <v>59</v>
      </c>
      <c r="K402" s="34" t="s">
        <v>101</v>
      </c>
    </row>
    <row r="403">
      <c r="A403" s="27">
        <v>38999.0</v>
      </c>
      <c r="B403" s="28">
        <v>168186.0</v>
      </c>
      <c r="C403" s="29" t="s">
        <v>102</v>
      </c>
      <c r="D403" s="29" t="s">
        <v>477</v>
      </c>
      <c r="E403" s="29" t="s">
        <v>1109</v>
      </c>
      <c r="F403" s="29" t="s">
        <v>1110</v>
      </c>
      <c r="G403" s="29" t="s">
        <v>198</v>
      </c>
      <c r="H403" s="29" t="s">
        <v>544</v>
      </c>
      <c r="I403" s="29" t="s">
        <v>100</v>
      </c>
      <c r="J403" s="29" t="s">
        <v>41</v>
      </c>
      <c r="K403" s="30" t="s">
        <v>101</v>
      </c>
    </row>
    <row r="404">
      <c r="A404" s="31">
        <v>38579.0</v>
      </c>
      <c r="B404" s="32">
        <v>146889.0</v>
      </c>
      <c r="C404" s="33" t="s">
        <v>94</v>
      </c>
      <c r="D404" s="33" t="s">
        <v>1111</v>
      </c>
      <c r="E404" s="33" t="s">
        <v>1112</v>
      </c>
      <c r="F404" s="33" t="s">
        <v>1113</v>
      </c>
      <c r="G404" s="33" t="s">
        <v>130</v>
      </c>
      <c r="H404" s="33" t="s">
        <v>241</v>
      </c>
      <c r="I404" s="33" t="s">
        <v>100</v>
      </c>
      <c r="J404" s="33" t="s">
        <v>44</v>
      </c>
      <c r="K404" s="34" t="s">
        <v>101</v>
      </c>
    </row>
    <row r="405">
      <c r="A405" s="27">
        <v>38045.0</v>
      </c>
      <c r="B405" s="28">
        <v>128198.0</v>
      </c>
      <c r="C405" s="29" t="s">
        <v>94</v>
      </c>
      <c r="D405" s="29" t="s">
        <v>1114</v>
      </c>
      <c r="E405" s="29" t="s">
        <v>1115</v>
      </c>
      <c r="F405" s="29" t="s">
        <v>1116</v>
      </c>
      <c r="G405" s="29" t="s">
        <v>198</v>
      </c>
      <c r="H405" s="29" t="s">
        <v>328</v>
      </c>
      <c r="I405" s="29" t="s">
        <v>100</v>
      </c>
      <c r="J405" s="29" t="s">
        <v>44</v>
      </c>
      <c r="K405" s="30" t="s">
        <v>101</v>
      </c>
    </row>
    <row r="406">
      <c r="A406" s="31">
        <v>38899.0</v>
      </c>
      <c r="B406" s="32">
        <v>162962.0</v>
      </c>
      <c r="C406" s="33" t="s">
        <v>94</v>
      </c>
      <c r="D406" s="33" t="s">
        <v>1117</v>
      </c>
      <c r="E406" s="33" t="s">
        <v>1118</v>
      </c>
      <c r="F406" s="33" t="s">
        <v>1119</v>
      </c>
      <c r="G406" s="33" t="s">
        <v>275</v>
      </c>
      <c r="H406" s="33" t="s">
        <v>276</v>
      </c>
      <c r="I406" s="33" t="s">
        <v>100</v>
      </c>
      <c r="J406" s="33" t="s">
        <v>44</v>
      </c>
      <c r="K406" s="34" t="s">
        <v>101</v>
      </c>
    </row>
    <row r="407">
      <c r="A407" s="27">
        <v>38873.0</v>
      </c>
      <c r="B407" s="28">
        <v>131988.0</v>
      </c>
      <c r="C407" s="29" t="s">
        <v>102</v>
      </c>
      <c r="D407" s="29" t="s">
        <v>400</v>
      </c>
      <c r="E407" s="29" t="s">
        <v>1120</v>
      </c>
      <c r="F407" s="29" t="s">
        <v>1121</v>
      </c>
      <c r="G407" s="29" t="s">
        <v>148</v>
      </c>
      <c r="H407" s="29" t="s">
        <v>149</v>
      </c>
      <c r="I407" s="29" t="s">
        <v>100</v>
      </c>
      <c r="J407" s="29" t="s">
        <v>56</v>
      </c>
      <c r="K407" s="30" t="s">
        <v>101</v>
      </c>
    </row>
    <row r="408">
      <c r="A408" s="31">
        <v>16184.0</v>
      </c>
      <c r="B408" s="32">
        <v>139427.0</v>
      </c>
      <c r="C408" s="33" t="s">
        <v>102</v>
      </c>
      <c r="D408" s="33" t="s">
        <v>400</v>
      </c>
      <c r="E408" s="33" t="s">
        <v>1122</v>
      </c>
      <c r="F408" s="33" t="s">
        <v>1123</v>
      </c>
      <c r="G408" s="33" t="s">
        <v>130</v>
      </c>
      <c r="H408" s="33" t="s">
        <v>157</v>
      </c>
      <c r="I408" s="33" t="s">
        <v>100</v>
      </c>
      <c r="J408" s="33" t="s">
        <v>59</v>
      </c>
      <c r="K408" s="34" t="s">
        <v>101</v>
      </c>
    </row>
    <row r="409">
      <c r="A409" s="27">
        <v>7181.0</v>
      </c>
      <c r="B409" s="28">
        <v>114509.0</v>
      </c>
      <c r="C409" s="29" t="s">
        <v>102</v>
      </c>
      <c r="D409" s="29" t="s">
        <v>1073</v>
      </c>
      <c r="E409" s="29" t="s">
        <v>1124</v>
      </c>
      <c r="F409" s="29" t="s">
        <v>1125</v>
      </c>
      <c r="G409" s="29" t="s">
        <v>412</v>
      </c>
      <c r="H409" s="29" t="s">
        <v>413</v>
      </c>
      <c r="I409" s="29" t="s">
        <v>100</v>
      </c>
      <c r="J409" s="29" t="s">
        <v>59</v>
      </c>
      <c r="K409" s="30" t="s">
        <v>101</v>
      </c>
    </row>
    <row r="410">
      <c r="A410" s="31">
        <v>10622.0</v>
      </c>
      <c r="B410" s="32">
        <v>148785.0</v>
      </c>
      <c r="C410" s="33" t="s">
        <v>102</v>
      </c>
      <c r="D410" s="33" t="s">
        <v>209</v>
      </c>
      <c r="E410" s="33" t="s">
        <v>1126</v>
      </c>
      <c r="F410" s="33" t="s">
        <v>1127</v>
      </c>
      <c r="G410" s="33" t="s">
        <v>408</v>
      </c>
      <c r="H410" s="33" t="s">
        <v>409</v>
      </c>
      <c r="I410" s="33" t="s">
        <v>100</v>
      </c>
      <c r="J410" s="33" t="s">
        <v>41</v>
      </c>
      <c r="K410" s="34" t="s">
        <v>101</v>
      </c>
    </row>
    <row r="411">
      <c r="A411" s="27">
        <v>16325.0</v>
      </c>
      <c r="B411" s="28">
        <v>116729.0</v>
      </c>
      <c r="C411" s="29" t="s">
        <v>102</v>
      </c>
      <c r="D411" s="29" t="s">
        <v>1128</v>
      </c>
      <c r="E411" s="29" t="s">
        <v>1129</v>
      </c>
      <c r="F411" s="29" t="s">
        <v>1130</v>
      </c>
      <c r="G411" s="29" t="s">
        <v>264</v>
      </c>
      <c r="H411" s="29" t="s">
        <v>265</v>
      </c>
      <c r="I411" s="29" t="s">
        <v>100</v>
      </c>
      <c r="J411" s="29" t="s">
        <v>56</v>
      </c>
      <c r="K411" s="30" t="s">
        <v>101</v>
      </c>
    </row>
    <row r="412">
      <c r="A412" s="31">
        <v>16456.0</v>
      </c>
      <c r="B412" s="32">
        <v>109458.0</v>
      </c>
      <c r="C412" s="33" t="s">
        <v>102</v>
      </c>
      <c r="D412" s="33" t="s">
        <v>336</v>
      </c>
      <c r="E412" s="33" t="s">
        <v>1131</v>
      </c>
      <c r="F412" s="33" t="s">
        <v>1132</v>
      </c>
      <c r="G412" s="33" t="s">
        <v>135</v>
      </c>
      <c r="H412" s="33" t="s">
        <v>294</v>
      </c>
      <c r="I412" s="33" t="s">
        <v>100</v>
      </c>
      <c r="J412" s="33" t="s">
        <v>59</v>
      </c>
      <c r="K412" s="34" t="s">
        <v>101</v>
      </c>
    </row>
    <row r="413">
      <c r="A413" s="27">
        <v>25302.0</v>
      </c>
      <c r="B413" s="28">
        <v>47990.0</v>
      </c>
      <c r="C413" s="29" t="s">
        <v>102</v>
      </c>
      <c r="D413" s="29" t="s">
        <v>560</v>
      </c>
      <c r="E413" s="29" t="s">
        <v>1133</v>
      </c>
      <c r="F413" s="29" t="s">
        <v>1134</v>
      </c>
      <c r="G413" s="29" t="s">
        <v>270</v>
      </c>
      <c r="H413" s="29" t="s">
        <v>719</v>
      </c>
      <c r="I413" s="29" t="s">
        <v>100</v>
      </c>
      <c r="J413" s="29" t="s">
        <v>53</v>
      </c>
      <c r="K413" s="30" t="s">
        <v>101</v>
      </c>
    </row>
    <row r="414">
      <c r="A414" s="31">
        <v>38868.0</v>
      </c>
      <c r="B414" s="32">
        <v>162010.0</v>
      </c>
      <c r="C414" s="33" t="s">
        <v>94</v>
      </c>
      <c r="D414" s="33" t="s">
        <v>1135</v>
      </c>
      <c r="E414" s="33" t="s">
        <v>1133</v>
      </c>
      <c r="F414" s="33" t="s">
        <v>1136</v>
      </c>
      <c r="G414" s="33" t="s">
        <v>270</v>
      </c>
      <c r="H414" s="33" t="s">
        <v>374</v>
      </c>
      <c r="I414" s="33" t="s">
        <v>100</v>
      </c>
      <c r="J414" s="33" t="s">
        <v>50</v>
      </c>
      <c r="K414" s="34" t="s">
        <v>101</v>
      </c>
    </row>
    <row r="415">
      <c r="A415" s="27">
        <v>46001.0</v>
      </c>
      <c r="B415" s="28">
        <v>183175.0</v>
      </c>
      <c r="C415" s="29" t="s">
        <v>94</v>
      </c>
      <c r="D415" s="29" t="s">
        <v>1137</v>
      </c>
      <c r="E415" s="29" t="s">
        <v>1138</v>
      </c>
      <c r="F415" s="29" t="s">
        <v>1139</v>
      </c>
      <c r="G415" s="29" t="s">
        <v>135</v>
      </c>
      <c r="H415" s="29" t="s">
        <v>1140</v>
      </c>
      <c r="I415" s="29" t="s">
        <v>100</v>
      </c>
      <c r="J415" s="29" t="s">
        <v>50</v>
      </c>
      <c r="K415" s="30" t="s">
        <v>101</v>
      </c>
    </row>
    <row r="416">
      <c r="A416" s="31">
        <v>38885.0</v>
      </c>
      <c r="B416" s="32">
        <v>162034.0</v>
      </c>
      <c r="C416" s="33" t="s">
        <v>102</v>
      </c>
      <c r="D416" s="33" t="s">
        <v>387</v>
      </c>
      <c r="E416" s="33" t="s">
        <v>1141</v>
      </c>
      <c r="F416" s="33" t="s">
        <v>1142</v>
      </c>
      <c r="G416" s="33" t="s">
        <v>181</v>
      </c>
      <c r="H416" s="33" t="s">
        <v>229</v>
      </c>
      <c r="I416" s="33" t="s">
        <v>100</v>
      </c>
      <c r="J416" s="33" t="s">
        <v>41</v>
      </c>
      <c r="K416" s="34" t="s">
        <v>101</v>
      </c>
    </row>
    <row r="417">
      <c r="A417" s="27">
        <v>7322.0</v>
      </c>
      <c r="B417" s="28">
        <v>107390.0</v>
      </c>
      <c r="C417" s="29" t="s">
        <v>94</v>
      </c>
      <c r="D417" s="29" t="s">
        <v>1143</v>
      </c>
      <c r="E417" s="29" t="s">
        <v>1144</v>
      </c>
      <c r="F417" s="29" t="s">
        <v>1145</v>
      </c>
      <c r="G417" s="29" t="s">
        <v>214</v>
      </c>
      <c r="H417" s="29" t="s">
        <v>215</v>
      </c>
      <c r="I417" s="29" t="s">
        <v>100</v>
      </c>
      <c r="J417" s="29" t="s">
        <v>62</v>
      </c>
      <c r="K417" s="30" t="s">
        <v>101</v>
      </c>
    </row>
    <row r="418">
      <c r="A418" s="31">
        <v>38510.0</v>
      </c>
      <c r="B418" s="32">
        <v>144578.0</v>
      </c>
      <c r="C418" s="33" t="s">
        <v>102</v>
      </c>
      <c r="D418" s="33" t="s">
        <v>1146</v>
      </c>
      <c r="E418" s="33" t="s">
        <v>1144</v>
      </c>
      <c r="F418" s="33" t="s">
        <v>1147</v>
      </c>
      <c r="G418" s="33" t="s">
        <v>214</v>
      </c>
      <c r="H418" s="33" t="s">
        <v>215</v>
      </c>
      <c r="I418" s="33" t="s">
        <v>100</v>
      </c>
      <c r="J418" s="33" t="s">
        <v>41</v>
      </c>
      <c r="K418" s="34" t="s">
        <v>101</v>
      </c>
    </row>
    <row r="419">
      <c r="A419" s="27">
        <v>7309.0</v>
      </c>
      <c r="B419" s="28">
        <v>124805.0</v>
      </c>
      <c r="C419" s="29" t="s">
        <v>102</v>
      </c>
      <c r="D419" s="29" t="s">
        <v>1148</v>
      </c>
      <c r="E419" s="29" t="s">
        <v>1144</v>
      </c>
      <c r="F419" s="29" t="s">
        <v>1149</v>
      </c>
      <c r="G419" s="29" t="s">
        <v>214</v>
      </c>
      <c r="H419" s="29" t="s">
        <v>215</v>
      </c>
      <c r="I419" s="29" t="s">
        <v>100</v>
      </c>
      <c r="J419" s="29" t="s">
        <v>56</v>
      </c>
      <c r="K419" s="30" t="s">
        <v>101</v>
      </c>
    </row>
    <row r="420">
      <c r="A420" s="31">
        <v>38218.0</v>
      </c>
      <c r="B420" s="32">
        <v>132203.0</v>
      </c>
      <c r="C420" s="33" t="s">
        <v>102</v>
      </c>
      <c r="D420" s="33" t="s">
        <v>245</v>
      </c>
      <c r="E420" s="33" t="s">
        <v>1150</v>
      </c>
      <c r="F420" s="33" t="s">
        <v>1151</v>
      </c>
      <c r="G420" s="33" t="s">
        <v>214</v>
      </c>
      <c r="H420" s="33" t="s">
        <v>215</v>
      </c>
      <c r="I420" s="33" t="s">
        <v>100</v>
      </c>
      <c r="J420" s="33" t="s">
        <v>41</v>
      </c>
      <c r="K420" s="34" t="s">
        <v>101</v>
      </c>
    </row>
    <row r="421">
      <c r="A421" s="27">
        <v>25525.0</v>
      </c>
      <c r="B421" s="28">
        <v>66190.0</v>
      </c>
      <c r="C421" s="29" t="s">
        <v>102</v>
      </c>
      <c r="D421" s="29" t="s">
        <v>209</v>
      </c>
      <c r="E421" s="29" t="s">
        <v>1152</v>
      </c>
      <c r="F421" s="29" t="s">
        <v>1153</v>
      </c>
      <c r="G421" s="29" t="s">
        <v>130</v>
      </c>
      <c r="H421" s="29" t="s">
        <v>211</v>
      </c>
      <c r="I421" s="29" t="s">
        <v>100</v>
      </c>
      <c r="J421" s="29" t="s">
        <v>41</v>
      </c>
      <c r="K421" s="30" t="s">
        <v>101</v>
      </c>
    </row>
    <row r="422">
      <c r="A422" s="31">
        <v>7753.0</v>
      </c>
      <c r="B422" s="32">
        <v>146940.0</v>
      </c>
      <c r="C422" s="33" t="s">
        <v>94</v>
      </c>
      <c r="D422" s="33" t="s">
        <v>1154</v>
      </c>
      <c r="E422" s="33" t="s">
        <v>1152</v>
      </c>
      <c r="F422" s="33" t="s">
        <v>1155</v>
      </c>
      <c r="G422" s="33" t="s">
        <v>135</v>
      </c>
      <c r="H422" s="33" t="s">
        <v>203</v>
      </c>
      <c r="I422" s="33" t="s">
        <v>100</v>
      </c>
      <c r="J422" s="33" t="s">
        <v>65</v>
      </c>
      <c r="K422" s="34" t="s">
        <v>101</v>
      </c>
    </row>
    <row r="423">
      <c r="A423" s="27">
        <v>25923.0</v>
      </c>
      <c r="B423" s="28">
        <v>111365.0</v>
      </c>
      <c r="C423" s="29" t="s">
        <v>102</v>
      </c>
      <c r="D423" s="29" t="s">
        <v>255</v>
      </c>
      <c r="E423" s="29" t="s">
        <v>1156</v>
      </c>
      <c r="F423" s="29" t="s">
        <v>1157</v>
      </c>
      <c r="G423" s="29" t="s">
        <v>135</v>
      </c>
      <c r="H423" s="29" t="s">
        <v>136</v>
      </c>
      <c r="I423" s="29" t="s">
        <v>100</v>
      </c>
      <c r="J423" s="29" t="s">
        <v>41</v>
      </c>
      <c r="K423" s="30" t="s">
        <v>101</v>
      </c>
    </row>
    <row r="424">
      <c r="A424" s="31">
        <v>25524.0</v>
      </c>
      <c r="B424" s="32">
        <v>153872.0</v>
      </c>
      <c r="C424" s="33" t="s">
        <v>102</v>
      </c>
      <c r="D424" s="33" t="s">
        <v>1158</v>
      </c>
      <c r="E424" s="33" t="s">
        <v>1159</v>
      </c>
      <c r="F424" s="33" t="s">
        <v>1160</v>
      </c>
      <c r="G424" s="33" t="s">
        <v>130</v>
      </c>
      <c r="H424" s="33" t="s">
        <v>157</v>
      </c>
      <c r="I424" s="33" t="s">
        <v>100</v>
      </c>
      <c r="J424" s="33" t="s">
        <v>41</v>
      </c>
      <c r="K424" s="34" t="s">
        <v>101</v>
      </c>
    </row>
    <row r="425">
      <c r="A425" s="27">
        <v>38947.0</v>
      </c>
      <c r="B425" s="28">
        <v>164070.0</v>
      </c>
      <c r="C425" s="29" t="s">
        <v>102</v>
      </c>
      <c r="D425" s="29" t="s">
        <v>132</v>
      </c>
      <c r="E425" s="29" t="s">
        <v>1161</v>
      </c>
      <c r="F425" s="29" t="s">
        <v>1162</v>
      </c>
      <c r="G425" s="29" t="s">
        <v>323</v>
      </c>
      <c r="H425" s="29" t="s">
        <v>417</v>
      </c>
      <c r="I425" s="29" t="s">
        <v>100</v>
      </c>
      <c r="J425" s="29" t="s">
        <v>41</v>
      </c>
      <c r="K425" s="30" t="s">
        <v>101</v>
      </c>
    </row>
    <row r="426">
      <c r="A426" s="31">
        <v>38363.0</v>
      </c>
      <c r="B426" s="32">
        <v>136777.0</v>
      </c>
      <c r="C426" s="33" t="s">
        <v>102</v>
      </c>
      <c r="D426" s="33" t="s">
        <v>891</v>
      </c>
      <c r="E426" s="33" t="s">
        <v>1163</v>
      </c>
      <c r="F426" s="33" t="s">
        <v>1164</v>
      </c>
      <c r="G426" s="33" t="s">
        <v>207</v>
      </c>
      <c r="H426" s="33" t="s">
        <v>208</v>
      </c>
      <c r="I426" s="33" t="s">
        <v>100</v>
      </c>
      <c r="J426" s="33" t="s">
        <v>41</v>
      </c>
      <c r="K426" s="34" t="s">
        <v>101</v>
      </c>
    </row>
    <row r="427">
      <c r="A427" s="27">
        <v>38337.0</v>
      </c>
      <c r="B427" s="28">
        <v>136689.0</v>
      </c>
      <c r="C427" s="29" t="s">
        <v>102</v>
      </c>
      <c r="D427" s="29" t="s">
        <v>1165</v>
      </c>
      <c r="E427" s="29" t="s">
        <v>1166</v>
      </c>
      <c r="F427" s="29" t="s">
        <v>1167</v>
      </c>
      <c r="G427" s="29" t="s">
        <v>114</v>
      </c>
      <c r="H427" s="29" t="s">
        <v>115</v>
      </c>
      <c r="I427" s="29" t="s">
        <v>100</v>
      </c>
      <c r="J427" s="29" t="s">
        <v>47</v>
      </c>
      <c r="K427" s="30" t="s">
        <v>101</v>
      </c>
    </row>
    <row r="428">
      <c r="A428" s="31">
        <v>7253.0</v>
      </c>
      <c r="B428" s="32">
        <v>136416.0</v>
      </c>
      <c r="C428" s="33" t="s">
        <v>102</v>
      </c>
      <c r="D428" s="33" t="s">
        <v>602</v>
      </c>
      <c r="E428" s="33" t="s">
        <v>1166</v>
      </c>
      <c r="F428" s="33" t="s">
        <v>1168</v>
      </c>
      <c r="G428" s="33" t="s">
        <v>114</v>
      </c>
      <c r="H428" s="33" t="s">
        <v>115</v>
      </c>
      <c r="I428" s="33" t="s">
        <v>100</v>
      </c>
      <c r="J428" s="33" t="s">
        <v>53</v>
      </c>
      <c r="K428" s="34" t="s">
        <v>101</v>
      </c>
    </row>
    <row r="429">
      <c r="A429" s="27">
        <v>38860.0</v>
      </c>
      <c r="B429" s="28">
        <v>162003.0</v>
      </c>
      <c r="C429" s="29" t="s">
        <v>102</v>
      </c>
      <c r="D429" s="29" t="s">
        <v>1037</v>
      </c>
      <c r="E429" s="29" t="s">
        <v>1169</v>
      </c>
      <c r="F429" s="29" t="s">
        <v>1170</v>
      </c>
      <c r="G429" s="29" t="s">
        <v>114</v>
      </c>
      <c r="H429" s="29" t="s">
        <v>115</v>
      </c>
      <c r="I429" s="29" t="s">
        <v>100</v>
      </c>
      <c r="J429" s="29" t="s">
        <v>41</v>
      </c>
      <c r="K429" s="30" t="s">
        <v>101</v>
      </c>
    </row>
    <row r="430">
      <c r="A430" s="31">
        <v>38604.0</v>
      </c>
      <c r="B430" s="32">
        <v>146920.0</v>
      </c>
      <c r="C430" s="33" t="s">
        <v>102</v>
      </c>
      <c r="D430" s="33" t="s">
        <v>230</v>
      </c>
      <c r="E430" s="33" t="s">
        <v>1171</v>
      </c>
      <c r="F430" s="33" t="s">
        <v>1172</v>
      </c>
      <c r="G430" s="33" t="s">
        <v>135</v>
      </c>
      <c r="H430" s="33" t="s">
        <v>531</v>
      </c>
      <c r="I430" s="33" t="s">
        <v>100</v>
      </c>
      <c r="J430" s="33" t="s">
        <v>41</v>
      </c>
      <c r="K430" s="34" t="s">
        <v>101</v>
      </c>
    </row>
    <row r="431">
      <c r="A431" s="27">
        <v>18802.0</v>
      </c>
      <c r="B431" s="28">
        <v>146059.0</v>
      </c>
      <c r="C431" s="29" t="s">
        <v>102</v>
      </c>
      <c r="D431" s="29" t="s">
        <v>333</v>
      </c>
      <c r="E431" s="29" t="s">
        <v>1173</v>
      </c>
      <c r="F431" s="29" t="s">
        <v>1174</v>
      </c>
      <c r="G431" s="29" t="s">
        <v>198</v>
      </c>
      <c r="H431" s="29" t="s">
        <v>353</v>
      </c>
      <c r="I431" s="29" t="s">
        <v>100</v>
      </c>
      <c r="J431" s="29" t="s">
        <v>53</v>
      </c>
      <c r="K431" s="30" t="s">
        <v>101</v>
      </c>
    </row>
    <row r="432">
      <c r="A432" s="31">
        <v>7879.0</v>
      </c>
      <c r="B432" s="32">
        <v>99227.0</v>
      </c>
      <c r="C432" s="33" t="s">
        <v>102</v>
      </c>
      <c r="D432" s="33" t="s">
        <v>255</v>
      </c>
      <c r="E432" s="33" t="s">
        <v>1175</v>
      </c>
      <c r="F432" s="33" t="s">
        <v>1176</v>
      </c>
      <c r="G432" s="33" t="s">
        <v>270</v>
      </c>
      <c r="H432" s="33" t="s">
        <v>374</v>
      </c>
      <c r="I432" s="33" t="s">
        <v>100</v>
      </c>
      <c r="J432" s="33" t="s">
        <v>41</v>
      </c>
      <c r="K432" s="34" t="s">
        <v>101</v>
      </c>
    </row>
    <row r="433">
      <c r="A433" s="27">
        <v>16401.0</v>
      </c>
      <c r="B433" s="28">
        <v>70255.0</v>
      </c>
      <c r="C433" s="29" t="s">
        <v>102</v>
      </c>
      <c r="D433" s="29" t="s">
        <v>1177</v>
      </c>
      <c r="E433" s="29" t="s">
        <v>1178</v>
      </c>
      <c r="F433" s="29" t="s">
        <v>1179</v>
      </c>
      <c r="G433" s="29" t="s">
        <v>130</v>
      </c>
      <c r="H433" s="29" t="s">
        <v>211</v>
      </c>
      <c r="I433" s="29" t="s">
        <v>100</v>
      </c>
      <c r="J433" s="29" t="s">
        <v>53</v>
      </c>
      <c r="K433" s="30" t="s">
        <v>101</v>
      </c>
    </row>
    <row r="434">
      <c r="A434" s="31">
        <v>25944.0</v>
      </c>
      <c r="B434" s="32">
        <v>111764.0</v>
      </c>
      <c r="C434" s="33" t="s">
        <v>102</v>
      </c>
      <c r="D434" s="33" t="s">
        <v>1180</v>
      </c>
      <c r="E434" s="33" t="s">
        <v>1181</v>
      </c>
      <c r="F434" s="33" t="s">
        <v>1182</v>
      </c>
      <c r="G434" s="33" t="s">
        <v>496</v>
      </c>
      <c r="H434" s="33" t="s">
        <v>497</v>
      </c>
      <c r="I434" s="33" t="s">
        <v>100</v>
      </c>
      <c r="J434" s="33" t="s">
        <v>56</v>
      </c>
      <c r="K434" s="34" t="s">
        <v>101</v>
      </c>
    </row>
    <row r="435">
      <c r="A435" s="27">
        <v>16977.0</v>
      </c>
      <c r="B435" s="28">
        <v>29296.0</v>
      </c>
      <c r="C435" s="29" t="s">
        <v>102</v>
      </c>
      <c r="D435" s="29" t="s">
        <v>132</v>
      </c>
      <c r="E435" s="29" t="s">
        <v>1181</v>
      </c>
      <c r="F435" s="29" t="s">
        <v>1183</v>
      </c>
      <c r="G435" s="29" t="s">
        <v>323</v>
      </c>
      <c r="H435" s="29" t="s">
        <v>324</v>
      </c>
      <c r="I435" s="29" t="s">
        <v>100</v>
      </c>
      <c r="J435" s="29" t="s">
        <v>41</v>
      </c>
      <c r="K435" s="30" t="s">
        <v>101</v>
      </c>
    </row>
    <row r="436">
      <c r="A436" s="31">
        <v>16002.0</v>
      </c>
      <c r="B436" s="32">
        <v>125210.0</v>
      </c>
      <c r="C436" s="33" t="s">
        <v>102</v>
      </c>
      <c r="D436" s="33" t="s">
        <v>1184</v>
      </c>
      <c r="E436" s="33" t="s">
        <v>1185</v>
      </c>
      <c r="F436" s="33" t="s">
        <v>1186</v>
      </c>
      <c r="G436" s="33" t="s">
        <v>98</v>
      </c>
      <c r="H436" s="33" t="s">
        <v>106</v>
      </c>
      <c r="I436" s="33" t="s">
        <v>100</v>
      </c>
      <c r="J436" s="33" t="s">
        <v>56</v>
      </c>
      <c r="K436" s="34" t="s">
        <v>101</v>
      </c>
    </row>
    <row r="437">
      <c r="A437" s="27">
        <v>25615.0</v>
      </c>
      <c r="B437" s="28">
        <v>162043.0</v>
      </c>
      <c r="C437" s="29" t="s">
        <v>102</v>
      </c>
      <c r="D437" s="29" t="s">
        <v>204</v>
      </c>
      <c r="E437" s="29" t="s">
        <v>1187</v>
      </c>
      <c r="F437" s="29" t="s">
        <v>1188</v>
      </c>
      <c r="G437" s="29" t="s">
        <v>135</v>
      </c>
      <c r="H437" s="29" t="s">
        <v>294</v>
      </c>
      <c r="I437" s="29" t="s">
        <v>100</v>
      </c>
      <c r="J437" s="29" t="s">
        <v>53</v>
      </c>
      <c r="K437" s="30" t="s">
        <v>101</v>
      </c>
    </row>
    <row r="438">
      <c r="A438" s="31">
        <v>7735.0</v>
      </c>
      <c r="B438" s="32">
        <v>120963.0</v>
      </c>
      <c r="C438" s="33" t="s">
        <v>102</v>
      </c>
      <c r="D438" s="33" t="s">
        <v>1189</v>
      </c>
      <c r="E438" s="33" t="s">
        <v>1190</v>
      </c>
      <c r="F438" s="33" t="s">
        <v>1191</v>
      </c>
      <c r="G438" s="33" t="s">
        <v>323</v>
      </c>
      <c r="H438" s="33" t="s">
        <v>417</v>
      </c>
      <c r="I438" s="33" t="s">
        <v>100</v>
      </c>
      <c r="J438" s="33" t="s">
        <v>59</v>
      </c>
      <c r="K438" s="34" t="s">
        <v>101</v>
      </c>
    </row>
    <row r="439">
      <c r="A439" s="27">
        <v>16393.0</v>
      </c>
      <c r="B439" s="28">
        <v>109463.0</v>
      </c>
      <c r="C439" s="29" t="s">
        <v>102</v>
      </c>
      <c r="D439" s="29" t="s">
        <v>941</v>
      </c>
      <c r="E439" s="29" t="s">
        <v>1192</v>
      </c>
      <c r="F439" s="29" t="s">
        <v>1193</v>
      </c>
      <c r="G439" s="29" t="s">
        <v>270</v>
      </c>
      <c r="H439" s="29" t="s">
        <v>719</v>
      </c>
      <c r="I439" s="29" t="s">
        <v>100</v>
      </c>
      <c r="J439" s="29" t="s">
        <v>59</v>
      </c>
      <c r="K439" s="30" t="s">
        <v>101</v>
      </c>
    </row>
    <row r="440">
      <c r="A440" s="31">
        <v>7306.0</v>
      </c>
      <c r="B440" s="32">
        <v>115595.0</v>
      </c>
      <c r="C440" s="33" t="s">
        <v>94</v>
      </c>
      <c r="D440" s="33" t="s">
        <v>1194</v>
      </c>
      <c r="E440" s="33" t="s">
        <v>1195</v>
      </c>
      <c r="F440" s="33" t="s">
        <v>1196</v>
      </c>
      <c r="G440" s="33" t="s">
        <v>176</v>
      </c>
      <c r="H440" s="33" t="s">
        <v>177</v>
      </c>
      <c r="I440" s="33" t="s">
        <v>100</v>
      </c>
      <c r="J440" s="33" t="s">
        <v>65</v>
      </c>
      <c r="K440" s="34" t="s">
        <v>101</v>
      </c>
    </row>
    <row r="441">
      <c r="A441" s="27">
        <v>25948.0</v>
      </c>
      <c r="B441" s="28">
        <v>111781.0</v>
      </c>
      <c r="C441" s="29" t="s">
        <v>102</v>
      </c>
      <c r="D441" s="29" t="s">
        <v>209</v>
      </c>
      <c r="E441" s="29" t="s">
        <v>1197</v>
      </c>
      <c r="F441" s="29" t="s">
        <v>1198</v>
      </c>
      <c r="G441" s="29" t="s">
        <v>135</v>
      </c>
      <c r="H441" s="29" t="s">
        <v>294</v>
      </c>
      <c r="I441" s="29" t="s">
        <v>100</v>
      </c>
      <c r="J441" s="29" t="s">
        <v>41</v>
      </c>
      <c r="K441" s="30" t="s">
        <v>101</v>
      </c>
    </row>
    <row r="442">
      <c r="A442" s="31">
        <v>38665.0</v>
      </c>
      <c r="B442" s="32">
        <v>148810.0</v>
      </c>
      <c r="C442" s="33" t="s">
        <v>102</v>
      </c>
      <c r="D442" s="33" t="s">
        <v>1199</v>
      </c>
      <c r="E442" s="33" t="s">
        <v>1200</v>
      </c>
      <c r="F442" s="33" t="s">
        <v>1201</v>
      </c>
      <c r="G442" s="33" t="s">
        <v>98</v>
      </c>
      <c r="H442" s="33" t="s">
        <v>99</v>
      </c>
      <c r="I442" s="33" t="s">
        <v>100</v>
      </c>
      <c r="J442" s="33" t="s">
        <v>41</v>
      </c>
      <c r="K442" s="34" t="s">
        <v>101</v>
      </c>
    </row>
    <row r="443">
      <c r="A443" s="27">
        <v>38605.0</v>
      </c>
      <c r="B443" s="28">
        <v>146921.0</v>
      </c>
      <c r="C443" s="29" t="s">
        <v>102</v>
      </c>
      <c r="D443" s="29" t="s">
        <v>580</v>
      </c>
      <c r="E443" s="29" t="s">
        <v>1202</v>
      </c>
      <c r="F443" s="29" t="s">
        <v>1203</v>
      </c>
      <c r="G443" s="29" t="s">
        <v>741</v>
      </c>
      <c r="H443" s="29" t="s">
        <v>742</v>
      </c>
      <c r="I443" s="29" t="s">
        <v>100</v>
      </c>
      <c r="J443" s="29" t="s">
        <v>41</v>
      </c>
      <c r="K443" s="30" t="s">
        <v>101</v>
      </c>
    </row>
    <row r="444">
      <c r="A444" s="31">
        <v>16493.0</v>
      </c>
      <c r="B444" s="32">
        <v>112108.0</v>
      </c>
      <c r="C444" s="33" t="s">
        <v>102</v>
      </c>
      <c r="D444" s="33" t="s">
        <v>1204</v>
      </c>
      <c r="E444" s="33" t="s">
        <v>1205</v>
      </c>
      <c r="F444" s="33" t="s">
        <v>1206</v>
      </c>
      <c r="G444" s="33" t="s">
        <v>257</v>
      </c>
      <c r="H444" s="33" t="s">
        <v>258</v>
      </c>
      <c r="I444" s="33" t="s">
        <v>100</v>
      </c>
      <c r="J444" s="33" t="s">
        <v>56</v>
      </c>
      <c r="K444" s="34" t="s">
        <v>101</v>
      </c>
    </row>
    <row r="445">
      <c r="A445" s="27">
        <v>25178.0</v>
      </c>
      <c r="B445" s="28">
        <v>91381.0</v>
      </c>
      <c r="C445" s="29" t="s">
        <v>94</v>
      </c>
      <c r="D445" s="29" t="s">
        <v>1207</v>
      </c>
      <c r="E445" s="29" t="s">
        <v>1208</v>
      </c>
      <c r="F445" s="29" t="s">
        <v>1209</v>
      </c>
      <c r="G445" s="29" t="s">
        <v>164</v>
      </c>
      <c r="H445" s="29" t="s">
        <v>165</v>
      </c>
      <c r="I445" s="29" t="s">
        <v>100</v>
      </c>
      <c r="J445" s="29" t="s">
        <v>44</v>
      </c>
      <c r="K445" s="30" t="s">
        <v>101</v>
      </c>
    </row>
    <row r="446">
      <c r="A446" s="31">
        <v>18708.0</v>
      </c>
      <c r="B446" s="32">
        <v>6289.0</v>
      </c>
      <c r="C446" s="33" t="s">
        <v>102</v>
      </c>
      <c r="D446" s="33" t="s">
        <v>1037</v>
      </c>
      <c r="E446" s="33" t="s">
        <v>1210</v>
      </c>
      <c r="F446" s="33" t="s">
        <v>1211</v>
      </c>
      <c r="G446" s="33" t="s">
        <v>130</v>
      </c>
      <c r="H446" s="36" t="s">
        <v>131</v>
      </c>
      <c r="I446" s="33" t="s">
        <v>100</v>
      </c>
      <c r="J446" s="33" t="s">
        <v>41</v>
      </c>
      <c r="K446" s="34" t="s">
        <v>101</v>
      </c>
    </row>
    <row r="447">
      <c r="A447" s="27">
        <v>25629.0</v>
      </c>
      <c r="B447" s="28">
        <v>79768.0</v>
      </c>
      <c r="C447" s="29" t="s">
        <v>102</v>
      </c>
      <c r="D447" s="29" t="s">
        <v>1212</v>
      </c>
      <c r="E447" s="29" t="s">
        <v>1213</v>
      </c>
      <c r="F447" s="29" t="s">
        <v>1214</v>
      </c>
      <c r="G447" s="29" t="s">
        <v>130</v>
      </c>
      <c r="H447" s="29" t="s">
        <v>346</v>
      </c>
      <c r="I447" s="29" t="s">
        <v>100</v>
      </c>
      <c r="J447" s="29" t="s">
        <v>41</v>
      </c>
      <c r="K447" s="30" t="s">
        <v>101</v>
      </c>
    </row>
    <row r="448">
      <c r="A448" s="31">
        <v>46013.0</v>
      </c>
      <c r="B448" s="32">
        <v>183283.0</v>
      </c>
      <c r="C448" s="33" t="s">
        <v>102</v>
      </c>
      <c r="D448" s="33" t="s">
        <v>965</v>
      </c>
      <c r="E448" s="33" t="s">
        <v>1215</v>
      </c>
      <c r="F448" s="33" t="s">
        <v>1216</v>
      </c>
      <c r="G448" s="33" t="s">
        <v>468</v>
      </c>
      <c r="H448" s="33" t="s">
        <v>469</v>
      </c>
      <c r="I448" s="33" t="s">
        <v>100</v>
      </c>
      <c r="J448" s="33" t="s">
        <v>41</v>
      </c>
      <c r="K448" s="34" t="s">
        <v>101</v>
      </c>
    </row>
    <row r="449">
      <c r="A449" s="27">
        <v>25213.0</v>
      </c>
      <c r="B449" s="28">
        <v>46367.0</v>
      </c>
      <c r="C449" s="29" t="s">
        <v>102</v>
      </c>
      <c r="D449" s="29" t="s">
        <v>1217</v>
      </c>
      <c r="E449" s="29" t="s">
        <v>1218</v>
      </c>
      <c r="F449" s="29" t="s">
        <v>1219</v>
      </c>
      <c r="G449" s="29" t="s">
        <v>130</v>
      </c>
      <c r="H449" s="35" t="s">
        <v>131</v>
      </c>
      <c r="I449" s="29" t="s">
        <v>100</v>
      </c>
      <c r="J449" s="29" t="s">
        <v>41</v>
      </c>
      <c r="K449" s="30" t="s">
        <v>101</v>
      </c>
    </row>
    <row r="450">
      <c r="A450" s="31">
        <v>13303.0</v>
      </c>
      <c r="B450" s="32">
        <v>111165.0</v>
      </c>
      <c r="C450" s="33" t="s">
        <v>94</v>
      </c>
      <c r="D450" s="33" t="s">
        <v>1220</v>
      </c>
      <c r="E450" s="33" t="s">
        <v>1221</v>
      </c>
      <c r="F450" s="33" t="s">
        <v>1222</v>
      </c>
      <c r="G450" s="33" t="s">
        <v>130</v>
      </c>
      <c r="H450" s="33" t="s">
        <v>153</v>
      </c>
      <c r="I450" s="33" t="s">
        <v>100</v>
      </c>
      <c r="J450" s="33" t="s">
        <v>44</v>
      </c>
      <c r="K450" s="34" t="s">
        <v>101</v>
      </c>
    </row>
    <row r="451">
      <c r="A451" s="27">
        <v>38354.0</v>
      </c>
      <c r="B451" s="28">
        <v>136818.0</v>
      </c>
      <c r="C451" s="29" t="s">
        <v>102</v>
      </c>
      <c r="D451" s="29" t="s">
        <v>395</v>
      </c>
      <c r="E451" s="29" t="s">
        <v>1223</v>
      </c>
      <c r="F451" s="29" t="s">
        <v>1224</v>
      </c>
      <c r="G451" s="29" t="s">
        <v>398</v>
      </c>
      <c r="H451" s="29" t="s">
        <v>399</v>
      </c>
      <c r="I451" s="29" t="s">
        <v>100</v>
      </c>
      <c r="J451" s="29" t="s">
        <v>41</v>
      </c>
      <c r="K451" s="30" t="s">
        <v>101</v>
      </c>
    </row>
    <row r="452">
      <c r="A452" s="31">
        <v>38942.0</v>
      </c>
      <c r="B452" s="32">
        <v>164064.0</v>
      </c>
      <c r="C452" s="33" t="s">
        <v>102</v>
      </c>
      <c r="D452" s="33" t="s">
        <v>1225</v>
      </c>
      <c r="E452" s="33" t="s">
        <v>1226</v>
      </c>
      <c r="F452" s="33" t="s">
        <v>1227</v>
      </c>
      <c r="G452" s="33" t="s">
        <v>298</v>
      </c>
      <c r="H452" s="33" t="s">
        <v>299</v>
      </c>
      <c r="I452" s="33" t="s">
        <v>100</v>
      </c>
      <c r="J452" s="33" t="s">
        <v>435</v>
      </c>
      <c r="K452" s="34" t="s">
        <v>101</v>
      </c>
    </row>
    <row r="453">
      <c r="A453" s="27">
        <v>7770.0</v>
      </c>
      <c r="B453" s="28">
        <v>111816.0</v>
      </c>
      <c r="C453" s="29" t="s">
        <v>102</v>
      </c>
      <c r="D453" s="29" t="s">
        <v>204</v>
      </c>
      <c r="E453" s="29" t="s">
        <v>1228</v>
      </c>
      <c r="F453" s="29" t="s">
        <v>1229</v>
      </c>
      <c r="G453" s="29" t="s">
        <v>135</v>
      </c>
      <c r="H453" s="29" t="s">
        <v>531</v>
      </c>
      <c r="I453" s="29" t="s">
        <v>100</v>
      </c>
      <c r="J453" s="29" t="s">
        <v>53</v>
      </c>
      <c r="K453" s="30" t="s">
        <v>101</v>
      </c>
    </row>
    <row r="454">
      <c r="A454" s="31">
        <v>7787.0</v>
      </c>
      <c r="B454" s="32">
        <v>111815.0</v>
      </c>
      <c r="C454" s="33" t="s">
        <v>94</v>
      </c>
      <c r="D454" s="33" t="s">
        <v>1230</v>
      </c>
      <c r="E454" s="33" t="s">
        <v>1228</v>
      </c>
      <c r="F454" s="33" t="s">
        <v>1231</v>
      </c>
      <c r="G454" s="33" t="s">
        <v>135</v>
      </c>
      <c r="H454" s="33" t="s">
        <v>531</v>
      </c>
      <c r="I454" s="33" t="s">
        <v>100</v>
      </c>
      <c r="J454" s="33" t="s">
        <v>62</v>
      </c>
      <c r="K454" s="34" t="s">
        <v>101</v>
      </c>
    </row>
    <row r="455">
      <c r="A455" s="27">
        <v>25024.0</v>
      </c>
      <c r="B455" s="28">
        <v>34088.0</v>
      </c>
      <c r="C455" s="29" t="s">
        <v>102</v>
      </c>
      <c r="D455" s="29" t="s">
        <v>209</v>
      </c>
      <c r="E455" s="29" t="s">
        <v>1232</v>
      </c>
      <c r="F455" s="29" t="s">
        <v>1233</v>
      </c>
      <c r="G455" s="29" t="s">
        <v>468</v>
      </c>
      <c r="H455" s="29" t="s">
        <v>469</v>
      </c>
      <c r="I455" s="29" t="s">
        <v>100</v>
      </c>
      <c r="J455" s="29" t="s">
        <v>53</v>
      </c>
      <c r="K455" s="30" t="s">
        <v>101</v>
      </c>
    </row>
    <row r="456">
      <c r="A456" s="31">
        <v>38744.0</v>
      </c>
      <c r="B456" s="32">
        <v>155268.0</v>
      </c>
      <c r="C456" s="33" t="s">
        <v>102</v>
      </c>
      <c r="D456" s="33" t="s">
        <v>226</v>
      </c>
      <c r="E456" s="33" t="s">
        <v>1234</v>
      </c>
      <c r="F456" s="33" t="s">
        <v>1235</v>
      </c>
      <c r="G456" s="33" t="s">
        <v>135</v>
      </c>
      <c r="H456" s="33" t="s">
        <v>136</v>
      </c>
      <c r="I456" s="33" t="s">
        <v>100</v>
      </c>
      <c r="J456" s="33" t="s">
        <v>47</v>
      </c>
      <c r="K456" s="34" t="s">
        <v>101</v>
      </c>
    </row>
    <row r="457">
      <c r="A457" s="27">
        <v>38553.0</v>
      </c>
      <c r="B457" s="28">
        <v>145634.0</v>
      </c>
      <c r="C457" s="29" t="s">
        <v>94</v>
      </c>
      <c r="D457" s="29" t="s">
        <v>1236</v>
      </c>
      <c r="E457" s="29" t="s">
        <v>1237</v>
      </c>
      <c r="F457" s="29" t="s">
        <v>1238</v>
      </c>
      <c r="G457" s="29" t="s">
        <v>198</v>
      </c>
      <c r="H457" s="29" t="s">
        <v>328</v>
      </c>
      <c r="I457" s="29" t="s">
        <v>100</v>
      </c>
      <c r="J457" s="29" t="s">
        <v>901</v>
      </c>
      <c r="K457" s="30" t="s">
        <v>281</v>
      </c>
    </row>
    <row r="458">
      <c r="A458" s="31">
        <v>38289.0</v>
      </c>
      <c r="B458" s="32">
        <v>136287.0</v>
      </c>
      <c r="C458" s="33" t="s">
        <v>94</v>
      </c>
      <c r="D458" s="33" t="s">
        <v>1002</v>
      </c>
      <c r="E458" s="33" t="s">
        <v>1237</v>
      </c>
      <c r="F458" s="33" t="s">
        <v>1239</v>
      </c>
      <c r="G458" s="33" t="s">
        <v>741</v>
      </c>
      <c r="H458" s="33" t="s">
        <v>742</v>
      </c>
      <c r="I458" s="33" t="s">
        <v>100</v>
      </c>
      <c r="J458" s="33" t="s">
        <v>44</v>
      </c>
      <c r="K458" s="34" t="s">
        <v>101</v>
      </c>
    </row>
    <row r="459">
      <c r="A459" s="27">
        <v>16876.0</v>
      </c>
      <c r="B459" s="28">
        <v>19248.0</v>
      </c>
      <c r="C459" s="29" t="s">
        <v>102</v>
      </c>
      <c r="D459" s="29" t="s">
        <v>436</v>
      </c>
      <c r="E459" s="29" t="s">
        <v>1237</v>
      </c>
      <c r="F459" s="29" t="s">
        <v>1240</v>
      </c>
      <c r="G459" s="29" t="s">
        <v>741</v>
      </c>
      <c r="H459" s="29" t="s">
        <v>742</v>
      </c>
      <c r="I459" s="29" t="s">
        <v>100</v>
      </c>
      <c r="J459" s="29" t="s">
        <v>41</v>
      </c>
      <c r="K459" s="30" t="s">
        <v>101</v>
      </c>
    </row>
    <row r="460">
      <c r="A460" s="31">
        <v>7344.0</v>
      </c>
      <c r="B460" s="32">
        <v>115826.0</v>
      </c>
      <c r="C460" s="33" t="s">
        <v>102</v>
      </c>
      <c r="D460" s="33" t="s">
        <v>378</v>
      </c>
      <c r="E460" s="33" t="s">
        <v>1241</v>
      </c>
      <c r="F460" s="33" t="s">
        <v>1242</v>
      </c>
      <c r="G460" s="33" t="s">
        <v>468</v>
      </c>
      <c r="H460" s="33" t="s">
        <v>469</v>
      </c>
      <c r="I460" s="33" t="s">
        <v>100</v>
      </c>
      <c r="J460" s="33" t="s">
        <v>53</v>
      </c>
      <c r="K460" s="34" t="s">
        <v>101</v>
      </c>
    </row>
    <row r="461">
      <c r="A461" s="27">
        <v>38727.0</v>
      </c>
      <c r="B461" s="28">
        <v>153897.0</v>
      </c>
      <c r="C461" s="29" t="s">
        <v>102</v>
      </c>
      <c r="D461" s="29" t="s">
        <v>1243</v>
      </c>
      <c r="E461" s="29" t="s">
        <v>1244</v>
      </c>
      <c r="F461" s="29" t="s">
        <v>1245</v>
      </c>
      <c r="G461" s="29" t="s">
        <v>207</v>
      </c>
      <c r="H461" s="29" t="s">
        <v>208</v>
      </c>
      <c r="I461" s="29" t="s">
        <v>100</v>
      </c>
      <c r="J461" s="29" t="s">
        <v>41</v>
      </c>
      <c r="K461" s="30" t="s">
        <v>101</v>
      </c>
    </row>
    <row r="462">
      <c r="A462" s="31">
        <v>25277.0</v>
      </c>
      <c r="B462" s="32">
        <v>148802.0</v>
      </c>
      <c r="C462" s="33" t="s">
        <v>94</v>
      </c>
      <c r="D462" s="33" t="s">
        <v>1246</v>
      </c>
      <c r="E462" s="33" t="s">
        <v>1247</v>
      </c>
      <c r="F462" s="33" t="s">
        <v>1248</v>
      </c>
      <c r="G462" s="33" t="s">
        <v>398</v>
      </c>
      <c r="H462" s="33" t="s">
        <v>399</v>
      </c>
      <c r="I462" s="33" t="s">
        <v>100</v>
      </c>
      <c r="J462" s="33" t="s">
        <v>62</v>
      </c>
      <c r="K462" s="34" t="s">
        <v>101</v>
      </c>
    </row>
    <row r="463">
      <c r="A463" s="27">
        <v>25115.0</v>
      </c>
      <c r="B463" s="28">
        <v>40401.0</v>
      </c>
      <c r="C463" s="29" t="s">
        <v>102</v>
      </c>
      <c r="D463" s="29" t="s">
        <v>1056</v>
      </c>
      <c r="E463" s="29" t="s">
        <v>1247</v>
      </c>
      <c r="F463" s="29" t="s">
        <v>1249</v>
      </c>
      <c r="G463" s="29" t="s">
        <v>398</v>
      </c>
      <c r="H463" s="29" t="s">
        <v>399</v>
      </c>
      <c r="I463" s="29" t="s">
        <v>100</v>
      </c>
      <c r="J463" s="29" t="s">
        <v>53</v>
      </c>
      <c r="K463" s="30" t="s">
        <v>101</v>
      </c>
    </row>
    <row r="464">
      <c r="A464" s="31">
        <v>38681.0</v>
      </c>
      <c r="B464" s="32">
        <v>148835.0</v>
      </c>
      <c r="C464" s="33" t="s">
        <v>102</v>
      </c>
      <c r="D464" s="33" t="s">
        <v>1250</v>
      </c>
      <c r="E464" s="33" t="s">
        <v>1251</v>
      </c>
      <c r="F464" s="33" t="s">
        <v>1252</v>
      </c>
      <c r="G464" s="33" t="s">
        <v>130</v>
      </c>
      <c r="H464" s="33" t="s">
        <v>346</v>
      </c>
      <c r="I464" s="33" t="s">
        <v>100</v>
      </c>
      <c r="J464" s="33" t="s">
        <v>41</v>
      </c>
      <c r="K464" s="34" t="s">
        <v>101</v>
      </c>
    </row>
    <row r="465">
      <c r="A465" s="27">
        <v>25798.0</v>
      </c>
      <c r="B465" s="28">
        <v>105496.0</v>
      </c>
      <c r="C465" s="29" t="s">
        <v>94</v>
      </c>
      <c r="D465" s="29" t="s">
        <v>1253</v>
      </c>
      <c r="E465" s="29" t="s">
        <v>1254</v>
      </c>
      <c r="F465" s="29" t="s">
        <v>1255</v>
      </c>
      <c r="G465" s="29" t="s">
        <v>130</v>
      </c>
      <c r="H465" s="29" t="s">
        <v>172</v>
      </c>
      <c r="I465" s="29" t="s">
        <v>100</v>
      </c>
      <c r="J465" s="29" t="s">
        <v>62</v>
      </c>
      <c r="K465" s="30" t="s">
        <v>101</v>
      </c>
    </row>
    <row r="466">
      <c r="A466" s="31">
        <v>38884.0</v>
      </c>
      <c r="B466" s="32">
        <v>162032.0</v>
      </c>
      <c r="C466" s="33" t="s">
        <v>102</v>
      </c>
      <c r="D466" s="33" t="s">
        <v>1256</v>
      </c>
      <c r="E466" s="33" t="s">
        <v>1257</v>
      </c>
      <c r="F466" s="33" t="s">
        <v>1258</v>
      </c>
      <c r="G466" s="33" t="s">
        <v>135</v>
      </c>
      <c r="H466" s="33" t="s">
        <v>136</v>
      </c>
      <c r="I466" s="33" t="s">
        <v>100</v>
      </c>
      <c r="J466" s="33" t="s">
        <v>41</v>
      </c>
      <c r="K466" s="34" t="s">
        <v>101</v>
      </c>
    </row>
    <row r="467">
      <c r="A467" s="27">
        <v>38965.0</v>
      </c>
      <c r="B467" s="28">
        <v>164092.0</v>
      </c>
      <c r="C467" s="29" t="s">
        <v>102</v>
      </c>
      <c r="D467" s="29" t="s">
        <v>1189</v>
      </c>
      <c r="E467" s="29" t="s">
        <v>1259</v>
      </c>
      <c r="F467" s="29" t="s">
        <v>1260</v>
      </c>
      <c r="G467" s="29" t="s">
        <v>198</v>
      </c>
      <c r="H467" s="29" t="s">
        <v>544</v>
      </c>
      <c r="I467" s="29" t="s">
        <v>100</v>
      </c>
      <c r="J467" s="29" t="s">
        <v>41</v>
      </c>
      <c r="K467" s="30" t="s">
        <v>101</v>
      </c>
    </row>
    <row r="468">
      <c r="A468" s="31">
        <v>38955.0</v>
      </c>
      <c r="B468" s="32">
        <v>164080.0</v>
      </c>
      <c r="C468" s="33" t="s">
        <v>102</v>
      </c>
      <c r="D468" s="33" t="s">
        <v>1261</v>
      </c>
      <c r="E468" s="33" t="s">
        <v>1259</v>
      </c>
      <c r="F468" s="33" t="s">
        <v>1262</v>
      </c>
      <c r="G468" s="33" t="s">
        <v>114</v>
      </c>
      <c r="H468" s="33" t="s">
        <v>115</v>
      </c>
      <c r="I468" s="33" t="s">
        <v>100</v>
      </c>
      <c r="J468" s="33" t="s">
        <v>53</v>
      </c>
      <c r="K468" s="34" t="s">
        <v>101</v>
      </c>
    </row>
    <row r="469">
      <c r="A469" s="27">
        <v>25965.0</v>
      </c>
      <c r="B469" s="28">
        <v>111296.0</v>
      </c>
      <c r="C469" s="29" t="s">
        <v>94</v>
      </c>
      <c r="D469" s="29" t="s">
        <v>1081</v>
      </c>
      <c r="E469" s="29" t="s">
        <v>1259</v>
      </c>
      <c r="F469" s="29" t="s">
        <v>1263</v>
      </c>
      <c r="G469" s="29" t="s">
        <v>331</v>
      </c>
      <c r="H469" s="29" t="s">
        <v>332</v>
      </c>
      <c r="I469" s="29" t="s">
        <v>100</v>
      </c>
      <c r="J469" s="29" t="s">
        <v>65</v>
      </c>
      <c r="K469" s="30" t="s">
        <v>101</v>
      </c>
    </row>
    <row r="470">
      <c r="A470" s="31">
        <v>38365.0</v>
      </c>
      <c r="B470" s="32">
        <v>136797.0</v>
      </c>
      <c r="C470" s="33" t="s">
        <v>102</v>
      </c>
      <c r="D470" s="33" t="s">
        <v>1100</v>
      </c>
      <c r="E470" s="33" t="s">
        <v>1264</v>
      </c>
      <c r="F470" s="33" t="s">
        <v>1265</v>
      </c>
      <c r="G470" s="33" t="s">
        <v>135</v>
      </c>
      <c r="H470" s="33" t="s">
        <v>531</v>
      </c>
      <c r="I470" s="33" t="s">
        <v>100</v>
      </c>
      <c r="J470" s="33" t="s">
        <v>53</v>
      </c>
      <c r="K470" s="34" t="s">
        <v>101</v>
      </c>
    </row>
    <row r="471">
      <c r="A471" s="27">
        <v>16582.0</v>
      </c>
      <c r="B471" s="28">
        <v>153878.0</v>
      </c>
      <c r="C471" s="29" t="s">
        <v>102</v>
      </c>
      <c r="D471" s="29" t="s">
        <v>1266</v>
      </c>
      <c r="E471" s="29" t="s">
        <v>1267</v>
      </c>
      <c r="F471" s="29" t="s">
        <v>1268</v>
      </c>
      <c r="G471" s="29" t="s">
        <v>741</v>
      </c>
      <c r="H471" s="29" t="s">
        <v>742</v>
      </c>
      <c r="I471" s="29" t="s">
        <v>100</v>
      </c>
      <c r="J471" s="29" t="s">
        <v>41</v>
      </c>
      <c r="K471" s="30" t="s">
        <v>101</v>
      </c>
    </row>
    <row r="472">
      <c r="A472" s="31">
        <v>7557.0</v>
      </c>
      <c r="B472" s="32">
        <v>121527.0</v>
      </c>
      <c r="C472" s="33" t="s">
        <v>102</v>
      </c>
      <c r="D472" s="33" t="s">
        <v>523</v>
      </c>
      <c r="E472" s="33" t="s">
        <v>1269</v>
      </c>
      <c r="F472" s="33" t="s">
        <v>1270</v>
      </c>
      <c r="G472" s="33" t="s">
        <v>270</v>
      </c>
      <c r="H472" s="33" t="s">
        <v>374</v>
      </c>
      <c r="I472" s="33" t="s">
        <v>100</v>
      </c>
      <c r="J472" s="33" t="s">
        <v>53</v>
      </c>
      <c r="K472" s="34" t="s">
        <v>101</v>
      </c>
    </row>
    <row r="473">
      <c r="A473" s="27">
        <v>7814.0</v>
      </c>
      <c r="B473" s="28">
        <v>112185.0</v>
      </c>
      <c r="C473" s="29" t="s">
        <v>102</v>
      </c>
      <c r="D473" s="29" t="s">
        <v>195</v>
      </c>
      <c r="E473" s="29" t="s">
        <v>1271</v>
      </c>
      <c r="F473" s="29" t="s">
        <v>1272</v>
      </c>
      <c r="G473" s="29" t="s">
        <v>198</v>
      </c>
      <c r="H473" s="29" t="s">
        <v>199</v>
      </c>
      <c r="I473" s="29" t="s">
        <v>100</v>
      </c>
      <c r="J473" s="29" t="s">
        <v>56</v>
      </c>
      <c r="K473" s="30" t="s">
        <v>101</v>
      </c>
    </row>
    <row r="474">
      <c r="A474" s="31">
        <v>38661.0</v>
      </c>
      <c r="B474" s="32">
        <v>148806.0</v>
      </c>
      <c r="C474" s="33" t="s">
        <v>102</v>
      </c>
      <c r="D474" s="33" t="s">
        <v>465</v>
      </c>
      <c r="E474" s="33" t="s">
        <v>1273</v>
      </c>
      <c r="F474" s="33" t="s">
        <v>1274</v>
      </c>
      <c r="G474" s="33" t="s">
        <v>190</v>
      </c>
      <c r="H474" s="33" t="s">
        <v>317</v>
      </c>
      <c r="I474" s="33" t="s">
        <v>100</v>
      </c>
      <c r="J474" s="33" t="s">
        <v>56</v>
      </c>
      <c r="K474" s="34" t="s">
        <v>101</v>
      </c>
    </row>
    <row r="475">
      <c r="A475" s="27">
        <v>25340.0</v>
      </c>
      <c r="B475" s="28">
        <v>52747.0</v>
      </c>
      <c r="C475" s="29" t="s">
        <v>102</v>
      </c>
      <c r="D475" s="29" t="s">
        <v>938</v>
      </c>
      <c r="E475" s="29" t="s">
        <v>1275</v>
      </c>
      <c r="F475" s="29" t="s">
        <v>1276</v>
      </c>
      <c r="G475" s="29" t="s">
        <v>207</v>
      </c>
      <c r="H475" s="29" t="s">
        <v>208</v>
      </c>
      <c r="I475" s="29" t="s">
        <v>100</v>
      </c>
      <c r="J475" s="29" t="s">
        <v>41</v>
      </c>
      <c r="K475" s="30" t="s">
        <v>101</v>
      </c>
    </row>
    <row r="476">
      <c r="A476" s="31">
        <v>25932.0</v>
      </c>
      <c r="B476" s="32">
        <v>111565.0</v>
      </c>
      <c r="C476" s="33" t="s">
        <v>102</v>
      </c>
      <c r="D476" s="33" t="s">
        <v>873</v>
      </c>
      <c r="E476" s="33" t="s">
        <v>336</v>
      </c>
      <c r="F476" s="33" t="s">
        <v>1277</v>
      </c>
      <c r="G476" s="33" t="s">
        <v>181</v>
      </c>
      <c r="H476" s="33" t="s">
        <v>229</v>
      </c>
      <c r="I476" s="33" t="s">
        <v>100</v>
      </c>
      <c r="J476" s="33" t="s">
        <v>41</v>
      </c>
      <c r="K476" s="34" t="s">
        <v>101</v>
      </c>
    </row>
    <row r="477">
      <c r="A477" s="27">
        <v>38833.0</v>
      </c>
      <c r="B477" s="28">
        <v>159619.0</v>
      </c>
      <c r="C477" s="29" t="s">
        <v>102</v>
      </c>
      <c r="D477" s="29" t="s">
        <v>255</v>
      </c>
      <c r="E477" s="29" t="s">
        <v>1278</v>
      </c>
      <c r="F477" s="29" t="s">
        <v>1279</v>
      </c>
      <c r="G477" s="29" t="s">
        <v>207</v>
      </c>
      <c r="H477" s="29" t="s">
        <v>208</v>
      </c>
      <c r="I477" s="29" t="s">
        <v>100</v>
      </c>
      <c r="J477" s="29" t="s">
        <v>41</v>
      </c>
      <c r="K477" s="30" t="s">
        <v>101</v>
      </c>
    </row>
    <row r="478">
      <c r="A478" s="31">
        <v>38711.0</v>
      </c>
      <c r="B478" s="32">
        <v>153874.0</v>
      </c>
      <c r="C478" s="33" t="s">
        <v>102</v>
      </c>
      <c r="D478" s="33" t="s">
        <v>1280</v>
      </c>
      <c r="E478" s="33" t="s">
        <v>1281</v>
      </c>
      <c r="F478" s="33" t="s">
        <v>1282</v>
      </c>
      <c r="G478" s="33" t="s">
        <v>135</v>
      </c>
      <c r="H478" s="33" t="s">
        <v>294</v>
      </c>
      <c r="I478" s="33" t="s">
        <v>100</v>
      </c>
      <c r="J478" s="33" t="s">
        <v>41</v>
      </c>
      <c r="K478" s="34" t="s">
        <v>101</v>
      </c>
    </row>
    <row r="479">
      <c r="A479" s="27">
        <v>38648.0</v>
      </c>
      <c r="B479" s="28">
        <v>148787.0</v>
      </c>
      <c r="C479" s="29" t="s">
        <v>102</v>
      </c>
      <c r="D479" s="29" t="s">
        <v>1283</v>
      </c>
      <c r="E479" s="29" t="s">
        <v>938</v>
      </c>
      <c r="F479" s="29" t="s">
        <v>1284</v>
      </c>
      <c r="G479" s="29" t="s">
        <v>270</v>
      </c>
      <c r="H479" s="29" t="s">
        <v>374</v>
      </c>
      <c r="I479" s="29" t="s">
        <v>100</v>
      </c>
      <c r="J479" s="29" t="s">
        <v>41</v>
      </c>
      <c r="K479" s="30" t="s">
        <v>101</v>
      </c>
    </row>
    <row r="480">
      <c r="A480" s="31">
        <v>38717.0</v>
      </c>
      <c r="B480" s="32">
        <v>153882.0</v>
      </c>
      <c r="C480" s="33" t="s">
        <v>102</v>
      </c>
      <c r="D480" s="33" t="s">
        <v>212</v>
      </c>
      <c r="E480" s="33" t="s">
        <v>1285</v>
      </c>
      <c r="F480" s="33" t="s">
        <v>1286</v>
      </c>
      <c r="G480" s="33" t="s">
        <v>135</v>
      </c>
      <c r="H480" s="33" t="s">
        <v>203</v>
      </c>
      <c r="I480" s="33" t="s">
        <v>100</v>
      </c>
      <c r="J480" s="33" t="s">
        <v>41</v>
      </c>
      <c r="K480" s="34" t="s">
        <v>101</v>
      </c>
    </row>
    <row r="481">
      <c r="A481" s="27">
        <v>16874.0</v>
      </c>
      <c r="B481" s="28">
        <v>19475.0</v>
      </c>
      <c r="C481" s="29" t="s">
        <v>102</v>
      </c>
      <c r="D481" s="29" t="s">
        <v>195</v>
      </c>
      <c r="E481" s="29" t="s">
        <v>1285</v>
      </c>
      <c r="F481" s="29" t="s">
        <v>1287</v>
      </c>
      <c r="G481" s="29" t="s">
        <v>185</v>
      </c>
      <c r="H481" s="29" t="s">
        <v>186</v>
      </c>
      <c r="I481" s="29" t="s">
        <v>100</v>
      </c>
      <c r="J481" s="29" t="s">
        <v>56</v>
      </c>
      <c r="K481" s="30" t="s">
        <v>101</v>
      </c>
    </row>
    <row r="482">
      <c r="A482" s="31">
        <v>27134.0</v>
      </c>
      <c r="B482" s="32">
        <v>162050.0</v>
      </c>
      <c r="C482" s="33" t="s">
        <v>102</v>
      </c>
      <c r="D482" s="33" t="s">
        <v>405</v>
      </c>
      <c r="E482" s="33" t="s">
        <v>1288</v>
      </c>
      <c r="F482" s="33" t="s">
        <v>1289</v>
      </c>
      <c r="G482" s="33" t="s">
        <v>270</v>
      </c>
      <c r="H482" s="33" t="s">
        <v>374</v>
      </c>
      <c r="I482" s="33" t="s">
        <v>100</v>
      </c>
      <c r="J482" s="33" t="s">
        <v>41</v>
      </c>
      <c r="K482" s="34" t="s">
        <v>101</v>
      </c>
    </row>
    <row r="483">
      <c r="A483" s="27">
        <v>38349.0</v>
      </c>
      <c r="B483" s="28">
        <v>136721.0</v>
      </c>
      <c r="C483" s="29" t="s">
        <v>102</v>
      </c>
      <c r="D483" s="29" t="s">
        <v>1290</v>
      </c>
      <c r="E483" s="29" t="s">
        <v>1291</v>
      </c>
      <c r="F483" s="29" t="s">
        <v>1292</v>
      </c>
      <c r="G483" s="29" t="s">
        <v>270</v>
      </c>
      <c r="H483" s="29" t="s">
        <v>374</v>
      </c>
      <c r="I483" s="29" t="s">
        <v>100</v>
      </c>
      <c r="J483" s="29" t="s">
        <v>435</v>
      </c>
      <c r="K483" s="30" t="s">
        <v>281</v>
      </c>
    </row>
    <row r="484">
      <c r="A484" s="31">
        <v>7004.0</v>
      </c>
      <c r="B484" s="32">
        <v>52348.0</v>
      </c>
      <c r="C484" s="33" t="s">
        <v>102</v>
      </c>
      <c r="D484" s="33" t="s">
        <v>1293</v>
      </c>
      <c r="E484" s="33" t="s">
        <v>1294</v>
      </c>
      <c r="F484" s="33" t="s">
        <v>1295</v>
      </c>
      <c r="G484" s="33" t="s">
        <v>130</v>
      </c>
      <c r="H484" s="36" t="s">
        <v>131</v>
      </c>
      <c r="I484" s="33" t="s">
        <v>100</v>
      </c>
      <c r="J484" s="33" t="s">
        <v>59</v>
      </c>
      <c r="K484" s="34" t="s">
        <v>101</v>
      </c>
    </row>
    <row r="485">
      <c r="A485" s="27">
        <v>38663.0</v>
      </c>
      <c r="B485" s="28">
        <v>148808.0</v>
      </c>
      <c r="C485" s="29" t="s">
        <v>94</v>
      </c>
      <c r="D485" s="29" t="s">
        <v>1296</v>
      </c>
      <c r="E485" s="29" t="s">
        <v>1297</v>
      </c>
      <c r="F485" s="29" t="s">
        <v>1298</v>
      </c>
      <c r="G485" s="29" t="s">
        <v>198</v>
      </c>
      <c r="H485" s="29" t="s">
        <v>199</v>
      </c>
      <c r="I485" s="29" t="s">
        <v>100</v>
      </c>
      <c r="J485" s="29" t="s">
        <v>50</v>
      </c>
      <c r="K485" s="30" t="s">
        <v>101</v>
      </c>
    </row>
    <row r="486">
      <c r="A486" s="31">
        <v>38843.0</v>
      </c>
      <c r="B486" s="32">
        <v>159629.0</v>
      </c>
      <c r="C486" s="33" t="s">
        <v>94</v>
      </c>
      <c r="D486" s="33" t="s">
        <v>1299</v>
      </c>
      <c r="E486" s="33" t="s">
        <v>1300</v>
      </c>
      <c r="F486" s="33" t="s">
        <v>1301</v>
      </c>
      <c r="G486" s="33" t="s">
        <v>221</v>
      </c>
      <c r="H486" s="33" t="s">
        <v>222</v>
      </c>
      <c r="I486" s="33" t="s">
        <v>100</v>
      </c>
      <c r="J486" s="33" t="s">
        <v>290</v>
      </c>
      <c r="K486" s="34" t="s">
        <v>281</v>
      </c>
    </row>
    <row r="487">
      <c r="A487" s="27">
        <v>16805.0</v>
      </c>
      <c r="B487" s="28">
        <v>115900.0</v>
      </c>
      <c r="C487" s="29" t="s">
        <v>94</v>
      </c>
      <c r="D487" s="29" t="s">
        <v>1005</v>
      </c>
      <c r="E487" s="29" t="s">
        <v>1302</v>
      </c>
      <c r="F487" s="29" t="s">
        <v>1303</v>
      </c>
      <c r="G487" s="29" t="s">
        <v>164</v>
      </c>
      <c r="H487" s="29" t="s">
        <v>165</v>
      </c>
      <c r="I487" s="29" t="s">
        <v>100</v>
      </c>
      <c r="J487" s="29" t="s">
        <v>44</v>
      </c>
      <c r="K487" s="30" t="s">
        <v>101</v>
      </c>
    </row>
    <row r="488">
      <c r="A488" s="31">
        <v>38458.0</v>
      </c>
      <c r="B488" s="32">
        <v>142749.0</v>
      </c>
      <c r="C488" s="33" t="s">
        <v>94</v>
      </c>
      <c r="D488" s="33" t="s">
        <v>1304</v>
      </c>
      <c r="E488" s="33" t="s">
        <v>1305</v>
      </c>
      <c r="F488" s="33" t="s">
        <v>1306</v>
      </c>
      <c r="G488" s="33" t="s">
        <v>207</v>
      </c>
      <c r="H488" s="33" t="s">
        <v>208</v>
      </c>
      <c r="I488" s="33" t="s">
        <v>100</v>
      </c>
      <c r="J488" s="33" t="s">
        <v>44</v>
      </c>
      <c r="K488" s="34" t="s">
        <v>101</v>
      </c>
    </row>
    <row r="489">
      <c r="A489" s="27">
        <v>7440.0</v>
      </c>
      <c r="B489" s="28">
        <v>99134.0</v>
      </c>
      <c r="C489" s="29" t="s">
        <v>94</v>
      </c>
      <c r="D489" s="29" t="s">
        <v>1307</v>
      </c>
      <c r="E489" s="29" t="s">
        <v>1305</v>
      </c>
      <c r="F489" s="29" t="s">
        <v>1308</v>
      </c>
      <c r="G489" s="29" t="s">
        <v>130</v>
      </c>
      <c r="H489" s="35" t="s">
        <v>131</v>
      </c>
      <c r="I489" s="29" t="s">
        <v>100</v>
      </c>
      <c r="J489" s="29" t="s">
        <v>62</v>
      </c>
      <c r="K489" s="30" t="s">
        <v>101</v>
      </c>
    </row>
    <row r="490">
      <c r="A490" s="31">
        <v>25266.0</v>
      </c>
      <c r="B490" s="32">
        <v>46430.0</v>
      </c>
      <c r="C490" s="33" t="s">
        <v>102</v>
      </c>
      <c r="D490" s="33" t="s">
        <v>1309</v>
      </c>
      <c r="E490" s="33" t="s">
        <v>1310</v>
      </c>
      <c r="F490" s="33" t="s">
        <v>1311</v>
      </c>
      <c r="G490" s="33" t="s">
        <v>143</v>
      </c>
      <c r="H490" s="33" t="s">
        <v>144</v>
      </c>
      <c r="I490" s="33" t="s">
        <v>100</v>
      </c>
      <c r="J490" s="33" t="s">
        <v>53</v>
      </c>
      <c r="K490" s="34" t="s">
        <v>101</v>
      </c>
    </row>
    <row r="491">
      <c r="A491" s="27">
        <v>7080.0</v>
      </c>
      <c r="B491" s="28">
        <v>129522.0</v>
      </c>
      <c r="C491" s="29" t="s">
        <v>102</v>
      </c>
      <c r="D491" s="29" t="s">
        <v>873</v>
      </c>
      <c r="E491" s="29" t="s">
        <v>1312</v>
      </c>
      <c r="F491" s="29" t="s">
        <v>1313</v>
      </c>
      <c r="G491" s="29" t="s">
        <v>130</v>
      </c>
      <c r="H491" s="29" t="s">
        <v>172</v>
      </c>
      <c r="I491" s="29" t="s">
        <v>100</v>
      </c>
      <c r="J491" s="29" t="s">
        <v>56</v>
      </c>
      <c r="K491" s="30" t="s">
        <v>101</v>
      </c>
    </row>
    <row r="492">
      <c r="A492" s="31">
        <v>29670.0</v>
      </c>
      <c r="B492" s="32">
        <v>118038.0</v>
      </c>
      <c r="C492" s="33" t="s">
        <v>94</v>
      </c>
      <c r="D492" s="33" t="s">
        <v>648</v>
      </c>
      <c r="E492" s="33" t="s">
        <v>1314</v>
      </c>
      <c r="F492" s="33" t="s">
        <v>1315</v>
      </c>
      <c r="G492" s="33" t="s">
        <v>398</v>
      </c>
      <c r="H492" s="33" t="s">
        <v>399</v>
      </c>
      <c r="I492" s="33" t="s">
        <v>100</v>
      </c>
      <c r="J492" s="33" t="s">
        <v>44</v>
      </c>
      <c r="K492" s="34" t="s">
        <v>101</v>
      </c>
    </row>
    <row r="493">
      <c r="A493" s="27">
        <v>7534.0</v>
      </c>
      <c r="B493" s="28">
        <v>136173.0</v>
      </c>
      <c r="C493" s="29" t="s">
        <v>94</v>
      </c>
      <c r="D493" s="29" t="s">
        <v>1081</v>
      </c>
      <c r="E493" s="29" t="s">
        <v>1316</v>
      </c>
      <c r="F493" s="29" t="s">
        <v>1317</v>
      </c>
      <c r="G493" s="29" t="s">
        <v>130</v>
      </c>
      <c r="H493" s="29" t="s">
        <v>172</v>
      </c>
      <c r="I493" s="29" t="s">
        <v>100</v>
      </c>
      <c r="J493" s="29" t="s">
        <v>62</v>
      </c>
      <c r="K493" s="30" t="s">
        <v>101</v>
      </c>
    </row>
    <row r="494">
      <c r="A494" s="31">
        <v>7558.0</v>
      </c>
      <c r="B494" s="32">
        <v>119968.0</v>
      </c>
      <c r="C494" s="33" t="s">
        <v>102</v>
      </c>
      <c r="D494" s="33" t="s">
        <v>1318</v>
      </c>
      <c r="E494" s="33" t="s">
        <v>1316</v>
      </c>
      <c r="F494" s="33" t="s">
        <v>1319</v>
      </c>
      <c r="G494" s="33" t="s">
        <v>130</v>
      </c>
      <c r="H494" s="36" t="s">
        <v>131</v>
      </c>
      <c r="I494" s="33" t="s">
        <v>100</v>
      </c>
      <c r="J494" s="33" t="s">
        <v>59</v>
      </c>
      <c r="K494" s="34" t="s">
        <v>101</v>
      </c>
    </row>
    <row r="495">
      <c r="A495" s="27">
        <v>7700.0</v>
      </c>
      <c r="B495" s="28">
        <v>162008.0</v>
      </c>
      <c r="C495" s="29" t="s">
        <v>102</v>
      </c>
      <c r="D495" s="29" t="s">
        <v>1320</v>
      </c>
      <c r="E495" s="29" t="s">
        <v>1321</v>
      </c>
      <c r="F495" s="29" t="s">
        <v>1322</v>
      </c>
      <c r="G495" s="29" t="s">
        <v>164</v>
      </c>
      <c r="H495" s="29" t="s">
        <v>165</v>
      </c>
      <c r="I495" s="29" t="s">
        <v>100</v>
      </c>
      <c r="J495" s="29" t="s">
        <v>53</v>
      </c>
      <c r="K495" s="30" t="s">
        <v>101</v>
      </c>
    </row>
    <row r="496">
      <c r="A496" s="31">
        <v>38651.0</v>
      </c>
      <c r="B496" s="32">
        <v>148791.0</v>
      </c>
      <c r="C496" s="33" t="s">
        <v>94</v>
      </c>
      <c r="D496" s="33" t="s">
        <v>538</v>
      </c>
      <c r="E496" s="33" t="s">
        <v>1321</v>
      </c>
      <c r="F496" s="33" t="s">
        <v>1323</v>
      </c>
      <c r="G496" s="33" t="s">
        <v>164</v>
      </c>
      <c r="H496" s="33" t="s">
        <v>165</v>
      </c>
      <c r="I496" s="33" t="s">
        <v>100</v>
      </c>
      <c r="J496" s="33" t="s">
        <v>901</v>
      </c>
      <c r="K496" s="34" t="s">
        <v>281</v>
      </c>
    </row>
    <row r="497">
      <c r="A497" s="27">
        <v>38984.0</v>
      </c>
      <c r="B497" s="28">
        <v>168164.0</v>
      </c>
      <c r="C497" s="29" t="s">
        <v>102</v>
      </c>
      <c r="D497" s="29" t="s">
        <v>226</v>
      </c>
      <c r="E497" s="29" t="s">
        <v>1324</v>
      </c>
      <c r="F497" s="29" t="s">
        <v>1325</v>
      </c>
      <c r="G497" s="29" t="s">
        <v>190</v>
      </c>
      <c r="H497" s="29" t="s">
        <v>191</v>
      </c>
      <c r="I497" s="29" t="s">
        <v>100</v>
      </c>
      <c r="J497" s="29" t="s">
        <v>41</v>
      </c>
      <c r="K497" s="30" t="s">
        <v>101</v>
      </c>
    </row>
    <row r="498">
      <c r="A498" s="31">
        <v>7131.0</v>
      </c>
      <c r="B498" s="32">
        <v>115804.0</v>
      </c>
      <c r="C498" s="33" t="s">
        <v>102</v>
      </c>
      <c r="D498" s="33" t="s">
        <v>855</v>
      </c>
      <c r="E498" s="33" t="s">
        <v>1326</v>
      </c>
      <c r="F498" s="33" t="s">
        <v>1327</v>
      </c>
      <c r="G498" s="33" t="s">
        <v>190</v>
      </c>
      <c r="H498" s="33" t="s">
        <v>317</v>
      </c>
      <c r="I498" s="33" t="s">
        <v>100</v>
      </c>
      <c r="J498" s="33" t="s">
        <v>41</v>
      </c>
      <c r="K498" s="34" t="s">
        <v>101</v>
      </c>
    </row>
    <row r="499">
      <c r="A499" s="27">
        <v>7185.0</v>
      </c>
      <c r="B499" s="28">
        <v>146867.0</v>
      </c>
      <c r="C499" s="29" t="s">
        <v>102</v>
      </c>
      <c r="D499" s="29" t="s">
        <v>200</v>
      </c>
      <c r="E499" s="29" t="s">
        <v>1328</v>
      </c>
      <c r="F499" s="29" t="s">
        <v>1329</v>
      </c>
      <c r="G499" s="29" t="s">
        <v>412</v>
      </c>
      <c r="H499" s="29" t="s">
        <v>413</v>
      </c>
      <c r="I499" s="29" t="s">
        <v>100</v>
      </c>
      <c r="J499" s="29" t="s">
        <v>56</v>
      </c>
      <c r="K499" s="30" t="s">
        <v>101</v>
      </c>
    </row>
    <row r="500">
      <c r="A500" s="31">
        <v>25455.0</v>
      </c>
      <c r="B500" s="32">
        <v>63142.0</v>
      </c>
      <c r="C500" s="33" t="s">
        <v>102</v>
      </c>
      <c r="D500" s="33" t="s">
        <v>432</v>
      </c>
      <c r="E500" s="33" t="s">
        <v>1328</v>
      </c>
      <c r="F500" s="33" t="s">
        <v>1330</v>
      </c>
      <c r="G500" s="33" t="s">
        <v>412</v>
      </c>
      <c r="H500" s="33" t="s">
        <v>413</v>
      </c>
      <c r="I500" s="33" t="s">
        <v>100</v>
      </c>
      <c r="J500" s="33" t="s">
        <v>41</v>
      </c>
      <c r="K500" s="34" t="s">
        <v>101</v>
      </c>
    </row>
    <row r="501">
      <c r="A501" s="27">
        <v>29556.0</v>
      </c>
      <c r="B501" s="28">
        <v>7657.0</v>
      </c>
      <c r="C501" s="29" t="s">
        <v>94</v>
      </c>
      <c r="D501" s="29" t="s">
        <v>1331</v>
      </c>
      <c r="E501" s="29" t="s">
        <v>1332</v>
      </c>
      <c r="F501" s="29" t="s">
        <v>1333</v>
      </c>
      <c r="G501" s="29" t="s">
        <v>130</v>
      </c>
      <c r="H501" s="35" t="s">
        <v>131</v>
      </c>
      <c r="I501" s="29" t="s">
        <v>100</v>
      </c>
      <c r="J501" s="29" t="s">
        <v>44</v>
      </c>
      <c r="K501" s="30" t="s">
        <v>101</v>
      </c>
    </row>
    <row r="502">
      <c r="A502" s="31">
        <v>38919.0</v>
      </c>
      <c r="B502" s="32">
        <v>162987.0</v>
      </c>
      <c r="C502" s="33" t="s">
        <v>102</v>
      </c>
      <c r="D502" s="33" t="s">
        <v>891</v>
      </c>
      <c r="E502" s="33" t="s">
        <v>1334</v>
      </c>
      <c r="F502" s="33" t="s">
        <v>1335</v>
      </c>
      <c r="G502" s="33" t="s">
        <v>119</v>
      </c>
      <c r="H502" s="33" t="s">
        <v>120</v>
      </c>
      <c r="I502" s="33" t="s">
        <v>100</v>
      </c>
      <c r="J502" s="33" t="s">
        <v>41</v>
      </c>
      <c r="K502" s="34" t="s">
        <v>101</v>
      </c>
    </row>
    <row r="503">
      <c r="A503" s="27">
        <v>38990.0</v>
      </c>
      <c r="B503" s="28">
        <v>168170.0</v>
      </c>
      <c r="C503" s="29" t="s">
        <v>102</v>
      </c>
      <c r="D503" s="29" t="s">
        <v>1336</v>
      </c>
      <c r="E503" s="29" t="s">
        <v>1334</v>
      </c>
      <c r="F503" s="29" t="s">
        <v>1337</v>
      </c>
      <c r="G503" s="29" t="s">
        <v>119</v>
      </c>
      <c r="H503" s="29" t="s">
        <v>120</v>
      </c>
      <c r="I503" s="29" t="s">
        <v>100</v>
      </c>
      <c r="J503" s="29" t="s">
        <v>280</v>
      </c>
      <c r="K503" s="30" t="s">
        <v>281</v>
      </c>
    </row>
    <row r="504">
      <c r="A504" s="31">
        <v>38991.0</v>
      </c>
      <c r="B504" s="32">
        <v>168171.0</v>
      </c>
      <c r="C504" s="33" t="s">
        <v>102</v>
      </c>
      <c r="D504" s="33" t="s">
        <v>1338</v>
      </c>
      <c r="E504" s="33" t="s">
        <v>1334</v>
      </c>
      <c r="F504" s="33" t="s">
        <v>1339</v>
      </c>
      <c r="G504" s="33" t="s">
        <v>119</v>
      </c>
      <c r="H504" s="33" t="s">
        <v>120</v>
      </c>
      <c r="I504" s="33" t="s">
        <v>100</v>
      </c>
      <c r="J504" s="33" t="s">
        <v>1340</v>
      </c>
      <c r="K504" s="34" t="s">
        <v>281</v>
      </c>
    </row>
    <row r="505">
      <c r="A505" s="27">
        <v>38876.0</v>
      </c>
      <c r="B505" s="28">
        <v>162020.0</v>
      </c>
      <c r="C505" s="29" t="s">
        <v>94</v>
      </c>
      <c r="D505" s="29" t="s">
        <v>1341</v>
      </c>
      <c r="E505" s="29" t="s">
        <v>1334</v>
      </c>
      <c r="F505" s="29" t="s">
        <v>1342</v>
      </c>
      <c r="G505" s="29" t="s">
        <v>119</v>
      </c>
      <c r="H505" s="29" t="s">
        <v>120</v>
      </c>
      <c r="I505" s="29" t="s">
        <v>100</v>
      </c>
      <c r="J505" s="29" t="s">
        <v>44</v>
      </c>
      <c r="K505" s="30" t="s">
        <v>101</v>
      </c>
    </row>
    <row r="506">
      <c r="A506" s="31">
        <v>16459.0</v>
      </c>
      <c r="B506" s="32">
        <v>111846.0</v>
      </c>
      <c r="C506" s="33" t="s">
        <v>102</v>
      </c>
      <c r="D506" s="33" t="s">
        <v>477</v>
      </c>
      <c r="E506" s="33" t="s">
        <v>1343</v>
      </c>
      <c r="F506" s="33" t="s">
        <v>1344</v>
      </c>
      <c r="G506" s="33" t="s">
        <v>135</v>
      </c>
      <c r="H506" s="33" t="s">
        <v>294</v>
      </c>
      <c r="I506" s="33" t="s">
        <v>100</v>
      </c>
      <c r="J506" s="33" t="s">
        <v>56</v>
      </c>
      <c r="K506" s="34" t="s">
        <v>101</v>
      </c>
    </row>
    <row r="507">
      <c r="A507" s="27">
        <v>7411.0</v>
      </c>
      <c r="B507" s="28">
        <v>118655.0</v>
      </c>
      <c r="C507" s="29" t="s">
        <v>102</v>
      </c>
      <c r="D507" s="29" t="s">
        <v>785</v>
      </c>
      <c r="E507" s="29" t="s">
        <v>1345</v>
      </c>
      <c r="F507" s="29" t="s">
        <v>1346</v>
      </c>
      <c r="G507" s="29" t="s">
        <v>130</v>
      </c>
      <c r="H507" s="29" t="s">
        <v>153</v>
      </c>
      <c r="I507" s="29" t="s">
        <v>100</v>
      </c>
      <c r="J507" s="29" t="s">
        <v>53</v>
      </c>
      <c r="K507" s="30" t="s">
        <v>101</v>
      </c>
    </row>
    <row r="508">
      <c r="A508" s="31">
        <v>38226.0</v>
      </c>
      <c r="B508" s="32">
        <v>132283.0</v>
      </c>
      <c r="C508" s="33" t="s">
        <v>102</v>
      </c>
      <c r="D508" s="33" t="s">
        <v>1347</v>
      </c>
      <c r="E508" s="33" t="s">
        <v>1345</v>
      </c>
      <c r="F508" s="33" t="s">
        <v>1348</v>
      </c>
      <c r="G508" s="33" t="s">
        <v>198</v>
      </c>
      <c r="H508" s="33" t="s">
        <v>353</v>
      </c>
      <c r="I508" s="33" t="s">
        <v>100</v>
      </c>
      <c r="J508" s="33" t="s">
        <v>41</v>
      </c>
      <c r="K508" s="34" t="s">
        <v>101</v>
      </c>
    </row>
    <row r="509">
      <c r="A509" s="27">
        <v>16137.0</v>
      </c>
      <c r="B509" s="28">
        <v>124812.0</v>
      </c>
      <c r="C509" s="29" t="s">
        <v>102</v>
      </c>
      <c r="D509" s="29" t="s">
        <v>1349</v>
      </c>
      <c r="E509" s="29" t="s">
        <v>1345</v>
      </c>
      <c r="F509" s="29" t="s">
        <v>1350</v>
      </c>
      <c r="G509" s="29" t="s">
        <v>741</v>
      </c>
      <c r="H509" s="29" t="s">
        <v>742</v>
      </c>
      <c r="I509" s="29" t="s">
        <v>100</v>
      </c>
      <c r="J509" s="29" t="s">
        <v>59</v>
      </c>
      <c r="K509" s="30" t="s">
        <v>101</v>
      </c>
    </row>
    <row r="510">
      <c r="A510" s="31">
        <v>16402.0</v>
      </c>
      <c r="B510" s="32">
        <v>116641.0</v>
      </c>
      <c r="C510" s="33" t="s">
        <v>102</v>
      </c>
      <c r="D510" s="33" t="s">
        <v>941</v>
      </c>
      <c r="E510" s="33" t="s">
        <v>1351</v>
      </c>
      <c r="F510" s="33" t="s">
        <v>1352</v>
      </c>
      <c r="G510" s="33" t="s">
        <v>270</v>
      </c>
      <c r="H510" s="33" t="s">
        <v>719</v>
      </c>
      <c r="I510" s="33" t="s">
        <v>100</v>
      </c>
      <c r="J510" s="33" t="s">
        <v>56</v>
      </c>
      <c r="K510" s="34" t="s">
        <v>101</v>
      </c>
    </row>
    <row r="511">
      <c r="A511" s="27">
        <v>38989.0</v>
      </c>
      <c r="B511" s="28">
        <v>168169.0</v>
      </c>
      <c r="C511" s="29" t="s">
        <v>102</v>
      </c>
      <c r="D511" s="29" t="s">
        <v>1353</v>
      </c>
      <c r="E511" s="29" t="s">
        <v>1354</v>
      </c>
      <c r="F511" s="29" t="s">
        <v>1355</v>
      </c>
      <c r="G511" s="29" t="s">
        <v>119</v>
      </c>
      <c r="H511" s="29" t="s">
        <v>120</v>
      </c>
      <c r="I511" s="29" t="s">
        <v>100</v>
      </c>
      <c r="J511" s="29" t="s">
        <v>280</v>
      </c>
      <c r="K511" s="30" t="s">
        <v>281</v>
      </c>
    </row>
    <row r="512">
      <c r="A512" s="31">
        <v>7544.0</v>
      </c>
      <c r="B512" s="32">
        <v>109425.0</v>
      </c>
      <c r="C512" s="33" t="s">
        <v>94</v>
      </c>
      <c r="D512" s="33" t="s">
        <v>150</v>
      </c>
      <c r="E512" s="33" t="s">
        <v>1356</v>
      </c>
      <c r="F512" s="33" t="s">
        <v>1357</v>
      </c>
      <c r="G512" s="33" t="s">
        <v>270</v>
      </c>
      <c r="H512" s="33" t="s">
        <v>271</v>
      </c>
      <c r="I512" s="33" t="s">
        <v>100</v>
      </c>
      <c r="J512" s="33" t="s">
        <v>65</v>
      </c>
      <c r="K512" s="34" t="s">
        <v>101</v>
      </c>
    </row>
    <row r="513">
      <c r="A513" s="27">
        <v>25064.0</v>
      </c>
      <c r="B513" s="28">
        <v>36001.0</v>
      </c>
      <c r="C513" s="29" t="s">
        <v>102</v>
      </c>
      <c r="D513" s="29" t="s">
        <v>230</v>
      </c>
      <c r="E513" s="29" t="s">
        <v>1356</v>
      </c>
      <c r="F513" s="29" t="s">
        <v>1358</v>
      </c>
      <c r="G513" s="29" t="s">
        <v>275</v>
      </c>
      <c r="H513" s="29" t="s">
        <v>276</v>
      </c>
      <c r="I513" s="29" t="s">
        <v>100</v>
      </c>
      <c r="J513" s="29" t="s">
        <v>41</v>
      </c>
      <c r="K513" s="30" t="s">
        <v>101</v>
      </c>
    </row>
    <row r="514">
      <c r="A514" s="31">
        <v>38752.0</v>
      </c>
      <c r="B514" s="32">
        <v>155276.0</v>
      </c>
      <c r="C514" s="33" t="s">
        <v>102</v>
      </c>
      <c r="D514" s="33" t="s">
        <v>1359</v>
      </c>
      <c r="E514" s="33" t="s">
        <v>1356</v>
      </c>
      <c r="F514" s="33" t="s">
        <v>1360</v>
      </c>
      <c r="G514" s="33" t="s">
        <v>130</v>
      </c>
      <c r="H514" s="33" t="s">
        <v>211</v>
      </c>
      <c r="I514" s="33" t="s">
        <v>100</v>
      </c>
      <c r="J514" s="33" t="s">
        <v>56</v>
      </c>
      <c r="K514" s="34" t="s">
        <v>101</v>
      </c>
    </row>
    <row r="515">
      <c r="A515" s="27">
        <v>38838.0</v>
      </c>
      <c r="B515" s="28">
        <v>159624.0</v>
      </c>
      <c r="C515" s="29" t="s">
        <v>102</v>
      </c>
      <c r="D515" s="29" t="s">
        <v>1199</v>
      </c>
      <c r="E515" s="29" t="s">
        <v>1361</v>
      </c>
      <c r="F515" s="29" t="s">
        <v>1362</v>
      </c>
      <c r="G515" s="29" t="s">
        <v>143</v>
      </c>
      <c r="H515" s="29" t="s">
        <v>144</v>
      </c>
      <c r="I515" s="29" t="s">
        <v>100</v>
      </c>
      <c r="J515" s="29" t="s">
        <v>41</v>
      </c>
      <c r="K515" s="30" t="s">
        <v>101</v>
      </c>
    </row>
    <row r="516">
      <c r="A516" s="31">
        <v>25972.0</v>
      </c>
      <c r="B516" s="32">
        <v>112285.0</v>
      </c>
      <c r="C516" s="33" t="s">
        <v>102</v>
      </c>
      <c r="D516" s="33" t="s">
        <v>400</v>
      </c>
      <c r="E516" s="33" t="s">
        <v>1363</v>
      </c>
      <c r="F516" s="33" t="s">
        <v>1364</v>
      </c>
      <c r="G516" s="33" t="s">
        <v>130</v>
      </c>
      <c r="H516" s="33" t="s">
        <v>459</v>
      </c>
      <c r="I516" s="33" t="s">
        <v>100</v>
      </c>
      <c r="J516" s="33" t="s">
        <v>41</v>
      </c>
      <c r="K516" s="34" t="s">
        <v>101</v>
      </c>
    </row>
    <row r="517">
      <c r="A517" s="27">
        <v>38806.0</v>
      </c>
      <c r="B517" s="28">
        <v>158041.0</v>
      </c>
      <c r="C517" s="29" t="s">
        <v>102</v>
      </c>
      <c r="D517" s="29" t="s">
        <v>879</v>
      </c>
      <c r="E517" s="29" t="s">
        <v>1363</v>
      </c>
      <c r="F517" s="29" t="s">
        <v>1365</v>
      </c>
      <c r="G517" s="29" t="s">
        <v>270</v>
      </c>
      <c r="H517" s="29" t="s">
        <v>374</v>
      </c>
      <c r="I517" s="29" t="s">
        <v>100</v>
      </c>
      <c r="J517" s="29" t="s">
        <v>280</v>
      </c>
      <c r="K517" s="30" t="s">
        <v>281</v>
      </c>
    </row>
    <row r="518">
      <c r="A518" s="31">
        <v>38334.0</v>
      </c>
      <c r="B518" s="32">
        <v>136649.0</v>
      </c>
      <c r="C518" s="33" t="s">
        <v>102</v>
      </c>
      <c r="D518" s="33" t="s">
        <v>547</v>
      </c>
      <c r="E518" s="33" t="s">
        <v>1363</v>
      </c>
      <c r="F518" s="33" t="s">
        <v>1366</v>
      </c>
      <c r="G518" s="33" t="s">
        <v>270</v>
      </c>
      <c r="H518" s="33" t="s">
        <v>374</v>
      </c>
      <c r="I518" s="33" t="s">
        <v>100</v>
      </c>
      <c r="J518" s="33" t="s">
        <v>435</v>
      </c>
      <c r="K518" s="34" t="s">
        <v>281</v>
      </c>
    </row>
    <row r="519">
      <c r="A519" s="27">
        <v>38905.0</v>
      </c>
      <c r="B519" s="28">
        <v>162969.0</v>
      </c>
      <c r="C519" s="29" t="s">
        <v>94</v>
      </c>
      <c r="D519" s="29" t="s">
        <v>1367</v>
      </c>
      <c r="E519" s="29" t="s">
        <v>1368</v>
      </c>
      <c r="F519" s="29" t="s">
        <v>1369</v>
      </c>
      <c r="G519" s="29" t="s">
        <v>114</v>
      </c>
      <c r="H519" s="29" t="s">
        <v>115</v>
      </c>
      <c r="I519" s="29" t="s">
        <v>100</v>
      </c>
      <c r="J519" s="29" t="s">
        <v>290</v>
      </c>
      <c r="K519" s="30" t="s">
        <v>281</v>
      </c>
    </row>
    <row r="520">
      <c r="A520" s="31">
        <v>7445.0</v>
      </c>
      <c r="B520" s="32">
        <v>131722.0</v>
      </c>
      <c r="C520" s="33" t="s">
        <v>94</v>
      </c>
      <c r="D520" s="33" t="s">
        <v>1370</v>
      </c>
      <c r="E520" s="33" t="s">
        <v>1371</v>
      </c>
      <c r="F520" s="33" t="s">
        <v>1372</v>
      </c>
      <c r="G520" s="33" t="s">
        <v>198</v>
      </c>
      <c r="H520" s="33" t="s">
        <v>328</v>
      </c>
      <c r="I520" s="33" t="s">
        <v>100</v>
      </c>
      <c r="J520" s="33" t="s">
        <v>44</v>
      </c>
      <c r="K520" s="34" t="s">
        <v>101</v>
      </c>
    </row>
    <row r="521">
      <c r="A521" s="27">
        <v>7597.0</v>
      </c>
      <c r="B521" s="28">
        <v>111325.0</v>
      </c>
      <c r="C521" s="29" t="s">
        <v>102</v>
      </c>
      <c r="D521" s="29" t="s">
        <v>354</v>
      </c>
      <c r="E521" s="29" t="s">
        <v>1371</v>
      </c>
      <c r="F521" s="29" t="s">
        <v>1373</v>
      </c>
      <c r="G521" s="29" t="s">
        <v>130</v>
      </c>
      <c r="H521" s="35" t="s">
        <v>131</v>
      </c>
      <c r="I521" s="29" t="s">
        <v>100</v>
      </c>
      <c r="J521" s="29" t="s">
        <v>56</v>
      </c>
      <c r="K521" s="30" t="s">
        <v>101</v>
      </c>
    </row>
    <row r="522">
      <c r="A522" s="31">
        <v>7576.0</v>
      </c>
      <c r="B522" s="32">
        <v>146943.0</v>
      </c>
      <c r="C522" s="33" t="s">
        <v>94</v>
      </c>
      <c r="D522" s="33" t="s">
        <v>482</v>
      </c>
      <c r="E522" s="33" t="s">
        <v>1371</v>
      </c>
      <c r="F522" s="33" t="s">
        <v>1374</v>
      </c>
      <c r="G522" s="33" t="s">
        <v>130</v>
      </c>
      <c r="H522" s="36" t="s">
        <v>131</v>
      </c>
      <c r="I522" s="33" t="s">
        <v>100</v>
      </c>
      <c r="J522" s="33" t="s">
        <v>68</v>
      </c>
      <c r="K522" s="34" t="s">
        <v>101</v>
      </c>
    </row>
    <row r="523">
      <c r="A523" s="27">
        <v>38276.0</v>
      </c>
      <c r="B523" s="28">
        <v>136274.0</v>
      </c>
      <c r="C523" s="29" t="s">
        <v>102</v>
      </c>
      <c r="D523" s="29" t="s">
        <v>1375</v>
      </c>
      <c r="E523" s="29" t="s">
        <v>1376</v>
      </c>
      <c r="F523" s="29" t="s">
        <v>1377</v>
      </c>
      <c r="G523" s="29" t="s">
        <v>190</v>
      </c>
      <c r="H523" s="29" t="s">
        <v>191</v>
      </c>
      <c r="I523" s="29" t="s">
        <v>100</v>
      </c>
      <c r="J523" s="29" t="s">
        <v>41</v>
      </c>
      <c r="K523" s="30" t="s">
        <v>101</v>
      </c>
    </row>
    <row r="524">
      <c r="A524" s="31">
        <v>25435.0</v>
      </c>
      <c r="B524" s="32">
        <v>162041.0</v>
      </c>
      <c r="C524" s="33" t="s">
        <v>94</v>
      </c>
      <c r="D524" s="33" t="s">
        <v>810</v>
      </c>
      <c r="E524" s="33" t="s">
        <v>1378</v>
      </c>
      <c r="F524" s="33" t="s">
        <v>1379</v>
      </c>
      <c r="G524" s="33" t="s">
        <v>181</v>
      </c>
      <c r="H524" s="33" t="s">
        <v>229</v>
      </c>
      <c r="I524" s="33" t="s">
        <v>100</v>
      </c>
      <c r="J524" s="33" t="s">
        <v>65</v>
      </c>
      <c r="K524" s="34" t="s">
        <v>101</v>
      </c>
    </row>
    <row r="525">
      <c r="A525" s="27">
        <v>38425.0</v>
      </c>
      <c r="B525" s="28">
        <v>140372.0</v>
      </c>
      <c r="C525" s="29" t="s">
        <v>102</v>
      </c>
      <c r="D525" s="29" t="s">
        <v>204</v>
      </c>
      <c r="E525" s="29" t="s">
        <v>1380</v>
      </c>
      <c r="F525" s="29" t="s">
        <v>1381</v>
      </c>
      <c r="G525" s="29" t="s">
        <v>331</v>
      </c>
      <c r="H525" s="29" t="s">
        <v>332</v>
      </c>
      <c r="I525" s="29" t="s">
        <v>100</v>
      </c>
      <c r="J525" s="29" t="s">
        <v>56</v>
      </c>
      <c r="K525" s="30" t="s">
        <v>101</v>
      </c>
    </row>
    <row r="526">
      <c r="A526" s="31">
        <v>22116.0</v>
      </c>
      <c r="B526" s="32">
        <v>149997.0</v>
      </c>
      <c r="C526" s="33" t="s">
        <v>102</v>
      </c>
      <c r="D526" s="37" t="s">
        <v>1382</v>
      </c>
      <c r="E526" s="37" t="s">
        <v>1383</v>
      </c>
      <c r="F526" s="37" t="s">
        <v>1384</v>
      </c>
      <c r="G526" s="33" t="s">
        <v>207</v>
      </c>
      <c r="H526" s="33" t="s">
        <v>208</v>
      </c>
      <c r="I526" s="33" t="s">
        <v>100</v>
      </c>
      <c r="J526" s="33" t="s">
        <v>41</v>
      </c>
      <c r="K526" s="34" t="s">
        <v>101</v>
      </c>
    </row>
    <row r="527">
      <c r="A527" s="27">
        <v>38865.0</v>
      </c>
      <c r="B527" s="28">
        <v>162005.0</v>
      </c>
      <c r="C527" s="29" t="s">
        <v>102</v>
      </c>
      <c r="D527" s="29" t="s">
        <v>988</v>
      </c>
      <c r="E527" s="29" t="s">
        <v>1385</v>
      </c>
      <c r="F527" s="29" t="s">
        <v>1386</v>
      </c>
      <c r="G527" s="29" t="s">
        <v>114</v>
      </c>
      <c r="H527" s="29" t="s">
        <v>115</v>
      </c>
      <c r="I527" s="29" t="s">
        <v>100</v>
      </c>
      <c r="J527" s="29" t="s">
        <v>280</v>
      </c>
      <c r="K527" s="30" t="s">
        <v>281</v>
      </c>
    </row>
    <row r="528">
      <c r="A528" s="31">
        <v>38775.0</v>
      </c>
      <c r="B528" s="32">
        <v>158006.0</v>
      </c>
      <c r="C528" s="33" t="s">
        <v>94</v>
      </c>
      <c r="D528" s="33" t="s">
        <v>1387</v>
      </c>
      <c r="E528" s="33" t="s">
        <v>1388</v>
      </c>
      <c r="F528" s="33" t="s">
        <v>1389</v>
      </c>
      <c r="G528" s="33" t="s">
        <v>119</v>
      </c>
      <c r="H528" s="33" t="s">
        <v>120</v>
      </c>
      <c r="I528" s="33" t="s">
        <v>100</v>
      </c>
      <c r="J528" s="33" t="s">
        <v>290</v>
      </c>
      <c r="K528" s="34" t="s">
        <v>281</v>
      </c>
    </row>
    <row r="529">
      <c r="A529" s="27">
        <v>38856.0</v>
      </c>
      <c r="B529" s="28">
        <v>159645.0</v>
      </c>
      <c r="C529" s="29" t="s">
        <v>102</v>
      </c>
      <c r="D529" s="29" t="s">
        <v>906</v>
      </c>
      <c r="E529" s="29" t="s">
        <v>1388</v>
      </c>
      <c r="F529" s="29" t="s">
        <v>1390</v>
      </c>
      <c r="G529" s="29" t="s">
        <v>119</v>
      </c>
      <c r="H529" s="29" t="s">
        <v>120</v>
      </c>
      <c r="I529" s="29" t="s">
        <v>100</v>
      </c>
      <c r="J529" s="29" t="s">
        <v>435</v>
      </c>
      <c r="K529" s="30" t="s">
        <v>281</v>
      </c>
    </row>
    <row r="530">
      <c r="A530" s="31">
        <v>38500.0</v>
      </c>
      <c r="B530" s="32">
        <v>142930.0</v>
      </c>
      <c r="C530" s="33" t="s">
        <v>102</v>
      </c>
      <c r="D530" s="33" t="s">
        <v>1391</v>
      </c>
      <c r="E530" s="33" t="s">
        <v>1392</v>
      </c>
      <c r="F530" s="33" t="s">
        <v>1393</v>
      </c>
      <c r="G530" s="33" t="s">
        <v>148</v>
      </c>
      <c r="H530" s="33" t="s">
        <v>149</v>
      </c>
      <c r="I530" s="33" t="s">
        <v>100</v>
      </c>
      <c r="J530" s="33" t="s">
        <v>56</v>
      </c>
      <c r="K530" s="34" t="s">
        <v>101</v>
      </c>
    </row>
    <row r="531">
      <c r="A531" s="27">
        <v>38210.0</v>
      </c>
      <c r="B531" s="28">
        <v>132065.0</v>
      </c>
      <c r="C531" s="29" t="s">
        <v>94</v>
      </c>
      <c r="D531" s="29" t="s">
        <v>1394</v>
      </c>
      <c r="E531" s="29" t="s">
        <v>1395</v>
      </c>
      <c r="F531" s="29" t="s">
        <v>1396</v>
      </c>
      <c r="G531" s="29" t="s">
        <v>135</v>
      </c>
      <c r="H531" s="29" t="s">
        <v>531</v>
      </c>
      <c r="I531" s="29" t="s">
        <v>100</v>
      </c>
      <c r="J531" s="29" t="s">
        <v>44</v>
      </c>
      <c r="K531" s="30" t="s">
        <v>101</v>
      </c>
    </row>
    <row r="532">
      <c r="A532" s="31">
        <v>38845.0</v>
      </c>
      <c r="B532" s="32">
        <v>159631.0</v>
      </c>
      <c r="C532" s="33" t="s">
        <v>102</v>
      </c>
      <c r="D532" s="33" t="s">
        <v>1397</v>
      </c>
      <c r="E532" s="33" t="s">
        <v>1398</v>
      </c>
      <c r="F532" s="33" t="s">
        <v>1399</v>
      </c>
      <c r="G532" s="33" t="s">
        <v>221</v>
      </c>
      <c r="H532" s="33" t="s">
        <v>222</v>
      </c>
      <c r="I532" s="33" t="s">
        <v>100</v>
      </c>
      <c r="J532" s="33" t="s">
        <v>435</v>
      </c>
      <c r="K532" s="34" t="s">
        <v>281</v>
      </c>
    </row>
    <row r="533">
      <c r="A533" s="27">
        <v>16712.0</v>
      </c>
      <c r="B533" s="28">
        <v>99128.0</v>
      </c>
      <c r="C533" s="29" t="s">
        <v>94</v>
      </c>
      <c r="D533" s="29" t="s">
        <v>216</v>
      </c>
      <c r="E533" s="29" t="s">
        <v>1400</v>
      </c>
      <c r="F533" s="29" t="s">
        <v>1401</v>
      </c>
      <c r="G533" s="29" t="s">
        <v>130</v>
      </c>
      <c r="H533" s="29" t="s">
        <v>153</v>
      </c>
      <c r="I533" s="29" t="s">
        <v>100</v>
      </c>
      <c r="J533" s="29" t="s">
        <v>44</v>
      </c>
      <c r="K533" s="30" t="s">
        <v>101</v>
      </c>
    </row>
    <row r="534">
      <c r="A534" s="31">
        <v>38914.0</v>
      </c>
      <c r="B534" s="32">
        <v>162981.0</v>
      </c>
      <c r="C534" s="33" t="s">
        <v>102</v>
      </c>
      <c r="D534" s="33" t="s">
        <v>245</v>
      </c>
      <c r="E534" s="33" t="s">
        <v>1402</v>
      </c>
      <c r="F534" s="33" t="s">
        <v>1403</v>
      </c>
      <c r="G534" s="33" t="s">
        <v>135</v>
      </c>
      <c r="H534" s="33" t="s">
        <v>136</v>
      </c>
      <c r="I534" s="33" t="s">
        <v>100</v>
      </c>
      <c r="J534" s="33" t="s">
        <v>41</v>
      </c>
      <c r="K534" s="34" t="s">
        <v>101</v>
      </c>
    </row>
    <row r="535">
      <c r="A535" s="27">
        <v>25826.0</v>
      </c>
      <c r="B535" s="28">
        <v>107441.0</v>
      </c>
      <c r="C535" s="29" t="s">
        <v>102</v>
      </c>
      <c r="D535" s="29" t="s">
        <v>1037</v>
      </c>
      <c r="E535" s="29" t="s">
        <v>1404</v>
      </c>
      <c r="F535" s="29" t="s">
        <v>1405</v>
      </c>
      <c r="G535" s="29" t="s">
        <v>130</v>
      </c>
      <c r="H535" s="29" t="s">
        <v>241</v>
      </c>
      <c r="I535" s="29" t="s">
        <v>100</v>
      </c>
      <c r="J535" s="29" t="s">
        <v>41</v>
      </c>
      <c r="K535" s="30" t="s">
        <v>101</v>
      </c>
    </row>
    <row r="536">
      <c r="A536" s="31">
        <v>16583.0</v>
      </c>
      <c r="B536" s="32">
        <v>116730.0</v>
      </c>
      <c r="C536" s="33" t="s">
        <v>102</v>
      </c>
      <c r="D536" s="33" t="s">
        <v>984</v>
      </c>
      <c r="E536" s="33" t="s">
        <v>1406</v>
      </c>
      <c r="F536" s="33" t="s">
        <v>1407</v>
      </c>
      <c r="G536" s="33" t="s">
        <v>741</v>
      </c>
      <c r="H536" s="33" t="s">
        <v>742</v>
      </c>
      <c r="I536" s="33" t="s">
        <v>100</v>
      </c>
      <c r="J536" s="33" t="s">
        <v>41</v>
      </c>
      <c r="K536" s="34" t="s">
        <v>101</v>
      </c>
    </row>
    <row r="537">
      <c r="A537" s="27">
        <v>25074.0</v>
      </c>
      <c r="B537" s="28">
        <v>159616.0</v>
      </c>
      <c r="C537" s="29" t="s">
        <v>102</v>
      </c>
      <c r="D537" s="29" t="s">
        <v>1408</v>
      </c>
      <c r="E537" s="29" t="s">
        <v>1409</v>
      </c>
      <c r="F537" s="29" t="s">
        <v>1410</v>
      </c>
      <c r="G537" s="29" t="s">
        <v>270</v>
      </c>
      <c r="H537" s="29" t="s">
        <v>719</v>
      </c>
      <c r="I537" s="29" t="s">
        <v>100</v>
      </c>
      <c r="J537" s="29" t="s">
        <v>53</v>
      </c>
      <c r="K537" s="30" t="s">
        <v>101</v>
      </c>
    </row>
    <row r="538">
      <c r="A538" s="31">
        <v>38933.0</v>
      </c>
      <c r="B538" s="32">
        <v>164051.0</v>
      </c>
      <c r="C538" s="33" t="s">
        <v>102</v>
      </c>
      <c r="D538" s="33" t="s">
        <v>109</v>
      </c>
      <c r="E538" s="33" t="s">
        <v>1411</v>
      </c>
      <c r="F538" s="33" t="s">
        <v>1412</v>
      </c>
      <c r="G538" s="33" t="s">
        <v>130</v>
      </c>
      <c r="H538" s="33" t="s">
        <v>346</v>
      </c>
      <c r="I538" s="33" t="s">
        <v>100</v>
      </c>
      <c r="J538" s="33" t="s">
        <v>41</v>
      </c>
      <c r="K538" s="34" t="s">
        <v>101</v>
      </c>
    </row>
    <row r="539">
      <c r="A539" s="27">
        <v>13493.0</v>
      </c>
      <c r="B539" s="28">
        <v>33391.0</v>
      </c>
      <c r="C539" s="29" t="s">
        <v>102</v>
      </c>
      <c r="D539" s="29" t="s">
        <v>245</v>
      </c>
      <c r="E539" s="29" t="s">
        <v>1413</v>
      </c>
      <c r="F539" s="29" t="s">
        <v>1414</v>
      </c>
      <c r="G539" s="29" t="s">
        <v>270</v>
      </c>
      <c r="H539" s="29" t="s">
        <v>374</v>
      </c>
      <c r="I539" s="29" t="s">
        <v>100</v>
      </c>
      <c r="J539" s="29" t="s">
        <v>41</v>
      </c>
      <c r="K539" s="30" t="s">
        <v>101</v>
      </c>
    </row>
    <row r="540">
      <c r="A540" s="31">
        <v>25351.0</v>
      </c>
      <c r="B540" s="32">
        <v>54221.0</v>
      </c>
      <c r="C540" s="33" t="s">
        <v>102</v>
      </c>
      <c r="D540" s="33" t="s">
        <v>635</v>
      </c>
      <c r="E540" s="33" t="s">
        <v>1415</v>
      </c>
      <c r="F540" s="33" t="s">
        <v>1416</v>
      </c>
      <c r="G540" s="33" t="s">
        <v>164</v>
      </c>
      <c r="H540" s="33" t="s">
        <v>165</v>
      </c>
      <c r="I540" s="33" t="s">
        <v>100</v>
      </c>
      <c r="J540" s="33" t="s">
        <v>56</v>
      </c>
      <c r="K540" s="34" t="s">
        <v>101</v>
      </c>
    </row>
    <row r="541">
      <c r="A541" s="27">
        <v>38900.0</v>
      </c>
      <c r="B541" s="28">
        <v>162963.0</v>
      </c>
      <c r="C541" s="29" t="s">
        <v>102</v>
      </c>
      <c r="D541" s="29" t="s">
        <v>387</v>
      </c>
      <c r="E541" s="29" t="s">
        <v>1417</v>
      </c>
      <c r="F541" s="29" t="s">
        <v>1418</v>
      </c>
      <c r="G541" s="29" t="s">
        <v>190</v>
      </c>
      <c r="H541" s="29" t="s">
        <v>191</v>
      </c>
      <c r="I541" s="29" t="s">
        <v>100</v>
      </c>
      <c r="J541" s="29" t="s">
        <v>41</v>
      </c>
      <c r="K541" s="30" t="s">
        <v>101</v>
      </c>
    </row>
    <row r="542">
      <c r="A542" s="31">
        <v>10124.0</v>
      </c>
      <c r="B542" s="32">
        <v>63269.0</v>
      </c>
      <c r="C542" s="33" t="s">
        <v>102</v>
      </c>
      <c r="D542" s="33" t="s">
        <v>272</v>
      </c>
      <c r="E542" s="33" t="s">
        <v>1115</v>
      </c>
      <c r="F542" s="33" t="s">
        <v>1419</v>
      </c>
      <c r="G542" s="33" t="s">
        <v>323</v>
      </c>
      <c r="H542" s="33" t="s">
        <v>417</v>
      </c>
      <c r="I542" s="33" t="s">
        <v>100</v>
      </c>
      <c r="J542" s="33" t="s">
        <v>41</v>
      </c>
      <c r="K542" s="34" t="s">
        <v>101</v>
      </c>
    </row>
    <row r="543">
      <c r="A543" s="27">
        <v>7443.0</v>
      </c>
      <c r="B543" s="28">
        <v>118658.0</v>
      </c>
      <c r="C543" s="29" t="s">
        <v>94</v>
      </c>
      <c r="D543" s="29" t="s">
        <v>1420</v>
      </c>
      <c r="E543" s="29" t="s">
        <v>1421</v>
      </c>
      <c r="F543" s="29" t="s">
        <v>1422</v>
      </c>
      <c r="G543" s="29" t="s">
        <v>130</v>
      </c>
      <c r="H543" s="29" t="s">
        <v>153</v>
      </c>
      <c r="I543" s="29" t="s">
        <v>100</v>
      </c>
      <c r="J543" s="29" t="s">
        <v>62</v>
      </c>
      <c r="K543" s="30" t="s">
        <v>101</v>
      </c>
    </row>
    <row r="544">
      <c r="A544" s="31">
        <v>7251.0</v>
      </c>
      <c r="B544" s="32">
        <v>118657.0</v>
      </c>
      <c r="C544" s="33" t="s">
        <v>102</v>
      </c>
      <c r="D544" s="33" t="s">
        <v>557</v>
      </c>
      <c r="E544" s="33" t="s">
        <v>1421</v>
      </c>
      <c r="F544" s="33" t="s">
        <v>1423</v>
      </c>
      <c r="G544" s="33" t="s">
        <v>130</v>
      </c>
      <c r="H544" s="33" t="s">
        <v>153</v>
      </c>
      <c r="I544" s="33" t="s">
        <v>100</v>
      </c>
      <c r="J544" s="33" t="s">
        <v>59</v>
      </c>
      <c r="K544" s="34" t="s">
        <v>101</v>
      </c>
    </row>
    <row r="545">
      <c r="A545" s="27">
        <v>25704.0</v>
      </c>
      <c r="B545" s="28">
        <v>123196.0</v>
      </c>
      <c r="C545" s="29" t="s">
        <v>94</v>
      </c>
      <c r="D545" s="29" t="s">
        <v>1424</v>
      </c>
      <c r="E545" s="29" t="s">
        <v>1425</v>
      </c>
      <c r="F545" s="29" t="s">
        <v>1426</v>
      </c>
      <c r="G545" s="29" t="s">
        <v>323</v>
      </c>
      <c r="H545" s="29" t="s">
        <v>417</v>
      </c>
      <c r="I545" s="29" t="s">
        <v>100</v>
      </c>
      <c r="J545" s="29" t="s">
        <v>62</v>
      </c>
      <c r="K545" s="30" t="s">
        <v>101</v>
      </c>
    </row>
    <row r="546">
      <c r="A546" s="31">
        <v>7607.0</v>
      </c>
      <c r="B546" s="32">
        <v>120997.0</v>
      </c>
      <c r="C546" s="33" t="s">
        <v>102</v>
      </c>
      <c r="D546" s="33" t="s">
        <v>477</v>
      </c>
      <c r="E546" s="33" t="s">
        <v>1427</v>
      </c>
      <c r="F546" s="33" t="s">
        <v>1428</v>
      </c>
      <c r="G546" s="33" t="s">
        <v>130</v>
      </c>
      <c r="H546" s="33" t="s">
        <v>157</v>
      </c>
      <c r="I546" s="33" t="s">
        <v>100</v>
      </c>
      <c r="J546" s="33" t="s">
        <v>56</v>
      </c>
      <c r="K546" s="34" t="s">
        <v>101</v>
      </c>
    </row>
    <row r="547">
      <c r="A547" s="27">
        <v>25887.0</v>
      </c>
      <c r="B547" s="28">
        <v>111426.0</v>
      </c>
      <c r="C547" s="29" t="s">
        <v>94</v>
      </c>
      <c r="D547" s="29" t="s">
        <v>1429</v>
      </c>
      <c r="E547" s="29" t="s">
        <v>1427</v>
      </c>
      <c r="F547" s="29" t="s">
        <v>1430</v>
      </c>
      <c r="G547" s="29" t="s">
        <v>130</v>
      </c>
      <c r="H547" s="29" t="s">
        <v>157</v>
      </c>
      <c r="I547" s="29" t="s">
        <v>100</v>
      </c>
      <c r="J547" s="29" t="s">
        <v>62</v>
      </c>
      <c r="K547" s="30" t="s">
        <v>101</v>
      </c>
    </row>
    <row r="548">
      <c r="A548" s="31">
        <v>16811.0</v>
      </c>
      <c r="B548" s="32">
        <v>111848.0</v>
      </c>
      <c r="C548" s="33" t="s">
        <v>102</v>
      </c>
      <c r="D548" s="33" t="s">
        <v>308</v>
      </c>
      <c r="E548" s="33" t="s">
        <v>1427</v>
      </c>
      <c r="F548" s="33" t="s">
        <v>1431</v>
      </c>
      <c r="G548" s="33" t="s">
        <v>135</v>
      </c>
      <c r="H548" s="33" t="s">
        <v>294</v>
      </c>
      <c r="I548" s="33" t="s">
        <v>100</v>
      </c>
      <c r="J548" s="33" t="s">
        <v>56</v>
      </c>
      <c r="K548" s="34" t="s">
        <v>101</v>
      </c>
    </row>
    <row r="549">
      <c r="A549" s="27">
        <v>28367.0</v>
      </c>
      <c r="B549" s="28">
        <v>24962.0</v>
      </c>
      <c r="C549" s="29" t="s">
        <v>102</v>
      </c>
      <c r="D549" s="29" t="s">
        <v>132</v>
      </c>
      <c r="E549" s="29" t="s">
        <v>1427</v>
      </c>
      <c r="F549" s="29" t="s">
        <v>1432</v>
      </c>
      <c r="G549" s="29" t="s">
        <v>221</v>
      </c>
      <c r="H549" s="29" t="s">
        <v>222</v>
      </c>
      <c r="I549" s="29" t="s">
        <v>100</v>
      </c>
      <c r="J549" s="29" t="s">
        <v>41</v>
      </c>
      <c r="K549" s="30" t="s">
        <v>101</v>
      </c>
    </row>
    <row r="550">
      <c r="A550" s="31">
        <v>38996.0</v>
      </c>
      <c r="B550" s="32">
        <v>168176.0</v>
      </c>
      <c r="C550" s="33" t="s">
        <v>102</v>
      </c>
      <c r="D550" s="33" t="s">
        <v>230</v>
      </c>
      <c r="E550" s="33" t="s">
        <v>1427</v>
      </c>
      <c r="F550" s="33" t="s">
        <v>1433</v>
      </c>
      <c r="G550" s="33" t="s">
        <v>130</v>
      </c>
      <c r="H550" s="33" t="s">
        <v>172</v>
      </c>
      <c r="I550" s="33" t="s">
        <v>100</v>
      </c>
      <c r="J550" s="33" t="s">
        <v>41</v>
      </c>
      <c r="K550" s="34" t="s">
        <v>101</v>
      </c>
    </row>
    <row r="551">
      <c r="A551" s="27">
        <v>25888.0</v>
      </c>
      <c r="B551" s="28">
        <v>111425.0</v>
      </c>
      <c r="C551" s="29" t="s">
        <v>102</v>
      </c>
      <c r="D551" s="29" t="s">
        <v>195</v>
      </c>
      <c r="E551" s="29" t="s">
        <v>1427</v>
      </c>
      <c r="F551" s="29" t="s">
        <v>1434</v>
      </c>
      <c r="G551" s="29" t="s">
        <v>130</v>
      </c>
      <c r="H551" s="29" t="s">
        <v>157</v>
      </c>
      <c r="I551" s="29" t="s">
        <v>100</v>
      </c>
      <c r="J551" s="29" t="s">
        <v>53</v>
      </c>
      <c r="K551" s="30" t="s">
        <v>101</v>
      </c>
    </row>
    <row r="552">
      <c r="A552" s="31">
        <v>38548.0</v>
      </c>
      <c r="B552" s="32">
        <v>145613.0</v>
      </c>
      <c r="C552" s="33" t="s">
        <v>94</v>
      </c>
      <c r="D552" s="33" t="s">
        <v>1435</v>
      </c>
      <c r="E552" s="33" t="s">
        <v>1427</v>
      </c>
      <c r="F552" s="33" t="s">
        <v>1436</v>
      </c>
      <c r="G552" s="33" t="s">
        <v>130</v>
      </c>
      <c r="H552" s="33" t="s">
        <v>157</v>
      </c>
      <c r="I552" s="33" t="s">
        <v>100</v>
      </c>
      <c r="J552" s="33" t="s">
        <v>44</v>
      </c>
      <c r="K552" s="34" t="s">
        <v>101</v>
      </c>
    </row>
    <row r="553">
      <c r="A553" s="27">
        <v>12850.0</v>
      </c>
      <c r="B553" s="28">
        <v>146916.0</v>
      </c>
      <c r="C553" s="29" t="s">
        <v>94</v>
      </c>
      <c r="D553" s="29" t="s">
        <v>623</v>
      </c>
      <c r="E553" s="29" t="s">
        <v>1427</v>
      </c>
      <c r="F553" s="29" t="s">
        <v>1437</v>
      </c>
      <c r="G553" s="29" t="s">
        <v>130</v>
      </c>
      <c r="H553" s="35" t="s">
        <v>131</v>
      </c>
      <c r="I553" s="29" t="s">
        <v>100</v>
      </c>
      <c r="J553" s="29" t="s">
        <v>65</v>
      </c>
      <c r="K553" s="30" t="s">
        <v>101</v>
      </c>
    </row>
    <row r="554">
      <c r="A554" s="31">
        <v>38221.0</v>
      </c>
      <c r="B554" s="32">
        <v>132228.0</v>
      </c>
      <c r="C554" s="33" t="s">
        <v>102</v>
      </c>
      <c r="D554" s="33" t="s">
        <v>245</v>
      </c>
      <c r="E554" s="33" t="s">
        <v>1427</v>
      </c>
      <c r="F554" s="33" t="s">
        <v>1438</v>
      </c>
      <c r="G554" s="33" t="s">
        <v>130</v>
      </c>
      <c r="H554" s="33" t="s">
        <v>211</v>
      </c>
      <c r="I554" s="33" t="s">
        <v>100</v>
      </c>
      <c r="J554" s="33" t="s">
        <v>41</v>
      </c>
      <c r="K554" s="34" t="s">
        <v>101</v>
      </c>
    </row>
    <row r="555">
      <c r="A555" s="27">
        <v>7810.0</v>
      </c>
      <c r="B555" s="28">
        <v>112180.0</v>
      </c>
      <c r="C555" s="29" t="s">
        <v>102</v>
      </c>
      <c r="D555" s="29" t="s">
        <v>387</v>
      </c>
      <c r="E555" s="29" t="s">
        <v>1439</v>
      </c>
      <c r="F555" s="29" t="s">
        <v>1440</v>
      </c>
      <c r="G555" s="29" t="s">
        <v>198</v>
      </c>
      <c r="H555" s="29" t="s">
        <v>199</v>
      </c>
      <c r="I555" s="29" t="s">
        <v>100</v>
      </c>
      <c r="J555" s="29" t="s">
        <v>53</v>
      </c>
      <c r="K555" s="30" t="s">
        <v>101</v>
      </c>
    </row>
    <row r="556">
      <c r="A556" s="31">
        <v>38842.0</v>
      </c>
      <c r="B556" s="32">
        <v>159628.0</v>
      </c>
      <c r="C556" s="33" t="s">
        <v>102</v>
      </c>
      <c r="D556" s="33" t="s">
        <v>429</v>
      </c>
      <c r="E556" s="33" t="s">
        <v>1441</v>
      </c>
      <c r="F556" s="33" t="s">
        <v>1442</v>
      </c>
      <c r="G556" s="33" t="s">
        <v>98</v>
      </c>
      <c r="H556" s="33" t="s">
        <v>99</v>
      </c>
      <c r="I556" s="33" t="s">
        <v>100</v>
      </c>
      <c r="J556" s="33" t="s">
        <v>41</v>
      </c>
      <c r="K556" s="34" t="s">
        <v>101</v>
      </c>
    </row>
    <row r="557">
      <c r="A557" s="27">
        <v>7653.0</v>
      </c>
      <c r="B557" s="28">
        <v>99125.0</v>
      </c>
      <c r="C557" s="29" t="s">
        <v>102</v>
      </c>
      <c r="D557" s="29" t="s">
        <v>242</v>
      </c>
      <c r="E557" s="29" t="s">
        <v>1443</v>
      </c>
      <c r="F557" s="29" t="s">
        <v>1444</v>
      </c>
      <c r="G557" s="29" t="s">
        <v>270</v>
      </c>
      <c r="H557" s="29" t="s">
        <v>374</v>
      </c>
      <c r="I557" s="29" t="s">
        <v>100</v>
      </c>
      <c r="J557" s="29" t="s">
        <v>41</v>
      </c>
      <c r="K557" s="30" t="s">
        <v>101</v>
      </c>
    </row>
    <row r="558">
      <c r="A558" s="31">
        <v>38785.0</v>
      </c>
      <c r="B558" s="32">
        <v>158017.0</v>
      </c>
      <c r="C558" s="33" t="s">
        <v>94</v>
      </c>
      <c r="D558" s="33" t="s">
        <v>1445</v>
      </c>
      <c r="E558" s="33" t="s">
        <v>1443</v>
      </c>
      <c r="F558" s="33" t="s">
        <v>1446</v>
      </c>
      <c r="G558" s="33" t="s">
        <v>270</v>
      </c>
      <c r="H558" s="33" t="s">
        <v>374</v>
      </c>
      <c r="I558" s="33" t="s">
        <v>100</v>
      </c>
      <c r="J558" s="33" t="s">
        <v>290</v>
      </c>
      <c r="K558" s="34" t="s">
        <v>281</v>
      </c>
    </row>
    <row r="559">
      <c r="A559" s="27">
        <v>7442.0</v>
      </c>
      <c r="B559" s="28">
        <v>132197.0</v>
      </c>
      <c r="C559" s="29" t="s">
        <v>94</v>
      </c>
      <c r="D559" s="29" t="s">
        <v>1447</v>
      </c>
      <c r="E559" s="29" t="s">
        <v>1443</v>
      </c>
      <c r="F559" s="29" t="s">
        <v>1448</v>
      </c>
      <c r="G559" s="29" t="s">
        <v>270</v>
      </c>
      <c r="H559" s="29" t="s">
        <v>374</v>
      </c>
      <c r="I559" s="29" t="s">
        <v>100</v>
      </c>
      <c r="J559" s="29" t="s">
        <v>44</v>
      </c>
      <c r="K559" s="30" t="s">
        <v>101</v>
      </c>
    </row>
    <row r="560">
      <c r="A560" s="31">
        <v>38316.0</v>
      </c>
      <c r="B560" s="32">
        <v>136486.0</v>
      </c>
      <c r="C560" s="33" t="s">
        <v>94</v>
      </c>
      <c r="D560" s="33" t="s">
        <v>1449</v>
      </c>
      <c r="E560" s="33" t="s">
        <v>1450</v>
      </c>
      <c r="F560" s="33" t="s">
        <v>1451</v>
      </c>
      <c r="G560" s="33" t="s">
        <v>214</v>
      </c>
      <c r="H560" s="33" t="s">
        <v>215</v>
      </c>
      <c r="I560" s="33" t="s">
        <v>100</v>
      </c>
      <c r="J560" s="33" t="s">
        <v>44</v>
      </c>
      <c r="K560" s="34" t="s">
        <v>101</v>
      </c>
    </row>
    <row r="561">
      <c r="A561" s="27">
        <v>38907.0</v>
      </c>
      <c r="B561" s="28">
        <v>162973.0</v>
      </c>
      <c r="C561" s="29" t="s">
        <v>102</v>
      </c>
      <c r="D561" s="29" t="s">
        <v>204</v>
      </c>
      <c r="E561" s="29" t="s">
        <v>1452</v>
      </c>
      <c r="F561" s="29" t="s">
        <v>1453</v>
      </c>
      <c r="G561" s="29" t="s">
        <v>323</v>
      </c>
      <c r="H561" s="29" t="s">
        <v>417</v>
      </c>
      <c r="I561" s="29" t="s">
        <v>100</v>
      </c>
      <c r="J561" s="29" t="s">
        <v>41</v>
      </c>
      <c r="K561" s="30" t="s">
        <v>101</v>
      </c>
    </row>
    <row r="562">
      <c r="A562" s="31">
        <v>25487.0</v>
      </c>
      <c r="B562" s="32">
        <v>60040.0</v>
      </c>
      <c r="C562" s="33" t="s">
        <v>102</v>
      </c>
      <c r="D562" s="33" t="s">
        <v>212</v>
      </c>
      <c r="E562" s="33" t="s">
        <v>1454</v>
      </c>
      <c r="F562" s="33" t="s">
        <v>1455</v>
      </c>
      <c r="G562" s="33" t="s">
        <v>176</v>
      </c>
      <c r="H562" s="33" t="s">
        <v>177</v>
      </c>
      <c r="I562" s="33" t="s">
        <v>100</v>
      </c>
      <c r="J562" s="33" t="s">
        <v>41</v>
      </c>
      <c r="K562" s="34" t="s">
        <v>101</v>
      </c>
    </row>
    <row r="563">
      <c r="A563" s="27">
        <v>16534.0</v>
      </c>
      <c r="B563" s="28">
        <v>111906.0</v>
      </c>
      <c r="C563" s="29" t="s">
        <v>102</v>
      </c>
      <c r="D563" s="29" t="s">
        <v>400</v>
      </c>
      <c r="E563" s="29" t="s">
        <v>1456</v>
      </c>
      <c r="F563" s="29" t="s">
        <v>1457</v>
      </c>
      <c r="G563" s="29" t="s">
        <v>185</v>
      </c>
      <c r="H563" s="29" t="s">
        <v>186</v>
      </c>
      <c r="I563" s="29" t="s">
        <v>100</v>
      </c>
      <c r="J563" s="29" t="s">
        <v>53</v>
      </c>
      <c r="K563" s="30" t="s">
        <v>101</v>
      </c>
    </row>
    <row r="564">
      <c r="A564" s="31">
        <v>25534.0</v>
      </c>
      <c r="B564" s="32">
        <v>70473.0</v>
      </c>
      <c r="C564" s="33" t="s">
        <v>102</v>
      </c>
      <c r="D564" s="33" t="s">
        <v>154</v>
      </c>
      <c r="E564" s="33" t="s">
        <v>1458</v>
      </c>
      <c r="F564" s="33" t="s">
        <v>1459</v>
      </c>
      <c r="G564" s="33" t="s">
        <v>130</v>
      </c>
      <c r="H564" s="36" t="s">
        <v>131</v>
      </c>
      <c r="I564" s="33" t="s">
        <v>100</v>
      </c>
      <c r="J564" s="33" t="s">
        <v>41</v>
      </c>
      <c r="K564" s="34" t="s">
        <v>101</v>
      </c>
    </row>
    <row r="565">
      <c r="A565" s="27">
        <v>16896.0</v>
      </c>
      <c r="B565" s="28">
        <v>19448.0</v>
      </c>
      <c r="C565" s="29" t="s">
        <v>102</v>
      </c>
      <c r="D565" s="29" t="s">
        <v>245</v>
      </c>
      <c r="E565" s="29" t="s">
        <v>1460</v>
      </c>
      <c r="F565" s="29" t="s">
        <v>1461</v>
      </c>
      <c r="G565" s="29" t="s">
        <v>496</v>
      </c>
      <c r="H565" s="29" t="s">
        <v>699</v>
      </c>
      <c r="I565" s="29" t="s">
        <v>100</v>
      </c>
      <c r="J565" s="29" t="s">
        <v>41</v>
      </c>
      <c r="K565" s="30" t="s">
        <v>101</v>
      </c>
    </row>
    <row r="566">
      <c r="A566" s="31">
        <v>38769.0</v>
      </c>
      <c r="B566" s="32">
        <v>155300.0</v>
      </c>
      <c r="C566" s="33" t="s">
        <v>102</v>
      </c>
      <c r="D566" s="33" t="s">
        <v>640</v>
      </c>
      <c r="E566" s="33" t="s">
        <v>1462</v>
      </c>
      <c r="F566" s="33" t="s">
        <v>1463</v>
      </c>
      <c r="G566" s="33" t="s">
        <v>270</v>
      </c>
      <c r="H566" s="33" t="s">
        <v>374</v>
      </c>
      <c r="I566" s="33" t="s">
        <v>100</v>
      </c>
      <c r="J566" s="33" t="s">
        <v>47</v>
      </c>
      <c r="K566" s="34" t="s">
        <v>101</v>
      </c>
    </row>
    <row r="567">
      <c r="A567" s="27">
        <v>38824.0</v>
      </c>
      <c r="B567" s="28">
        <v>159601.0</v>
      </c>
      <c r="C567" s="29" t="s">
        <v>102</v>
      </c>
      <c r="D567" s="29" t="s">
        <v>255</v>
      </c>
      <c r="E567" s="29" t="s">
        <v>1464</v>
      </c>
      <c r="F567" s="29" t="s">
        <v>1465</v>
      </c>
      <c r="G567" s="29" t="s">
        <v>323</v>
      </c>
      <c r="H567" s="29" t="s">
        <v>417</v>
      </c>
      <c r="I567" s="29" t="s">
        <v>100</v>
      </c>
      <c r="J567" s="29" t="s">
        <v>41</v>
      </c>
      <c r="K567" s="30" t="s">
        <v>101</v>
      </c>
    </row>
    <row r="568">
      <c r="A568" s="31">
        <v>38103.0</v>
      </c>
      <c r="B568" s="32">
        <v>129354.0</v>
      </c>
      <c r="C568" s="33" t="s">
        <v>102</v>
      </c>
      <c r="D568" s="33" t="s">
        <v>1011</v>
      </c>
      <c r="E568" s="33" t="s">
        <v>1466</v>
      </c>
      <c r="F568" s="33" t="s">
        <v>1467</v>
      </c>
      <c r="G568" s="33" t="s">
        <v>114</v>
      </c>
      <c r="H568" s="33" t="s">
        <v>115</v>
      </c>
      <c r="I568" s="33" t="s">
        <v>100</v>
      </c>
      <c r="J568" s="33" t="s">
        <v>41</v>
      </c>
      <c r="K568" s="34" t="s">
        <v>101</v>
      </c>
    </row>
    <row r="569">
      <c r="A569" s="27">
        <v>25842.0</v>
      </c>
      <c r="B569" s="28">
        <v>99314.0</v>
      </c>
      <c r="C569" s="29" t="s">
        <v>102</v>
      </c>
      <c r="D569" s="29" t="s">
        <v>487</v>
      </c>
      <c r="E569" s="29" t="s">
        <v>1468</v>
      </c>
      <c r="F569" s="29" t="s">
        <v>1469</v>
      </c>
      <c r="G569" s="29" t="s">
        <v>130</v>
      </c>
      <c r="H569" s="29" t="s">
        <v>211</v>
      </c>
      <c r="I569" s="29" t="s">
        <v>100</v>
      </c>
      <c r="J569" s="29" t="s">
        <v>53</v>
      </c>
      <c r="K569" s="30" t="s">
        <v>101</v>
      </c>
    </row>
    <row r="570">
      <c r="A570" s="31">
        <v>16965.0</v>
      </c>
      <c r="B570" s="32">
        <v>29154.0</v>
      </c>
      <c r="C570" s="33" t="s">
        <v>102</v>
      </c>
      <c r="D570" s="33" t="s">
        <v>1470</v>
      </c>
      <c r="E570" s="33" t="s">
        <v>1471</v>
      </c>
      <c r="F570" s="33" t="s">
        <v>1472</v>
      </c>
      <c r="G570" s="33" t="s">
        <v>130</v>
      </c>
      <c r="H570" s="36" t="s">
        <v>131</v>
      </c>
      <c r="I570" s="33" t="s">
        <v>100</v>
      </c>
      <c r="J570" s="33" t="s">
        <v>41</v>
      </c>
      <c r="K570" s="34" t="s">
        <v>101</v>
      </c>
    </row>
    <row r="571">
      <c r="A571" s="27">
        <v>38813.0</v>
      </c>
      <c r="B571" s="28">
        <v>158048.0</v>
      </c>
      <c r="C571" s="29" t="s">
        <v>102</v>
      </c>
      <c r="D571" s="29" t="s">
        <v>1204</v>
      </c>
      <c r="E571" s="29" t="s">
        <v>1473</v>
      </c>
      <c r="F571" s="29" t="s">
        <v>1474</v>
      </c>
      <c r="G571" s="29" t="s">
        <v>207</v>
      </c>
      <c r="H571" s="29" t="s">
        <v>208</v>
      </c>
      <c r="I571" s="29" t="s">
        <v>100</v>
      </c>
      <c r="J571" s="29" t="s">
        <v>53</v>
      </c>
      <c r="K571" s="30" t="s">
        <v>101</v>
      </c>
    </row>
    <row r="572">
      <c r="A572" s="31">
        <v>38376.0</v>
      </c>
      <c r="B572" s="32">
        <v>139172.0</v>
      </c>
      <c r="C572" s="33" t="s">
        <v>102</v>
      </c>
      <c r="D572" s="33" t="s">
        <v>378</v>
      </c>
      <c r="E572" s="33" t="s">
        <v>1475</v>
      </c>
      <c r="F572" s="33" t="s">
        <v>1476</v>
      </c>
      <c r="G572" s="33" t="s">
        <v>323</v>
      </c>
      <c r="H572" s="33" t="s">
        <v>417</v>
      </c>
      <c r="I572" s="33" t="s">
        <v>100</v>
      </c>
      <c r="J572" s="33" t="s">
        <v>56</v>
      </c>
      <c r="K572" s="34" t="s">
        <v>101</v>
      </c>
    </row>
    <row r="573">
      <c r="A573" s="27">
        <v>7489.0</v>
      </c>
      <c r="B573" s="28">
        <v>146929.0</v>
      </c>
      <c r="C573" s="29" t="s">
        <v>102</v>
      </c>
      <c r="D573" s="29" t="s">
        <v>245</v>
      </c>
      <c r="E573" s="29" t="s">
        <v>1475</v>
      </c>
      <c r="F573" s="29" t="s">
        <v>1477</v>
      </c>
      <c r="G573" s="29" t="s">
        <v>270</v>
      </c>
      <c r="H573" s="29" t="s">
        <v>374</v>
      </c>
      <c r="I573" s="29" t="s">
        <v>100</v>
      </c>
      <c r="J573" s="29" t="s">
        <v>53</v>
      </c>
      <c r="K573" s="30" t="s">
        <v>101</v>
      </c>
    </row>
    <row r="574">
      <c r="A574" s="31">
        <v>38986.0</v>
      </c>
      <c r="B574" s="32">
        <v>168166.0</v>
      </c>
      <c r="C574" s="33" t="s">
        <v>102</v>
      </c>
      <c r="D574" s="33" t="s">
        <v>209</v>
      </c>
      <c r="E574" s="33" t="s">
        <v>1478</v>
      </c>
      <c r="F574" s="33" t="s">
        <v>1479</v>
      </c>
      <c r="G574" s="33" t="s">
        <v>98</v>
      </c>
      <c r="H574" s="33" t="s">
        <v>99</v>
      </c>
      <c r="I574" s="33" t="s">
        <v>100</v>
      </c>
      <c r="J574" s="33" t="s">
        <v>41</v>
      </c>
      <c r="K574" s="34" t="s">
        <v>101</v>
      </c>
    </row>
    <row r="575">
      <c r="A575" s="27">
        <v>46011.0</v>
      </c>
      <c r="B575" s="28">
        <v>183183.0</v>
      </c>
      <c r="C575" s="29" t="s">
        <v>102</v>
      </c>
      <c r="D575" s="29" t="s">
        <v>1480</v>
      </c>
      <c r="E575" s="29" t="s">
        <v>1481</v>
      </c>
      <c r="F575" s="29" t="s">
        <v>1482</v>
      </c>
      <c r="G575" s="29" t="s">
        <v>298</v>
      </c>
      <c r="H575" s="29" t="s">
        <v>299</v>
      </c>
      <c r="I575" s="29" t="s">
        <v>100</v>
      </c>
      <c r="J575" s="29" t="s">
        <v>280</v>
      </c>
      <c r="K575" s="30" t="s">
        <v>281</v>
      </c>
    </row>
    <row r="576">
      <c r="A576" s="31">
        <v>38973.0</v>
      </c>
      <c r="B576" s="32">
        <v>168153.0</v>
      </c>
      <c r="C576" s="33" t="s">
        <v>102</v>
      </c>
      <c r="D576" s="33" t="s">
        <v>1483</v>
      </c>
      <c r="E576" s="33" t="s">
        <v>1484</v>
      </c>
      <c r="F576" s="33" t="s">
        <v>1485</v>
      </c>
      <c r="G576" s="33" t="s">
        <v>164</v>
      </c>
      <c r="H576" s="33" t="s">
        <v>165</v>
      </c>
      <c r="I576" s="33" t="s">
        <v>100</v>
      </c>
      <c r="J576" s="33" t="s">
        <v>41</v>
      </c>
      <c r="K576" s="34" t="s">
        <v>101</v>
      </c>
    </row>
    <row r="577">
      <c r="A577" s="27">
        <v>7740.0</v>
      </c>
      <c r="B577" s="28">
        <v>116557.0</v>
      </c>
      <c r="C577" s="29" t="s">
        <v>102</v>
      </c>
      <c r="D577" s="29" t="s">
        <v>1486</v>
      </c>
      <c r="E577" s="29" t="s">
        <v>1487</v>
      </c>
      <c r="F577" s="29" t="s">
        <v>1488</v>
      </c>
      <c r="G577" s="29" t="s">
        <v>323</v>
      </c>
      <c r="H577" s="29" t="s">
        <v>417</v>
      </c>
      <c r="I577" s="29" t="s">
        <v>100</v>
      </c>
      <c r="J577" s="29" t="s">
        <v>56</v>
      </c>
      <c r="K577" s="30" t="s">
        <v>101</v>
      </c>
    </row>
    <row r="578">
      <c r="A578" s="31">
        <v>8843.0</v>
      </c>
      <c r="B578" s="32">
        <v>135977.0</v>
      </c>
      <c r="C578" s="33" t="s">
        <v>94</v>
      </c>
      <c r="D578" s="33" t="s">
        <v>1489</v>
      </c>
      <c r="E578" s="33" t="s">
        <v>1490</v>
      </c>
      <c r="F578" s="33" t="s">
        <v>1491</v>
      </c>
      <c r="G578" s="33" t="s">
        <v>198</v>
      </c>
      <c r="H578" s="33" t="s">
        <v>328</v>
      </c>
      <c r="I578" s="33" t="s">
        <v>100</v>
      </c>
      <c r="J578" s="33" t="s">
        <v>44</v>
      </c>
      <c r="K578" s="34" t="s">
        <v>101</v>
      </c>
    </row>
    <row r="579">
      <c r="A579" s="27">
        <v>38940.0</v>
      </c>
      <c r="B579" s="28">
        <v>164062.0</v>
      </c>
      <c r="C579" s="29" t="s">
        <v>94</v>
      </c>
      <c r="D579" s="29" t="s">
        <v>1492</v>
      </c>
      <c r="E579" s="29" t="s">
        <v>1493</v>
      </c>
      <c r="F579" s="29" t="s">
        <v>1494</v>
      </c>
      <c r="G579" s="29" t="s">
        <v>221</v>
      </c>
      <c r="H579" s="29" t="s">
        <v>222</v>
      </c>
      <c r="I579" s="29" t="s">
        <v>100</v>
      </c>
      <c r="J579" s="29" t="s">
        <v>290</v>
      </c>
      <c r="K579" s="30" t="s">
        <v>281</v>
      </c>
    </row>
    <row r="580">
      <c r="A580" s="31">
        <v>38780.0</v>
      </c>
      <c r="B580" s="32">
        <v>158011.0</v>
      </c>
      <c r="C580" s="33" t="s">
        <v>94</v>
      </c>
      <c r="D580" s="33" t="s">
        <v>1495</v>
      </c>
      <c r="E580" s="33" t="s">
        <v>1496</v>
      </c>
      <c r="F580" s="33" t="s">
        <v>1497</v>
      </c>
      <c r="G580" s="33" t="s">
        <v>119</v>
      </c>
      <c r="H580" s="33" t="s">
        <v>120</v>
      </c>
      <c r="I580" s="33" t="s">
        <v>100</v>
      </c>
      <c r="J580" s="33" t="s">
        <v>62</v>
      </c>
      <c r="K580" s="34" t="s">
        <v>101</v>
      </c>
    </row>
    <row r="581">
      <c r="A581" s="27">
        <v>25778.0</v>
      </c>
      <c r="B581" s="28">
        <v>162971.0</v>
      </c>
      <c r="C581" s="29" t="s">
        <v>102</v>
      </c>
      <c r="D581" s="29" t="s">
        <v>272</v>
      </c>
      <c r="E581" s="29" t="s">
        <v>1498</v>
      </c>
      <c r="F581" s="29" t="s">
        <v>1499</v>
      </c>
      <c r="G581" s="29" t="s">
        <v>130</v>
      </c>
      <c r="H581" s="29" t="s">
        <v>346</v>
      </c>
      <c r="I581" s="29" t="s">
        <v>100</v>
      </c>
      <c r="J581" s="29" t="s">
        <v>53</v>
      </c>
      <c r="K581" s="30" t="s">
        <v>101</v>
      </c>
    </row>
    <row r="582">
      <c r="A582" s="31">
        <v>38545.0</v>
      </c>
      <c r="B582" s="32">
        <v>145546.0</v>
      </c>
      <c r="C582" s="33" t="s">
        <v>102</v>
      </c>
      <c r="D582" s="33" t="s">
        <v>1500</v>
      </c>
      <c r="E582" s="33" t="s">
        <v>1501</v>
      </c>
      <c r="F582" s="33" t="s">
        <v>1502</v>
      </c>
      <c r="G582" s="33" t="s">
        <v>119</v>
      </c>
      <c r="H582" s="33" t="s">
        <v>120</v>
      </c>
      <c r="I582" s="33" t="s">
        <v>100</v>
      </c>
      <c r="J582" s="33" t="s">
        <v>435</v>
      </c>
      <c r="K582" s="34" t="s">
        <v>281</v>
      </c>
    </row>
    <row r="583">
      <c r="A583" s="27">
        <v>7286.0</v>
      </c>
      <c r="B583" s="28">
        <v>114226.0</v>
      </c>
      <c r="C583" s="29" t="s">
        <v>102</v>
      </c>
      <c r="D583" s="29" t="s">
        <v>392</v>
      </c>
      <c r="E583" s="29" t="s">
        <v>1501</v>
      </c>
      <c r="F583" s="29" t="s">
        <v>1503</v>
      </c>
      <c r="G583" s="29" t="s">
        <v>181</v>
      </c>
      <c r="H583" s="29" t="s">
        <v>182</v>
      </c>
      <c r="I583" s="29" t="s">
        <v>100</v>
      </c>
      <c r="J583" s="29" t="s">
        <v>56</v>
      </c>
      <c r="K583" s="30" t="s">
        <v>101</v>
      </c>
    </row>
    <row r="584">
      <c r="A584" s="31">
        <v>38683.0</v>
      </c>
      <c r="B584" s="32">
        <v>148837.0</v>
      </c>
      <c r="C584" s="33" t="s">
        <v>102</v>
      </c>
      <c r="D584" s="33" t="s">
        <v>1504</v>
      </c>
      <c r="E584" s="33" t="s">
        <v>1501</v>
      </c>
      <c r="F584" s="33" t="s">
        <v>1505</v>
      </c>
      <c r="G584" s="33" t="s">
        <v>181</v>
      </c>
      <c r="H584" s="33" t="s">
        <v>229</v>
      </c>
      <c r="I584" s="33" t="s">
        <v>100</v>
      </c>
      <c r="J584" s="33" t="s">
        <v>53</v>
      </c>
      <c r="K584" s="34" t="s">
        <v>101</v>
      </c>
    </row>
    <row r="585">
      <c r="A585" s="27">
        <v>7580.0</v>
      </c>
      <c r="B585" s="28">
        <v>146863.0</v>
      </c>
      <c r="C585" s="29" t="s">
        <v>102</v>
      </c>
      <c r="D585" s="29" t="s">
        <v>166</v>
      </c>
      <c r="E585" s="29" t="s">
        <v>1506</v>
      </c>
      <c r="F585" s="29" t="s">
        <v>1507</v>
      </c>
      <c r="G585" s="29" t="s">
        <v>130</v>
      </c>
      <c r="H585" s="35" t="s">
        <v>131</v>
      </c>
      <c r="I585" s="29" t="s">
        <v>100</v>
      </c>
      <c r="J585" s="29" t="s">
        <v>59</v>
      </c>
      <c r="K585" s="30" t="s">
        <v>101</v>
      </c>
    </row>
    <row r="586">
      <c r="A586" s="31">
        <v>7546.0</v>
      </c>
      <c r="B586" s="32">
        <v>109424.0</v>
      </c>
      <c r="C586" s="33" t="s">
        <v>94</v>
      </c>
      <c r="D586" s="33" t="s">
        <v>192</v>
      </c>
      <c r="E586" s="33" t="s">
        <v>1506</v>
      </c>
      <c r="F586" s="33" t="s">
        <v>1508</v>
      </c>
      <c r="G586" s="33" t="s">
        <v>270</v>
      </c>
      <c r="H586" s="33" t="s">
        <v>271</v>
      </c>
      <c r="I586" s="33" t="s">
        <v>100</v>
      </c>
      <c r="J586" s="33" t="s">
        <v>68</v>
      </c>
      <c r="K586" s="34" t="s">
        <v>101</v>
      </c>
    </row>
    <row r="587">
      <c r="A587" s="27">
        <v>25279.0</v>
      </c>
      <c r="B587" s="28">
        <v>46699.0</v>
      </c>
      <c r="C587" s="29" t="s">
        <v>102</v>
      </c>
      <c r="D587" s="29" t="s">
        <v>400</v>
      </c>
      <c r="E587" s="29" t="s">
        <v>1509</v>
      </c>
      <c r="F587" s="29" t="s">
        <v>1510</v>
      </c>
      <c r="G587" s="29" t="s">
        <v>130</v>
      </c>
      <c r="H587" s="29" t="s">
        <v>346</v>
      </c>
      <c r="I587" s="29" t="s">
        <v>100</v>
      </c>
      <c r="J587" s="29" t="s">
        <v>59</v>
      </c>
      <c r="K587" s="30" t="s">
        <v>101</v>
      </c>
    </row>
    <row r="588">
      <c r="A588" s="31">
        <v>38814.0</v>
      </c>
      <c r="B588" s="32">
        <v>158049.0</v>
      </c>
      <c r="C588" s="33" t="s">
        <v>102</v>
      </c>
      <c r="D588" s="33" t="s">
        <v>1511</v>
      </c>
      <c r="E588" s="33" t="s">
        <v>1509</v>
      </c>
      <c r="F588" s="33" t="s">
        <v>1512</v>
      </c>
      <c r="G588" s="33" t="s">
        <v>207</v>
      </c>
      <c r="H588" s="33" t="s">
        <v>208</v>
      </c>
      <c r="I588" s="33" t="s">
        <v>100</v>
      </c>
      <c r="J588" s="33" t="s">
        <v>56</v>
      </c>
      <c r="K588" s="34" t="s">
        <v>101</v>
      </c>
    </row>
    <row r="589">
      <c r="A589" s="27">
        <v>38577.0</v>
      </c>
      <c r="B589" s="28">
        <v>146887.0</v>
      </c>
      <c r="C589" s="29" t="s">
        <v>102</v>
      </c>
      <c r="D589" s="29" t="s">
        <v>1513</v>
      </c>
      <c r="E589" s="29" t="s">
        <v>1514</v>
      </c>
      <c r="F589" s="29" t="s">
        <v>1515</v>
      </c>
      <c r="G589" s="29" t="s">
        <v>130</v>
      </c>
      <c r="H589" s="29" t="s">
        <v>241</v>
      </c>
      <c r="I589" s="29" t="s">
        <v>100</v>
      </c>
      <c r="J589" s="29" t="s">
        <v>56</v>
      </c>
      <c r="K589" s="30" t="s">
        <v>101</v>
      </c>
    </row>
    <row r="590">
      <c r="A590" s="31">
        <v>38902.0</v>
      </c>
      <c r="B590" s="32">
        <v>162965.0</v>
      </c>
      <c r="C590" s="33" t="s">
        <v>102</v>
      </c>
      <c r="D590" s="33" t="s">
        <v>1516</v>
      </c>
      <c r="E590" s="33" t="s">
        <v>1517</v>
      </c>
      <c r="F590" s="33" t="s">
        <v>1518</v>
      </c>
      <c r="G590" s="33" t="s">
        <v>221</v>
      </c>
      <c r="H590" s="33" t="s">
        <v>222</v>
      </c>
      <c r="I590" s="33" t="s">
        <v>100</v>
      </c>
      <c r="J590" s="33" t="s">
        <v>41</v>
      </c>
      <c r="K590" s="34" t="s">
        <v>101</v>
      </c>
    </row>
    <row r="591">
      <c r="A591" s="27">
        <v>25691.0</v>
      </c>
      <c r="B591" s="28">
        <v>162009.0</v>
      </c>
      <c r="C591" s="29" t="s">
        <v>102</v>
      </c>
      <c r="D591" s="29" t="s">
        <v>204</v>
      </c>
      <c r="E591" s="29" t="s">
        <v>1519</v>
      </c>
      <c r="F591" s="29" t="s">
        <v>1520</v>
      </c>
      <c r="G591" s="29" t="s">
        <v>221</v>
      </c>
      <c r="H591" s="29" t="s">
        <v>222</v>
      </c>
      <c r="I591" s="29" t="s">
        <v>100</v>
      </c>
      <c r="J591" s="29" t="s">
        <v>53</v>
      </c>
      <c r="K591" s="30" t="s">
        <v>101</v>
      </c>
    </row>
    <row r="592">
      <c r="A592" s="31">
        <v>38844.0</v>
      </c>
      <c r="B592" s="32">
        <v>159630.0</v>
      </c>
      <c r="C592" s="33" t="s">
        <v>102</v>
      </c>
      <c r="D592" s="33" t="s">
        <v>432</v>
      </c>
      <c r="E592" s="33" t="s">
        <v>1519</v>
      </c>
      <c r="F592" s="33" t="s">
        <v>1521</v>
      </c>
      <c r="G592" s="33" t="s">
        <v>221</v>
      </c>
      <c r="H592" s="33" t="s">
        <v>222</v>
      </c>
      <c r="I592" s="33" t="s">
        <v>100</v>
      </c>
      <c r="J592" s="33" t="s">
        <v>47</v>
      </c>
      <c r="K592" s="34" t="s">
        <v>101</v>
      </c>
    </row>
    <row r="593">
      <c r="A593" s="27">
        <v>16462.0</v>
      </c>
      <c r="B593" s="28">
        <v>111847.0</v>
      </c>
      <c r="C593" s="29" t="s">
        <v>102</v>
      </c>
      <c r="D593" s="29" t="s">
        <v>111</v>
      </c>
      <c r="E593" s="29" t="s">
        <v>1522</v>
      </c>
      <c r="F593" s="29" t="s">
        <v>1523</v>
      </c>
      <c r="G593" s="29" t="s">
        <v>135</v>
      </c>
      <c r="H593" s="29" t="s">
        <v>294</v>
      </c>
      <c r="I593" s="29" t="s">
        <v>100</v>
      </c>
      <c r="J593" s="29" t="s">
        <v>56</v>
      </c>
      <c r="K593" s="30" t="s">
        <v>101</v>
      </c>
    </row>
    <row r="594">
      <c r="A594" s="31">
        <v>38790.0</v>
      </c>
      <c r="B594" s="32">
        <v>158022.0</v>
      </c>
      <c r="C594" s="33" t="s">
        <v>94</v>
      </c>
      <c r="D594" s="33" t="s">
        <v>1524</v>
      </c>
      <c r="E594" s="33" t="s">
        <v>1525</v>
      </c>
      <c r="F594" s="33" t="s">
        <v>1526</v>
      </c>
      <c r="G594" s="33" t="s">
        <v>323</v>
      </c>
      <c r="H594" s="33" t="s">
        <v>493</v>
      </c>
      <c r="I594" s="33" t="s">
        <v>100</v>
      </c>
      <c r="J594" s="33" t="s">
        <v>62</v>
      </c>
      <c r="K594" s="34" t="s">
        <v>101</v>
      </c>
    </row>
    <row r="595">
      <c r="A595" s="27">
        <v>25919.0</v>
      </c>
      <c r="B595" s="28">
        <v>111363.0</v>
      </c>
      <c r="C595" s="29" t="s">
        <v>102</v>
      </c>
      <c r="D595" s="29" t="s">
        <v>1527</v>
      </c>
      <c r="E595" s="29" t="s">
        <v>1528</v>
      </c>
      <c r="F595" s="29" t="s">
        <v>1529</v>
      </c>
      <c r="G595" s="29" t="s">
        <v>135</v>
      </c>
      <c r="H595" s="29" t="s">
        <v>136</v>
      </c>
      <c r="I595" s="29" t="s">
        <v>100</v>
      </c>
      <c r="J595" s="29" t="s">
        <v>53</v>
      </c>
      <c r="K595" s="30" t="s">
        <v>101</v>
      </c>
    </row>
    <row r="596">
      <c r="A596" s="31">
        <v>7976.0</v>
      </c>
      <c r="B596" s="32">
        <v>91424.0</v>
      </c>
      <c r="C596" s="33" t="s">
        <v>94</v>
      </c>
      <c r="D596" s="33" t="s">
        <v>390</v>
      </c>
      <c r="E596" s="33" t="s">
        <v>1530</v>
      </c>
      <c r="F596" s="33" t="s">
        <v>1531</v>
      </c>
      <c r="G596" s="33" t="s">
        <v>323</v>
      </c>
      <c r="H596" s="33" t="s">
        <v>417</v>
      </c>
      <c r="I596" s="33" t="s">
        <v>100</v>
      </c>
      <c r="J596" s="33" t="s">
        <v>65</v>
      </c>
      <c r="K596" s="34" t="s">
        <v>101</v>
      </c>
    </row>
    <row r="597">
      <c r="A597" s="27">
        <v>38616.0</v>
      </c>
      <c r="B597" s="28">
        <v>146935.0</v>
      </c>
      <c r="C597" s="29" t="s">
        <v>102</v>
      </c>
      <c r="D597" s="29" t="s">
        <v>1532</v>
      </c>
      <c r="E597" s="29" t="s">
        <v>1530</v>
      </c>
      <c r="F597" s="29" t="s">
        <v>1533</v>
      </c>
      <c r="G597" s="29" t="s">
        <v>323</v>
      </c>
      <c r="H597" s="29" t="s">
        <v>417</v>
      </c>
      <c r="I597" s="29" t="s">
        <v>100</v>
      </c>
      <c r="J597" s="29" t="s">
        <v>56</v>
      </c>
      <c r="K597" s="30" t="s">
        <v>101</v>
      </c>
    </row>
    <row r="598">
      <c r="A598" s="31">
        <v>38870.0</v>
      </c>
      <c r="B598" s="32">
        <v>162012.0</v>
      </c>
      <c r="C598" s="33" t="s">
        <v>102</v>
      </c>
      <c r="D598" s="33" t="s">
        <v>1008</v>
      </c>
      <c r="E598" s="33" t="s">
        <v>1037</v>
      </c>
      <c r="F598" s="33" t="s">
        <v>1534</v>
      </c>
      <c r="G598" s="33" t="s">
        <v>198</v>
      </c>
      <c r="H598" s="33" t="s">
        <v>199</v>
      </c>
      <c r="I598" s="33" t="s">
        <v>100</v>
      </c>
      <c r="J598" s="33" t="s">
        <v>41</v>
      </c>
      <c r="K598" s="34" t="s">
        <v>101</v>
      </c>
    </row>
    <row r="599">
      <c r="A599" s="27">
        <v>16349.0</v>
      </c>
      <c r="B599" s="28">
        <v>115710.0</v>
      </c>
      <c r="C599" s="29" t="s">
        <v>102</v>
      </c>
      <c r="D599" s="29" t="s">
        <v>392</v>
      </c>
      <c r="E599" s="29" t="s">
        <v>1535</v>
      </c>
      <c r="F599" s="29" t="s">
        <v>1536</v>
      </c>
      <c r="G599" s="29" t="s">
        <v>119</v>
      </c>
      <c r="H599" s="29" t="s">
        <v>120</v>
      </c>
      <c r="I599" s="29" t="s">
        <v>100</v>
      </c>
      <c r="J599" s="29" t="s">
        <v>56</v>
      </c>
      <c r="K599" s="30" t="s">
        <v>101</v>
      </c>
    </row>
    <row r="600">
      <c r="A600" s="31">
        <v>38849.0</v>
      </c>
      <c r="B600" s="32">
        <v>159637.0</v>
      </c>
      <c r="C600" s="33" t="s">
        <v>94</v>
      </c>
      <c r="D600" s="33" t="s">
        <v>1299</v>
      </c>
      <c r="E600" s="33" t="s">
        <v>1537</v>
      </c>
      <c r="F600" s="33" t="s">
        <v>1538</v>
      </c>
      <c r="G600" s="33" t="s">
        <v>207</v>
      </c>
      <c r="H600" s="33" t="s">
        <v>208</v>
      </c>
      <c r="I600" s="33" t="s">
        <v>100</v>
      </c>
      <c r="J600" s="33" t="s">
        <v>290</v>
      </c>
      <c r="K600" s="34" t="s">
        <v>281</v>
      </c>
    </row>
    <row r="601">
      <c r="A601" s="27">
        <v>38848.0</v>
      </c>
      <c r="B601" s="28">
        <v>159636.0</v>
      </c>
      <c r="C601" s="29" t="s">
        <v>94</v>
      </c>
      <c r="D601" s="29" t="s">
        <v>384</v>
      </c>
      <c r="E601" s="29" t="s">
        <v>1537</v>
      </c>
      <c r="F601" s="29" t="s">
        <v>1539</v>
      </c>
      <c r="G601" s="29" t="s">
        <v>207</v>
      </c>
      <c r="H601" s="29" t="s">
        <v>208</v>
      </c>
      <c r="I601" s="29" t="s">
        <v>100</v>
      </c>
      <c r="J601" s="29" t="s">
        <v>290</v>
      </c>
      <c r="K601" s="30" t="s">
        <v>281</v>
      </c>
    </row>
    <row r="602">
      <c r="A602" s="31">
        <v>38753.0</v>
      </c>
      <c r="B602" s="32">
        <v>155277.0</v>
      </c>
      <c r="C602" s="33" t="s">
        <v>102</v>
      </c>
      <c r="D602" s="33" t="s">
        <v>1540</v>
      </c>
      <c r="E602" s="33" t="s">
        <v>1541</v>
      </c>
      <c r="F602" s="33" t="s">
        <v>1542</v>
      </c>
      <c r="G602" s="33" t="s">
        <v>130</v>
      </c>
      <c r="H602" s="33" t="s">
        <v>211</v>
      </c>
      <c r="I602" s="33" t="s">
        <v>100</v>
      </c>
      <c r="J602" s="33" t="s">
        <v>41</v>
      </c>
      <c r="K602" s="34" t="s">
        <v>101</v>
      </c>
    </row>
    <row r="603">
      <c r="A603" s="27">
        <v>7083.0</v>
      </c>
      <c r="B603" s="28">
        <v>91421.0</v>
      </c>
      <c r="C603" s="29" t="s">
        <v>94</v>
      </c>
      <c r="D603" s="29" t="s">
        <v>1543</v>
      </c>
      <c r="E603" s="29" t="s">
        <v>1544</v>
      </c>
      <c r="F603" s="29" t="s">
        <v>1545</v>
      </c>
      <c r="G603" s="29" t="s">
        <v>323</v>
      </c>
      <c r="H603" s="29" t="s">
        <v>417</v>
      </c>
      <c r="I603" s="29" t="s">
        <v>100</v>
      </c>
      <c r="J603" s="29" t="s">
        <v>44</v>
      </c>
      <c r="K603" s="30" t="s">
        <v>101</v>
      </c>
    </row>
    <row r="604">
      <c r="A604" s="31">
        <v>25329.0</v>
      </c>
      <c r="B604" s="32">
        <v>50172.0</v>
      </c>
      <c r="C604" s="33" t="s">
        <v>94</v>
      </c>
      <c r="D604" s="33" t="s">
        <v>1394</v>
      </c>
      <c r="E604" s="33" t="s">
        <v>1546</v>
      </c>
      <c r="F604" s="33" t="s">
        <v>1547</v>
      </c>
      <c r="G604" s="33" t="s">
        <v>323</v>
      </c>
      <c r="H604" s="33" t="s">
        <v>1548</v>
      </c>
      <c r="I604" s="33" t="s">
        <v>100</v>
      </c>
      <c r="J604" s="33" t="s">
        <v>44</v>
      </c>
      <c r="K604" s="34" t="s">
        <v>101</v>
      </c>
    </row>
    <row r="605">
      <c r="A605" s="27">
        <v>38416.0</v>
      </c>
      <c r="B605" s="28">
        <v>139372.0</v>
      </c>
      <c r="C605" s="29" t="s">
        <v>94</v>
      </c>
      <c r="D605" s="29" t="s">
        <v>235</v>
      </c>
      <c r="E605" s="29" t="s">
        <v>1549</v>
      </c>
      <c r="F605" s="29" t="s">
        <v>1550</v>
      </c>
      <c r="G605" s="29" t="s">
        <v>164</v>
      </c>
      <c r="H605" s="29" t="s">
        <v>165</v>
      </c>
      <c r="I605" s="29" t="s">
        <v>100</v>
      </c>
      <c r="J605" s="29" t="s">
        <v>62</v>
      </c>
      <c r="K605" s="30" t="s">
        <v>101</v>
      </c>
    </row>
    <row r="606">
      <c r="A606" s="31">
        <v>29466.0</v>
      </c>
      <c r="B606" s="32">
        <v>162033.0</v>
      </c>
      <c r="C606" s="33" t="s">
        <v>102</v>
      </c>
      <c r="D606" s="33" t="s">
        <v>204</v>
      </c>
      <c r="E606" s="33" t="s">
        <v>1551</v>
      </c>
      <c r="F606" s="33" t="s">
        <v>1552</v>
      </c>
      <c r="G606" s="33" t="s">
        <v>143</v>
      </c>
      <c r="H606" s="33" t="s">
        <v>144</v>
      </c>
      <c r="I606" s="33" t="s">
        <v>100</v>
      </c>
      <c r="J606" s="33" t="s">
        <v>53</v>
      </c>
      <c r="K606" s="34" t="s">
        <v>101</v>
      </c>
    </row>
    <row r="607">
      <c r="A607" s="27">
        <v>38987.0</v>
      </c>
      <c r="B607" s="28">
        <v>168167.0</v>
      </c>
      <c r="C607" s="29" t="s">
        <v>102</v>
      </c>
      <c r="D607" s="29" t="s">
        <v>426</v>
      </c>
      <c r="E607" s="29" t="s">
        <v>1553</v>
      </c>
      <c r="F607" s="29" t="s">
        <v>1554</v>
      </c>
      <c r="G607" s="29" t="s">
        <v>143</v>
      </c>
      <c r="H607" s="29" t="s">
        <v>144</v>
      </c>
      <c r="I607" s="29" t="s">
        <v>100</v>
      </c>
      <c r="J607" s="29" t="s">
        <v>41</v>
      </c>
      <c r="K607" s="30" t="s">
        <v>101</v>
      </c>
    </row>
    <row r="608">
      <c r="A608" s="31">
        <v>16763.0</v>
      </c>
      <c r="B608" s="32">
        <v>119970.0</v>
      </c>
      <c r="C608" s="33" t="s">
        <v>102</v>
      </c>
      <c r="D608" s="33" t="s">
        <v>314</v>
      </c>
      <c r="E608" s="33" t="s">
        <v>1553</v>
      </c>
      <c r="F608" s="33" t="s">
        <v>1555</v>
      </c>
      <c r="G608" s="33" t="s">
        <v>270</v>
      </c>
      <c r="H608" s="33" t="s">
        <v>719</v>
      </c>
      <c r="I608" s="33" t="s">
        <v>100</v>
      </c>
      <c r="J608" s="33" t="s">
        <v>41</v>
      </c>
      <c r="K608" s="34" t="s">
        <v>101</v>
      </c>
    </row>
    <row r="609">
      <c r="A609" s="27">
        <v>25044.0</v>
      </c>
      <c r="B609" s="28">
        <v>34133.0</v>
      </c>
      <c r="C609" s="29" t="s">
        <v>102</v>
      </c>
      <c r="D609" s="29" t="s">
        <v>873</v>
      </c>
      <c r="E609" s="29" t="s">
        <v>1553</v>
      </c>
      <c r="F609" s="29" t="s">
        <v>1556</v>
      </c>
      <c r="G609" s="29" t="s">
        <v>181</v>
      </c>
      <c r="H609" s="29" t="s">
        <v>229</v>
      </c>
      <c r="I609" s="29" t="s">
        <v>100</v>
      </c>
      <c r="J609" s="29" t="s">
        <v>56</v>
      </c>
      <c r="K609" s="30" t="s">
        <v>101</v>
      </c>
    </row>
    <row r="610">
      <c r="A610" s="31">
        <v>38800.0</v>
      </c>
      <c r="B610" s="32">
        <v>158034.0</v>
      </c>
      <c r="C610" s="33" t="s">
        <v>102</v>
      </c>
      <c r="D610" s="33" t="s">
        <v>938</v>
      </c>
      <c r="E610" s="33" t="s">
        <v>1557</v>
      </c>
      <c r="F610" s="33" t="s">
        <v>1558</v>
      </c>
      <c r="G610" s="33" t="s">
        <v>135</v>
      </c>
      <c r="H610" s="33" t="s">
        <v>203</v>
      </c>
      <c r="I610" s="33" t="s">
        <v>100</v>
      </c>
      <c r="J610" s="33" t="s">
        <v>41</v>
      </c>
      <c r="K610" s="34" t="s">
        <v>101</v>
      </c>
    </row>
    <row r="611">
      <c r="A611" s="27">
        <v>38674.0</v>
      </c>
      <c r="B611" s="28">
        <v>148823.0</v>
      </c>
      <c r="C611" s="29" t="s">
        <v>102</v>
      </c>
      <c r="D611" s="29" t="s">
        <v>1559</v>
      </c>
      <c r="E611" s="29" t="s">
        <v>1560</v>
      </c>
      <c r="F611" s="29" t="s">
        <v>1561</v>
      </c>
      <c r="G611" s="29" t="s">
        <v>298</v>
      </c>
      <c r="H611" s="29" t="s">
        <v>299</v>
      </c>
      <c r="I611" s="29" t="s">
        <v>100</v>
      </c>
      <c r="J611" s="29" t="s">
        <v>435</v>
      </c>
      <c r="K611" s="30" t="s">
        <v>281</v>
      </c>
    </row>
    <row r="612">
      <c r="A612" s="31">
        <v>25011.0</v>
      </c>
      <c r="B612" s="32">
        <v>29385.0</v>
      </c>
      <c r="C612" s="33" t="s">
        <v>94</v>
      </c>
      <c r="D612" s="33" t="s">
        <v>390</v>
      </c>
      <c r="E612" s="33" t="s">
        <v>1562</v>
      </c>
      <c r="F612" s="33" t="s">
        <v>1563</v>
      </c>
      <c r="G612" s="33" t="s">
        <v>207</v>
      </c>
      <c r="H612" s="33" t="s">
        <v>208</v>
      </c>
      <c r="I612" s="33" t="s">
        <v>100</v>
      </c>
      <c r="J612" s="33" t="s">
        <v>62</v>
      </c>
      <c r="K612" s="34" t="s">
        <v>101</v>
      </c>
    </row>
    <row r="613">
      <c r="A613" s="27">
        <v>25865.0</v>
      </c>
      <c r="B613" s="28">
        <v>109468.0</v>
      </c>
      <c r="C613" s="29" t="s">
        <v>102</v>
      </c>
      <c r="D613" s="29" t="s">
        <v>1564</v>
      </c>
      <c r="E613" s="29" t="s">
        <v>1565</v>
      </c>
      <c r="F613" s="29" t="s">
        <v>1566</v>
      </c>
      <c r="G613" s="29" t="s">
        <v>198</v>
      </c>
      <c r="H613" s="29" t="s">
        <v>544</v>
      </c>
      <c r="I613" s="29" t="s">
        <v>100</v>
      </c>
      <c r="J613" s="29" t="s">
        <v>41</v>
      </c>
      <c r="K613" s="30" t="s">
        <v>101</v>
      </c>
    </row>
    <row r="614">
      <c r="A614" s="31">
        <v>38652.0</v>
      </c>
      <c r="B614" s="32">
        <v>148792.0</v>
      </c>
      <c r="C614" s="33" t="s">
        <v>102</v>
      </c>
      <c r="D614" s="33" t="s">
        <v>1567</v>
      </c>
      <c r="E614" s="33" t="s">
        <v>1568</v>
      </c>
      <c r="F614" s="33" t="s">
        <v>1569</v>
      </c>
      <c r="G614" s="33" t="s">
        <v>130</v>
      </c>
      <c r="H614" s="33" t="s">
        <v>241</v>
      </c>
      <c r="I614" s="33" t="s">
        <v>100</v>
      </c>
      <c r="J614" s="33" t="s">
        <v>41</v>
      </c>
      <c r="K614" s="34" t="s">
        <v>101</v>
      </c>
    </row>
    <row r="615">
      <c r="A615" s="27">
        <v>7601.0</v>
      </c>
      <c r="B615" s="28">
        <v>118656.0</v>
      </c>
      <c r="C615" s="29" t="s">
        <v>102</v>
      </c>
      <c r="D615" s="29" t="s">
        <v>1570</v>
      </c>
      <c r="E615" s="29" t="s">
        <v>1571</v>
      </c>
      <c r="F615" s="29" t="s">
        <v>1572</v>
      </c>
      <c r="G615" s="29" t="s">
        <v>130</v>
      </c>
      <c r="H615" s="29" t="s">
        <v>153</v>
      </c>
      <c r="I615" s="29" t="s">
        <v>100</v>
      </c>
      <c r="J615" s="29" t="s">
        <v>56</v>
      </c>
      <c r="K615" s="30" t="s">
        <v>101</v>
      </c>
    </row>
    <row r="616">
      <c r="A616" s="31">
        <v>7600.0</v>
      </c>
      <c r="B616" s="32">
        <v>111436.0</v>
      </c>
      <c r="C616" s="33" t="s">
        <v>102</v>
      </c>
      <c r="D616" s="33" t="s">
        <v>1008</v>
      </c>
      <c r="E616" s="33" t="s">
        <v>1571</v>
      </c>
      <c r="F616" s="33" t="s">
        <v>1573</v>
      </c>
      <c r="G616" s="33" t="s">
        <v>130</v>
      </c>
      <c r="H616" s="33" t="s">
        <v>153</v>
      </c>
      <c r="I616" s="33" t="s">
        <v>100</v>
      </c>
      <c r="J616" s="33" t="s">
        <v>41</v>
      </c>
      <c r="K616" s="34" t="s">
        <v>101</v>
      </c>
    </row>
    <row r="617">
      <c r="A617" s="27">
        <v>25839.0</v>
      </c>
      <c r="B617" s="28">
        <v>107447.0</v>
      </c>
      <c r="C617" s="29" t="s">
        <v>102</v>
      </c>
      <c r="D617" s="29" t="s">
        <v>1513</v>
      </c>
      <c r="E617" s="29" t="s">
        <v>1574</v>
      </c>
      <c r="F617" s="29" t="s">
        <v>1575</v>
      </c>
      <c r="G617" s="29" t="s">
        <v>270</v>
      </c>
      <c r="H617" s="29" t="s">
        <v>374</v>
      </c>
      <c r="I617" s="29" t="s">
        <v>100</v>
      </c>
      <c r="J617" s="29" t="s">
        <v>56</v>
      </c>
      <c r="K617" s="30" t="s">
        <v>101</v>
      </c>
    </row>
    <row r="618">
      <c r="A618" s="31">
        <v>29621.0</v>
      </c>
      <c r="B618" s="32">
        <v>164053.0</v>
      </c>
      <c r="C618" s="33" t="s">
        <v>94</v>
      </c>
      <c r="D618" s="33" t="s">
        <v>1576</v>
      </c>
      <c r="E618" s="33" t="s">
        <v>1577</v>
      </c>
      <c r="F618" s="33" t="s">
        <v>1578</v>
      </c>
      <c r="G618" s="33" t="s">
        <v>135</v>
      </c>
      <c r="H618" s="33" t="s">
        <v>531</v>
      </c>
      <c r="I618" s="33" t="s">
        <v>100</v>
      </c>
      <c r="J618" s="33" t="s">
        <v>62</v>
      </c>
      <c r="K618" s="34" t="s">
        <v>101</v>
      </c>
    </row>
    <row r="619">
      <c r="A619" s="27">
        <v>46008.0</v>
      </c>
      <c r="B619" s="28">
        <v>183181.0</v>
      </c>
      <c r="C619" s="29" t="s">
        <v>102</v>
      </c>
      <c r="D619" s="29" t="s">
        <v>420</v>
      </c>
      <c r="E619" s="29" t="s">
        <v>1579</v>
      </c>
      <c r="F619" s="29" t="s">
        <v>1580</v>
      </c>
      <c r="G619" s="29" t="s">
        <v>207</v>
      </c>
      <c r="H619" s="29" t="s">
        <v>208</v>
      </c>
      <c r="I619" s="29" t="s">
        <v>100</v>
      </c>
      <c r="J619" s="29" t="s">
        <v>56</v>
      </c>
      <c r="K619" s="30" t="s">
        <v>101</v>
      </c>
    </row>
    <row r="620">
      <c r="A620" s="31">
        <v>7602.0</v>
      </c>
      <c r="B620" s="32">
        <v>105590.0</v>
      </c>
      <c r="C620" s="33" t="s">
        <v>102</v>
      </c>
      <c r="D620" s="33" t="s">
        <v>161</v>
      </c>
      <c r="E620" s="33" t="s">
        <v>1581</v>
      </c>
      <c r="F620" s="33" t="s">
        <v>1582</v>
      </c>
      <c r="G620" s="33" t="s">
        <v>270</v>
      </c>
      <c r="H620" s="33" t="s">
        <v>374</v>
      </c>
      <c r="I620" s="33" t="s">
        <v>100</v>
      </c>
      <c r="J620" s="33" t="s">
        <v>41</v>
      </c>
      <c r="K620" s="34" t="s">
        <v>101</v>
      </c>
    </row>
    <row r="621">
      <c r="A621" s="27">
        <v>38894.0</v>
      </c>
      <c r="B621" s="28">
        <v>162952.0</v>
      </c>
      <c r="C621" s="29" t="s">
        <v>102</v>
      </c>
      <c r="D621" s="29" t="s">
        <v>1516</v>
      </c>
      <c r="E621" s="29" t="s">
        <v>1583</v>
      </c>
      <c r="F621" s="29" t="s">
        <v>1584</v>
      </c>
      <c r="G621" s="29" t="s">
        <v>298</v>
      </c>
      <c r="H621" s="29" t="s">
        <v>299</v>
      </c>
      <c r="I621" s="29" t="s">
        <v>100</v>
      </c>
      <c r="J621" s="29" t="s">
        <v>280</v>
      </c>
      <c r="K621" s="30" t="s">
        <v>281</v>
      </c>
    </row>
    <row r="622">
      <c r="A622" s="31">
        <v>7917.0</v>
      </c>
      <c r="B622" s="32">
        <v>112058.0</v>
      </c>
      <c r="C622" s="33" t="s">
        <v>102</v>
      </c>
      <c r="D622" s="33" t="s">
        <v>1585</v>
      </c>
      <c r="E622" s="33" t="s">
        <v>1586</v>
      </c>
      <c r="F622" s="33" t="s">
        <v>1587</v>
      </c>
      <c r="G622" s="33" t="s">
        <v>148</v>
      </c>
      <c r="H622" s="33" t="s">
        <v>149</v>
      </c>
      <c r="I622" s="33" t="s">
        <v>100</v>
      </c>
      <c r="J622" s="33" t="s">
        <v>56</v>
      </c>
      <c r="K622" s="34" t="s">
        <v>101</v>
      </c>
    </row>
    <row r="623">
      <c r="A623" s="27">
        <v>25453.0</v>
      </c>
      <c r="B623" s="28">
        <v>63265.0</v>
      </c>
      <c r="C623" s="29" t="s">
        <v>102</v>
      </c>
      <c r="D623" s="29" t="s">
        <v>560</v>
      </c>
      <c r="E623" s="29" t="s">
        <v>1588</v>
      </c>
      <c r="F623" s="29" t="s">
        <v>1589</v>
      </c>
      <c r="G623" s="29" t="s">
        <v>214</v>
      </c>
      <c r="H623" s="29" t="s">
        <v>215</v>
      </c>
      <c r="I623" s="29" t="s">
        <v>100</v>
      </c>
      <c r="J623" s="29" t="s">
        <v>56</v>
      </c>
      <c r="K623" s="30" t="s">
        <v>101</v>
      </c>
    </row>
    <row r="624">
      <c r="A624" s="31">
        <v>46012.0</v>
      </c>
      <c r="B624" s="32">
        <v>183184.0</v>
      </c>
      <c r="C624" s="33" t="s">
        <v>102</v>
      </c>
      <c r="D624" s="33" t="s">
        <v>255</v>
      </c>
      <c r="E624" s="33" t="s">
        <v>1590</v>
      </c>
      <c r="F624" s="33" t="s">
        <v>1591</v>
      </c>
      <c r="G624" s="33" t="s">
        <v>119</v>
      </c>
      <c r="H624" s="33" t="s">
        <v>120</v>
      </c>
      <c r="I624" s="33" t="s">
        <v>100</v>
      </c>
      <c r="J624" s="33" t="s">
        <v>280</v>
      </c>
      <c r="K624" s="34" t="s">
        <v>281</v>
      </c>
    </row>
    <row r="625">
      <c r="A625" s="27">
        <v>46004.0</v>
      </c>
      <c r="B625" s="28">
        <v>183172.0</v>
      </c>
      <c r="C625" s="29" t="s">
        <v>94</v>
      </c>
      <c r="D625" s="29" t="s">
        <v>1005</v>
      </c>
      <c r="E625" s="29" t="s">
        <v>1592</v>
      </c>
      <c r="F625" s="29" t="s">
        <v>1593</v>
      </c>
      <c r="G625" s="29" t="s">
        <v>135</v>
      </c>
      <c r="H625" s="29" t="s">
        <v>1140</v>
      </c>
      <c r="I625" s="29" t="s">
        <v>100</v>
      </c>
      <c r="J625" s="29" t="s">
        <v>44</v>
      </c>
      <c r="K625" s="30" t="s">
        <v>101</v>
      </c>
    </row>
    <row r="626">
      <c r="A626" s="31">
        <v>38981.0</v>
      </c>
      <c r="B626" s="32">
        <v>168160.0</v>
      </c>
      <c r="C626" s="33" t="s">
        <v>102</v>
      </c>
      <c r="D626" s="33" t="s">
        <v>891</v>
      </c>
      <c r="E626" s="33" t="s">
        <v>1592</v>
      </c>
      <c r="F626" s="33" t="s">
        <v>1594</v>
      </c>
      <c r="G626" s="33" t="s">
        <v>135</v>
      </c>
      <c r="H626" s="33" t="s">
        <v>1595</v>
      </c>
      <c r="I626" s="33" t="s">
        <v>100</v>
      </c>
      <c r="J626" s="33" t="s">
        <v>41</v>
      </c>
      <c r="K626" s="34" t="s">
        <v>101</v>
      </c>
    </row>
    <row r="627">
      <c r="A627" s="27">
        <v>7152.0</v>
      </c>
      <c r="B627" s="28">
        <v>114533.0</v>
      </c>
      <c r="C627" s="29" t="s">
        <v>94</v>
      </c>
      <c r="D627" s="29" t="s">
        <v>384</v>
      </c>
      <c r="E627" s="29" t="s">
        <v>1596</v>
      </c>
      <c r="F627" s="29" t="s">
        <v>1597</v>
      </c>
      <c r="G627" s="29" t="s">
        <v>190</v>
      </c>
      <c r="H627" s="29" t="s">
        <v>191</v>
      </c>
      <c r="I627" s="29" t="s">
        <v>100</v>
      </c>
      <c r="J627" s="29" t="s">
        <v>68</v>
      </c>
      <c r="K627" s="30" t="s">
        <v>101</v>
      </c>
    </row>
    <row r="628">
      <c r="A628" s="31">
        <v>38039.0</v>
      </c>
      <c r="B628" s="32">
        <v>112941.0</v>
      </c>
      <c r="C628" s="33" t="s">
        <v>102</v>
      </c>
      <c r="D628" s="33" t="s">
        <v>226</v>
      </c>
      <c r="E628" s="33" t="s">
        <v>1598</v>
      </c>
      <c r="F628" s="33" t="s">
        <v>1599</v>
      </c>
      <c r="G628" s="33" t="s">
        <v>408</v>
      </c>
      <c r="H628" s="33" t="s">
        <v>409</v>
      </c>
      <c r="I628" s="33" t="s">
        <v>100</v>
      </c>
      <c r="J628" s="33" t="s">
        <v>41</v>
      </c>
      <c r="K628" s="34" t="s">
        <v>101</v>
      </c>
    </row>
    <row r="629">
      <c r="A629" s="27">
        <v>38819.0</v>
      </c>
      <c r="B629" s="28">
        <v>159606.0</v>
      </c>
      <c r="C629" s="29" t="s">
        <v>102</v>
      </c>
      <c r="D629" s="29" t="s">
        <v>232</v>
      </c>
      <c r="E629" s="29" t="s">
        <v>1600</v>
      </c>
      <c r="F629" s="29" t="s">
        <v>1601</v>
      </c>
      <c r="G629" s="29" t="s">
        <v>114</v>
      </c>
      <c r="H629" s="29" t="s">
        <v>115</v>
      </c>
      <c r="I629" s="29" t="s">
        <v>100</v>
      </c>
      <c r="J629" s="29" t="s">
        <v>280</v>
      </c>
      <c r="K629" s="30" t="s">
        <v>281</v>
      </c>
    </row>
    <row r="630">
      <c r="A630" s="31">
        <v>38961.0</v>
      </c>
      <c r="B630" s="32">
        <v>164093.0</v>
      </c>
      <c r="C630" s="33" t="s">
        <v>102</v>
      </c>
      <c r="D630" s="33" t="s">
        <v>1602</v>
      </c>
      <c r="E630" s="33" t="s">
        <v>1603</v>
      </c>
      <c r="F630" s="33" t="s">
        <v>1604</v>
      </c>
      <c r="G630" s="33" t="s">
        <v>408</v>
      </c>
      <c r="H630" s="33" t="s">
        <v>409</v>
      </c>
      <c r="I630" s="33" t="s">
        <v>100</v>
      </c>
      <c r="J630" s="33" t="s">
        <v>41</v>
      </c>
      <c r="K630" s="34" t="s">
        <v>101</v>
      </c>
    </row>
    <row r="631">
      <c r="A631" s="27">
        <v>7428.0</v>
      </c>
      <c r="B631" s="28">
        <v>148798.0</v>
      </c>
      <c r="C631" s="29" t="s">
        <v>102</v>
      </c>
      <c r="D631" s="29" t="s">
        <v>272</v>
      </c>
      <c r="E631" s="29" t="s">
        <v>1605</v>
      </c>
      <c r="F631" s="29" t="s">
        <v>1606</v>
      </c>
      <c r="G631" s="29" t="s">
        <v>270</v>
      </c>
      <c r="H631" s="29" t="s">
        <v>374</v>
      </c>
      <c r="I631" s="29" t="s">
        <v>100</v>
      </c>
      <c r="J631" s="29" t="s">
        <v>41</v>
      </c>
      <c r="K631" s="30" t="s">
        <v>101</v>
      </c>
    </row>
    <row r="632">
      <c r="A632" s="31">
        <v>38188.0</v>
      </c>
      <c r="B632" s="32">
        <v>131748.0</v>
      </c>
      <c r="C632" s="33" t="s">
        <v>102</v>
      </c>
      <c r="D632" s="33" t="s">
        <v>1607</v>
      </c>
      <c r="E632" s="33" t="s">
        <v>1608</v>
      </c>
      <c r="F632" s="33" t="s">
        <v>1609</v>
      </c>
      <c r="G632" s="33" t="s">
        <v>135</v>
      </c>
      <c r="H632" s="33" t="s">
        <v>136</v>
      </c>
      <c r="I632" s="33" t="s">
        <v>100</v>
      </c>
      <c r="J632" s="33" t="s">
        <v>53</v>
      </c>
      <c r="K632" s="34" t="s">
        <v>101</v>
      </c>
    </row>
    <row r="633">
      <c r="A633" s="27">
        <v>36696.0</v>
      </c>
      <c r="B633" s="28">
        <v>130370.0</v>
      </c>
      <c r="C633" s="29" t="s">
        <v>94</v>
      </c>
      <c r="D633" s="29" t="s">
        <v>1135</v>
      </c>
      <c r="E633" s="29" t="s">
        <v>1610</v>
      </c>
      <c r="F633" s="29" t="s">
        <v>1611</v>
      </c>
      <c r="G633" s="29" t="s">
        <v>323</v>
      </c>
      <c r="H633" s="29" t="s">
        <v>417</v>
      </c>
      <c r="I633" s="29" t="s">
        <v>100</v>
      </c>
      <c r="J633" s="29" t="s">
        <v>44</v>
      </c>
      <c r="K633" s="30" t="s">
        <v>101</v>
      </c>
    </row>
    <row r="634">
      <c r="A634" s="31">
        <v>7405.0</v>
      </c>
      <c r="B634" s="32">
        <v>118659.0</v>
      </c>
      <c r="C634" s="33" t="s">
        <v>102</v>
      </c>
      <c r="D634" s="33" t="s">
        <v>873</v>
      </c>
      <c r="E634" s="33" t="s">
        <v>1612</v>
      </c>
      <c r="F634" s="33" t="s">
        <v>1613</v>
      </c>
      <c r="G634" s="33" t="s">
        <v>398</v>
      </c>
      <c r="H634" s="33" t="s">
        <v>399</v>
      </c>
      <c r="I634" s="33" t="s">
        <v>100</v>
      </c>
      <c r="J634" s="33" t="s">
        <v>53</v>
      </c>
      <c r="K634" s="34" t="s">
        <v>101</v>
      </c>
    </row>
    <row r="635">
      <c r="A635" s="27">
        <v>7283.0</v>
      </c>
      <c r="B635" s="28">
        <v>114227.0</v>
      </c>
      <c r="C635" s="29" t="s">
        <v>102</v>
      </c>
      <c r="D635" s="29" t="s">
        <v>465</v>
      </c>
      <c r="E635" s="29" t="s">
        <v>1614</v>
      </c>
      <c r="F635" s="29" t="s">
        <v>1615</v>
      </c>
      <c r="G635" s="29" t="s">
        <v>181</v>
      </c>
      <c r="H635" s="29" t="s">
        <v>182</v>
      </c>
      <c r="I635" s="29" t="s">
        <v>100</v>
      </c>
      <c r="J635" s="29" t="s">
        <v>56</v>
      </c>
      <c r="K635" s="30" t="s">
        <v>101</v>
      </c>
    </row>
    <row r="636">
      <c r="A636" s="31">
        <v>38417.0</v>
      </c>
      <c r="B636" s="32">
        <v>139373.0</v>
      </c>
      <c r="C636" s="33" t="s">
        <v>102</v>
      </c>
      <c r="D636" s="33" t="s">
        <v>1616</v>
      </c>
      <c r="E636" s="33" t="s">
        <v>1617</v>
      </c>
      <c r="F636" s="33" t="s">
        <v>1618</v>
      </c>
      <c r="G636" s="33" t="s">
        <v>130</v>
      </c>
      <c r="H636" s="33" t="s">
        <v>157</v>
      </c>
      <c r="I636" s="33" t="s">
        <v>100</v>
      </c>
      <c r="J636" s="33" t="s">
        <v>56</v>
      </c>
      <c r="K636" s="34" t="s">
        <v>101</v>
      </c>
    </row>
    <row r="637">
      <c r="A637" s="27">
        <v>16391.0</v>
      </c>
      <c r="B637" s="28">
        <v>121183.0</v>
      </c>
      <c r="C637" s="29" t="s">
        <v>102</v>
      </c>
      <c r="D637" s="29" t="s">
        <v>560</v>
      </c>
      <c r="E637" s="29" t="s">
        <v>1619</v>
      </c>
      <c r="F637" s="29" t="s">
        <v>1620</v>
      </c>
      <c r="G637" s="29" t="s">
        <v>270</v>
      </c>
      <c r="H637" s="29" t="s">
        <v>719</v>
      </c>
      <c r="I637" s="29" t="s">
        <v>100</v>
      </c>
      <c r="J637" s="29" t="s">
        <v>59</v>
      </c>
      <c r="K637" s="30" t="s">
        <v>101</v>
      </c>
    </row>
    <row r="638">
      <c r="A638" s="31">
        <v>16083.0</v>
      </c>
      <c r="B638" s="32">
        <v>112600.0</v>
      </c>
      <c r="C638" s="33" t="s">
        <v>102</v>
      </c>
      <c r="D638" s="33" t="s">
        <v>200</v>
      </c>
      <c r="E638" s="33" t="s">
        <v>1621</v>
      </c>
      <c r="F638" s="33" t="s">
        <v>1622</v>
      </c>
      <c r="G638" s="33" t="s">
        <v>253</v>
      </c>
      <c r="H638" s="33" t="s">
        <v>254</v>
      </c>
      <c r="I638" s="33" t="s">
        <v>100</v>
      </c>
      <c r="J638" s="33" t="s">
        <v>59</v>
      </c>
      <c r="K638" s="34" t="s">
        <v>101</v>
      </c>
    </row>
    <row r="639">
      <c r="A639" s="27">
        <v>16088.0</v>
      </c>
      <c r="B639" s="28">
        <v>112596.0</v>
      </c>
      <c r="C639" s="29" t="s">
        <v>102</v>
      </c>
      <c r="D639" s="29" t="s">
        <v>487</v>
      </c>
      <c r="E639" s="29" t="s">
        <v>1621</v>
      </c>
      <c r="F639" s="29" t="s">
        <v>1623</v>
      </c>
      <c r="G639" s="29" t="s">
        <v>253</v>
      </c>
      <c r="H639" s="29" t="s">
        <v>254</v>
      </c>
      <c r="I639" s="29" t="s">
        <v>100</v>
      </c>
      <c r="J639" s="29" t="s">
        <v>41</v>
      </c>
      <c r="K639" s="30" t="s">
        <v>101</v>
      </c>
    </row>
    <row r="640">
      <c r="A640" s="31">
        <v>16092.0</v>
      </c>
      <c r="B640" s="32">
        <v>112599.0</v>
      </c>
      <c r="C640" s="33" t="s">
        <v>94</v>
      </c>
      <c r="D640" s="33" t="s">
        <v>1624</v>
      </c>
      <c r="E640" s="33" t="s">
        <v>1621</v>
      </c>
      <c r="F640" s="33" t="s">
        <v>1625</v>
      </c>
      <c r="G640" s="33" t="s">
        <v>253</v>
      </c>
      <c r="H640" s="33" t="s">
        <v>254</v>
      </c>
      <c r="I640" s="33" t="s">
        <v>100</v>
      </c>
      <c r="J640" s="33" t="s">
        <v>68</v>
      </c>
      <c r="K640" s="34" t="s">
        <v>101</v>
      </c>
    </row>
    <row r="641">
      <c r="A641" s="27">
        <v>38909.0</v>
      </c>
      <c r="B641" s="28">
        <v>162975.0</v>
      </c>
      <c r="C641" s="29" t="s">
        <v>102</v>
      </c>
      <c r="D641" s="29" t="s">
        <v>1347</v>
      </c>
      <c r="E641" s="29" t="s">
        <v>1621</v>
      </c>
      <c r="F641" s="29" t="s">
        <v>1626</v>
      </c>
      <c r="G641" s="29" t="s">
        <v>253</v>
      </c>
      <c r="H641" s="29" t="s">
        <v>254</v>
      </c>
      <c r="I641" s="29" t="s">
        <v>100</v>
      </c>
      <c r="J641" s="29" t="s">
        <v>41</v>
      </c>
      <c r="K641" s="30" t="s">
        <v>101</v>
      </c>
    </row>
    <row r="642">
      <c r="A642" s="31">
        <v>16086.0</v>
      </c>
      <c r="B642" s="32">
        <v>112595.0</v>
      </c>
      <c r="C642" s="33" t="s">
        <v>102</v>
      </c>
      <c r="D642" s="33" t="s">
        <v>245</v>
      </c>
      <c r="E642" s="33" t="s">
        <v>1621</v>
      </c>
      <c r="F642" s="33" t="s">
        <v>1627</v>
      </c>
      <c r="G642" s="33" t="s">
        <v>253</v>
      </c>
      <c r="H642" s="33" t="s">
        <v>254</v>
      </c>
      <c r="I642" s="33" t="s">
        <v>100</v>
      </c>
      <c r="J642" s="33" t="s">
        <v>41</v>
      </c>
      <c r="K642" s="34" t="s">
        <v>101</v>
      </c>
    </row>
    <row r="643">
      <c r="A643" s="27">
        <v>24496.0</v>
      </c>
      <c r="B643" s="28">
        <v>147680.0</v>
      </c>
      <c r="C643" s="29" t="s">
        <v>102</v>
      </c>
      <c r="D643" s="29" t="s">
        <v>1100</v>
      </c>
      <c r="E643" s="29" t="s">
        <v>1628</v>
      </c>
      <c r="F643" s="29" t="s">
        <v>1629</v>
      </c>
      <c r="G643" s="29" t="s">
        <v>270</v>
      </c>
      <c r="H643" s="29" t="s">
        <v>374</v>
      </c>
      <c r="I643" s="29" t="s">
        <v>100</v>
      </c>
      <c r="J643" s="29" t="s">
        <v>41</v>
      </c>
      <c r="K643" s="30" t="s">
        <v>101</v>
      </c>
    </row>
    <row r="644">
      <c r="A644" s="31">
        <v>38995.0</v>
      </c>
      <c r="B644" s="32">
        <v>168175.0</v>
      </c>
      <c r="C644" s="33" t="s">
        <v>102</v>
      </c>
      <c r="D644" s="33" t="s">
        <v>1630</v>
      </c>
      <c r="E644" s="33" t="s">
        <v>1631</v>
      </c>
      <c r="F644" s="33" t="s">
        <v>1632</v>
      </c>
      <c r="G644" s="33" t="s">
        <v>270</v>
      </c>
      <c r="H644" s="33" t="s">
        <v>719</v>
      </c>
      <c r="I644" s="33" t="s">
        <v>100</v>
      </c>
      <c r="J644" s="33" t="s">
        <v>41</v>
      </c>
      <c r="K644" s="34" t="s">
        <v>101</v>
      </c>
    </row>
    <row r="645">
      <c r="A645" s="27">
        <v>7395.0</v>
      </c>
      <c r="B645" s="28">
        <v>155293.0</v>
      </c>
      <c r="C645" s="29" t="s">
        <v>102</v>
      </c>
      <c r="D645" s="29" t="s">
        <v>583</v>
      </c>
      <c r="E645" s="29" t="s">
        <v>1633</v>
      </c>
      <c r="F645" s="29" t="s">
        <v>1634</v>
      </c>
      <c r="G645" s="29" t="s">
        <v>168</v>
      </c>
      <c r="H645" s="29" t="s">
        <v>169</v>
      </c>
      <c r="I645" s="29" t="s">
        <v>100</v>
      </c>
      <c r="J645" s="29" t="s">
        <v>41</v>
      </c>
      <c r="K645" s="30" t="s">
        <v>101</v>
      </c>
    </row>
    <row r="646">
      <c r="A646" s="31">
        <v>38804.0</v>
      </c>
      <c r="B646" s="32">
        <v>158039.0</v>
      </c>
      <c r="C646" s="33" t="s">
        <v>102</v>
      </c>
      <c r="D646" s="33" t="s">
        <v>1635</v>
      </c>
      <c r="E646" s="33" t="s">
        <v>1636</v>
      </c>
      <c r="F646" s="33" t="s">
        <v>1637</v>
      </c>
      <c r="G646" s="33" t="s">
        <v>257</v>
      </c>
      <c r="H646" s="33" t="s">
        <v>258</v>
      </c>
      <c r="I646" s="33" t="s">
        <v>100</v>
      </c>
      <c r="J646" s="33" t="s">
        <v>56</v>
      </c>
      <c r="K646" s="34" t="s">
        <v>101</v>
      </c>
    </row>
    <row r="647">
      <c r="A647" s="27">
        <v>38696.0</v>
      </c>
      <c r="B647" s="28">
        <v>153854.0</v>
      </c>
      <c r="C647" s="29" t="s">
        <v>102</v>
      </c>
      <c r="D647" s="29" t="s">
        <v>583</v>
      </c>
      <c r="E647" s="29" t="s">
        <v>1638</v>
      </c>
      <c r="F647" s="29" t="s">
        <v>1639</v>
      </c>
      <c r="G647" s="29" t="s">
        <v>98</v>
      </c>
      <c r="H647" s="29" t="s">
        <v>99</v>
      </c>
      <c r="I647" s="29" t="s">
        <v>100</v>
      </c>
      <c r="J647" s="29" t="s">
        <v>41</v>
      </c>
      <c r="K647" s="30" t="s">
        <v>101</v>
      </c>
    </row>
    <row r="648">
      <c r="A648" s="31">
        <v>38862.0</v>
      </c>
      <c r="B648" s="32">
        <v>162001.0</v>
      </c>
      <c r="C648" s="33" t="s">
        <v>102</v>
      </c>
      <c r="D648" s="33" t="s">
        <v>432</v>
      </c>
      <c r="E648" s="33" t="s">
        <v>1640</v>
      </c>
      <c r="F648" s="33" t="s">
        <v>1641</v>
      </c>
      <c r="G648" s="33" t="s">
        <v>130</v>
      </c>
      <c r="H648" s="33" t="s">
        <v>211</v>
      </c>
      <c r="I648" s="33" t="s">
        <v>100</v>
      </c>
      <c r="J648" s="33" t="s">
        <v>41</v>
      </c>
      <c r="K648" s="34" t="s">
        <v>101</v>
      </c>
    </row>
    <row r="649">
      <c r="A649" s="27">
        <v>38992.0</v>
      </c>
      <c r="B649" s="28">
        <v>168172.0</v>
      </c>
      <c r="C649" s="29" t="s">
        <v>102</v>
      </c>
      <c r="D649" s="29" t="s">
        <v>807</v>
      </c>
      <c r="E649" s="29" t="s">
        <v>1642</v>
      </c>
      <c r="F649" s="29" t="s">
        <v>1643</v>
      </c>
      <c r="G649" s="29" t="s">
        <v>114</v>
      </c>
      <c r="H649" s="29" t="s">
        <v>115</v>
      </c>
      <c r="I649" s="29" t="s">
        <v>100</v>
      </c>
      <c r="J649" s="29" t="s">
        <v>56</v>
      </c>
      <c r="K649" s="30" t="s">
        <v>101</v>
      </c>
    </row>
    <row r="650">
      <c r="A650" s="31">
        <v>38883.0</v>
      </c>
      <c r="B650" s="32">
        <v>162028.0</v>
      </c>
      <c r="C650" s="33" t="s">
        <v>102</v>
      </c>
      <c r="D650" s="33" t="s">
        <v>1644</v>
      </c>
      <c r="E650" s="33" t="s">
        <v>1645</v>
      </c>
      <c r="F650" s="33" t="s">
        <v>1646</v>
      </c>
      <c r="G650" s="33" t="s">
        <v>198</v>
      </c>
      <c r="H650" s="33" t="s">
        <v>544</v>
      </c>
      <c r="I650" s="33" t="s">
        <v>100</v>
      </c>
      <c r="J650" s="33" t="s">
        <v>41</v>
      </c>
      <c r="K650" s="34" t="s">
        <v>101</v>
      </c>
    </row>
    <row r="651">
      <c r="A651" s="27">
        <v>38997.0</v>
      </c>
      <c r="B651" s="28">
        <v>168177.0</v>
      </c>
      <c r="C651" s="29" t="s">
        <v>102</v>
      </c>
      <c r="D651" s="29" t="s">
        <v>941</v>
      </c>
      <c r="E651" s="29" t="s">
        <v>1647</v>
      </c>
      <c r="F651" s="29" t="s">
        <v>1648</v>
      </c>
      <c r="G651" s="29" t="s">
        <v>114</v>
      </c>
      <c r="H651" s="29" t="s">
        <v>115</v>
      </c>
      <c r="I651" s="29" t="s">
        <v>100</v>
      </c>
      <c r="J651" s="29" t="s">
        <v>56</v>
      </c>
      <c r="K651" s="30" t="s">
        <v>101</v>
      </c>
    </row>
    <row r="652">
      <c r="A652" s="31">
        <v>7003.0</v>
      </c>
      <c r="B652" s="32">
        <v>120986.0</v>
      </c>
      <c r="C652" s="33" t="s">
        <v>102</v>
      </c>
      <c r="D652" s="33" t="s">
        <v>1649</v>
      </c>
      <c r="E652" s="33" t="s">
        <v>1650</v>
      </c>
      <c r="F652" s="33" t="s">
        <v>1651</v>
      </c>
      <c r="G652" s="33" t="s">
        <v>264</v>
      </c>
      <c r="H652" s="33" t="s">
        <v>265</v>
      </c>
      <c r="I652" s="33" t="s">
        <v>100</v>
      </c>
      <c r="J652" s="33" t="s">
        <v>56</v>
      </c>
      <c r="K652" s="34" t="s">
        <v>101</v>
      </c>
    </row>
    <row r="653">
      <c r="A653" s="27">
        <v>38830.0</v>
      </c>
      <c r="B653" s="28">
        <v>159615.0</v>
      </c>
      <c r="C653" s="29" t="s">
        <v>102</v>
      </c>
      <c r="D653" s="29" t="s">
        <v>1652</v>
      </c>
      <c r="E653" s="29" t="s">
        <v>1653</v>
      </c>
      <c r="F653" s="29" t="s">
        <v>1654</v>
      </c>
      <c r="G653" s="29" t="s">
        <v>270</v>
      </c>
      <c r="H653" s="29" t="s">
        <v>374</v>
      </c>
      <c r="I653" s="29" t="s">
        <v>100</v>
      </c>
      <c r="J653" s="29" t="s">
        <v>41</v>
      </c>
      <c r="K653" s="30" t="s">
        <v>101</v>
      </c>
    </row>
    <row r="654">
      <c r="A654" s="31">
        <v>25521.0</v>
      </c>
      <c r="B654" s="32">
        <v>59997.0</v>
      </c>
      <c r="C654" s="33" t="s">
        <v>102</v>
      </c>
      <c r="D654" s="33" t="s">
        <v>1500</v>
      </c>
      <c r="E654" s="33" t="s">
        <v>1655</v>
      </c>
      <c r="F654" s="33" t="s">
        <v>1656</v>
      </c>
      <c r="G654" s="33" t="s">
        <v>181</v>
      </c>
      <c r="H654" s="33" t="s">
        <v>229</v>
      </c>
      <c r="I654" s="33" t="s">
        <v>100</v>
      </c>
      <c r="J654" s="33" t="s">
        <v>41</v>
      </c>
      <c r="K654" s="34" t="s">
        <v>101</v>
      </c>
    </row>
    <row r="655">
      <c r="A655" s="27">
        <v>38829.0</v>
      </c>
      <c r="B655" s="28">
        <v>159614.0</v>
      </c>
      <c r="C655" s="29" t="s">
        <v>102</v>
      </c>
      <c r="D655" s="29" t="s">
        <v>1657</v>
      </c>
      <c r="E655" s="29" t="s">
        <v>1658</v>
      </c>
      <c r="F655" s="29" t="s">
        <v>1659</v>
      </c>
      <c r="G655" s="29" t="s">
        <v>98</v>
      </c>
      <c r="H655" s="29" t="s">
        <v>99</v>
      </c>
      <c r="I655" s="29" t="s">
        <v>100</v>
      </c>
      <c r="J655" s="29" t="s">
        <v>41</v>
      </c>
      <c r="K655" s="30" t="s">
        <v>101</v>
      </c>
    </row>
    <row r="656">
      <c r="A656" s="31">
        <v>16782.0</v>
      </c>
      <c r="B656" s="32">
        <v>23209.0</v>
      </c>
      <c r="C656" s="33" t="s">
        <v>102</v>
      </c>
      <c r="D656" s="33" t="s">
        <v>523</v>
      </c>
      <c r="E656" s="33" t="s">
        <v>1660</v>
      </c>
      <c r="F656" s="33" t="s">
        <v>1661</v>
      </c>
      <c r="G656" s="33" t="s">
        <v>323</v>
      </c>
      <c r="H656" s="33" t="s">
        <v>417</v>
      </c>
      <c r="I656" s="33" t="s">
        <v>100</v>
      </c>
      <c r="J656" s="33" t="s">
        <v>53</v>
      </c>
      <c r="K656" s="34" t="s">
        <v>101</v>
      </c>
    </row>
    <row r="657">
      <c r="A657" s="27">
        <v>16700.0</v>
      </c>
      <c r="B657" s="28">
        <v>120985.0</v>
      </c>
      <c r="C657" s="29" t="s">
        <v>94</v>
      </c>
      <c r="D657" s="29" t="s">
        <v>1662</v>
      </c>
      <c r="E657" s="29" t="s">
        <v>1663</v>
      </c>
      <c r="F657" s="29" t="s">
        <v>1664</v>
      </c>
      <c r="G657" s="29" t="s">
        <v>130</v>
      </c>
      <c r="H657" s="29" t="s">
        <v>172</v>
      </c>
      <c r="I657" s="29" t="s">
        <v>100</v>
      </c>
      <c r="J657" s="29" t="s">
        <v>65</v>
      </c>
      <c r="K657" s="30" t="s">
        <v>101</v>
      </c>
    </row>
    <row r="658">
      <c r="A658" s="31">
        <v>7831.0</v>
      </c>
      <c r="B658" s="32">
        <v>146860.0</v>
      </c>
      <c r="C658" s="33" t="s">
        <v>102</v>
      </c>
      <c r="D658" s="33" t="s">
        <v>123</v>
      </c>
      <c r="E658" s="33" t="s">
        <v>1665</v>
      </c>
      <c r="F658" s="33" t="s">
        <v>1666</v>
      </c>
      <c r="G658" s="33" t="s">
        <v>198</v>
      </c>
      <c r="H658" s="33" t="s">
        <v>544</v>
      </c>
      <c r="I658" s="33" t="s">
        <v>100</v>
      </c>
      <c r="J658" s="33" t="s">
        <v>53</v>
      </c>
      <c r="K658" s="34" t="s">
        <v>101</v>
      </c>
    </row>
    <row r="659">
      <c r="A659" s="27">
        <v>16405.0</v>
      </c>
      <c r="B659" s="28">
        <v>162014.0</v>
      </c>
      <c r="C659" s="29" t="s">
        <v>102</v>
      </c>
      <c r="D659" s="29" t="s">
        <v>1318</v>
      </c>
      <c r="E659" s="29" t="s">
        <v>1667</v>
      </c>
      <c r="F659" s="29" t="s">
        <v>1668</v>
      </c>
      <c r="G659" s="29" t="s">
        <v>130</v>
      </c>
      <c r="H659" s="29" t="s">
        <v>172</v>
      </c>
      <c r="I659" s="29" t="s">
        <v>100</v>
      </c>
      <c r="J659" s="29" t="s">
        <v>56</v>
      </c>
      <c r="K659" s="30" t="s">
        <v>101</v>
      </c>
    </row>
    <row r="660">
      <c r="A660" s="31">
        <v>38791.0</v>
      </c>
      <c r="B660" s="32">
        <v>158024.0</v>
      </c>
      <c r="C660" s="33" t="s">
        <v>102</v>
      </c>
      <c r="D660" s="33" t="s">
        <v>272</v>
      </c>
      <c r="E660" s="33" t="s">
        <v>1669</v>
      </c>
      <c r="F660" s="33" t="s">
        <v>1670</v>
      </c>
      <c r="G660" s="33" t="s">
        <v>257</v>
      </c>
      <c r="H660" s="33" t="s">
        <v>258</v>
      </c>
      <c r="I660" s="33" t="s">
        <v>100</v>
      </c>
      <c r="J660" s="33" t="s">
        <v>53</v>
      </c>
      <c r="K660" s="34" t="s">
        <v>101</v>
      </c>
    </row>
    <row r="661">
      <c r="A661" s="27">
        <v>38908.0</v>
      </c>
      <c r="B661" s="28">
        <v>162974.0</v>
      </c>
      <c r="C661" s="29" t="s">
        <v>102</v>
      </c>
      <c r="D661" s="29" t="s">
        <v>255</v>
      </c>
      <c r="E661" s="29" t="s">
        <v>1669</v>
      </c>
      <c r="F661" s="29" t="s">
        <v>1671</v>
      </c>
      <c r="G661" s="29" t="s">
        <v>164</v>
      </c>
      <c r="H661" s="29" t="s">
        <v>165</v>
      </c>
      <c r="I661" s="29" t="s">
        <v>100</v>
      </c>
      <c r="J661" s="29" t="s">
        <v>47</v>
      </c>
      <c r="K661" s="30" t="s">
        <v>101</v>
      </c>
    </row>
    <row r="662">
      <c r="A662" s="31">
        <v>16873.0</v>
      </c>
      <c r="B662" s="32">
        <v>19474.0</v>
      </c>
      <c r="C662" s="33" t="s">
        <v>102</v>
      </c>
      <c r="D662" s="33" t="s">
        <v>1635</v>
      </c>
      <c r="E662" s="33" t="s">
        <v>1672</v>
      </c>
      <c r="F662" s="33" t="s">
        <v>1673</v>
      </c>
      <c r="G662" s="33" t="s">
        <v>185</v>
      </c>
      <c r="H662" s="33" t="s">
        <v>186</v>
      </c>
      <c r="I662" s="33" t="s">
        <v>100</v>
      </c>
      <c r="J662" s="33" t="s">
        <v>56</v>
      </c>
      <c r="K662" s="34" t="s">
        <v>101</v>
      </c>
    </row>
    <row r="663">
      <c r="A663" s="27">
        <v>16218.0</v>
      </c>
      <c r="B663" s="28">
        <v>111989.0</v>
      </c>
      <c r="C663" s="29" t="s">
        <v>102</v>
      </c>
      <c r="D663" s="29" t="s">
        <v>204</v>
      </c>
      <c r="E663" s="29" t="s">
        <v>1674</v>
      </c>
      <c r="F663" s="29" t="s">
        <v>1675</v>
      </c>
      <c r="G663" s="29" t="s">
        <v>143</v>
      </c>
      <c r="H663" s="29" t="s">
        <v>144</v>
      </c>
      <c r="I663" s="29" t="s">
        <v>100</v>
      </c>
      <c r="J663" s="29" t="s">
        <v>56</v>
      </c>
      <c r="K663" s="30" t="s">
        <v>101</v>
      </c>
    </row>
    <row r="664">
      <c r="A664" s="31">
        <v>25753.0</v>
      </c>
      <c r="B664" s="32">
        <v>60018.0</v>
      </c>
      <c r="C664" s="33" t="s">
        <v>102</v>
      </c>
      <c r="D664" s="33" t="s">
        <v>127</v>
      </c>
      <c r="E664" s="33" t="s">
        <v>1676</v>
      </c>
      <c r="F664" s="33" t="s">
        <v>1677</v>
      </c>
      <c r="G664" s="33" t="s">
        <v>323</v>
      </c>
      <c r="H664" s="33" t="s">
        <v>417</v>
      </c>
      <c r="I664" s="33" t="s">
        <v>100</v>
      </c>
      <c r="J664" s="33" t="s">
        <v>41</v>
      </c>
      <c r="K664" s="34" t="s">
        <v>101</v>
      </c>
    </row>
    <row r="665">
      <c r="A665" s="27">
        <v>38377.0</v>
      </c>
      <c r="B665" s="28">
        <v>139173.0</v>
      </c>
      <c r="C665" s="29" t="s">
        <v>94</v>
      </c>
      <c r="D665" s="29" t="s">
        <v>303</v>
      </c>
      <c r="E665" s="29" t="s">
        <v>1676</v>
      </c>
      <c r="F665" s="29" t="s">
        <v>1678</v>
      </c>
      <c r="G665" s="29" t="s">
        <v>323</v>
      </c>
      <c r="H665" s="29" t="s">
        <v>417</v>
      </c>
      <c r="I665" s="29" t="s">
        <v>100</v>
      </c>
      <c r="J665" s="29" t="s">
        <v>65</v>
      </c>
      <c r="K665" s="30" t="s">
        <v>101</v>
      </c>
    </row>
    <row r="666">
      <c r="A666" s="31">
        <v>38369.0</v>
      </c>
      <c r="B666" s="32">
        <v>136841.0</v>
      </c>
      <c r="C666" s="33" t="s">
        <v>102</v>
      </c>
      <c r="D666" s="33" t="s">
        <v>392</v>
      </c>
      <c r="E666" s="33" t="s">
        <v>1679</v>
      </c>
      <c r="F666" s="33" t="s">
        <v>1680</v>
      </c>
      <c r="G666" s="33" t="s">
        <v>331</v>
      </c>
      <c r="H666" s="33" t="s">
        <v>332</v>
      </c>
      <c r="I666" s="33" t="s">
        <v>100</v>
      </c>
      <c r="J666" s="33" t="s">
        <v>56</v>
      </c>
      <c r="K666" s="34" t="s">
        <v>101</v>
      </c>
    </row>
    <row r="667">
      <c r="A667" s="27">
        <v>25516.0</v>
      </c>
      <c r="B667" s="28">
        <v>162951.0</v>
      </c>
      <c r="C667" s="29" t="s">
        <v>102</v>
      </c>
      <c r="D667" s="29" t="s">
        <v>204</v>
      </c>
      <c r="E667" s="29" t="s">
        <v>1681</v>
      </c>
      <c r="F667" s="29" t="s">
        <v>1682</v>
      </c>
      <c r="G667" s="29" t="s">
        <v>185</v>
      </c>
      <c r="H667" s="29" t="s">
        <v>186</v>
      </c>
      <c r="I667" s="29" t="s">
        <v>100</v>
      </c>
      <c r="J667" s="29" t="s">
        <v>41</v>
      </c>
      <c r="K667" s="30" t="s">
        <v>101</v>
      </c>
    </row>
    <row r="668">
      <c r="A668" s="31">
        <v>18530.0</v>
      </c>
      <c r="B668" s="32">
        <v>11005.0</v>
      </c>
      <c r="C668" s="33" t="s">
        <v>102</v>
      </c>
      <c r="D668" s="33" t="s">
        <v>1056</v>
      </c>
      <c r="E668" s="33" t="s">
        <v>1683</v>
      </c>
      <c r="F668" s="33" t="s">
        <v>1684</v>
      </c>
      <c r="G668" s="33" t="s">
        <v>198</v>
      </c>
      <c r="H668" s="33" t="s">
        <v>353</v>
      </c>
      <c r="I668" s="33" t="s">
        <v>100</v>
      </c>
      <c r="J668" s="33" t="s">
        <v>56</v>
      </c>
      <c r="K668" s="34" t="s">
        <v>101</v>
      </c>
    </row>
    <row r="669">
      <c r="A669" s="27">
        <v>16064.0</v>
      </c>
      <c r="B669" s="28">
        <v>125201.0</v>
      </c>
      <c r="C669" s="29" t="s">
        <v>102</v>
      </c>
      <c r="D669" s="29" t="s">
        <v>392</v>
      </c>
      <c r="E669" s="29" t="s">
        <v>1685</v>
      </c>
      <c r="F669" s="29" t="s">
        <v>1686</v>
      </c>
      <c r="G669" s="29" t="s">
        <v>98</v>
      </c>
      <c r="H669" s="29" t="s">
        <v>99</v>
      </c>
      <c r="I669" s="29" t="s">
        <v>100</v>
      </c>
      <c r="J669" s="29" t="s">
        <v>56</v>
      </c>
      <c r="K669" s="30" t="s">
        <v>101</v>
      </c>
    </row>
    <row r="670">
      <c r="A670" s="31">
        <v>7929.0</v>
      </c>
      <c r="B670" s="32">
        <v>111849.0</v>
      </c>
      <c r="C670" s="33" t="s">
        <v>94</v>
      </c>
      <c r="D670" s="33" t="s">
        <v>1687</v>
      </c>
      <c r="E670" s="33" t="s">
        <v>1688</v>
      </c>
      <c r="F670" s="33" t="s">
        <v>1689</v>
      </c>
      <c r="G670" s="33" t="s">
        <v>323</v>
      </c>
      <c r="H670" s="33" t="s">
        <v>324</v>
      </c>
      <c r="I670" s="33" t="s">
        <v>100</v>
      </c>
      <c r="J670" s="33" t="s">
        <v>68</v>
      </c>
      <c r="K670" s="34" t="s">
        <v>101</v>
      </c>
    </row>
    <row r="671">
      <c r="A671" s="27">
        <v>16409.0</v>
      </c>
      <c r="B671" s="28">
        <v>35977.0</v>
      </c>
      <c r="C671" s="29" t="s">
        <v>102</v>
      </c>
      <c r="D671" s="29" t="s">
        <v>209</v>
      </c>
      <c r="E671" s="29" t="s">
        <v>1690</v>
      </c>
      <c r="F671" s="29" t="s">
        <v>1691</v>
      </c>
      <c r="G671" s="29" t="s">
        <v>398</v>
      </c>
      <c r="H671" s="29" t="s">
        <v>399</v>
      </c>
      <c r="I671" s="29" t="s">
        <v>100</v>
      </c>
      <c r="J671" s="29" t="s">
        <v>41</v>
      </c>
      <c r="K671" s="30" t="s">
        <v>101</v>
      </c>
    </row>
    <row r="672">
      <c r="A672" s="31">
        <v>46003.0</v>
      </c>
      <c r="B672" s="32">
        <v>183173.0</v>
      </c>
      <c r="C672" s="33" t="s">
        <v>102</v>
      </c>
      <c r="D672" s="33" t="s">
        <v>1692</v>
      </c>
      <c r="E672" s="33" t="s">
        <v>1693</v>
      </c>
      <c r="F672" s="33" t="s">
        <v>1694</v>
      </c>
      <c r="G672" s="33" t="s">
        <v>135</v>
      </c>
      <c r="H672" s="33" t="s">
        <v>1140</v>
      </c>
      <c r="I672" s="33" t="s">
        <v>100</v>
      </c>
      <c r="J672" s="33" t="s">
        <v>53</v>
      </c>
      <c r="K672" s="34" t="s">
        <v>101</v>
      </c>
    </row>
    <row r="673">
      <c r="A673" s="27">
        <v>46002.0</v>
      </c>
      <c r="B673" s="28">
        <v>183174.0</v>
      </c>
      <c r="C673" s="29" t="s">
        <v>102</v>
      </c>
      <c r="D673" s="29" t="s">
        <v>1695</v>
      </c>
      <c r="E673" s="29" t="s">
        <v>1693</v>
      </c>
      <c r="F673" s="29" t="s">
        <v>1696</v>
      </c>
      <c r="G673" s="29" t="s">
        <v>135</v>
      </c>
      <c r="H673" s="29" t="s">
        <v>1140</v>
      </c>
      <c r="I673" s="29" t="s">
        <v>100</v>
      </c>
      <c r="J673" s="29" t="s">
        <v>41</v>
      </c>
      <c r="K673" s="30" t="s">
        <v>101</v>
      </c>
    </row>
    <row r="674">
      <c r="A674" s="31">
        <v>38574.0</v>
      </c>
      <c r="B674" s="32">
        <v>146881.0</v>
      </c>
      <c r="C674" s="33" t="s">
        <v>102</v>
      </c>
      <c r="D674" s="33" t="s">
        <v>1375</v>
      </c>
      <c r="E674" s="33" t="s">
        <v>1697</v>
      </c>
      <c r="F674" s="33" t="s">
        <v>1698</v>
      </c>
      <c r="G674" s="33" t="s">
        <v>207</v>
      </c>
      <c r="H674" s="33" t="s">
        <v>208</v>
      </c>
      <c r="I674" s="33" t="s">
        <v>100</v>
      </c>
      <c r="J674" s="33" t="s">
        <v>41</v>
      </c>
      <c r="K674" s="34" t="s">
        <v>101</v>
      </c>
    </row>
    <row r="675">
      <c r="A675" s="27">
        <v>16828.0</v>
      </c>
      <c r="B675" s="28">
        <v>19336.0</v>
      </c>
      <c r="C675" s="29" t="s">
        <v>94</v>
      </c>
      <c r="D675" s="29" t="s">
        <v>286</v>
      </c>
      <c r="E675" s="29" t="s">
        <v>1699</v>
      </c>
      <c r="F675" s="29" t="s">
        <v>1700</v>
      </c>
      <c r="G675" s="29" t="s">
        <v>398</v>
      </c>
      <c r="H675" s="29" t="s">
        <v>399</v>
      </c>
      <c r="I675" s="29" t="s">
        <v>100</v>
      </c>
      <c r="J675" s="29" t="s">
        <v>65</v>
      </c>
      <c r="K675" s="30" t="s">
        <v>101</v>
      </c>
    </row>
    <row r="676">
      <c r="A676" s="31">
        <v>38348.0</v>
      </c>
      <c r="B676" s="32">
        <v>136720.0</v>
      </c>
      <c r="C676" s="33" t="s">
        <v>102</v>
      </c>
      <c r="D676" s="33" t="s">
        <v>1701</v>
      </c>
      <c r="E676" s="33" t="s">
        <v>1699</v>
      </c>
      <c r="F676" s="33" t="s">
        <v>1702</v>
      </c>
      <c r="G676" s="33" t="s">
        <v>398</v>
      </c>
      <c r="H676" s="33" t="s">
        <v>399</v>
      </c>
      <c r="I676" s="33" t="s">
        <v>100</v>
      </c>
      <c r="J676" s="33" t="s">
        <v>47</v>
      </c>
      <c r="K676" s="34" t="s">
        <v>101</v>
      </c>
    </row>
    <row r="677">
      <c r="A677" s="27">
        <v>7959.0</v>
      </c>
      <c r="B677" s="28">
        <v>48025.0</v>
      </c>
      <c r="C677" s="29" t="s">
        <v>102</v>
      </c>
      <c r="D677" s="29" t="s">
        <v>161</v>
      </c>
      <c r="E677" s="29" t="s">
        <v>1703</v>
      </c>
      <c r="F677" s="29" t="s">
        <v>1704</v>
      </c>
      <c r="G677" s="29" t="s">
        <v>323</v>
      </c>
      <c r="H677" s="29" t="s">
        <v>417</v>
      </c>
      <c r="I677" s="29" t="s">
        <v>100</v>
      </c>
      <c r="J677" s="29" t="s">
        <v>41</v>
      </c>
      <c r="K677" s="30" t="s">
        <v>101</v>
      </c>
    </row>
    <row r="678">
      <c r="A678" s="31">
        <v>38502.0</v>
      </c>
      <c r="B678" s="32">
        <v>142932.0</v>
      </c>
      <c r="C678" s="33" t="s">
        <v>102</v>
      </c>
      <c r="D678" s="33" t="s">
        <v>873</v>
      </c>
      <c r="E678" s="33" t="s">
        <v>1705</v>
      </c>
      <c r="F678" s="33" t="s">
        <v>1706</v>
      </c>
      <c r="G678" s="33" t="s">
        <v>148</v>
      </c>
      <c r="H678" s="33" t="s">
        <v>149</v>
      </c>
      <c r="I678" s="33" t="s">
        <v>100</v>
      </c>
      <c r="J678" s="33" t="s">
        <v>56</v>
      </c>
      <c r="K678" s="34" t="s">
        <v>101</v>
      </c>
    </row>
    <row r="679">
      <c r="A679" s="27">
        <v>25519.0</v>
      </c>
      <c r="B679" s="28">
        <v>164056.0</v>
      </c>
      <c r="C679" s="29" t="s">
        <v>102</v>
      </c>
      <c r="D679" s="29" t="s">
        <v>245</v>
      </c>
      <c r="E679" s="29" t="s">
        <v>1707</v>
      </c>
      <c r="F679" s="29" t="s">
        <v>1708</v>
      </c>
      <c r="G679" s="29" t="s">
        <v>181</v>
      </c>
      <c r="H679" s="29" t="s">
        <v>229</v>
      </c>
      <c r="I679" s="29" t="s">
        <v>100</v>
      </c>
      <c r="J679" s="29" t="s">
        <v>41</v>
      </c>
      <c r="K679" s="30" t="s">
        <v>101</v>
      </c>
    </row>
    <row r="680">
      <c r="A680" s="31">
        <v>7501.0</v>
      </c>
      <c r="B680" s="32">
        <v>146859.0</v>
      </c>
      <c r="C680" s="33" t="s">
        <v>102</v>
      </c>
      <c r="D680" s="33" t="s">
        <v>400</v>
      </c>
      <c r="E680" s="33" t="s">
        <v>1709</v>
      </c>
      <c r="F680" s="33" t="s">
        <v>1710</v>
      </c>
      <c r="G680" s="33" t="s">
        <v>130</v>
      </c>
      <c r="H680" s="33" t="s">
        <v>244</v>
      </c>
      <c r="I680" s="33" t="s">
        <v>100</v>
      </c>
      <c r="J680" s="33" t="s">
        <v>59</v>
      </c>
      <c r="K680" s="34" t="s">
        <v>101</v>
      </c>
    </row>
    <row r="681">
      <c r="A681" s="27">
        <v>16220.0</v>
      </c>
      <c r="B681" s="28">
        <v>111988.0</v>
      </c>
      <c r="C681" s="29" t="s">
        <v>102</v>
      </c>
      <c r="D681" s="29" t="s">
        <v>200</v>
      </c>
      <c r="E681" s="29" t="s">
        <v>1711</v>
      </c>
      <c r="F681" s="29" t="s">
        <v>1712</v>
      </c>
      <c r="G681" s="29" t="s">
        <v>143</v>
      </c>
      <c r="H681" s="29" t="s">
        <v>144</v>
      </c>
      <c r="I681" s="29" t="s">
        <v>100</v>
      </c>
      <c r="J681" s="29" t="s">
        <v>59</v>
      </c>
      <c r="K681" s="30" t="s">
        <v>101</v>
      </c>
    </row>
    <row r="682">
      <c r="A682" s="31">
        <v>38660.0</v>
      </c>
      <c r="B682" s="32">
        <v>148805.0</v>
      </c>
      <c r="C682" s="33" t="s">
        <v>102</v>
      </c>
      <c r="D682" s="33" t="s">
        <v>1713</v>
      </c>
      <c r="E682" s="33" t="s">
        <v>1714</v>
      </c>
      <c r="F682" s="33" t="s">
        <v>1715</v>
      </c>
      <c r="G682" s="33" t="s">
        <v>221</v>
      </c>
      <c r="H682" s="33" t="s">
        <v>222</v>
      </c>
      <c r="I682" s="33" t="s">
        <v>100</v>
      </c>
      <c r="J682" s="33" t="s">
        <v>435</v>
      </c>
      <c r="K682" s="34" t="s">
        <v>101</v>
      </c>
    </row>
    <row r="683">
      <c r="A683" s="27">
        <v>38659.0</v>
      </c>
      <c r="B683" s="28">
        <v>148804.0</v>
      </c>
      <c r="C683" s="29" t="s">
        <v>102</v>
      </c>
      <c r="D683" s="29" t="s">
        <v>886</v>
      </c>
      <c r="E683" s="29" t="s">
        <v>1714</v>
      </c>
      <c r="F683" s="29" t="s">
        <v>1716</v>
      </c>
      <c r="G683" s="29" t="s">
        <v>221</v>
      </c>
      <c r="H683" s="29" t="s">
        <v>222</v>
      </c>
      <c r="I683" s="29" t="s">
        <v>100</v>
      </c>
      <c r="J683" s="29" t="s">
        <v>435</v>
      </c>
      <c r="K683" s="30" t="s">
        <v>101</v>
      </c>
    </row>
    <row r="684">
      <c r="A684" s="31">
        <v>7565.0</v>
      </c>
      <c r="B684" s="32">
        <v>146946.0</v>
      </c>
      <c r="C684" s="33" t="s">
        <v>102</v>
      </c>
      <c r="D684" s="33" t="s">
        <v>1717</v>
      </c>
      <c r="E684" s="33" t="s">
        <v>1718</v>
      </c>
      <c r="F684" s="33" t="s">
        <v>1719</v>
      </c>
      <c r="G684" s="33" t="s">
        <v>130</v>
      </c>
      <c r="H684" s="33" t="s">
        <v>244</v>
      </c>
      <c r="I684" s="33" t="s">
        <v>100</v>
      </c>
      <c r="J684" s="33" t="s">
        <v>59</v>
      </c>
      <c r="K684" s="34" t="s">
        <v>101</v>
      </c>
    </row>
    <row r="685">
      <c r="A685" s="27">
        <v>7321.0</v>
      </c>
      <c r="B685" s="28">
        <v>128259.0</v>
      </c>
      <c r="C685" s="29" t="s">
        <v>102</v>
      </c>
      <c r="D685" s="29" t="s">
        <v>560</v>
      </c>
      <c r="E685" s="29" t="s">
        <v>1720</v>
      </c>
      <c r="F685" s="29" t="s">
        <v>1721</v>
      </c>
      <c r="G685" s="29" t="s">
        <v>214</v>
      </c>
      <c r="H685" s="29" t="s">
        <v>215</v>
      </c>
      <c r="I685" s="29" t="s">
        <v>100</v>
      </c>
      <c r="J685" s="29" t="s">
        <v>53</v>
      </c>
      <c r="K685" s="30" t="s">
        <v>101</v>
      </c>
    </row>
    <row r="686">
      <c r="A686" s="31">
        <v>25005.0</v>
      </c>
      <c r="B686" s="32">
        <v>29473.0</v>
      </c>
      <c r="C686" s="33" t="s">
        <v>102</v>
      </c>
      <c r="D686" s="33" t="s">
        <v>1052</v>
      </c>
      <c r="E686" s="33" t="s">
        <v>1722</v>
      </c>
      <c r="F686" s="33" t="s">
        <v>1723</v>
      </c>
      <c r="G686" s="33" t="s">
        <v>221</v>
      </c>
      <c r="H686" s="33" t="s">
        <v>222</v>
      </c>
      <c r="I686" s="33" t="s">
        <v>100</v>
      </c>
      <c r="J686" s="33" t="s">
        <v>53</v>
      </c>
      <c r="K686" s="34" t="s">
        <v>101</v>
      </c>
    </row>
    <row r="687">
      <c r="A687" s="27">
        <v>25166.0</v>
      </c>
      <c r="B687" s="28">
        <v>42454.0</v>
      </c>
      <c r="C687" s="29" t="s">
        <v>102</v>
      </c>
      <c r="D687" s="29" t="s">
        <v>343</v>
      </c>
      <c r="E687" s="29" t="s">
        <v>1724</v>
      </c>
      <c r="F687" s="29" t="s">
        <v>1725</v>
      </c>
      <c r="G687" s="29" t="s">
        <v>214</v>
      </c>
      <c r="H687" s="29" t="s">
        <v>215</v>
      </c>
      <c r="I687" s="29" t="s">
        <v>100</v>
      </c>
      <c r="J687" s="29" t="s">
        <v>41</v>
      </c>
      <c r="K687" s="30" t="s">
        <v>101</v>
      </c>
    </row>
    <row r="688">
      <c r="A688" s="31">
        <v>7561.0</v>
      </c>
      <c r="B688" s="32">
        <v>119969.0</v>
      </c>
      <c r="C688" s="33" t="s">
        <v>102</v>
      </c>
      <c r="D688" s="33" t="s">
        <v>1513</v>
      </c>
      <c r="E688" s="33" t="s">
        <v>1421</v>
      </c>
      <c r="F688" s="33" t="s">
        <v>1726</v>
      </c>
      <c r="G688" s="33" t="s">
        <v>130</v>
      </c>
      <c r="H688" s="33" t="s">
        <v>244</v>
      </c>
      <c r="I688" s="33" t="s">
        <v>100</v>
      </c>
      <c r="J688" s="33" t="s">
        <v>56</v>
      </c>
      <c r="K688" s="34" t="s">
        <v>101</v>
      </c>
    </row>
    <row r="689">
      <c r="A689" s="27">
        <v>38640.0</v>
      </c>
      <c r="B689" s="28">
        <v>148777.0</v>
      </c>
      <c r="C689" s="29" t="s">
        <v>102</v>
      </c>
      <c r="D689" s="29" t="s">
        <v>395</v>
      </c>
      <c r="E689" s="29" t="s">
        <v>1727</v>
      </c>
      <c r="F689" s="29" t="s">
        <v>1728</v>
      </c>
      <c r="G689" s="29" t="s">
        <v>135</v>
      </c>
      <c r="H689" s="29" t="s">
        <v>531</v>
      </c>
      <c r="I689" s="29" t="s">
        <v>100</v>
      </c>
      <c r="J689" s="29" t="s">
        <v>56</v>
      </c>
      <c r="K689" s="30" t="s">
        <v>101</v>
      </c>
    </row>
    <row r="690">
      <c r="A690" s="31">
        <v>38937.0</v>
      </c>
      <c r="B690" s="32">
        <v>164058.0</v>
      </c>
      <c r="C690" s="33" t="s">
        <v>94</v>
      </c>
      <c r="D690" s="33" t="s">
        <v>1729</v>
      </c>
      <c r="E690" s="33" t="s">
        <v>1730</v>
      </c>
      <c r="F690" s="33" t="s">
        <v>1731</v>
      </c>
      <c r="G690" s="33" t="s">
        <v>741</v>
      </c>
      <c r="H690" s="33" t="s">
        <v>742</v>
      </c>
      <c r="I690" s="33" t="s">
        <v>100</v>
      </c>
      <c r="J690" s="33" t="s">
        <v>901</v>
      </c>
      <c r="K690" s="34" t="s">
        <v>281</v>
      </c>
    </row>
    <row r="691">
      <c r="A691" s="27">
        <v>38887.0</v>
      </c>
      <c r="B691" s="28">
        <v>162037.0</v>
      </c>
      <c r="C691" s="29" t="s">
        <v>102</v>
      </c>
      <c r="D691" s="29" t="s">
        <v>209</v>
      </c>
      <c r="E691" s="29" t="s">
        <v>1730</v>
      </c>
      <c r="F691" s="29" t="s">
        <v>1732</v>
      </c>
      <c r="G691" s="29" t="s">
        <v>741</v>
      </c>
      <c r="H691" s="29" t="s">
        <v>742</v>
      </c>
      <c r="I691" s="29" t="s">
        <v>100</v>
      </c>
      <c r="J691" s="29" t="s">
        <v>53</v>
      </c>
      <c r="K691" s="30" t="s">
        <v>101</v>
      </c>
    </row>
    <row r="692">
      <c r="A692" s="31">
        <v>16641.0</v>
      </c>
      <c r="B692" s="32">
        <v>111159.0</v>
      </c>
      <c r="C692" s="33" t="s">
        <v>102</v>
      </c>
      <c r="D692" s="33" t="s">
        <v>395</v>
      </c>
      <c r="E692" s="33" t="s">
        <v>1733</v>
      </c>
      <c r="F692" s="33" t="s">
        <v>1734</v>
      </c>
      <c r="G692" s="33" t="s">
        <v>323</v>
      </c>
      <c r="H692" s="33" t="s">
        <v>417</v>
      </c>
      <c r="I692" s="33" t="s">
        <v>100</v>
      </c>
      <c r="J692" s="33" t="s">
        <v>59</v>
      </c>
      <c r="K692" s="34" t="s">
        <v>101</v>
      </c>
    </row>
    <row r="693">
      <c r="A693" s="27">
        <v>38983.0</v>
      </c>
      <c r="B693" s="28">
        <v>168163.0</v>
      </c>
      <c r="C693" s="29" t="s">
        <v>102</v>
      </c>
      <c r="D693" s="29" t="s">
        <v>665</v>
      </c>
      <c r="E693" s="29" t="s">
        <v>1735</v>
      </c>
      <c r="F693" s="29" t="s">
        <v>1736</v>
      </c>
      <c r="G693" s="29" t="s">
        <v>130</v>
      </c>
      <c r="H693" s="29" t="s">
        <v>211</v>
      </c>
      <c r="I693" s="29" t="s">
        <v>100</v>
      </c>
      <c r="J693" s="29" t="s">
        <v>41</v>
      </c>
      <c r="K693" s="30" t="s">
        <v>101</v>
      </c>
    </row>
    <row r="694">
      <c r="A694" s="31">
        <v>38664.0</v>
      </c>
      <c r="B694" s="32">
        <v>148809.0</v>
      </c>
      <c r="C694" s="33" t="s">
        <v>102</v>
      </c>
      <c r="D694" s="33" t="s">
        <v>668</v>
      </c>
      <c r="E694" s="33" t="s">
        <v>1737</v>
      </c>
      <c r="F694" s="33" t="s">
        <v>1738</v>
      </c>
      <c r="G694" s="33" t="s">
        <v>135</v>
      </c>
      <c r="H694" s="33" t="s">
        <v>1595</v>
      </c>
      <c r="I694" s="33" t="s">
        <v>100</v>
      </c>
      <c r="J694" s="33" t="s">
        <v>41</v>
      </c>
      <c r="K694" s="34" t="s">
        <v>101</v>
      </c>
    </row>
    <row r="695">
      <c r="A695" s="27">
        <v>16899.0</v>
      </c>
      <c r="B695" s="28">
        <v>19447.0</v>
      </c>
      <c r="C695" s="29" t="s">
        <v>102</v>
      </c>
      <c r="D695" s="29" t="s">
        <v>1739</v>
      </c>
      <c r="E695" s="29" t="s">
        <v>1740</v>
      </c>
      <c r="F695" s="29" t="s">
        <v>1741</v>
      </c>
      <c r="G695" s="29" t="s">
        <v>135</v>
      </c>
      <c r="H695" s="29" t="s">
        <v>136</v>
      </c>
      <c r="I695" s="29" t="s">
        <v>100</v>
      </c>
      <c r="J695" s="29" t="s">
        <v>53</v>
      </c>
      <c r="K695" s="30" t="s">
        <v>101</v>
      </c>
    </row>
    <row r="696">
      <c r="A696" s="31">
        <v>7136.0</v>
      </c>
      <c r="B696" s="32">
        <v>114545.0</v>
      </c>
      <c r="C696" s="33" t="s">
        <v>102</v>
      </c>
      <c r="D696" s="33" t="s">
        <v>1742</v>
      </c>
      <c r="E696" s="33" t="s">
        <v>1743</v>
      </c>
      <c r="F696" s="33" t="s">
        <v>1744</v>
      </c>
      <c r="G696" s="33" t="s">
        <v>190</v>
      </c>
      <c r="H696" s="33" t="s">
        <v>317</v>
      </c>
      <c r="I696" s="33" t="s">
        <v>100</v>
      </c>
      <c r="J696" s="33" t="s">
        <v>56</v>
      </c>
      <c r="K696" s="34" t="s">
        <v>101</v>
      </c>
    </row>
    <row r="697">
      <c r="A697" s="27">
        <v>38745.0</v>
      </c>
      <c r="B697" s="28">
        <v>155269.0</v>
      </c>
      <c r="C697" s="29" t="s">
        <v>102</v>
      </c>
      <c r="D697" s="29" t="s">
        <v>209</v>
      </c>
      <c r="E697" s="29" t="s">
        <v>1745</v>
      </c>
      <c r="F697" s="29" t="s">
        <v>1746</v>
      </c>
      <c r="G697" s="29" t="s">
        <v>323</v>
      </c>
      <c r="H697" s="29" t="s">
        <v>417</v>
      </c>
      <c r="I697" s="29" t="s">
        <v>100</v>
      </c>
      <c r="J697" s="29" t="s">
        <v>41</v>
      </c>
      <c r="K697" s="30" t="s">
        <v>101</v>
      </c>
    </row>
    <row r="698">
      <c r="A698" s="31">
        <v>38521.0</v>
      </c>
      <c r="B698" s="32">
        <v>144602.0</v>
      </c>
      <c r="C698" s="33" t="s">
        <v>102</v>
      </c>
      <c r="D698" s="33" t="s">
        <v>204</v>
      </c>
      <c r="E698" s="33" t="s">
        <v>1747</v>
      </c>
      <c r="F698" s="33" t="s">
        <v>1748</v>
      </c>
      <c r="G698" s="33" t="s">
        <v>168</v>
      </c>
      <c r="H698" s="33" t="s">
        <v>169</v>
      </c>
      <c r="I698" s="33" t="s">
        <v>100</v>
      </c>
      <c r="J698" s="33" t="s">
        <v>56</v>
      </c>
      <c r="K698" s="34" t="s">
        <v>101</v>
      </c>
    </row>
    <row r="699">
      <c r="A699" s="27">
        <v>38396.0</v>
      </c>
      <c r="B699" s="28">
        <v>139243.0</v>
      </c>
      <c r="C699" s="29" t="s">
        <v>102</v>
      </c>
      <c r="D699" s="29" t="s">
        <v>432</v>
      </c>
      <c r="E699" s="29" t="s">
        <v>1747</v>
      </c>
      <c r="F699" s="29" t="s">
        <v>1749</v>
      </c>
      <c r="G699" s="29" t="s">
        <v>119</v>
      </c>
      <c r="H699" s="29" t="s">
        <v>120</v>
      </c>
      <c r="I699" s="29" t="s">
        <v>100</v>
      </c>
      <c r="J699" s="29" t="s">
        <v>435</v>
      </c>
      <c r="K699" s="30" t="s">
        <v>281</v>
      </c>
    </row>
    <row r="700">
      <c r="A700" s="31">
        <v>16348.0</v>
      </c>
      <c r="B700" s="32">
        <v>111195.0</v>
      </c>
      <c r="C700" s="33" t="s">
        <v>102</v>
      </c>
      <c r="D700" s="33" t="s">
        <v>554</v>
      </c>
      <c r="E700" s="33" t="s">
        <v>1747</v>
      </c>
      <c r="F700" s="33" t="s">
        <v>1750</v>
      </c>
      <c r="G700" s="33" t="s">
        <v>119</v>
      </c>
      <c r="H700" s="33" t="s">
        <v>120</v>
      </c>
      <c r="I700" s="33" t="s">
        <v>100</v>
      </c>
      <c r="J700" s="33" t="s">
        <v>59</v>
      </c>
      <c r="K700" s="34" t="s">
        <v>101</v>
      </c>
    </row>
    <row r="701">
      <c r="A701" s="27">
        <v>38642.0</v>
      </c>
      <c r="B701" s="28">
        <v>148779.0</v>
      </c>
      <c r="C701" s="29" t="s">
        <v>102</v>
      </c>
      <c r="D701" s="29" t="s">
        <v>230</v>
      </c>
      <c r="E701" s="29" t="s">
        <v>1747</v>
      </c>
      <c r="F701" s="29" t="s">
        <v>1751</v>
      </c>
      <c r="G701" s="29" t="s">
        <v>119</v>
      </c>
      <c r="H701" s="29" t="s">
        <v>120</v>
      </c>
      <c r="I701" s="29" t="s">
        <v>100</v>
      </c>
      <c r="J701" s="29" t="s">
        <v>41</v>
      </c>
      <c r="K701" s="30" t="s">
        <v>101</v>
      </c>
    </row>
    <row r="702">
      <c r="A702" s="31">
        <v>38893.0</v>
      </c>
      <c r="B702" s="32">
        <v>162049.0</v>
      </c>
      <c r="C702" s="33" t="s">
        <v>102</v>
      </c>
      <c r="D702" s="33" t="s">
        <v>650</v>
      </c>
      <c r="E702" s="33" t="s">
        <v>1752</v>
      </c>
      <c r="F702" s="33" t="s">
        <v>1753</v>
      </c>
      <c r="G702" s="33" t="s">
        <v>221</v>
      </c>
      <c r="H702" s="33" t="s">
        <v>222</v>
      </c>
      <c r="I702" s="33" t="s">
        <v>100</v>
      </c>
      <c r="J702" s="33" t="s">
        <v>1340</v>
      </c>
      <c r="K702" s="34" t="s">
        <v>281</v>
      </c>
    </row>
    <row r="703">
      <c r="A703" s="27">
        <v>38418.0</v>
      </c>
      <c r="B703" s="28">
        <v>139358.0</v>
      </c>
      <c r="C703" s="29" t="s">
        <v>102</v>
      </c>
      <c r="D703" s="29" t="s">
        <v>1754</v>
      </c>
      <c r="E703" s="29" t="s">
        <v>1755</v>
      </c>
      <c r="F703" s="29" t="s">
        <v>1756</v>
      </c>
      <c r="G703" s="29" t="s">
        <v>198</v>
      </c>
      <c r="H703" s="29" t="s">
        <v>544</v>
      </c>
      <c r="I703" s="29" t="s">
        <v>100</v>
      </c>
      <c r="J703" s="29" t="s">
        <v>56</v>
      </c>
      <c r="K703" s="30" t="s">
        <v>101</v>
      </c>
    </row>
    <row r="704">
      <c r="A704" s="31">
        <v>38487.0</v>
      </c>
      <c r="B704" s="32">
        <v>142860.0</v>
      </c>
      <c r="C704" s="33" t="s">
        <v>94</v>
      </c>
      <c r="D704" s="33" t="s">
        <v>1757</v>
      </c>
      <c r="E704" s="33" t="s">
        <v>1758</v>
      </c>
      <c r="F704" s="33" t="s">
        <v>1759</v>
      </c>
      <c r="G704" s="33" t="s">
        <v>130</v>
      </c>
      <c r="H704" s="33" t="s">
        <v>211</v>
      </c>
      <c r="I704" s="33" t="s">
        <v>100</v>
      </c>
      <c r="J704" s="33" t="s">
        <v>62</v>
      </c>
      <c r="K704" s="34" t="s">
        <v>101</v>
      </c>
    </row>
    <row r="705">
      <c r="A705" s="27">
        <v>38486.0</v>
      </c>
      <c r="B705" s="28">
        <v>142859.0</v>
      </c>
      <c r="C705" s="29" t="s">
        <v>102</v>
      </c>
      <c r="D705" s="29" t="s">
        <v>436</v>
      </c>
      <c r="E705" s="29" t="s">
        <v>1758</v>
      </c>
      <c r="F705" s="29" t="s">
        <v>1760</v>
      </c>
      <c r="G705" s="29" t="s">
        <v>130</v>
      </c>
      <c r="H705" s="29" t="s">
        <v>211</v>
      </c>
      <c r="I705" s="29" t="s">
        <v>100</v>
      </c>
      <c r="J705" s="29" t="s">
        <v>56</v>
      </c>
      <c r="K705" s="30" t="s">
        <v>101</v>
      </c>
    </row>
    <row r="706">
      <c r="A706" s="31">
        <v>16744.0</v>
      </c>
      <c r="B706" s="32">
        <v>114512.0</v>
      </c>
      <c r="C706" s="33" t="s">
        <v>102</v>
      </c>
      <c r="D706" s="33" t="s">
        <v>400</v>
      </c>
      <c r="E706" s="33" t="s">
        <v>1761</v>
      </c>
      <c r="F706" s="33" t="s">
        <v>1762</v>
      </c>
      <c r="G706" s="33" t="s">
        <v>190</v>
      </c>
      <c r="H706" s="33" t="s">
        <v>191</v>
      </c>
      <c r="I706" s="33" t="s">
        <v>100</v>
      </c>
      <c r="J706" s="33" t="s">
        <v>41</v>
      </c>
      <c r="K706" s="34" t="s">
        <v>101</v>
      </c>
    </row>
    <row r="707">
      <c r="A707" s="27">
        <v>7264.0</v>
      </c>
      <c r="B707" s="28">
        <v>114233.0</v>
      </c>
      <c r="C707" s="29" t="s">
        <v>102</v>
      </c>
      <c r="D707" s="29" t="s">
        <v>785</v>
      </c>
      <c r="E707" s="29" t="s">
        <v>1763</v>
      </c>
      <c r="F707" s="29" t="s">
        <v>1764</v>
      </c>
      <c r="G707" s="29" t="s">
        <v>270</v>
      </c>
      <c r="H707" s="29" t="s">
        <v>374</v>
      </c>
      <c r="I707" s="29" t="s">
        <v>100</v>
      </c>
      <c r="J707" s="29" t="s">
        <v>41</v>
      </c>
      <c r="K707" s="30" t="s">
        <v>101</v>
      </c>
    </row>
    <row r="708">
      <c r="A708" s="31">
        <v>31583.0</v>
      </c>
      <c r="B708" s="32">
        <v>38195.0</v>
      </c>
      <c r="C708" s="33" t="s">
        <v>102</v>
      </c>
      <c r="D708" s="33" t="s">
        <v>926</v>
      </c>
      <c r="E708" s="33" t="s">
        <v>1765</v>
      </c>
      <c r="F708" s="33" t="s">
        <v>1766</v>
      </c>
      <c r="G708" s="33" t="s">
        <v>143</v>
      </c>
      <c r="H708" s="33" t="s">
        <v>144</v>
      </c>
      <c r="I708" s="33" t="s">
        <v>100</v>
      </c>
      <c r="J708" s="33" t="s">
        <v>41</v>
      </c>
      <c r="K708" s="34" t="s">
        <v>101</v>
      </c>
    </row>
    <row r="709">
      <c r="A709" s="27">
        <v>7012.0</v>
      </c>
      <c r="B709" s="28">
        <v>120988.0</v>
      </c>
      <c r="C709" s="29" t="s">
        <v>102</v>
      </c>
      <c r="D709" s="29" t="s">
        <v>516</v>
      </c>
      <c r="E709" s="29" t="s">
        <v>1767</v>
      </c>
      <c r="F709" s="29" t="s">
        <v>1768</v>
      </c>
      <c r="G709" s="29" t="s">
        <v>264</v>
      </c>
      <c r="H709" s="29" t="s">
        <v>265</v>
      </c>
      <c r="I709" s="29" t="s">
        <v>100</v>
      </c>
      <c r="J709" s="29" t="s">
        <v>59</v>
      </c>
      <c r="K709" s="30" t="s">
        <v>101</v>
      </c>
    </row>
    <row r="710">
      <c r="A710" s="31">
        <v>38041.0</v>
      </c>
      <c r="B710" s="32">
        <v>19458.0</v>
      </c>
      <c r="C710" s="33" t="s">
        <v>102</v>
      </c>
      <c r="D710" s="33" t="s">
        <v>918</v>
      </c>
      <c r="E710" s="33" t="s">
        <v>1769</v>
      </c>
      <c r="F710" s="33" t="s">
        <v>1770</v>
      </c>
      <c r="G710" s="33" t="s">
        <v>185</v>
      </c>
      <c r="H710" s="33" t="s">
        <v>186</v>
      </c>
      <c r="I710" s="33" t="s">
        <v>100</v>
      </c>
      <c r="J710" s="33" t="s">
        <v>41</v>
      </c>
      <c r="K710" s="34" t="s">
        <v>101</v>
      </c>
    </row>
    <row r="711">
      <c r="A711" s="27">
        <v>38825.0</v>
      </c>
      <c r="B711" s="28">
        <v>159602.0</v>
      </c>
      <c r="C711" s="29" t="s">
        <v>94</v>
      </c>
      <c r="D711" s="29" t="s">
        <v>1771</v>
      </c>
      <c r="E711" s="29" t="s">
        <v>1772</v>
      </c>
      <c r="F711" s="29" t="s">
        <v>1773</v>
      </c>
      <c r="G711" s="29" t="s">
        <v>323</v>
      </c>
      <c r="H711" s="29" t="s">
        <v>493</v>
      </c>
      <c r="I711" s="29" t="s">
        <v>100</v>
      </c>
      <c r="J711" s="29" t="s">
        <v>68</v>
      </c>
      <c r="K711" s="30" t="s">
        <v>101</v>
      </c>
    </row>
    <row r="712">
      <c r="A712" s="31">
        <v>7317.0</v>
      </c>
      <c r="B712" s="32">
        <v>136654.0</v>
      </c>
      <c r="C712" s="33" t="s">
        <v>102</v>
      </c>
      <c r="D712" s="33" t="s">
        <v>209</v>
      </c>
      <c r="E712" s="33" t="s">
        <v>1774</v>
      </c>
      <c r="F712" s="33" t="s">
        <v>1775</v>
      </c>
      <c r="G712" s="33" t="s">
        <v>214</v>
      </c>
      <c r="H712" s="33" t="s">
        <v>215</v>
      </c>
      <c r="I712" s="33" t="s">
        <v>100</v>
      </c>
      <c r="J712" s="33" t="s">
        <v>41</v>
      </c>
      <c r="K712" s="34" t="s">
        <v>101</v>
      </c>
    </row>
    <row r="713">
      <c r="A713" s="27">
        <v>25631.0</v>
      </c>
      <c r="B713" s="28">
        <v>79766.0</v>
      </c>
      <c r="C713" s="29" t="s">
        <v>102</v>
      </c>
      <c r="D713" s="29" t="s">
        <v>1776</v>
      </c>
      <c r="E713" s="29" t="s">
        <v>1777</v>
      </c>
      <c r="F713" s="29" t="s">
        <v>1778</v>
      </c>
      <c r="G713" s="29" t="s">
        <v>130</v>
      </c>
      <c r="H713" s="29" t="s">
        <v>244</v>
      </c>
      <c r="I713" s="29" t="s">
        <v>100</v>
      </c>
      <c r="J713" s="29" t="s">
        <v>59</v>
      </c>
      <c r="K713" s="30" t="s">
        <v>101</v>
      </c>
    </row>
    <row r="714">
      <c r="A714" s="31">
        <v>7909.0</v>
      </c>
      <c r="B714" s="32">
        <v>112060.0</v>
      </c>
      <c r="C714" s="33" t="s">
        <v>102</v>
      </c>
      <c r="D714" s="33" t="s">
        <v>400</v>
      </c>
      <c r="E714" s="33" t="s">
        <v>1779</v>
      </c>
      <c r="F714" s="33" t="s">
        <v>1780</v>
      </c>
      <c r="G714" s="33" t="s">
        <v>148</v>
      </c>
      <c r="H714" s="33" t="s">
        <v>149</v>
      </c>
      <c r="I714" s="33" t="s">
        <v>100</v>
      </c>
      <c r="J714" s="33" t="s">
        <v>59</v>
      </c>
      <c r="K714" s="34" t="s">
        <v>101</v>
      </c>
    </row>
    <row r="715">
      <c r="A715" s="27">
        <v>7906.0</v>
      </c>
      <c r="B715" s="28">
        <v>112059.0</v>
      </c>
      <c r="C715" s="29" t="s">
        <v>102</v>
      </c>
      <c r="D715" s="29" t="s">
        <v>1086</v>
      </c>
      <c r="E715" s="29" t="s">
        <v>1779</v>
      </c>
      <c r="F715" s="29" t="s">
        <v>1781</v>
      </c>
      <c r="G715" s="29" t="s">
        <v>148</v>
      </c>
      <c r="H715" s="29" t="s">
        <v>149</v>
      </c>
      <c r="I715" s="29" t="s">
        <v>100</v>
      </c>
      <c r="J715" s="29" t="s">
        <v>56</v>
      </c>
      <c r="K715" s="30" t="s">
        <v>101</v>
      </c>
    </row>
    <row r="716">
      <c r="A716" s="31">
        <v>38684.0</v>
      </c>
      <c r="B716" s="32">
        <v>148838.0</v>
      </c>
      <c r="C716" s="33" t="s">
        <v>102</v>
      </c>
      <c r="D716" s="33" t="s">
        <v>1782</v>
      </c>
      <c r="E716" s="33" t="s">
        <v>1783</v>
      </c>
      <c r="F716" s="33" t="s">
        <v>1784</v>
      </c>
      <c r="G716" s="33" t="s">
        <v>275</v>
      </c>
      <c r="H716" s="33" t="s">
        <v>276</v>
      </c>
      <c r="I716" s="33" t="s">
        <v>100</v>
      </c>
      <c r="J716" s="33" t="s">
        <v>41</v>
      </c>
      <c r="K716" s="34" t="s">
        <v>101</v>
      </c>
    </row>
    <row r="717">
      <c r="A717" s="27">
        <v>38926.0</v>
      </c>
      <c r="B717" s="28">
        <v>162994.0</v>
      </c>
      <c r="C717" s="29" t="s">
        <v>102</v>
      </c>
      <c r="D717" s="29" t="s">
        <v>392</v>
      </c>
      <c r="E717" s="29" t="s">
        <v>1783</v>
      </c>
      <c r="F717" s="29" t="s">
        <v>1785</v>
      </c>
      <c r="G717" s="29" t="s">
        <v>275</v>
      </c>
      <c r="H717" s="29" t="s">
        <v>276</v>
      </c>
      <c r="I717" s="29" t="s">
        <v>100</v>
      </c>
      <c r="J717" s="29" t="s">
        <v>56</v>
      </c>
      <c r="K717" s="30" t="s">
        <v>101</v>
      </c>
    </row>
    <row r="718">
      <c r="A718" s="31">
        <v>38620.0</v>
      </c>
      <c r="B718" s="32">
        <v>146947.0</v>
      </c>
      <c r="C718" s="33" t="s">
        <v>102</v>
      </c>
      <c r="D718" s="33" t="s">
        <v>629</v>
      </c>
      <c r="E718" s="33" t="s">
        <v>1783</v>
      </c>
      <c r="F718" s="33" t="s">
        <v>1786</v>
      </c>
      <c r="G718" s="33" t="s">
        <v>119</v>
      </c>
      <c r="H718" s="33" t="s">
        <v>120</v>
      </c>
      <c r="I718" s="33" t="s">
        <v>100</v>
      </c>
      <c r="J718" s="33" t="s">
        <v>47</v>
      </c>
      <c r="K718" s="34" t="s">
        <v>101</v>
      </c>
    </row>
    <row r="719">
      <c r="A719" s="27">
        <v>21185.0</v>
      </c>
      <c r="B719" s="28">
        <v>110902.0</v>
      </c>
      <c r="C719" s="29" t="s">
        <v>94</v>
      </c>
      <c r="D719" s="29" t="s">
        <v>390</v>
      </c>
      <c r="E719" s="29" t="s">
        <v>1787</v>
      </c>
      <c r="F719" s="29" t="s">
        <v>1788</v>
      </c>
      <c r="G719" s="29" t="s">
        <v>270</v>
      </c>
      <c r="H719" s="29" t="s">
        <v>271</v>
      </c>
      <c r="I719" s="29" t="s">
        <v>100</v>
      </c>
      <c r="J719" s="29" t="s">
        <v>65</v>
      </c>
      <c r="K719" s="30" t="s">
        <v>101</v>
      </c>
    </row>
    <row r="720">
      <c r="A720" s="31">
        <v>38277.0</v>
      </c>
      <c r="B720" s="32">
        <v>136275.0</v>
      </c>
      <c r="C720" s="33" t="s">
        <v>102</v>
      </c>
      <c r="D720" s="33" t="s">
        <v>969</v>
      </c>
      <c r="E720" s="33" t="s">
        <v>1789</v>
      </c>
      <c r="F720" s="33" t="s">
        <v>1790</v>
      </c>
      <c r="G720" s="33" t="s">
        <v>190</v>
      </c>
      <c r="H720" s="33" t="s">
        <v>191</v>
      </c>
      <c r="I720" s="33" t="s">
        <v>100</v>
      </c>
      <c r="J720" s="33" t="s">
        <v>41</v>
      </c>
      <c r="K720" s="34" t="s">
        <v>101</v>
      </c>
    </row>
    <row r="721">
      <c r="A721" s="27">
        <v>38952.0</v>
      </c>
      <c r="B721" s="28">
        <v>164076.0</v>
      </c>
      <c r="C721" s="29" t="s">
        <v>102</v>
      </c>
      <c r="D721" s="29" t="s">
        <v>1217</v>
      </c>
      <c r="E721" s="29" t="s">
        <v>1791</v>
      </c>
      <c r="F721" s="29" t="s">
        <v>1792</v>
      </c>
      <c r="G721" s="29" t="s">
        <v>198</v>
      </c>
      <c r="H721" s="29" t="s">
        <v>544</v>
      </c>
      <c r="I721" s="29" t="s">
        <v>100</v>
      </c>
      <c r="J721" s="29" t="s">
        <v>41</v>
      </c>
      <c r="K721" s="30" t="s">
        <v>101</v>
      </c>
    </row>
    <row r="722">
      <c r="A722" s="31">
        <v>38516.0</v>
      </c>
      <c r="B722" s="32">
        <v>144645.0</v>
      </c>
      <c r="C722" s="33" t="s">
        <v>102</v>
      </c>
      <c r="D722" s="33" t="s">
        <v>1318</v>
      </c>
      <c r="E722" s="33" t="s">
        <v>1793</v>
      </c>
      <c r="F722" s="33" t="s">
        <v>1794</v>
      </c>
      <c r="G722" s="33" t="s">
        <v>130</v>
      </c>
      <c r="H722" s="33" t="s">
        <v>157</v>
      </c>
      <c r="I722" s="33" t="s">
        <v>100</v>
      </c>
      <c r="J722" s="33" t="s">
        <v>56</v>
      </c>
      <c r="K722" s="34" t="s">
        <v>101</v>
      </c>
    </row>
    <row r="723">
      <c r="A723" s="27">
        <v>7869.0</v>
      </c>
      <c r="B723" s="28">
        <v>140498.0</v>
      </c>
      <c r="C723" s="29" t="s">
        <v>102</v>
      </c>
      <c r="D723" s="29" t="s">
        <v>392</v>
      </c>
      <c r="E723" s="29" t="s">
        <v>1795</v>
      </c>
      <c r="F723" s="29" t="s">
        <v>1796</v>
      </c>
      <c r="G723" s="29" t="s">
        <v>198</v>
      </c>
      <c r="H723" s="29" t="s">
        <v>353</v>
      </c>
      <c r="I723" s="29" t="s">
        <v>100</v>
      </c>
      <c r="J723" s="29" t="s">
        <v>59</v>
      </c>
      <c r="K723" s="30" t="s">
        <v>101</v>
      </c>
    </row>
    <row r="724">
      <c r="A724" s="31">
        <v>16251.0</v>
      </c>
      <c r="B724" s="32">
        <v>115847.0</v>
      </c>
      <c r="C724" s="33" t="s">
        <v>102</v>
      </c>
      <c r="D724" s="33" t="s">
        <v>255</v>
      </c>
      <c r="E724" s="33" t="s">
        <v>1795</v>
      </c>
      <c r="F724" s="33" t="s">
        <v>1797</v>
      </c>
      <c r="G724" s="33" t="s">
        <v>185</v>
      </c>
      <c r="H724" s="33" t="s">
        <v>186</v>
      </c>
      <c r="I724" s="33" t="s">
        <v>100</v>
      </c>
      <c r="J724" s="33" t="s">
        <v>53</v>
      </c>
      <c r="K724" s="34" t="s">
        <v>101</v>
      </c>
    </row>
    <row r="725">
      <c r="A725" s="27">
        <v>7019.0</v>
      </c>
      <c r="B725" s="28">
        <v>129048.0</v>
      </c>
      <c r="C725" s="29" t="s">
        <v>94</v>
      </c>
      <c r="D725" s="29" t="s">
        <v>1798</v>
      </c>
      <c r="E725" s="29" t="s">
        <v>1799</v>
      </c>
      <c r="F725" s="29" t="s">
        <v>1800</v>
      </c>
      <c r="G725" s="29" t="s">
        <v>496</v>
      </c>
      <c r="H725" s="29" t="s">
        <v>655</v>
      </c>
      <c r="I725" s="29" t="s">
        <v>100</v>
      </c>
      <c r="J725" s="29" t="s">
        <v>68</v>
      </c>
      <c r="K725" s="30" t="s">
        <v>101</v>
      </c>
    </row>
    <row r="726">
      <c r="A726" s="31">
        <v>7005.0</v>
      </c>
      <c r="B726" s="32">
        <v>131822.0</v>
      </c>
      <c r="C726" s="33" t="s">
        <v>102</v>
      </c>
      <c r="D726" s="33" t="s">
        <v>1801</v>
      </c>
      <c r="E726" s="33" t="s">
        <v>1799</v>
      </c>
      <c r="F726" s="33" t="s">
        <v>1802</v>
      </c>
      <c r="G726" s="33" t="s">
        <v>496</v>
      </c>
      <c r="H726" s="33" t="s">
        <v>655</v>
      </c>
      <c r="I726" s="33" t="s">
        <v>100</v>
      </c>
      <c r="J726" s="33" t="s">
        <v>59</v>
      </c>
      <c r="K726" s="34" t="s">
        <v>101</v>
      </c>
    </row>
    <row r="727">
      <c r="A727" s="27">
        <v>25891.0</v>
      </c>
      <c r="B727" s="28">
        <v>111432.0</v>
      </c>
      <c r="C727" s="29" t="s">
        <v>102</v>
      </c>
      <c r="D727" s="29" t="s">
        <v>436</v>
      </c>
      <c r="E727" s="29" t="s">
        <v>1803</v>
      </c>
      <c r="F727" s="29" t="s">
        <v>1804</v>
      </c>
      <c r="G727" s="29" t="s">
        <v>130</v>
      </c>
      <c r="H727" s="29" t="s">
        <v>157</v>
      </c>
      <c r="I727" s="29" t="s">
        <v>100</v>
      </c>
      <c r="J727" s="29" t="s">
        <v>41</v>
      </c>
      <c r="K727" s="30" t="s">
        <v>101</v>
      </c>
    </row>
    <row r="728">
      <c r="A728" s="31">
        <v>16439.0</v>
      </c>
      <c r="B728" s="32">
        <v>112110.0</v>
      </c>
      <c r="C728" s="33" t="s">
        <v>102</v>
      </c>
      <c r="D728" s="33" t="s">
        <v>1805</v>
      </c>
      <c r="E728" s="33" t="s">
        <v>1806</v>
      </c>
      <c r="F728" s="33" t="s">
        <v>1807</v>
      </c>
      <c r="G728" s="33" t="s">
        <v>257</v>
      </c>
      <c r="H728" s="33" t="s">
        <v>258</v>
      </c>
      <c r="I728" s="33" t="s">
        <v>100</v>
      </c>
      <c r="J728" s="33" t="s">
        <v>56</v>
      </c>
      <c r="K728" s="34" t="s">
        <v>101</v>
      </c>
    </row>
    <row r="729">
      <c r="A729" s="27">
        <v>16431.0</v>
      </c>
      <c r="B729" s="28">
        <v>112113.0</v>
      </c>
      <c r="C729" s="29" t="s">
        <v>102</v>
      </c>
      <c r="D729" s="29" t="s">
        <v>984</v>
      </c>
      <c r="E729" s="29" t="s">
        <v>1806</v>
      </c>
      <c r="F729" s="29" t="s">
        <v>1808</v>
      </c>
      <c r="G729" s="29" t="s">
        <v>257</v>
      </c>
      <c r="H729" s="29" t="s">
        <v>258</v>
      </c>
      <c r="I729" s="29" t="s">
        <v>100</v>
      </c>
      <c r="J729" s="29" t="s">
        <v>41</v>
      </c>
      <c r="K729" s="30" t="s">
        <v>101</v>
      </c>
    </row>
    <row r="730">
      <c r="A730" s="31">
        <v>16438.0</v>
      </c>
      <c r="B730" s="32">
        <v>112104.0</v>
      </c>
      <c r="C730" s="33" t="s">
        <v>102</v>
      </c>
      <c r="D730" s="33" t="s">
        <v>1011</v>
      </c>
      <c r="E730" s="33" t="s">
        <v>1806</v>
      </c>
      <c r="F730" s="33" t="s">
        <v>1809</v>
      </c>
      <c r="G730" s="33" t="s">
        <v>257</v>
      </c>
      <c r="H730" s="33" t="s">
        <v>258</v>
      </c>
      <c r="I730" s="33" t="s">
        <v>100</v>
      </c>
      <c r="J730" s="33" t="s">
        <v>41</v>
      </c>
      <c r="K730" s="34" t="s">
        <v>101</v>
      </c>
    </row>
    <row r="731">
      <c r="A731" s="27">
        <v>16729.0</v>
      </c>
      <c r="B731" s="28">
        <v>116620.0</v>
      </c>
      <c r="C731" s="29" t="s">
        <v>102</v>
      </c>
      <c r="D731" s="29" t="s">
        <v>127</v>
      </c>
      <c r="E731" s="29" t="s">
        <v>1810</v>
      </c>
      <c r="F731" s="29" t="s">
        <v>1811</v>
      </c>
      <c r="G731" s="29" t="s">
        <v>207</v>
      </c>
      <c r="H731" s="29" t="s">
        <v>208</v>
      </c>
      <c r="I731" s="29" t="s">
        <v>100</v>
      </c>
      <c r="J731" s="29" t="s">
        <v>53</v>
      </c>
      <c r="K731" s="30" t="s">
        <v>101</v>
      </c>
    </row>
    <row r="732">
      <c r="A732" s="31">
        <v>16953.0</v>
      </c>
      <c r="B732" s="32">
        <v>29221.0</v>
      </c>
      <c r="C732" s="33" t="s">
        <v>94</v>
      </c>
      <c r="D732" s="33" t="s">
        <v>1341</v>
      </c>
      <c r="E732" s="33" t="s">
        <v>1812</v>
      </c>
      <c r="F732" s="33" t="s">
        <v>1813</v>
      </c>
      <c r="G732" s="33" t="s">
        <v>270</v>
      </c>
      <c r="H732" s="33" t="s">
        <v>271</v>
      </c>
      <c r="I732" s="33" t="s">
        <v>100</v>
      </c>
      <c r="J732" s="33" t="s">
        <v>44</v>
      </c>
      <c r="K732" s="34" t="s">
        <v>101</v>
      </c>
    </row>
    <row r="733">
      <c r="A733" s="27">
        <v>7123.0</v>
      </c>
      <c r="B733" s="28">
        <v>114543.0</v>
      </c>
      <c r="C733" s="29" t="s">
        <v>102</v>
      </c>
      <c r="D733" s="29" t="s">
        <v>200</v>
      </c>
      <c r="E733" s="29" t="s">
        <v>1814</v>
      </c>
      <c r="F733" s="29" t="s">
        <v>1815</v>
      </c>
      <c r="G733" s="29" t="s">
        <v>190</v>
      </c>
      <c r="H733" s="29" t="s">
        <v>317</v>
      </c>
      <c r="I733" s="29" t="s">
        <v>100</v>
      </c>
      <c r="J733" s="29" t="s">
        <v>56</v>
      </c>
      <c r="K733" s="30" t="s">
        <v>101</v>
      </c>
    </row>
    <row r="734">
      <c r="A734" s="31">
        <v>7416.0</v>
      </c>
      <c r="B734" s="32">
        <v>118661.0</v>
      </c>
      <c r="C734" s="33" t="s">
        <v>102</v>
      </c>
      <c r="D734" s="33" t="s">
        <v>577</v>
      </c>
      <c r="E734" s="33" t="s">
        <v>1814</v>
      </c>
      <c r="F734" s="33" t="s">
        <v>1816</v>
      </c>
      <c r="G734" s="33" t="s">
        <v>130</v>
      </c>
      <c r="H734" s="33" t="s">
        <v>153</v>
      </c>
      <c r="I734" s="33" t="s">
        <v>100</v>
      </c>
      <c r="J734" s="33" t="s">
        <v>41</v>
      </c>
      <c r="K734" s="34" t="s">
        <v>101</v>
      </c>
    </row>
    <row r="735">
      <c r="A735" s="27">
        <v>38781.0</v>
      </c>
      <c r="B735" s="28">
        <v>158012.0</v>
      </c>
      <c r="C735" s="29" t="s">
        <v>102</v>
      </c>
      <c r="D735" s="29" t="s">
        <v>988</v>
      </c>
      <c r="E735" s="29" t="s">
        <v>1817</v>
      </c>
      <c r="F735" s="29" t="s">
        <v>1818</v>
      </c>
      <c r="G735" s="29" t="s">
        <v>298</v>
      </c>
      <c r="H735" s="29" t="s">
        <v>299</v>
      </c>
      <c r="I735" s="29" t="s">
        <v>100</v>
      </c>
      <c r="J735" s="29" t="s">
        <v>435</v>
      </c>
      <c r="K735" s="30" t="s">
        <v>281</v>
      </c>
    </row>
    <row r="736">
      <c r="A736" s="31">
        <v>7772.0</v>
      </c>
      <c r="B736" s="32">
        <v>111818.0</v>
      </c>
      <c r="C736" s="33" t="s">
        <v>102</v>
      </c>
      <c r="D736" s="33" t="s">
        <v>465</v>
      </c>
      <c r="E736" s="33" t="s">
        <v>1819</v>
      </c>
      <c r="F736" s="33" t="s">
        <v>1820</v>
      </c>
      <c r="G736" s="33" t="s">
        <v>135</v>
      </c>
      <c r="H736" s="33" t="s">
        <v>531</v>
      </c>
      <c r="I736" s="33" t="s">
        <v>100</v>
      </c>
      <c r="J736" s="33" t="s">
        <v>53</v>
      </c>
      <c r="K736" s="34" t="s">
        <v>101</v>
      </c>
    </row>
    <row r="737">
      <c r="A737" s="27">
        <v>7786.0</v>
      </c>
      <c r="B737" s="28">
        <v>111814.0</v>
      </c>
      <c r="C737" s="29" t="s">
        <v>94</v>
      </c>
      <c r="D737" s="29" t="s">
        <v>1449</v>
      </c>
      <c r="E737" s="29" t="s">
        <v>1819</v>
      </c>
      <c r="F737" s="29" t="s">
        <v>1821</v>
      </c>
      <c r="G737" s="29" t="s">
        <v>135</v>
      </c>
      <c r="H737" s="29" t="s">
        <v>531</v>
      </c>
      <c r="I737" s="29" t="s">
        <v>100</v>
      </c>
      <c r="J737" s="29" t="s">
        <v>62</v>
      </c>
      <c r="K737" s="30" t="s">
        <v>101</v>
      </c>
    </row>
    <row r="738">
      <c r="A738" s="31">
        <v>16945.0</v>
      </c>
      <c r="B738" s="32">
        <v>16589.0</v>
      </c>
      <c r="C738" s="33" t="s">
        <v>102</v>
      </c>
      <c r="D738" s="33" t="s">
        <v>477</v>
      </c>
      <c r="E738" s="33" t="s">
        <v>1822</v>
      </c>
      <c r="F738" s="33" t="s">
        <v>1823</v>
      </c>
      <c r="G738" s="33" t="s">
        <v>119</v>
      </c>
      <c r="H738" s="33" t="s">
        <v>120</v>
      </c>
      <c r="I738" s="33" t="s">
        <v>100</v>
      </c>
      <c r="J738" s="33" t="s">
        <v>41</v>
      </c>
      <c r="K738" s="34" t="s">
        <v>101</v>
      </c>
    </row>
    <row r="739">
      <c r="A739" s="27">
        <v>7865.0</v>
      </c>
      <c r="B739" s="28">
        <v>34023.0</v>
      </c>
      <c r="C739" s="29" t="s">
        <v>102</v>
      </c>
      <c r="D739" s="29" t="s">
        <v>230</v>
      </c>
      <c r="E739" s="29" t="s">
        <v>1824</v>
      </c>
      <c r="F739" s="29" t="s">
        <v>1825</v>
      </c>
      <c r="G739" s="29" t="s">
        <v>130</v>
      </c>
      <c r="H739" s="35" t="s">
        <v>131</v>
      </c>
      <c r="I739" s="29" t="s">
        <v>100</v>
      </c>
      <c r="J739" s="29" t="s">
        <v>41</v>
      </c>
      <c r="K739" s="30" t="s">
        <v>101</v>
      </c>
    </row>
    <row r="740">
      <c r="A740" s="31">
        <v>38758.0</v>
      </c>
      <c r="B740" s="32">
        <v>155283.0</v>
      </c>
      <c r="C740" s="33" t="s">
        <v>94</v>
      </c>
      <c r="D740" s="33" t="s">
        <v>538</v>
      </c>
      <c r="E740" s="33" t="s">
        <v>1826</v>
      </c>
      <c r="F740" s="33" t="s">
        <v>1827</v>
      </c>
      <c r="G740" s="33" t="s">
        <v>207</v>
      </c>
      <c r="H740" s="33" t="s">
        <v>208</v>
      </c>
      <c r="I740" s="33" t="s">
        <v>100</v>
      </c>
      <c r="J740" s="33" t="s">
        <v>44</v>
      </c>
      <c r="K740" s="34" t="s">
        <v>101</v>
      </c>
    </row>
    <row r="741">
      <c r="A741" s="27">
        <v>25915.0</v>
      </c>
      <c r="B741" s="28">
        <v>111678.0</v>
      </c>
      <c r="C741" s="29" t="s">
        <v>102</v>
      </c>
      <c r="D741" s="29" t="s">
        <v>873</v>
      </c>
      <c r="E741" s="29" t="s">
        <v>1828</v>
      </c>
      <c r="F741" s="29" t="s">
        <v>1829</v>
      </c>
      <c r="G741" s="29" t="s">
        <v>214</v>
      </c>
      <c r="H741" s="29" t="s">
        <v>215</v>
      </c>
      <c r="I741" s="29" t="s">
        <v>100</v>
      </c>
      <c r="J741" s="29" t="s">
        <v>56</v>
      </c>
      <c r="K741" s="30" t="s">
        <v>101</v>
      </c>
    </row>
    <row r="742">
      <c r="A742" s="31">
        <v>7975.0</v>
      </c>
      <c r="B742" s="32">
        <v>164086.0</v>
      </c>
      <c r="C742" s="33" t="s">
        <v>94</v>
      </c>
      <c r="D742" s="33" t="s">
        <v>490</v>
      </c>
      <c r="E742" s="33" t="s">
        <v>1830</v>
      </c>
      <c r="F742" s="33" t="s">
        <v>1831</v>
      </c>
      <c r="G742" s="33" t="s">
        <v>323</v>
      </c>
      <c r="H742" s="33" t="s">
        <v>417</v>
      </c>
      <c r="I742" s="33" t="s">
        <v>100</v>
      </c>
      <c r="J742" s="33" t="s">
        <v>65</v>
      </c>
      <c r="K742" s="34" t="s">
        <v>101</v>
      </c>
    </row>
    <row r="743">
      <c r="A743" s="27">
        <v>38719.0</v>
      </c>
      <c r="B743" s="28">
        <v>153884.0</v>
      </c>
      <c r="C743" s="29" t="s">
        <v>102</v>
      </c>
      <c r="D743" s="29" t="s">
        <v>116</v>
      </c>
      <c r="E743" s="29" t="s">
        <v>1832</v>
      </c>
      <c r="F743" s="29" t="s">
        <v>1833</v>
      </c>
      <c r="G743" s="29" t="s">
        <v>207</v>
      </c>
      <c r="H743" s="29" t="s">
        <v>208</v>
      </c>
      <c r="I743" s="29" t="s">
        <v>100</v>
      </c>
      <c r="J743" s="29" t="s">
        <v>47</v>
      </c>
      <c r="K743" s="30" t="s">
        <v>101</v>
      </c>
    </row>
    <row r="744">
      <c r="A744" s="31">
        <v>38915.0</v>
      </c>
      <c r="B744" s="32">
        <v>162982.0</v>
      </c>
      <c r="C744" s="33" t="s">
        <v>102</v>
      </c>
      <c r="D744" s="33" t="s">
        <v>1834</v>
      </c>
      <c r="E744" s="33" t="s">
        <v>1835</v>
      </c>
      <c r="F744" s="33" t="s">
        <v>1836</v>
      </c>
      <c r="G744" s="33" t="s">
        <v>298</v>
      </c>
      <c r="H744" s="33" t="s">
        <v>299</v>
      </c>
      <c r="I744" s="33" t="s">
        <v>100</v>
      </c>
      <c r="J744" s="33" t="s">
        <v>280</v>
      </c>
      <c r="K744" s="34" t="s">
        <v>281</v>
      </c>
    </row>
    <row r="745">
      <c r="A745" s="27">
        <v>25994.0</v>
      </c>
      <c r="B745" s="28">
        <v>113694.0</v>
      </c>
      <c r="C745" s="29" t="s">
        <v>102</v>
      </c>
      <c r="D745" s="29" t="s">
        <v>245</v>
      </c>
      <c r="E745" s="29" t="s">
        <v>1837</v>
      </c>
      <c r="F745" s="29" t="s">
        <v>1838</v>
      </c>
      <c r="G745" s="29" t="s">
        <v>298</v>
      </c>
      <c r="H745" s="29" t="s">
        <v>299</v>
      </c>
      <c r="I745" s="29" t="s">
        <v>100</v>
      </c>
      <c r="J745" s="29" t="s">
        <v>41</v>
      </c>
      <c r="K745" s="30" t="s">
        <v>101</v>
      </c>
    </row>
    <row r="746">
      <c r="A746" s="31">
        <v>25802.0</v>
      </c>
      <c r="B746" s="32">
        <v>105696.0</v>
      </c>
      <c r="C746" s="33" t="s">
        <v>102</v>
      </c>
      <c r="D746" s="33" t="s">
        <v>320</v>
      </c>
      <c r="E746" s="33" t="s">
        <v>1839</v>
      </c>
      <c r="F746" s="33" t="s">
        <v>1840</v>
      </c>
      <c r="G746" s="33" t="s">
        <v>270</v>
      </c>
      <c r="H746" s="33" t="s">
        <v>719</v>
      </c>
      <c r="I746" s="33" t="s">
        <v>100</v>
      </c>
      <c r="J746" s="33" t="s">
        <v>59</v>
      </c>
      <c r="K746" s="34" t="s">
        <v>101</v>
      </c>
    </row>
    <row r="747">
      <c r="A747" s="27">
        <v>38025.0</v>
      </c>
      <c r="B747" s="28">
        <v>129059.0</v>
      </c>
      <c r="C747" s="29" t="s">
        <v>102</v>
      </c>
      <c r="D747" s="29" t="s">
        <v>405</v>
      </c>
      <c r="E747" s="29" t="s">
        <v>1841</v>
      </c>
      <c r="F747" s="29" t="s">
        <v>1842</v>
      </c>
      <c r="G747" s="29" t="s">
        <v>198</v>
      </c>
      <c r="H747" s="29" t="s">
        <v>544</v>
      </c>
      <c r="I747" s="29" t="s">
        <v>100</v>
      </c>
      <c r="J747" s="29" t="s">
        <v>47</v>
      </c>
      <c r="K747" s="30" t="s">
        <v>101</v>
      </c>
    </row>
    <row r="748">
      <c r="A748" s="31">
        <v>38732.0</v>
      </c>
      <c r="B748" s="32">
        <v>155253.0</v>
      </c>
      <c r="C748" s="33" t="s">
        <v>102</v>
      </c>
      <c r="D748" s="33" t="s">
        <v>132</v>
      </c>
      <c r="E748" s="33" t="s">
        <v>1843</v>
      </c>
      <c r="F748" s="33" t="s">
        <v>1844</v>
      </c>
      <c r="G748" s="33" t="s">
        <v>135</v>
      </c>
      <c r="H748" s="33" t="s">
        <v>203</v>
      </c>
      <c r="I748" s="33" t="s">
        <v>100</v>
      </c>
      <c r="J748" s="33" t="s">
        <v>41</v>
      </c>
      <c r="K748" s="34" t="s">
        <v>101</v>
      </c>
    </row>
    <row r="749">
      <c r="A749" s="27">
        <v>7058.0</v>
      </c>
      <c r="B749" s="28">
        <v>120987.0</v>
      </c>
      <c r="C749" s="29" t="s">
        <v>94</v>
      </c>
      <c r="D749" s="29" t="s">
        <v>1845</v>
      </c>
      <c r="E749" s="29" t="s">
        <v>1846</v>
      </c>
      <c r="F749" s="29" t="s">
        <v>1847</v>
      </c>
      <c r="G749" s="29" t="s">
        <v>264</v>
      </c>
      <c r="H749" s="29" t="s">
        <v>265</v>
      </c>
      <c r="I749" s="29" t="s">
        <v>100</v>
      </c>
      <c r="J749" s="29" t="s">
        <v>68</v>
      </c>
      <c r="K749" s="30" t="s">
        <v>101</v>
      </c>
    </row>
    <row r="750">
      <c r="A750" s="31">
        <v>38563.0</v>
      </c>
      <c r="B750" s="32">
        <v>146868.0</v>
      </c>
      <c r="C750" s="33" t="s">
        <v>102</v>
      </c>
      <c r="D750" s="33" t="s">
        <v>984</v>
      </c>
      <c r="E750" s="33" t="s">
        <v>1848</v>
      </c>
      <c r="F750" s="33" t="s">
        <v>1849</v>
      </c>
      <c r="G750" s="33" t="s">
        <v>114</v>
      </c>
      <c r="H750" s="33" t="s">
        <v>115</v>
      </c>
      <c r="I750" s="33" t="s">
        <v>100</v>
      </c>
      <c r="J750" s="33" t="s">
        <v>47</v>
      </c>
      <c r="K750" s="34" t="s">
        <v>101</v>
      </c>
    </row>
    <row r="751">
      <c r="A751" s="27">
        <v>38379.0</v>
      </c>
      <c r="B751" s="28">
        <v>139177.0</v>
      </c>
      <c r="C751" s="29" t="s">
        <v>102</v>
      </c>
      <c r="D751" s="29" t="s">
        <v>1177</v>
      </c>
      <c r="E751" s="29" t="s">
        <v>1850</v>
      </c>
      <c r="F751" s="29" t="s">
        <v>1851</v>
      </c>
      <c r="G751" s="29" t="s">
        <v>143</v>
      </c>
      <c r="H751" s="29" t="s">
        <v>144</v>
      </c>
      <c r="I751" s="29" t="s">
        <v>100</v>
      </c>
      <c r="J751" s="29" t="s">
        <v>56</v>
      </c>
      <c r="K751" s="30" t="s">
        <v>101</v>
      </c>
    </row>
    <row r="752">
      <c r="A752" s="31">
        <v>25433.0</v>
      </c>
      <c r="B752" s="32">
        <v>62983.0</v>
      </c>
      <c r="C752" s="33" t="s">
        <v>102</v>
      </c>
      <c r="D752" s="33" t="s">
        <v>1513</v>
      </c>
      <c r="E752" s="33" t="s">
        <v>1852</v>
      </c>
      <c r="F752" s="33" t="s">
        <v>1853</v>
      </c>
      <c r="G752" s="33" t="s">
        <v>135</v>
      </c>
      <c r="H752" s="33" t="s">
        <v>136</v>
      </c>
      <c r="I752" s="33" t="s">
        <v>100</v>
      </c>
      <c r="J752" s="33" t="s">
        <v>53</v>
      </c>
      <c r="K752" s="34" t="s">
        <v>101</v>
      </c>
    </row>
    <row r="753">
      <c r="A753" s="27">
        <v>16501.0</v>
      </c>
      <c r="B753" s="28">
        <v>148831.0</v>
      </c>
      <c r="C753" s="29" t="s">
        <v>102</v>
      </c>
      <c r="D753" s="29" t="s">
        <v>984</v>
      </c>
      <c r="E753" s="29" t="s">
        <v>1854</v>
      </c>
      <c r="F753" s="29" t="s">
        <v>1855</v>
      </c>
      <c r="G753" s="29" t="s">
        <v>257</v>
      </c>
      <c r="H753" s="29" t="s">
        <v>258</v>
      </c>
      <c r="I753" s="29" t="s">
        <v>100</v>
      </c>
      <c r="J753" s="29" t="s">
        <v>53</v>
      </c>
      <c r="K753" s="30" t="s">
        <v>101</v>
      </c>
    </row>
    <row r="754">
      <c r="A754" s="31">
        <v>38917.0</v>
      </c>
      <c r="B754" s="32">
        <v>162985.0</v>
      </c>
      <c r="C754" s="33" t="s">
        <v>102</v>
      </c>
      <c r="D754" s="33" t="s">
        <v>1856</v>
      </c>
      <c r="E754" s="33" t="s">
        <v>1854</v>
      </c>
      <c r="F754" s="33" t="s">
        <v>1857</v>
      </c>
      <c r="G754" s="33" t="s">
        <v>257</v>
      </c>
      <c r="H754" s="33" t="s">
        <v>258</v>
      </c>
      <c r="I754" s="33" t="s">
        <v>100</v>
      </c>
      <c r="J754" s="33" t="s">
        <v>47</v>
      </c>
      <c r="K754" s="34" t="s">
        <v>101</v>
      </c>
    </row>
    <row r="755">
      <c r="A755" s="27">
        <v>38801.0</v>
      </c>
      <c r="B755" s="28">
        <v>158035.0</v>
      </c>
      <c r="C755" s="29" t="s">
        <v>94</v>
      </c>
      <c r="D755" s="29" t="s">
        <v>645</v>
      </c>
      <c r="E755" s="29" t="s">
        <v>1858</v>
      </c>
      <c r="F755" s="29" t="s">
        <v>1859</v>
      </c>
      <c r="G755" s="29" t="s">
        <v>270</v>
      </c>
      <c r="H755" s="29" t="s">
        <v>374</v>
      </c>
      <c r="I755" s="29" t="s">
        <v>100</v>
      </c>
      <c r="J755" s="29" t="s">
        <v>62</v>
      </c>
      <c r="K755" s="30" t="s">
        <v>101</v>
      </c>
    </row>
    <row r="756">
      <c r="A756" s="31">
        <v>16572.0</v>
      </c>
      <c r="B756" s="32">
        <v>124815.0</v>
      </c>
      <c r="C756" s="33" t="s">
        <v>102</v>
      </c>
      <c r="D756" s="33" t="s">
        <v>1860</v>
      </c>
      <c r="E756" s="33" t="s">
        <v>1861</v>
      </c>
      <c r="F756" s="33" t="s">
        <v>1862</v>
      </c>
      <c r="G756" s="33" t="s">
        <v>130</v>
      </c>
      <c r="H756" s="33" t="s">
        <v>172</v>
      </c>
      <c r="I756" s="33" t="s">
        <v>100</v>
      </c>
      <c r="J756" s="33" t="s">
        <v>56</v>
      </c>
      <c r="K756" s="34" t="s">
        <v>101</v>
      </c>
    </row>
    <row r="757">
      <c r="A757" s="27">
        <v>16352.0</v>
      </c>
      <c r="B757" s="28">
        <v>146884.0</v>
      </c>
      <c r="C757" s="29" t="s">
        <v>102</v>
      </c>
      <c r="D757" s="29" t="s">
        <v>255</v>
      </c>
      <c r="E757" s="29" t="s">
        <v>1863</v>
      </c>
      <c r="F757" s="29" t="s">
        <v>1864</v>
      </c>
      <c r="G757" s="29" t="s">
        <v>408</v>
      </c>
      <c r="H757" s="29" t="s">
        <v>409</v>
      </c>
      <c r="I757" s="29" t="s">
        <v>100</v>
      </c>
      <c r="J757" s="29" t="s">
        <v>41</v>
      </c>
      <c r="K757" s="30" t="s">
        <v>101</v>
      </c>
    </row>
    <row r="758">
      <c r="A758" s="31">
        <v>38038.0</v>
      </c>
      <c r="B758" s="32">
        <v>112942.0</v>
      </c>
      <c r="C758" s="33" t="s">
        <v>102</v>
      </c>
      <c r="D758" s="33" t="s">
        <v>465</v>
      </c>
      <c r="E758" s="33" t="s">
        <v>1865</v>
      </c>
      <c r="F758" s="33" t="s">
        <v>1866</v>
      </c>
      <c r="G758" s="33" t="s">
        <v>198</v>
      </c>
      <c r="H758" s="33" t="s">
        <v>199</v>
      </c>
      <c r="I758" s="33" t="s">
        <v>100</v>
      </c>
      <c r="J758" s="33" t="s">
        <v>56</v>
      </c>
      <c r="K758" s="34" t="s">
        <v>101</v>
      </c>
    </row>
    <row r="759">
      <c r="A759" s="27">
        <v>25814.0</v>
      </c>
      <c r="B759" s="28">
        <v>107345.0</v>
      </c>
      <c r="C759" s="29" t="s">
        <v>102</v>
      </c>
      <c r="D759" s="29" t="s">
        <v>1100</v>
      </c>
      <c r="E759" s="29" t="s">
        <v>1867</v>
      </c>
      <c r="F759" s="29" t="s">
        <v>1868</v>
      </c>
      <c r="G759" s="29" t="s">
        <v>130</v>
      </c>
      <c r="H759" s="29" t="s">
        <v>244</v>
      </c>
      <c r="I759" s="29" t="s">
        <v>100</v>
      </c>
      <c r="J759" s="29" t="s">
        <v>41</v>
      </c>
      <c r="K759" s="30" t="s">
        <v>101</v>
      </c>
    </row>
    <row r="760">
      <c r="A760" s="31">
        <v>16346.0</v>
      </c>
      <c r="B760" s="32">
        <v>109435.0</v>
      </c>
      <c r="C760" s="33" t="s">
        <v>102</v>
      </c>
      <c r="D760" s="33" t="s">
        <v>261</v>
      </c>
      <c r="E760" s="33" t="s">
        <v>1869</v>
      </c>
      <c r="F760" s="33" t="s">
        <v>1870</v>
      </c>
      <c r="G760" s="33" t="s">
        <v>119</v>
      </c>
      <c r="H760" s="33" t="s">
        <v>120</v>
      </c>
      <c r="I760" s="33" t="s">
        <v>100</v>
      </c>
      <c r="J760" s="33" t="s">
        <v>59</v>
      </c>
      <c r="K760" s="34" t="s">
        <v>101</v>
      </c>
    </row>
    <row r="761">
      <c r="A761" s="27">
        <v>16069.0</v>
      </c>
      <c r="B761" s="28">
        <v>125205.0</v>
      </c>
      <c r="C761" s="29" t="s">
        <v>102</v>
      </c>
      <c r="D761" s="29" t="s">
        <v>557</v>
      </c>
      <c r="E761" s="29" t="s">
        <v>1871</v>
      </c>
      <c r="F761" s="29" t="s">
        <v>1872</v>
      </c>
      <c r="G761" s="29" t="s">
        <v>98</v>
      </c>
      <c r="H761" s="29" t="s">
        <v>99</v>
      </c>
      <c r="I761" s="29" t="s">
        <v>100</v>
      </c>
      <c r="J761" s="29" t="s">
        <v>56</v>
      </c>
      <c r="K761" s="30" t="s">
        <v>101</v>
      </c>
    </row>
    <row r="762">
      <c r="A762" s="31">
        <v>38568.0</v>
      </c>
      <c r="B762" s="32">
        <v>146875.0</v>
      </c>
      <c r="C762" s="33" t="s">
        <v>102</v>
      </c>
      <c r="D762" s="33" t="s">
        <v>245</v>
      </c>
      <c r="E762" s="33" t="s">
        <v>1871</v>
      </c>
      <c r="F762" s="33" t="s">
        <v>1873</v>
      </c>
      <c r="G762" s="33" t="s">
        <v>98</v>
      </c>
      <c r="H762" s="33" t="s">
        <v>99</v>
      </c>
      <c r="I762" s="33" t="s">
        <v>100</v>
      </c>
      <c r="J762" s="33" t="s">
        <v>41</v>
      </c>
      <c r="K762" s="34" t="s">
        <v>101</v>
      </c>
    </row>
    <row r="763">
      <c r="A763" s="27">
        <v>38878.0</v>
      </c>
      <c r="B763" s="28">
        <v>162022.0</v>
      </c>
      <c r="C763" s="29" t="s">
        <v>102</v>
      </c>
      <c r="D763" s="29" t="s">
        <v>746</v>
      </c>
      <c r="E763" s="29" t="s">
        <v>1874</v>
      </c>
      <c r="F763" s="29" t="s">
        <v>1875</v>
      </c>
      <c r="G763" s="29" t="s">
        <v>135</v>
      </c>
      <c r="H763" s="29" t="s">
        <v>294</v>
      </c>
      <c r="I763" s="29" t="s">
        <v>100</v>
      </c>
      <c r="J763" s="29" t="s">
        <v>41</v>
      </c>
      <c r="K763" s="30" t="s">
        <v>101</v>
      </c>
    </row>
    <row r="764">
      <c r="A764" s="31">
        <v>10798.0</v>
      </c>
      <c r="B764" s="32">
        <v>155298.0</v>
      </c>
      <c r="C764" s="33" t="s">
        <v>102</v>
      </c>
      <c r="D764" s="33" t="s">
        <v>560</v>
      </c>
      <c r="E764" s="33" t="s">
        <v>1876</v>
      </c>
      <c r="F764" s="33" t="s">
        <v>1877</v>
      </c>
      <c r="G764" s="33" t="s">
        <v>130</v>
      </c>
      <c r="H764" s="33" t="s">
        <v>211</v>
      </c>
      <c r="I764" s="33" t="s">
        <v>100</v>
      </c>
      <c r="J764" s="33" t="s">
        <v>59</v>
      </c>
      <c r="K764" s="34" t="s">
        <v>101</v>
      </c>
    </row>
    <row r="765">
      <c r="A765" s="27">
        <v>25949.0</v>
      </c>
      <c r="B765" s="28">
        <v>111779.0</v>
      </c>
      <c r="C765" s="29" t="s">
        <v>102</v>
      </c>
      <c r="D765" s="29" t="s">
        <v>387</v>
      </c>
      <c r="E765" s="29" t="s">
        <v>1876</v>
      </c>
      <c r="F765" s="29" t="s">
        <v>1878</v>
      </c>
      <c r="G765" s="29" t="s">
        <v>198</v>
      </c>
      <c r="H765" s="29" t="s">
        <v>544</v>
      </c>
      <c r="I765" s="29" t="s">
        <v>100</v>
      </c>
      <c r="J765" s="29" t="s">
        <v>41</v>
      </c>
      <c r="K765" s="30" t="s">
        <v>101</v>
      </c>
    </row>
    <row r="766">
      <c r="A766" s="31">
        <v>16998.0</v>
      </c>
      <c r="B766" s="32">
        <v>29344.0</v>
      </c>
      <c r="C766" s="33" t="s">
        <v>102</v>
      </c>
      <c r="D766" s="33" t="s">
        <v>1148</v>
      </c>
      <c r="E766" s="33" t="s">
        <v>1876</v>
      </c>
      <c r="F766" s="33" t="s">
        <v>1879</v>
      </c>
      <c r="G766" s="33" t="s">
        <v>130</v>
      </c>
      <c r="H766" s="36" t="s">
        <v>131</v>
      </c>
      <c r="I766" s="33" t="s">
        <v>100</v>
      </c>
      <c r="J766" s="33" t="s">
        <v>59</v>
      </c>
      <c r="K766" s="34" t="s">
        <v>101</v>
      </c>
    </row>
    <row r="767">
      <c r="A767" s="27">
        <v>16198.0</v>
      </c>
      <c r="B767" s="28">
        <v>159635.0</v>
      </c>
      <c r="C767" s="29" t="s">
        <v>102</v>
      </c>
      <c r="D767" s="29" t="s">
        <v>245</v>
      </c>
      <c r="E767" s="29" t="s">
        <v>1876</v>
      </c>
      <c r="F767" s="29" t="s">
        <v>1880</v>
      </c>
      <c r="G767" s="29" t="s">
        <v>412</v>
      </c>
      <c r="H767" s="29" t="s">
        <v>413</v>
      </c>
      <c r="I767" s="29" t="s">
        <v>100</v>
      </c>
      <c r="J767" s="29" t="s">
        <v>41</v>
      </c>
      <c r="K767" s="30" t="s">
        <v>101</v>
      </c>
    </row>
    <row r="768">
      <c r="A768" s="31">
        <v>7761.0</v>
      </c>
      <c r="B768" s="32">
        <v>148827.0</v>
      </c>
      <c r="C768" s="33" t="s">
        <v>102</v>
      </c>
      <c r="D768" s="33" t="s">
        <v>392</v>
      </c>
      <c r="E768" s="33" t="s">
        <v>1881</v>
      </c>
      <c r="F768" s="33" t="s">
        <v>1882</v>
      </c>
      <c r="G768" s="33" t="s">
        <v>496</v>
      </c>
      <c r="H768" s="33" t="s">
        <v>497</v>
      </c>
      <c r="I768" s="33" t="s">
        <v>100</v>
      </c>
      <c r="J768" s="33" t="s">
        <v>59</v>
      </c>
      <c r="K768" s="34" t="s">
        <v>101</v>
      </c>
    </row>
    <row r="769">
      <c r="A769" s="27">
        <v>10706.0</v>
      </c>
      <c r="B769" s="28">
        <v>148795.0</v>
      </c>
      <c r="C769" s="29" t="s">
        <v>94</v>
      </c>
      <c r="D769" s="29" t="s">
        <v>1883</v>
      </c>
      <c r="E769" s="29" t="s">
        <v>1881</v>
      </c>
      <c r="F769" s="29" t="s">
        <v>1884</v>
      </c>
      <c r="G769" s="29" t="s">
        <v>275</v>
      </c>
      <c r="H769" s="29" t="s">
        <v>276</v>
      </c>
      <c r="I769" s="29" t="s">
        <v>100</v>
      </c>
      <c r="J769" s="29" t="s">
        <v>62</v>
      </c>
      <c r="K769" s="30" t="s">
        <v>101</v>
      </c>
    </row>
    <row r="770">
      <c r="A770" s="31">
        <v>7961.0</v>
      </c>
      <c r="B770" s="32">
        <v>116556.0</v>
      </c>
      <c r="C770" s="33" t="s">
        <v>102</v>
      </c>
      <c r="D770" s="33" t="s">
        <v>1885</v>
      </c>
      <c r="E770" s="33" t="s">
        <v>1881</v>
      </c>
      <c r="F770" s="33" t="s">
        <v>1886</v>
      </c>
      <c r="G770" s="33" t="s">
        <v>323</v>
      </c>
      <c r="H770" s="33" t="s">
        <v>417</v>
      </c>
      <c r="I770" s="33" t="s">
        <v>100</v>
      </c>
      <c r="J770" s="33" t="s">
        <v>56</v>
      </c>
      <c r="K770" s="34" t="s">
        <v>101</v>
      </c>
    </row>
    <row r="771">
      <c r="A771" s="27">
        <v>7974.0</v>
      </c>
      <c r="B771" s="28">
        <v>111810.0</v>
      </c>
      <c r="C771" s="29" t="s">
        <v>94</v>
      </c>
      <c r="D771" s="29" t="s">
        <v>1887</v>
      </c>
      <c r="E771" s="29" t="s">
        <v>1881</v>
      </c>
      <c r="F771" s="29" t="s">
        <v>1888</v>
      </c>
      <c r="G771" s="29" t="s">
        <v>323</v>
      </c>
      <c r="H771" s="29" t="s">
        <v>417</v>
      </c>
      <c r="I771" s="29" t="s">
        <v>100</v>
      </c>
      <c r="J771" s="29" t="s">
        <v>68</v>
      </c>
      <c r="K771" s="30" t="s">
        <v>101</v>
      </c>
    </row>
    <row r="772">
      <c r="A772" s="31">
        <v>38361.0</v>
      </c>
      <c r="B772" s="32">
        <v>139141.0</v>
      </c>
      <c r="C772" s="33" t="s">
        <v>102</v>
      </c>
      <c r="D772" s="33" t="s">
        <v>212</v>
      </c>
      <c r="E772" s="33" t="s">
        <v>1889</v>
      </c>
      <c r="F772" s="33" t="s">
        <v>1890</v>
      </c>
      <c r="G772" s="33" t="s">
        <v>468</v>
      </c>
      <c r="H772" s="33" t="s">
        <v>469</v>
      </c>
      <c r="I772" s="33" t="s">
        <v>100</v>
      </c>
      <c r="J772" s="33" t="s">
        <v>41</v>
      </c>
      <c r="K772" s="34" t="s">
        <v>101</v>
      </c>
    </row>
    <row r="773">
      <c r="A773" s="27">
        <v>38916.0</v>
      </c>
      <c r="B773" s="28">
        <v>162984.0</v>
      </c>
      <c r="C773" s="29" t="s">
        <v>102</v>
      </c>
      <c r="D773" s="29" t="s">
        <v>1891</v>
      </c>
      <c r="E773" s="29" t="s">
        <v>1892</v>
      </c>
      <c r="F773" s="29" t="s">
        <v>1893</v>
      </c>
      <c r="G773" s="29" t="s">
        <v>148</v>
      </c>
      <c r="H773" s="29" t="s">
        <v>149</v>
      </c>
      <c r="I773" s="29" t="s">
        <v>100</v>
      </c>
      <c r="J773" s="29" t="s">
        <v>53</v>
      </c>
      <c r="K773" s="30" t="s">
        <v>101</v>
      </c>
    </row>
    <row r="774">
      <c r="A774" s="31">
        <v>38960.0</v>
      </c>
      <c r="B774" s="32">
        <v>164087.0</v>
      </c>
      <c r="C774" s="33" t="s">
        <v>102</v>
      </c>
      <c r="D774" s="33" t="s">
        <v>300</v>
      </c>
      <c r="E774" s="33" t="s">
        <v>1892</v>
      </c>
      <c r="F774" s="33" t="s">
        <v>1894</v>
      </c>
      <c r="G774" s="33" t="s">
        <v>130</v>
      </c>
      <c r="H774" s="33" t="s">
        <v>241</v>
      </c>
      <c r="I774" s="33" t="s">
        <v>100</v>
      </c>
      <c r="J774" s="33" t="s">
        <v>41</v>
      </c>
      <c r="K774" s="34" t="s">
        <v>101</v>
      </c>
    </row>
    <row r="775">
      <c r="A775" s="27">
        <v>38734.0</v>
      </c>
      <c r="B775" s="28">
        <v>155255.0</v>
      </c>
      <c r="C775" s="29" t="s">
        <v>102</v>
      </c>
      <c r="D775" s="29" t="s">
        <v>1516</v>
      </c>
      <c r="E775" s="29" t="s">
        <v>1892</v>
      </c>
      <c r="F775" s="29" t="s">
        <v>1895</v>
      </c>
      <c r="G775" s="29" t="s">
        <v>143</v>
      </c>
      <c r="H775" s="29" t="s">
        <v>144</v>
      </c>
      <c r="I775" s="29" t="s">
        <v>100</v>
      </c>
      <c r="J775" s="29" t="s">
        <v>47</v>
      </c>
      <c r="K775" s="30" t="s">
        <v>101</v>
      </c>
    </row>
    <row r="776">
      <c r="A776" s="31">
        <v>38975.0</v>
      </c>
      <c r="B776" s="32">
        <v>168155.0</v>
      </c>
      <c r="C776" s="33" t="s">
        <v>102</v>
      </c>
      <c r="D776" s="33" t="s">
        <v>938</v>
      </c>
      <c r="E776" s="33" t="s">
        <v>1892</v>
      </c>
      <c r="F776" s="33" t="s">
        <v>1896</v>
      </c>
      <c r="G776" s="33" t="s">
        <v>143</v>
      </c>
      <c r="H776" s="33" t="s">
        <v>144</v>
      </c>
      <c r="I776" s="33" t="s">
        <v>100</v>
      </c>
      <c r="J776" s="33" t="s">
        <v>280</v>
      </c>
      <c r="K776" s="34" t="s">
        <v>281</v>
      </c>
    </row>
    <row r="777">
      <c r="A777" s="27">
        <v>38733.0</v>
      </c>
      <c r="B777" s="28">
        <v>155254.0</v>
      </c>
      <c r="C777" s="29" t="s">
        <v>102</v>
      </c>
      <c r="D777" s="29" t="s">
        <v>1897</v>
      </c>
      <c r="E777" s="29" t="s">
        <v>1892</v>
      </c>
      <c r="F777" s="29" t="s">
        <v>1898</v>
      </c>
      <c r="G777" s="29" t="s">
        <v>143</v>
      </c>
      <c r="H777" s="29" t="s">
        <v>144</v>
      </c>
      <c r="I777" s="29" t="s">
        <v>100</v>
      </c>
      <c r="J777" s="29" t="s">
        <v>41</v>
      </c>
      <c r="K777" s="30" t="s">
        <v>101</v>
      </c>
    </row>
    <row r="778">
      <c r="A778" s="31">
        <v>16292.0</v>
      </c>
      <c r="B778" s="32">
        <v>111991.0</v>
      </c>
      <c r="C778" s="33" t="s">
        <v>102</v>
      </c>
      <c r="D778" s="33" t="s">
        <v>255</v>
      </c>
      <c r="E778" s="33" t="s">
        <v>1892</v>
      </c>
      <c r="F778" s="33" t="s">
        <v>1899</v>
      </c>
      <c r="G778" s="33" t="s">
        <v>143</v>
      </c>
      <c r="H778" s="33" t="s">
        <v>144</v>
      </c>
      <c r="I778" s="33" t="s">
        <v>100</v>
      </c>
      <c r="J778" s="33" t="s">
        <v>41</v>
      </c>
      <c r="K778" s="34" t="s">
        <v>101</v>
      </c>
    </row>
    <row r="779">
      <c r="A779" s="27">
        <v>38480.0</v>
      </c>
      <c r="B779" s="28">
        <v>142846.0</v>
      </c>
      <c r="C779" s="29" t="s">
        <v>102</v>
      </c>
      <c r="D779" s="29" t="s">
        <v>1204</v>
      </c>
      <c r="E779" s="29" t="s">
        <v>1900</v>
      </c>
      <c r="F779" s="29" t="s">
        <v>1901</v>
      </c>
      <c r="G779" s="29" t="s">
        <v>130</v>
      </c>
      <c r="H779" s="29" t="s">
        <v>346</v>
      </c>
      <c r="I779" s="29" t="s">
        <v>100</v>
      </c>
      <c r="J779" s="29" t="s">
        <v>41</v>
      </c>
      <c r="K779" s="30" t="s">
        <v>101</v>
      </c>
    </row>
    <row r="780">
      <c r="A780" s="31">
        <v>38344.0</v>
      </c>
      <c r="B780" s="32">
        <v>136704.0</v>
      </c>
      <c r="C780" s="33" t="s">
        <v>102</v>
      </c>
      <c r="D780" s="33" t="s">
        <v>204</v>
      </c>
      <c r="E780" s="33" t="s">
        <v>1902</v>
      </c>
      <c r="F780" s="33" t="s">
        <v>1903</v>
      </c>
      <c r="G780" s="33" t="s">
        <v>130</v>
      </c>
      <c r="H780" s="33" t="s">
        <v>346</v>
      </c>
      <c r="I780" s="33" t="s">
        <v>100</v>
      </c>
      <c r="J780" s="33" t="s">
        <v>53</v>
      </c>
      <c r="K780" s="34" t="s">
        <v>101</v>
      </c>
    </row>
    <row r="781">
      <c r="A781" s="27">
        <v>7820.0</v>
      </c>
      <c r="B781" s="28">
        <v>112182.0</v>
      </c>
      <c r="C781" s="29" t="s">
        <v>94</v>
      </c>
      <c r="D781" s="29" t="s">
        <v>1904</v>
      </c>
      <c r="E781" s="29" t="s">
        <v>1905</v>
      </c>
      <c r="F781" s="29" t="s">
        <v>1906</v>
      </c>
      <c r="G781" s="29" t="s">
        <v>198</v>
      </c>
      <c r="H781" s="29" t="s">
        <v>199</v>
      </c>
      <c r="I781" s="29" t="s">
        <v>100</v>
      </c>
      <c r="J781" s="29" t="s">
        <v>65</v>
      </c>
      <c r="K781" s="30" t="s">
        <v>101</v>
      </c>
    </row>
    <row r="782">
      <c r="A782" s="31">
        <v>25811.0</v>
      </c>
      <c r="B782" s="32">
        <v>111812.0</v>
      </c>
      <c r="C782" s="33" t="s">
        <v>102</v>
      </c>
      <c r="D782" s="33" t="s">
        <v>560</v>
      </c>
      <c r="E782" s="33" t="s">
        <v>1907</v>
      </c>
      <c r="F782" s="33" t="s">
        <v>1908</v>
      </c>
      <c r="G782" s="33" t="s">
        <v>496</v>
      </c>
      <c r="H782" s="33" t="s">
        <v>497</v>
      </c>
      <c r="I782" s="33" t="s">
        <v>100</v>
      </c>
      <c r="J782" s="33" t="s">
        <v>41</v>
      </c>
      <c r="K782" s="34" t="s">
        <v>101</v>
      </c>
    </row>
    <row r="783">
      <c r="A783" s="27">
        <v>25751.0</v>
      </c>
      <c r="B783" s="28">
        <v>59949.0</v>
      </c>
      <c r="C783" s="29" t="s">
        <v>94</v>
      </c>
      <c r="D783" s="29" t="s">
        <v>1370</v>
      </c>
      <c r="E783" s="29" t="s">
        <v>1909</v>
      </c>
      <c r="F783" s="29" t="s">
        <v>1910</v>
      </c>
      <c r="G783" s="29" t="s">
        <v>198</v>
      </c>
      <c r="H783" s="29" t="s">
        <v>386</v>
      </c>
      <c r="I783" s="29" t="s">
        <v>100</v>
      </c>
      <c r="J783" s="29" t="s">
        <v>44</v>
      </c>
      <c r="K783" s="30" t="s">
        <v>101</v>
      </c>
    </row>
    <row r="784">
      <c r="A784" s="31">
        <v>7725.0</v>
      </c>
      <c r="B784" s="32">
        <v>153859.0</v>
      </c>
      <c r="C784" s="33" t="s">
        <v>102</v>
      </c>
      <c r="D784" s="33" t="s">
        <v>209</v>
      </c>
      <c r="E784" s="33" t="s">
        <v>1909</v>
      </c>
      <c r="F784" s="33" t="s">
        <v>1911</v>
      </c>
      <c r="G784" s="33" t="s">
        <v>496</v>
      </c>
      <c r="H784" s="33" t="s">
        <v>699</v>
      </c>
      <c r="I784" s="33" t="s">
        <v>100</v>
      </c>
      <c r="J784" s="33" t="s">
        <v>41</v>
      </c>
      <c r="K784" s="34" t="s">
        <v>101</v>
      </c>
    </row>
    <row r="785">
      <c r="A785" s="27">
        <v>7724.0</v>
      </c>
      <c r="B785" s="28">
        <v>115807.0</v>
      </c>
      <c r="C785" s="29" t="s">
        <v>102</v>
      </c>
      <c r="D785" s="29" t="s">
        <v>230</v>
      </c>
      <c r="E785" s="29" t="s">
        <v>1912</v>
      </c>
      <c r="F785" s="29" t="s">
        <v>1913</v>
      </c>
      <c r="G785" s="29" t="s">
        <v>496</v>
      </c>
      <c r="H785" s="29" t="s">
        <v>699</v>
      </c>
      <c r="I785" s="29" t="s">
        <v>100</v>
      </c>
      <c r="J785" s="29" t="s">
        <v>41</v>
      </c>
      <c r="K785" s="30" t="s">
        <v>101</v>
      </c>
    </row>
    <row r="786">
      <c r="A786" s="31">
        <v>38977.0</v>
      </c>
      <c r="B786" s="32">
        <v>168156.0</v>
      </c>
      <c r="C786" s="33" t="s">
        <v>102</v>
      </c>
      <c r="D786" s="33" t="s">
        <v>1914</v>
      </c>
      <c r="E786" s="33" t="s">
        <v>1915</v>
      </c>
      <c r="F786" s="33" t="s">
        <v>1916</v>
      </c>
      <c r="G786" s="33" t="s">
        <v>135</v>
      </c>
      <c r="H786" s="33" t="s">
        <v>531</v>
      </c>
      <c r="I786" s="33" t="s">
        <v>100</v>
      </c>
      <c r="J786" s="33" t="s">
        <v>47</v>
      </c>
      <c r="K786" s="34" t="s">
        <v>101</v>
      </c>
    </row>
    <row r="787">
      <c r="A787" s="27">
        <v>38554.0</v>
      </c>
      <c r="B787" s="28">
        <v>145636.0</v>
      </c>
      <c r="C787" s="29" t="s">
        <v>102</v>
      </c>
      <c r="D787" s="29" t="s">
        <v>230</v>
      </c>
      <c r="E787" s="29" t="s">
        <v>1917</v>
      </c>
      <c r="F787" s="29" t="s">
        <v>1918</v>
      </c>
      <c r="G787" s="29" t="s">
        <v>135</v>
      </c>
      <c r="H787" s="29" t="s">
        <v>531</v>
      </c>
      <c r="I787" s="29" t="s">
        <v>100</v>
      </c>
      <c r="J787" s="29" t="s">
        <v>56</v>
      </c>
      <c r="K787" s="30" t="s">
        <v>101</v>
      </c>
    </row>
    <row r="788">
      <c r="A788" s="31">
        <v>16390.0</v>
      </c>
      <c r="B788" s="32">
        <v>35978.0</v>
      </c>
      <c r="C788" s="33" t="s">
        <v>102</v>
      </c>
      <c r="D788" s="33" t="s">
        <v>123</v>
      </c>
      <c r="E788" s="33" t="s">
        <v>1919</v>
      </c>
      <c r="F788" s="33" t="s">
        <v>1920</v>
      </c>
      <c r="G788" s="33" t="s">
        <v>270</v>
      </c>
      <c r="H788" s="33" t="s">
        <v>719</v>
      </c>
      <c r="I788" s="33" t="s">
        <v>100</v>
      </c>
      <c r="J788" s="33" t="s">
        <v>56</v>
      </c>
      <c r="K788" s="34" t="s">
        <v>101</v>
      </c>
    </row>
    <row r="789">
      <c r="A789" s="27">
        <v>38922.0</v>
      </c>
      <c r="B789" s="28">
        <v>162990.0</v>
      </c>
      <c r="C789" s="29" t="s">
        <v>102</v>
      </c>
      <c r="D789" s="29" t="s">
        <v>1921</v>
      </c>
      <c r="E789" s="29" t="s">
        <v>1922</v>
      </c>
      <c r="F789" s="29" t="s">
        <v>1923</v>
      </c>
      <c r="G789" s="29" t="s">
        <v>207</v>
      </c>
      <c r="H789" s="29" t="s">
        <v>208</v>
      </c>
      <c r="I789" s="29" t="s">
        <v>100</v>
      </c>
      <c r="J789" s="29" t="s">
        <v>280</v>
      </c>
      <c r="K789" s="30" t="s">
        <v>281</v>
      </c>
    </row>
    <row r="790">
      <c r="A790" s="31">
        <v>38921.0</v>
      </c>
      <c r="B790" s="32">
        <v>162989.0</v>
      </c>
      <c r="C790" s="33" t="s">
        <v>94</v>
      </c>
      <c r="D790" s="33" t="s">
        <v>677</v>
      </c>
      <c r="E790" s="33" t="s">
        <v>1922</v>
      </c>
      <c r="F790" s="33" t="s">
        <v>1924</v>
      </c>
      <c r="G790" s="33" t="s">
        <v>207</v>
      </c>
      <c r="H790" s="33" t="s">
        <v>208</v>
      </c>
      <c r="I790" s="33" t="s">
        <v>100</v>
      </c>
      <c r="J790" s="33" t="s">
        <v>285</v>
      </c>
      <c r="K790" s="34" t="s">
        <v>281</v>
      </c>
    </row>
    <row r="791">
      <c r="A791" s="27">
        <v>38186.0</v>
      </c>
      <c r="B791" s="28">
        <v>131706.0</v>
      </c>
      <c r="C791" s="29" t="s">
        <v>102</v>
      </c>
      <c r="D791" s="29" t="s">
        <v>1925</v>
      </c>
      <c r="E791" s="29" t="s">
        <v>1926</v>
      </c>
      <c r="F791" s="29" t="s">
        <v>1927</v>
      </c>
      <c r="G791" s="29" t="s">
        <v>130</v>
      </c>
      <c r="H791" s="35" t="s">
        <v>131</v>
      </c>
      <c r="I791" s="29" t="s">
        <v>100</v>
      </c>
      <c r="J791" s="29" t="s">
        <v>53</v>
      </c>
      <c r="K791" s="30" t="s">
        <v>101</v>
      </c>
    </row>
    <row r="792">
      <c r="A792" s="31">
        <v>25883.0</v>
      </c>
      <c r="B792" s="32">
        <v>111262.0</v>
      </c>
      <c r="C792" s="33" t="s">
        <v>102</v>
      </c>
      <c r="D792" s="33" t="s">
        <v>1359</v>
      </c>
      <c r="E792" s="33" t="s">
        <v>1928</v>
      </c>
      <c r="F792" s="33" t="s">
        <v>1929</v>
      </c>
      <c r="G792" s="33" t="s">
        <v>185</v>
      </c>
      <c r="H792" s="33" t="s">
        <v>186</v>
      </c>
      <c r="I792" s="33" t="s">
        <v>100</v>
      </c>
      <c r="J792" s="33" t="s">
        <v>56</v>
      </c>
      <c r="K792" s="34" t="s">
        <v>101</v>
      </c>
    </row>
    <row r="793">
      <c r="A793" s="27">
        <v>25592.0</v>
      </c>
      <c r="B793" s="28">
        <v>112194.0</v>
      </c>
      <c r="C793" s="29" t="s">
        <v>102</v>
      </c>
      <c r="D793" s="29" t="s">
        <v>200</v>
      </c>
      <c r="E793" s="29" t="s">
        <v>1930</v>
      </c>
      <c r="F793" s="29" t="s">
        <v>1931</v>
      </c>
      <c r="G793" s="29" t="s">
        <v>198</v>
      </c>
      <c r="H793" s="29" t="s">
        <v>544</v>
      </c>
      <c r="I793" s="29" t="s">
        <v>100</v>
      </c>
      <c r="J793" s="29" t="s">
        <v>56</v>
      </c>
      <c r="K793" s="30" t="s">
        <v>101</v>
      </c>
    </row>
    <row r="794">
      <c r="A794" s="31">
        <v>38485.0</v>
      </c>
      <c r="B794" s="32">
        <v>142861.0</v>
      </c>
      <c r="C794" s="33" t="s">
        <v>102</v>
      </c>
      <c r="D794" s="33" t="s">
        <v>873</v>
      </c>
      <c r="E794" s="33" t="s">
        <v>1930</v>
      </c>
      <c r="F794" s="33" t="s">
        <v>1932</v>
      </c>
      <c r="G794" s="33" t="s">
        <v>130</v>
      </c>
      <c r="H794" s="33" t="s">
        <v>211</v>
      </c>
      <c r="I794" s="33" t="s">
        <v>100</v>
      </c>
      <c r="J794" s="33" t="s">
        <v>56</v>
      </c>
      <c r="K794" s="34" t="s">
        <v>101</v>
      </c>
    </row>
    <row r="795">
      <c r="A795" s="27">
        <v>38931.0</v>
      </c>
      <c r="B795" s="28">
        <v>162999.0</v>
      </c>
      <c r="C795" s="29" t="s">
        <v>94</v>
      </c>
      <c r="D795" s="29" t="s">
        <v>1933</v>
      </c>
      <c r="E795" s="29" t="s">
        <v>1934</v>
      </c>
      <c r="F795" s="29" t="s">
        <v>1935</v>
      </c>
      <c r="G795" s="29" t="s">
        <v>198</v>
      </c>
      <c r="H795" s="29" t="s">
        <v>386</v>
      </c>
      <c r="I795" s="29" t="s">
        <v>100</v>
      </c>
      <c r="J795" s="29" t="s">
        <v>44</v>
      </c>
      <c r="K795" s="30" t="s">
        <v>101</v>
      </c>
    </row>
    <row r="796">
      <c r="A796" s="31">
        <v>7102.0</v>
      </c>
      <c r="B796" s="32">
        <v>115810.0</v>
      </c>
      <c r="C796" s="33" t="s">
        <v>102</v>
      </c>
      <c r="D796" s="33" t="s">
        <v>245</v>
      </c>
      <c r="E796" s="33" t="s">
        <v>1934</v>
      </c>
      <c r="F796" s="33" t="s">
        <v>1936</v>
      </c>
      <c r="G796" s="33" t="s">
        <v>496</v>
      </c>
      <c r="H796" s="33" t="s">
        <v>699</v>
      </c>
      <c r="I796" s="33" t="s">
        <v>100</v>
      </c>
      <c r="J796" s="33" t="s">
        <v>41</v>
      </c>
      <c r="K796" s="34" t="s">
        <v>101</v>
      </c>
    </row>
    <row r="797">
      <c r="A797" s="27">
        <v>38863.0</v>
      </c>
      <c r="B797" s="28">
        <v>162002.0</v>
      </c>
      <c r="C797" s="29" t="s">
        <v>102</v>
      </c>
      <c r="D797" s="29" t="s">
        <v>1937</v>
      </c>
      <c r="E797" s="29" t="s">
        <v>1938</v>
      </c>
      <c r="F797" s="29" t="s">
        <v>1939</v>
      </c>
      <c r="G797" s="29" t="s">
        <v>130</v>
      </c>
      <c r="H797" s="29" t="s">
        <v>211</v>
      </c>
      <c r="I797" s="29" t="s">
        <v>100</v>
      </c>
      <c r="J797" s="29" t="s">
        <v>41</v>
      </c>
      <c r="K797" s="30" t="s">
        <v>101</v>
      </c>
    </row>
    <row r="798">
      <c r="A798" s="31">
        <v>7394.0</v>
      </c>
      <c r="B798" s="32">
        <v>155291.0</v>
      </c>
      <c r="C798" s="33" t="s">
        <v>102</v>
      </c>
      <c r="D798" s="33" t="s">
        <v>354</v>
      </c>
      <c r="E798" s="33" t="s">
        <v>1940</v>
      </c>
      <c r="F798" s="33" t="s">
        <v>1941</v>
      </c>
      <c r="G798" s="33" t="s">
        <v>168</v>
      </c>
      <c r="H798" s="33" t="s">
        <v>169</v>
      </c>
      <c r="I798" s="33" t="s">
        <v>100</v>
      </c>
      <c r="J798" s="33" t="s">
        <v>56</v>
      </c>
      <c r="K798" s="34" t="s">
        <v>101</v>
      </c>
    </row>
    <row r="799">
      <c r="A799" s="27">
        <v>16165.0</v>
      </c>
      <c r="B799" s="28">
        <v>115723.0</v>
      </c>
      <c r="C799" s="29" t="s">
        <v>94</v>
      </c>
      <c r="D799" s="29" t="s">
        <v>749</v>
      </c>
      <c r="E799" s="29" t="s">
        <v>1942</v>
      </c>
      <c r="F799" s="29" t="s">
        <v>1943</v>
      </c>
      <c r="G799" s="29" t="s">
        <v>331</v>
      </c>
      <c r="H799" s="29" t="s">
        <v>332</v>
      </c>
      <c r="I799" s="29" t="s">
        <v>100</v>
      </c>
      <c r="J799" s="29" t="s">
        <v>68</v>
      </c>
      <c r="K799" s="30" t="s">
        <v>101</v>
      </c>
    </row>
    <row r="800">
      <c r="A800" s="31">
        <v>10080.0</v>
      </c>
      <c r="B800" s="32">
        <v>48138.0</v>
      </c>
      <c r="C800" s="33" t="s">
        <v>102</v>
      </c>
      <c r="D800" s="33" t="s">
        <v>1739</v>
      </c>
      <c r="E800" s="33" t="s">
        <v>1944</v>
      </c>
      <c r="F800" s="33" t="s">
        <v>1945</v>
      </c>
      <c r="G800" s="33" t="s">
        <v>130</v>
      </c>
      <c r="H800" s="33" t="s">
        <v>211</v>
      </c>
      <c r="I800" s="33" t="s">
        <v>100</v>
      </c>
      <c r="J800" s="33" t="s">
        <v>59</v>
      </c>
      <c r="K800" s="34" t="s">
        <v>101</v>
      </c>
    </row>
    <row r="801">
      <c r="A801" s="27">
        <v>38703.0</v>
      </c>
      <c r="B801" s="28">
        <v>153863.0</v>
      </c>
      <c r="C801" s="29" t="s">
        <v>94</v>
      </c>
      <c r="D801" s="29" t="s">
        <v>1946</v>
      </c>
      <c r="E801" s="29" t="s">
        <v>1947</v>
      </c>
      <c r="F801" s="29" t="s">
        <v>1948</v>
      </c>
      <c r="G801" s="29" t="s">
        <v>98</v>
      </c>
      <c r="H801" s="29" t="s">
        <v>99</v>
      </c>
      <c r="I801" s="29" t="s">
        <v>100</v>
      </c>
      <c r="J801" s="29" t="s">
        <v>44</v>
      </c>
      <c r="K801" s="30" t="s">
        <v>101</v>
      </c>
    </row>
    <row r="802">
      <c r="A802" s="31">
        <v>10948.0</v>
      </c>
      <c r="B802" s="32">
        <v>183177.0</v>
      </c>
      <c r="C802" s="33" t="s">
        <v>102</v>
      </c>
      <c r="D802" s="33" t="s">
        <v>551</v>
      </c>
      <c r="E802" s="33" t="s">
        <v>1949</v>
      </c>
      <c r="F802" s="33" t="s">
        <v>1950</v>
      </c>
      <c r="G802" s="33" t="s">
        <v>130</v>
      </c>
      <c r="H802" s="33" t="s">
        <v>157</v>
      </c>
      <c r="I802" s="33" t="s">
        <v>100</v>
      </c>
      <c r="J802" s="33" t="s">
        <v>41</v>
      </c>
      <c r="K802" s="34" t="s">
        <v>101</v>
      </c>
    </row>
    <row r="803">
      <c r="A803" s="27">
        <v>7978.0</v>
      </c>
      <c r="B803" s="28">
        <v>70269.0</v>
      </c>
      <c r="C803" s="29" t="s">
        <v>94</v>
      </c>
      <c r="D803" s="29" t="s">
        <v>1951</v>
      </c>
      <c r="E803" s="29" t="s">
        <v>1952</v>
      </c>
      <c r="F803" s="29" t="s">
        <v>1953</v>
      </c>
      <c r="G803" s="29" t="s">
        <v>130</v>
      </c>
      <c r="H803" s="29" t="s">
        <v>172</v>
      </c>
      <c r="I803" s="29" t="s">
        <v>100</v>
      </c>
      <c r="J803" s="29" t="s">
        <v>65</v>
      </c>
      <c r="K803" s="30" t="s">
        <v>101</v>
      </c>
    </row>
    <row r="804">
      <c r="A804" s="31">
        <v>16418.0</v>
      </c>
      <c r="B804" s="32">
        <v>111167.0</v>
      </c>
      <c r="C804" s="33" t="s">
        <v>102</v>
      </c>
      <c r="D804" s="33" t="s">
        <v>140</v>
      </c>
      <c r="E804" s="33" t="s">
        <v>1954</v>
      </c>
      <c r="F804" s="33" t="s">
        <v>1955</v>
      </c>
      <c r="G804" s="33" t="s">
        <v>398</v>
      </c>
      <c r="H804" s="33" t="s">
        <v>399</v>
      </c>
      <c r="I804" s="33" t="s">
        <v>100</v>
      </c>
      <c r="J804" s="33" t="s">
        <v>59</v>
      </c>
      <c r="K804" s="34" t="s">
        <v>101</v>
      </c>
    </row>
    <row r="805">
      <c r="A805" s="27">
        <v>16524.0</v>
      </c>
      <c r="B805" s="28">
        <v>116622.0</v>
      </c>
      <c r="C805" s="29" t="s">
        <v>102</v>
      </c>
      <c r="D805" s="29" t="s">
        <v>523</v>
      </c>
      <c r="E805" s="29" t="s">
        <v>1956</v>
      </c>
      <c r="F805" s="29" t="s">
        <v>1957</v>
      </c>
      <c r="G805" s="29" t="s">
        <v>207</v>
      </c>
      <c r="H805" s="29" t="s">
        <v>208</v>
      </c>
      <c r="I805" s="29" t="s">
        <v>100</v>
      </c>
      <c r="J805" s="29" t="s">
        <v>53</v>
      </c>
      <c r="K805" s="30" t="s">
        <v>101</v>
      </c>
    </row>
    <row r="806">
      <c r="A806" s="31">
        <v>38757.0</v>
      </c>
      <c r="B806" s="32">
        <v>155282.0</v>
      </c>
      <c r="C806" s="33" t="s">
        <v>94</v>
      </c>
      <c r="D806" s="33" t="s">
        <v>1958</v>
      </c>
      <c r="E806" s="33" t="s">
        <v>1956</v>
      </c>
      <c r="F806" s="33" t="s">
        <v>1959</v>
      </c>
      <c r="G806" s="33" t="s">
        <v>207</v>
      </c>
      <c r="H806" s="33" t="s">
        <v>208</v>
      </c>
      <c r="I806" s="33" t="s">
        <v>100</v>
      </c>
      <c r="J806" s="33" t="s">
        <v>44</v>
      </c>
      <c r="K806" s="34" t="s">
        <v>101</v>
      </c>
    </row>
    <row r="807">
      <c r="A807" s="27">
        <v>38453.0</v>
      </c>
      <c r="B807" s="28">
        <v>142714.0</v>
      </c>
      <c r="C807" s="29" t="s">
        <v>102</v>
      </c>
      <c r="D807" s="29" t="s">
        <v>212</v>
      </c>
      <c r="E807" s="29" t="s">
        <v>1960</v>
      </c>
      <c r="F807" s="29" t="s">
        <v>1961</v>
      </c>
      <c r="G807" s="29" t="s">
        <v>119</v>
      </c>
      <c r="H807" s="29" t="s">
        <v>120</v>
      </c>
      <c r="I807" s="29" t="s">
        <v>100</v>
      </c>
      <c r="J807" s="29" t="s">
        <v>41</v>
      </c>
      <c r="K807" s="30" t="s">
        <v>101</v>
      </c>
    </row>
    <row r="808">
      <c r="A808" s="31">
        <v>16672.0</v>
      </c>
      <c r="B808" s="32">
        <v>118664.0</v>
      </c>
      <c r="C808" s="33" t="s">
        <v>102</v>
      </c>
      <c r="D808" s="33" t="s">
        <v>477</v>
      </c>
      <c r="E808" s="33" t="s">
        <v>1962</v>
      </c>
      <c r="F808" s="33" t="s">
        <v>1963</v>
      </c>
      <c r="G808" s="33" t="s">
        <v>130</v>
      </c>
      <c r="H808" s="33" t="s">
        <v>157</v>
      </c>
      <c r="I808" s="33" t="s">
        <v>100</v>
      </c>
      <c r="J808" s="33" t="s">
        <v>56</v>
      </c>
      <c r="K808" s="34" t="s">
        <v>101</v>
      </c>
    </row>
    <row r="809">
      <c r="A809" s="27">
        <v>7484.0</v>
      </c>
      <c r="B809" s="28">
        <v>115843.0</v>
      </c>
      <c r="C809" s="29" t="s">
        <v>102</v>
      </c>
      <c r="D809" s="29" t="s">
        <v>209</v>
      </c>
      <c r="E809" s="29" t="s">
        <v>1962</v>
      </c>
      <c r="F809" s="29" t="s">
        <v>1964</v>
      </c>
      <c r="G809" s="29" t="s">
        <v>741</v>
      </c>
      <c r="H809" s="29" t="s">
        <v>742</v>
      </c>
      <c r="I809" s="29" t="s">
        <v>100</v>
      </c>
      <c r="J809" s="29" t="s">
        <v>56</v>
      </c>
      <c r="K809" s="30" t="s">
        <v>101</v>
      </c>
    </row>
    <row r="810">
      <c r="A810" s="31">
        <v>38688.0</v>
      </c>
      <c r="B810" s="32">
        <v>148845.0</v>
      </c>
      <c r="C810" s="33" t="s">
        <v>102</v>
      </c>
      <c r="D810" s="33" t="s">
        <v>111</v>
      </c>
      <c r="E810" s="33" t="s">
        <v>1962</v>
      </c>
      <c r="F810" s="33" t="s">
        <v>1965</v>
      </c>
      <c r="G810" s="33" t="s">
        <v>185</v>
      </c>
      <c r="H810" s="33" t="s">
        <v>186</v>
      </c>
      <c r="I810" s="33" t="s">
        <v>100</v>
      </c>
      <c r="J810" s="33" t="s">
        <v>41</v>
      </c>
      <c r="K810" s="34" t="s">
        <v>101</v>
      </c>
    </row>
    <row r="811">
      <c r="A811" s="27">
        <v>7620.0</v>
      </c>
      <c r="B811" s="28">
        <v>116643.0</v>
      </c>
      <c r="C811" s="29" t="s">
        <v>102</v>
      </c>
      <c r="D811" s="29" t="s">
        <v>1860</v>
      </c>
      <c r="E811" s="29" t="s">
        <v>1966</v>
      </c>
      <c r="F811" s="29" t="s">
        <v>1967</v>
      </c>
      <c r="G811" s="29" t="s">
        <v>130</v>
      </c>
      <c r="H811" s="29" t="s">
        <v>157</v>
      </c>
      <c r="I811" s="29" t="s">
        <v>100</v>
      </c>
      <c r="J811" s="29" t="s">
        <v>59</v>
      </c>
      <c r="K811" s="30" t="s">
        <v>101</v>
      </c>
    </row>
    <row r="812">
      <c r="A812" s="31">
        <v>7627.0</v>
      </c>
      <c r="B812" s="32">
        <v>116642.0</v>
      </c>
      <c r="C812" s="33" t="s">
        <v>94</v>
      </c>
      <c r="D812" s="33" t="s">
        <v>1845</v>
      </c>
      <c r="E812" s="33" t="s">
        <v>1966</v>
      </c>
      <c r="F812" s="33" t="s">
        <v>1968</v>
      </c>
      <c r="G812" s="33" t="s">
        <v>130</v>
      </c>
      <c r="H812" s="33" t="s">
        <v>157</v>
      </c>
      <c r="I812" s="33" t="s">
        <v>100</v>
      </c>
      <c r="J812" s="33" t="s">
        <v>68</v>
      </c>
      <c r="K812" s="34" t="s">
        <v>101</v>
      </c>
    </row>
    <row r="813">
      <c r="A813" s="27">
        <v>38731.0</v>
      </c>
      <c r="B813" s="28">
        <v>155252.0</v>
      </c>
      <c r="C813" s="29" t="s">
        <v>102</v>
      </c>
      <c r="D813" s="29" t="s">
        <v>955</v>
      </c>
      <c r="E813" s="29" t="s">
        <v>1969</v>
      </c>
      <c r="F813" s="29" t="s">
        <v>1970</v>
      </c>
      <c r="G813" s="29" t="s">
        <v>275</v>
      </c>
      <c r="H813" s="29" t="s">
        <v>276</v>
      </c>
      <c r="I813" s="29" t="s">
        <v>100</v>
      </c>
      <c r="J813" s="29" t="s">
        <v>41</v>
      </c>
      <c r="K813" s="30" t="s">
        <v>101</v>
      </c>
    </row>
    <row r="814">
      <c r="A814" s="31">
        <v>16518.0</v>
      </c>
      <c r="B814" s="32">
        <v>116621.0</v>
      </c>
      <c r="C814" s="33" t="s">
        <v>102</v>
      </c>
      <c r="D814" s="33" t="s">
        <v>378</v>
      </c>
      <c r="E814" s="33" t="s">
        <v>1971</v>
      </c>
      <c r="F814" s="33" t="s">
        <v>1972</v>
      </c>
      <c r="G814" s="33" t="s">
        <v>207</v>
      </c>
      <c r="H814" s="33" t="s">
        <v>208</v>
      </c>
      <c r="I814" s="33" t="s">
        <v>100</v>
      </c>
      <c r="J814" s="33" t="s">
        <v>56</v>
      </c>
      <c r="K814" s="34" t="s">
        <v>101</v>
      </c>
    </row>
    <row r="815">
      <c r="A815" s="27">
        <v>38113.0</v>
      </c>
      <c r="B815" s="28">
        <v>129565.0</v>
      </c>
      <c r="C815" s="29" t="s">
        <v>102</v>
      </c>
      <c r="D815" s="29" t="s">
        <v>1973</v>
      </c>
      <c r="E815" s="29" t="s">
        <v>1974</v>
      </c>
      <c r="F815" s="29" t="s">
        <v>1975</v>
      </c>
      <c r="G815" s="29" t="s">
        <v>130</v>
      </c>
      <c r="H815" s="29" t="s">
        <v>172</v>
      </c>
      <c r="I815" s="29" t="s">
        <v>100</v>
      </c>
      <c r="J815" s="29" t="s">
        <v>53</v>
      </c>
      <c r="K815" s="30" t="s">
        <v>101</v>
      </c>
    </row>
    <row r="816">
      <c r="A816" s="31">
        <v>16454.0</v>
      </c>
      <c r="B816" s="32">
        <v>116554.0</v>
      </c>
      <c r="C816" s="33" t="s">
        <v>102</v>
      </c>
      <c r="D816" s="33" t="s">
        <v>477</v>
      </c>
      <c r="E816" s="33" t="s">
        <v>1976</v>
      </c>
      <c r="F816" s="33" t="s">
        <v>1977</v>
      </c>
      <c r="G816" s="33" t="s">
        <v>323</v>
      </c>
      <c r="H816" s="33" t="s">
        <v>417</v>
      </c>
      <c r="I816" s="33" t="s">
        <v>100</v>
      </c>
      <c r="J816" s="33" t="s">
        <v>41</v>
      </c>
      <c r="K816" s="34" t="s">
        <v>101</v>
      </c>
    </row>
    <row r="817">
      <c r="A817" s="27">
        <v>38312.0</v>
      </c>
      <c r="B817" s="28">
        <v>136469.0</v>
      </c>
      <c r="C817" s="29" t="s">
        <v>102</v>
      </c>
      <c r="D817" s="29" t="s">
        <v>1978</v>
      </c>
      <c r="E817" s="29" t="s">
        <v>1979</v>
      </c>
      <c r="F817" s="29" t="s">
        <v>1980</v>
      </c>
      <c r="G817" s="29" t="s">
        <v>270</v>
      </c>
      <c r="H817" s="29" t="s">
        <v>374</v>
      </c>
      <c r="I817" s="29" t="s">
        <v>100</v>
      </c>
      <c r="J817" s="29" t="s">
        <v>53</v>
      </c>
      <c r="K817" s="30" t="s">
        <v>101</v>
      </c>
    </row>
    <row r="818">
      <c r="A818" s="31">
        <v>7348.0</v>
      </c>
      <c r="B818" s="32">
        <v>111181.0</v>
      </c>
      <c r="C818" s="33" t="s">
        <v>102</v>
      </c>
      <c r="D818" s="33" t="s">
        <v>429</v>
      </c>
      <c r="E818" s="33" t="s">
        <v>1981</v>
      </c>
      <c r="F818" s="33" t="s">
        <v>1982</v>
      </c>
      <c r="G818" s="33" t="s">
        <v>468</v>
      </c>
      <c r="H818" s="33" t="s">
        <v>469</v>
      </c>
      <c r="I818" s="33" t="s">
        <v>100</v>
      </c>
      <c r="J818" s="33" t="s">
        <v>41</v>
      </c>
      <c r="K818" s="34" t="s">
        <v>101</v>
      </c>
    </row>
    <row r="819">
      <c r="A819" s="27">
        <v>7884.0</v>
      </c>
      <c r="B819" s="28">
        <v>111820.0</v>
      </c>
      <c r="C819" s="29" t="s">
        <v>102</v>
      </c>
      <c r="D819" s="29" t="s">
        <v>272</v>
      </c>
      <c r="E819" s="29" t="s">
        <v>1983</v>
      </c>
      <c r="F819" s="29" t="s">
        <v>1984</v>
      </c>
      <c r="G819" s="29" t="s">
        <v>198</v>
      </c>
      <c r="H819" s="29" t="s">
        <v>199</v>
      </c>
      <c r="I819" s="29" t="s">
        <v>100</v>
      </c>
      <c r="J819" s="29" t="s">
        <v>53</v>
      </c>
      <c r="K819" s="30" t="s">
        <v>101</v>
      </c>
    </row>
    <row r="820">
      <c r="A820" s="31">
        <v>7903.0</v>
      </c>
      <c r="B820" s="32">
        <v>111819.0</v>
      </c>
      <c r="C820" s="33" t="s">
        <v>94</v>
      </c>
      <c r="D820" s="33" t="s">
        <v>738</v>
      </c>
      <c r="E820" s="33" t="s">
        <v>1983</v>
      </c>
      <c r="F820" s="33" t="s">
        <v>1985</v>
      </c>
      <c r="G820" s="33" t="s">
        <v>198</v>
      </c>
      <c r="H820" s="33" t="s">
        <v>386</v>
      </c>
      <c r="I820" s="33" t="s">
        <v>100</v>
      </c>
      <c r="J820" s="33" t="s">
        <v>65</v>
      </c>
      <c r="K820" s="34" t="s">
        <v>101</v>
      </c>
    </row>
    <row r="821">
      <c r="A821" s="27">
        <v>38707.0</v>
      </c>
      <c r="B821" s="28">
        <v>153868.0</v>
      </c>
      <c r="C821" s="29" t="s">
        <v>102</v>
      </c>
      <c r="D821" s="29" t="s">
        <v>387</v>
      </c>
      <c r="E821" s="29" t="s">
        <v>1986</v>
      </c>
      <c r="F821" s="29" t="s">
        <v>1987</v>
      </c>
      <c r="G821" s="29" t="s">
        <v>98</v>
      </c>
      <c r="H821" s="29" t="s">
        <v>99</v>
      </c>
      <c r="I821" s="29" t="s">
        <v>100</v>
      </c>
      <c r="J821" s="29" t="s">
        <v>41</v>
      </c>
      <c r="K821" s="30" t="s">
        <v>101</v>
      </c>
    </row>
    <row r="822">
      <c r="A822" s="31">
        <v>38823.0</v>
      </c>
      <c r="B822" s="32">
        <v>159610.0</v>
      </c>
      <c r="C822" s="33" t="s">
        <v>102</v>
      </c>
      <c r="D822" s="33" t="s">
        <v>477</v>
      </c>
      <c r="E822" s="33" t="s">
        <v>1988</v>
      </c>
      <c r="F822" s="33" t="s">
        <v>1989</v>
      </c>
      <c r="G822" s="33" t="s">
        <v>190</v>
      </c>
      <c r="H822" s="33" t="s">
        <v>191</v>
      </c>
      <c r="I822" s="33" t="s">
        <v>100</v>
      </c>
      <c r="J822" s="33" t="s">
        <v>53</v>
      </c>
      <c r="K822" s="34" t="s">
        <v>101</v>
      </c>
    </row>
    <row r="823">
      <c r="A823" s="27">
        <v>25466.0</v>
      </c>
      <c r="B823" s="28">
        <v>162966.0</v>
      </c>
      <c r="C823" s="29" t="s">
        <v>94</v>
      </c>
      <c r="D823" s="29" t="s">
        <v>1990</v>
      </c>
      <c r="E823" s="29" t="s">
        <v>1991</v>
      </c>
      <c r="F823" s="29" t="s">
        <v>1992</v>
      </c>
      <c r="G823" s="29" t="s">
        <v>741</v>
      </c>
      <c r="H823" s="29" t="s">
        <v>742</v>
      </c>
      <c r="I823" s="29" t="s">
        <v>100</v>
      </c>
      <c r="J823" s="29" t="s">
        <v>62</v>
      </c>
      <c r="K823" s="30" t="s">
        <v>101</v>
      </c>
    </row>
    <row r="824">
      <c r="A824" s="31">
        <v>25833.0</v>
      </c>
      <c r="B824" s="32">
        <v>107475.0</v>
      </c>
      <c r="C824" s="33" t="s">
        <v>102</v>
      </c>
      <c r="D824" s="33" t="s">
        <v>300</v>
      </c>
      <c r="E824" s="33" t="s">
        <v>1991</v>
      </c>
      <c r="F824" s="33" t="s">
        <v>1993</v>
      </c>
      <c r="G824" s="33" t="s">
        <v>741</v>
      </c>
      <c r="H824" s="33" t="s">
        <v>742</v>
      </c>
      <c r="I824" s="33" t="s">
        <v>100</v>
      </c>
      <c r="J824" s="33" t="s">
        <v>53</v>
      </c>
      <c r="K824" s="34" t="s">
        <v>101</v>
      </c>
    </row>
    <row r="825">
      <c r="A825" s="27">
        <v>38903.0</v>
      </c>
      <c r="B825" s="28">
        <v>162967.0</v>
      </c>
      <c r="C825" s="29" t="s">
        <v>94</v>
      </c>
      <c r="D825" s="29" t="s">
        <v>1207</v>
      </c>
      <c r="E825" s="29" t="s">
        <v>1991</v>
      </c>
      <c r="F825" s="29" t="s">
        <v>1994</v>
      </c>
      <c r="G825" s="29" t="s">
        <v>741</v>
      </c>
      <c r="H825" s="29" t="s">
        <v>742</v>
      </c>
      <c r="I825" s="29" t="s">
        <v>100</v>
      </c>
      <c r="J825" s="29" t="s">
        <v>50</v>
      </c>
      <c r="K825" s="30" t="s">
        <v>101</v>
      </c>
    </row>
    <row r="826">
      <c r="A826" s="31">
        <v>7900.0</v>
      </c>
      <c r="B826" s="32">
        <v>112192.0</v>
      </c>
      <c r="C826" s="33" t="s">
        <v>102</v>
      </c>
      <c r="D826" s="33" t="s">
        <v>365</v>
      </c>
      <c r="E826" s="33" t="s">
        <v>1995</v>
      </c>
      <c r="F826" s="33" t="s">
        <v>1996</v>
      </c>
      <c r="G826" s="33" t="s">
        <v>198</v>
      </c>
      <c r="H826" s="33" t="s">
        <v>1997</v>
      </c>
      <c r="I826" s="33" t="s">
        <v>100</v>
      </c>
      <c r="J826" s="33" t="s">
        <v>56</v>
      </c>
      <c r="K826" s="34" t="s">
        <v>101</v>
      </c>
    </row>
    <row r="827">
      <c r="A827" s="27">
        <v>7156.0</v>
      </c>
      <c r="B827" s="28">
        <v>114536.0</v>
      </c>
      <c r="C827" s="29" t="s">
        <v>94</v>
      </c>
      <c r="D827" s="29" t="s">
        <v>1998</v>
      </c>
      <c r="E827" s="29" t="s">
        <v>1999</v>
      </c>
      <c r="F827" s="29" t="s">
        <v>2000</v>
      </c>
      <c r="G827" s="29" t="s">
        <v>190</v>
      </c>
      <c r="H827" s="29" t="s">
        <v>191</v>
      </c>
      <c r="I827" s="29" t="s">
        <v>100</v>
      </c>
      <c r="J827" s="29" t="s">
        <v>44</v>
      </c>
      <c r="K827" s="30" t="s">
        <v>101</v>
      </c>
    </row>
    <row r="828">
      <c r="A828" s="31">
        <v>7660.0</v>
      </c>
      <c r="B828" s="32">
        <v>54297.0</v>
      </c>
      <c r="C828" s="33" t="s">
        <v>102</v>
      </c>
      <c r="D828" s="33" t="s">
        <v>2001</v>
      </c>
      <c r="E828" s="33" t="s">
        <v>2002</v>
      </c>
      <c r="F828" s="33" t="s">
        <v>2003</v>
      </c>
      <c r="G828" s="33" t="s">
        <v>130</v>
      </c>
      <c r="H828" s="33" t="s">
        <v>459</v>
      </c>
      <c r="I828" s="33" t="s">
        <v>100</v>
      </c>
      <c r="J828" s="33" t="s">
        <v>41</v>
      </c>
      <c r="K828" s="34" t="s">
        <v>101</v>
      </c>
    </row>
    <row r="829">
      <c r="A829" s="27">
        <v>38959.0</v>
      </c>
      <c r="B829" s="28">
        <v>164085.0</v>
      </c>
      <c r="C829" s="29" t="s">
        <v>94</v>
      </c>
      <c r="D829" s="29" t="s">
        <v>1394</v>
      </c>
      <c r="E829" s="29" t="s">
        <v>2002</v>
      </c>
      <c r="F829" s="29" t="s">
        <v>2004</v>
      </c>
      <c r="G829" s="29" t="s">
        <v>130</v>
      </c>
      <c r="H829" s="29" t="s">
        <v>459</v>
      </c>
      <c r="I829" s="29" t="s">
        <v>100</v>
      </c>
      <c r="J829" s="29" t="s">
        <v>44</v>
      </c>
      <c r="K829" s="30" t="s">
        <v>101</v>
      </c>
    </row>
    <row r="830">
      <c r="A830" s="31">
        <v>7072.0</v>
      </c>
      <c r="B830" s="32">
        <v>145559.0</v>
      </c>
      <c r="C830" s="33" t="s">
        <v>102</v>
      </c>
      <c r="D830" s="33" t="s">
        <v>2005</v>
      </c>
      <c r="E830" s="33" t="s">
        <v>2006</v>
      </c>
      <c r="F830" s="33" t="s">
        <v>2007</v>
      </c>
      <c r="G830" s="33" t="s">
        <v>130</v>
      </c>
      <c r="H830" s="33" t="s">
        <v>172</v>
      </c>
      <c r="I830" s="33" t="s">
        <v>100</v>
      </c>
      <c r="J830" s="33" t="s">
        <v>59</v>
      </c>
      <c r="K830" s="34" t="s">
        <v>101</v>
      </c>
    </row>
    <row r="831">
      <c r="A831" s="27">
        <v>7485.0</v>
      </c>
      <c r="B831" s="28">
        <v>148816.0</v>
      </c>
      <c r="C831" s="29" t="s">
        <v>102</v>
      </c>
      <c r="D831" s="29" t="s">
        <v>209</v>
      </c>
      <c r="E831" s="29" t="s">
        <v>2008</v>
      </c>
      <c r="F831" s="29" t="s">
        <v>2009</v>
      </c>
      <c r="G831" s="29" t="s">
        <v>130</v>
      </c>
      <c r="H831" s="35" t="s">
        <v>131</v>
      </c>
      <c r="I831" s="29" t="s">
        <v>100</v>
      </c>
      <c r="J831" s="29" t="s">
        <v>41</v>
      </c>
      <c r="K831" s="30" t="s">
        <v>101</v>
      </c>
    </row>
    <row r="832">
      <c r="A832" s="31">
        <v>38571.0</v>
      </c>
      <c r="B832" s="32">
        <v>146878.0</v>
      </c>
      <c r="C832" s="33" t="s">
        <v>102</v>
      </c>
      <c r="D832" s="33" t="s">
        <v>1652</v>
      </c>
      <c r="E832" s="33" t="s">
        <v>116</v>
      </c>
      <c r="F832" s="33" t="s">
        <v>2010</v>
      </c>
      <c r="G832" s="33" t="s">
        <v>198</v>
      </c>
      <c r="H832" s="33" t="s">
        <v>199</v>
      </c>
      <c r="I832" s="33" t="s">
        <v>100</v>
      </c>
      <c r="J832" s="33" t="s">
        <v>41</v>
      </c>
      <c r="K832" s="34" t="s">
        <v>101</v>
      </c>
    </row>
    <row r="833">
      <c r="A833" s="27">
        <v>38869.0</v>
      </c>
      <c r="B833" s="28">
        <v>162011.0</v>
      </c>
      <c r="C833" s="29" t="s">
        <v>94</v>
      </c>
      <c r="D833" s="29" t="s">
        <v>460</v>
      </c>
      <c r="E833" s="29" t="s">
        <v>116</v>
      </c>
      <c r="F833" s="29" t="s">
        <v>2011</v>
      </c>
      <c r="G833" s="29" t="s">
        <v>198</v>
      </c>
      <c r="H833" s="29" t="s">
        <v>199</v>
      </c>
      <c r="I833" s="29" t="s">
        <v>100</v>
      </c>
      <c r="J833" s="29" t="s">
        <v>62</v>
      </c>
      <c r="K833" s="30" t="s">
        <v>101</v>
      </c>
    </row>
    <row r="834">
      <c r="A834" s="31">
        <v>38859.0</v>
      </c>
      <c r="B834" s="32">
        <v>159648.0</v>
      </c>
      <c r="C834" s="33" t="s">
        <v>102</v>
      </c>
      <c r="D834" s="33" t="s">
        <v>245</v>
      </c>
      <c r="E834" s="33" t="s">
        <v>2012</v>
      </c>
      <c r="F834" s="33" t="s">
        <v>2013</v>
      </c>
      <c r="G834" s="33" t="s">
        <v>164</v>
      </c>
      <c r="H834" s="33" t="s">
        <v>165</v>
      </c>
      <c r="I834" s="33" t="s">
        <v>100</v>
      </c>
      <c r="J834" s="33" t="s">
        <v>53</v>
      </c>
      <c r="K834" s="34" t="s">
        <v>101</v>
      </c>
    </row>
    <row r="835">
      <c r="A835" s="27">
        <v>38793.0</v>
      </c>
      <c r="B835" s="28">
        <v>158026.0</v>
      </c>
      <c r="C835" s="29" t="s">
        <v>102</v>
      </c>
      <c r="D835" s="29" t="s">
        <v>204</v>
      </c>
      <c r="E835" s="29" t="s">
        <v>2014</v>
      </c>
      <c r="F835" s="29" t="s">
        <v>2015</v>
      </c>
      <c r="G835" s="29" t="s">
        <v>130</v>
      </c>
      <c r="H835" s="29" t="s">
        <v>211</v>
      </c>
      <c r="I835" s="29" t="s">
        <v>100</v>
      </c>
      <c r="J835" s="29" t="s">
        <v>53</v>
      </c>
      <c r="K835" s="30" t="s">
        <v>101</v>
      </c>
    </row>
    <row r="836">
      <c r="A836" s="31">
        <v>38724.0</v>
      </c>
      <c r="B836" s="32">
        <v>153894.0</v>
      </c>
      <c r="C836" s="33" t="s">
        <v>102</v>
      </c>
      <c r="D836" s="33" t="s">
        <v>230</v>
      </c>
      <c r="E836" s="33" t="s">
        <v>2016</v>
      </c>
      <c r="F836" s="33" t="s">
        <v>2017</v>
      </c>
      <c r="G836" s="33" t="s">
        <v>207</v>
      </c>
      <c r="H836" s="33" t="s">
        <v>208</v>
      </c>
      <c r="I836" s="33" t="s">
        <v>100</v>
      </c>
      <c r="J836" s="33" t="s">
        <v>41</v>
      </c>
      <c r="K836" s="34" t="s">
        <v>101</v>
      </c>
    </row>
    <row r="837">
      <c r="A837" s="27">
        <v>7040.0</v>
      </c>
      <c r="B837" s="28">
        <v>120991.0</v>
      </c>
      <c r="C837" s="29" t="s">
        <v>102</v>
      </c>
      <c r="D837" s="29" t="s">
        <v>2018</v>
      </c>
      <c r="E837" s="29" t="s">
        <v>2019</v>
      </c>
      <c r="F837" s="29" t="s">
        <v>2020</v>
      </c>
      <c r="G837" s="29" t="s">
        <v>264</v>
      </c>
      <c r="H837" s="29" t="s">
        <v>265</v>
      </c>
      <c r="I837" s="29" t="s">
        <v>100</v>
      </c>
      <c r="J837" s="29" t="s">
        <v>59</v>
      </c>
      <c r="K837" s="30" t="s">
        <v>101</v>
      </c>
    </row>
    <row r="838">
      <c r="A838" s="31">
        <v>7471.0</v>
      </c>
      <c r="B838" s="32">
        <v>116483.0</v>
      </c>
      <c r="C838" s="33" t="s">
        <v>94</v>
      </c>
      <c r="D838" s="33" t="s">
        <v>1081</v>
      </c>
      <c r="E838" s="33" t="s">
        <v>2021</v>
      </c>
      <c r="F838" s="33" t="s">
        <v>2022</v>
      </c>
      <c r="G838" s="33" t="s">
        <v>398</v>
      </c>
      <c r="H838" s="33" t="s">
        <v>399</v>
      </c>
      <c r="I838" s="33" t="s">
        <v>100</v>
      </c>
      <c r="J838" s="33" t="s">
        <v>62</v>
      </c>
      <c r="K838" s="34" t="s">
        <v>101</v>
      </c>
    </row>
    <row r="839">
      <c r="A839" s="27">
        <v>38877.0</v>
      </c>
      <c r="B839" s="28">
        <v>162021.0</v>
      </c>
      <c r="C839" s="29" t="s">
        <v>102</v>
      </c>
      <c r="D839" s="29" t="s">
        <v>1513</v>
      </c>
      <c r="E839" s="29" t="s">
        <v>2023</v>
      </c>
      <c r="F839" s="29" t="s">
        <v>2024</v>
      </c>
      <c r="G839" s="29" t="s">
        <v>119</v>
      </c>
      <c r="H839" s="29" t="s">
        <v>120</v>
      </c>
      <c r="I839" s="29" t="s">
        <v>100</v>
      </c>
      <c r="J839" s="29" t="s">
        <v>56</v>
      </c>
      <c r="K839" s="30" t="s">
        <v>101</v>
      </c>
    </row>
    <row r="840">
      <c r="A840" s="31">
        <v>38874.0</v>
      </c>
      <c r="B840" s="32">
        <v>162017.0</v>
      </c>
      <c r="C840" s="33" t="s">
        <v>102</v>
      </c>
      <c r="D840" s="33" t="s">
        <v>308</v>
      </c>
      <c r="E840" s="33" t="s">
        <v>2025</v>
      </c>
      <c r="F840" s="33" t="s">
        <v>2026</v>
      </c>
      <c r="G840" s="33" t="s">
        <v>143</v>
      </c>
      <c r="H840" s="33" t="s">
        <v>144</v>
      </c>
      <c r="I840" s="33" t="s">
        <v>100</v>
      </c>
      <c r="J840" s="33" t="s">
        <v>41</v>
      </c>
      <c r="K840" s="34" t="s">
        <v>101</v>
      </c>
    </row>
    <row r="841">
      <c r="A841" s="27">
        <v>16453.0</v>
      </c>
      <c r="B841" s="28">
        <v>111158.0</v>
      </c>
      <c r="C841" s="29" t="s">
        <v>102</v>
      </c>
      <c r="D841" s="29" t="s">
        <v>1177</v>
      </c>
      <c r="E841" s="29" t="s">
        <v>2027</v>
      </c>
      <c r="F841" s="29" t="s">
        <v>2028</v>
      </c>
      <c r="G841" s="29" t="s">
        <v>190</v>
      </c>
      <c r="H841" s="29" t="s">
        <v>191</v>
      </c>
      <c r="I841" s="29" t="s">
        <v>100</v>
      </c>
      <c r="J841" s="29" t="s">
        <v>59</v>
      </c>
      <c r="K841" s="30" t="s">
        <v>101</v>
      </c>
    </row>
    <row r="842">
      <c r="A842" s="31">
        <v>25604.0</v>
      </c>
      <c r="B842" s="32">
        <v>162027.0</v>
      </c>
      <c r="C842" s="33" t="s">
        <v>102</v>
      </c>
      <c r="D842" s="33" t="s">
        <v>855</v>
      </c>
      <c r="E842" s="33" t="s">
        <v>2029</v>
      </c>
      <c r="F842" s="33" t="s">
        <v>2030</v>
      </c>
      <c r="G842" s="33" t="s">
        <v>198</v>
      </c>
      <c r="H842" s="33" t="s">
        <v>544</v>
      </c>
      <c r="I842" s="33" t="s">
        <v>100</v>
      </c>
      <c r="J842" s="33" t="s">
        <v>41</v>
      </c>
      <c r="K842" s="34" t="s">
        <v>101</v>
      </c>
    </row>
    <row r="843">
      <c r="A843" s="27">
        <v>25445.0</v>
      </c>
      <c r="B843" s="28">
        <v>125151.0</v>
      </c>
      <c r="C843" s="29" t="s">
        <v>94</v>
      </c>
      <c r="D843" s="29" t="s">
        <v>178</v>
      </c>
      <c r="E843" s="29" t="s">
        <v>2031</v>
      </c>
      <c r="F843" s="29" t="s">
        <v>2032</v>
      </c>
      <c r="G843" s="29" t="s">
        <v>176</v>
      </c>
      <c r="H843" s="29" t="s">
        <v>177</v>
      </c>
      <c r="I843" s="29" t="s">
        <v>100</v>
      </c>
      <c r="J843" s="29" t="s">
        <v>68</v>
      </c>
      <c r="K843" s="30" t="s">
        <v>101</v>
      </c>
    </row>
    <row r="844">
      <c r="A844" s="31">
        <v>3233.0</v>
      </c>
      <c r="B844" s="32">
        <v>98818.0</v>
      </c>
      <c r="C844" s="33" t="s">
        <v>94</v>
      </c>
      <c r="D844" s="33" t="s">
        <v>1757</v>
      </c>
      <c r="E844" s="33" t="s">
        <v>2031</v>
      </c>
      <c r="F844" s="33" t="s">
        <v>2033</v>
      </c>
      <c r="G844" s="33" t="s">
        <v>130</v>
      </c>
      <c r="H844" s="33" t="s">
        <v>241</v>
      </c>
      <c r="I844" s="33" t="s">
        <v>100</v>
      </c>
      <c r="J844" s="33" t="s">
        <v>65</v>
      </c>
      <c r="K844" s="34" t="s">
        <v>101</v>
      </c>
    </row>
    <row r="845">
      <c r="A845" s="27">
        <v>7291.0</v>
      </c>
      <c r="B845" s="28">
        <v>115597.0</v>
      </c>
      <c r="C845" s="29" t="s">
        <v>102</v>
      </c>
      <c r="D845" s="29" t="s">
        <v>635</v>
      </c>
      <c r="E845" s="29" t="s">
        <v>2031</v>
      </c>
      <c r="F845" s="29" t="s">
        <v>2034</v>
      </c>
      <c r="G845" s="29" t="s">
        <v>176</v>
      </c>
      <c r="H845" s="29" t="s">
        <v>177</v>
      </c>
      <c r="I845" s="29" t="s">
        <v>100</v>
      </c>
      <c r="J845" s="29" t="s">
        <v>59</v>
      </c>
      <c r="K845" s="30" t="s">
        <v>101</v>
      </c>
    </row>
    <row r="846">
      <c r="A846" s="31">
        <v>3234.0</v>
      </c>
      <c r="B846" s="32">
        <v>98815.0</v>
      </c>
      <c r="C846" s="33" t="s">
        <v>102</v>
      </c>
      <c r="D846" s="33" t="s">
        <v>109</v>
      </c>
      <c r="E846" s="33" t="s">
        <v>2031</v>
      </c>
      <c r="F846" s="33" t="s">
        <v>2035</v>
      </c>
      <c r="G846" s="33" t="s">
        <v>130</v>
      </c>
      <c r="H846" s="33" t="s">
        <v>241</v>
      </c>
      <c r="I846" s="33" t="s">
        <v>100</v>
      </c>
      <c r="J846" s="33" t="s">
        <v>56</v>
      </c>
      <c r="K846" s="34" t="s">
        <v>101</v>
      </c>
    </row>
    <row r="847">
      <c r="A847" s="27">
        <v>38173.0</v>
      </c>
      <c r="B847" s="28">
        <v>131521.0</v>
      </c>
      <c r="C847" s="29" t="s">
        <v>94</v>
      </c>
      <c r="D847" s="29" t="s">
        <v>2036</v>
      </c>
      <c r="E847" s="29" t="s">
        <v>2037</v>
      </c>
      <c r="F847" s="29" t="s">
        <v>2038</v>
      </c>
      <c r="G847" s="29" t="s">
        <v>275</v>
      </c>
      <c r="H847" s="29" t="s">
        <v>276</v>
      </c>
      <c r="I847" s="29" t="s">
        <v>100</v>
      </c>
      <c r="J847" s="29" t="s">
        <v>44</v>
      </c>
      <c r="K847" s="30" t="s">
        <v>101</v>
      </c>
    </row>
    <row r="848">
      <c r="A848" s="31">
        <v>38350.0</v>
      </c>
      <c r="B848" s="32">
        <v>136722.0</v>
      </c>
      <c r="C848" s="33" t="s">
        <v>94</v>
      </c>
      <c r="D848" s="33" t="s">
        <v>1220</v>
      </c>
      <c r="E848" s="33" t="s">
        <v>2039</v>
      </c>
      <c r="F848" s="33" t="s">
        <v>2040</v>
      </c>
      <c r="G848" s="33" t="s">
        <v>130</v>
      </c>
      <c r="H848" s="36" t="s">
        <v>131</v>
      </c>
      <c r="I848" s="33" t="s">
        <v>100</v>
      </c>
      <c r="J848" s="33" t="s">
        <v>50</v>
      </c>
      <c r="K848" s="34" t="s">
        <v>101</v>
      </c>
    </row>
    <row r="849">
      <c r="A849" s="27">
        <v>38005.0</v>
      </c>
      <c r="B849" s="28">
        <v>118015.0</v>
      </c>
      <c r="C849" s="29" t="s">
        <v>102</v>
      </c>
      <c r="D849" s="29" t="s">
        <v>2041</v>
      </c>
      <c r="E849" s="29" t="s">
        <v>2042</v>
      </c>
      <c r="F849" s="29" t="s">
        <v>2043</v>
      </c>
      <c r="G849" s="29" t="s">
        <v>119</v>
      </c>
      <c r="H849" s="29" t="s">
        <v>120</v>
      </c>
      <c r="I849" s="29" t="s">
        <v>100</v>
      </c>
      <c r="J849" s="29" t="s">
        <v>56</v>
      </c>
      <c r="K849" s="30" t="s">
        <v>101</v>
      </c>
    </row>
    <row r="850">
      <c r="A850" s="31">
        <v>38747.0</v>
      </c>
      <c r="B850" s="32">
        <v>155271.0</v>
      </c>
      <c r="C850" s="33" t="s">
        <v>102</v>
      </c>
      <c r="D850" s="33" t="s">
        <v>1500</v>
      </c>
      <c r="E850" s="33" t="s">
        <v>2044</v>
      </c>
      <c r="F850" s="33" t="s">
        <v>2045</v>
      </c>
      <c r="G850" s="33" t="s">
        <v>135</v>
      </c>
      <c r="H850" s="33" t="s">
        <v>203</v>
      </c>
      <c r="I850" s="33" t="s">
        <v>100</v>
      </c>
      <c r="J850" s="33" t="s">
        <v>41</v>
      </c>
      <c r="K850" s="34" t="s">
        <v>101</v>
      </c>
    </row>
    <row r="851">
      <c r="A851" s="27">
        <v>38920.0</v>
      </c>
      <c r="B851" s="28">
        <v>162988.0</v>
      </c>
      <c r="C851" s="29" t="s">
        <v>102</v>
      </c>
      <c r="D851" s="29" t="s">
        <v>988</v>
      </c>
      <c r="E851" s="29" t="s">
        <v>2046</v>
      </c>
      <c r="F851" s="29" t="s">
        <v>2047</v>
      </c>
      <c r="G851" s="29" t="s">
        <v>207</v>
      </c>
      <c r="H851" s="29" t="s">
        <v>208</v>
      </c>
      <c r="I851" s="29" t="s">
        <v>100</v>
      </c>
      <c r="J851" s="29" t="s">
        <v>280</v>
      </c>
      <c r="K851" s="30" t="s">
        <v>281</v>
      </c>
    </row>
    <row r="852">
      <c r="A852" s="31">
        <v>38841.0</v>
      </c>
      <c r="B852" s="32">
        <v>159627.0</v>
      </c>
      <c r="C852" s="33" t="s">
        <v>102</v>
      </c>
      <c r="D852" s="33" t="s">
        <v>2048</v>
      </c>
      <c r="E852" s="33" t="s">
        <v>2049</v>
      </c>
      <c r="F852" s="33" t="s">
        <v>2050</v>
      </c>
      <c r="G852" s="33" t="s">
        <v>408</v>
      </c>
      <c r="H852" s="33" t="s">
        <v>409</v>
      </c>
      <c r="I852" s="33" t="s">
        <v>100</v>
      </c>
      <c r="J852" s="33" t="s">
        <v>41</v>
      </c>
      <c r="K852" s="34" t="s">
        <v>101</v>
      </c>
    </row>
    <row r="853">
      <c r="A853" s="27">
        <v>7734.0</v>
      </c>
      <c r="B853" s="28">
        <v>126469.0</v>
      </c>
      <c r="C853" s="29" t="s">
        <v>102</v>
      </c>
      <c r="D853" s="29" t="s">
        <v>343</v>
      </c>
      <c r="E853" s="29" t="s">
        <v>2049</v>
      </c>
      <c r="F853" s="29" t="s">
        <v>2051</v>
      </c>
      <c r="G853" s="29" t="s">
        <v>496</v>
      </c>
      <c r="H853" s="29" t="s">
        <v>699</v>
      </c>
      <c r="I853" s="29" t="s">
        <v>100</v>
      </c>
      <c r="J853" s="29" t="s">
        <v>41</v>
      </c>
      <c r="K853" s="30" t="s">
        <v>101</v>
      </c>
    </row>
    <row r="854">
      <c r="A854" s="31">
        <v>25061.0</v>
      </c>
      <c r="B854" s="32">
        <v>35952.0</v>
      </c>
      <c r="C854" s="33" t="s">
        <v>102</v>
      </c>
      <c r="D854" s="33" t="s">
        <v>230</v>
      </c>
      <c r="E854" s="33" t="s">
        <v>2049</v>
      </c>
      <c r="F854" s="33" t="s">
        <v>2052</v>
      </c>
      <c r="G854" s="33" t="s">
        <v>207</v>
      </c>
      <c r="H854" s="33" t="s">
        <v>208</v>
      </c>
      <c r="I854" s="33" t="s">
        <v>100</v>
      </c>
      <c r="J854" s="33" t="s">
        <v>41</v>
      </c>
      <c r="K854" s="34" t="s">
        <v>101</v>
      </c>
    </row>
    <row r="855">
      <c r="A855" s="27">
        <v>16215.0</v>
      </c>
      <c r="B855" s="28">
        <v>111992.0</v>
      </c>
      <c r="C855" s="29" t="s">
        <v>102</v>
      </c>
      <c r="D855" s="29" t="s">
        <v>109</v>
      </c>
      <c r="E855" s="29" t="s">
        <v>2053</v>
      </c>
      <c r="F855" s="29" t="s">
        <v>2054</v>
      </c>
      <c r="G855" s="29" t="s">
        <v>143</v>
      </c>
      <c r="H855" s="29" t="s">
        <v>144</v>
      </c>
      <c r="I855" s="29" t="s">
        <v>100</v>
      </c>
      <c r="J855" s="29" t="s">
        <v>41</v>
      </c>
      <c r="K855" s="30" t="s">
        <v>101</v>
      </c>
    </row>
    <row r="856">
      <c r="A856" s="31">
        <v>38658.0</v>
      </c>
      <c r="B856" s="32">
        <v>148803.0</v>
      </c>
      <c r="C856" s="33" t="s">
        <v>102</v>
      </c>
      <c r="D856" s="33" t="s">
        <v>840</v>
      </c>
      <c r="E856" s="33" t="s">
        <v>2055</v>
      </c>
      <c r="F856" s="33" t="s">
        <v>2056</v>
      </c>
      <c r="G856" s="33" t="s">
        <v>398</v>
      </c>
      <c r="H856" s="33" t="s">
        <v>399</v>
      </c>
      <c r="I856" s="33" t="s">
        <v>100</v>
      </c>
      <c r="J856" s="33" t="s">
        <v>41</v>
      </c>
      <c r="K856" s="34" t="s">
        <v>101</v>
      </c>
    </row>
    <row r="857">
      <c r="A857" s="27">
        <v>7801.0</v>
      </c>
      <c r="B857" s="28">
        <v>99131.0</v>
      </c>
      <c r="C857" s="29" t="s">
        <v>94</v>
      </c>
      <c r="D857" s="29" t="s">
        <v>1394</v>
      </c>
      <c r="E857" s="29" t="s">
        <v>2057</v>
      </c>
      <c r="F857" s="29" t="s">
        <v>2058</v>
      </c>
      <c r="G857" s="29" t="s">
        <v>135</v>
      </c>
      <c r="H857" s="29" t="s">
        <v>531</v>
      </c>
      <c r="I857" s="29" t="s">
        <v>100</v>
      </c>
      <c r="J857" s="29" t="s">
        <v>44</v>
      </c>
      <c r="K857" s="30" t="s">
        <v>101</v>
      </c>
    </row>
    <row r="858">
      <c r="A858" s="31">
        <v>38901.0</v>
      </c>
      <c r="B858" s="32">
        <v>162964.0</v>
      </c>
      <c r="C858" s="33" t="s">
        <v>102</v>
      </c>
      <c r="D858" s="33" t="s">
        <v>1217</v>
      </c>
      <c r="E858" s="33" t="s">
        <v>2057</v>
      </c>
      <c r="F858" s="33" t="s">
        <v>2059</v>
      </c>
      <c r="G858" s="33" t="s">
        <v>190</v>
      </c>
      <c r="H858" s="33" t="s">
        <v>191</v>
      </c>
      <c r="I858" s="33" t="s">
        <v>100</v>
      </c>
      <c r="J858" s="33" t="s">
        <v>41</v>
      </c>
      <c r="K858" s="34" t="s">
        <v>101</v>
      </c>
    </row>
    <row r="859">
      <c r="A859" s="27">
        <v>7709.0</v>
      </c>
      <c r="B859" s="28">
        <v>111811.0</v>
      </c>
      <c r="C859" s="29" t="s">
        <v>94</v>
      </c>
      <c r="D859" s="29" t="s">
        <v>2060</v>
      </c>
      <c r="E859" s="29" t="s">
        <v>2057</v>
      </c>
      <c r="F859" s="29" t="s">
        <v>2061</v>
      </c>
      <c r="G859" s="29" t="s">
        <v>135</v>
      </c>
      <c r="H859" s="29" t="s">
        <v>531</v>
      </c>
      <c r="I859" s="29" t="s">
        <v>100</v>
      </c>
      <c r="J859" s="29" t="s">
        <v>65</v>
      </c>
      <c r="K859" s="30" t="s">
        <v>101</v>
      </c>
    </row>
    <row r="860">
      <c r="A860" s="31">
        <v>7721.0</v>
      </c>
      <c r="B860" s="32">
        <v>67657.0</v>
      </c>
      <c r="C860" s="33" t="s">
        <v>102</v>
      </c>
      <c r="D860" s="33" t="s">
        <v>140</v>
      </c>
      <c r="E860" s="33" t="s">
        <v>2057</v>
      </c>
      <c r="F860" s="33" t="s">
        <v>2062</v>
      </c>
      <c r="G860" s="33" t="s">
        <v>135</v>
      </c>
      <c r="H860" s="33" t="s">
        <v>531</v>
      </c>
      <c r="I860" s="33" t="s">
        <v>100</v>
      </c>
      <c r="J860" s="33" t="s">
        <v>56</v>
      </c>
      <c r="K860" s="34" t="s">
        <v>101</v>
      </c>
    </row>
    <row r="861">
      <c r="A861" s="27">
        <v>7723.0</v>
      </c>
      <c r="B861" s="28">
        <v>111145.0</v>
      </c>
      <c r="C861" s="29" t="s">
        <v>102</v>
      </c>
      <c r="D861" s="29" t="s">
        <v>230</v>
      </c>
      <c r="E861" s="29" t="s">
        <v>2057</v>
      </c>
      <c r="F861" s="29" t="s">
        <v>2063</v>
      </c>
      <c r="G861" s="29" t="s">
        <v>190</v>
      </c>
      <c r="H861" s="29" t="s">
        <v>317</v>
      </c>
      <c r="I861" s="29" t="s">
        <v>100</v>
      </c>
      <c r="J861" s="29" t="s">
        <v>41</v>
      </c>
      <c r="K861" s="30" t="s">
        <v>101</v>
      </c>
    </row>
    <row r="862">
      <c r="A862" s="31">
        <v>25347.0</v>
      </c>
      <c r="B862" s="32">
        <v>54238.0</v>
      </c>
      <c r="C862" s="33" t="s">
        <v>94</v>
      </c>
      <c r="D862" s="33" t="s">
        <v>2064</v>
      </c>
      <c r="E862" s="33" t="s">
        <v>2065</v>
      </c>
      <c r="F862" s="33" t="s">
        <v>2066</v>
      </c>
      <c r="G862" s="33" t="s">
        <v>135</v>
      </c>
      <c r="H862" s="33" t="s">
        <v>531</v>
      </c>
      <c r="I862" s="33" t="s">
        <v>100</v>
      </c>
      <c r="J862" s="33" t="s">
        <v>65</v>
      </c>
      <c r="K862" s="34" t="s">
        <v>101</v>
      </c>
    </row>
    <row r="863">
      <c r="A863" s="27">
        <v>38202.0</v>
      </c>
      <c r="B863" s="28">
        <v>131847.0</v>
      </c>
      <c r="C863" s="29" t="s">
        <v>102</v>
      </c>
      <c r="D863" s="29" t="s">
        <v>2067</v>
      </c>
      <c r="E863" s="29" t="s">
        <v>2068</v>
      </c>
      <c r="F863" s="29" t="s">
        <v>2069</v>
      </c>
      <c r="G863" s="29" t="s">
        <v>130</v>
      </c>
      <c r="H863" s="29" t="s">
        <v>346</v>
      </c>
      <c r="I863" s="29" t="s">
        <v>100</v>
      </c>
      <c r="J863" s="29" t="s">
        <v>56</v>
      </c>
      <c r="K863" s="30" t="s">
        <v>101</v>
      </c>
    </row>
    <row r="864">
      <c r="A864" s="31">
        <v>25714.0</v>
      </c>
      <c r="B864" s="32">
        <v>91138.0</v>
      </c>
      <c r="C864" s="33" t="s">
        <v>94</v>
      </c>
      <c r="D864" s="33" t="s">
        <v>2070</v>
      </c>
      <c r="E864" s="33" t="s">
        <v>2068</v>
      </c>
      <c r="F864" s="33" t="s">
        <v>2071</v>
      </c>
      <c r="G864" s="33" t="s">
        <v>130</v>
      </c>
      <c r="H864" s="33" t="s">
        <v>172</v>
      </c>
      <c r="I864" s="33" t="s">
        <v>100</v>
      </c>
      <c r="J864" s="33" t="s">
        <v>44</v>
      </c>
      <c r="K864" s="34" t="s">
        <v>101</v>
      </c>
    </row>
    <row r="865">
      <c r="A865" s="27">
        <v>38550.0</v>
      </c>
      <c r="B865" s="28">
        <v>145618.0</v>
      </c>
      <c r="C865" s="29" t="s">
        <v>102</v>
      </c>
      <c r="D865" s="29" t="s">
        <v>1100</v>
      </c>
      <c r="E865" s="29" t="s">
        <v>2072</v>
      </c>
      <c r="F865" s="29" t="s">
        <v>2073</v>
      </c>
      <c r="G865" s="29" t="s">
        <v>468</v>
      </c>
      <c r="H865" s="29" t="s">
        <v>469</v>
      </c>
      <c r="I865" s="29" t="s">
        <v>100</v>
      </c>
      <c r="J865" s="29" t="s">
        <v>41</v>
      </c>
      <c r="K865" s="30" t="s">
        <v>101</v>
      </c>
    </row>
    <row r="866">
      <c r="A866" s="31">
        <v>16894.0</v>
      </c>
      <c r="B866" s="32">
        <v>112613.0</v>
      </c>
      <c r="C866" s="33" t="s">
        <v>102</v>
      </c>
      <c r="D866" s="33" t="s">
        <v>2074</v>
      </c>
      <c r="E866" s="33" t="s">
        <v>2075</v>
      </c>
      <c r="F866" s="33" t="s">
        <v>2076</v>
      </c>
      <c r="G866" s="33" t="s">
        <v>168</v>
      </c>
      <c r="H866" s="33" t="s">
        <v>169</v>
      </c>
      <c r="I866" s="33" t="s">
        <v>100</v>
      </c>
      <c r="J866" s="33" t="s">
        <v>41</v>
      </c>
      <c r="K866" s="34" t="s">
        <v>101</v>
      </c>
    </row>
    <row r="867">
      <c r="A867" s="27">
        <v>38807.0</v>
      </c>
      <c r="B867" s="28">
        <v>158042.0</v>
      </c>
      <c r="C867" s="29" t="s">
        <v>102</v>
      </c>
      <c r="D867" s="29" t="s">
        <v>387</v>
      </c>
      <c r="E867" s="29" t="s">
        <v>2077</v>
      </c>
      <c r="F867" s="29" t="s">
        <v>2078</v>
      </c>
      <c r="G867" s="29" t="s">
        <v>168</v>
      </c>
      <c r="H867" s="29" t="s">
        <v>169</v>
      </c>
      <c r="I867" s="29" t="s">
        <v>100</v>
      </c>
      <c r="J867" s="29" t="s">
        <v>41</v>
      </c>
      <c r="K867" s="30" t="s">
        <v>101</v>
      </c>
    </row>
    <row r="868">
      <c r="A868" s="31">
        <v>38478.0</v>
      </c>
      <c r="B868" s="32">
        <v>142848.0</v>
      </c>
      <c r="C868" s="33" t="s">
        <v>102</v>
      </c>
      <c r="D868" s="33" t="s">
        <v>132</v>
      </c>
      <c r="E868" s="33" t="s">
        <v>2079</v>
      </c>
      <c r="F868" s="33" t="s">
        <v>2080</v>
      </c>
      <c r="G868" s="33" t="s">
        <v>130</v>
      </c>
      <c r="H868" s="33" t="s">
        <v>459</v>
      </c>
      <c r="I868" s="33" t="s">
        <v>100</v>
      </c>
      <c r="J868" s="33" t="s">
        <v>41</v>
      </c>
      <c r="K868" s="34" t="s">
        <v>101</v>
      </c>
    </row>
    <row r="869">
      <c r="A869" s="27">
        <v>38335.0</v>
      </c>
      <c r="B869" s="28">
        <v>136650.0</v>
      </c>
      <c r="C869" s="29" t="s">
        <v>102</v>
      </c>
      <c r="D869" s="29" t="s">
        <v>109</v>
      </c>
      <c r="E869" s="29" t="s">
        <v>2079</v>
      </c>
      <c r="F869" s="29" t="s">
        <v>2081</v>
      </c>
      <c r="G869" s="29" t="s">
        <v>130</v>
      </c>
      <c r="H869" s="29" t="s">
        <v>459</v>
      </c>
      <c r="I869" s="29" t="s">
        <v>100</v>
      </c>
      <c r="J869" s="29" t="s">
        <v>41</v>
      </c>
      <c r="K869" s="30" t="s">
        <v>101</v>
      </c>
    </row>
    <row r="870">
      <c r="A870" s="31">
        <v>19862.0</v>
      </c>
      <c r="B870" s="32">
        <v>118016.0</v>
      </c>
      <c r="C870" s="33" t="s">
        <v>102</v>
      </c>
      <c r="D870" s="33" t="s">
        <v>2082</v>
      </c>
      <c r="E870" s="33" t="s">
        <v>2083</v>
      </c>
      <c r="F870" s="33" t="s">
        <v>2084</v>
      </c>
      <c r="G870" s="33" t="s">
        <v>135</v>
      </c>
      <c r="H870" s="33" t="s">
        <v>136</v>
      </c>
      <c r="I870" s="33" t="s">
        <v>100</v>
      </c>
      <c r="J870" s="33" t="s">
        <v>53</v>
      </c>
      <c r="K870" s="34" t="s">
        <v>101</v>
      </c>
    </row>
    <row r="871">
      <c r="A871" s="27">
        <v>38099.0</v>
      </c>
      <c r="B871" s="28">
        <v>128350.0</v>
      </c>
      <c r="C871" s="29" t="s">
        <v>102</v>
      </c>
      <c r="D871" s="29" t="s">
        <v>204</v>
      </c>
      <c r="E871" s="29" t="s">
        <v>2085</v>
      </c>
      <c r="F871" s="29" t="s">
        <v>2086</v>
      </c>
      <c r="G871" s="29" t="s">
        <v>130</v>
      </c>
      <c r="H871" s="29" t="s">
        <v>153</v>
      </c>
      <c r="I871" s="29" t="s">
        <v>100</v>
      </c>
      <c r="J871" s="29" t="s">
        <v>56</v>
      </c>
      <c r="K871" s="30" t="s">
        <v>101</v>
      </c>
    </row>
    <row r="872">
      <c r="A872" s="31">
        <v>38230.0</v>
      </c>
      <c r="B872" s="32">
        <v>132386.0</v>
      </c>
      <c r="C872" s="33" t="s">
        <v>102</v>
      </c>
      <c r="D872" s="33" t="s">
        <v>2087</v>
      </c>
      <c r="E872" s="33" t="s">
        <v>2085</v>
      </c>
      <c r="F872" s="33" t="s">
        <v>2088</v>
      </c>
      <c r="G872" s="33" t="s">
        <v>198</v>
      </c>
      <c r="H872" s="33" t="s">
        <v>353</v>
      </c>
      <c r="I872" s="33" t="s">
        <v>100</v>
      </c>
      <c r="J872" s="33" t="s">
        <v>47</v>
      </c>
      <c r="K872" s="34" t="s">
        <v>101</v>
      </c>
    </row>
    <row r="873">
      <c r="A873" s="27">
        <v>38847.0</v>
      </c>
      <c r="B873" s="28">
        <v>159633.0</v>
      </c>
      <c r="C873" s="29" t="s">
        <v>102</v>
      </c>
      <c r="D873" s="29" t="s">
        <v>245</v>
      </c>
      <c r="E873" s="29" t="s">
        <v>2089</v>
      </c>
      <c r="F873" s="29" t="s">
        <v>2090</v>
      </c>
      <c r="G873" s="29" t="s">
        <v>130</v>
      </c>
      <c r="H873" s="29" t="s">
        <v>346</v>
      </c>
      <c r="I873" s="29" t="s">
        <v>100</v>
      </c>
      <c r="J873" s="29" t="s">
        <v>41</v>
      </c>
      <c r="K873" s="30" t="s">
        <v>101</v>
      </c>
    </row>
    <row r="874">
      <c r="A874" s="31">
        <v>38356.0</v>
      </c>
      <c r="B874" s="32">
        <v>136820.0</v>
      </c>
      <c r="C874" s="33" t="s">
        <v>94</v>
      </c>
      <c r="D874" s="33" t="s">
        <v>1002</v>
      </c>
      <c r="E874" s="33" t="s">
        <v>2091</v>
      </c>
      <c r="F874" s="33" t="s">
        <v>2092</v>
      </c>
      <c r="G874" s="33" t="s">
        <v>130</v>
      </c>
      <c r="H874" s="33" t="s">
        <v>241</v>
      </c>
      <c r="I874" s="33" t="s">
        <v>100</v>
      </c>
      <c r="J874" s="33" t="s">
        <v>44</v>
      </c>
      <c r="K874" s="34" t="s">
        <v>101</v>
      </c>
    </row>
    <row r="875">
      <c r="A875" s="27">
        <v>7646.0</v>
      </c>
      <c r="B875" s="28">
        <v>116734.0</v>
      </c>
      <c r="C875" s="29" t="s">
        <v>102</v>
      </c>
      <c r="D875" s="29" t="s">
        <v>230</v>
      </c>
      <c r="E875" s="29" t="s">
        <v>2093</v>
      </c>
      <c r="F875" s="29" t="s">
        <v>2094</v>
      </c>
      <c r="G875" s="29" t="s">
        <v>221</v>
      </c>
      <c r="H875" s="29" t="s">
        <v>222</v>
      </c>
      <c r="I875" s="29" t="s">
        <v>100</v>
      </c>
      <c r="J875" s="29" t="s">
        <v>53</v>
      </c>
      <c r="K875" s="30" t="s">
        <v>101</v>
      </c>
    </row>
    <row r="876">
      <c r="A876" s="31">
        <v>25606.0</v>
      </c>
      <c r="B876" s="32">
        <v>162048.0</v>
      </c>
      <c r="C876" s="33" t="s">
        <v>102</v>
      </c>
      <c r="D876" s="33" t="s">
        <v>400</v>
      </c>
      <c r="E876" s="33" t="s">
        <v>2095</v>
      </c>
      <c r="F876" s="33" t="s">
        <v>2096</v>
      </c>
      <c r="G876" s="33" t="s">
        <v>468</v>
      </c>
      <c r="H876" s="33" t="s">
        <v>469</v>
      </c>
      <c r="I876" s="33" t="s">
        <v>100</v>
      </c>
      <c r="J876" s="33" t="s">
        <v>41</v>
      </c>
      <c r="K876" s="34" t="s">
        <v>101</v>
      </c>
    </row>
    <row r="877">
      <c r="A877" s="27">
        <v>38911.0</v>
      </c>
      <c r="B877" s="28">
        <v>162978.0</v>
      </c>
      <c r="C877" s="29" t="s">
        <v>94</v>
      </c>
      <c r="D877" s="29" t="s">
        <v>793</v>
      </c>
      <c r="E877" s="29" t="s">
        <v>2097</v>
      </c>
      <c r="F877" s="29" t="s">
        <v>2098</v>
      </c>
      <c r="G877" s="29" t="s">
        <v>98</v>
      </c>
      <c r="H877" s="29" t="s">
        <v>99</v>
      </c>
      <c r="I877" s="29" t="s">
        <v>100</v>
      </c>
      <c r="J877" s="29" t="s">
        <v>44</v>
      </c>
      <c r="K877" s="30" t="s">
        <v>101</v>
      </c>
    </row>
    <row r="878">
      <c r="A878" s="31">
        <v>25931.0</v>
      </c>
      <c r="B878" s="32">
        <v>111598.0</v>
      </c>
      <c r="C878" s="33" t="s">
        <v>102</v>
      </c>
      <c r="D878" s="33" t="s">
        <v>560</v>
      </c>
      <c r="E878" s="33" t="s">
        <v>2099</v>
      </c>
      <c r="F878" s="33" t="s">
        <v>2100</v>
      </c>
      <c r="G878" s="33" t="s">
        <v>398</v>
      </c>
      <c r="H878" s="33" t="s">
        <v>399</v>
      </c>
      <c r="I878" s="33" t="s">
        <v>100</v>
      </c>
      <c r="J878" s="33" t="s">
        <v>56</v>
      </c>
      <c r="K878" s="34" t="s">
        <v>101</v>
      </c>
    </row>
    <row r="879">
      <c r="A879" s="27">
        <v>16595.0</v>
      </c>
      <c r="B879" s="28">
        <v>124816.0</v>
      </c>
      <c r="C879" s="29" t="s">
        <v>94</v>
      </c>
      <c r="D879" s="29" t="s">
        <v>2101</v>
      </c>
      <c r="E879" s="29" t="s">
        <v>1861</v>
      </c>
      <c r="F879" s="29" t="s">
        <v>2102</v>
      </c>
      <c r="G879" s="29" t="s">
        <v>130</v>
      </c>
      <c r="H879" s="35" t="s">
        <v>131</v>
      </c>
      <c r="I879" s="29" t="s">
        <v>100</v>
      </c>
      <c r="J879" s="29" t="s">
        <v>44</v>
      </c>
      <c r="K879" s="30" t="s">
        <v>101</v>
      </c>
    </row>
    <row r="880">
      <c r="A880" s="31">
        <v>16594.0</v>
      </c>
      <c r="B880" s="32">
        <v>148832.0</v>
      </c>
      <c r="C880" s="33" t="s">
        <v>94</v>
      </c>
      <c r="D880" s="33" t="s">
        <v>944</v>
      </c>
      <c r="E880" s="33" t="s">
        <v>1861</v>
      </c>
      <c r="F880" s="33" t="s">
        <v>2103</v>
      </c>
      <c r="G880" s="33" t="s">
        <v>130</v>
      </c>
      <c r="H880" s="36" t="s">
        <v>131</v>
      </c>
      <c r="I880" s="33" t="s">
        <v>100</v>
      </c>
      <c r="J880" s="33" t="s">
        <v>65</v>
      </c>
      <c r="K880" s="34" t="s">
        <v>101</v>
      </c>
    </row>
    <row r="881">
      <c r="A881" s="27">
        <v>38299.0</v>
      </c>
      <c r="B881" s="28">
        <v>136298.0</v>
      </c>
      <c r="C881" s="29" t="s">
        <v>94</v>
      </c>
      <c r="D881" s="29" t="s">
        <v>384</v>
      </c>
      <c r="E881" s="29" t="s">
        <v>2104</v>
      </c>
      <c r="F881" s="29" t="s">
        <v>2105</v>
      </c>
      <c r="G881" s="29" t="s">
        <v>135</v>
      </c>
      <c r="H881" s="29" t="s">
        <v>136</v>
      </c>
      <c r="I881" s="29" t="s">
        <v>100</v>
      </c>
      <c r="J881" s="29" t="s">
        <v>44</v>
      </c>
      <c r="K881" s="30" t="s">
        <v>101</v>
      </c>
    </row>
    <row r="882">
      <c r="A882" s="31">
        <v>38810.0</v>
      </c>
      <c r="B882" s="32">
        <v>158045.0</v>
      </c>
      <c r="C882" s="33" t="s">
        <v>102</v>
      </c>
      <c r="D882" s="33" t="s">
        <v>773</v>
      </c>
      <c r="E882" s="33" t="s">
        <v>2106</v>
      </c>
      <c r="F882" s="33" t="s">
        <v>2107</v>
      </c>
      <c r="G882" s="33" t="s">
        <v>207</v>
      </c>
      <c r="H882" s="33" t="s">
        <v>208</v>
      </c>
      <c r="I882" s="33" t="s">
        <v>100</v>
      </c>
      <c r="J882" s="33" t="s">
        <v>435</v>
      </c>
      <c r="K882" s="34" t="s">
        <v>281</v>
      </c>
    </row>
    <row r="883">
      <c r="A883" s="27">
        <v>10903.0</v>
      </c>
      <c r="B883" s="28">
        <v>164084.0</v>
      </c>
      <c r="C883" s="29" t="s">
        <v>102</v>
      </c>
      <c r="D883" s="29" t="s">
        <v>204</v>
      </c>
      <c r="E883" s="29" t="s">
        <v>2108</v>
      </c>
      <c r="F883" s="29" t="s">
        <v>2109</v>
      </c>
      <c r="G883" s="29" t="s">
        <v>270</v>
      </c>
      <c r="H883" s="29" t="s">
        <v>374</v>
      </c>
      <c r="I883" s="29" t="s">
        <v>100</v>
      </c>
      <c r="J883" s="29" t="s">
        <v>41</v>
      </c>
      <c r="K883" s="30" t="s">
        <v>101</v>
      </c>
    </row>
    <row r="884">
      <c r="A884" s="31">
        <v>38904.0</v>
      </c>
      <c r="B884" s="32">
        <v>162968.0</v>
      </c>
      <c r="C884" s="33" t="s">
        <v>102</v>
      </c>
      <c r="D884" s="33" t="s">
        <v>2110</v>
      </c>
      <c r="E884" s="33" t="s">
        <v>2108</v>
      </c>
      <c r="F884" s="33" t="s">
        <v>2111</v>
      </c>
      <c r="G884" s="33" t="s">
        <v>270</v>
      </c>
      <c r="H884" s="33" t="s">
        <v>374</v>
      </c>
      <c r="I884" s="33" t="s">
        <v>100</v>
      </c>
      <c r="J884" s="33" t="s">
        <v>1340</v>
      </c>
      <c r="K884" s="34" t="s">
        <v>281</v>
      </c>
    </row>
    <row r="885">
      <c r="A885" s="27">
        <v>29170.0</v>
      </c>
      <c r="B885" s="28">
        <v>162959.0</v>
      </c>
      <c r="C885" s="29" t="s">
        <v>102</v>
      </c>
      <c r="D885" s="29" t="s">
        <v>2112</v>
      </c>
      <c r="E885" s="29" t="s">
        <v>2113</v>
      </c>
      <c r="F885" s="29" t="s">
        <v>2114</v>
      </c>
      <c r="G885" s="29" t="s">
        <v>176</v>
      </c>
      <c r="H885" s="29" t="s">
        <v>177</v>
      </c>
      <c r="I885" s="29" t="s">
        <v>100</v>
      </c>
      <c r="J885" s="29" t="s">
        <v>56</v>
      </c>
      <c r="K885" s="30" t="s">
        <v>101</v>
      </c>
    </row>
    <row r="886">
      <c r="A886" s="31">
        <v>16093.0</v>
      </c>
      <c r="B886" s="32">
        <v>120994.0</v>
      </c>
      <c r="C886" s="33" t="s">
        <v>94</v>
      </c>
      <c r="D886" s="33" t="s">
        <v>538</v>
      </c>
      <c r="E886" s="33" t="s">
        <v>2115</v>
      </c>
      <c r="F886" s="33" t="s">
        <v>2116</v>
      </c>
      <c r="G886" s="33" t="s">
        <v>130</v>
      </c>
      <c r="H886" s="36" t="s">
        <v>131</v>
      </c>
      <c r="I886" s="33" t="s">
        <v>100</v>
      </c>
      <c r="J886" s="33" t="s">
        <v>44</v>
      </c>
      <c r="K886" s="34" t="s">
        <v>101</v>
      </c>
    </row>
    <row r="887">
      <c r="A887" s="27">
        <v>38351.0</v>
      </c>
      <c r="B887" s="28">
        <v>136756.0</v>
      </c>
      <c r="C887" s="29" t="s">
        <v>102</v>
      </c>
      <c r="D887" s="29" t="s">
        <v>127</v>
      </c>
      <c r="E887" s="29" t="s">
        <v>2117</v>
      </c>
      <c r="F887" s="29" t="s">
        <v>2118</v>
      </c>
      <c r="G887" s="29" t="s">
        <v>135</v>
      </c>
      <c r="H887" s="29" t="s">
        <v>531</v>
      </c>
      <c r="I887" s="29" t="s">
        <v>100</v>
      </c>
      <c r="J887" s="29" t="s">
        <v>41</v>
      </c>
      <c r="K887" s="30" t="s">
        <v>101</v>
      </c>
    </row>
    <row r="888">
      <c r="A888" s="31">
        <v>7439.0</v>
      </c>
      <c r="B888" s="32">
        <v>132238.0</v>
      </c>
      <c r="C888" s="33" t="s">
        <v>94</v>
      </c>
      <c r="D888" s="33" t="s">
        <v>1757</v>
      </c>
      <c r="E888" s="33" t="s">
        <v>2119</v>
      </c>
      <c r="F888" s="33" t="s">
        <v>2120</v>
      </c>
      <c r="G888" s="33" t="s">
        <v>130</v>
      </c>
      <c r="H888" s="33" t="s">
        <v>153</v>
      </c>
      <c r="I888" s="33" t="s">
        <v>100</v>
      </c>
      <c r="J888" s="33" t="s">
        <v>65</v>
      </c>
      <c r="K888" s="34" t="s">
        <v>101</v>
      </c>
    </row>
    <row r="889">
      <c r="A889" s="27">
        <v>7424.0</v>
      </c>
      <c r="B889" s="28">
        <v>118666.0</v>
      </c>
      <c r="C889" s="29" t="s">
        <v>102</v>
      </c>
      <c r="D889" s="29" t="s">
        <v>2121</v>
      </c>
      <c r="E889" s="29" t="s">
        <v>2119</v>
      </c>
      <c r="F889" s="29" t="s">
        <v>2122</v>
      </c>
      <c r="G889" s="29" t="s">
        <v>130</v>
      </c>
      <c r="H889" s="29" t="s">
        <v>153</v>
      </c>
      <c r="I889" s="29" t="s">
        <v>100</v>
      </c>
      <c r="J889" s="29" t="s">
        <v>56</v>
      </c>
      <c r="K889" s="30" t="s">
        <v>101</v>
      </c>
    </row>
    <row r="890">
      <c r="A890" s="31">
        <v>38056.0</v>
      </c>
      <c r="B890" s="32">
        <v>118550.0</v>
      </c>
      <c r="C890" s="33" t="s">
        <v>94</v>
      </c>
      <c r="D890" s="33" t="s">
        <v>2123</v>
      </c>
      <c r="E890" s="33" t="s">
        <v>2124</v>
      </c>
      <c r="F890" s="33" t="s">
        <v>2125</v>
      </c>
      <c r="G890" s="33" t="s">
        <v>207</v>
      </c>
      <c r="H890" s="33" t="s">
        <v>208</v>
      </c>
      <c r="I890" s="33" t="s">
        <v>100</v>
      </c>
      <c r="J890" s="33" t="s">
        <v>44</v>
      </c>
      <c r="K890" s="34" t="s">
        <v>101</v>
      </c>
    </row>
    <row r="891">
      <c r="A891" s="27">
        <v>25297.0</v>
      </c>
      <c r="B891" s="28">
        <v>48019.0</v>
      </c>
      <c r="C891" s="29" t="s">
        <v>102</v>
      </c>
      <c r="D891" s="29" t="s">
        <v>392</v>
      </c>
      <c r="E891" s="29" t="s">
        <v>2124</v>
      </c>
      <c r="F891" s="29" t="s">
        <v>2126</v>
      </c>
      <c r="G891" s="29" t="s">
        <v>207</v>
      </c>
      <c r="H891" s="29" t="s">
        <v>208</v>
      </c>
      <c r="I891" s="29" t="s">
        <v>100</v>
      </c>
      <c r="J891" s="29" t="s">
        <v>41</v>
      </c>
      <c r="K891" s="30" t="s">
        <v>101</v>
      </c>
    </row>
    <row r="892">
      <c r="A892" s="31">
        <v>7295.0</v>
      </c>
      <c r="B892" s="32">
        <v>115593.0</v>
      </c>
      <c r="C892" s="33" t="s">
        <v>102</v>
      </c>
      <c r="D892" s="33" t="s">
        <v>392</v>
      </c>
      <c r="E892" s="33" t="s">
        <v>2127</v>
      </c>
      <c r="F892" s="33" t="s">
        <v>2128</v>
      </c>
      <c r="G892" s="33" t="s">
        <v>176</v>
      </c>
      <c r="H892" s="33" t="s">
        <v>177</v>
      </c>
      <c r="I892" s="33" t="s">
        <v>100</v>
      </c>
      <c r="J892" s="33" t="s">
        <v>59</v>
      </c>
      <c r="K892" s="34" t="s">
        <v>101</v>
      </c>
    </row>
    <row r="893">
      <c r="A893" s="27">
        <v>16351.0</v>
      </c>
      <c r="B893" s="28">
        <v>60591.0</v>
      </c>
      <c r="C893" s="29" t="s">
        <v>102</v>
      </c>
      <c r="D893" s="29" t="s">
        <v>2129</v>
      </c>
      <c r="E893" s="29" t="s">
        <v>2130</v>
      </c>
      <c r="F893" s="29" t="s">
        <v>2131</v>
      </c>
      <c r="G893" s="29" t="s">
        <v>270</v>
      </c>
      <c r="H893" s="29" t="s">
        <v>374</v>
      </c>
      <c r="I893" s="29" t="s">
        <v>100</v>
      </c>
      <c r="J893" s="29" t="s">
        <v>41</v>
      </c>
      <c r="K893" s="30" t="s">
        <v>101</v>
      </c>
    </row>
    <row r="894">
      <c r="A894" s="31">
        <v>38776.0</v>
      </c>
      <c r="B894" s="32">
        <v>158007.0</v>
      </c>
      <c r="C894" s="33" t="s">
        <v>102</v>
      </c>
      <c r="D894" s="33" t="s">
        <v>2132</v>
      </c>
      <c r="E894" s="33" t="s">
        <v>2133</v>
      </c>
      <c r="F894" s="33" t="s">
        <v>2134</v>
      </c>
      <c r="G894" s="33" t="s">
        <v>119</v>
      </c>
      <c r="H894" s="33" t="s">
        <v>120</v>
      </c>
      <c r="I894" s="33" t="s">
        <v>100</v>
      </c>
      <c r="J894" s="33" t="s">
        <v>280</v>
      </c>
      <c r="K894" s="34" t="s">
        <v>281</v>
      </c>
    </row>
    <row r="895">
      <c r="A895" s="27">
        <v>16371.0</v>
      </c>
      <c r="B895" s="28">
        <v>115709.0</v>
      </c>
      <c r="C895" s="29" t="s">
        <v>94</v>
      </c>
      <c r="D895" s="29" t="s">
        <v>482</v>
      </c>
      <c r="E895" s="29" t="s">
        <v>2133</v>
      </c>
      <c r="F895" s="29" t="s">
        <v>2135</v>
      </c>
      <c r="G895" s="29" t="s">
        <v>119</v>
      </c>
      <c r="H895" s="29" t="s">
        <v>120</v>
      </c>
      <c r="I895" s="29" t="s">
        <v>100</v>
      </c>
      <c r="J895" s="29" t="s">
        <v>44</v>
      </c>
      <c r="K895" s="30" t="s">
        <v>101</v>
      </c>
    </row>
    <row r="896">
      <c r="A896" s="31">
        <v>38964.0</v>
      </c>
      <c r="B896" s="32">
        <v>164091.0</v>
      </c>
      <c r="C896" s="33" t="s">
        <v>102</v>
      </c>
      <c r="D896" s="33" t="s">
        <v>477</v>
      </c>
      <c r="E896" s="33" t="s">
        <v>2136</v>
      </c>
      <c r="F896" s="33" t="s">
        <v>2137</v>
      </c>
      <c r="G896" s="33" t="s">
        <v>207</v>
      </c>
      <c r="H896" s="33" t="s">
        <v>208</v>
      </c>
      <c r="I896" s="33" t="s">
        <v>100</v>
      </c>
      <c r="J896" s="33" t="s">
        <v>41</v>
      </c>
      <c r="K896" s="34" t="s">
        <v>101</v>
      </c>
    </row>
    <row r="897">
      <c r="A897" s="27">
        <v>7071.0</v>
      </c>
      <c r="B897" s="28">
        <v>146941.0</v>
      </c>
      <c r="C897" s="29" t="s">
        <v>102</v>
      </c>
      <c r="D897" s="29" t="s">
        <v>2138</v>
      </c>
      <c r="E897" s="29" t="s">
        <v>2139</v>
      </c>
      <c r="F897" s="29" t="s">
        <v>2140</v>
      </c>
      <c r="G897" s="29" t="s">
        <v>130</v>
      </c>
      <c r="H897" s="35" t="s">
        <v>131</v>
      </c>
      <c r="I897" s="29" t="s">
        <v>100</v>
      </c>
      <c r="J897" s="29" t="s">
        <v>59</v>
      </c>
      <c r="K897" s="30" t="s">
        <v>101</v>
      </c>
    </row>
    <row r="898">
      <c r="A898" s="31">
        <v>38537.0</v>
      </c>
      <c r="B898" s="32">
        <v>145491.0</v>
      </c>
      <c r="C898" s="33" t="s">
        <v>102</v>
      </c>
      <c r="D898" s="33" t="s">
        <v>1739</v>
      </c>
      <c r="E898" s="33" t="s">
        <v>2141</v>
      </c>
      <c r="F898" s="33" t="s">
        <v>2142</v>
      </c>
      <c r="G898" s="33" t="s">
        <v>214</v>
      </c>
      <c r="H898" s="33" t="s">
        <v>215</v>
      </c>
      <c r="I898" s="33" t="s">
        <v>100</v>
      </c>
      <c r="J898" s="33" t="s">
        <v>56</v>
      </c>
      <c r="K898" s="34" t="s">
        <v>101</v>
      </c>
    </row>
    <row r="899">
      <c r="A899" s="27">
        <v>16105.0</v>
      </c>
      <c r="B899" s="28">
        <v>159640.0</v>
      </c>
      <c r="C899" s="29" t="s">
        <v>102</v>
      </c>
      <c r="D899" s="29" t="s">
        <v>776</v>
      </c>
      <c r="E899" s="29" t="s">
        <v>2143</v>
      </c>
      <c r="F899" s="29" t="s">
        <v>2144</v>
      </c>
      <c r="G899" s="29" t="s">
        <v>125</v>
      </c>
      <c r="H899" s="29" t="s">
        <v>126</v>
      </c>
      <c r="I899" s="29" t="s">
        <v>100</v>
      </c>
      <c r="J899" s="29" t="s">
        <v>56</v>
      </c>
      <c r="K899" s="30" t="s">
        <v>101</v>
      </c>
    </row>
    <row r="900">
      <c r="A900" s="31">
        <v>16430.0</v>
      </c>
      <c r="B900" s="32">
        <v>112105.0</v>
      </c>
      <c r="C900" s="33" t="s">
        <v>102</v>
      </c>
      <c r="D900" s="33" t="s">
        <v>1052</v>
      </c>
      <c r="E900" s="33" t="s">
        <v>2143</v>
      </c>
      <c r="F900" s="33" t="s">
        <v>2145</v>
      </c>
      <c r="G900" s="33" t="s">
        <v>257</v>
      </c>
      <c r="H900" s="33" t="s">
        <v>258</v>
      </c>
      <c r="I900" s="33" t="s">
        <v>100</v>
      </c>
      <c r="J900" s="33" t="s">
        <v>56</v>
      </c>
      <c r="K900" s="34" t="s">
        <v>101</v>
      </c>
    </row>
    <row r="901">
      <c r="A901" s="27">
        <v>38846.0</v>
      </c>
      <c r="B901" s="28">
        <v>159632.0</v>
      </c>
      <c r="C901" s="29" t="s">
        <v>102</v>
      </c>
      <c r="D901" s="29" t="s">
        <v>1158</v>
      </c>
      <c r="E901" s="29" t="s">
        <v>2146</v>
      </c>
      <c r="F901" s="29" t="s">
        <v>2147</v>
      </c>
      <c r="G901" s="29" t="s">
        <v>270</v>
      </c>
      <c r="H901" s="29" t="s">
        <v>374</v>
      </c>
      <c r="I901" s="29" t="s">
        <v>100</v>
      </c>
      <c r="J901" s="29" t="s">
        <v>435</v>
      </c>
      <c r="K901" s="30" t="s">
        <v>281</v>
      </c>
    </row>
    <row r="902">
      <c r="A902" s="31">
        <v>16471.0</v>
      </c>
      <c r="B902" s="32">
        <v>158031.0</v>
      </c>
      <c r="C902" s="33" t="s">
        <v>102</v>
      </c>
      <c r="D902" s="33" t="s">
        <v>2148</v>
      </c>
      <c r="E902" s="33" t="s">
        <v>2149</v>
      </c>
      <c r="F902" s="33" t="s">
        <v>2150</v>
      </c>
      <c r="G902" s="33" t="s">
        <v>135</v>
      </c>
      <c r="H902" s="33" t="s">
        <v>294</v>
      </c>
      <c r="I902" s="33" t="s">
        <v>100</v>
      </c>
      <c r="J902" s="33" t="s">
        <v>53</v>
      </c>
      <c r="K902" s="34" t="s">
        <v>101</v>
      </c>
    </row>
    <row r="903">
      <c r="A903" s="27">
        <v>7752.0</v>
      </c>
      <c r="B903" s="28">
        <v>146861.0</v>
      </c>
      <c r="C903" s="29" t="s">
        <v>94</v>
      </c>
      <c r="D903" s="29" t="s">
        <v>1230</v>
      </c>
      <c r="E903" s="29" t="s">
        <v>2151</v>
      </c>
      <c r="F903" s="29" t="s">
        <v>2152</v>
      </c>
      <c r="G903" s="29" t="s">
        <v>130</v>
      </c>
      <c r="H903" s="29" t="s">
        <v>172</v>
      </c>
      <c r="I903" s="29" t="s">
        <v>100</v>
      </c>
      <c r="J903" s="29" t="s">
        <v>68</v>
      </c>
      <c r="K903" s="30" t="s">
        <v>101</v>
      </c>
    </row>
    <row r="904">
      <c r="A904" s="31">
        <v>16559.0</v>
      </c>
      <c r="B904" s="32">
        <v>128760.0</v>
      </c>
      <c r="C904" s="33" t="s">
        <v>102</v>
      </c>
      <c r="D904" s="33" t="s">
        <v>111</v>
      </c>
      <c r="E904" s="33" t="s">
        <v>2153</v>
      </c>
      <c r="F904" s="33" t="s">
        <v>2154</v>
      </c>
      <c r="G904" s="33" t="s">
        <v>185</v>
      </c>
      <c r="H904" s="33" t="s">
        <v>186</v>
      </c>
      <c r="I904" s="33" t="s">
        <v>100</v>
      </c>
      <c r="J904" s="33" t="s">
        <v>56</v>
      </c>
      <c r="K904" s="34" t="s">
        <v>101</v>
      </c>
    </row>
    <row r="905">
      <c r="A905" s="27">
        <v>16854.0</v>
      </c>
      <c r="B905" s="28">
        <v>16444.0</v>
      </c>
      <c r="C905" s="29" t="s">
        <v>102</v>
      </c>
      <c r="D905" s="29" t="s">
        <v>400</v>
      </c>
      <c r="E905" s="29" t="s">
        <v>2155</v>
      </c>
      <c r="F905" s="29" t="s">
        <v>2156</v>
      </c>
      <c r="G905" s="29" t="s">
        <v>181</v>
      </c>
      <c r="H905" s="29" t="s">
        <v>229</v>
      </c>
      <c r="I905" s="29" t="s">
        <v>100</v>
      </c>
      <c r="J905" s="29" t="s">
        <v>41</v>
      </c>
      <c r="K905" s="30" t="s">
        <v>101</v>
      </c>
    </row>
    <row r="906">
      <c r="A906" s="31">
        <v>16519.0</v>
      </c>
      <c r="B906" s="32">
        <v>115850.0</v>
      </c>
      <c r="C906" s="33" t="s">
        <v>102</v>
      </c>
      <c r="D906" s="33" t="s">
        <v>891</v>
      </c>
      <c r="E906" s="33" t="s">
        <v>2157</v>
      </c>
      <c r="F906" s="33" t="s">
        <v>2158</v>
      </c>
      <c r="G906" s="33" t="s">
        <v>207</v>
      </c>
      <c r="H906" s="33" t="s">
        <v>208</v>
      </c>
      <c r="I906" s="33" t="s">
        <v>100</v>
      </c>
      <c r="J906" s="33" t="s">
        <v>53</v>
      </c>
      <c r="K906" s="34" t="s">
        <v>101</v>
      </c>
    </row>
    <row r="907">
      <c r="A907" s="27">
        <v>38403.0</v>
      </c>
      <c r="B907" s="28">
        <v>139274.0</v>
      </c>
      <c r="C907" s="29" t="s">
        <v>102</v>
      </c>
      <c r="D907" s="29" t="s">
        <v>2074</v>
      </c>
      <c r="E907" s="29" t="s">
        <v>2159</v>
      </c>
      <c r="F907" s="29" t="s">
        <v>2160</v>
      </c>
      <c r="G907" s="29" t="s">
        <v>135</v>
      </c>
      <c r="H907" s="29" t="s">
        <v>294</v>
      </c>
      <c r="I907" s="29" t="s">
        <v>100</v>
      </c>
      <c r="J907" s="29" t="s">
        <v>41</v>
      </c>
      <c r="K907" s="30" t="s">
        <v>101</v>
      </c>
    </row>
    <row r="908">
      <c r="A908" s="31">
        <v>15911.0</v>
      </c>
      <c r="B908" s="32">
        <v>67316.0</v>
      </c>
      <c r="C908" s="33" t="s">
        <v>102</v>
      </c>
      <c r="D908" s="33" t="s">
        <v>272</v>
      </c>
      <c r="E908" s="33" t="s">
        <v>2161</v>
      </c>
      <c r="F908" s="33" t="s">
        <v>2162</v>
      </c>
      <c r="G908" s="33" t="s">
        <v>135</v>
      </c>
      <c r="H908" s="33" t="s">
        <v>203</v>
      </c>
      <c r="I908" s="33" t="s">
        <v>100</v>
      </c>
      <c r="J908" s="33" t="s">
        <v>56</v>
      </c>
      <c r="K908" s="34" t="s">
        <v>101</v>
      </c>
    </row>
    <row r="909">
      <c r="A909" s="27">
        <v>18884.0</v>
      </c>
      <c r="B909" s="28">
        <v>158023.0</v>
      </c>
      <c r="C909" s="29" t="s">
        <v>102</v>
      </c>
      <c r="D909" s="29" t="s">
        <v>204</v>
      </c>
      <c r="E909" s="29" t="s">
        <v>2163</v>
      </c>
      <c r="F909" s="29" t="s">
        <v>2164</v>
      </c>
      <c r="G909" s="29" t="s">
        <v>143</v>
      </c>
      <c r="H909" s="29" t="s">
        <v>144</v>
      </c>
      <c r="I909" s="29" t="s">
        <v>100</v>
      </c>
      <c r="J909" s="29" t="s">
        <v>53</v>
      </c>
      <c r="K909" s="30" t="s">
        <v>101</v>
      </c>
    </row>
    <row r="910">
      <c r="A910" s="31">
        <v>7679.0</v>
      </c>
      <c r="B910" s="32">
        <v>117043.0</v>
      </c>
      <c r="C910" s="33" t="s">
        <v>94</v>
      </c>
      <c r="D910" s="33" t="s">
        <v>2165</v>
      </c>
      <c r="E910" s="33" t="s">
        <v>2166</v>
      </c>
      <c r="F910" s="33" t="s">
        <v>2167</v>
      </c>
      <c r="G910" s="33" t="s">
        <v>398</v>
      </c>
      <c r="H910" s="33" t="s">
        <v>399</v>
      </c>
      <c r="I910" s="33" t="s">
        <v>100</v>
      </c>
      <c r="J910" s="33" t="s">
        <v>68</v>
      </c>
      <c r="K910" s="34" t="s">
        <v>101</v>
      </c>
    </row>
    <row r="911">
      <c r="A911" s="27">
        <v>7670.0</v>
      </c>
      <c r="B911" s="28">
        <v>117042.0</v>
      </c>
      <c r="C911" s="29" t="s">
        <v>102</v>
      </c>
      <c r="D911" s="29" t="s">
        <v>2168</v>
      </c>
      <c r="E911" s="29" t="s">
        <v>2166</v>
      </c>
      <c r="F911" s="29" t="s">
        <v>2169</v>
      </c>
      <c r="G911" s="29" t="s">
        <v>398</v>
      </c>
      <c r="H911" s="29" t="s">
        <v>399</v>
      </c>
      <c r="I911" s="29" t="s">
        <v>100</v>
      </c>
      <c r="J911" s="29" t="s">
        <v>59</v>
      </c>
      <c r="K911" s="30" t="s">
        <v>101</v>
      </c>
    </row>
    <row r="912">
      <c r="A912" s="31">
        <v>38530.0</v>
      </c>
      <c r="B912" s="32">
        <v>145415.0</v>
      </c>
      <c r="C912" s="33" t="s">
        <v>102</v>
      </c>
      <c r="D912" s="33" t="s">
        <v>127</v>
      </c>
      <c r="E912" s="33" t="s">
        <v>2170</v>
      </c>
      <c r="F912" s="33" t="s">
        <v>2171</v>
      </c>
      <c r="G912" s="33" t="s">
        <v>221</v>
      </c>
      <c r="H912" s="33" t="s">
        <v>222</v>
      </c>
      <c r="I912" s="33" t="s">
        <v>100</v>
      </c>
      <c r="J912" s="33" t="s">
        <v>41</v>
      </c>
      <c r="K912" s="34" t="s">
        <v>101</v>
      </c>
    </row>
    <row r="913">
      <c r="A913" s="27">
        <v>38547.0</v>
      </c>
      <c r="B913" s="28">
        <v>145579.0</v>
      </c>
      <c r="C913" s="29" t="s">
        <v>102</v>
      </c>
      <c r="D913" s="29" t="s">
        <v>2172</v>
      </c>
      <c r="E913" s="29" t="s">
        <v>2173</v>
      </c>
      <c r="F913" s="29" t="s">
        <v>2174</v>
      </c>
      <c r="G913" s="29" t="s">
        <v>130</v>
      </c>
      <c r="H913" s="29" t="s">
        <v>241</v>
      </c>
      <c r="I913" s="29" t="s">
        <v>100</v>
      </c>
      <c r="J913" s="29" t="s">
        <v>53</v>
      </c>
      <c r="K913" s="30" t="s">
        <v>101</v>
      </c>
    </row>
    <row r="914">
      <c r="A914" s="31">
        <v>38134.0</v>
      </c>
      <c r="B914" s="32">
        <v>129776.0</v>
      </c>
      <c r="C914" s="33" t="s">
        <v>102</v>
      </c>
      <c r="D914" s="33" t="s">
        <v>226</v>
      </c>
      <c r="E914" s="33" t="s">
        <v>204</v>
      </c>
      <c r="F914" s="33" t="s">
        <v>2175</v>
      </c>
      <c r="G914" s="33" t="s">
        <v>331</v>
      </c>
      <c r="H914" s="33" t="s">
        <v>332</v>
      </c>
      <c r="I914" s="33" t="s">
        <v>100</v>
      </c>
      <c r="J914" s="33" t="s">
        <v>41</v>
      </c>
      <c r="K914" s="34" t="s">
        <v>101</v>
      </c>
    </row>
    <row r="915">
      <c r="A915" s="27">
        <v>16327.0</v>
      </c>
      <c r="B915" s="28">
        <v>116736.0</v>
      </c>
      <c r="C915" s="29" t="s">
        <v>102</v>
      </c>
      <c r="D915" s="29" t="s">
        <v>261</v>
      </c>
      <c r="E915" s="29" t="s">
        <v>204</v>
      </c>
      <c r="F915" s="29" t="s">
        <v>2176</v>
      </c>
      <c r="G915" s="29" t="s">
        <v>164</v>
      </c>
      <c r="H915" s="29" t="s">
        <v>165</v>
      </c>
      <c r="I915" s="29" t="s">
        <v>100</v>
      </c>
      <c r="J915" s="29" t="s">
        <v>56</v>
      </c>
      <c r="K915" s="30" t="s">
        <v>101</v>
      </c>
    </row>
    <row r="916">
      <c r="A916" s="31">
        <v>38936.0</v>
      </c>
      <c r="B916" s="32">
        <v>164057.0</v>
      </c>
      <c r="C916" s="33" t="s">
        <v>94</v>
      </c>
      <c r="D916" s="33" t="s">
        <v>2177</v>
      </c>
      <c r="E916" s="33" t="s">
        <v>204</v>
      </c>
      <c r="F916" s="33" t="s">
        <v>2178</v>
      </c>
      <c r="G916" s="33" t="s">
        <v>331</v>
      </c>
      <c r="H916" s="33" t="s">
        <v>332</v>
      </c>
      <c r="I916" s="33" t="s">
        <v>100</v>
      </c>
      <c r="J916" s="33" t="s">
        <v>44</v>
      </c>
      <c r="K916" s="34" t="s">
        <v>101</v>
      </c>
    </row>
    <row r="917">
      <c r="A917" s="27">
        <v>38513.0</v>
      </c>
      <c r="B917" s="28">
        <v>144573.0</v>
      </c>
      <c r="C917" s="29" t="s">
        <v>94</v>
      </c>
      <c r="D917" s="29" t="s">
        <v>1220</v>
      </c>
      <c r="E917" s="29" t="s">
        <v>2179</v>
      </c>
      <c r="F917" s="29" t="s">
        <v>2180</v>
      </c>
      <c r="G917" s="29" t="s">
        <v>323</v>
      </c>
      <c r="H917" s="29" t="s">
        <v>417</v>
      </c>
      <c r="I917" s="29" t="s">
        <v>100</v>
      </c>
      <c r="J917" s="29" t="s">
        <v>44</v>
      </c>
      <c r="K917" s="30" t="s">
        <v>101</v>
      </c>
    </row>
    <row r="918">
      <c r="A918" s="31">
        <v>25452.0</v>
      </c>
      <c r="B918" s="32">
        <v>63266.0</v>
      </c>
      <c r="C918" s="33" t="s">
        <v>102</v>
      </c>
      <c r="D918" s="33" t="s">
        <v>1011</v>
      </c>
      <c r="E918" s="33" t="s">
        <v>2181</v>
      </c>
      <c r="F918" s="33" t="s">
        <v>2182</v>
      </c>
      <c r="G918" s="33" t="s">
        <v>214</v>
      </c>
      <c r="H918" s="33" t="s">
        <v>215</v>
      </c>
      <c r="I918" s="33" t="s">
        <v>100</v>
      </c>
      <c r="J918" s="33" t="s">
        <v>53</v>
      </c>
      <c r="K918" s="34" t="s">
        <v>101</v>
      </c>
    </row>
    <row r="919">
      <c r="A919" s="27">
        <v>38831.0</v>
      </c>
      <c r="B919" s="28">
        <v>159617.0</v>
      </c>
      <c r="C919" s="29" t="s">
        <v>94</v>
      </c>
      <c r="D919" s="29" t="s">
        <v>2183</v>
      </c>
      <c r="E919" s="29" t="s">
        <v>2184</v>
      </c>
      <c r="F919" s="29" t="s">
        <v>2185</v>
      </c>
      <c r="G919" s="29" t="s">
        <v>207</v>
      </c>
      <c r="H919" s="29" t="s">
        <v>208</v>
      </c>
      <c r="I919" s="29" t="s">
        <v>100</v>
      </c>
      <c r="J919" s="29" t="s">
        <v>901</v>
      </c>
      <c r="K919" s="30" t="s">
        <v>281</v>
      </c>
    </row>
    <row r="920">
      <c r="A920" s="31">
        <v>16141.0</v>
      </c>
      <c r="B920" s="32">
        <v>136288.0</v>
      </c>
      <c r="C920" s="33" t="s">
        <v>94</v>
      </c>
      <c r="D920" s="33" t="s">
        <v>306</v>
      </c>
      <c r="E920" s="33" t="s">
        <v>2186</v>
      </c>
      <c r="F920" s="33" t="s">
        <v>2187</v>
      </c>
      <c r="G920" s="33" t="s">
        <v>741</v>
      </c>
      <c r="H920" s="33" t="s">
        <v>742</v>
      </c>
      <c r="I920" s="33" t="s">
        <v>100</v>
      </c>
      <c r="J920" s="33" t="s">
        <v>44</v>
      </c>
      <c r="K920" s="34" t="s">
        <v>101</v>
      </c>
    </row>
    <row r="921">
      <c r="A921" s="27">
        <v>7827.0</v>
      </c>
      <c r="B921" s="28">
        <v>99230.0</v>
      </c>
      <c r="C921" s="29" t="s">
        <v>94</v>
      </c>
      <c r="D921" s="29" t="s">
        <v>1946</v>
      </c>
      <c r="E921" s="29" t="s">
        <v>2188</v>
      </c>
      <c r="F921" s="29" t="s">
        <v>2189</v>
      </c>
      <c r="G921" s="29" t="s">
        <v>198</v>
      </c>
      <c r="H921" s="29" t="s">
        <v>328</v>
      </c>
      <c r="I921" s="29" t="s">
        <v>100</v>
      </c>
      <c r="J921" s="29" t="s">
        <v>44</v>
      </c>
      <c r="K921" s="30" t="s">
        <v>101</v>
      </c>
    </row>
    <row r="922">
      <c r="A922" s="31">
        <v>25478.0</v>
      </c>
      <c r="B922" s="32">
        <v>65825.0</v>
      </c>
      <c r="C922" s="33" t="s">
        <v>94</v>
      </c>
      <c r="D922" s="33" t="s">
        <v>606</v>
      </c>
      <c r="E922" s="33" t="s">
        <v>2190</v>
      </c>
      <c r="F922" s="33" t="s">
        <v>2191</v>
      </c>
      <c r="G922" s="33" t="s">
        <v>190</v>
      </c>
      <c r="H922" s="33" t="s">
        <v>191</v>
      </c>
      <c r="I922" s="33" t="s">
        <v>100</v>
      </c>
      <c r="J922" s="33" t="s">
        <v>62</v>
      </c>
      <c r="K922" s="34" t="s">
        <v>101</v>
      </c>
    </row>
    <row r="923">
      <c r="A923" s="27">
        <v>25479.0</v>
      </c>
      <c r="B923" s="28">
        <v>162953.0</v>
      </c>
      <c r="C923" s="29" t="s">
        <v>102</v>
      </c>
      <c r="D923" s="29" t="s">
        <v>255</v>
      </c>
      <c r="E923" s="29" t="s">
        <v>2190</v>
      </c>
      <c r="F923" s="29" t="s">
        <v>2192</v>
      </c>
      <c r="G923" s="29" t="s">
        <v>190</v>
      </c>
      <c r="H923" s="29" t="s">
        <v>317</v>
      </c>
      <c r="I923" s="29" t="s">
        <v>100</v>
      </c>
      <c r="J923" s="29" t="s">
        <v>53</v>
      </c>
      <c r="K923" s="30" t="s">
        <v>101</v>
      </c>
    </row>
    <row r="924">
      <c r="A924" s="31">
        <v>38569.0</v>
      </c>
      <c r="B924" s="32">
        <v>146876.0</v>
      </c>
      <c r="C924" s="33" t="s">
        <v>102</v>
      </c>
      <c r="D924" s="33" t="s">
        <v>405</v>
      </c>
      <c r="E924" s="33" t="s">
        <v>2193</v>
      </c>
      <c r="F924" s="33" t="s">
        <v>2194</v>
      </c>
      <c r="G924" s="33" t="s">
        <v>468</v>
      </c>
      <c r="H924" s="33" t="s">
        <v>469</v>
      </c>
      <c r="I924" s="33" t="s">
        <v>100</v>
      </c>
      <c r="J924" s="33" t="s">
        <v>41</v>
      </c>
      <c r="K924" s="34" t="s">
        <v>101</v>
      </c>
    </row>
    <row r="925">
      <c r="A925" s="27">
        <v>46010.0</v>
      </c>
      <c r="B925" s="28">
        <v>183182.0</v>
      </c>
      <c r="C925" s="29" t="s">
        <v>102</v>
      </c>
      <c r="D925" s="29" t="s">
        <v>1336</v>
      </c>
      <c r="E925" s="29" t="s">
        <v>2195</v>
      </c>
      <c r="F925" s="29" t="s">
        <v>2196</v>
      </c>
      <c r="G925" s="29" t="s">
        <v>298</v>
      </c>
      <c r="H925" s="29" t="s">
        <v>299</v>
      </c>
      <c r="I925" s="29" t="s">
        <v>100</v>
      </c>
      <c r="J925" s="29" t="s">
        <v>280</v>
      </c>
      <c r="K925" s="30" t="s">
        <v>281</v>
      </c>
    </row>
    <row r="926">
      <c r="A926" s="31">
        <v>38749.0</v>
      </c>
      <c r="B926" s="32">
        <v>155273.0</v>
      </c>
      <c r="C926" s="33" t="s">
        <v>102</v>
      </c>
      <c r="D926" s="33" t="s">
        <v>571</v>
      </c>
      <c r="E926" s="33" t="s">
        <v>2197</v>
      </c>
      <c r="F926" s="33" t="s">
        <v>2198</v>
      </c>
      <c r="G926" s="33" t="s">
        <v>148</v>
      </c>
      <c r="H926" s="33" t="s">
        <v>149</v>
      </c>
      <c r="I926" s="33" t="s">
        <v>100</v>
      </c>
      <c r="J926" s="33" t="s">
        <v>47</v>
      </c>
      <c r="K926" s="34" t="s">
        <v>101</v>
      </c>
    </row>
    <row r="927">
      <c r="A927" s="27">
        <v>38772.0</v>
      </c>
      <c r="B927" s="28">
        <v>158003.0</v>
      </c>
      <c r="C927" s="29" t="s">
        <v>102</v>
      </c>
      <c r="D927" s="29" t="s">
        <v>405</v>
      </c>
      <c r="E927" s="29" t="s">
        <v>2199</v>
      </c>
      <c r="F927" s="29" t="s">
        <v>2200</v>
      </c>
      <c r="G927" s="29" t="s">
        <v>221</v>
      </c>
      <c r="H927" s="29" t="s">
        <v>222</v>
      </c>
      <c r="I927" s="29" t="s">
        <v>100</v>
      </c>
      <c r="J927" s="29" t="s">
        <v>435</v>
      </c>
      <c r="K927" s="30" t="s">
        <v>281</v>
      </c>
    </row>
    <row r="928">
      <c r="A928" s="31">
        <v>38526.0</v>
      </c>
      <c r="B928" s="32">
        <v>144847.0</v>
      </c>
      <c r="C928" s="33" t="s">
        <v>94</v>
      </c>
      <c r="D928" s="33" t="s">
        <v>2201</v>
      </c>
      <c r="E928" s="33" t="s">
        <v>2202</v>
      </c>
      <c r="F928" s="33" t="s">
        <v>2203</v>
      </c>
      <c r="G928" s="33" t="s">
        <v>130</v>
      </c>
      <c r="H928" s="33" t="s">
        <v>244</v>
      </c>
      <c r="I928" s="33" t="s">
        <v>100</v>
      </c>
      <c r="J928" s="33" t="s">
        <v>901</v>
      </c>
      <c r="K928" s="34" t="s">
        <v>101</v>
      </c>
    </row>
    <row r="929">
      <c r="A929" s="27">
        <v>25250.0</v>
      </c>
      <c r="B929" s="28">
        <v>46692.0</v>
      </c>
      <c r="C929" s="29" t="s">
        <v>94</v>
      </c>
      <c r="D929" s="29" t="s">
        <v>1429</v>
      </c>
      <c r="E929" s="29" t="s">
        <v>2204</v>
      </c>
      <c r="F929" s="29" t="s">
        <v>2205</v>
      </c>
      <c r="G929" s="29" t="s">
        <v>185</v>
      </c>
      <c r="H929" s="29" t="s">
        <v>186</v>
      </c>
      <c r="I929" s="29" t="s">
        <v>100</v>
      </c>
      <c r="J929" s="29" t="s">
        <v>65</v>
      </c>
      <c r="K929" s="30" t="s">
        <v>101</v>
      </c>
    </row>
    <row r="930">
      <c r="A930" s="31">
        <v>25063.0</v>
      </c>
      <c r="B930" s="32">
        <v>36002.0</v>
      </c>
      <c r="C930" s="33" t="s">
        <v>102</v>
      </c>
      <c r="D930" s="33" t="s">
        <v>2206</v>
      </c>
      <c r="E930" s="33" t="s">
        <v>2204</v>
      </c>
      <c r="F930" s="33" t="s">
        <v>2207</v>
      </c>
      <c r="G930" s="33" t="s">
        <v>185</v>
      </c>
      <c r="H930" s="33" t="s">
        <v>186</v>
      </c>
      <c r="I930" s="33" t="s">
        <v>100</v>
      </c>
      <c r="J930" s="33" t="s">
        <v>56</v>
      </c>
      <c r="K930" s="34" t="s">
        <v>101</v>
      </c>
    </row>
    <row r="931">
      <c r="A931" s="27">
        <v>7991.0</v>
      </c>
      <c r="B931" s="28">
        <v>13682.0</v>
      </c>
      <c r="C931" s="29" t="s">
        <v>94</v>
      </c>
      <c r="D931" s="29" t="s">
        <v>2208</v>
      </c>
      <c r="E931" s="29" t="s">
        <v>2209</v>
      </c>
      <c r="F931" s="29" t="s">
        <v>2210</v>
      </c>
      <c r="G931" s="29" t="s">
        <v>130</v>
      </c>
      <c r="H931" s="29" t="s">
        <v>172</v>
      </c>
      <c r="I931" s="29" t="s">
        <v>100</v>
      </c>
      <c r="J931" s="29" t="s">
        <v>65</v>
      </c>
      <c r="K931" s="30" t="s">
        <v>101</v>
      </c>
    </row>
    <row r="932">
      <c r="A932" s="31">
        <v>13606.0</v>
      </c>
      <c r="B932" s="32">
        <v>116735.0</v>
      </c>
      <c r="C932" s="33" t="s">
        <v>94</v>
      </c>
      <c r="D932" s="33" t="s">
        <v>490</v>
      </c>
      <c r="E932" s="33" t="s">
        <v>2211</v>
      </c>
      <c r="F932" s="33" t="s">
        <v>2212</v>
      </c>
      <c r="G932" s="33" t="s">
        <v>164</v>
      </c>
      <c r="H932" s="33" t="s">
        <v>165</v>
      </c>
      <c r="I932" s="33" t="s">
        <v>100</v>
      </c>
      <c r="J932" s="33" t="s">
        <v>65</v>
      </c>
      <c r="K932" s="34" t="s">
        <v>101</v>
      </c>
    </row>
    <row r="933">
      <c r="A933" s="27">
        <v>10678.0</v>
      </c>
      <c r="B933" s="28">
        <v>146896.0</v>
      </c>
      <c r="C933" s="29" t="s">
        <v>102</v>
      </c>
      <c r="D933" s="29" t="s">
        <v>1739</v>
      </c>
      <c r="E933" s="29" t="s">
        <v>2213</v>
      </c>
      <c r="F933" s="29" t="s">
        <v>2214</v>
      </c>
      <c r="G933" s="29" t="s">
        <v>135</v>
      </c>
      <c r="H933" s="29" t="s">
        <v>136</v>
      </c>
      <c r="I933" s="29" t="s">
        <v>100</v>
      </c>
      <c r="J933" s="29" t="s">
        <v>41</v>
      </c>
      <c r="K933" s="30" t="s">
        <v>101</v>
      </c>
    </row>
    <row r="934">
      <c r="A934" s="31">
        <v>38759.0</v>
      </c>
      <c r="B934" s="32">
        <v>155284.0</v>
      </c>
      <c r="C934" s="33" t="s">
        <v>94</v>
      </c>
      <c r="D934" s="33" t="s">
        <v>2215</v>
      </c>
      <c r="E934" s="33" t="s">
        <v>2216</v>
      </c>
      <c r="F934" s="33" t="s">
        <v>2217</v>
      </c>
      <c r="G934" s="33" t="s">
        <v>207</v>
      </c>
      <c r="H934" s="33" t="s">
        <v>208</v>
      </c>
      <c r="I934" s="33" t="s">
        <v>100</v>
      </c>
      <c r="J934" s="33" t="s">
        <v>290</v>
      </c>
      <c r="K934" s="34" t="s">
        <v>281</v>
      </c>
    </row>
    <row r="935">
      <c r="A935" s="27">
        <v>7738.0</v>
      </c>
      <c r="B935" s="28">
        <v>148826.0</v>
      </c>
      <c r="C935" s="29" t="s">
        <v>102</v>
      </c>
      <c r="D935" s="29" t="s">
        <v>465</v>
      </c>
      <c r="E935" s="29" t="s">
        <v>2218</v>
      </c>
      <c r="F935" s="29" t="s">
        <v>2219</v>
      </c>
      <c r="G935" s="29" t="s">
        <v>323</v>
      </c>
      <c r="H935" s="29" t="s">
        <v>417</v>
      </c>
      <c r="I935" s="29" t="s">
        <v>100</v>
      </c>
      <c r="J935" s="29" t="s">
        <v>56</v>
      </c>
      <c r="K935" s="30" t="s">
        <v>101</v>
      </c>
    </row>
    <row r="936">
      <c r="A936" s="31">
        <v>38149.0</v>
      </c>
      <c r="B936" s="32">
        <v>129876.0</v>
      </c>
      <c r="C936" s="33" t="s">
        <v>102</v>
      </c>
      <c r="D936" s="33" t="s">
        <v>1513</v>
      </c>
      <c r="E936" s="33" t="s">
        <v>2220</v>
      </c>
      <c r="F936" s="33" t="s">
        <v>2221</v>
      </c>
      <c r="G936" s="33" t="s">
        <v>221</v>
      </c>
      <c r="H936" s="33" t="s">
        <v>222</v>
      </c>
      <c r="I936" s="33" t="s">
        <v>100</v>
      </c>
      <c r="J936" s="33" t="s">
        <v>56</v>
      </c>
      <c r="K936" s="34" t="s">
        <v>101</v>
      </c>
    </row>
    <row r="937">
      <c r="A937" s="27">
        <v>25973.0</v>
      </c>
      <c r="B937" s="28">
        <v>113019.0</v>
      </c>
      <c r="C937" s="29" t="s">
        <v>102</v>
      </c>
      <c r="D937" s="29" t="s">
        <v>127</v>
      </c>
      <c r="E937" s="29" t="s">
        <v>2222</v>
      </c>
      <c r="F937" s="29" t="s">
        <v>2223</v>
      </c>
      <c r="G937" s="29" t="s">
        <v>181</v>
      </c>
      <c r="H937" s="29" t="s">
        <v>229</v>
      </c>
      <c r="I937" s="29" t="s">
        <v>100</v>
      </c>
      <c r="J937" s="29" t="s">
        <v>41</v>
      </c>
      <c r="K937" s="30" t="s">
        <v>101</v>
      </c>
    </row>
    <row r="938">
      <c r="A938" s="31">
        <v>7849.0</v>
      </c>
      <c r="B938" s="32">
        <v>112181.0</v>
      </c>
      <c r="C938" s="33" t="s">
        <v>102</v>
      </c>
      <c r="D938" s="33" t="s">
        <v>2224</v>
      </c>
      <c r="E938" s="33" t="s">
        <v>2225</v>
      </c>
      <c r="F938" s="33" t="s">
        <v>2226</v>
      </c>
      <c r="G938" s="33" t="s">
        <v>198</v>
      </c>
      <c r="H938" s="33" t="s">
        <v>199</v>
      </c>
      <c r="I938" s="33" t="s">
        <v>100</v>
      </c>
      <c r="J938" s="33" t="s">
        <v>53</v>
      </c>
      <c r="K938" s="34" t="s">
        <v>101</v>
      </c>
    </row>
    <row r="939">
      <c r="A939" s="27">
        <v>38586.0</v>
      </c>
      <c r="B939" s="28">
        <v>146897.0</v>
      </c>
      <c r="C939" s="29" t="s">
        <v>102</v>
      </c>
      <c r="D939" s="29" t="s">
        <v>392</v>
      </c>
      <c r="E939" s="29" t="s">
        <v>2227</v>
      </c>
      <c r="F939" s="29" t="s">
        <v>2228</v>
      </c>
      <c r="G939" s="29" t="s">
        <v>130</v>
      </c>
      <c r="H939" s="29" t="s">
        <v>157</v>
      </c>
      <c r="I939" s="29" t="s">
        <v>100</v>
      </c>
      <c r="J939" s="29" t="s">
        <v>41</v>
      </c>
      <c r="K939" s="30" t="s">
        <v>101</v>
      </c>
    </row>
    <row r="940">
      <c r="A940" s="31">
        <v>16495.0</v>
      </c>
      <c r="B940" s="32">
        <v>135360.0</v>
      </c>
      <c r="C940" s="33" t="s">
        <v>102</v>
      </c>
      <c r="D940" s="33" t="s">
        <v>127</v>
      </c>
      <c r="E940" s="33" t="s">
        <v>2229</v>
      </c>
      <c r="F940" s="33" t="s">
        <v>2230</v>
      </c>
      <c r="G940" s="33" t="s">
        <v>119</v>
      </c>
      <c r="H940" s="33" t="s">
        <v>120</v>
      </c>
      <c r="I940" s="33" t="s">
        <v>100</v>
      </c>
      <c r="J940" s="33" t="s">
        <v>41</v>
      </c>
      <c r="K940" s="34" t="s">
        <v>101</v>
      </c>
    </row>
    <row r="941">
      <c r="A941" s="27">
        <v>16488.0</v>
      </c>
      <c r="B941" s="28">
        <v>111194.0</v>
      </c>
      <c r="C941" s="29" t="s">
        <v>102</v>
      </c>
      <c r="D941" s="29" t="s">
        <v>465</v>
      </c>
      <c r="E941" s="29" t="s">
        <v>2229</v>
      </c>
      <c r="F941" s="29" t="s">
        <v>2231</v>
      </c>
      <c r="G941" s="29" t="s">
        <v>119</v>
      </c>
      <c r="H941" s="29" t="s">
        <v>120</v>
      </c>
      <c r="I941" s="29" t="s">
        <v>100</v>
      </c>
      <c r="J941" s="29" t="s">
        <v>59</v>
      </c>
      <c r="K941" s="30" t="s">
        <v>101</v>
      </c>
    </row>
    <row r="942">
      <c r="A942" s="31">
        <v>38131.0</v>
      </c>
      <c r="B942" s="32">
        <v>129771.0</v>
      </c>
      <c r="C942" s="33" t="s">
        <v>102</v>
      </c>
      <c r="D942" s="33" t="s">
        <v>245</v>
      </c>
      <c r="E942" s="33" t="s">
        <v>2232</v>
      </c>
      <c r="F942" s="33" t="s">
        <v>2233</v>
      </c>
      <c r="G942" s="33" t="s">
        <v>130</v>
      </c>
      <c r="H942" s="33" t="s">
        <v>172</v>
      </c>
      <c r="I942" s="33" t="s">
        <v>100</v>
      </c>
      <c r="J942" s="33" t="s">
        <v>41</v>
      </c>
      <c r="K942" s="34" t="s">
        <v>101</v>
      </c>
    </row>
    <row r="943">
      <c r="A943" s="27">
        <v>38597.0</v>
      </c>
      <c r="B943" s="28">
        <v>146909.0</v>
      </c>
      <c r="C943" s="29" t="s">
        <v>102</v>
      </c>
      <c r="D943" s="29" t="s">
        <v>1212</v>
      </c>
      <c r="E943" s="29" t="s">
        <v>2234</v>
      </c>
      <c r="F943" s="29" t="s">
        <v>2235</v>
      </c>
      <c r="G943" s="29" t="s">
        <v>253</v>
      </c>
      <c r="H943" s="29" t="s">
        <v>254</v>
      </c>
      <c r="I943" s="29" t="s">
        <v>100</v>
      </c>
      <c r="J943" s="29" t="s">
        <v>41</v>
      </c>
      <c r="K943" s="30" t="s">
        <v>101</v>
      </c>
    </row>
    <row r="944">
      <c r="A944" s="31">
        <v>16535.0</v>
      </c>
      <c r="B944" s="32">
        <v>111905.0</v>
      </c>
      <c r="C944" s="33" t="s">
        <v>102</v>
      </c>
      <c r="D944" s="33" t="s">
        <v>2236</v>
      </c>
      <c r="E944" s="33" t="s">
        <v>2237</v>
      </c>
      <c r="F944" s="33" t="s">
        <v>2238</v>
      </c>
      <c r="G944" s="33" t="s">
        <v>185</v>
      </c>
      <c r="H944" s="33" t="s">
        <v>186</v>
      </c>
      <c r="I944" s="33" t="s">
        <v>100</v>
      </c>
      <c r="J944" s="33" t="s">
        <v>56</v>
      </c>
      <c r="K944" s="34" t="s">
        <v>101</v>
      </c>
    </row>
    <row r="945">
      <c r="A945" s="27">
        <v>38395.0</v>
      </c>
      <c r="B945" s="28">
        <v>139266.0</v>
      </c>
      <c r="C945" s="29" t="s">
        <v>102</v>
      </c>
      <c r="D945" s="29" t="s">
        <v>918</v>
      </c>
      <c r="E945" s="29" t="s">
        <v>2239</v>
      </c>
      <c r="F945" s="29" t="s">
        <v>2240</v>
      </c>
      <c r="G945" s="29" t="s">
        <v>741</v>
      </c>
      <c r="H945" s="29" t="s">
        <v>742</v>
      </c>
      <c r="I945" s="29" t="s">
        <v>100</v>
      </c>
      <c r="J945" s="29" t="s">
        <v>56</v>
      </c>
      <c r="K945" s="30" t="s">
        <v>101</v>
      </c>
    </row>
    <row r="946">
      <c r="A946" s="31">
        <v>25690.0</v>
      </c>
      <c r="B946" s="32">
        <v>87201.0</v>
      </c>
      <c r="C946" s="33" t="s">
        <v>102</v>
      </c>
      <c r="D946" s="33" t="s">
        <v>840</v>
      </c>
      <c r="E946" s="33" t="s">
        <v>2241</v>
      </c>
      <c r="F946" s="33" t="s">
        <v>2242</v>
      </c>
      <c r="G946" s="33" t="s">
        <v>221</v>
      </c>
      <c r="H946" s="33" t="s">
        <v>222</v>
      </c>
      <c r="I946" s="33" t="s">
        <v>100</v>
      </c>
      <c r="J946" s="33" t="s">
        <v>41</v>
      </c>
      <c r="K946" s="34" t="s">
        <v>101</v>
      </c>
    </row>
    <row r="947">
      <c r="A947" s="27">
        <v>38828.0</v>
      </c>
      <c r="B947" s="28">
        <v>159613.0</v>
      </c>
      <c r="C947" s="29" t="s">
        <v>102</v>
      </c>
      <c r="D947" s="29" t="s">
        <v>127</v>
      </c>
      <c r="E947" s="29" t="s">
        <v>2243</v>
      </c>
      <c r="F947" s="29" t="s">
        <v>2244</v>
      </c>
      <c r="G947" s="29" t="s">
        <v>98</v>
      </c>
      <c r="H947" s="29" t="s">
        <v>99</v>
      </c>
      <c r="I947" s="29" t="s">
        <v>100</v>
      </c>
      <c r="J947" s="29" t="s">
        <v>41</v>
      </c>
      <c r="K947" s="30" t="s">
        <v>101</v>
      </c>
    </row>
    <row r="948">
      <c r="A948" s="31">
        <v>21197.0</v>
      </c>
      <c r="B948" s="32">
        <v>113514.0</v>
      </c>
      <c r="C948" s="33" t="s">
        <v>102</v>
      </c>
      <c r="D948" s="33" t="s">
        <v>426</v>
      </c>
      <c r="E948" s="33" t="s">
        <v>2245</v>
      </c>
      <c r="F948" s="33" t="s">
        <v>2246</v>
      </c>
      <c r="G948" s="33" t="s">
        <v>270</v>
      </c>
      <c r="H948" s="33" t="s">
        <v>719</v>
      </c>
      <c r="I948" s="33" t="s">
        <v>100</v>
      </c>
      <c r="J948" s="33" t="s">
        <v>41</v>
      </c>
      <c r="K948" s="34" t="s">
        <v>101</v>
      </c>
    </row>
    <row r="949">
      <c r="A949" s="27">
        <v>38392.0</v>
      </c>
      <c r="B949" s="28">
        <v>139232.0</v>
      </c>
      <c r="C949" s="29" t="s">
        <v>102</v>
      </c>
      <c r="D949" s="29" t="s">
        <v>547</v>
      </c>
      <c r="E949" s="29" t="s">
        <v>2247</v>
      </c>
      <c r="F949" s="29" t="s">
        <v>2248</v>
      </c>
      <c r="G949" s="29" t="s">
        <v>130</v>
      </c>
      <c r="H949" s="29" t="s">
        <v>157</v>
      </c>
      <c r="I949" s="29" t="s">
        <v>100</v>
      </c>
      <c r="J949" s="29" t="s">
        <v>41</v>
      </c>
      <c r="K949" s="30" t="s">
        <v>101</v>
      </c>
    </row>
    <row r="950">
      <c r="A950" s="31">
        <v>38391.0</v>
      </c>
      <c r="B950" s="32">
        <v>139234.0</v>
      </c>
      <c r="C950" s="33" t="s">
        <v>102</v>
      </c>
      <c r="D950" s="33" t="s">
        <v>230</v>
      </c>
      <c r="E950" s="33" t="s">
        <v>2247</v>
      </c>
      <c r="F950" s="33" t="s">
        <v>2249</v>
      </c>
      <c r="G950" s="33" t="s">
        <v>130</v>
      </c>
      <c r="H950" s="33" t="s">
        <v>157</v>
      </c>
      <c r="I950" s="33" t="s">
        <v>100</v>
      </c>
      <c r="J950" s="33" t="s">
        <v>53</v>
      </c>
      <c r="K950" s="34" t="s">
        <v>101</v>
      </c>
    </row>
    <row r="951">
      <c r="A951" s="27">
        <v>38355.0</v>
      </c>
      <c r="B951" s="28">
        <v>136819.0</v>
      </c>
      <c r="C951" s="29" t="s">
        <v>94</v>
      </c>
      <c r="D951" s="29" t="s">
        <v>2250</v>
      </c>
      <c r="E951" s="29" t="s">
        <v>2251</v>
      </c>
      <c r="F951" s="29" t="s">
        <v>2252</v>
      </c>
      <c r="G951" s="29" t="s">
        <v>207</v>
      </c>
      <c r="H951" s="29" t="s">
        <v>208</v>
      </c>
      <c r="I951" s="29" t="s">
        <v>100</v>
      </c>
      <c r="J951" s="29" t="s">
        <v>44</v>
      </c>
      <c r="K951" s="30" t="s">
        <v>101</v>
      </c>
    </row>
    <row r="952">
      <c r="A952" s="31">
        <v>25541.0</v>
      </c>
      <c r="B952" s="32">
        <v>70493.0</v>
      </c>
      <c r="C952" s="33" t="s">
        <v>102</v>
      </c>
      <c r="D952" s="33" t="s">
        <v>392</v>
      </c>
      <c r="E952" s="33" t="s">
        <v>2253</v>
      </c>
      <c r="F952" s="33" t="s">
        <v>2254</v>
      </c>
      <c r="G952" s="33" t="s">
        <v>119</v>
      </c>
      <c r="H952" s="33" t="s">
        <v>120</v>
      </c>
      <c r="I952" s="33" t="s">
        <v>100</v>
      </c>
      <c r="J952" s="33" t="s">
        <v>56</v>
      </c>
      <c r="K952" s="34" t="s">
        <v>101</v>
      </c>
    </row>
    <row r="953">
      <c r="A953" s="27">
        <v>38932.0</v>
      </c>
      <c r="B953" s="28">
        <v>163000.0</v>
      </c>
      <c r="C953" s="29" t="s">
        <v>102</v>
      </c>
      <c r="D953" s="29" t="s">
        <v>547</v>
      </c>
      <c r="E953" s="29" t="s">
        <v>2255</v>
      </c>
      <c r="F953" s="29" t="s">
        <v>2256</v>
      </c>
      <c r="G953" s="29" t="s">
        <v>270</v>
      </c>
      <c r="H953" s="29" t="s">
        <v>719</v>
      </c>
      <c r="I953" s="29" t="s">
        <v>100</v>
      </c>
      <c r="J953" s="29" t="s">
        <v>41</v>
      </c>
      <c r="K953" s="30" t="s">
        <v>101</v>
      </c>
    </row>
    <row r="954">
      <c r="A954" s="31">
        <v>7545.0</v>
      </c>
      <c r="B954" s="32">
        <v>148797.0</v>
      </c>
      <c r="C954" s="33" t="s">
        <v>94</v>
      </c>
      <c r="D954" s="33" t="s">
        <v>2257</v>
      </c>
      <c r="E954" s="33" t="s">
        <v>2258</v>
      </c>
      <c r="F954" s="33" t="s">
        <v>2259</v>
      </c>
      <c r="G954" s="33" t="s">
        <v>398</v>
      </c>
      <c r="H954" s="33" t="s">
        <v>399</v>
      </c>
      <c r="I954" s="33" t="s">
        <v>100</v>
      </c>
      <c r="J954" s="33" t="s">
        <v>65</v>
      </c>
      <c r="K954" s="34" t="s">
        <v>101</v>
      </c>
    </row>
    <row r="955">
      <c r="A955" s="27">
        <v>7583.0</v>
      </c>
      <c r="B955" s="28">
        <v>148796.0</v>
      </c>
      <c r="C955" s="29" t="s">
        <v>102</v>
      </c>
      <c r="D955" s="29" t="s">
        <v>392</v>
      </c>
      <c r="E955" s="29" t="s">
        <v>2258</v>
      </c>
      <c r="F955" s="29" t="s">
        <v>2260</v>
      </c>
      <c r="G955" s="29" t="s">
        <v>398</v>
      </c>
      <c r="H955" s="29" t="s">
        <v>399</v>
      </c>
      <c r="I955" s="29" t="s">
        <v>100</v>
      </c>
      <c r="J955" s="29" t="s">
        <v>56</v>
      </c>
      <c r="K955" s="30" t="s">
        <v>101</v>
      </c>
    </row>
    <row r="956">
      <c r="A956" s="31">
        <v>26157.0</v>
      </c>
      <c r="B956" s="32">
        <v>147305.0</v>
      </c>
      <c r="C956" s="33" t="s">
        <v>102</v>
      </c>
      <c r="D956" s="33" t="s">
        <v>965</v>
      </c>
      <c r="E956" s="33" t="s">
        <v>2261</v>
      </c>
      <c r="F956" s="33" t="s">
        <v>2262</v>
      </c>
      <c r="G956" s="33" t="s">
        <v>130</v>
      </c>
      <c r="H956" s="36" t="s">
        <v>131</v>
      </c>
      <c r="I956" s="33" t="s">
        <v>100</v>
      </c>
      <c r="J956" s="33" t="s">
        <v>41</v>
      </c>
      <c r="K956" s="34" t="s">
        <v>101</v>
      </c>
    </row>
    <row r="957">
      <c r="A957" s="27">
        <v>38002.0</v>
      </c>
      <c r="B957" s="28">
        <v>117988.0</v>
      </c>
      <c r="C957" s="29" t="s">
        <v>102</v>
      </c>
      <c r="D957" s="29" t="s">
        <v>230</v>
      </c>
      <c r="E957" s="29" t="s">
        <v>2263</v>
      </c>
      <c r="F957" s="29" t="s">
        <v>2264</v>
      </c>
      <c r="G957" s="29" t="s">
        <v>130</v>
      </c>
      <c r="H957" s="29" t="s">
        <v>211</v>
      </c>
      <c r="I957" s="29" t="s">
        <v>100</v>
      </c>
      <c r="J957" s="29" t="s">
        <v>53</v>
      </c>
      <c r="K957" s="30" t="s">
        <v>101</v>
      </c>
    </row>
    <row r="958">
      <c r="A958" s="31">
        <v>25114.0</v>
      </c>
      <c r="B958" s="32">
        <v>40403.0</v>
      </c>
      <c r="C958" s="33" t="s">
        <v>102</v>
      </c>
      <c r="D958" s="33" t="s">
        <v>204</v>
      </c>
      <c r="E958" s="33" t="s">
        <v>2265</v>
      </c>
      <c r="F958" s="33" t="s">
        <v>2266</v>
      </c>
      <c r="G958" s="33" t="s">
        <v>130</v>
      </c>
      <c r="H958" s="33" t="s">
        <v>211</v>
      </c>
      <c r="I958" s="33" t="s">
        <v>100</v>
      </c>
      <c r="J958" s="33" t="s">
        <v>53</v>
      </c>
      <c r="K958" s="34" t="s">
        <v>101</v>
      </c>
    </row>
    <row r="959">
      <c r="A959" s="27">
        <v>38743.0</v>
      </c>
      <c r="B959" s="28">
        <v>155267.0</v>
      </c>
      <c r="C959" s="29" t="s">
        <v>94</v>
      </c>
      <c r="D959" s="29" t="s">
        <v>2267</v>
      </c>
      <c r="E959" s="29" t="s">
        <v>2268</v>
      </c>
      <c r="F959" s="29" t="s">
        <v>2269</v>
      </c>
      <c r="G959" s="29" t="s">
        <v>130</v>
      </c>
      <c r="H959" s="29" t="s">
        <v>241</v>
      </c>
      <c r="I959" s="29" t="s">
        <v>100</v>
      </c>
      <c r="J959" s="29" t="s">
        <v>44</v>
      </c>
      <c r="K959" s="30" t="s">
        <v>101</v>
      </c>
    </row>
    <row r="960">
      <c r="A960" s="31">
        <v>25804.0</v>
      </c>
      <c r="B960" s="32">
        <v>105740.0</v>
      </c>
      <c r="C960" s="33" t="s">
        <v>102</v>
      </c>
      <c r="D960" s="33" t="s">
        <v>602</v>
      </c>
      <c r="E960" s="33" t="s">
        <v>2270</v>
      </c>
      <c r="F960" s="33" t="s">
        <v>2271</v>
      </c>
      <c r="G960" s="33" t="s">
        <v>198</v>
      </c>
      <c r="H960" s="33" t="s">
        <v>544</v>
      </c>
      <c r="I960" s="33" t="s">
        <v>100</v>
      </c>
      <c r="J960" s="33" t="s">
        <v>56</v>
      </c>
      <c r="K960" s="34" t="s">
        <v>101</v>
      </c>
    </row>
    <row r="961">
      <c r="A961" s="27">
        <v>7425.0</v>
      </c>
      <c r="B961" s="28">
        <v>119972.0</v>
      </c>
      <c r="C961" s="29" t="s">
        <v>102</v>
      </c>
      <c r="D961" s="29" t="s">
        <v>392</v>
      </c>
      <c r="E961" s="29" t="s">
        <v>2272</v>
      </c>
      <c r="F961" s="29" t="s">
        <v>2273</v>
      </c>
      <c r="G961" s="29" t="s">
        <v>207</v>
      </c>
      <c r="H961" s="29" t="s">
        <v>208</v>
      </c>
      <c r="I961" s="29" t="s">
        <v>100</v>
      </c>
      <c r="J961" s="29" t="s">
        <v>56</v>
      </c>
      <c r="K961" s="30" t="s">
        <v>101</v>
      </c>
    </row>
    <row r="962">
      <c r="A962" s="31">
        <v>7836.0</v>
      </c>
      <c r="B962" s="32">
        <v>140496.0</v>
      </c>
      <c r="C962" s="33" t="s">
        <v>102</v>
      </c>
      <c r="D962" s="33" t="s">
        <v>807</v>
      </c>
      <c r="E962" s="33" t="s">
        <v>2272</v>
      </c>
      <c r="F962" s="33" t="s">
        <v>2274</v>
      </c>
      <c r="G962" s="33" t="s">
        <v>198</v>
      </c>
      <c r="H962" s="33" t="s">
        <v>353</v>
      </c>
      <c r="I962" s="33" t="s">
        <v>100</v>
      </c>
      <c r="J962" s="33" t="s">
        <v>59</v>
      </c>
      <c r="K962" s="34" t="s">
        <v>101</v>
      </c>
    </row>
    <row r="963">
      <c r="A963" s="27">
        <v>16972.0</v>
      </c>
      <c r="B963" s="28">
        <v>29207.0</v>
      </c>
      <c r="C963" s="29" t="s">
        <v>102</v>
      </c>
      <c r="D963" s="29" t="s">
        <v>405</v>
      </c>
      <c r="E963" s="29" t="s">
        <v>2275</v>
      </c>
      <c r="F963" s="29" t="s">
        <v>2276</v>
      </c>
      <c r="G963" s="29" t="s">
        <v>168</v>
      </c>
      <c r="H963" s="29" t="s">
        <v>169</v>
      </c>
      <c r="I963" s="29" t="s">
        <v>100</v>
      </c>
      <c r="J963" s="29" t="s">
        <v>41</v>
      </c>
      <c r="K963" s="30" t="s">
        <v>101</v>
      </c>
    </row>
    <row r="964">
      <c r="A964" s="31">
        <v>7396.0</v>
      </c>
      <c r="B964" s="32">
        <v>145458.0</v>
      </c>
      <c r="C964" s="33" t="s">
        <v>102</v>
      </c>
      <c r="D964" s="33" t="s">
        <v>245</v>
      </c>
      <c r="E964" s="33" t="s">
        <v>2277</v>
      </c>
      <c r="F964" s="33" t="s">
        <v>2278</v>
      </c>
      <c r="G964" s="33" t="s">
        <v>168</v>
      </c>
      <c r="H964" s="33" t="s">
        <v>169</v>
      </c>
      <c r="I964" s="33" t="s">
        <v>100</v>
      </c>
      <c r="J964" s="33" t="s">
        <v>41</v>
      </c>
      <c r="K964" s="34" t="s">
        <v>101</v>
      </c>
    </row>
    <row r="965">
      <c r="A965" s="27">
        <v>38714.0</v>
      </c>
      <c r="B965" s="28">
        <v>153879.0</v>
      </c>
      <c r="C965" s="29" t="s">
        <v>102</v>
      </c>
      <c r="D965" s="29" t="s">
        <v>1347</v>
      </c>
      <c r="E965" s="29" t="s">
        <v>2279</v>
      </c>
      <c r="F965" s="29" t="s">
        <v>2280</v>
      </c>
      <c r="G965" s="29" t="s">
        <v>114</v>
      </c>
      <c r="H965" s="29" t="s">
        <v>115</v>
      </c>
      <c r="I965" s="29" t="s">
        <v>100</v>
      </c>
      <c r="J965" s="29" t="s">
        <v>435</v>
      </c>
      <c r="K965" s="30" t="s">
        <v>281</v>
      </c>
    </row>
    <row r="966">
      <c r="A966" s="31">
        <v>25830.0</v>
      </c>
      <c r="B966" s="32">
        <v>105589.0</v>
      </c>
      <c r="C966" s="33" t="s">
        <v>102</v>
      </c>
      <c r="D966" s="33" t="s">
        <v>1014</v>
      </c>
      <c r="E966" s="33" t="s">
        <v>2281</v>
      </c>
      <c r="F966" s="33" t="s">
        <v>2282</v>
      </c>
      <c r="G966" s="33" t="s">
        <v>130</v>
      </c>
      <c r="H966" s="36" t="s">
        <v>131</v>
      </c>
      <c r="I966" s="33" t="s">
        <v>100</v>
      </c>
      <c r="J966" s="33" t="s">
        <v>47</v>
      </c>
      <c r="K966" s="34" t="s">
        <v>101</v>
      </c>
    </row>
    <row r="967">
      <c r="A967" s="27">
        <v>25557.0</v>
      </c>
      <c r="B967" s="28">
        <v>79706.0</v>
      </c>
      <c r="C967" s="29" t="s">
        <v>102</v>
      </c>
      <c r="D967" s="29" t="s">
        <v>314</v>
      </c>
      <c r="E967" s="29" t="s">
        <v>2281</v>
      </c>
      <c r="F967" s="29" t="s">
        <v>2283</v>
      </c>
      <c r="G967" s="29" t="s">
        <v>130</v>
      </c>
      <c r="H967" s="35" t="s">
        <v>131</v>
      </c>
      <c r="I967" s="29" t="s">
        <v>100</v>
      </c>
      <c r="J967" s="29" t="s">
        <v>41</v>
      </c>
      <c r="K967" s="30" t="s">
        <v>101</v>
      </c>
    </row>
    <row r="968">
      <c r="A968" s="31">
        <v>25205.0</v>
      </c>
      <c r="B968" s="32">
        <v>42551.0</v>
      </c>
      <c r="C968" s="33" t="s">
        <v>102</v>
      </c>
      <c r="D968" s="33" t="s">
        <v>378</v>
      </c>
      <c r="E968" s="33" t="s">
        <v>2281</v>
      </c>
      <c r="F968" s="33" t="s">
        <v>2284</v>
      </c>
      <c r="G968" s="33" t="s">
        <v>130</v>
      </c>
      <c r="H968" s="36" t="s">
        <v>131</v>
      </c>
      <c r="I968" s="33" t="s">
        <v>100</v>
      </c>
      <c r="J968" s="33" t="s">
        <v>41</v>
      </c>
      <c r="K968" s="34" t="s">
        <v>101</v>
      </c>
    </row>
    <row r="969">
      <c r="A969" s="27">
        <v>25204.0</v>
      </c>
      <c r="B969" s="28">
        <v>42507.0</v>
      </c>
      <c r="C969" s="29" t="s">
        <v>102</v>
      </c>
      <c r="D969" s="29" t="s">
        <v>140</v>
      </c>
      <c r="E969" s="29" t="s">
        <v>2281</v>
      </c>
      <c r="F969" s="29" t="s">
        <v>2285</v>
      </c>
      <c r="G969" s="29" t="s">
        <v>130</v>
      </c>
      <c r="H969" s="35" t="s">
        <v>131</v>
      </c>
      <c r="I969" s="29" t="s">
        <v>100</v>
      </c>
      <c r="J969" s="29" t="s">
        <v>41</v>
      </c>
      <c r="K969" s="30" t="s">
        <v>101</v>
      </c>
    </row>
    <row r="970">
      <c r="A970" s="31">
        <v>25203.0</v>
      </c>
      <c r="B970" s="32">
        <v>42506.0</v>
      </c>
      <c r="C970" s="33" t="s">
        <v>102</v>
      </c>
      <c r="D970" s="33" t="s">
        <v>111</v>
      </c>
      <c r="E970" s="33" t="s">
        <v>2281</v>
      </c>
      <c r="F970" s="33" t="s">
        <v>2286</v>
      </c>
      <c r="G970" s="33" t="s">
        <v>130</v>
      </c>
      <c r="H970" s="36" t="s">
        <v>131</v>
      </c>
      <c r="I970" s="33" t="s">
        <v>100</v>
      </c>
      <c r="J970" s="33" t="s">
        <v>41</v>
      </c>
      <c r="K970" s="34" t="s">
        <v>101</v>
      </c>
    </row>
    <row r="971">
      <c r="A971" s="27">
        <v>7009.0</v>
      </c>
      <c r="B971" s="28">
        <v>112622.0</v>
      </c>
      <c r="C971" s="29" t="s">
        <v>102</v>
      </c>
      <c r="D971" s="29" t="s">
        <v>477</v>
      </c>
      <c r="E971" s="29" t="s">
        <v>2287</v>
      </c>
      <c r="F971" s="29" t="s">
        <v>2288</v>
      </c>
      <c r="G971" s="29" t="s">
        <v>270</v>
      </c>
      <c r="H971" s="29" t="s">
        <v>374</v>
      </c>
      <c r="I971" s="29" t="s">
        <v>100</v>
      </c>
      <c r="J971" s="29" t="s">
        <v>41</v>
      </c>
      <c r="K971" s="30" t="s">
        <v>101</v>
      </c>
    </row>
    <row r="972">
      <c r="A972" s="31">
        <v>16029.0</v>
      </c>
      <c r="B972" s="32">
        <v>125221.0</v>
      </c>
      <c r="C972" s="33" t="s">
        <v>94</v>
      </c>
      <c r="D972" s="33" t="s">
        <v>2289</v>
      </c>
      <c r="E972" s="33" t="s">
        <v>2287</v>
      </c>
      <c r="F972" s="33" t="s">
        <v>2290</v>
      </c>
      <c r="G972" s="33" t="s">
        <v>130</v>
      </c>
      <c r="H972" s="33" t="s">
        <v>172</v>
      </c>
      <c r="I972" s="33" t="s">
        <v>100</v>
      </c>
      <c r="J972" s="33" t="s">
        <v>68</v>
      </c>
      <c r="K972" s="34" t="s">
        <v>101</v>
      </c>
    </row>
    <row r="973">
      <c r="A973" s="27">
        <v>25695.0</v>
      </c>
      <c r="B973" s="28">
        <v>91077.0</v>
      </c>
      <c r="C973" s="29" t="s">
        <v>102</v>
      </c>
      <c r="D973" s="29" t="s">
        <v>387</v>
      </c>
      <c r="E973" s="29" t="s">
        <v>2291</v>
      </c>
      <c r="F973" s="29" t="s">
        <v>2292</v>
      </c>
      <c r="G973" s="29" t="s">
        <v>270</v>
      </c>
      <c r="H973" s="29" t="s">
        <v>374</v>
      </c>
      <c r="I973" s="29" t="s">
        <v>100</v>
      </c>
      <c r="J973" s="29" t="s">
        <v>41</v>
      </c>
      <c r="K973" s="30" t="s">
        <v>101</v>
      </c>
    </row>
    <row r="974">
      <c r="A974" s="31">
        <v>7028.0</v>
      </c>
      <c r="B974" s="32">
        <v>112621.0</v>
      </c>
      <c r="C974" s="33" t="s">
        <v>102</v>
      </c>
      <c r="D974" s="33" t="s">
        <v>204</v>
      </c>
      <c r="E974" s="33" t="s">
        <v>2291</v>
      </c>
      <c r="F974" s="33" t="s">
        <v>2293</v>
      </c>
      <c r="G974" s="33" t="s">
        <v>270</v>
      </c>
      <c r="H974" s="33" t="s">
        <v>374</v>
      </c>
      <c r="I974" s="33" t="s">
        <v>100</v>
      </c>
      <c r="J974" s="33" t="s">
        <v>53</v>
      </c>
      <c r="K974" s="34" t="s">
        <v>101</v>
      </c>
    </row>
    <row r="975">
      <c r="A975" s="27">
        <v>25849.0</v>
      </c>
      <c r="B975" s="28">
        <v>91298.0</v>
      </c>
      <c r="C975" s="29" t="s">
        <v>102</v>
      </c>
      <c r="D975" s="29" t="s">
        <v>255</v>
      </c>
      <c r="E975" s="29" t="s">
        <v>2291</v>
      </c>
      <c r="F975" s="29" t="s">
        <v>2294</v>
      </c>
      <c r="G975" s="29" t="s">
        <v>270</v>
      </c>
      <c r="H975" s="29" t="s">
        <v>374</v>
      </c>
      <c r="I975" s="29" t="s">
        <v>100</v>
      </c>
      <c r="J975" s="29" t="s">
        <v>47</v>
      </c>
      <c r="K975" s="30" t="s">
        <v>101</v>
      </c>
    </row>
    <row r="976">
      <c r="A976" s="31">
        <v>38948.0</v>
      </c>
      <c r="B976" s="32">
        <v>164071.0</v>
      </c>
      <c r="C976" s="33" t="s">
        <v>102</v>
      </c>
      <c r="D976" s="33" t="s">
        <v>372</v>
      </c>
      <c r="E976" s="33" t="s">
        <v>2295</v>
      </c>
      <c r="F976" s="33" t="s">
        <v>2296</v>
      </c>
      <c r="G976" s="33" t="s">
        <v>323</v>
      </c>
      <c r="H976" s="33" t="s">
        <v>417</v>
      </c>
      <c r="I976" s="33" t="s">
        <v>100</v>
      </c>
      <c r="J976" s="33" t="s">
        <v>47</v>
      </c>
      <c r="K976" s="34" t="s">
        <v>101</v>
      </c>
    </row>
    <row r="977">
      <c r="A977" s="27">
        <v>16461.0</v>
      </c>
      <c r="B977" s="28">
        <v>111808.0</v>
      </c>
      <c r="C977" s="29" t="s">
        <v>102</v>
      </c>
      <c r="D977" s="29" t="s">
        <v>395</v>
      </c>
      <c r="E977" s="29" t="s">
        <v>2297</v>
      </c>
      <c r="F977" s="29" t="s">
        <v>2298</v>
      </c>
      <c r="G977" s="29" t="s">
        <v>135</v>
      </c>
      <c r="H977" s="29" t="s">
        <v>294</v>
      </c>
      <c r="I977" s="29" t="s">
        <v>100</v>
      </c>
      <c r="J977" s="29" t="s">
        <v>59</v>
      </c>
      <c r="K977" s="30" t="s">
        <v>101</v>
      </c>
    </row>
    <row r="978">
      <c r="A978" s="31">
        <v>38209.0</v>
      </c>
      <c r="B978" s="32">
        <v>132064.0</v>
      </c>
      <c r="C978" s="33" t="s">
        <v>102</v>
      </c>
      <c r="D978" s="33" t="s">
        <v>378</v>
      </c>
      <c r="E978" s="33" t="s">
        <v>2299</v>
      </c>
      <c r="F978" s="33" t="s">
        <v>2300</v>
      </c>
      <c r="G978" s="33" t="s">
        <v>412</v>
      </c>
      <c r="H978" s="33" t="s">
        <v>413</v>
      </c>
      <c r="I978" s="33" t="s">
        <v>100</v>
      </c>
      <c r="J978" s="33" t="s">
        <v>41</v>
      </c>
      <c r="K978" s="34" t="s">
        <v>101</v>
      </c>
    </row>
    <row r="979">
      <c r="A979" s="27">
        <v>38857.0</v>
      </c>
      <c r="B979" s="28">
        <v>159646.0</v>
      </c>
      <c r="C979" s="29" t="s">
        <v>94</v>
      </c>
      <c r="D979" s="29" t="s">
        <v>1845</v>
      </c>
      <c r="E979" s="29" t="s">
        <v>2301</v>
      </c>
      <c r="F979" s="29" t="s">
        <v>2302</v>
      </c>
      <c r="G979" s="29" t="s">
        <v>130</v>
      </c>
      <c r="H979" s="35" t="s">
        <v>131</v>
      </c>
      <c r="I979" s="29" t="s">
        <v>100</v>
      </c>
      <c r="J979" s="29" t="s">
        <v>44</v>
      </c>
      <c r="K979" s="30" t="s">
        <v>101</v>
      </c>
    </row>
    <row r="980">
      <c r="A980" s="31">
        <v>38655.0</v>
      </c>
      <c r="B980" s="32">
        <v>148799.0</v>
      </c>
      <c r="C980" s="33" t="s">
        <v>102</v>
      </c>
      <c r="D980" s="33" t="s">
        <v>2303</v>
      </c>
      <c r="E980" s="33" t="s">
        <v>2304</v>
      </c>
      <c r="F980" s="33" t="s">
        <v>2305</v>
      </c>
      <c r="G980" s="33" t="s">
        <v>130</v>
      </c>
      <c r="H980" s="36" t="s">
        <v>131</v>
      </c>
      <c r="I980" s="33" t="s">
        <v>100</v>
      </c>
      <c r="J980" s="33" t="s">
        <v>435</v>
      </c>
      <c r="K980" s="34" t="s">
        <v>281</v>
      </c>
    </row>
    <row r="981">
      <c r="A981" s="27">
        <v>38971.0</v>
      </c>
      <c r="B981" s="28">
        <v>168151.0</v>
      </c>
      <c r="C981" s="29" t="s">
        <v>102</v>
      </c>
      <c r="D981" s="29" t="s">
        <v>2306</v>
      </c>
      <c r="E981" s="29" t="s">
        <v>560</v>
      </c>
      <c r="F981" s="29" t="s">
        <v>2307</v>
      </c>
      <c r="G981" s="29" t="s">
        <v>275</v>
      </c>
      <c r="H981" s="29" t="s">
        <v>276</v>
      </c>
      <c r="I981" s="29" t="s">
        <v>100</v>
      </c>
      <c r="J981" s="29" t="s">
        <v>41</v>
      </c>
      <c r="K981" s="30" t="s">
        <v>101</v>
      </c>
    </row>
    <row r="982">
      <c r="A982" s="31">
        <v>16291.0</v>
      </c>
      <c r="B982" s="32">
        <v>116674.0</v>
      </c>
      <c r="C982" s="33" t="s">
        <v>102</v>
      </c>
      <c r="D982" s="33" t="s">
        <v>1513</v>
      </c>
      <c r="E982" s="33" t="s">
        <v>2308</v>
      </c>
      <c r="F982" s="33" t="s">
        <v>2309</v>
      </c>
      <c r="G982" s="33" t="s">
        <v>408</v>
      </c>
      <c r="H982" s="33" t="s">
        <v>409</v>
      </c>
      <c r="I982" s="33" t="s">
        <v>100</v>
      </c>
      <c r="J982" s="33" t="s">
        <v>56</v>
      </c>
      <c r="K982" s="34" t="s">
        <v>101</v>
      </c>
    </row>
    <row r="983">
      <c r="A983" s="27">
        <v>16301.0</v>
      </c>
      <c r="B983" s="28">
        <v>111996.0</v>
      </c>
      <c r="C983" s="29" t="s">
        <v>102</v>
      </c>
      <c r="D983" s="29" t="s">
        <v>2310</v>
      </c>
      <c r="E983" s="29" t="s">
        <v>2308</v>
      </c>
      <c r="F983" s="29" t="s">
        <v>2311</v>
      </c>
      <c r="G983" s="29" t="s">
        <v>408</v>
      </c>
      <c r="H983" s="29" t="s">
        <v>409</v>
      </c>
      <c r="I983" s="29" t="s">
        <v>100</v>
      </c>
      <c r="J983" s="29" t="s">
        <v>41</v>
      </c>
      <c r="K983" s="30" t="s">
        <v>101</v>
      </c>
    </row>
    <row r="984">
      <c r="A984" s="31">
        <v>25397.0</v>
      </c>
      <c r="B984" s="32">
        <v>63206.0</v>
      </c>
      <c r="C984" s="33" t="s">
        <v>94</v>
      </c>
      <c r="D984" s="33" t="s">
        <v>460</v>
      </c>
      <c r="E984" s="33" t="s">
        <v>2312</v>
      </c>
      <c r="F984" s="33" t="s">
        <v>2313</v>
      </c>
      <c r="G984" s="33" t="s">
        <v>130</v>
      </c>
      <c r="H984" s="33" t="s">
        <v>172</v>
      </c>
      <c r="I984" s="33" t="s">
        <v>100</v>
      </c>
      <c r="J984" s="33" t="s">
        <v>62</v>
      </c>
      <c r="K984" s="34" t="s">
        <v>101</v>
      </c>
    </row>
    <row r="985">
      <c r="A985" s="27">
        <v>16848.0</v>
      </c>
      <c r="B985" s="28">
        <v>115712.0</v>
      </c>
      <c r="C985" s="29" t="s">
        <v>102</v>
      </c>
      <c r="D985" s="29" t="s">
        <v>400</v>
      </c>
      <c r="E985" s="29" t="s">
        <v>2314</v>
      </c>
      <c r="F985" s="29" t="s">
        <v>2315</v>
      </c>
      <c r="G985" s="29" t="s">
        <v>119</v>
      </c>
      <c r="H985" s="29" t="s">
        <v>120</v>
      </c>
      <c r="I985" s="29" t="s">
        <v>100</v>
      </c>
      <c r="J985" s="29" t="s">
        <v>59</v>
      </c>
      <c r="K985" s="30" t="s">
        <v>101</v>
      </c>
    </row>
    <row r="986">
      <c r="A986" s="31">
        <v>16852.0</v>
      </c>
      <c r="B986" s="32">
        <v>16395.0</v>
      </c>
      <c r="C986" s="33" t="s">
        <v>102</v>
      </c>
      <c r="D986" s="33" t="s">
        <v>855</v>
      </c>
      <c r="E986" s="33" t="s">
        <v>2314</v>
      </c>
      <c r="F986" s="33" t="s">
        <v>2316</v>
      </c>
      <c r="G986" s="33" t="s">
        <v>119</v>
      </c>
      <c r="H986" s="33" t="s">
        <v>120</v>
      </c>
      <c r="I986" s="33" t="s">
        <v>100</v>
      </c>
      <c r="J986" s="33" t="s">
        <v>41</v>
      </c>
      <c r="K986" s="34" t="s">
        <v>101</v>
      </c>
    </row>
    <row r="987">
      <c r="A987" s="27">
        <v>38777.0</v>
      </c>
      <c r="B987" s="28">
        <v>158008.0</v>
      </c>
      <c r="C987" s="29" t="s">
        <v>102</v>
      </c>
      <c r="D987" s="29" t="s">
        <v>2317</v>
      </c>
      <c r="E987" s="29" t="s">
        <v>2314</v>
      </c>
      <c r="F987" s="29" t="s">
        <v>2318</v>
      </c>
      <c r="G987" s="29" t="s">
        <v>119</v>
      </c>
      <c r="H987" s="29" t="s">
        <v>120</v>
      </c>
      <c r="I987" s="29" t="s">
        <v>100</v>
      </c>
      <c r="J987" s="29" t="s">
        <v>435</v>
      </c>
      <c r="K987" s="30" t="s">
        <v>281</v>
      </c>
    </row>
    <row r="988">
      <c r="A988" s="31">
        <v>38723.0</v>
      </c>
      <c r="B988" s="32">
        <v>153891.0</v>
      </c>
      <c r="C988" s="33" t="s">
        <v>102</v>
      </c>
      <c r="D988" s="33" t="s">
        <v>1516</v>
      </c>
      <c r="E988" s="33" t="s">
        <v>2319</v>
      </c>
      <c r="F988" s="33" t="s">
        <v>2320</v>
      </c>
      <c r="G988" s="33" t="s">
        <v>408</v>
      </c>
      <c r="H988" s="33" t="s">
        <v>409</v>
      </c>
      <c r="I988" s="33" t="s">
        <v>100</v>
      </c>
      <c r="J988" s="33" t="s">
        <v>41</v>
      </c>
      <c r="K988" s="34" t="s">
        <v>101</v>
      </c>
    </row>
    <row r="989">
      <c r="A989" s="27">
        <v>38773.0</v>
      </c>
      <c r="B989" s="28">
        <v>158004.0</v>
      </c>
      <c r="C989" s="29" t="s">
        <v>94</v>
      </c>
      <c r="D989" s="29" t="s">
        <v>2321</v>
      </c>
      <c r="E989" s="29" t="s">
        <v>2322</v>
      </c>
      <c r="F989" s="29" t="s">
        <v>2323</v>
      </c>
      <c r="G989" s="29" t="s">
        <v>207</v>
      </c>
      <c r="H989" s="29" t="s">
        <v>208</v>
      </c>
      <c r="I989" s="29" t="s">
        <v>100</v>
      </c>
      <c r="J989" s="29" t="s">
        <v>290</v>
      </c>
      <c r="K989" s="30" t="s">
        <v>281</v>
      </c>
    </row>
    <row r="990">
      <c r="A990" s="31">
        <v>25484.0</v>
      </c>
      <c r="B990" s="32">
        <v>114515.0</v>
      </c>
      <c r="C990" s="33" t="s">
        <v>102</v>
      </c>
      <c r="D990" s="33" t="s">
        <v>2324</v>
      </c>
      <c r="E990" s="33" t="s">
        <v>2325</v>
      </c>
      <c r="F990" s="33" t="s">
        <v>2326</v>
      </c>
      <c r="G990" s="33" t="s">
        <v>190</v>
      </c>
      <c r="H990" s="33" t="s">
        <v>191</v>
      </c>
      <c r="I990" s="33" t="s">
        <v>100</v>
      </c>
      <c r="J990" s="33" t="s">
        <v>41</v>
      </c>
      <c r="K990" s="34" t="s">
        <v>101</v>
      </c>
    </row>
    <row r="991">
      <c r="A991" s="27">
        <v>7154.0</v>
      </c>
      <c r="B991" s="28">
        <v>114530.0</v>
      </c>
      <c r="C991" s="29" t="s">
        <v>94</v>
      </c>
      <c r="D991" s="29" t="s">
        <v>1492</v>
      </c>
      <c r="E991" s="29" t="s">
        <v>2325</v>
      </c>
      <c r="F991" s="29" t="s">
        <v>2327</v>
      </c>
      <c r="G991" s="29" t="s">
        <v>190</v>
      </c>
      <c r="H991" s="29" t="s">
        <v>191</v>
      </c>
      <c r="I991" s="29" t="s">
        <v>100</v>
      </c>
      <c r="J991" s="29" t="s">
        <v>62</v>
      </c>
      <c r="K991" s="30" t="s">
        <v>101</v>
      </c>
    </row>
    <row r="992">
      <c r="A992" s="31">
        <v>7182.0</v>
      </c>
      <c r="B992" s="32">
        <v>135392.0</v>
      </c>
      <c r="C992" s="33" t="s">
        <v>102</v>
      </c>
      <c r="D992" s="33" t="s">
        <v>873</v>
      </c>
      <c r="E992" s="33" t="s">
        <v>2325</v>
      </c>
      <c r="F992" s="33" t="s">
        <v>2328</v>
      </c>
      <c r="G992" s="33" t="s">
        <v>190</v>
      </c>
      <c r="H992" s="33" t="s">
        <v>191</v>
      </c>
      <c r="I992" s="33" t="s">
        <v>100</v>
      </c>
      <c r="J992" s="33" t="s">
        <v>56</v>
      </c>
      <c r="K992" s="34" t="s">
        <v>101</v>
      </c>
    </row>
    <row r="993">
      <c r="A993" s="27">
        <v>16300.0</v>
      </c>
      <c r="B993" s="28">
        <v>116672.0</v>
      </c>
      <c r="C993" s="29" t="s">
        <v>102</v>
      </c>
      <c r="D993" s="29" t="s">
        <v>1805</v>
      </c>
      <c r="E993" s="29" t="s">
        <v>2329</v>
      </c>
      <c r="F993" s="29" t="s">
        <v>2330</v>
      </c>
      <c r="G993" s="29" t="s">
        <v>408</v>
      </c>
      <c r="H993" s="29" t="s">
        <v>409</v>
      </c>
      <c r="I993" s="29" t="s">
        <v>100</v>
      </c>
      <c r="J993" s="29" t="s">
        <v>56</v>
      </c>
      <c r="K993" s="30" t="s">
        <v>101</v>
      </c>
    </row>
    <row r="994">
      <c r="A994" s="31">
        <v>16305.0</v>
      </c>
      <c r="B994" s="32">
        <v>116671.0</v>
      </c>
      <c r="C994" s="33" t="s">
        <v>102</v>
      </c>
      <c r="D994" s="33" t="s">
        <v>781</v>
      </c>
      <c r="E994" s="33" t="s">
        <v>2329</v>
      </c>
      <c r="F994" s="33" t="s">
        <v>2331</v>
      </c>
      <c r="G994" s="33" t="s">
        <v>408</v>
      </c>
      <c r="H994" s="33" t="s">
        <v>409</v>
      </c>
      <c r="I994" s="33" t="s">
        <v>100</v>
      </c>
      <c r="J994" s="33" t="s">
        <v>41</v>
      </c>
      <c r="K994" s="34" t="s">
        <v>101</v>
      </c>
    </row>
    <row r="995">
      <c r="A995" s="27">
        <v>38923.0</v>
      </c>
      <c r="B995" s="28">
        <v>162991.0</v>
      </c>
      <c r="C995" s="29" t="s">
        <v>94</v>
      </c>
      <c r="D995" s="29" t="s">
        <v>1299</v>
      </c>
      <c r="E995" s="29" t="s">
        <v>2332</v>
      </c>
      <c r="F995" s="29" t="s">
        <v>2333</v>
      </c>
      <c r="G995" s="29" t="s">
        <v>207</v>
      </c>
      <c r="H995" s="29" t="s">
        <v>208</v>
      </c>
      <c r="I995" s="29" t="s">
        <v>100</v>
      </c>
      <c r="J995" s="29" t="s">
        <v>290</v>
      </c>
      <c r="K995" s="30" t="s">
        <v>281</v>
      </c>
    </row>
    <row r="996">
      <c r="A996" s="31">
        <v>25828.0</v>
      </c>
      <c r="B996" s="32">
        <v>107445.0</v>
      </c>
      <c r="C996" s="33" t="s">
        <v>102</v>
      </c>
      <c r="D996" s="33" t="s">
        <v>523</v>
      </c>
      <c r="E996" s="33" t="s">
        <v>2334</v>
      </c>
      <c r="F996" s="33" t="s">
        <v>2335</v>
      </c>
      <c r="G996" s="33" t="s">
        <v>130</v>
      </c>
      <c r="H996" s="33" t="s">
        <v>241</v>
      </c>
      <c r="I996" s="33" t="s">
        <v>100</v>
      </c>
      <c r="J996" s="33" t="s">
        <v>41</v>
      </c>
      <c r="K996" s="34" t="s">
        <v>101</v>
      </c>
    </row>
    <row r="997">
      <c r="A997" s="27">
        <v>38851.0</v>
      </c>
      <c r="B997" s="28">
        <v>159639.0</v>
      </c>
      <c r="C997" s="29" t="s">
        <v>102</v>
      </c>
      <c r="D997" s="29" t="s">
        <v>395</v>
      </c>
      <c r="E997" s="29" t="s">
        <v>2336</v>
      </c>
      <c r="F997" s="29" t="s">
        <v>2337</v>
      </c>
      <c r="G997" s="29" t="s">
        <v>207</v>
      </c>
      <c r="H997" s="29" t="s">
        <v>208</v>
      </c>
      <c r="I997" s="29" t="s">
        <v>100</v>
      </c>
      <c r="J997" s="29" t="s">
        <v>41</v>
      </c>
      <c r="K997" s="30" t="s">
        <v>101</v>
      </c>
    </row>
    <row r="998">
      <c r="A998" s="31">
        <v>25325.0</v>
      </c>
      <c r="B998" s="32">
        <v>50130.0</v>
      </c>
      <c r="C998" s="33" t="s">
        <v>102</v>
      </c>
      <c r="D998" s="33" t="s">
        <v>272</v>
      </c>
      <c r="E998" s="33" t="s">
        <v>2338</v>
      </c>
      <c r="F998" s="33" t="s">
        <v>2339</v>
      </c>
      <c r="G998" s="33" t="s">
        <v>270</v>
      </c>
      <c r="H998" s="33" t="s">
        <v>374</v>
      </c>
      <c r="I998" s="33" t="s">
        <v>100</v>
      </c>
      <c r="J998" s="33" t="s">
        <v>41</v>
      </c>
      <c r="K998" s="34" t="s">
        <v>101</v>
      </c>
    </row>
    <row r="999">
      <c r="A999" s="27">
        <v>38958.0</v>
      </c>
      <c r="B999" s="28">
        <v>164083.0</v>
      </c>
      <c r="C999" s="29" t="s">
        <v>102</v>
      </c>
      <c r="D999" s="29" t="s">
        <v>354</v>
      </c>
      <c r="E999" s="29" t="s">
        <v>2340</v>
      </c>
      <c r="F999" s="29" t="s">
        <v>2341</v>
      </c>
      <c r="G999" s="29" t="s">
        <v>221</v>
      </c>
      <c r="H999" s="29" t="s">
        <v>222</v>
      </c>
      <c r="I999" s="29" t="s">
        <v>100</v>
      </c>
      <c r="J999" s="29" t="s">
        <v>53</v>
      </c>
      <c r="K999" s="30" t="s">
        <v>101</v>
      </c>
    </row>
    <row r="1000">
      <c r="A1000" s="31">
        <v>38956.0</v>
      </c>
      <c r="B1000" s="32">
        <v>164081.0</v>
      </c>
      <c r="C1000" s="33" t="s">
        <v>94</v>
      </c>
      <c r="D1000" s="33" t="s">
        <v>2342</v>
      </c>
      <c r="E1000" s="33" t="s">
        <v>2343</v>
      </c>
      <c r="F1000" s="33" t="s">
        <v>2344</v>
      </c>
      <c r="G1000" s="33" t="s">
        <v>253</v>
      </c>
      <c r="H1000" s="33" t="s">
        <v>254</v>
      </c>
      <c r="I1000" s="33" t="s">
        <v>100</v>
      </c>
      <c r="J1000" s="33" t="s">
        <v>50</v>
      </c>
      <c r="K1000" s="34" t="s">
        <v>101</v>
      </c>
    </row>
    <row r="1001">
      <c r="A1001" s="27">
        <v>7813.0</v>
      </c>
      <c r="B1001" s="28">
        <v>129120.0</v>
      </c>
      <c r="C1001" s="29" t="s">
        <v>102</v>
      </c>
      <c r="D1001" s="29" t="s">
        <v>392</v>
      </c>
      <c r="E1001" s="29" t="s">
        <v>2345</v>
      </c>
      <c r="F1001" s="29" t="s">
        <v>2346</v>
      </c>
      <c r="G1001" s="29" t="s">
        <v>198</v>
      </c>
      <c r="H1001" s="29" t="s">
        <v>199</v>
      </c>
      <c r="I1001" s="29" t="s">
        <v>100</v>
      </c>
      <c r="J1001" s="29" t="s">
        <v>56</v>
      </c>
      <c r="K1001" s="30" t="s">
        <v>101</v>
      </c>
    </row>
    <row r="1002">
      <c r="A1002" s="31">
        <v>16790.0</v>
      </c>
      <c r="B1002" s="32">
        <v>116737.0</v>
      </c>
      <c r="C1002" s="33" t="s">
        <v>102</v>
      </c>
      <c r="D1002" s="33" t="s">
        <v>477</v>
      </c>
      <c r="E1002" s="33" t="s">
        <v>2347</v>
      </c>
      <c r="F1002" s="33" t="s">
        <v>2348</v>
      </c>
      <c r="G1002" s="33" t="s">
        <v>264</v>
      </c>
      <c r="H1002" s="33" t="s">
        <v>265</v>
      </c>
      <c r="I1002" s="33" t="s">
        <v>100</v>
      </c>
      <c r="J1002" s="33" t="s">
        <v>56</v>
      </c>
      <c r="K1002" s="34" t="s">
        <v>101</v>
      </c>
    </row>
    <row r="1003">
      <c r="A1003" s="27">
        <v>38613.0</v>
      </c>
      <c r="B1003" s="28">
        <v>146931.0</v>
      </c>
      <c r="C1003" s="29" t="s">
        <v>102</v>
      </c>
      <c r="D1003" s="29" t="s">
        <v>1391</v>
      </c>
      <c r="E1003" s="29" t="s">
        <v>2349</v>
      </c>
      <c r="F1003" s="29" t="s">
        <v>2350</v>
      </c>
      <c r="G1003" s="29" t="s">
        <v>270</v>
      </c>
      <c r="H1003" s="29" t="s">
        <v>374</v>
      </c>
      <c r="I1003" s="29" t="s">
        <v>100</v>
      </c>
      <c r="J1003" s="29" t="s">
        <v>41</v>
      </c>
      <c r="K1003" s="30" t="s">
        <v>101</v>
      </c>
    </row>
    <row r="1004">
      <c r="A1004" s="31">
        <v>16939.0</v>
      </c>
      <c r="B1004" s="32">
        <v>162031.0</v>
      </c>
      <c r="C1004" s="33" t="s">
        <v>102</v>
      </c>
      <c r="D1004" s="33" t="s">
        <v>1008</v>
      </c>
      <c r="E1004" s="33" t="s">
        <v>2351</v>
      </c>
      <c r="F1004" s="33" t="s">
        <v>2352</v>
      </c>
      <c r="G1004" s="33" t="s">
        <v>408</v>
      </c>
      <c r="H1004" s="33" t="s">
        <v>409</v>
      </c>
      <c r="I1004" s="33" t="s">
        <v>100</v>
      </c>
      <c r="J1004" s="33" t="s">
        <v>41</v>
      </c>
      <c r="K1004" s="34" t="s">
        <v>101</v>
      </c>
    </row>
    <row r="1005">
      <c r="A1005" s="27">
        <v>38729.0</v>
      </c>
      <c r="B1005" s="28">
        <v>153900.0</v>
      </c>
      <c r="C1005" s="29" t="s">
        <v>102</v>
      </c>
      <c r="D1005" s="29" t="s">
        <v>432</v>
      </c>
      <c r="E1005" s="29" t="s">
        <v>2353</v>
      </c>
      <c r="F1005" s="29" t="s">
        <v>2354</v>
      </c>
      <c r="G1005" s="29" t="s">
        <v>221</v>
      </c>
      <c r="H1005" s="29" t="s">
        <v>222</v>
      </c>
      <c r="I1005" s="29" t="s">
        <v>100</v>
      </c>
      <c r="J1005" s="29" t="s">
        <v>41</v>
      </c>
      <c r="K1005" s="30" t="s">
        <v>101</v>
      </c>
    </row>
    <row r="1006">
      <c r="A1006" s="31">
        <v>7493.0</v>
      </c>
      <c r="B1006" s="32">
        <v>115842.0</v>
      </c>
      <c r="C1006" s="33" t="s">
        <v>102</v>
      </c>
      <c r="D1006" s="33" t="s">
        <v>392</v>
      </c>
      <c r="E1006" s="33" t="s">
        <v>2355</v>
      </c>
      <c r="F1006" s="33" t="s">
        <v>2356</v>
      </c>
      <c r="G1006" s="33" t="s">
        <v>164</v>
      </c>
      <c r="H1006" s="33" t="s">
        <v>165</v>
      </c>
      <c r="I1006" s="33" t="s">
        <v>100</v>
      </c>
      <c r="J1006" s="33" t="s">
        <v>59</v>
      </c>
      <c r="K1006" s="34" t="s">
        <v>101</v>
      </c>
    </row>
    <row r="1007">
      <c r="A1007" s="27">
        <v>38836.0</v>
      </c>
      <c r="B1007" s="28">
        <v>159622.0</v>
      </c>
      <c r="C1007" s="29" t="s">
        <v>102</v>
      </c>
      <c r="D1007" s="29" t="s">
        <v>212</v>
      </c>
      <c r="E1007" s="29" t="s">
        <v>2357</v>
      </c>
      <c r="F1007" s="29" t="s">
        <v>2358</v>
      </c>
      <c r="G1007" s="29" t="s">
        <v>190</v>
      </c>
      <c r="H1007" s="29" t="s">
        <v>191</v>
      </c>
      <c r="I1007" s="29" t="s">
        <v>100</v>
      </c>
      <c r="J1007" s="29" t="s">
        <v>41</v>
      </c>
      <c r="K1007" s="30" t="s">
        <v>101</v>
      </c>
    </row>
    <row r="1008">
      <c r="A1008" s="31">
        <v>7061.0</v>
      </c>
      <c r="B1008" s="32">
        <v>112619.0</v>
      </c>
      <c r="C1008" s="33" t="s">
        <v>94</v>
      </c>
      <c r="D1008" s="33" t="s">
        <v>390</v>
      </c>
      <c r="E1008" s="33" t="s">
        <v>2359</v>
      </c>
      <c r="F1008" s="33" t="s">
        <v>2360</v>
      </c>
      <c r="G1008" s="33" t="s">
        <v>130</v>
      </c>
      <c r="H1008" s="36" t="s">
        <v>131</v>
      </c>
      <c r="I1008" s="33" t="s">
        <v>100</v>
      </c>
      <c r="J1008" s="33" t="s">
        <v>62</v>
      </c>
      <c r="K1008" s="34" t="s">
        <v>101</v>
      </c>
    </row>
    <row r="1009">
      <c r="A1009" s="27">
        <v>38930.0</v>
      </c>
      <c r="B1009" s="28">
        <v>162998.0</v>
      </c>
      <c r="C1009" s="29" t="s">
        <v>102</v>
      </c>
      <c r="D1009" s="29" t="s">
        <v>487</v>
      </c>
      <c r="E1009" s="29" t="s">
        <v>2361</v>
      </c>
      <c r="F1009" s="29" t="s">
        <v>2362</v>
      </c>
      <c r="G1009" s="29" t="s">
        <v>181</v>
      </c>
      <c r="H1009" s="29" t="s">
        <v>182</v>
      </c>
      <c r="I1009" s="29" t="s">
        <v>100</v>
      </c>
      <c r="J1009" s="29" t="s">
        <v>53</v>
      </c>
      <c r="K1009" s="30" t="s">
        <v>101</v>
      </c>
    </row>
    <row r="1010">
      <c r="A1010" s="31">
        <v>25465.0</v>
      </c>
      <c r="B1010" s="32">
        <v>65752.0</v>
      </c>
      <c r="C1010" s="33" t="s">
        <v>102</v>
      </c>
      <c r="D1010" s="33" t="s">
        <v>308</v>
      </c>
      <c r="E1010" s="33" t="s">
        <v>2363</v>
      </c>
      <c r="F1010" s="33" t="s">
        <v>2364</v>
      </c>
      <c r="G1010" s="33" t="s">
        <v>323</v>
      </c>
      <c r="H1010" s="33" t="s">
        <v>417</v>
      </c>
      <c r="I1010" s="33" t="s">
        <v>100</v>
      </c>
      <c r="J1010" s="33" t="s">
        <v>41</v>
      </c>
      <c r="K1010" s="34" t="s">
        <v>101</v>
      </c>
    </row>
    <row r="1011">
      <c r="A1011" s="27">
        <v>25551.0</v>
      </c>
      <c r="B1011" s="28">
        <v>70545.0</v>
      </c>
      <c r="C1011" s="29" t="s">
        <v>94</v>
      </c>
      <c r="D1011" s="29" t="s">
        <v>1543</v>
      </c>
      <c r="E1011" s="29" t="s">
        <v>2363</v>
      </c>
      <c r="F1011" s="29" t="s">
        <v>2365</v>
      </c>
      <c r="G1011" s="29" t="s">
        <v>323</v>
      </c>
      <c r="H1011" s="29" t="s">
        <v>417</v>
      </c>
      <c r="I1011" s="29" t="s">
        <v>100</v>
      </c>
      <c r="J1011" s="29" t="s">
        <v>44</v>
      </c>
      <c r="K1011" s="30" t="s">
        <v>101</v>
      </c>
    </row>
    <row r="1012">
      <c r="A1012" s="31">
        <v>38538.0</v>
      </c>
      <c r="B1012" s="32">
        <v>145500.0</v>
      </c>
      <c r="C1012" s="33" t="s">
        <v>94</v>
      </c>
      <c r="D1012" s="33" t="s">
        <v>511</v>
      </c>
      <c r="E1012" s="33" t="s">
        <v>2366</v>
      </c>
      <c r="F1012" s="33" t="s">
        <v>2367</v>
      </c>
      <c r="G1012" s="33" t="s">
        <v>130</v>
      </c>
      <c r="H1012" s="33" t="s">
        <v>244</v>
      </c>
      <c r="I1012" s="33" t="s">
        <v>100</v>
      </c>
      <c r="J1012" s="33" t="s">
        <v>44</v>
      </c>
      <c r="K1012" s="34" t="s">
        <v>101</v>
      </c>
    </row>
    <row r="1013">
      <c r="A1013" s="27">
        <v>38467.0</v>
      </c>
      <c r="B1013" s="28">
        <v>142786.0</v>
      </c>
      <c r="C1013" s="29" t="s">
        <v>102</v>
      </c>
      <c r="D1013" s="29" t="s">
        <v>2368</v>
      </c>
      <c r="E1013" s="29" t="s">
        <v>2366</v>
      </c>
      <c r="F1013" s="29" t="s">
        <v>2369</v>
      </c>
      <c r="G1013" s="29" t="s">
        <v>143</v>
      </c>
      <c r="H1013" s="29" t="s">
        <v>144</v>
      </c>
      <c r="I1013" s="29" t="s">
        <v>100</v>
      </c>
      <c r="J1013" s="29" t="s">
        <v>41</v>
      </c>
      <c r="K1013" s="30" t="s">
        <v>101</v>
      </c>
    </row>
    <row r="1014">
      <c r="A1014" s="31">
        <v>16185.0</v>
      </c>
      <c r="B1014" s="32">
        <v>129639.0</v>
      </c>
      <c r="C1014" s="33" t="s">
        <v>102</v>
      </c>
      <c r="D1014" s="33" t="s">
        <v>1037</v>
      </c>
      <c r="E1014" s="33" t="s">
        <v>2370</v>
      </c>
      <c r="F1014" s="33" t="s">
        <v>2371</v>
      </c>
      <c r="G1014" s="33" t="s">
        <v>130</v>
      </c>
      <c r="H1014" s="33" t="s">
        <v>157</v>
      </c>
      <c r="I1014" s="33" t="s">
        <v>100</v>
      </c>
      <c r="J1014" s="33" t="s">
        <v>41</v>
      </c>
      <c r="K1014" s="34" t="s">
        <v>101</v>
      </c>
    </row>
    <row r="1015">
      <c r="A1015" s="27">
        <v>16187.0</v>
      </c>
      <c r="B1015" s="28">
        <v>128823.0</v>
      </c>
      <c r="C1015" s="29" t="s">
        <v>102</v>
      </c>
      <c r="D1015" s="29" t="s">
        <v>840</v>
      </c>
      <c r="E1015" s="29" t="s">
        <v>2370</v>
      </c>
      <c r="F1015" s="29" t="s">
        <v>2372</v>
      </c>
      <c r="G1015" s="29" t="s">
        <v>130</v>
      </c>
      <c r="H1015" s="29" t="s">
        <v>157</v>
      </c>
      <c r="I1015" s="29" t="s">
        <v>100</v>
      </c>
      <c r="J1015" s="29" t="s">
        <v>41</v>
      </c>
      <c r="K1015" s="30" t="s">
        <v>101</v>
      </c>
    </row>
    <row r="1016">
      <c r="A1016" s="31">
        <v>38976.0</v>
      </c>
      <c r="B1016" s="32">
        <v>175071.0</v>
      </c>
      <c r="C1016" s="33" t="s">
        <v>102</v>
      </c>
      <c r="D1016" s="33" t="s">
        <v>2373</v>
      </c>
      <c r="E1016" s="33" t="s">
        <v>2374</v>
      </c>
      <c r="F1016" s="33" t="s">
        <v>2375</v>
      </c>
      <c r="G1016" s="33" t="s">
        <v>323</v>
      </c>
      <c r="H1016" s="33" t="s">
        <v>417</v>
      </c>
      <c r="I1016" s="33" t="s">
        <v>100</v>
      </c>
      <c r="J1016" s="33" t="s">
        <v>41</v>
      </c>
      <c r="K1016" s="34" t="s">
        <v>101</v>
      </c>
    </row>
    <row r="1017">
      <c r="A1017" s="27">
        <v>7282.0</v>
      </c>
      <c r="B1017" s="28">
        <v>114228.0</v>
      </c>
      <c r="C1017" s="29" t="s">
        <v>102</v>
      </c>
      <c r="D1017" s="29" t="s">
        <v>261</v>
      </c>
      <c r="E1017" s="29" t="s">
        <v>2376</v>
      </c>
      <c r="F1017" s="29" t="s">
        <v>2377</v>
      </c>
      <c r="G1017" s="29" t="s">
        <v>181</v>
      </c>
      <c r="H1017" s="29" t="s">
        <v>182</v>
      </c>
      <c r="I1017" s="29" t="s">
        <v>100</v>
      </c>
      <c r="J1017" s="29" t="s">
        <v>56</v>
      </c>
      <c r="K1017" s="30" t="s">
        <v>101</v>
      </c>
    </row>
    <row r="1018">
      <c r="A1018" s="31">
        <v>7880.0</v>
      </c>
      <c r="B1018" s="32">
        <v>112187.0</v>
      </c>
      <c r="C1018" s="33" t="s">
        <v>102</v>
      </c>
      <c r="D1018" s="33" t="s">
        <v>230</v>
      </c>
      <c r="E1018" s="33" t="s">
        <v>2378</v>
      </c>
      <c r="F1018" s="33" t="s">
        <v>2379</v>
      </c>
      <c r="G1018" s="33" t="s">
        <v>198</v>
      </c>
      <c r="H1018" s="33" t="s">
        <v>199</v>
      </c>
      <c r="I1018" s="33" t="s">
        <v>100</v>
      </c>
      <c r="J1018" s="33" t="s">
        <v>53</v>
      </c>
      <c r="K1018" s="34" t="s">
        <v>101</v>
      </c>
    </row>
    <row r="1019">
      <c r="A1019" s="27">
        <v>34400.0</v>
      </c>
      <c r="B1019" s="28">
        <v>132728.0</v>
      </c>
      <c r="C1019" s="29" t="s">
        <v>94</v>
      </c>
      <c r="D1019" s="29" t="s">
        <v>2380</v>
      </c>
      <c r="E1019" s="29" t="s">
        <v>2381</v>
      </c>
      <c r="F1019" s="29" t="s">
        <v>2382</v>
      </c>
      <c r="G1019" s="29" t="s">
        <v>198</v>
      </c>
      <c r="H1019" s="29" t="s">
        <v>328</v>
      </c>
      <c r="I1019" s="29" t="s">
        <v>100</v>
      </c>
      <c r="J1019" s="29" t="s">
        <v>44</v>
      </c>
      <c r="K1019" s="30" t="s">
        <v>101</v>
      </c>
    </row>
    <row r="1020">
      <c r="A1020" s="31">
        <v>38637.0</v>
      </c>
      <c r="B1020" s="32">
        <v>148774.0</v>
      </c>
      <c r="C1020" s="33" t="s">
        <v>102</v>
      </c>
      <c r="D1020" s="33" t="s">
        <v>109</v>
      </c>
      <c r="E1020" s="33" t="s">
        <v>2383</v>
      </c>
      <c r="F1020" s="33" t="s">
        <v>2384</v>
      </c>
      <c r="G1020" s="33" t="s">
        <v>135</v>
      </c>
      <c r="H1020" s="33" t="s">
        <v>294</v>
      </c>
      <c r="I1020" s="33" t="s">
        <v>100</v>
      </c>
      <c r="J1020" s="33" t="s">
        <v>41</v>
      </c>
      <c r="K1020" s="34" t="s">
        <v>101</v>
      </c>
    </row>
    <row r="1021">
      <c r="A1021" s="27">
        <v>38803.0</v>
      </c>
      <c r="B1021" s="28">
        <v>158038.0</v>
      </c>
      <c r="C1021" s="29" t="s">
        <v>102</v>
      </c>
      <c r="D1021" s="29" t="s">
        <v>2385</v>
      </c>
      <c r="E1021" s="29" t="s">
        <v>2386</v>
      </c>
      <c r="F1021" s="29" t="s">
        <v>2387</v>
      </c>
      <c r="G1021" s="29" t="s">
        <v>198</v>
      </c>
      <c r="H1021" s="29" t="s">
        <v>544</v>
      </c>
      <c r="I1021" s="29" t="s">
        <v>100</v>
      </c>
      <c r="J1021" s="29" t="s">
        <v>41</v>
      </c>
      <c r="K1021" s="30" t="s">
        <v>101</v>
      </c>
    </row>
    <row r="1022">
      <c r="A1022" s="31">
        <v>16333.0</v>
      </c>
      <c r="B1022" s="32">
        <v>116738.0</v>
      </c>
      <c r="C1022" s="33" t="s">
        <v>102</v>
      </c>
      <c r="D1022" s="33" t="s">
        <v>245</v>
      </c>
      <c r="E1022" s="33" t="s">
        <v>2388</v>
      </c>
      <c r="F1022" s="33" t="s">
        <v>2389</v>
      </c>
      <c r="G1022" s="33" t="s">
        <v>164</v>
      </c>
      <c r="H1022" s="33" t="s">
        <v>165</v>
      </c>
      <c r="I1022" s="33" t="s">
        <v>100</v>
      </c>
      <c r="J1022" s="33" t="s">
        <v>53</v>
      </c>
      <c r="K1022" s="34" t="s">
        <v>101</v>
      </c>
    </row>
    <row r="1023">
      <c r="A1023" s="27">
        <v>38951.0</v>
      </c>
      <c r="B1023" s="28">
        <v>164078.0</v>
      </c>
      <c r="C1023" s="29" t="s">
        <v>102</v>
      </c>
      <c r="D1023" s="29" t="s">
        <v>166</v>
      </c>
      <c r="E1023" s="29" t="s">
        <v>2390</v>
      </c>
      <c r="F1023" s="29" t="s">
        <v>2391</v>
      </c>
      <c r="G1023" s="29" t="s">
        <v>164</v>
      </c>
      <c r="H1023" s="29" t="s">
        <v>165</v>
      </c>
      <c r="I1023" s="29" t="s">
        <v>100</v>
      </c>
      <c r="J1023" s="29" t="s">
        <v>53</v>
      </c>
      <c r="K1023" s="30" t="s">
        <v>101</v>
      </c>
    </row>
    <row r="1024">
      <c r="A1024" s="31">
        <v>38638.0</v>
      </c>
      <c r="B1024" s="32">
        <v>148775.0</v>
      </c>
      <c r="C1024" s="33" t="s">
        <v>102</v>
      </c>
      <c r="D1024" s="33" t="s">
        <v>1217</v>
      </c>
      <c r="E1024" s="33" t="s">
        <v>2392</v>
      </c>
      <c r="F1024" s="33" t="s">
        <v>2393</v>
      </c>
      <c r="G1024" s="33" t="s">
        <v>135</v>
      </c>
      <c r="H1024" s="33" t="s">
        <v>294</v>
      </c>
      <c r="I1024" s="33" t="s">
        <v>100</v>
      </c>
      <c r="J1024" s="33" t="s">
        <v>41</v>
      </c>
      <c r="K1024" s="34" t="s">
        <v>101</v>
      </c>
    </row>
    <row r="1025">
      <c r="A1025" s="27">
        <v>27004.0</v>
      </c>
      <c r="B1025" s="28">
        <v>1776.0</v>
      </c>
      <c r="C1025" s="29" t="s">
        <v>94</v>
      </c>
      <c r="D1025" s="29" t="s">
        <v>2394</v>
      </c>
      <c r="E1025" s="29" t="s">
        <v>2395</v>
      </c>
      <c r="F1025" s="29" t="s">
        <v>2396</v>
      </c>
      <c r="G1025" s="29" t="s">
        <v>198</v>
      </c>
      <c r="H1025" s="29" t="s">
        <v>328</v>
      </c>
      <c r="I1025" s="29" t="s">
        <v>100</v>
      </c>
      <c r="J1025" s="29" t="s">
        <v>44</v>
      </c>
      <c r="K1025" s="30" t="s">
        <v>101</v>
      </c>
    </row>
    <row r="1026">
      <c r="A1026" s="31">
        <v>7573.0</v>
      </c>
      <c r="B1026" s="32">
        <v>119971.0</v>
      </c>
      <c r="C1026" s="33" t="s">
        <v>102</v>
      </c>
      <c r="D1026" s="33" t="s">
        <v>1318</v>
      </c>
      <c r="E1026" s="33" t="s">
        <v>2395</v>
      </c>
      <c r="F1026" s="33" t="s">
        <v>2397</v>
      </c>
      <c r="G1026" s="33" t="s">
        <v>130</v>
      </c>
      <c r="H1026" s="36" t="s">
        <v>131</v>
      </c>
      <c r="I1026" s="33" t="s">
        <v>100</v>
      </c>
      <c r="J1026" s="33" t="s">
        <v>56</v>
      </c>
      <c r="K1026" s="34" t="s">
        <v>101</v>
      </c>
    </row>
    <row r="1027">
      <c r="A1027" s="27">
        <v>38662.0</v>
      </c>
      <c r="B1027" s="28">
        <v>148807.0</v>
      </c>
      <c r="C1027" s="29" t="s">
        <v>94</v>
      </c>
      <c r="D1027" s="29" t="s">
        <v>2398</v>
      </c>
      <c r="E1027" s="29" t="s">
        <v>2399</v>
      </c>
      <c r="F1027" s="29" t="s">
        <v>2400</v>
      </c>
      <c r="G1027" s="29" t="s">
        <v>741</v>
      </c>
      <c r="H1027" s="29" t="s">
        <v>742</v>
      </c>
      <c r="I1027" s="29" t="s">
        <v>100</v>
      </c>
      <c r="J1027" s="29" t="s">
        <v>65</v>
      </c>
      <c r="K1027" s="30" t="s">
        <v>101</v>
      </c>
    </row>
    <row r="1028">
      <c r="A1028" s="31">
        <v>25829.0</v>
      </c>
      <c r="B1028" s="32">
        <v>107446.0</v>
      </c>
      <c r="C1028" s="33" t="s">
        <v>102</v>
      </c>
      <c r="D1028" s="33" t="s">
        <v>2138</v>
      </c>
      <c r="E1028" s="33" t="s">
        <v>2401</v>
      </c>
      <c r="F1028" s="33" t="s">
        <v>2402</v>
      </c>
      <c r="G1028" s="33" t="s">
        <v>221</v>
      </c>
      <c r="H1028" s="33" t="s">
        <v>222</v>
      </c>
      <c r="I1028" s="33" t="s">
        <v>100</v>
      </c>
      <c r="J1028" s="33" t="s">
        <v>53</v>
      </c>
      <c r="K1028" s="34" t="s">
        <v>101</v>
      </c>
    </row>
    <row r="1029">
      <c r="A1029" s="27">
        <v>7551.0</v>
      </c>
      <c r="B1029" s="28">
        <v>109426.0</v>
      </c>
      <c r="C1029" s="29" t="s">
        <v>94</v>
      </c>
      <c r="D1029" s="29" t="s">
        <v>490</v>
      </c>
      <c r="E1029" s="29" t="s">
        <v>2403</v>
      </c>
      <c r="F1029" s="29" t="s">
        <v>2404</v>
      </c>
      <c r="G1029" s="29" t="s">
        <v>270</v>
      </c>
      <c r="H1029" s="29" t="s">
        <v>271</v>
      </c>
      <c r="I1029" s="29" t="s">
        <v>100</v>
      </c>
      <c r="J1029" s="29" t="s">
        <v>68</v>
      </c>
      <c r="K1029" s="30" t="s">
        <v>101</v>
      </c>
    </row>
    <row r="1030">
      <c r="A1030" s="31">
        <v>7177.0</v>
      </c>
      <c r="B1030" s="32">
        <v>139235.0</v>
      </c>
      <c r="C1030" s="33" t="s">
        <v>102</v>
      </c>
      <c r="D1030" s="33" t="s">
        <v>212</v>
      </c>
      <c r="E1030" s="33" t="s">
        <v>2405</v>
      </c>
      <c r="F1030" s="33" t="s">
        <v>2406</v>
      </c>
      <c r="G1030" s="33" t="s">
        <v>135</v>
      </c>
      <c r="H1030" s="33" t="s">
        <v>203</v>
      </c>
      <c r="I1030" s="33" t="s">
        <v>100</v>
      </c>
      <c r="J1030" s="33" t="s">
        <v>53</v>
      </c>
      <c r="K1030" s="34" t="s">
        <v>101</v>
      </c>
    </row>
    <row r="1031">
      <c r="A1031" s="27">
        <v>38260.0</v>
      </c>
      <c r="B1031" s="28">
        <v>135374.0</v>
      </c>
      <c r="C1031" s="29" t="s">
        <v>102</v>
      </c>
      <c r="D1031" s="29" t="s">
        <v>1347</v>
      </c>
      <c r="E1031" s="29" t="s">
        <v>2405</v>
      </c>
      <c r="F1031" s="29" t="s">
        <v>2407</v>
      </c>
      <c r="G1031" s="29" t="s">
        <v>198</v>
      </c>
      <c r="H1031" s="29" t="s">
        <v>199</v>
      </c>
      <c r="I1031" s="29" t="s">
        <v>100</v>
      </c>
      <c r="J1031" s="29" t="s">
        <v>41</v>
      </c>
      <c r="K1031" s="30" t="s">
        <v>101</v>
      </c>
    </row>
    <row r="1032">
      <c r="A1032" s="31">
        <v>38172.0</v>
      </c>
      <c r="B1032" s="32">
        <v>131520.0</v>
      </c>
      <c r="C1032" s="33" t="s">
        <v>102</v>
      </c>
      <c r="D1032" s="33" t="s">
        <v>132</v>
      </c>
      <c r="E1032" s="33" t="s">
        <v>2408</v>
      </c>
      <c r="F1032" s="33" t="s">
        <v>2409</v>
      </c>
      <c r="G1032" s="33" t="s">
        <v>275</v>
      </c>
      <c r="H1032" s="33" t="s">
        <v>276</v>
      </c>
      <c r="I1032" s="33" t="s">
        <v>100</v>
      </c>
      <c r="J1032" s="33" t="s">
        <v>41</v>
      </c>
      <c r="K1032" s="34" t="s">
        <v>101</v>
      </c>
    </row>
    <row r="1033">
      <c r="A1033" s="27">
        <v>38639.0</v>
      </c>
      <c r="B1033" s="28">
        <v>148776.0</v>
      </c>
      <c r="C1033" s="29" t="s">
        <v>102</v>
      </c>
      <c r="D1033" s="29" t="s">
        <v>465</v>
      </c>
      <c r="E1033" s="29" t="s">
        <v>2410</v>
      </c>
      <c r="F1033" s="29" t="s">
        <v>2411</v>
      </c>
      <c r="G1033" s="29" t="s">
        <v>135</v>
      </c>
      <c r="H1033" s="29" t="s">
        <v>294</v>
      </c>
      <c r="I1033" s="29" t="s">
        <v>100</v>
      </c>
      <c r="J1033" s="29" t="s">
        <v>41</v>
      </c>
      <c r="K1033" s="30" t="s">
        <v>101</v>
      </c>
    </row>
    <row r="1034">
      <c r="A1034" s="31">
        <v>7889.0</v>
      </c>
      <c r="B1034" s="32">
        <v>109445.0</v>
      </c>
      <c r="C1034" s="33" t="s">
        <v>94</v>
      </c>
      <c r="D1034" s="33" t="s">
        <v>1845</v>
      </c>
      <c r="E1034" s="33" t="s">
        <v>2412</v>
      </c>
      <c r="F1034" s="33" t="s">
        <v>2413</v>
      </c>
      <c r="G1034" s="33" t="s">
        <v>198</v>
      </c>
      <c r="H1034" s="33" t="s">
        <v>386</v>
      </c>
      <c r="I1034" s="33" t="s">
        <v>100</v>
      </c>
      <c r="J1034" s="33" t="s">
        <v>65</v>
      </c>
      <c r="K1034" s="34" t="s">
        <v>101</v>
      </c>
    </row>
    <row r="1035">
      <c r="A1035" s="27">
        <v>38509.0</v>
      </c>
      <c r="B1035" s="28">
        <v>144596.0</v>
      </c>
      <c r="C1035" s="29" t="s">
        <v>102</v>
      </c>
      <c r="D1035" s="29" t="s">
        <v>2414</v>
      </c>
      <c r="E1035" s="29" t="s">
        <v>2415</v>
      </c>
      <c r="F1035" s="29" t="s">
        <v>2416</v>
      </c>
      <c r="G1035" s="29" t="s">
        <v>190</v>
      </c>
      <c r="H1035" s="29" t="s">
        <v>191</v>
      </c>
      <c r="I1035" s="29" t="s">
        <v>100</v>
      </c>
      <c r="J1035" s="29" t="s">
        <v>53</v>
      </c>
      <c r="K1035" s="30" t="s">
        <v>101</v>
      </c>
    </row>
    <row r="1036">
      <c r="A1036" s="31">
        <v>38872.0</v>
      </c>
      <c r="B1036" s="32">
        <v>162015.0</v>
      </c>
      <c r="C1036" s="33" t="s">
        <v>102</v>
      </c>
      <c r="D1036" s="33" t="s">
        <v>665</v>
      </c>
      <c r="E1036" s="33" t="s">
        <v>2417</v>
      </c>
      <c r="F1036" s="33" t="s">
        <v>2418</v>
      </c>
      <c r="G1036" s="33" t="s">
        <v>323</v>
      </c>
      <c r="H1036" s="33" t="s">
        <v>417</v>
      </c>
      <c r="I1036" s="33" t="s">
        <v>100</v>
      </c>
      <c r="J1036" s="33" t="s">
        <v>41</v>
      </c>
      <c r="K1036" s="34" t="s">
        <v>101</v>
      </c>
    </row>
    <row r="1037">
      <c r="A1037" s="27">
        <v>25722.0</v>
      </c>
      <c r="B1037" s="28">
        <v>91279.0</v>
      </c>
      <c r="C1037" s="29" t="s">
        <v>102</v>
      </c>
      <c r="D1037" s="29" t="s">
        <v>1008</v>
      </c>
      <c r="E1037" s="29" t="s">
        <v>2419</v>
      </c>
      <c r="F1037" s="29" t="s">
        <v>2420</v>
      </c>
      <c r="G1037" s="29" t="s">
        <v>130</v>
      </c>
      <c r="H1037" s="29" t="s">
        <v>153</v>
      </c>
      <c r="I1037" s="29" t="s">
        <v>100</v>
      </c>
      <c r="J1037" s="29" t="s">
        <v>41</v>
      </c>
      <c r="K1037" s="30" t="s">
        <v>101</v>
      </c>
    </row>
    <row r="1038">
      <c r="A1038" s="31">
        <v>7415.0</v>
      </c>
      <c r="B1038" s="32">
        <v>153898.0</v>
      </c>
      <c r="C1038" s="33" t="s">
        <v>102</v>
      </c>
      <c r="D1038" s="33" t="s">
        <v>109</v>
      </c>
      <c r="E1038" s="33" t="s">
        <v>2419</v>
      </c>
      <c r="F1038" s="33" t="s">
        <v>2421</v>
      </c>
      <c r="G1038" s="33" t="s">
        <v>130</v>
      </c>
      <c r="H1038" s="33" t="s">
        <v>153</v>
      </c>
      <c r="I1038" s="33" t="s">
        <v>100</v>
      </c>
      <c r="J1038" s="33" t="s">
        <v>56</v>
      </c>
      <c r="K1038" s="34" t="s">
        <v>101</v>
      </c>
    </row>
    <row r="1039">
      <c r="A1039" s="27">
        <v>38018.0</v>
      </c>
      <c r="B1039" s="28">
        <v>111795.0</v>
      </c>
      <c r="C1039" s="29" t="s">
        <v>102</v>
      </c>
      <c r="D1039" s="29" t="s">
        <v>2422</v>
      </c>
      <c r="E1039" s="29" t="s">
        <v>2423</v>
      </c>
      <c r="F1039" s="29" t="s">
        <v>2424</v>
      </c>
      <c r="G1039" s="29" t="s">
        <v>408</v>
      </c>
      <c r="H1039" s="29" t="s">
        <v>409</v>
      </c>
      <c r="I1039" s="29" t="s">
        <v>100</v>
      </c>
      <c r="J1039" s="29" t="s">
        <v>41</v>
      </c>
      <c r="K1039" s="30" t="s">
        <v>101</v>
      </c>
    </row>
    <row r="1040">
      <c r="A1040" s="31">
        <v>16992.0</v>
      </c>
      <c r="B1040" s="32">
        <v>29310.0</v>
      </c>
      <c r="C1040" s="33" t="s">
        <v>94</v>
      </c>
      <c r="D1040" s="33" t="s">
        <v>150</v>
      </c>
      <c r="E1040" s="33" t="s">
        <v>2425</v>
      </c>
      <c r="F1040" s="33" t="s">
        <v>2426</v>
      </c>
      <c r="G1040" s="33" t="s">
        <v>741</v>
      </c>
      <c r="H1040" s="33" t="s">
        <v>742</v>
      </c>
      <c r="I1040" s="33" t="s">
        <v>100</v>
      </c>
      <c r="J1040" s="33" t="s">
        <v>62</v>
      </c>
      <c r="K1040" s="34" t="s">
        <v>101</v>
      </c>
    </row>
    <row r="1041">
      <c r="A1041" s="19">
        <v>38641.0</v>
      </c>
      <c r="B1041" s="20">
        <v>148778.0</v>
      </c>
      <c r="C1041" s="21" t="s">
        <v>102</v>
      </c>
      <c r="D1041" s="21" t="s">
        <v>918</v>
      </c>
      <c r="E1041" s="21" t="s">
        <v>2425</v>
      </c>
      <c r="F1041" s="21" t="s">
        <v>2427</v>
      </c>
      <c r="G1041" s="21" t="s">
        <v>741</v>
      </c>
      <c r="H1041" s="21" t="s">
        <v>742</v>
      </c>
      <c r="I1041" s="21" t="s">
        <v>100</v>
      </c>
      <c r="J1041" s="21" t="s">
        <v>53</v>
      </c>
      <c r="K1041" s="22" t="s">
        <v>101</v>
      </c>
    </row>
    <row r="1042">
      <c r="A1042" s="15">
        <v>7126.0</v>
      </c>
      <c r="B1042" s="16">
        <v>114542.0</v>
      </c>
      <c r="C1042" s="17" t="s">
        <v>102</v>
      </c>
      <c r="D1042" s="17" t="s">
        <v>378</v>
      </c>
      <c r="E1042" s="17" t="s">
        <v>2428</v>
      </c>
      <c r="F1042" s="17" t="s">
        <v>2429</v>
      </c>
      <c r="G1042" s="17" t="s">
        <v>190</v>
      </c>
      <c r="H1042" s="17" t="s">
        <v>317</v>
      </c>
      <c r="I1042" s="17" t="s">
        <v>100</v>
      </c>
      <c r="J1042" s="17" t="s">
        <v>53</v>
      </c>
      <c r="K1042" s="18" t="s">
        <v>101</v>
      </c>
    </row>
    <row r="1043">
      <c r="A1043" s="19">
        <v>25350.0</v>
      </c>
      <c r="B1043" s="20">
        <v>54214.0</v>
      </c>
      <c r="C1043" s="21" t="s">
        <v>102</v>
      </c>
      <c r="D1043" s="21" t="s">
        <v>918</v>
      </c>
      <c r="E1043" s="21" t="s">
        <v>2430</v>
      </c>
      <c r="F1043" s="21" t="s">
        <v>2431</v>
      </c>
      <c r="G1043" s="21" t="s">
        <v>323</v>
      </c>
      <c r="H1043" s="21" t="s">
        <v>417</v>
      </c>
      <c r="I1043" s="21" t="s">
        <v>100</v>
      </c>
      <c r="J1043" s="21" t="s">
        <v>53</v>
      </c>
      <c r="K1043" s="22" t="s">
        <v>101</v>
      </c>
    </row>
    <row r="1044">
      <c r="A1044" s="15">
        <v>38590.0</v>
      </c>
      <c r="B1044" s="16">
        <v>146902.0</v>
      </c>
      <c r="C1044" s="17" t="s">
        <v>102</v>
      </c>
      <c r="D1044" s="17" t="s">
        <v>245</v>
      </c>
      <c r="E1044" s="17" t="s">
        <v>2432</v>
      </c>
      <c r="F1044" s="17" t="s">
        <v>2433</v>
      </c>
      <c r="G1044" s="17" t="s">
        <v>148</v>
      </c>
      <c r="H1044" s="17" t="s">
        <v>149</v>
      </c>
      <c r="I1044" s="17" t="s">
        <v>100</v>
      </c>
      <c r="J1044" s="17" t="s">
        <v>41</v>
      </c>
      <c r="K1044" s="18" t="s">
        <v>101</v>
      </c>
    </row>
    <row r="1045">
      <c r="A1045" s="19">
        <v>38626.0</v>
      </c>
      <c r="B1045" s="20">
        <v>148760.0</v>
      </c>
      <c r="C1045" s="21" t="s">
        <v>102</v>
      </c>
      <c r="D1045" s="21" t="s">
        <v>255</v>
      </c>
      <c r="E1045" s="21" t="s">
        <v>2434</v>
      </c>
      <c r="F1045" s="21" t="s">
        <v>2435</v>
      </c>
      <c r="G1045" s="21" t="s">
        <v>130</v>
      </c>
      <c r="H1045" s="38" t="s">
        <v>131</v>
      </c>
      <c r="I1045" s="21" t="s">
        <v>100</v>
      </c>
      <c r="J1045" s="21" t="s">
        <v>435</v>
      </c>
      <c r="K1045" s="22" t="s">
        <v>281</v>
      </c>
    </row>
    <row r="1046">
      <c r="A1046" s="15">
        <v>25267.0</v>
      </c>
      <c r="B1046" s="16">
        <v>46775.0</v>
      </c>
      <c r="C1046" s="17" t="s">
        <v>102</v>
      </c>
      <c r="D1046" s="17" t="s">
        <v>2436</v>
      </c>
      <c r="E1046" s="17" t="s">
        <v>2437</v>
      </c>
      <c r="F1046" s="17" t="s">
        <v>2438</v>
      </c>
      <c r="G1046" s="17" t="s">
        <v>257</v>
      </c>
      <c r="H1046" s="17" t="s">
        <v>258</v>
      </c>
      <c r="I1046" s="17" t="s">
        <v>100</v>
      </c>
      <c r="J1046" s="17" t="s">
        <v>56</v>
      </c>
      <c r="K1046" s="18" t="s">
        <v>101</v>
      </c>
    </row>
    <row r="1047">
      <c r="A1047" s="19">
        <v>25199.0</v>
      </c>
      <c r="B1047" s="20">
        <v>42489.0</v>
      </c>
      <c r="C1047" s="21" t="s">
        <v>102</v>
      </c>
      <c r="D1047" s="21" t="s">
        <v>2132</v>
      </c>
      <c r="E1047" s="21" t="s">
        <v>2439</v>
      </c>
      <c r="F1047" s="21" t="s">
        <v>2440</v>
      </c>
      <c r="G1047" s="21" t="s">
        <v>119</v>
      </c>
      <c r="H1047" s="21" t="s">
        <v>120</v>
      </c>
      <c r="I1047" s="21" t="s">
        <v>100</v>
      </c>
      <c r="J1047" s="21" t="s">
        <v>41</v>
      </c>
      <c r="K1047" s="22" t="s">
        <v>101</v>
      </c>
    </row>
    <row r="1048">
      <c r="A1048" s="15">
        <v>7647.0</v>
      </c>
      <c r="B1048" s="16">
        <v>46456.0</v>
      </c>
      <c r="C1048" s="17" t="s">
        <v>102</v>
      </c>
      <c r="D1048" s="17" t="s">
        <v>272</v>
      </c>
      <c r="E1048" s="17" t="s">
        <v>2441</v>
      </c>
      <c r="F1048" s="17" t="s">
        <v>2442</v>
      </c>
      <c r="G1048" s="17" t="s">
        <v>198</v>
      </c>
      <c r="H1048" s="17" t="s">
        <v>353</v>
      </c>
      <c r="I1048" s="17" t="s">
        <v>100</v>
      </c>
      <c r="J1048" s="17" t="s">
        <v>53</v>
      </c>
      <c r="K1048" s="18" t="s">
        <v>101</v>
      </c>
    </row>
    <row r="1049">
      <c r="A1049" s="19">
        <v>16170.0</v>
      </c>
      <c r="B1049" s="20">
        <v>59869.0</v>
      </c>
      <c r="C1049" s="21" t="s">
        <v>94</v>
      </c>
      <c r="D1049" s="21" t="s">
        <v>2443</v>
      </c>
      <c r="E1049" s="21" t="s">
        <v>2441</v>
      </c>
      <c r="F1049" s="21" t="s">
        <v>2444</v>
      </c>
      <c r="G1049" s="21" t="s">
        <v>198</v>
      </c>
      <c r="H1049" s="21" t="s">
        <v>386</v>
      </c>
      <c r="I1049" s="21" t="s">
        <v>100</v>
      </c>
      <c r="J1049" s="21" t="s">
        <v>44</v>
      </c>
      <c r="K1049" s="22" t="s">
        <v>101</v>
      </c>
    </row>
    <row r="1050">
      <c r="A1050" s="15">
        <v>38928.0</v>
      </c>
      <c r="B1050" s="16">
        <v>162996.0</v>
      </c>
      <c r="C1050" s="17" t="s">
        <v>94</v>
      </c>
      <c r="D1050" s="17" t="s">
        <v>150</v>
      </c>
      <c r="E1050" s="17" t="s">
        <v>2445</v>
      </c>
      <c r="F1050" s="17" t="s">
        <v>2446</v>
      </c>
      <c r="G1050" s="17" t="s">
        <v>130</v>
      </c>
      <c r="H1050" s="17" t="s">
        <v>211</v>
      </c>
      <c r="I1050" s="17" t="s">
        <v>100</v>
      </c>
      <c r="J1050" s="17" t="s">
        <v>62</v>
      </c>
      <c r="K1050" s="18" t="s">
        <v>101</v>
      </c>
    </row>
    <row r="1051">
      <c r="A1051" s="19">
        <v>38387.0</v>
      </c>
      <c r="B1051" s="20">
        <v>139203.0</v>
      </c>
      <c r="C1051" s="21" t="s">
        <v>102</v>
      </c>
      <c r="D1051" s="21" t="s">
        <v>722</v>
      </c>
      <c r="E1051" s="21" t="s">
        <v>2445</v>
      </c>
      <c r="F1051" s="21" t="s">
        <v>2447</v>
      </c>
      <c r="G1051" s="21" t="s">
        <v>130</v>
      </c>
      <c r="H1051" s="21" t="s">
        <v>211</v>
      </c>
      <c r="I1051" s="21" t="s">
        <v>100</v>
      </c>
      <c r="J1051" s="21" t="s">
        <v>56</v>
      </c>
      <c r="K1051" s="22" t="s">
        <v>101</v>
      </c>
    </row>
    <row r="1052">
      <c r="A1052" s="15">
        <v>7330.0</v>
      </c>
      <c r="B1052" s="16">
        <v>111176.0</v>
      </c>
      <c r="C1052" s="17" t="s">
        <v>102</v>
      </c>
      <c r="D1052" s="17" t="s">
        <v>2448</v>
      </c>
      <c r="E1052" s="17" t="s">
        <v>2449</v>
      </c>
      <c r="F1052" s="17" t="s">
        <v>2450</v>
      </c>
      <c r="G1052" s="17" t="s">
        <v>164</v>
      </c>
      <c r="H1052" s="17" t="s">
        <v>165</v>
      </c>
      <c r="I1052" s="17" t="s">
        <v>100</v>
      </c>
      <c r="J1052" s="17" t="s">
        <v>59</v>
      </c>
      <c r="K1052" s="18" t="s">
        <v>101</v>
      </c>
    </row>
    <row r="1053">
      <c r="A1053" s="19"/>
      <c r="B1053" s="39"/>
      <c r="C1053" s="39"/>
      <c r="D1053" s="39"/>
      <c r="E1053" s="39"/>
      <c r="F1053" s="21"/>
      <c r="G1053" s="39"/>
      <c r="H1053" s="39"/>
      <c r="I1053" s="39"/>
      <c r="J1053" s="39"/>
      <c r="K1053" s="40"/>
    </row>
    <row r="1054">
      <c r="A1054" s="15"/>
      <c r="B1054" s="41"/>
      <c r="C1054" s="41"/>
      <c r="D1054" s="41"/>
      <c r="E1054" s="41"/>
      <c r="F1054" s="17"/>
      <c r="G1054" s="41"/>
      <c r="H1054" s="41"/>
      <c r="I1054" s="41"/>
      <c r="J1054" s="41"/>
      <c r="K1054" s="42"/>
    </row>
    <row r="1055">
      <c r="A1055" s="2">
        <v>38934.0</v>
      </c>
      <c r="B1055" s="43"/>
      <c r="C1055" s="44" t="s">
        <v>94</v>
      </c>
      <c r="D1055" s="44" t="s">
        <v>2451</v>
      </c>
      <c r="E1055" s="44" t="s">
        <v>2042</v>
      </c>
      <c r="F1055" s="44" t="s">
        <v>2452</v>
      </c>
      <c r="G1055" s="21" t="s">
        <v>119</v>
      </c>
      <c r="H1055" s="21" t="s">
        <v>120</v>
      </c>
      <c r="I1055" s="43"/>
      <c r="J1055" s="43"/>
      <c r="K1055" s="43"/>
    </row>
    <row r="1056">
      <c r="A1056" s="45">
        <v>46018.0</v>
      </c>
      <c r="B1056" s="46"/>
      <c r="C1056" s="45" t="s">
        <v>102</v>
      </c>
      <c r="D1056" s="45" t="s">
        <v>2453</v>
      </c>
      <c r="E1056" s="45" t="s">
        <v>2454</v>
      </c>
      <c r="F1056" s="45" t="s">
        <v>2455</v>
      </c>
      <c r="G1056" s="17" t="s">
        <v>130</v>
      </c>
      <c r="H1056" s="45" t="s">
        <v>2456</v>
      </c>
      <c r="I1056" s="46"/>
      <c r="J1056" s="46"/>
      <c r="K1056" s="46"/>
    </row>
    <row r="1057">
      <c r="A1057" s="44">
        <v>38314.0</v>
      </c>
      <c r="B1057" s="43"/>
      <c r="C1057" s="44" t="s">
        <v>102</v>
      </c>
      <c r="D1057" s="44" t="s">
        <v>212</v>
      </c>
      <c r="E1057" s="44" t="s">
        <v>929</v>
      </c>
      <c r="F1057" s="44" t="s">
        <v>930</v>
      </c>
      <c r="G1057" s="29" t="s">
        <v>221</v>
      </c>
      <c r="H1057" s="29" t="s">
        <v>222</v>
      </c>
      <c r="I1057" s="43"/>
      <c r="J1057" s="43"/>
      <c r="K1057" s="43"/>
    </row>
    <row r="1058">
      <c r="A1058" s="44"/>
      <c r="B1058" s="43"/>
      <c r="C1058" s="44"/>
      <c r="D1058" s="44"/>
      <c r="E1058" s="44"/>
      <c r="F1058" s="44"/>
      <c r="G1058" s="29"/>
      <c r="H1058" s="29"/>
      <c r="I1058" s="46"/>
      <c r="J1058" s="46"/>
      <c r="K1058" s="46"/>
    </row>
    <row r="1059">
      <c r="A1059" s="43"/>
      <c r="B1059" s="43"/>
      <c r="C1059" s="43"/>
      <c r="D1059" s="43"/>
      <c r="E1059" s="43"/>
      <c r="F1059" s="43"/>
      <c r="G1059" s="43"/>
      <c r="H1059" s="43"/>
      <c r="I1059" s="43"/>
      <c r="J1059" s="43"/>
      <c r="K1059" s="43"/>
    </row>
    <row r="1060">
      <c r="A1060" s="46"/>
      <c r="B1060" s="46"/>
      <c r="C1060" s="46"/>
      <c r="D1060" s="46"/>
      <c r="E1060" s="46"/>
      <c r="F1060" s="46"/>
      <c r="G1060" s="46"/>
      <c r="H1060" s="46"/>
      <c r="I1060" s="46"/>
      <c r="J1060" s="46"/>
      <c r="K1060" s="46"/>
    </row>
    <row r="1061">
      <c r="A1061" s="43"/>
      <c r="B1061" s="43"/>
      <c r="C1061" s="43"/>
      <c r="D1061" s="43"/>
      <c r="E1061" s="43"/>
      <c r="F1061" s="43"/>
      <c r="G1061" s="43"/>
      <c r="H1061" s="43"/>
      <c r="I1061" s="43"/>
      <c r="J1061" s="43"/>
      <c r="K1061" s="43"/>
    </row>
    <row r="1062">
      <c r="A1062" s="46"/>
      <c r="B1062" s="46"/>
      <c r="C1062" s="46"/>
      <c r="D1062" s="46"/>
      <c r="E1062" s="46"/>
      <c r="F1062" s="46"/>
      <c r="G1062" s="46"/>
      <c r="H1062" s="46"/>
      <c r="I1062" s="46"/>
      <c r="J1062" s="46"/>
      <c r="K1062" s="46"/>
    </row>
    <row r="1063">
      <c r="A1063" s="43"/>
      <c r="B1063" s="43"/>
      <c r="C1063" s="43"/>
      <c r="D1063" s="43"/>
      <c r="E1063" s="43"/>
      <c r="F1063" s="43"/>
      <c r="G1063" s="43"/>
      <c r="H1063" s="43"/>
      <c r="I1063" s="43"/>
      <c r="J1063" s="43"/>
      <c r="K1063" s="43"/>
    </row>
    <row r="1064">
      <c r="A1064" s="46"/>
      <c r="B1064" s="46"/>
      <c r="C1064" s="46"/>
      <c r="D1064" s="46"/>
      <c r="E1064" s="46"/>
      <c r="F1064" s="46"/>
      <c r="G1064" s="46"/>
      <c r="H1064" s="46"/>
      <c r="I1064" s="46"/>
      <c r="J1064" s="46"/>
      <c r="K1064" s="46"/>
    </row>
    <row r="1065">
      <c r="A1065" s="43"/>
      <c r="B1065" s="43"/>
      <c r="C1065" s="43"/>
      <c r="D1065" s="43"/>
      <c r="E1065" s="43"/>
      <c r="F1065" s="43"/>
      <c r="G1065" s="43"/>
      <c r="H1065" s="43"/>
      <c r="I1065" s="43"/>
      <c r="J1065" s="43"/>
      <c r="K1065" s="43"/>
    </row>
    <row r="1066">
      <c r="A1066" s="46"/>
      <c r="B1066" s="46"/>
      <c r="C1066" s="46"/>
      <c r="D1066" s="46"/>
      <c r="E1066" s="46"/>
      <c r="F1066" s="46"/>
      <c r="G1066" s="46"/>
      <c r="H1066" s="46"/>
      <c r="I1066" s="46"/>
      <c r="J1066" s="46"/>
      <c r="K1066" s="46"/>
    </row>
    <row r="1067">
      <c r="A1067" s="43"/>
      <c r="B1067" s="43"/>
      <c r="C1067" s="43"/>
      <c r="D1067" s="43"/>
      <c r="E1067" s="43"/>
      <c r="F1067" s="43"/>
      <c r="G1067" s="43"/>
      <c r="H1067" s="43"/>
      <c r="I1067" s="43"/>
      <c r="J1067" s="43"/>
      <c r="K1067" s="43"/>
    </row>
    <row r="1068">
      <c r="A1068" s="46"/>
      <c r="B1068" s="46"/>
      <c r="C1068" s="46"/>
      <c r="D1068" s="46"/>
      <c r="E1068" s="46"/>
      <c r="F1068" s="46"/>
      <c r="G1068" s="46"/>
      <c r="H1068" s="46"/>
      <c r="I1068" s="46"/>
      <c r="J1068" s="46"/>
      <c r="K1068" s="46"/>
    </row>
    <row r="1069">
      <c r="A1069" s="43"/>
      <c r="B1069" s="43"/>
      <c r="C1069" s="43"/>
      <c r="D1069" s="43"/>
      <c r="E1069" s="43"/>
      <c r="F1069" s="43"/>
      <c r="G1069" s="43"/>
      <c r="H1069" s="43"/>
      <c r="I1069" s="43"/>
      <c r="J1069" s="43"/>
      <c r="K1069" s="43"/>
    </row>
    <row r="1070">
      <c r="A1070" s="46"/>
      <c r="B1070" s="46"/>
      <c r="C1070" s="46"/>
      <c r="D1070" s="46"/>
      <c r="E1070" s="46"/>
      <c r="F1070" s="46"/>
      <c r="G1070" s="46"/>
      <c r="H1070" s="46"/>
      <c r="I1070" s="46"/>
      <c r="J1070" s="46"/>
      <c r="K1070" s="46"/>
    </row>
    <row r="1071">
      <c r="A1071" s="43"/>
      <c r="B1071" s="43"/>
      <c r="C1071" s="43"/>
      <c r="D1071" s="43"/>
      <c r="E1071" s="43"/>
      <c r="F1071" s="43"/>
      <c r="G1071" s="43"/>
      <c r="H1071" s="43"/>
      <c r="I1071" s="43"/>
      <c r="J1071" s="43"/>
      <c r="K1071" s="43"/>
    </row>
    <row r="1072">
      <c r="A1072" s="46"/>
      <c r="B1072" s="46"/>
      <c r="C1072" s="46"/>
      <c r="D1072" s="46"/>
      <c r="E1072" s="46"/>
      <c r="F1072" s="46"/>
      <c r="G1072" s="46"/>
      <c r="H1072" s="46"/>
      <c r="I1072" s="46"/>
      <c r="J1072" s="46"/>
      <c r="K1072" s="46"/>
    </row>
    <row r="1073">
      <c r="A1073" s="43"/>
      <c r="B1073" s="43"/>
      <c r="C1073" s="43"/>
      <c r="D1073" s="43"/>
      <c r="E1073" s="43"/>
      <c r="F1073" s="43"/>
      <c r="G1073" s="43"/>
      <c r="H1073" s="43"/>
      <c r="I1073" s="43"/>
      <c r="J1073" s="43"/>
      <c r="K1073" s="43"/>
    </row>
    <row r="1074">
      <c r="A1074" s="46"/>
      <c r="B1074" s="46"/>
      <c r="C1074" s="46"/>
      <c r="D1074" s="46"/>
      <c r="E1074" s="46"/>
      <c r="F1074" s="46"/>
      <c r="G1074" s="46"/>
      <c r="H1074" s="46"/>
      <c r="I1074" s="46"/>
      <c r="J1074" s="46"/>
      <c r="K1074" s="46"/>
    </row>
    <row r="1075">
      <c r="A1075" s="43"/>
      <c r="B1075" s="43"/>
      <c r="C1075" s="43"/>
      <c r="D1075" s="43"/>
      <c r="E1075" s="43"/>
      <c r="F1075" s="43"/>
      <c r="G1075" s="43"/>
      <c r="H1075" s="43"/>
      <c r="I1075" s="43"/>
      <c r="J1075" s="43"/>
      <c r="K1075" s="43"/>
    </row>
    <row r="1076">
      <c r="A1076" s="46"/>
      <c r="B1076" s="46"/>
      <c r="C1076" s="46"/>
      <c r="D1076" s="46"/>
      <c r="E1076" s="46"/>
      <c r="F1076" s="46"/>
      <c r="G1076" s="46"/>
      <c r="H1076" s="46"/>
      <c r="I1076" s="46"/>
      <c r="J1076" s="46"/>
      <c r="K1076" s="46"/>
    </row>
    <row r="1077">
      <c r="A1077" s="43"/>
      <c r="B1077" s="43"/>
      <c r="C1077" s="43"/>
      <c r="D1077" s="43"/>
      <c r="E1077" s="43"/>
      <c r="F1077" s="43"/>
      <c r="G1077" s="43"/>
      <c r="H1077" s="43"/>
      <c r="I1077" s="43"/>
      <c r="J1077" s="43"/>
      <c r="K1077" s="43"/>
    </row>
    <row r="1078">
      <c r="A1078" s="46"/>
      <c r="B1078" s="46"/>
      <c r="C1078" s="46"/>
      <c r="D1078" s="46"/>
      <c r="E1078" s="46"/>
      <c r="F1078" s="46"/>
      <c r="G1078" s="46"/>
      <c r="H1078" s="46"/>
      <c r="I1078" s="46"/>
      <c r="J1078" s="46"/>
      <c r="K1078" s="46"/>
    </row>
    <row r="1079">
      <c r="A1079" s="43"/>
      <c r="B1079" s="43"/>
      <c r="C1079" s="43"/>
      <c r="D1079" s="43"/>
      <c r="E1079" s="43"/>
      <c r="F1079" s="43"/>
      <c r="G1079" s="43"/>
      <c r="H1079" s="43"/>
      <c r="I1079" s="43"/>
      <c r="J1079" s="43"/>
      <c r="K1079" s="43"/>
    </row>
    <row r="1080">
      <c r="A1080" s="46"/>
      <c r="B1080" s="46"/>
      <c r="C1080" s="46"/>
      <c r="D1080" s="46"/>
      <c r="E1080" s="46"/>
      <c r="F1080" s="46"/>
      <c r="G1080" s="46"/>
      <c r="H1080" s="46"/>
      <c r="I1080" s="46"/>
      <c r="J1080" s="46"/>
      <c r="K1080" s="46"/>
    </row>
    <row r="1081">
      <c r="A1081" s="43"/>
      <c r="B1081" s="43"/>
      <c r="C1081" s="43"/>
      <c r="D1081" s="43"/>
      <c r="E1081" s="43"/>
      <c r="F1081" s="43"/>
      <c r="G1081" s="43"/>
      <c r="H1081" s="43"/>
      <c r="I1081" s="43"/>
      <c r="J1081" s="43"/>
      <c r="K1081" s="43"/>
    </row>
    <row r="1082">
      <c r="A1082" s="46"/>
      <c r="B1082" s="46"/>
      <c r="C1082" s="46"/>
      <c r="D1082" s="46"/>
      <c r="E1082" s="46"/>
      <c r="F1082" s="46"/>
      <c r="G1082" s="46"/>
      <c r="H1082" s="46"/>
      <c r="I1082" s="46"/>
      <c r="J1082" s="46"/>
      <c r="K1082" s="46"/>
    </row>
    <row r="1083">
      <c r="A1083" s="43"/>
      <c r="B1083" s="43"/>
      <c r="C1083" s="43"/>
      <c r="D1083" s="43"/>
      <c r="E1083" s="43"/>
      <c r="F1083" s="43"/>
      <c r="G1083" s="43"/>
      <c r="H1083" s="43"/>
      <c r="I1083" s="43"/>
      <c r="J1083" s="43"/>
      <c r="K1083" s="43"/>
    </row>
    <row r="1084">
      <c r="A1084" s="46"/>
      <c r="B1084" s="46"/>
      <c r="C1084" s="46"/>
      <c r="D1084" s="46"/>
      <c r="E1084" s="46"/>
      <c r="F1084" s="46"/>
      <c r="G1084" s="46"/>
      <c r="H1084" s="46"/>
      <c r="I1084" s="46"/>
      <c r="J1084" s="46"/>
      <c r="K1084" s="46"/>
    </row>
    <row r="1085">
      <c r="A1085" s="43"/>
      <c r="B1085" s="43"/>
      <c r="C1085" s="43"/>
      <c r="D1085" s="43"/>
      <c r="E1085" s="43"/>
      <c r="F1085" s="43"/>
      <c r="G1085" s="43"/>
      <c r="H1085" s="43"/>
      <c r="I1085" s="43"/>
      <c r="J1085" s="43"/>
      <c r="K1085" s="43"/>
    </row>
    <row r="1086">
      <c r="A1086" s="46"/>
      <c r="B1086" s="46"/>
      <c r="C1086" s="46"/>
      <c r="D1086" s="46"/>
      <c r="E1086" s="46"/>
      <c r="F1086" s="46"/>
      <c r="G1086" s="46"/>
      <c r="H1086" s="46"/>
      <c r="I1086" s="46"/>
      <c r="J1086" s="46"/>
      <c r="K1086" s="46"/>
    </row>
    <row r="1087">
      <c r="A1087" s="43"/>
      <c r="B1087" s="43"/>
      <c r="C1087" s="43"/>
      <c r="D1087" s="43"/>
      <c r="E1087" s="43"/>
      <c r="F1087" s="43"/>
      <c r="G1087" s="43"/>
      <c r="H1087" s="43"/>
      <c r="I1087" s="43"/>
      <c r="J1087" s="43"/>
      <c r="K1087" s="43"/>
    </row>
    <row r="1088">
      <c r="A1088" s="46"/>
      <c r="B1088" s="46"/>
      <c r="C1088" s="46"/>
      <c r="D1088" s="46"/>
      <c r="E1088" s="46"/>
      <c r="F1088" s="46"/>
      <c r="G1088" s="46"/>
      <c r="H1088" s="46"/>
      <c r="I1088" s="46"/>
      <c r="J1088" s="46"/>
      <c r="K1088" s="46"/>
    </row>
    <row r="1089">
      <c r="A1089" s="43"/>
      <c r="B1089" s="43"/>
      <c r="C1089" s="43"/>
      <c r="D1089" s="43"/>
      <c r="E1089" s="43"/>
      <c r="F1089" s="43"/>
      <c r="G1089" s="43"/>
      <c r="H1089" s="43"/>
      <c r="I1089" s="43"/>
      <c r="J1089" s="43"/>
      <c r="K1089" s="43"/>
    </row>
    <row r="1090">
      <c r="A1090" s="46"/>
      <c r="B1090" s="46"/>
      <c r="C1090" s="46"/>
      <c r="D1090" s="46"/>
      <c r="E1090" s="46"/>
      <c r="F1090" s="46"/>
      <c r="G1090" s="46"/>
      <c r="H1090" s="46"/>
      <c r="I1090" s="46"/>
      <c r="J1090" s="46"/>
      <c r="K1090" s="46"/>
    </row>
    <row r="1091">
      <c r="A1091" s="43"/>
      <c r="B1091" s="43"/>
      <c r="C1091" s="43"/>
      <c r="D1091" s="43"/>
      <c r="E1091" s="43"/>
      <c r="F1091" s="43"/>
      <c r="G1091" s="43"/>
      <c r="H1091" s="43"/>
      <c r="I1091" s="43"/>
      <c r="J1091" s="43"/>
      <c r="K1091" s="43"/>
    </row>
    <row r="1092">
      <c r="A1092" s="46"/>
      <c r="B1092" s="46"/>
      <c r="C1092" s="46"/>
      <c r="D1092" s="46"/>
      <c r="E1092" s="46"/>
      <c r="F1092" s="46"/>
      <c r="G1092" s="46"/>
      <c r="H1092" s="46"/>
      <c r="I1092" s="46"/>
      <c r="J1092" s="46"/>
      <c r="K1092" s="46"/>
    </row>
    <row r="1093">
      <c r="A1093" s="43"/>
      <c r="B1093" s="43"/>
      <c r="C1093" s="43"/>
      <c r="D1093" s="43"/>
      <c r="E1093" s="43"/>
      <c r="F1093" s="43"/>
      <c r="G1093" s="43"/>
      <c r="H1093" s="43"/>
      <c r="I1093" s="43"/>
      <c r="J1093" s="43"/>
      <c r="K1093" s="43"/>
    </row>
    <row r="1094">
      <c r="A1094" s="46"/>
      <c r="B1094" s="46"/>
      <c r="C1094" s="46"/>
      <c r="D1094" s="46"/>
      <c r="E1094" s="46"/>
      <c r="F1094" s="46"/>
      <c r="G1094" s="46"/>
      <c r="H1094" s="46"/>
      <c r="I1094" s="46"/>
      <c r="J1094" s="46"/>
      <c r="K1094" s="46"/>
    </row>
    <row r="1095">
      <c r="A1095" s="43"/>
      <c r="B1095" s="43"/>
      <c r="C1095" s="43"/>
      <c r="D1095" s="43"/>
      <c r="E1095" s="43"/>
      <c r="F1095" s="43"/>
      <c r="G1095" s="43"/>
      <c r="H1095" s="43"/>
      <c r="I1095" s="43"/>
      <c r="J1095" s="43"/>
      <c r="K1095" s="43"/>
    </row>
    <row r="1096">
      <c r="A1096" s="46"/>
      <c r="B1096" s="46"/>
      <c r="C1096" s="46"/>
      <c r="D1096" s="46"/>
      <c r="E1096" s="46"/>
      <c r="F1096" s="46"/>
      <c r="G1096" s="46"/>
      <c r="H1096" s="46"/>
      <c r="I1096" s="46"/>
      <c r="J1096" s="46"/>
      <c r="K1096" s="46"/>
    </row>
    <row r="1097">
      <c r="A1097" s="43"/>
      <c r="B1097" s="43"/>
      <c r="C1097" s="43"/>
      <c r="D1097" s="43"/>
      <c r="E1097" s="43"/>
      <c r="F1097" s="43"/>
      <c r="G1097" s="43"/>
      <c r="H1097" s="43"/>
      <c r="I1097" s="43"/>
      <c r="J1097" s="43"/>
      <c r="K1097" s="43"/>
    </row>
    <row r="1098">
      <c r="A1098" s="46"/>
      <c r="B1098" s="46"/>
      <c r="C1098" s="46"/>
      <c r="D1098" s="46"/>
      <c r="E1098" s="46"/>
      <c r="F1098" s="46"/>
      <c r="G1098" s="46"/>
      <c r="H1098" s="46"/>
      <c r="I1098" s="46"/>
      <c r="J1098" s="46"/>
      <c r="K1098" s="46"/>
    </row>
    <row r="1099">
      <c r="A1099" s="43"/>
      <c r="B1099" s="43"/>
      <c r="C1099" s="43"/>
      <c r="D1099" s="43"/>
      <c r="E1099" s="43"/>
      <c r="F1099" s="43"/>
      <c r="G1099" s="43"/>
      <c r="H1099" s="43"/>
      <c r="I1099" s="43"/>
      <c r="J1099" s="43"/>
      <c r="K1099" s="43"/>
    </row>
    <row r="1100">
      <c r="A1100" s="46"/>
      <c r="B1100" s="46"/>
      <c r="C1100" s="46"/>
      <c r="D1100" s="46"/>
      <c r="E1100" s="46"/>
      <c r="F1100" s="46"/>
      <c r="G1100" s="46"/>
      <c r="H1100" s="46"/>
      <c r="I1100" s="46"/>
      <c r="J1100" s="46"/>
      <c r="K1100" s="46"/>
    </row>
    <row r="1101">
      <c r="A1101" s="43"/>
      <c r="B1101" s="43"/>
      <c r="C1101" s="43"/>
      <c r="D1101" s="43"/>
      <c r="E1101" s="43"/>
      <c r="F1101" s="43"/>
      <c r="G1101" s="43"/>
      <c r="H1101" s="43"/>
      <c r="I1101" s="43"/>
      <c r="J1101" s="43"/>
      <c r="K1101" s="43"/>
    </row>
    <row r="1102">
      <c r="A1102" s="46"/>
      <c r="B1102" s="46"/>
      <c r="C1102" s="46"/>
      <c r="D1102" s="46"/>
      <c r="E1102" s="46"/>
      <c r="F1102" s="46"/>
      <c r="G1102" s="46"/>
      <c r="H1102" s="46"/>
      <c r="I1102" s="46"/>
      <c r="J1102" s="46"/>
      <c r="K1102" s="46"/>
    </row>
    <row r="1103">
      <c r="A1103" s="43"/>
      <c r="B1103" s="43"/>
      <c r="C1103" s="43"/>
      <c r="D1103" s="43"/>
      <c r="E1103" s="43"/>
      <c r="F1103" s="43"/>
      <c r="G1103" s="43"/>
      <c r="H1103" s="43"/>
      <c r="I1103" s="43"/>
      <c r="J1103" s="43"/>
      <c r="K1103" s="43"/>
    </row>
    <row r="1104">
      <c r="A1104" s="46"/>
      <c r="B1104" s="46"/>
      <c r="C1104" s="46"/>
      <c r="D1104" s="46"/>
      <c r="E1104" s="46"/>
      <c r="F1104" s="46"/>
      <c r="G1104" s="46"/>
      <c r="H1104" s="46"/>
      <c r="I1104" s="46"/>
      <c r="J1104" s="46"/>
      <c r="K1104" s="46"/>
    </row>
    <row r="1105">
      <c r="A1105" s="43"/>
      <c r="B1105" s="43"/>
      <c r="C1105" s="43"/>
      <c r="D1105" s="43"/>
      <c r="E1105" s="43"/>
      <c r="F1105" s="43"/>
      <c r="G1105" s="43"/>
      <c r="H1105" s="43"/>
      <c r="I1105" s="43"/>
      <c r="J1105" s="43"/>
      <c r="K1105" s="43"/>
    </row>
    <row r="1106">
      <c r="A1106" s="46"/>
      <c r="B1106" s="46"/>
      <c r="C1106" s="46"/>
      <c r="D1106" s="46"/>
      <c r="E1106" s="46"/>
      <c r="F1106" s="46"/>
      <c r="G1106" s="46"/>
      <c r="H1106" s="46"/>
      <c r="I1106" s="46"/>
      <c r="J1106" s="46"/>
      <c r="K1106" s="46"/>
    </row>
    <row r="1107">
      <c r="A1107" s="43"/>
      <c r="B1107" s="43"/>
      <c r="C1107" s="43"/>
      <c r="D1107" s="43"/>
      <c r="E1107" s="43"/>
      <c r="F1107" s="43"/>
      <c r="G1107" s="43"/>
      <c r="H1107" s="43"/>
      <c r="I1107" s="43"/>
      <c r="J1107" s="43"/>
      <c r="K1107" s="43"/>
    </row>
    <row r="1108">
      <c r="A1108" s="46"/>
      <c r="B1108" s="46"/>
      <c r="C1108" s="46"/>
      <c r="D1108" s="46"/>
      <c r="E1108" s="46"/>
      <c r="F1108" s="46"/>
      <c r="G1108" s="46"/>
      <c r="H1108" s="46"/>
      <c r="I1108" s="46"/>
      <c r="J1108" s="46"/>
      <c r="K1108" s="46"/>
    </row>
  </sheetData>
  <printOptions/>
  <pageMargins bottom="0.787401575" footer="0.0" header="0.0" left="0.7" right="0.7" top="0.787401575"/>
  <pageSetup paperSize="9" orientation="portrait"/>
  <drawing r:id="rId2"/>
  <legacyDrawing r:id="rId3"/>
  <tableParts count="2">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outlineLevelCol="1"/>
  <cols>
    <col customWidth="1" min="1" max="1" width="9.56" outlineLevel="1"/>
    <col customWidth="1" min="2" max="2" width="10.11" outlineLevel="1"/>
    <col customWidth="1" min="3" max="3" width="26.33" outlineLevel="1"/>
    <col customWidth="1" hidden="1" min="4" max="4" width="14.78" outlineLevel="1"/>
    <col customWidth="1" hidden="1" min="5" max="5" width="15.44"/>
    <col customWidth="1" min="6" max="6" width="26.89"/>
    <col customWidth="1" min="7" max="18" width="8.33" outlineLevel="1"/>
    <col customWidth="1" min="19" max="19" width="9.22"/>
    <col customWidth="1" min="20" max="25" width="8.33" outlineLevel="1"/>
    <col customWidth="1" min="26" max="26" width="28.0" outlineLevel="1"/>
    <col customWidth="1" min="27" max="27" width="22.67" outlineLevel="1"/>
    <col customWidth="1" min="28" max="28" width="8.33" outlineLevel="1"/>
    <col customWidth="1" min="29" max="29" width="17.67" outlineLevel="1"/>
    <col customWidth="1" min="30" max="31" width="8.33" outlineLevel="1"/>
    <col customWidth="1" min="32" max="32" width="21.11" outlineLevel="1"/>
    <col customWidth="1" min="33" max="33" width="7.22" outlineLevel="1"/>
    <col customWidth="1" min="34" max="34" width="14.67"/>
    <col customWidth="1" min="35" max="44" width="8.44"/>
    <col customWidth="1" min="45" max="45" width="11.11"/>
    <col customWidth="1" min="46" max="47" width="8.44"/>
    <col customWidth="1" min="48" max="60" width="8.33"/>
    <col customWidth="1" min="61" max="61" width="8.44"/>
    <col customWidth="1" min="62" max="62" width="16.22"/>
    <col customWidth="1" min="63" max="63" width="15.44"/>
    <col customWidth="1" min="64" max="64" width="8.33"/>
    <col customWidth="1" min="65" max="65" width="10.67"/>
    <col customWidth="1" min="66" max="67" width="8.33"/>
    <col customWidth="1" min="68" max="68" width="21.11"/>
    <col customWidth="1" min="69" max="69" width="9.56"/>
  </cols>
  <sheetData>
    <row r="1" ht="23.25" customHeight="1">
      <c r="A1" s="47"/>
      <c r="B1" s="47"/>
      <c r="C1" s="48"/>
      <c r="D1" s="48"/>
      <c r="E1" s="49" t="s">
        <v>53</v>
      </c>
      <c r="F1" s="49"/>
      <c r="G1" s="47"/>
      <c r="H1" s="47"/>
      <c r="I1" s="47"/>
      <c r="J1" s="47"/>
      <c r="K1" s="47"/>
      <c r="L1" s="47"/>
      <c r="M1" s="47"/>
      <c r="N1" s="47"/>
      <c r="O1" s="47"/>
      <c r="P1" s="47"/>
      <c r="Q1" s="47"/>
      <c r="R1" s="47"/>
      <c r="S1" s="50"/>
      <c r="T1" s="51"/>
      <c r="U1" s="51"/>
      <c r="V1" s="51"/>
      <c r="W1" s="51"/>
      <c r="X1" s="51"/>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52"/>
      <c r="BH1" s="48"/>
      <c r="BI1" s="48"/>
      <c r="BJ1" s="48"/>
      <c r="BK1" s="48"/>
      <c r="BL1" s="48"/>
      <c r="BM1" s="48"/>
      <c r="BN1" s="48"/>
      <c r="BO1" s="48"/>
      <c r="BP1" s="49"/>
      <c r="BQ1" s="49"/>
    </row>
    <row r="2" ht="23.25" customHeight="1">
      <c r="A2" s="47"/>
      <c r="B2" s="47"/>
      <c r="C2" s="48"/>
      <c r="D2" s="48"/>
      <c r="E2" s="48"/>
      <c r="F2" s="48"/>
      <c r="G2" s="47"/>
      <c r="H2" s="47"/>
      <c r="I2" s="47"/>
      <c r="J2" s="47"/>
      <c r="K2" s="47"/>
      <c r="L2" s="47"/>
      <c r="M2" s="47"/>
      <c r="N2" s="47"/>
      <c r="O2" s="47"/>
      <c r="P2" s="47"/>
      <c r="Q2" s="47"/>
      <c r="R2" s="47"/>
      <c r="S2" s="50"/>
      <c r="T2" s="51"/>
      <c r="U2" s="51"/>
      <c r="V2" s="51"/>
      <c r="W2" s="51"/>
      <c r="X2" s="51"/>
      <c r="Y2" s="48"/>
      <c r="Z2" s="48"/>
      <c r="AA2" s="48"/>
      <c r="AB2" s="48"/>
      <c r="AC2" s="48"/>
      <c r="AD2" s="53"/>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52"/>
      <c r="BH2" s="48"/>
      <c r="BI2" s="48"/>
      <c r="BJ2" s="48"/>
      <c r="BK2" s="48"/>
      <c r="BL2" s="48"/>
      <c r="BM2" s="48"/>
      <c r="BN2" s="53"/>
      <c r="BO2" s="48"/>
      <c r="BP2" s="48"/>
      <c r="BQ2" s="48"/>
    </row>
    <row r="3" ht="48.0" customHeight="1">
      <c r="A3" s="47"/>
      <c r="B3" s="47"/>
      <c r="C3" s="48"/>
      <c r="D3" s="48"/>
      <c r="E3" s="48"/>
      <c r="F3" s="48"/>
      <c r="G3" s="54" t="s">
        <v>2457</v>
      </c>
      <c r="H3" s="55"/>
      <c r="I3" s="55"/>
      <c r="J3" s="55"/>
      <c r="K3" s="56"/>
      <c r="L3" s="54" t="s">
        <v>2458</v>
      </c>
      <c r="M3" s="55"/>
      <c r="N3" s="56"/>
      <c r="O3" s="54" t="s">
        <v>2459</v>
      </c>
      <c r="P3" s="55"/>
      <c r="Q3" s="55"/>
      <c r="R3" s="55"/>
      <c r="S3" s="56"/>
      <c r="T3" s="57" t="s">
        <v>2460</v>
      </c>
      <c r="U3" s="55"/>
      <c r="V3" s="55"/>
      <c r="W3" s="55"/>
      <c r="X3" s="56"/>
      <c r="Y3" s="58" t="s">
        <v>2461</v>
      </c>
      <c r="Z3" s="55"/>
      <c r="AA3" s="55"/>
      <c r="AB3" s="55"/>
      <c r="AC3" s="55"/>
      <c r="AD3" s="56"/>
      <c r="AE3" s="58" t="s">
        <v>2462</v>
      </c>
      <c r="AF3" s="55"/>
      <c r="AG3" s="55"/>
      <c r="AH3" s="55"/>
      <c r="AI3" s="55"/>
      <c r="AJ3" s="56"/>
      <c r="AK3" s="48"/>
      <c r="AL3" s="48"/>
      <c r="AM3" s="48"/>
      <c r="AN3" s="48"/>
      <c r="AO3" s="48"/>
      <c r="AP3" s="48"/>
      <c r="AQ3" s="48"/>
      <c r="AR3" s="48"/>
      <c r="AS3" s="48"/>
      <c r="AT3" s="48"/>
      <c r="AU3" s="48"/>
      <c r="AV3" s="48"/>
      <c r="AW3" s="59"/>
      <c r="AX3" s="60"/>
      <c r="AY3" s="60"/>
      <c r="AZ3" s="61"/>
      <c r="BA3" s="48"/>
      <c r="BB3" s="48"/>
      <c r="BC3" s="48"/>
      <c r="BD3" s="48"/>
      <c r="BE3" s="48"/>
      <c r="BF3" s="48"/>
      <c r="BG3" s="52"/>
      <c r="BH3" s="48"/>
      <c r="BI3" s="48"/>
      <c r="BJ3" s="48"/>
      <c r="BK3" s="48"/>
      <c r="BL3" s="48"/>
      <c r="BM3" s="48"/>
      <c r="BO3" s="48"/>
      <c r="BP3" s="48"/>
      <c r="BQ3" s="48"/>
    </row>
    <row r="4" ht="23.25" customHeight="1">
      <c r="A4" s="47"/>
      <c r="B4" s="47"/>
      <c r="C4" s="48"/>
      <c r="D4" s="48"/>
      <c r="E4" s="48"/>
      <c r="F4" s="62"/>
      <c r="G4" s="63" t="s">
        <v>2463</v>
      </c>
      <c r="H4" s="64"/>
      <c r="I4" s="64"/>
      <c r="J4" s="64"/>
      <c r="K4" s="65" t="s">
        <v>2464</v>
      </c>
      <c r="L4" s="63" t="s">
        <v>2465</v>
      </c>
      <c r="M4" s="64" t="s">
        <v>2466</v>
      </c>
      <c r="N4" s="65" t="s">
        <v>2467</v>
      </c>
      <c r="O4" s="66" t="s">
        <v>2463</v>
      </c>
      <c r="P4" s="67" t="s">
        <v>2468</v>
      </c>
      <c r="Q4" s="67" t="s">
        <v>2469</v>
      </c>
      <c r="R4" s="67" t="s">
        <v>2470</v>
      </c>
      <c r="S4" s="68" t="s">
        <v>2464</v>
      </c>
      <c r="T4" s="69" t="s">
        <v>2471</v>
      </c>
      <c r="U4" s="70" t="s">
        <v>2468</v>
      </c>
      <c r="V4" s="70" t="s">
        <v>2469</v>
      </c>
      <c r="W4" s="70" t="s">
        <v>2470</v>
      </c>
      <c r="X4" s="71" t="s">
        <v>2464</v>
      </c>
      <c r="Y4" s="72" t="s">
        <v>2472</v>
      </c>
      <c r="Z4" s="48" t="s">
        <v>2473</v>
      </c>
      <c r="AA4" s="48"/>
      <c r="AB4" s="72" t="s">
        <v>2474</v>
      </c>
      <c r="AC4" s="72" t="s">
        <v>2475</v>
      </c>
      <c r="AD4" s="53" t="s">
        <v>2476</v>
      </c>
      <c r="AE4" s="73" t="s">
        <v>2477</v>
      </c>
      <c r="AF4" s="48"/>
      <c r="AG4" s="72" t="s">
        <v>2478</v>
      </c>
      <c r="AH4" s="72" t="s">
        <v>2479</v>
      </c>
      <c r="AI4" s="72" t="s">
        <v>2480</v>
      </c>
      <c r="AJ4" s="48"/>
      <c r="AK4" s="48"/>
      <c r="AL4" s="48"/>
      <c r="AM4" s="48"/>
      <c r="AN4" s="48"/>
      <c r="AO4" s="48"/>
      <c r="AP4" s="48"/>
      <c r="AQ4" s="48"/>
      <c r="AR4" s="48"/>
      <c r="AS4" s="48"/>
      <c r="AT4" s="48"/>
      <c r="AU4" s="48"/>
      <c r="AV4" s="48"/>
      <c r="AW4" s="48"/>
      <c r="AX4" s="48"/>
      <c r="AY4" s="48"/>
      <c r="AZ4" s="48"/>
      <c r="BA4" s="48"/>
      <c r="BB4" s="48"/>
      <c r="BC4" s="48"/>
      <c r="BD4" s="48"/>
      <c r="BE4" s="48"/>
      <c r="BF4" s="48"/>
      <c r="BG4" s="52"/>
      <c r="BH4" s="48"/>
      <c r="BI4" s="48"/>
      <c r="BJ4" s="48"/>
      <c r="BK4" s="48"/>
      <c r="BL4" s="48"/>
      <c r="BM4" s="48"/>
      <c r="BO4" s="48"/>
      <c r="BP4" s="48"/>
      <c r="BQ4" s="48"/>
    </row>
    <row r="5" ht="23.25" customHeight="1">
      <c r="A5" s="49" t="s">
        <v>2481</v>
      </c>
      <c r="B5" s="74" t="s">
        <v>2482</v>
      </c>
      <c r="C5" s="49" t="s">
        <v>2483</v>
      </c>
      <c r="D5" s="49" t="s">
        <v>2484</v>
      </c>
      <c r="E5" s="49" t="s">
        <v>2485</v>
      </c>
      <c r="F5" s="62"/>
      <c r="G5" s="75"/>
      <c r="H5" s="47"/>
      <c r="I5" s="47"/>
      <c r="J5" s="47"/>
      <c r="K5" s="76"/>
      <c r="L5" s="75"/>
      <c r="M5" s="47"/>
      <c r="N5" s="76"/>
      <c r="O5" s="75"/>
      <c r="P5" s="47"/>
      <c r="Q5" s="47"/>
      <c r="R5" s="47"/>
      <c r="S5" s="77"/>
      <c r="T5" s="78"/>
      <c r="U5" s="51"/>
      <c r="V5" s="51"/>
      <c r="W5" s="51"/>
      <c r="X5" s="79"/>
      <c r="Y5" s="48"/>
      <c r="Z5" s="48"/>
      <c r="AA5" s="48"/>
      <c r="AB5" s="48"/>
      <c r="AC5" s="48"/>
      <c r="AD5" s="48"/>
      <c r="AE5" s="48"/>
      <c r="AF5" s="48"/>
      <c r="AG5" s="48"/>
      <c r="AH5" s="48"/>
      <c r="AI5" s="48"/>
      <c r="AJ5" s="80"/>
      <c r="AK5" s="80"/>
      <c r="AL5" s="80"/>
      <c r="AM5" s="80"/>
      <c r="AN5" s="80"/>
      <c r="AO5" s="80"/>
      <c r="AP5" s="80"/>
      <c r="AQ5" s="80"/>
      <c r="AR5" s="49"/>
      <c r="AS5" s="49"/>
      <c r="AT5" s="49"/>
      <c r="AU5" s="48"/>
      <c r="AV5" s="48"/>
      <c r="AW5" s="48"/>
      <c r="AX5" s="48"/>
      <c r="AY5" s="48"/>
      <c r="AZ5" s="48"/>
      <c r="BA5" s="48"/>
      <c r="BB5" s="48"/>
      <c r="BC5" s="48"/>
      <c r="BD5" s="48"/>
      <c r="BE5" s="48"/>
      <c r="BF5" s="48"/>
      <c r="BG5" s="52"/>
      <c r="BH5" s="48"/>
      <c r="BI5" s="48"/>
      <c r="BJ5" s="48"/>
      <c r="BK5" s="48"/>
      <c r="BL5" s="48"/>
      <c r="BM5" s="48"/>
      <c r="BN5" s="48"/>
      <c r="BO5" s="48"/>
      <c r="BP5" s="48"/>
      <c r="BQ5" s="48"/>
    </row>
    <row r="6" ht="23.25" customHeight="1">
      <c r="A6" s="47">
        <v>1.0</v>
      </c>
      <c r="B6" s="81">
        <v>7709.0</v>
      </c>
      <c r="C6" s="82" t="str">
        <f>IF(B6="","",VLOOKUP(B6,'Mitglieder BBU'!A:N,6,0))</f>
        <v>Else Schuster</v>
      </c>
      <c r="D6" s="82" t="str">
        <f>IF(#REF!="","",VLOOKUP(#REF!,'Mitglieder BBU'!A:N,6,0))</f>
        <v>#REF!</v>
      </c>
      <c r="E6" s="82" t="str">
        <f>IF(#REF!="","",VLOOKUP(#REF!,'Mitglieder BBU'!A:N,6,0))</f>
        <v>#REF!</v>
      </c>
      <c r="F6" s="62"/>
      <c r="G6" s="75">
        <f>IFNA(VLOOKUP(B6,Datensammler!$B:$AA,24,0),"")</f>
        <v>1858</v>
      </c>
      <c r="H6" s="47"/>
      <c r="I6" s="47"/>
      <c r="J6" s="47"/>
      <c r="K6" s="76">
        <f t="shared" ref="K6:K205" si="3">SUM(G6:J6)</f>
        <v>1858</v>
      </c>
      <c r="L6" s="75">
        <f>IFERROR('HI-LOW Berechnung'!AS5,0)</f>
        <v>68</v>
      </c>
      <c r="M6" s="47">
        <f>IFERROR('HI-LOW Berechnung'!AY5,0)</f>
        <v>60</v>
      </c>
      <c r="N6" s="76">
        <f>IFERROR('HI-LOW Berechnung'!BB5,0)</f>
        <v>43</v>
      </c>
      <c r="O6" s="75">
        <f>IFNA(VLOOKUP(B6,Datensammler!$B:$AA,25,0),"")</f>
        <v>12</v>
      </c>
      <c r="P6" s="47"/>
      <c r="Q6" s="47"/>
      <c r="R6" s="47"/>
      <c r="S6" s="77">
        <f t="shared" ref="S6:S205" si="4">SUM(O6:R6)</f>
        <v>12</v>
      </c>
      <c r="T6" s="78">
        <f t="shared" ref="T6:U6" si="1">IF(G6=0,"",G6/O6)</f>
        <v>154.8333333</v>
      </c>
      <c r="U6" s="51" t="str">
        <f t="shared" si="1"/>
        <v/>
      </c>
      <c r="V6" s="51" t="str">
        <f t="shared" ref="V6:W6" si="2">IF(I6="","",I6/Q6)</f>
        <v/>
      </c>
      <c r="W6" s="51" t="str">
        <f t="shared" si="2"/>
        <v/>
      </c>
      <c r="X6" s="79">
        <f t="shared" ref="X6:X205" si="7">IF(K6=0,"",K6/S6)</f>
        <v>154.8333333</v>
      </c>
      <c r="Y6" s="48">
        <v>1.0</v>
      </c>
      <c r="Z6" s="48">
        <f t="shared" ref="Z6:Z205" si="8">IF(K6=0,0,(900-L6)/100000+(900-M6)/100000000+(900-N6)/100000000000+Y6/100000000000)</f>
        <v>0.00832840858</v>
      </c>
      <c r="AA6" s="48">
        <f t="shared" ref="AA6:AA205" si="9">K6+Z6</f>
        <v>1858.008328</v>
      </c>
      <c r="AB6" s="48">
        <v>1.0</v>
      </c>
      <c r="AC6" s="48">
        <f t="shared" ref="AC6:AC205" si="10">IFERROR(LARGE(AA:AA,Y6),"")</f>
        <v>2441.008369</v>
      </c>
      <c r="AD6" s="48">
        <f t="shared" ref="AD6:AD205" si="11">IF(AC6&lt;&gt;0,VLOOKUP(AC6,AA:AB,2,0),"")</f>
        <v>9</v>
      </c>
      <c r="AE6" s="72">
        <v>1.0</v>
      </c>
      <c r="AF6" s="83">
        <f t="shared" ref="AF6:AF205" si="12">IF(X6="","",ROUND(X6,3)+AE6/100000)</f>
        <v>154.83301</v>
      </c>
      <c r="AG6" s="72">
        <v>1.0</v>
      </c>
      <c r="AH6" s="48">
        <f t="shared" ref="AH6:AH205" si="13">IFERROR(LARGE(AF:AF,Y6),"")</f>
        <v>203.41709</v>
      </c>
      <c r="AI6" s="84">
        <f t="shared" ref="AI6:AI205" si="14">IF(AH6="","",VLOOKUP(AH6,AF:AG,2,0))</f>
        <v>9</v>
      </c>
      <c r="AJ6" s="48"/>
      <c r="AK6" s="48"/>
      <c r="AL6" s="48"/>
      <c r="AM6" s="48"/>
      <c r="AN6" s="48"/>
      <c r="AO6" s="48"/>
      <c r="AP6" s="48"/>
      <c r="AQ6" s="48"/>
      <c r="AR6" s="48"/>
      <c r="AS6" s="48"/>
      <c r="AT6" s="48"/>
      <c r="AU6" s="48"/>
      <c r="AV6" s="48"/>
      <c r="AW6" s="48"/>
      <c r="AX6" s="48"/>
      <c r="AY6" s="48"/>
      <c r="AZ6" s="48"/>
      <c r="BA6" s="48"/>
      <c r="BB6" s="47"/>
      <c r="BC6" s="47"/>
      <c r="BD6" s="47"/>
      <c r="BE6" s="47"/>
      <c r="BF6" s="48"/>
      <c r="BG6" s="52"/>
      <c r="BH6" s="48"/>
      <c r="BI6" s="48"/>
      <c r="BJ6" s="48"/>
      <c r="BK6" s="48"/>
      <c r="BL6" s="48"/>
      <c r="BM6" s="48"/>
      <c r="BN6" s="48"/>
      <c r="BO6" s="48"/>
      <c r="BP6" s="85"/>
      <c r="BQ6" s="48"/>
    </row>
    <row r="7" ht="23.25" customHeight="1">
      <c r="A7" s="47">
        <v>2.0</v>
      </c>
      <c r="B7" s="81">
        <v>25347.0</v>
      </c>
      <c r="C7" s="82" t="str">
        <f>IF(B7="","",VLOOKUP(B7,'Mitglieder BBU'!A:N,6,0))</f>
        <v>Roswitha Schulz-Burkert</v>
      </c>
      <c r="D7" s="82" t="str">
        <f>IF(#REF!="","",VLOOKUP(#REF!,'Mitglieder BBU'!A:N,6,0))</f>
        <v>#REF!</v>
      </c>
      <c r="E7" s="82" t="str">
        <f>IF(#REF!="","",VLOOKUP(#REF!,'Mitglieder BBU'!A:N,6,0))</f>
        <v>#REF!</v>
      </c>
      <c r="F7" s="62"/>
      <c r="G7" s="75">
        <f>IFNA(VLOOKUP(B7,Datensammler!$B:$AA,24,0),"")</f>
        <v>1650</v>
      </c>
      <c r="H7" s="47"/>
      <c r="I7" s="47"/>
      <c r="J7" s="47"/>
      <c r="K7" s="76">
        <f t="shared" si="3"/>
        <v>1650</v>
      </c>
      <c r="L7" s="75">
        <f>IFERROR('HI-LOW Berechnung'!AS6,0)</f>
        <v>47</v>
      </c>
      <c r="M7" s="47">
        <f>IFERROR('HI-LOW Berechnung'!AY6,0)</f>
        <v>33</v>
      </c>
      <c r="N7" s="76">
        <f>IFERROR('HI-LOW Berechnung'!BB6,0)</f>
        <v>30</v>
      </c>
      <c r="O7" s="75">
        <f>IFNA(VLOOKUP(B7,Datensammler!$B:$AA,25,0),"")</f>
        <v>12</v>
      </c>
      <c r="P7" s="47"/>
      <c r="Q7" s="47"/>
      <c r="R7" s="47"/>
      <c r="S7" s="77">
        <f t="shared" si="4"/>
        <v>12</v>
      </c>
      <c r="T7" s="78">
        <f t="shared" ref="T7:U7" si="5">IF(G7=0,"",G7/O7)</f>
        <v>137.5</v>
      </c>
      <c r="U7" s="51" t="str">
        <f t="shared" si="5"/>
        <v/>
      </c>
      <c r="V7" s="51" t="str">
        <f t="shared" ref="V7:W7" si="6">IF(I7="","",I7/Q7)</f>
        <v/>
      </c>
      <c r="W7" s="51" t="str">
        <f t="shared" si="6"/>
        <v/>
      </c>
      <c r="X7" s="79">
        <f t="shared" si="7"/>
        <v>137.5</v>
      </c>
      <c r="Y7" s="48">
        <v>2.0</v>
      </c>
      <c r="Z7" s="48">
        <f t="shared" si="8"/>
        <v>0.00853867872</v>
      </c>
      <c r="AA7" s="48">
        <f t="shared" si="9"/>
        <v>1650.008539</v>
      </c>
      <c r="AB7" s="48">
        <v>2.0</v>
      </c>
      <c r="AC7" s="48">
        <f t="shared" si="10"/>
        <v>2346.008098</v>
      </c>
      <c r="AD7" s="48">
        <f t="shared" si="11"/>
        <v>14</v>
      </c>
      <c r="AE7" s="72">
        <v>2.0</v>
      </c>
      <c r="AF7" s="83">
        <f t="shared" si="12"/>
        <v>137.50002</v>
      </c>
      <c r="AG7" s="72">
        <v>2.0</v>
      </c>
      <c r="AH7" s="48">
        <f t="shared" si="13"/>
        <v>195.50014</v>
      </c>
      <c r="AI7" s="84">
        <f t="shared" si="14"/>
        <v>14</v>
      </c>
      <c r="AJ7" s="48"/>
      <c r="AK7" s="48"/>
      <c r="AL7" s="48"/>
      <c r="AM7" s="48"/>
      <c r="AN7" s="48"/>
      <c r="AO7" s="48"/>
      <c r="AP7" s="48"/>
      <c r="AQ7" s="48"/>
      <c r="AR7" s="48"/>
      <c r="AS7" s="48"/>
      <c r="AT7" s="48"/>
      <c r="AU7" s="48"/>
      <c r="AV7" s="48"/>
      <c r="AW7" s="48"/>
      <c r="AX7" s="48"/>
      <c r="AY7" s="48"/>
      <c r="AZ7" s="48"/>
      <c r="BA7" s="48"/>
      <c r="BB7" s="47"/>
      <c r="BC7" s="47"/>
      <c r="BD7" s="47"/>
      <c r="BE7" s="47"/>
      <c r="BF7" s="48"/>
      <c r="BG7" s="52"/>
      <c r="BH7" s="48"/>
      <c r="BI7" s="48"/>
      <c r="BJ7" s="48"/>
      <c r="BK7" s="48"/>
      <c r="BL7" s="48"/>
      <c r="BM7" s="48"/>
      <c r="BN7" s="48"/>
      <c r="BO7" s="48"/>
      <c r="BP7" s="85"/>
      <c r="BQ7" s="48"/>
    </row>
    <row r="8" ht="23.25" customHeight="1">
      <c r="A8" s="47">
        <v>3.0</v>
      </c>
      <c r="B8" s="81">
        <v>7974.0</v>
      </c>
      <c r="C8" s="82" t="str">
        <f>IF(B8="","",VLOOKUP(B8,'Mitglieder BBU'!A:N,6,0))</f>
        <v>Ingeborg Schmitt</v>
      </c>
      <c r="D8" s="82" t="str">
        <f>IF(#REF!="","",VLOOKUP(#REF!,'Mitglieder BBU'!A:N,6,0))</f>
        <v>#REF!</v>
      </c>
      <c r="E8" s="82" t="str">
        <f>IF(#REF!="","",VLOOKUP(#REF!,'Mitglieder BBU'!A:N,6,0))</f>
        <v>#REF!</v>
      </c>
      <c r="F8" s="62"/>
      <c r="G8" s="75">
        <f>IFNA(VLOOKUP(B8,Datensammler!$B:$AA,24,0),"")</f>
        <v>1596</v>
      </c>
      <c r="H8" s="47"/>
      <c r="I8" s="47"/>
      <c r="J8" s="47"/>
      <c r="K8" s="76">
        <f t="shared" si="3"/>
        <v>1596</v>
      </c>
      <c r="L8" s="75">
        <f>IFERROR('HI-LOW Berechnung'!AS7,0)</f>
        <v>61</v>
      </c>
      <c r="M8" s="47">
        <f>IFERROR('HI-LOW Berechnung'!AY7,0)</f>
        <v>43</v>
      </c>
      <c r="N8" s="76">
        <f>IFERROR('HI-LOW Berechnung'!BB7,0)</f>
        <v>32</v>
      </c>
      <c r="O8" s="75">
        <f>IFNA(VLOOKUP(B8,Datensammler!$B:$AA,25,0),"")</f>
        <v>12</v>
      </c>
      <c r="P8" s="47"/>
      <c r="Q8" s="47"/>
      <c r="R8" s="47"/>
      <c r="S8" s="77">
        <f t="shared" si="4"/>
        <v>12</v>
      </c>
      <c r="T8" s="78">
        <f t="shared" ref="T8:U8" si="15">IF(G8=0,"",G8/O8)</f>
        <v>133</v>
      </c>
      <c r="U8" s="51" t="str">
        <f t="shared" si="15"/>
        <v/>
      </c>
      <c r="V8" s="51" t="str">
        <f t="shared" ref="V8:W8" si="16">IF(I8="","",I8/Q8)</f>
        <v/>
      </c>
      <c r="W8" s="51" t="str">
        <f t="shared" si="16"/>
        <v/>
      </c>
      <c r="X8" s="79">
        <f t="shared" si="7"/>
        <v>133</v>
      </c>
      <c r="Y8" s="48">
        <v>3.0</v>
      </c>
      <c r="Z8" s="48">
        <f t="shared" si="8"/>
        <v>0.00839857871</v>
      </c>
      <c r="AA8" s="48">
        <f t="shared" si="9"/>
        <v>1596.008399</v>
      </c>
      <c r="AB8" s="48">
        <v>3.0</v>
      </c>
      <c r="AC8" s="48">
        <f t="shared" si="10"/>
        <v>2269.007878</v>
      </c>
      <c r="AD8" s="48">
        <f t="shared" si="11"/>
        <v>15</v>
      </c>
      <c r="AE8" s="72">
        <v>3.0</v>
      </c>
      <c r="AF8" s="83">
        <f t="shared" si="12"/>
        <v>133.00003</v>
      </c>
      <c r="AG8" s="72">
        <v>3.0</v>
      </c>
      <c r="AH8" s="48">
        <f t="shared" si="13"/>
        <v>189.08315</v>
      </c>
      <c r="AI8" s="84">
        <f t="shared" si="14"/>
        <v>15</v>
      </c>
      <c r="AJ8" s="48"/>
      <c r="AK8" s="48"/>
      <c r="AL8" s="48"/>
      <c r="AM8" s="48"/>
      <c r="AN8" s="48"/>
      <c r="AO8" s="48"/>
      <c r="AP8" s="48"/>
      <c r="AQ8" s="48"/>
      <c r="AR8" s="48"/>
      <c r="AS8" s="48"/>
      <c r="AT8" s="48"/>
      <c r="AU8" s="48"/>
      <c r="AV8" s="48"/>
      <c r="AW8" s="48"/>
      <c r="AX8" s="48"/>
      <c r="AY8" s="48"/>
      <c r="AZ8" s="48"/>
      <c r="BA8" s="48"/>
      <c r="BB8" s="47"/>
      <c r="BC8" s="47"/>
      <c r="BD8" s="47"/>
      <c r="BE8" s="47"/>
      <c r="BF8" s="48"/>
      <c r="BG8" s="52"/>
      <c r="BH8" s="48"/>
      <c r="BI8" s="48"/>
      <c r="BJ8" s="48"/>
      <c r="BK8" s="48"/>
      <c r="BL8" s="48"/>
      <c r="BM8" s="48"/>
      <c r="BN8" s="48"/>
      <c r="BO8" s="48"/>
      <c r="BP8" s="85"/>
      <c r="BQ8" s="48"/>
    </row>
    <row r="9" ht="23.25" customHeight="1">
      <c r="A9" s="47">
        <v>4.0</v>
      </c>
      <c r="B9" s="81">
        <v>25329.0</v>
      </c>
      <c r="C9" s="82" t="str">
        <f>IF(B9="","",VLOOKUP(B9,'Mitglieder BBU'!A:N,6,0))</f>
        <v>Katharina Mang</v>
      </c>
      <c r="D9" s="82" t="str">
        <f>IF(#REF!="","",VLOOKUP(#REF!,'Mitglieder BBU'!A:N,6,0))</f>
        <v>#REF!</v>
      </c>
      <c r="E9" s="82" t="str">
        <f>IF(#REF!="","",VLOOKUP(#REF!,'Mitglieder BBU'!A:N,6,0))</f>
        <v>#REF!</v>
      </c>
      <c r="F9" s="62"/>
      <c r="G9" s="75">
        <f>IFNA(VLOOKUP(B9,Datensammler!$B:$AA,24,0),"")</f>
        <v>1983</v>
      </c>
      <c r="H9" s="47"/>
      <c r="I9" s="47"/>
      <c r="J9" s="47"/>
      <c r="K9" s="76">
        <f t="shared" si="3"/>
        <v>1983</v>
      </c>
      <c r="L9" s="75">
        <f>IFERROR('HI-LOW Berechnung'!AS8,0)</f>
        <v>67</v>
      </c>
      <c r="M9" s="47">
        <f>IFERROR('HI-LOW Berechnung'!AY8,0)</f>
        <v>37</v>
      </c>
      <c r="N9" s="76">
        <f>IFERROR('HI-LOW Berechnung'!BB8,0)</f>
        <v>34</v>
      </c>
      <c r="O9" s="75">
        <f>IFNA(VLOOKUP(B9,Datensammler!$B:$AA,25,0),"")</f>
        <v>12</v>
      </c>
      <c r="P9" s="47"/>
      <c r="Q9" s="47"/>
      <c r="R9" s="47"/>
      <c r="S9" s="77">
        <f t="shared" si="4"/>
        <v>12</v>
      </c>
      <c r="T9" s="78">
        <f t="shared" ref="T9:U9" si="17">IF(G9=0,"",G9/O9)</f>
        <v>165.25</v>
      </c>
      <c r="U9" s="51" t="str">
        <f t="shared" si="17"/>
        <v/>
      </c>
      <c r="V9" s="51" t="str">
        <f t="shared" ref="V9:W9" si="18">IF(I9="","",I9/Q9)</f>
        <v/>
      </c>
      <c r="W9" s="51" t="str">
        <f t="shared" si="18"/>
        <v/>
      </c>
      <c r="X9" s="79">
        <f t="shared" si="7"/>
        <v>165.25</v>
      </c>
      <c r="Y9" s="48">
        <v>4.0</v>
      </c>
      <c r="Z9" s="48">
        <f t="shared" si="8"/>
        <v>0.0083386387</v>
      </c>
      <c r="AA9" s="48">
        <f t="shared" si="9"/>
        <v>1983.008339</v>
      </c>
      <c r="AB9" s="48">
        <v>4.0</v>
      </c>
      <c r="AC9" s="48">
        <f t="shared" si="10"/>
        <v>2200.008038</v>
      </c>
      <c r="AD9" s="48">
        <f t="shared" si="11"/>
        <v>18</v>
      </c>
      <c r="AE9" s="72">
        <v>4.0</v>
      </c>
      <c r="AF9" s="83">
        <f t="shared" si="12"/>
        <v>165.25004</v>
      </c>
      <c r="AG9" s="72">
        <v>4.0</v>
      </c>
      <c r="AH9" s="48">
        <f t="shared" si="13"/>
        <v>183.33318</v>
      </c>
      <c r="AI9" s="84">
        <f t="shared" si="14"/>
        <v>18</v>
      </c>
      <c r="AJ9" s="48"/>
      <c r="AK9" s="48"/>
      <c r="AL9" s="48"/>
      <c r="AM9" s="48"/>
      <c r="AN9" s="48"/>
      <c r="AO9" s="48"/>
      <c r="AP9" s="48"/>
      <c r="AQ9" s="48"/>
      <c r="AR9" s="48"/>
      <c r="AS9" s="48"/>
      <c r="AT9" s="48"/>
      <c r="AU9" s="48"/>
      <c r="AV9" s="48"/>
      <c r="AW9" s="48"/>
      <c r="AX9" s="48"/>
      <c r="AY9" s="48"/>
      <c r="AZ9" s="48"/>
      <c r="BA9" s="48"/>
      <c r="BB9" s="47"/>
      <c r="BC9" s="47"/>
      <c r="BD9" s="47"/>
      <c r="BE9" s="47"/>
      <c r="BF9" s="48"/>
      <c r="BG9" s="52"/>
      <c r="BH9" s="48"/>
      <c r="BI9" s="48"/>
      <c r="BJ9" s="48"/>
      <c r="BK9" s="48"/>
      <c r="BL9" s="48"/>
      <c r="BM9" s="48"/>
      <c r="BN9" s="48"/>
      <c r="BO9" s="48"/>
      <c r="BP9" s="85"/>
      <c r="BQ9" s="48"/>
    </row>
    <row r="10" ht="23.25" customHeight="1">
      <c r="A10" s="47">
        <v>5.0</v>
      </c>
      <c r="B10" s="81">
        <v>38934.0</v>
      </c>
      <c r="C10" s="82" t="str">
        <f>IF(B10="","",VLOOKUP(B10,'Mitglieder BBU'!A:N,6,0))</f>
        <v>Denise Schwertfeger</v>
      </c>
      <c r="D10" s="82" t="str">
        <f>IF(#REF!="","",VLOOKUP(#REF!,'Mitglieder BBU'!A:N,6,0))</f>
        <v>#REF!</v>
      </c>
      <c r="E10" s="82" t="str">
        <f>IF(#REF!="","",VLOOKUP(#REF!,'Mitglieder BBU'!A:N,6,0))</f>
        <v>#REF!</v>
      </c>
      <c r="F10" s="62"/>
      <c r="G10" s="75">
        <f>IFNA(VLOOKUP(B10,Datensammler!$B:$AA,24,0),"")</f>
        <v>1701</v>
      </c>
      <c r="H10" s="47"/>
      <c r="I10" s="47"/>
      <c r="J10" s="47"/>
      <c r="K10" s="76">
        <f t="shared" si="3"/>
        <v>1701</v>
      </c>
      <c r="L10" s="75">
        <f>IFERROR('HI-LOW Berechnung'!AS9,0)</f>
        <v>71</v>
      </c>
      <c r="M10" s="47">
        <f>IFERROR('HI-LOW Berechnung'!AY9,0)</f>
        <v>37</v>
      </c>
      <c r="N10" s="76">
        <f>IFERROR('HI-LOW Berechnung'!BB9,0)</f>
        <v>28</v>
      </c>
      <c r="O10" s="75">
        <f>IFNA(VLOOKUP(B10,Datensammler!$B:$AA,25,0),"")</f>
        <v>12</v>
      </c>
      <c r="P10" s="47"/>
      <c r="Q10" s="47"/>
      <c r="R10" s="47"/>
      <c r="S10" s="77">
        <f t="shared" si="4"/>
        <v>12</v>
      </c>
      <c r="T10" s="78">
        <f t="shared" ref="T10:U10" si="19">IF(G10=0,"",G10/O10)</f>
        <v>141.75</v>
      </c>
      <c r="U10" s="51" t="str">
        <f t="shared" si="19"/>
        <v/>
      </c>
      <c r="V10" s="51" t="str">
        <f t="shared" ref="V10:W10" si="20">IF(I10="","",I10/Q10)</f>
        <v/>
      </c>
      <c r="W10" s="51" t="str">
        <f t="shared" si="20"/>
        <v/>
      </c>
      <c r="X10" s="79">
        <f t="shared" si="7"/>
        <v>141.75</v>
      </c>
      <c r="Y10" s="48">
        <v>5.0</v>
      </c>
      <c r="Z10" s="48">
        <f t="shared" si="8"/>
        <v>0.00829863877</v>
      </c>
      <c r="AA10" s="48">
        <f t="shared" si="9"/>
        <v>1701.008299</v>
      </c>
      <c r="AB10" s="48">
        <v>5.0</v>
      </c>
      <c r="AC10" s="48">
        <f t="shared" si="10"/>
        <v>2157.008469</v>
      </c>
      <c r="AD10" s="48">
        <f t="shared" si="11"/>
        <v>20</v>
      </c>
      <c r="AE10" s="72">
        <v>5.0</v>
      </c>
      <c r="AF10" s="83">
        <f t="shared" si="12"/>
        <v>141.75005</v>
      </c>
      <c r="AG10" s="72">
        <v>5.0</v>
      </c>
      <c r="AH10" s="48">
        <f t="shared" si="13"/>
        <v>179.7502</v>
      </c>
      <c r="AI10" s="84">
        <f t="shared" si="14"/>
        <v>20</v>
      </c>
      <c r="AJ10" s="48"/>
      <c r="AK10" s="48"/>
      <c r="AL10" s="48"/>
      <c r="AM10" s="48"/>
      <c r="AN10" s="48"/>
      <c r="AO10" s="48"/>
      <c r="AP10" s="48"/>
      <c r="AQ10" s="48"/>
      <c r="AR10" s="48"/>
      <c r="AS10" s="48"/>
      <c r="AT10" s="48"/>
      <c r="AU10" s="48"/>
      <c r="AV10" s="48"/>
      <c r="AW10" s="48"/>
      <c r="AX10" s="48"/>
      <c r="AY10" s="48"/>
      <c r="AZ10" s="48"/>
      <c r="BA10" s="48"/>
      <c r="BB10" s="47"/>
      <c r="BC10" s="47"/>
      <c r="BD10" s="47"/>
      <c r="BE10" s="47"/>
      <c r="BF10" s="48"/>
      <c r="BG10" s="52"/>
      <c r="BH10" s="48"/>
      <c r="BI10" s="48"/>
      <c r="BJ10" s="48"/>
      <c r="BK10" s="48"/>
      <c r="BL10" s="48"/>
      <c r="BM10" s="48"/>
      <c r="BN10" s="48"/>
      <c r="BO10" s="48"/>
      <c r="BP10" s="85"/>
      <c r="BQ10" s="48"/>
    </row>
    <row r="11" ht="23.25" customHeight="1">
      <c r="A11" s="47">
        <v>6.0</v>
      </c>
      <c r="B11" s="81">
        <v>16595.0</v>
      </c>
      <c r="C11" s="82" t="str">
        <f>IF(B11="","",VLOOKUP(B11,'Mitglieder BBU'!A:N,6,0))</f>
        <v>Nicole Schott</v>
      </c>
      <c r="D11" s="82" t="str">
        <f>IF(#REF!="","",VLOOKUP(#REF!,'Mitglieder BBU'!A:N,6,0))</f>
        <v>#REF!</v>
      </c>
      <c r="E11" s="82" t="str">
        <f>IF(#REF!="","",VLOOKUP(#REF!,'Mitglieder BBU'!A:N,6,0))</f>
        <v>#REF!</v>
      </c>
      <c r="F11" s="62"/>
      <c r="G11" s="75">
        <f>IFNA(VLOOKUP(B11,Datensammler!$B:$AA,24,0),"")</f>
        <v>1997</v>
      </c>
      <c r="H11" s="47"/>
      <c r="I11" s="47"/>
      <c r="J11" s="47"/>
      <c r="K11" s="76">
        <f t="shared" si="3"/>
        <v>1997</v>
      </c>
      <c r="L11" s="75">
        <f>IFERROR('HI-LOW Berechnung'!AS10,0)</f>
        <v>60</v>
      </c>
      <c r="M11" s="47">
        <f>IFERROR('HI-LOW Berechnung'!AY10,0)</f>
        <v>53</v>
      </c>
      <c r="N11" s="76">
        <f>IFERROR('HI-LOW Berechnung'!BB10,0)</f>
        <v>39</v>
      </c>
      <c r="O11" s="75">
        <f>IFNA(VLOOKUP(B11,Datensammler!$B:$AA,25,0),"")</f>
        <v>12</v>
      </c>
      <c r="P11" s="47"/>
      <c r="Q11" s="47"/>
      <c r="R11" s="47"/>
      <c r="S11" s="77">
        <f t="shared" si="4"/>
        <v>12</v>
      </c>
      <c r="T11" s="78">
        <f t="shared" ref="T11:U11" si="21">IF(G11=0,"",G11/O11)</f>
        <v>166.4166667</v>
      </c>
      <c r="U11" s="51" t="str">
        <f t="shared" si="21"/>
        <v/>
      </c>
      <c r="V11" s="51" t="str">
        <f t="shared" ref="V11:W11" si="22">IF(I11="","",I11/Q11)</f>
        <v/>
      </c>
      <c r="W11" s="51" t="str">
        <f t="shared" si="22"/>
        <v/>
      </c>
      <c r="X11" s="79">
        <f t="shared" si="7"/>
        <v>166.4166667</v>
      </c>
      <c r="Y11" s="48">
        <v>6.0</v>
      </c>
      <c r="Z11" s="48">
        <f t="shared" si="8"/>
        <v>0.00840847867</v>
      </c>
      <c r="AA11" s="48">
        <f t="shared" si="9"/>
        <v>1997.008408</v>
      </c>
      <c r="AB11" s="48">
        <v>6.0</v>
      </c>
      <c r="AC11" s="48">
        <f t="shared" si="10"/>
        <v>2081.008459</v>
      </c>
      <c r="AD11" s="48">
        <f t="shared" si="11"/>
        <v>19</v>
      </c>
      <c r="AE11" s="72">
        <v>6.0</v>
      </c>
      <c r="AF11" s="83">
        <f t="shared" si="12"/>
        <v>166.41706</v>
      </c>
      <c r="AG11" s="72">
        <v>6.0</v>
      </c>
      <c r="AH11" s="48">
        <f t="shared" si="13"/>
        <v>173.41719</v>
      </c>
      <c r="AI11" s="84">
        <f t="shared" si="14"/>
        <v>19</v>
      </c>
      <c r="AJ11" s="48"/>
      <c r="AK11" s="48"/>
      <c r="AL11" s="48"/>
      <c r="AM11" s="48"/>
      <c r="AN11" s="48"/>
      <c r="AO11" s="48"/>
      <c r="AP11" s="48"/>
      <c r="AQ11" s="48"/>
      <c r="AR11" s="48"/>
      <c r="AS11" s="48"/>
      <c r="AT11" s="48"/>
      <c r="AU11" s="48"/>
      <c r="AV11" s="48"/>
      <c r="AW11" s="48"/>
      <c r="AX11" s="48"/>
      <c r="AY11" s="48"/>
      <c r="AZ11" s="48"/>
      <c r="BA11" s="48"/>
      <c r="BB11" s="47"/>
      <c r="BC11" s="47"/>
      <c r="BD11" s="47"/>
      <c r="BE11" s="47"/>
      <c r="BF11" s="48"/>
      <c r="BG11" s="52"/>
      <c r="BH11" s="48"/>
      <c r="BI11" s="48"/>
      <c r="BJ11" s="48"/>
      <c r="BK11" s="48"/>
      <c r="BL11" s="48"/>
      <c r="BM11" s="48"/>
      <c r="BN11" s="48"/>
      <c r="BO11" s="48"/>
      <c r="BP11" s="85"/>
      <c r="BQ11" s="48"/>
    </row>
    <row r="12" ht="23.25" customHeight="1">
      <c r="A12" s="47">
        <v>7.0</v>
      </c>
      <c r="B12" s="81">
        <v>16594.0</v>
      </c>
      <c r="C12" s="82" t="str">
        <f>IF(B12="","",VLOOKUP(B12,'Mitglieder BBU'!A:N,6,0))</f>
        <v>Monika Schott</v>
      </c>
      <c r="D12" s="82" t="str">
        <f>IF(#REF!="","",VLOOKUP(#REF!,'Mitglieder BBU'!A:N,6,0))</f>
        <v>#REF!</v>
      </c>
      <c r="E12" s="82" t="str">
        <f>IF(#REF!="","",VLOOKUP(#REF!,'Mitglieder BBU'!A:N,6,0))</f>
        <v>#REF!</v>
      </c>
      <c r="F12" s="62"/>
      <c r="G12" s="75">
        <f>IFNA(VLOOKUP(B12,Datensammler!$B:$AA,24,0),"")</f>
        <v>1959</v>
      </c>
      <c r="H12" s="47"/>
      <c r="I12" s="47"/>
      <c r="J12" s="47"/>
      <c r="K12" s="76">
        <f t="shared" si="3"/>
        <v>1959</v>
      </c>
      <c r="L12" s="75">
        <f>IFERROR('HI-LOW Berechnung'!AS11,0)</f>
        <v>56</v>
      </c>
      <c r="M12" s="47">
        <f>IFERROR('HI-LOW Berechnung'!AY11,0)</f>
        <v>33</v>
      </c>
      <c r="N12" s="76">
        <f>IFERROR('HI-LOW Berechnung'!BB11,0)</f>
        <v>20</v>
      </c>
      <c r="O12" s="75">
        <f>IFNA(VLOOKUP(B12,Datensammler!$B:$AA,25,0),"")</f>
        <v>12</v>
      </c>
      <c r="P12" s="47"/>
      <c r="Q12" s="47"/>
      <c r="R12" s="47"/>
      <c r="S12" s="77">
        <f t="shared" si="4"/>
        <v>12</v>
      </c>
      <c r="T12" s="78">
        <f t="shared" ref="T12:U12" si="23">IF(G12=0,"",G12/O12)</f>
        <v>163.25</v>
      </c>
      <c r="U12" s="51" t="str">
        <f t="shared" si="23"/>
        <v/>
      </c>
      <c r="V12" s="51" t="str">
        <f t="shared" ref="V12:W12" si="24">IF(I12="","",I12/Q12)</f>
        <v/>
      </c>
      <c r="W12" s="51" t="str">
        <f t="shared" si="24"/>
        <v/>
      </c>
      <c r="X12" s="79">
        <f t="shared" si="7"/>
        <v>163.25</v>
      </c>
      <c r="Y12" s="48">
        <v>7.0</v>
      </c>
      <c r="Z12" s="48">
        <f t="shared" si="8"/>
        <v>0.00844867887</v>
      </c>
      <c r="AA12" s="48">
        <f t="shared" si="9"/>
        <v>1959.008449</v>
      </c>
      <c r="AB12" s="48">
        <v>7.0</v>
      </c>
      <c r="AC12" s="48">
        <f t="shared" si="10"/>
        <v>2079.008329</v>
      </c>
      <c r="AD12" s="48">
        <f t="shared" si="11"/>
        <v>22</v>
      </c>
      <c r="AE12" s="72">
        <v>7.0</v>
      </c>
      <c r="AF12" s="83">
        <f t="shared" si="12"/>
        <v>163.25007</v>
      </c>
      <c r="AG12" s="72">
        <v>7.0</v>
      </c>
      <c r="AH12" s="48">
        <f t="shared" si="13"/>
        <v>173.25022</v>
      </c>
      <c r="AI12" s="84">
        <f t="shared" si="14"/>
        <v>22</v>
      </c>
      <c r="AJ12" s="48"/>
      <c r="AK12" s="48"/>
      <c r="AL12" s="48"/>
      <c r="AM12" s="48"/>
      <c r="AN12" s="48"/>
      <c r="AO12" s="48"/>
      <c r="AP12" s="48"/>
      <c r="AQ12" s="48"/>
      <c r="AR12" s="48"/>
      <c r="AS12" s="48"/>
      <c r="AT12" s="48"/>
      <c r="AU12" s="48"/>
      <c r="AV12" s="48"/>
      <c r="AW12" s="48"/>
      <c r="AX12" s="48"/>
      <c r="AY12" s="48"/>
      <c r="AZ12" s="48"/>
      <c r="BA12" s="48"/>
      <c r="BB12" s="47"/>
      <c r="BC12" s="47"/>
      <c r="BD12" s="47"/>
      <c r="BE12" s="47"/>
      <c r="BF12" s="48"/>
      <c r="BG12" s="52"/>
      <c r="BH12" s="48"/>
      <c r="BI12" s="48"/>
      <c r="BJ12" s="48"/>
      <c r="BK12" s="48"/>
      <c r="BL12" s="48"/>
      <c r="BM12" s="48"/>
      <c r="BN12" s="48"/>
      <c r="BO12" s="48"/>
      <c r="BP12" s="85"/>
      <c r="BQ12" s="48"/>
    </row>
    <row r="13" ht="23.25" customHeight="1">
      <c r="A13" s="47">
        <v>8.0</v>
      </c>
      <c r="B13" s="81">
        <v>38931.0</v>
      </c>
      <c r="C13" s="82" t="str">
        <f>IF(B13="","",VLOOKUP(B13,'Mitglieder BBU'!A:N,6,0))</f>
        <v>Helene Schick</v>
      </c>
      <c r="D13" s="82" t="str">
        <f>IF(#REF!="","",VLOOKUP(#REF!,'Mitglieder BBU'!A:N,6,0))</f>
        <v>#REF!</v>
      </c>
      <c r="E13" s="82" t="str">
        <f>IF(#REF!="","",VLOOKUP(#REF!,'Mitglieder BBU'!A:N,6,0))</f>
        <v>#REF!</v>
      </c>
      <c r="F13" s="62"/>
      <c r="G13" s="75">
        <f>IFNA(VLOOKUP(B13,Datensammler!$B:$AA,24,0),"")</f>
        <v>1955</v>
      </c>
      <c r="H13" s="47"/>
      <c r="I13" s="47"/>
      <c r="J13" s="47"/>
      <c r="K13" s="76">
        <f t="shared" si="3"/>
        <v>1955</v>
      </c>
      <c r="L13" s="75">
        <f>IFERROR('HI-LOW Berechnung'!AS12,0)</f>
        <v>61</v>
      </c>
      <c r="M13" s="47">
        <f>IFERROR('HI-LOW Berechnung'!AY12,0)</f>
        <v>45</v>
      </c>
      <c r="N13" s="76">
        <f>IFERROR('HI-LOW Berechnung'!BB12,0)</f>
        <v>43</v>
      </c>
      <c r="O13" s="75">
        <f>IFNA(VLOOKUP(B13,Datensammler!$B:$AA,25,0),"")</f>
        <v>12</v>
      </c>
      <c r="P13" s="47"/>
      <c r="Q13" s="47"/>
      <c r="R13" s="47"/>
      <c r="S13" s="77">
        <f t="shared" si="4"/>
        <v>12</v>
      </c>
      <c r="T13" s="78">
        <f t="shared" ref="T13:U13" si="25">IF(G13=0,"",G13/O13)</f>
        <v>162.9166667</v>
      </c>
      <c r="U13" s="51" t="str">
        <f t="shared" si="25"/>
        <v/>
      </c>
      <c r="V13" s="51" t="str">
        <f t="shared" ref="V13:W13" si="26">IF(I13="","",I13/Q13)</f>
        <v/>
      </c>
      <c r="W13" s="51" t="str">
        <f t="shared" si="26"/>
        <v/>
      </c>
      <c r="X13" s="79">
        <f t="shared" si="7"/>
        <v>162.9166667</v>
      </c>
      <c r="Y13" s="48">
        <v>8.0</v>
      </c>
      <c r="Z13" s="48">
        <f t="shared" si="8"/>
        <v>0.00839855865</v>
      </c>
      <c r="AA13" s="48">
        <f t="shared" si="9"/>
        <v>1955.008399</v>
      </c>
      <c r="AB13" s="48">
        <v>8.0</v>
      </c>
      <c r="AC13" s="48">
        <f t="shared" si="10"/>
        <v>2037.008329</v>
      </c>
      <c r="AD13" s="48">
        <f t="shared" si="11"/>
        <v>17</v>
      </c>
      <c r="AE13" s="72">
        <v>8.0</v>
      </c>
      <c r="AF13" s="83">
        <f t="shared" si="12"/>
        <v>162.91708</v>
      </c>
      <c r="AG13" s="72">
        <v>8.0</v>
      </c>
      <c r="AH13" s="48">
        <f t="shared" si="13"/>
        <v>169.75017</v>
      </c>
      <c r="AI13" s="84">
        <f t="shared" si="14"/>
        <v>17</v>
      </c>
      <c r="AJ13" s="48"/>
      <c r="AK13" s="48"/>
      <c r="AL13" s="48"/>
      <c r="AM13" s="48"/>
      <c r="AN13" s="48"/>
      <c r="AO13" s="48"/>
      <c r="AP13" s="48"/>
      <c r="AQ13" s="48"/>
      <c r="AR13" s="48"/>
      <c r="AS13" s="48"/>
      <c r="AT13" s="48"/>
      <c r="AU13" s="48"/>
      <c r="AV13" s="48"/>
      <c r="AW13" s="48"/>
      <c r="AX13" s="48"/>
      <c r="AY13" s="48"/>
      <c r="AZ13" s="48"/>
      <c r="BA13" s="48"/>
      <c r="BB13" s="47"/>
      <c r="BC13" s="47"/>
      <c r="BD13" s="47"/>
      <c r="BE13" s="47"/>
      <c r="BF13" s="48"/>
      <c r="BG13" s="52"/>
      <c r="BH13" s="48"/>
      <c r="BI13" s="48"/>
      <c r="BJ13" s="48"/>
      <c r="BK13" s="48"/>
      <c r="BL13" s="48"/>
      <c r="BM13" s="48"/>
      <c r="BN13" s="48"/>
      <c r="BO13" s="48"/>
      <c r="BP13" s="85"/>
      <c r="BQ13" s="48"/>
    </row>
    <row r="14" ht="23.25" customHeight="1">
      <c r="A14" s="47">
        <v>9.0</v>
      </c>
      <c r="B14" s="81">
        <v>38045.0</v>
      </c>
      <c r="C14" s="82" t="str">
        <f>IF(B14="","",VLOOKUP(B14,'Mitglieder BBU'!A:N,6,0))</f>
        <v>Anika Kristof</v>
      </c>
      <c r="D14" s="82" t="str">
        <f>IF(#REF!="","",VLOOKUP(#REF!,'Mitglieder BBU'!A:N,6,0))</f>
        <v>#REF!</v>
      </c>
      <c r="E14" s="82" t="str">
        <f>IF(#REF!="","",VLOOKUP(#REF!,'Mitglieder BBU'!A:N,6,0))</f>
        <v>#REF!</v>
      </c>
      <c r="F14" s="62"/>
      <c r="G14" s="75">
        <f>IFNA(VLOOKUP(B14,Datensammler!$B:$AA,24,0),"")</f>
        <v>2441</v>
      </c>
      <c r="H14" s="47"/>
      <c r="I14" s="47"/>
      <c r="J14" s="47"/>
      <c r="K14" s="76">
        <f t="shared" si="3"/>
        <v>2441</v>
      </c>
      <c r="L14" s="75">
        <f>IFERROR('HI-LOW Berechnung'!AS13,0)</f>
        <v>64</v>
      </c>
      <c r="M14" s="47">
        <f>IFERROR('HI-LOW Berechnung'!AY13,0)</f>
        <v>42</v>
      </c>
      <c r="N14" s="76">
        <f>IFERROR('HI-LOW Berechnung'!BB13,0)</f>
        <v>28</v>
      </c>
      <c r="O14" s="75">
        <f>IFNA(VLOOKUP(B14,Datensammler!$B:$AA,25,0),"")</f>
        <v>12</v>
      </c>
      <c r="P14" s="47"/>
      <c r="Q14" s="47"/>
      <c r="R14" s="47"/>
      <c r="S14" s="77">
        <f t="shared" si="4"/>
        <v>12</v>
      </c>
      <c r="T14" s="78">
        <f t="shared" ref="T14:U14" si="27">IF(G14=0,"",G14/O14)</f>
        <v>203.4166667</v>
      </c>
      <c r="U14" s="51" t="str">
        <f t="shared" si="27"/>
        <v/>
      </c>
      <c r="V14" s="51" t="str">
        <f t="shared" ref="V14:W14" si="28">IF(I14="","",I14/Q14)</f>
        <v/>
      </c>
      <c r="W14" s="51" t="str">
        <f t="shared" si="28"/>
        <v/>
      </c>
      <c r="X14" s="79">
        <f t="shared" si="7"/>
        <v>203.4166667</v>
      </c>
      <c r="Y14" s="48">
        <v>9.0</v>
      </c>
      <c r="Z14" s="48">
        <f t="shared" si="8"/>
        <v>0.00836858881</v>
      </c>
      <c r="AA14" s="48">
        <f t="shared" si="9"/>
        <v>2441.008369</v>
      </c>
      <c r="AB14" s="48">
        <v>9.0</v>
      </c>
      <c r="AC14" s="48">
        <f t="shared" si="10"/>
        <v>1997.008408</v>
      </c>
      <c r="AD14" s="48">
        <f t="shared" si="11"/>
        <v>6</v>
      </c>
      <c r="AE14" s="72">
        <v>9.0</v>
      </c>
      <c r="AF14" s="83">
        <f t="shared" si="12"/>
        <v>203.41709</v>
      </c>
      <c r="AG14" s="72">
        <v>9.0</v>
      </c>
      <c r="AH14" s="48">
        <f t="shared" si="13"/>
        <v>166.41706</v>
      </c>
      <c r="AI14" s="84">
        <f t="shared" si="14"/>
        <v>6</v>
      </c>
      <c r="AJ14" s="48"/>
      <c r="AK14" s="48"/>
      <c r="AL14" s="48"/>
      <c r="AM14" s="48"/>
      <c r="AN14" s="48"/>
      <c r="AO14" s="48"/>
      <c r="AP14" s="48"/>
      <c r="AQ14" s="48"/>
      <c r="AR14" s="48"/>
      <c r="AS14" s="48"/>
      <c r="AT14" s="48"/>
      <c r="AU14" s="48"/>
      <c r="AV14" s="48"/>
      <c r="AW14" s="48"/>
      <c r="AX14" s="48"/>
      <c r="AY14" s="48"/>
      <c r="AZ14" s="48"/>
      <c r="BA14" s="48"/>
      <c r="BB14" s="47"/>
      <c r="BC14" s="47"/>
      <c r="BD14" s="47"/>
      <c r="BE14" s="47"/>
      <c r="BF14" s="48"/>
      <c r="BG14" s="52"/>
      <c r="BH14" s="48"/>
      <c r="BI14" s="48"/>
      <c r="BJ14" s="48"/>
      <c r="BK14" s="48"/>
      <c r="BL14" s="48"/>
      <c r="BM14" s="48"/>
      <c r="BN14" s="48"/>
      <c r="BO14" s="48"/>
      <c r="BP14" s="85"/>
      <c r="BQ14" s="48"/>
    </row>
    <row r="15" ht="23.25" customHeight="1">
      <c r="A15" s="47">
        <v>10.0</v>
      </c>
      <c r="B15" s="81">
        <v>38876.0</v>
      </c>
      <c r="C15" s="82" t="str">
        <f>IF(B15="","",VLOOKUP(B15,'Mitglieder BBU'!A:N,6,0))</f>
        <v>Bianca Leinemann</v>
      </c>
      <c r="D15" s="82" t="str">
        <f>IF(#REF!="","",VLOOKUP(#REF!,'Mitglieder BBU'!A:N,6,0))</f>
        <v>#REF!</v>
      </c>
      <c r="E15" s="82" t="str">
        <f>IF(#REF!="","",VLOOKUP(#REF!,'Mitglieder BBU'!A:N,6,0))</f>
        <v>#REF!</v>
      </c>
      <c r="F15" s="62"/>
      <c r="G15" s="75">
        <f>IFNA(VLOOKUP(B15,Datensammler!$B:$AA,24,0),"")</f>
        <v>1823</v>
      </c>
      <c r="H15" s="47"/>
      <c r="I15" s="47"/>
      <c r="J15" s="47"/>
      <c r="K15" s="76">
        <f t="shared" si="3"/>
        <v>1823</v>
      </c>
      <c r="L15" s="75">
        <f>IFERROR('HI-LOW Berechnung'!AS14,0)</f>
        <v>95</v>
      </c>
      <c r="M15" s="47">
        <f>IFERROR('HI-LOW Berechnung'!AY14,0)</f>
        <v>50</v>
      </c>
      <c r="N15" s="76">
        <f>IFERROR('HI-LOW Berechnung'!BB14,0)</f>
        <v>19</v>
      </c>
      <c r="O15" s="75">
        <f>IFNA(VLOOKUP(B15,Datensammler!$B:$AA,25,0),"")</f>
        <v>12</v>
      </c>
      <c r="P15" s="47"/>
      <c r="Q15" s="47"/>
      <c r="R15" s="47"/>
      <c r="S15" s="77">
        <f t="shared" si="4"/>
        <v>12</v>
      </c>
      <c r="T15" s="78">
        <f t="shared" ref="T15:U15" si="29">IF(G15=0,"",G15/O15)</f>
        <v>151.9166667</v>
      </c>
      <c r="U15" s="51" t="str">
        <f t="shared" si="29"/>
        <v/>
      </c>
      <c r="V15" s="51" t="str">
        <f t="shared" ref="V15:W15" si="30">IF(I15="","",I15/Q15)</f>
        <v/>
      </c>
      <c r="W15" s="51" t="str">
        <f t="shared" si="30"/>
        <v/>
      </c>
      <c r="X15" s="79">
        <f t="shared" si="7"/>
        <v>151.9166667</v>
      </c>
      <c r="Y15" s="48">
        <v>10.0</v>
      </c>
      <c r="Z15" s="48">
        <f t="shared" si="8"/>
        <v>0.00805850891</v>
      </c>
      <c r="AA15" s="48">
        <f t="shared" si="9"/>
        <v>1823.008059</v>
      </c>
      <c r="AB15" s="48">
        <v>10.0</v>
      </c>
      <c r="AC15" s="48">
        <f t="shared" si="10"/>
        <v>1983.008339</v>
      </c>
      <c r="AD15" s="48">
        <f t="shared" si="11"/>
        <v>4</v>
      </c>
      <c r="AE15" s="72">
        <v>10.0</v>
      </c>
      <c r="AF15" s="83">
        <f t="shared" si="12"/>
        <v>151.9171</v>
      </c>
      <c r="AG15" s="72">
        <v>10.0</v>
      </c>
      <c r="AH15" s="48">
        <f t="shared" si="13"/>
        <v>165.25004</v>
      </c>
      <c r="AI15" s="84">
        <f t="shared" si="14"/>
        <v>4</v>
      </c>
      <c r="AJ15" s="48"/>
      <c r="AK15" s="48"/>
      <c r="AL15" s="48"/>
      <c r="AM15" s="48"/>
      <c r="AN15" s="48"/>
      <c r="AO15" s="48"/>
      <c r="AP15" s="48"/>
      <c r="AQ15" s="48"/>
      <c r="AR15" s="48"/>
      <c r="AS15" s="48"/>
      <c r="AT15" s="48"/>
      <c r="AU15" s="48"/>
      <c r="AV15" s="48"/>
      <c r="AW15" s="48"/>
      <c r="AX15" s="48"/>
      <c r="AY15" s="48"/>
      <c r="AZ15" s="48"/>
      <c r="BA15" s="48"/>
      <c r="BB15" s="47"/>
      <c r="BC15" s="47"/>
      <c r="BD15" s="47"/>
      <c r="BE15" s="47"/>
      <c r="BF15" s="48"/>
      <c r="BG15" s="52"/>
      <c r="BH15" s="48"/>
      <c r="BI15" s="48"/>
      <c r="BJ15" s="48"/>
      <c r="BK15" s="48"/>
      <c r="BL15" s="48"/>
      <c r="BM15" s="48"/>
      <c r="BN15" s="48"/>
      <c r="BO15" s="48"/>
      <c r="BP15" s="85"/>
      <c r="BQ15" s="48"/>
    </row>
    <row r="16" ht="23.25" customHeight="1">
      <c r="A16" s="47">
        <v>11.0</v>
      </c>
      <c r="B16" s="81">
        <v>38780.0</v>
      </c>
      <c r="C16" s="82" t="str">
        <f>IF(B16="","",VLOOKUP(B16,'Mitglieder BBU'!A:N,6,0))</f>
        <v>Sabaithip Mekjinda</v>
      </c>
      <c r="D16" s="82" t="str">
        <f>IF(#REF!="","",VLOOKUP(#REF!,'Mitglieder BBU'!A:N,6,0))</f>
        <v>#REF!</v>
      </c>
      <c r="E16" s="82" t="str">
        <f>IF(#REF!="","",VLOOKUP(#REF!,'Mitglieder BBU'!A:N,6,0))</f>
        <v>#REF!</v>
      </c>
      <c r="F16" s="62"/>
      <c r="G16" s="75">
        <f>IFNA(VLOOKUP(B16,Datensammler!$B:$AA,24,0),"")</f>
        <v>1799</v>
      </c>
      <c r="H16" s="47"/>
      <c r="I16" s="47"/>
      <c r="J16" s="47"/>
      <c r="K16" s="76">
        <f t="shared" si="3"/>
        <v>1799</v>
      </c>
      <c r="L16" s="75">
        <f>IFERROR('HI-LOW Berechnung'!AS15,0)</f>
        <v>48</v>
      </c>
      <c r="M16" s="47">
        <f>IFERROR('HI-LOW Berechnung'!AY15,0)</f>
        <v>30</v>
      </c>
      <c r="N16" s="76">
        <f>IFERROR('HI-LOW Berechnung'!BB15,0)</f>
        <v>27</v>
      </c>
      <c r="O16" s="75">
        <f>IFNA(VLOOKUP(B16,Datensammler!$B:$AA,25,0),"")</f>
        <v>12</v>
      </c>
      <c r="P16" s="47"/>
      <c r="Q16" s="47"/>
      <c r="R16" s="47"/>
      <c r="S16" s="77">
        <f t="shared" si="4"/>
        <v>12</v>
      </c>
      <c r="T16" s="78">
        <f t="shared" ref="T16:U16" si="31">IF(G16=0,"",G16/O16)</f>
        <v>149.9166667</v>
      </c>
      <c r="U16" s="51" t="str">
        <f t="shared" si="31"/>
        <v/>
      </c>
      <c r="V16" s="51" t="str">
        <f t="shared" ref="V16:W16" si="32">IF(I16="","",I16/Q16)</f>
        <v/>
      </c>
      <c r="W16" s="51" t="str">
        <f t="shared" si="32"/>
        <v/>
      </c>
      <c r="X16" s="79">
        <f t="shared" si="7"/>
        <v>149.9166667</v>
      </c>
      <c r="Y16" s="48">
        <v>11.0</v>
      </c>
      <c r="Z16" s="48">
        <f t="shared" si="8"/>
        <v>0.00852870884</v>
      </c>
      <c r="AA16" s="48">
        <f t="shared" si="9"/>
        <v>1799.008529</v>
      </c>
      <c r="AB16" s="48">
        <v>11.0</v>
      </c>
      <c r="AC16" s="48">
        <f t="shared" si="10"/>
        <v>1959.008449</v>
      </c>
      <c r="AD16" s="48">
        <f t="shared" si="11"/>
        <v>7</v>
      </c>
      <c r="AE16" s="72">
        <v>11.0</v>
      </c>
      <c r="AF16" s="83">
        <f t="shared" si="12"/>
        <v>149.91711</v>
      </c>
      <c r="AG16" s="72">
        <v>11.0</v>
      </c>
      <c r="AH16" s="48">
        <f t="shared" si="13"/>
        <v>163.25007</v>
      </c>
      <c r="AI16" s="84">
        <f t="shared" si="14"/>
        <v>7</v>
      </c>
      <c r="AJ16" s="48"/>
      <c r="AK16" s="48"/>
      <c r="AL16" s="48"/>
      <c r="AM16" s="48"/>
      <c r="AN16" s="48"/>
      <c r="AO16" s="48"/>
      <c r="AP16" s="48"/>
      <c r="AQ16" s="48"/>
      <c r="AR16" s="48"/>
      <c r="AS16" s="48"/>
      <c r="AT16" s="48"/>
      <c r="AU16" s="48"/>
      <c r="AV16" s="48"/>
      <c r="AW16" s="48"/>
      <c r="AX16" s="48"/>
      <c r="AY16" s="48"/>
      <c r="AZ16" s="48"/>
      <c r="BA16" s="48"/>
      <c r="BB16" s="47"/>
      <c r="BC16" s="47"/>
      <c r="BD16" s="47"/>
      <c r="BE16" s="47"/>
      <c r="BF16" s="48"/>
      <c r="BG16" s="52"/>
      <c r="BH16" s="48"/>
      <c r="BI16" s="48"/>
      <c r="BJ16" s="48"/>
      <c r="BK16" s="48"/>
      <c r="BL16" s="48"/>
      <c r="BM16" s="48"/>
      <c r="BN16" s="48"/>
      <c r="BO16" s="48"/>
      <c r="BP16" s="85"/>
      <c r="BQ16" s="48"/>
    </row>
    <row r="17" ht="23.25" customHeight="1">
      <c r="A17" s="47">
        <v>12.0</v>
      </c>
      <c r="B17" s="81">
        <v>38789.0</v>
      </c>
      <c r="C17" s="82" t="str">
        <f>IF(B17="","",VLOOKUP(B17,'Mitglieder BBU'!A:N,6,0))</f>
        <v>Stephanie Fischer</v>
      </c>
      <c r="D17" s="82" t="str">
        <f>IF(#REF!="","",VLOOKUP(#REF!,'Mitglieder BBU'!A:N,6,0))</f>
        <v>#REF!</v>
      </c>
      <c r="E17" s="82" t="str">
        <f>IF(#REF!="","",VLOOKUP(#REF!,'Mitglieder BBU'!A:N,6,0))</f>
        <v>#REF!</v>
      </c>
      <c r="F17" s="62"/>
      <c r="G17" s="75">
        <f>IFNA(VLOOKUP(B17,Datensammler!$B:$AA,24,0),"")</f>
        <v>1574</v>
      </c>
      <c r="H17" s="47"/>
      <c r="I17" s="47"/>
      <c r="J17" s="47"/>
      <c r="K17" s="76">
        <f t="shared" si="3"/>
        <v>1574</v>
      </c>
      <c r="L17" s="75">
        <f>IFERROR('HI-LOW Berechnung'!AS16,0)</f>
        <v>70</v>
      </c>
      <c r="M17" s="47">
        <f>IFERROR('HI-LOW Berechnung'!AY16,0)</f>
        <v>46</v>
      </c>
      <c r="N17" s="76">
        <f>IFERROR('HI-LOW Berechnung'!BB16,0)</f>
        <v>26</v>
      </c>
      <c r="O17" s="75">
        <f>IFNA(VLOOKUP(B17,Datensammler!$B:$AA,25,0),"")</f>
        <v>12</v>
      </c>
      <c r="P17" s="47"/>
      <c r="Q17" s="47"/>
      <c r="R17" s="47"/>
      <c r="S17" s="77">
        <f t="shared" si="4"/>
        <v>12</v>
      </c>
      <c r="T17" s="78">
        <f t="shared" ref="T17:U17" si="33">IF(G17=0,"",G17/O17)</f>
        <v>131.1666667</v>
      </c>
      <c r="U17" s="51" t="str">
        <f t="shared" si="33"/>
        <v/>
      </c>
      <c r="V17" s="51" t="str">
        <f t="shared" ref="V17:W17" si="34">IF(I17="","",I17/Q17)</f>
        <v/>
      </c>
      <c r="W17" s="51" t="str">
        <f t="shared" si="34"/>
        <v/>
      </c>
      <c r="X17" s="79">
        <f t="shared" si="7"/>
        <v>131.1666667</v>
      </c>
      <c r="Y17" s="48">
        <v>12.0</v>
      </c>
      <c r="Z17" s="48">
        <f t="shared" si="8"/>
        <v>0.00830854886</v>
      </c>
      <c r="AA17" s="48">
        <f t="shared" si="9"/>
        <v>1574.008309</v>
      </c>
      <c r="AB17" s="48">
        <v>12.0</v>
      </c>
      <c r="AC17" s="48">
        <f t="shared" si="10"/>
        <v>1955.008399</v>
      </c>
      <c r="AD17" s="48">
        <f t="shared" si="11"/>
        <v>8</v>
      </c>
      <c r="AE17" s="72">
        <v>12.0</v>
      </c>
      <c r="AF17" s="83">
        <f t="shared" si="12"/>
        <v>131.16712</v>
      </c>
      <c r="AG17" s="72">
        <v>12.0</v>
      </c>
      <c r="AH17" s="48">
        <f t="shared" si="13"/>
        <v>162.91708</v>
      </c>
      <c r="AI17" s="84">
        <f t="shared" si="14"/>
        <v>8</v>
      </c>
      <c r="AJ17" s="48"/>
      <c r="AK17" s="48"/>
      <c r="AL17" s="48"/>
      <c r="AM17" s="48"/>
      <c r="AN17" s="48"/>
      <c r="AO17" s="48"/>
      <c r="AP17" s="48"/>
      <c r="AQ17" s="48"/>
      <c r="AR17" s="48"/>
      <c r="AS17" s="48"/>
      <c r="AT17" s="48"/>
      <c r="AU17" s="48"/>
      <c r="AV17" s="48"/>
      <c r="AW17" s="48"/>
      <c r="AX17" s="48"/>
      <c r="AY17" s="48"/>
      <c r="AZ17" s="48"/>
      <c r="BA17" s="48"/>
      <c r="BB17" s="47"/>
      <c r="BC17" s="47"/>
      <c r="BD17" s="47"/>
      <c r="BE17" s="47"/>
      <c r="BF17" s="48"/>
      <c r="BG17" s="52"/>
      <c r="BH17" s="48"/>
      <c r="BI17" s="48"/>
      <c r="BJ17" s="48"/>
      <c r="BK17" s="48"/>
      <c r="BL17" s="48"/>
      <c r="BM17" s="48"/>
      <c r="BN17" s="48"/>
      <c r="BO17" s="48"/>
      <c r="BP17" s="85"/>
      <c r="BQ17" s="48"/>
    </row>
    <row r="18" ht="23.25" customHeight="1">
      <c r="A18" s="47">
        <v>13.0</v>
      </c>
      <c r="B18" s="81">
        <v>38173.0</v>
      </c>
      <c r="C18" s="82" t="str">
        <f>IF(B18="","",VLOOKUP(B18,'Mitglieder BBU'!A:N,6,0))</f>
        <v>Nadja Seidlein</v>
      </c>
      <c r="D18" s="82" t="str">
        <f>IF(#REF!="","",VLOOKUP(#REF!,'Mitglieder BBU'!A:N,6,0))</f>
        <v>#REF!</v>
      </c>
      <c r="E18" s="82" t="str">
        <f>IF(#REF!="","",VLOOKUP(#REF!,'Mitglieder BBU'!A:N,6,0))</f>
        <v>#REF!</v>
      </c>
      <c r="F18" s="62"/>
      <c r="G18" s="75">
        <f>IFNA(VLOOKUP(B18,Datensammler!$B:$AA,24,0),"")</f>
        <v>1784</v>
      </c>
      <c r="H18" s="47"/>
      <c r="I18" s="47"/>
      <c r="J18" s="47"/>
      <c r="K18" s="76">
        <f t="shared" si="3"/>
        <v>1784</v>
      </c>
      <c r="L18" s="75">
        <f>IFERROR('HI-LOW Berechnung'!AS17,0)</f>
        <v>43</v>
      </c>
      <c r="M18" s="47">
        <f>IFERROR('HI-LOW Berechnung'!AY17,0)</f>
        <v>35</v>
      </c>
      <c r="N18" s="76">
        <f>IFERROR('HI-LOW Berechnung'!BB17,0)</f>
        <v>24</v>
      </c>
      <c r="O18" s="75">
        <f>IFNA(VLOOKUP(B18,Datensammler!$B:$AA,25,0),"")</f>
        <v>12</v>
      </c>
      <c r="P18" s="47"/>
      <c r="Q18" s="47"/>
      <c r="R18" s="47"/>
      <c r="S18" s="77">
        <f t="shared" si="4"/>
        <v>12</v>
      </c>
      <c r="T18" s="78">
        <f t="shared" ref="T18:U18" si="35">IF(G18=0,"",G18/O18)</f>
        <v>148.6666667</v>
      </c>
      <c r="U18" s="51" t="str">
        <f t="shared" si="35"/>
        <v/>
      </c>
      <c r="V18" s="51" t="str">
        <f t="shared" ref="V18:W18" si="36">IF(I18="","",I18/Q18)</f>
        <v/>
      </c>
      <c r="W18" s="51" t="str">
        <f t="shared" si="36"/>
        <v/>
      </c>
      <c r="X18" s="79">
        <f t="shared" si="7"/>
        <v>148.6666667</v>
      </c>
      <c r="Y18" s="48">
        <v>13.0</v>
      </c>
      <c r="Z18" s="48">
        <f t="shared" si="8"/>
        <v>0.00857865889</v>
      </c>
      <c r="AA18" s="48">
        <f t="shared" si="9"/>
        <v>1784.008579</v>
      </c>
      <c r="AB18" s="48">
        <v>13.0</v>
      </c>
      <c r="AC18" s="48">
        <f t="shared" si="10"/>
        <v>1858.008328</v>
      </c>
      <c r="AD18" s="48">
        <f t="shared" si="11"/>
        <v>1</v>
      </c>
      <c r="AE18" s="72">
        <v>13.0</v>
      </c>
      <c r="AF18" s="83">
        <f t="shared" si="12"/>
        <v>148.66713</v>
      </c>
      <c r="AG18" s="72">
        <v>13.0</v>
      </c>
      <c r="AH18" s="48">
        <f t="shared" si="13"/>
        <v>154.83301</v>
      </c>
      <c r="AI18" s="84">
        <f t="shared" si="14"/>
        <v>1</v>
      </c>
      <c r="AJ18" s="48"/>
      <c r="AK18" s="48"/>
      <c r="AL18" s="48"/>
      <c r="AM18" s="48"/>
      <c r="AN18" s="48"/>
      <c r="AO18" s="48"/>
      <c r="AP18" s="48"/>
      <c r="AQ18" s="48"/>
      <c r="AR18" s="48"/>
      <c r="AS18" s="48"/>
      <c r="AT18" s="48"/>
      <c r="AU18" s="48"/>
      <c r="AV18" s="48"/>
      <c r="AW18" s="48"/>
      <c r="AX18" s="48"/>
      <c r="AY18" s="48"/>
      <c r="AZ18" s="48"/>
      <c r="BA18" s="48"/>
      <c r="BB18" s="47"/>
      <c r="BC18" s="47"/>
      <c r="BD18" s="47"/>
      <c r="BE18" s="47"/>
      <c r="BF18" s="48"/>
      <c r="BG18" s="52"/>
      <c r="BH18" s="48"/>
      <c r="BI18" s="48"/>
      <c r="BJ18" s="48"/>
      <c r="BK18" s="48"/>
      <c r="BL18" s="48"/>
      <c r="BM18" s="48"/>
      <c r="BN18" s="48"/>
      <c r="BO18" s="48"/>
      <c r="BP18" s="85"/>
      <c r="BQ18" s="48"/>
    </row>
    <row r="19" ht="23.25" customHeight="1">
      <c r="A19" s="47">
        <v>14.0</v>
      </c>
      <c r="B19" s="81">
        <v>36696.0</v>
      </c>
      <c r="C19" s="82" t="str">
        <f>IF(B19="","",VLOOKUP(B19,'Mitglieder BBU'!A:N,6,0))</f>
        <v>Laura Piros</v>
      </c>
      <c r="D19" s="82" t="str">
        <f>IF(#REF!="","",VLOOKUP(#REF!,'Mitglieder BBU'!A:N,6,0))</f>
        <v>#REF!</v>
      </c>
      <c r="E19" s="82" t="str">
        <f>IF(#REF!="","",VLOOKUP(#REF!,'Mitglieder BBU'!A:N,6,0))</f>
        <v>#REF!</v>
      </c>
      <c r="F19" s="62"/>
      <c r="G19" s="75">
        <f>IFNA(VLOOKUP(B19,Datensammler!$B:$AA,24,0),"")</f>
        <v>2346</v>
      </c>
      <c r="H19" s="47"/>
      <c r="I19" s="47"/>
      <c r="J19" s="47"/>
      <c r="K19" s="76">
        <f t="shared" si="3"/>
        <v>2346</v>
      </c>
      <c r="L19" s="75">
        <f>IFERROR('HI-LOW Berechnung'!AS18,0)</f>
        <v>91</v>
      </c>
      <c r="M19" s="47">
        <f>IFERROR('HI-LOW Berechnung'!AY18,0)</f>
        <v>80</v>
      </c>
      <c r="N19" s="76">
        <f>IFERROR('HI-LOW Berechnung'!BB18,0)</f>
        <v>58</v>
      </c>
      <c r="O19" s="75">
        <f>IFNA(VLOOKUP(B19,Datensammler!$B:$AA,25,0),"")</f>
        <v>12</v>
      </c>
      <c r="P19" s="47"/>
      <c r="Q19" s="47"/>
      <c r="R19" s="47"/>
      <c r="S19" s="77">
        <f t="shared" si="4"/>
        <v>12</v>
      </c>
      <c r="T19" s="78">
        <f t="shared" ref="T19:U19" si="37">IF(G19=0,"",G19/O19)</f>
        <v>195.5</v>
      </c>
      <c r="U19" s="51" t="str">
        <f t="shared" si="37"/>
        <v/>
      </c>
      <c r="V19" s="51" t="str">
        <f t="shared" ref="V19:W19" si="38">IF(I19="","",I19/Q19)</f>
        <v/>
      </c>
      <c r="W19" s="51" t="str">
        <f t="shared" si="38"/>
        <v/>
      </c>
      <c r="X19" s="79">
        <f t="shared" si="7"/>
        <v>195.5</v>
      </c>
      <c r="Y19" s="48">
        <v>14.0</v>
      </c>
      <c r="Z19" s="48">
        <f t="shared" si="8"/>
        <v>0.00809820856</v>
      </c>
      <c r="AA19" s="48">
        <f t="shared" si="9"/>
        <v>2346.008098</v>
      </c>
      <c r="AB19" s="48">
        <v>14.0</v>
      </c>
      <c r="AC19" s="48">
        <f t="shared" si="10"/>
        <v>1850.008479</v>
      </c>
      <c r="AD19" s="48">
        <f t="shared" si="11"/>
        <v>16</v>
      </c>
      <c r="AE19" s="72">
        <v>14.0</v>
      </c>
      <c r="AF19" s="83">
        <f t="shared" si="12"/>
        <v>195.50014</v>
      </c>
      <c r="AG19" s="72">
        <v>14.0</v>
      </c>
      <c r="AH19" s="48">
        <f t="shared" si="13"/>
        <v>154.16716</v>
      </c>
      <c r="AI19" s="84">
        <f t="shared" si="14"/>
        <v>16</v>
      </c>
      <c r="AJ19" s="48"/>
      <c r="AK19" s="48"/>
      <c r="AL19" s="48"/>
      <c r="AM19" s="48"/>
      <c r="AN19" s="48"/>
      <c r="AO19" s="48"/>
      <c r="AP19" s="48"/>
      <c r="AQ19" s="48"/>
      <c r="AR19" s="48"/>
      <c r="AS19" s="48"/>
      <c r="AT19" s="48"/>
      <c r="AU19" s="48"/>
      <c r="AV19" s="48"/>
      <c r="AW19" s="48"/>
      <c r="AX19" s="48"/>
      <c r="AY19" s="48"/>
      <c r="AZ19" s="48"/>
      <c r="BA19" s="48"/>
      <c r="BB19" s="47"/>
      <c r="BC19" s="47"/>
      <c r="BD19" s="47"/>
      <c r="BE19" s="47"/>
      <c r="BF19" s="48"/>
      <c r="BG19" s="52"/>
      <c r="BH19" s="48"/>
      <c r="BI19" s="48"/>
      <c r="BJ19" s="48"/>
      <c r="BK19" s="48"/>
      <c r="BL19" s="48"/>
      <c r="BM19" s="48"/>
      <c r="BN19" s="48"/>
      <c r="BO19" s="48"/>
      <c r="BP19" s="85"/>
      <c r="BQ19" s="48"/>
    </row>
    <row r="20" ht="23.25" customHeight="1">
      <c r="A20" s="47">
        <v>15.0</v>
      </c>
      <c r="B20" s="81">
        <v>7083.0</v>
      </c>
      <c r="C20" s="82" t="str">
        <f>IF(B20="","",VLOOKUP(B20,'Mitglieder BBU'!A:N,6,0))</f>
        <v>Alexandra Mareiser</v>
      </c>
      <c r="D20" s="82" t="str">
        <f>IF(#REF!="","",VLOOKUP(#REF!,'Mitglieder BBU'!A:N,6,0))</f>
        <v>#REF!</v>
      </c>
      <c r="E20" s="82" t="str">
        <f>IF(#REF!="","",VLOOKUP(#REF!,'Mitglieder BBU'!A:N,6,0))</f>
        <v>#REF!</v>
      </c>
      <c r="F20" s="62"/>
      <c r="G20" s="75">
        <f>IFNA(VLOOKUP(B20,Datensammler!$B:$AA,24,0),"")</f>
        <v>2269</v>
      </c>
      <c r="H20" s="47"/>
      <c r="I20" s="47"/>
      <c r="J20" s="47"/>
      <c r="K20" s="76">
        <f t="shared" si="3"/>
        <v>2269</v>
      </c>
      <c r="L20" s="75">
        <f>IFERROR('HI-LOW Berechnung'!AS19,0)</f>
        <v>113</v>
      </c>
      <c r="M20" s="47">
        <f>IFERROR('HI-LOW Berechnung'!AY19,0)</f>
        <v>77</v>
      </c>
      <c r="N20" s="76">
        <f>IFERROR('HI-LOW Berechnung'!BB19,0)</f>
        <v>65</v>
      </c>
      <c r="O20" s="75">
        <f>IFNA(VLOOKUP(B20,Datensammler!$B:$AA,25,0),"")</f>
        <v>12</v>
      </c>
      <c r="P20" s="47"/>
      <c r="Q20" s="47"/>
      <c r="R20" s="47"/>
      <c r="S20" s="77">
        <f t="shared" si="4"/>
        <v>12</v>
      </c>
      <c r="T20" s="78">
        <f t="shared" ref="T20:U20" si="39">IF(G20=0,"",G20/O20)</f>
        <v>189.0833333</v>
      </c>
      <c r="U20" s="51" t="str">
        <f t="shared" si="39"/>
        <v/>
      </c>
      <c r="V20" s="51" t="str">
        <f t="shared" ref="V20:W20" si="40">IF(I20="","",I20/Q20)</f>
        <v/>
      </c>
      <c r="W20" s="51" t="str">
        <f t="shared" si="40"/>
        <v/>
      </c>
      <c r="X20" s="79">
        <f t="shared" si="7"/>
        <v>189.0833333</v>
      </c>
      <c r="Y20" s="48">
        <v>15.0</v>
      </c>
      <c r="Z20" s="48">
        <f t="shared" si="8"/>
        <v>0.0078782385</v>
      </c>
      <c r="AA20" s="48">
        <f t="shared" si="9"/>
        <v>2269.007878</v>
      </c>
      <c r="AB20" s="48">
        <v>15.0</v>
      </c>
      <c r="AC20" s="48">
        <f t="shared" si="10"/>
        <v>1823.008059</v>
      </c>
      <c r="AD20" s="48">
        <f t="shared" si="11"/>
        <v>10</v>
      </c>
      <c r="AE20" s="72">
        <v>15.0</v>
      </c>
      <c r="AF20" s="83">
        <f t="shared" si="12"/>
        <v>189.08315</v>
      </c>
      <c r="AG20" s="72">
        <v>15.0</v>
      </c>
      <c r="AH20" s="48">
        <f t="shared" si="13"/>
        <v>151.9171</v>
      </c>
      <c r="AI20" s="84">
        <f t="shared" si="14"/>
        <v>10</v>
      </c>
      <c r="AJ20" s="48"/>
      <c r="AK20" s="48"/>
      <c r="AL20" s="48"/>
      <c r="AM20" s="48"/>
      <c r="AN20" s="48"/>
      <c r="AO20" s="48"/>
      <c r="AP20" s="48"/>
      <c r="AQ20" s="48"/>
      <c r="AR20" s="48"/>
      <c r="AS20" s="48"/>
      <c r="AT20" s="48"/>
      <c r="AU20" s="48"/>
      <c r="AV20" s="48"/>
      <c r="AW20" s="48"/>
      <c r="AX20" s="48"/>
      <c r="AY20" s="48"/>
      <c r="AZ20" s="48"/>
      <c r="BA20" s="48"/>
      <c r="BB20" s="47"/>
      <c r="BC20" s="47"/>
      <c r="BD20" s="47"/>
      <c r="BE20" s="47"/>
      <c r="BF20" s="48"/>
      <c r="BG20" s="52"/>
      <c r="BH20" s="48"/>
      <c r="BI20" s="48"/>
      <c r="BJ20" s="48"/>
      <c r="BK20" s="48"/>
      <c r="BL20" s="48"/>
      <c r="BM20" s="48"/>
      <c r="BN20" s="48"/>
      <c r="BO20" s="48"/>
      <c r="BP20" s="85"/>
      <c r="BQ20" s="48"/>
    </row>
    <row r="21" ht="23.25" customHeight="1">
      <c r="A21" s="47">
        <v>16.0</v>
      </c>
      <c r="B21" s="81">
        <v>38555.0</v>
      </c>
      <c r="C21" s="82" t="str">
        <f>IF(B21="","",VLOOKUP(B21,'Mitglieder BBU'!A:N,6,0))</f>
        <v>Regina Gahr</v>
      </c>
      <c r="D21" s="82" t="str">
        <f>IF(#REF!="","",VLOOKUP(#REF!,'Mitglieder BBU'!A:N,6,0))</f>
        <v>#REF!</v>
      </c>
      <c r="E21" s="82" t="str">
        <f>IF(#REF!="","",VLOOKUP(#REF!,'Mitglieder BBU'!A:N,6,0))</f>
        <v>#REF!</v>
      </c>
      <c r="F21" s="62"/>
      <c r="G21" s="75">
        <f>IFNA(VLOOKUP(B21,Datensammler!$B:$AA,24,0),"")</f>
        <v>1850</v>
      </c>
      <c r="H21" s="47"/>
      <c r="I21" s="47"/>
      <c r="J21" s="47"/>
      <c r="K21" s="76">
        <f t="shared" si="3"/>
        <v>1850</v>
      </c>
      <c r="L21" s="75">
        <f>IFERROR('HI-LOW Berechnung'!AS20,0)</f>
        <v>53</v>
      </c>
      <c r="M21" s="47">
        <f>IFERROR('HI-LOW Berechnung'!AY20,0)</f>
        <v>38</v>
      </c>
      <c r="N21" s="76">
        <f>IFERROR('HI-LOW Berechnung'!BB20,0)</f>
        <v>31</v>
      </c>
      <c r="O21" s="75">
        <f>IFNA(VLOOKUP(B21,Datensammler!$B:$AA,25,0),"")</f>
        <v>12</v>
      </c>
      <c r="P21" s="47"/>
      <c r="Q21" s="47"/>
      <c r="R21" s="47"/>
      <c r="S21" s="77">
        <f t="shared" si="4"/>
        <v>12</v>
      </c>
      <c r="T21" s="78">
        <f t="shared" ref="T21:U21" si="41">IF(G21=0,"",G21/O21)</f>
        <v>154.1666667</v>
      </c>
      <c r="U21" s="51" t="str">
        <f t="shared" si="41"/>
        <v/>
      </c>
      <c r="V21" s="51" t="str">
        <f t="shared" ref="V21:W21" si="42">IF(I21="","",I21/Q21)</f>
        <v/>
      </c>
      <c r="W21" s="51" t="str">
        <f t="shared" si="42"/>
        <v/>
      </c>
      <c r="X21" s="79">
        <f t="shared" si="7"/>
        <v>154.1666667</v>
      </c>
      <c r="Y21" s="48">
        <v>16.0</v>
      </c>
      <c r="Z21" s="48">
        <f t="shared" si="8"/>
        <v>0.00847862885</v>
      </c>
      <c r="AA21" s="48">
        <f t="shared" si="9"/>
        <v>1850.008479</v>
      </c>
      <c r="AB21" s="48">
        <v>16.0</v>
      </c>
      <c r="AC21" s="48">
        <f t="shared" si="10"/>
        <v>1803.008158</v>
      </c>
      <c r="AD21" s="48">
        <f t="shared" si="11"/>
        <v>21</v>
      </c>
      <c r="AE21" s="72">
        <v>16.0</v>
      </c>
      <c r="AF21" s="83">
        <f t="shared" si="12"/>
        <v>154.16716</v>
      </c>
      <c r="AG21" s="72">
        <v>16.0</v>
      </c>
      <c r="AH21" s="48">
        <f t="shared" si="13"/>
        <v>150.25021</v>
      </c>
      <c r="AI21" s="84">
        <f t="shared" si="14"/>
        <v>21</v>
      </c>
      <c r="AJ21" s="48"/>
      <c r="AK21" s="48"/>
      <c r="AL21" s="48"/>
      <c r="AM21" s="48"/>
      <c r="AN21" s="48"/>
      <c r="AO21" s="48"/>
      <c r="AP21" s="48"/>
      <c r="AQ21" s="48"/>
      <c r="AR21" s="48"/>
      <c r="AS21" s="48"/>
      <c r="AT21" s="48"/>
      <c r="AU21" s="48"/>
      <c r="AV21" s="48"/>
      <c r="AW21" s="48"/>
      <c r="AX21" s="48"/>
      <c r="AY21" s="48"/>
      <c r="AZ21" s="48"/>
      <c r="BA21" s="48"/>
      <c r="BB21" s="47"/>
      <c r="BC21" s="47"/>
      <c r="BD21" s="47"/>
      <c r="BE21" s="47"/>
      <c r="BF21" s="48"/>
      <c r="BG21" s="52"/>
      <c r="BH21" s="48"/>
      <c r="BI21" s="48"/>
      <c r="BJ21" s="48"/>
      <c r="BK21" s="48"/>
      <c r="BL21" s="48"/>
      <c r="BM21" s="48"/>
      <c r="BN21" s="48"/>
      <c r="BO21" s="48"/>
      <c r="BP21" s="85"/>
      <c r="BQ21" s="48"/>
    </row>
    <row r="22" ht="23.25" customHeight="1">
      <c r="A22" s="47">
        <v>17.0</v>
      </c>
      <c r="B22" s="81">
        <v>38355.0</v>
      </c>
      <c r="C22" s="82" t="str">
        <f>IF(B22="","",VLOOKUP(B22,'Mitglieder BBU'!A:N,6,0))</f>
        <v>Jana Witthinrich</v>
      </c>
      <c r="D22" s="82" t="str">
        <f>IF(#REF!="","",VLOOKUP(#REF!,'Mitglieder BBU'!A:N,6,0))</f>
        <v>#REF!</v>
      </c>
      <c r="E22" s="82" t="str">
        <f>IF(#REF!="","",VLOOKUP(#REF!,'Mitglieder BBU'!A:N,6,0))</f>
        <v>#REF!</v>
      </c>
      <c r="F22" s="62"/>
      <c r="G22" s="75">
        <f>IFNA(VLOOKUP(B22,Datensammler!$B:$AA,24,0),"")</f>
        <v>2037</v>
      </c>
      <c r="H22" s="47"/>
      <c r="I22" s="47"/>
      <c r="J22" s="47"/>
      <c r="K22" s="76">
        <f t="shared" si="3"/>
        <v>2037</v>
      </c>
      <c r="L22" s="75">
        <f>IFERROR('HI-LOW Berechnung'!AS21,0)</f>
        <v>68</v>
      </c>
      <c r="M22" s="47">
        <f>IFERROR('HI-LOW Berechnung'!AY21,0)</f>
        <v>45</v>
      </c>
      <c r="N22" s="76">
        <f>IFERROR('HI-LOW Berechnung'!BB21,0)</f>
        <v>31</v>
      </c>
      <c r="O22" s="75">
        <f>IFNA(VLOOKUP(B22,Datensammler!$B:$AA,25,0),"")</f>
        <v>12</v>
      </c>
      <c r="P22" s="47"/>
      <c r="Q22" s="47"/>
      <c r="R22" s="47"/>
      <c r="S22" s="77">
        <f t="shared" si="4"/>
        <v>12</v>
      </c>
      <c r="T22" s="78">
        <f t="shared" ref="T22:U22" si="43">IF(G22=0,"",G22/O22)</f>
        <v>169.75</v>
      </c>
      <c r="U22" s="51" t="str">
        <f t="shared" si="43"/>
        <v/>
      </c>
      <c r="V22" s="51" t="str">
        <f t="shared" ref="V22:W22" si="44">IF(I22="","",I22/Q22)</f>
        <v/>
      </c>
      <c r="W22" s="51" t="str">
        <f t="shared" si="44"/>
        <v/>
      </c>
      <c r="X22" s="79">
        <f t="shared" si="7"/>
        <v>169.75</v>
      </c>
      <c r="Y22" s="48">
        <v>17.0</v>
      </c>
      <c r="Z22" s="48">
        <f t="shared" si="8"/>
        <v>0.00832855886</v>
      </c>
      <c r="AA22" s="48">
        <f t="shared" si="9"/>
        <v>2037.008329</v>
      </c>
      <c r="AB22" s="48">
        <v>17.0</v>
      </c>
      <c r="AC22" s="48">
        <f t="shared" si="10"/>
        <v>1799.008529</v>
      </c>
      <c r="AD22" s="48">
        <f t="shared" si="11"/>
        <v>11</v>
      </c>
      <c r="AE22" s="72">
        <v>17.0</v>
      </c>
      <c r="AF22" s="83">
        <f t="shared" si="12"/>
        <v>169.75017</v>
      </c>
      <c r="AG22" s="72">
        <v>17.0</v>
      </c>
      <c r="AH22" s="48">
        <f t="shared" si="13"/>
        <v>149.91711</v>
      </c>
      <c r="AI22" s="84">
        <f t="shared" si="14"/>
        <v>11</v>
      </c>
      <c r="AJ22" s="48"/>
      <c r="AK22" s="48"/>
      <c r="AL22" s="48"/>
      <c r="AM22" s="48"/>
      <c r="AN22" s="48"/>
      <c r="AO22" s="48"/>
      <c r="AP22" s="48"/>
      <c r="AQ22" s="48"/>
      <c r="AR22" s="48"/>
      <c r="AS22" s="48"/>
      <c r="AT22" s="48"/>
      <c r="AU22" s="48"/>
      <c r="AV22" s="48"/>
      <c r="AW22" s="48"/>
      <c r="AX22" s="48"/>
      <c r="AY22" s="48"/>
      <c r="AZ22" s="48"/>
      <c r="BA22" s="48"/>
      <c r="BB22" s="47"/>
      <c r="BC22" s="47"/>
      <c r="BD22" s="47"/>
      <c r="BE22" s="47"/>
      <c r="BF22" s="48"/>
      <c r="BG22" s="52"/>
      <c r="BH22" s="48"/>
      <c r="BI22" s="48"/>
      <c r="BJ22" s="48"/>
      <c r="BK22" s="48"/>
      <c r="BL22" s="48"/>
      <c r="BM22" s="48"/>
      <c r="BN22" s="48"/>
      <c r="BO22" s="48"/>
      <c r="BP22" s="85"/>
      <c r="BQ22" s="48"/>
    </row>
    <row r="23" ht="23.25" customHeight="1">
      <c r="A23" s="47">
        <v>18.0</v>
      </c>
      <c r="B23" s="81">
        <v>25857.0</v>
      </c>
      <c r="C23" s="82" t="str">
        <f>IF(B23="","",VLOOKUP(B23,'Mitglieder BBU'!A:N,6,0))</f>
        <v>Natalie Groll</v>
      </c>
      <c r="D23" s="82" t="str">
        <f>IF(#REF!="","",VLOOKUP(#REF!,'Mitglieder BBU'!A:N,6,0))</f>
        <v>#REF!</v>
      </c>
      <c r="E23" s="82" t="str">
        <f>IF(#REF!="","",VLOOKUP(#REF!,'Mitglieder BBU'!A:N,6,0))</f>
        <v>#REF!</v>
      </c>
      <c r="F23" s="82"/>
      <c r="G23" s="75">
        <f>IFNA(VLOOKUP(B23,Datensammler!$B:$AA,24,0),"")</f>
        <v>2200</v>
      </c>
      <c r="H23" s="47"/>
      <c r="I23" s="47"/>
      <c r="J23" s="47"/>
      <c r="K23" s="76">
        <f t="shared" si="3"/>
        <v>2200</v>
      </c>
      <c r="L23" s="75">
        <f>IFERROR('HI-LOW Berechnung'!AS22,0)</f>
        <v>97</v>
      </c>
      <c r="M23" s="47">
        <f>IFERROR('HI-LOW Berechnung'!AY22,0)</f>
        <v>74</v>
      </c>
      <c r="N23" s="76">
        <f>IFERROR('HI-LOW Berechnung'!BB22,0)</f>
        <v>44</v>
      </c>
      <c r="O23" s="75">
        <f>IFNA(VLOOKUP(B23,Datensammler!$B:$AA,25,0),"")</f>
        <v>12</v>
      </c>
      <c r="P23" s="47"/>
      <c r="Q23" s="47"/>
      <c r="R23" s="47"/>
      <c r="S23" s="77">
        <f t="shared" si="4"/>
        <v>12</v>
      </c>
      <c r="T23" s="78">
        <f t="shared" ref="T23:U23" si="45">IF(G23=0,"",G23/O23)</f>
        <v>183.3333333</v>
      </c>
      <c r="U23" s="51" t="str">
        <f t="shared" si="45"/>
        <v/>
      </c>
      <c r="V23" s="51" t="str">
        <f t="shared" ref="V23:W23" si="46">IF(I23="","",I23/Q23)</f>
        <v/>
      </c>
      <c r="W23" s="51" t="str">
        <f t="shared" si="46"/>
        <v/>
      </c>
      <c r="X23" s="79">
        <f t="shared" si="7"/>
        <v>183.3333333</v>
      </c>
      <c r="Y23" s="48">
        <v>18.0</v>
      </c>
      <c r="Z23" s="48">
        <f t="shared" si="8"/>
        <v>0.00803826874</v>
      </c>
      <c r="AA23" s="48">
        <f t="shared" si="9"/>
        <v>2200.008038</v>
      </c>
      <c r="AB23" s="48">
        <v>18.0</v>
      </c>
      <c r="AC23" s="48">
        <f t="shared" si="10"/>
        <v>1784.008579</v>
      </c>
      <c r="AD23" s="48">
        <f t="shared" si="11"/>
        <v>13</v>
      </c>
      <c r="AE23" s="72">
        <v>18.0</v>
      </c>
      <c r="AF23" s="83">
        <f t="shared" si="12"/>
        <v>183.33318</v>
      </c>
      <c r="AG23" s="72">
        <v>18.0</v>
      </c>
      <c r="AH23" s="48">
        <f t="shared" si="13"/>
        <v>148.66713</v>
      </c>
      <c r="AI23" s="84">
        <f t="shared" si="14"/>
        <v>13</v>
      </c>
      <c r="AJ23" s="48"/>
      <c r="AK23" s="48"/>
      <c r="AL23" s="48"/>
      <c r="AM23" s="48"/>
      <c r="AN23" s="48"/>
      <c r="AO23" s="48"/>
      <c r="AP23" s="48"/>
      <c r="AQ23" s="48"/>
      <c r="AR23" s="48"/>
      <c r="AS23" s="48"/>
      <c r="AT23" s="48"/>
      <c r="AU23" s="48"/>
      <c r="AV23" s="48"/>
      <c r="AW23" s="48"/>
      <c r="AX23" s="48"/>
      <c r="AY23" s="48"/>
      <c r="AZ23" s="48"/>
      <c r="BA23" s="48"/>
      <c r="BB23" s="47"/>
      <c r="BC23" s="47"/>
      <c r="BD23" s="47"/>
      <c r="BE23" s="47"/>
      <c r="BF23" s="48"/>
      <c r="BG23" s="52"/>
      <c r="BH23" s="48"/>
      <c r="BI23" s="48"/>
      <c r="BJ23" s="48"/>
      <c r="BK23" s="48"/>
      <c r="BL23" s="48"/>
      <c r="BM23" s="48"/>
      <c r="BN23" s="48"/>
      <c r="BO23" s="48"/>
      <c r="BP23" s="85"/>
      <c r="BQ23" s="48"/>
    </row>
    <row r="24" ht="23.25" customHeight="1">
      <c r="A24" s="47">
        <v>19.0</v>
      </c>
      <c r="B24" s="81">
        <v>25630.0</v>
      </c>
      <c r="C24" s="82" t="str">
        <f>IF(B24="","",VLOOKUP(B24,'Mitglieder BBU'!A:N,6,0))</f>
        <v>Johanna Groll</v>
      </c>
      <c r="D24" s="82" t="str">
        <f>IF(#REF!="","",VLOOKUP(#REF!,'Mitglieder BBU'!A:N,6,0))</f>
        <v>#REF!</v>
      </c>
      <c r="E24" s="82" t="str">
        <f>IF(#REF!="","",VLOOKUP(#REF!,'Mitglieder BBU'!A:N,6,0))</f>
        <v>#REF!</v>
      </c>
      <c r="F24" s="62"/>
      <c r="G24" s="75">
        <f>IFNA(VLOOKUP(B24,Datensammler!$B:$AA,24,0),"")</f>
        <v>2081</v>
      </c>
      <c r="H24" s="47"/>
      <c r="I24" s="47"/>
      <c r="J24" s="47"/>
      <c r="K24" s="76">
        <f t="shared" si="3"/>
        <v>2081</v>
      </c>
      <c r="L24" s="75">
        <f>IFERROR('HI-LOW Berechnung'!AS23,0)</f>
        <v>55</v>
      </c>
      <c r="M24" s="47">
        <f>IFERROR('HI-LOW Berechnung'!AY23,0)</f>
        <v>47</v>
      </c>
      <c r="N24" s="76">
        <f>IFERROR('HI-LOW Berechnung'!BB23,0)</f>
        <v>26</v>
      </c>
      <c r="O24" s="75">
        <f>IFNA(VLOOKUP(B24,Datensammler!$B:$AA,25,0),"")</f>
        <v>12</v>
      </c>
      <c r="P24" s="47"/>
      <c r="Q24" s="47"/>
      <c r="R24" s="47"/>
      <c r="S24" s="77">
        <f t="shared" si="4"/>
        <v>12</v>
      </c>
      <c r="T24" s="78">
        <f t="shared" ref="T24:U24" si="47">IF(G24=0,"",G24/O24)</f>
        <v>173.4166667</v>
      </c>
      <c r="U24" s="51" t="str">
        <f t="shared" si="47"/>
        <v/>
      </c>
      <c r="V24" s="51" t="str">
        <f t="shared" ref="V24:W24" si="48">IF(I24="","",I24/Q24)</f>
        <v/>
      </c>
      <c r="W24" s="51" t="str">
        <f t="shared" si="48"/>
        <v/>
      </c>
      <c r="X24" s="79">
        <f t="shared" si="7"/>
        <v>173.4166667</v>
      </c>
      <c r="Y24" s="48">
        <v>19.0</v>
      </c>
      <c r="Z24" s="48">
        <f t="shared" si="8"/>
        <v>0.00845853893</v>
      </c>
      <c r="AA24" s="48">
        <f t="shared" si="9"/>
        <v>2081.008459</v>
      </c>
      <c r="AB24" s="48">
        <v>19.0</v>
      </c>
      <c r="AC24" s="48">
        <f t="shared" si="10"/>
        <v>1701.008299</v>
      </c>
      <c r="AD24" s="48">
        <f t="shared" si="11"/>
        <v>5</v>
      </c>
      <c r="AE24" s="72">
        <v>19.0</v>
      </c>
      <c r="AF24" s="83">
        <f t="shared" si="12"/>
        <v>173.41719</v>
      </c>
      <c r="AG24" s="72">
        <v>19.0</v>
      </c>
      <c r="AH24" s="48">
        <f t="shared" si="13"/>
        <v>141.75005</v>
      </c>
      <c r="AI24" s="84">
        <f t="shared" si="14"/>
        <v>5</v>
      </c>
      <c r="AJ24" s="48"/>
      <c r="AK24" s="48"/>
      <c r="AL24" s="48"/>
      <c r="AM24" s="48"/>
      <c r="AN24" s="48"/>
      <c r="AO24" s="48"/>
      <c r="AP24" s="48"/>
      <c r="AQ24" s="48"/>
      <c r="AR24" s="48"/>
      <c r="AS24" s="48"/>
      <c r="AT24" s="48"/>
      <c r="AU24" s="48"/>
      <c r="AV24" s="48"/>
      <c r="AW24" s="48"/>
      <c r="AX24" s="48"/>
      <c r="AY24" s="48"/>
      <c r="AZ24" s="48"/>
      <c r="BA24" s="48"/>
      <c r="BB24" s="47"/>
      <c r="BC24" s="47"/>
      <c r="BD24" s="47"/>
      <c r="BE24" s="47"/>
      <c r="BF24" s="48"/>
      <c r="BG24" s="52"/>
      <c r="BH24" s="48"/>
      <c r="BI24" s="48"/>
      <c r="BJ24" s="48"/>
      <c r="BK24" s="48"/>
      <c r="BL24" s="48"/>
      <c r="BM24" s="48"/>
      <c r="BN24" s="48"/>
      <c r="BO24" s="48"/>
      <c r="BP24" s="85"/>
      <c r="BQ24" s="48"/>
    </row>
    <row r="25" ht="23.25" customHeight="1">
      <c r="A25" s="47">
        <v>20.0</v>
      </c>
      <c r="B25" s="81">
        <v>16093.0</v>
      </c>
      <c r="C25" s="82" t="str">
        <f>IF(B25="","",VLOOKUP(B25,'Mitglieder BBU'!A:N,6,0))</f>
        <v>Julia Völlmerk</v>
      </c>
      <c r="D25" s="82" t="str">
        <f>IF(#REF!="","",VLOOKUP(#REF!,'Mitglieder BBU'!A:N,6,0))</f>
        <v>#REF!</v>
      </c>
      <c r="E25" s="82" t="str">
        <f>IF(#REF!="","",VLOOKUP(#REF!,'Mitglieder BBU'!A:N,6,0))</f>
        <v>#REF!</v>
      </c>
      <c r="F25" s="62"/>
      <c r="G25" s="75">
        <f>IFNA(VLOOKUP(B25,Datensammler!$B:$AA,24,0),"")</f>
        <v>2157</v>
      </c>
      <c r="H25" s="47"/>
      <c r="I25" s="47"/>
      <c r="J25" s="47"/>
      <c r="K25" s="76">
        <f t="shared" si="3"/>
        <v>2157</v>
      </c>
      <c r="L25" s="75">
        <f>IFERROR('HI-LOW Berechnung'!AS24,0)</f>
        <v>54</v>
      </c>
      <c r="M25" s="47">
        <f>IFERROR('HI-LOW Berechnung'!AY24,0)</f>
        <v>34</v>
      </c>
      <c r="N25" s="76">
        <f>IFERROR('HI-LOW Berechnung'!BB24,0)</f>
        <v>20</v>
      </c>
      <c r="O25" s="75">
        <f>IFNA(VLOOKUP(B25,Datensammler!$B:$AA,25,0),"")</f>
        <v>12</v>
      </c>
      <c r="P25" s="47"/>
      <c r="Q25" s="47"/>
      <c r="R25" s="47"/>
      <c r="S25" s="77">
        <f t="shared" si="4"/>
        <v>12</v>
      </c>
      <c r="T25" s="78">
        <f t="shared" ref="T25:U25" si="49">IF(G25=0,"",G25/O25)</f>
        <v>179.75</v>
      </c>
      <c r="U25" s="51" t="str">
        <f t="shared" si="49"/>
        <v/>
      </c>
      <c r="V25" s="51" t="str">
        <f t="shared" ref="V25:W25" si="50">IF(I25="","",I25/Q25)</f>
        <v/>
      </c>
      <c r="W25" s="51" t="str">
        <f t="shared" si="50"/>
        <v/>
      </c>
      <c r="X25" s="79">
        <f t="shared" si="7"/>
        <v>179.75</v>
      </c>
      <c r="Y25" s="48">
        <v>20.0</v>
      </c>
      <c r="Z25" s="48">
        <f t="shared" si="8"/>
        <v>0.008468669</v>
      </c>
      <c r="AA25" s="48">
        <f t="shared" si="9"/>
        <v>2157.008469</v>
      </c>
      <c r="AB25" s="48">
        <v>20.0</v>
      </c>
      <c r="AC25" s="48">
        <f t="shared" si="10"/>
        <v>1650.008539</v>
      </c>
      <c r="AD25" s="48">
        <f t="shared" si="11"/>
        <v>2</v>
      </c>
      <c r="AE25" s="72">
        <v>20.0</v>
      </c>
      <c r="AF25" s="83">
        <f t="shared" si="12"/>
        <v>179.7502</v>
      </c>
      <c r="AG25" s="72">
        <v>20.0</v>
      </c>
      <c r="AH25" s="48">
        <f t="shared" si="13"/>
        <v>137.50002</v>
      </c>
      <c r="AI25" s="84">
        <f t="shared" si="14"/>
        <v>2</v>
      </c>
      <c r="AJ25" s="48"/>
      <c r="AK25" s="48"/>
      <c r="AL25" s="48"/>
      <c r="AM25" s="48"/>
      <c r="AN25" s="48"/>
      <c r="AO25" s="48"/>
      <c r="AP25" s="48"/>
      <c r="AQ25" s="48"/>
      <c r="AR25" s="48"/>
      <c r="AS25" s="48"/>
      <c r="AT25" s="48"/>
      <c r="AU25" s="48"/>
      <c r="AV25" s="48"/>
      <c r="AW25" s="48"/>
      <c r="AX25" s="48"/>
      <c r="AY25" s="48"/>
      <c r="AZ25" s="48"/>
      <c r="BA25" s="48"/>
      <c r="BB25" s="47"/>
      <c r="BC25" s="47"/>
      <c r="BD25" s="47"/>
      <c r="BE25" s="47"/>
      <c r="BF25" s="48"/>
      <c r="BG25" s="52"/>
      <c r="BH25" s="48"/>
      <c r="BI25" s="48"/>
      <c r="BJ25" s="48"/>
      <c r="BK25" s="48"/>
      <c r="BL25" s="48"/>
      <c r="BM25" s="48"/>
      <c r="BN25" s="48"/>
      <c r="BO25" s="48"/>
      <c r="BP25" s="85"/>
      <c r="BQ25" s="48"/>
    </row>
    <row r="26" ht="23.25" customHeight="1">
      <c r="A26" s="47">
        <v>21.0</v>
      </c>
      <c r="B26" s="81">
        <v>38980.0</v>
      </c>
      <c r="C26" s="82" t="str">
        <f>IF(B26="","",VLOOKUP(B26,'Mitglieder BBU'!A:N,6,0))</f>
        <v>Rica Jahre</v>
      </c>
      <c r="D26" s="82" t="str">
        <f>IF(#REF!="","",VLOOKUP(#REF!,'Mitglieder BBU'!A:N,6,0))</f>
        <v>#REF!</v>
      </c>
      <c r="E26" s="82" t="str">
        <f>IF(#REF!="","",VLOOKUP(#REF!,'Mitglieder BBU'!A:N,6,0))</f>
        <v>#REF!</v>
      </c>
      <c r="F26" s="62"/>
      <c r="G26" s="75">
        <f>IFNA(VLOOKUP(B26,Datensammler!$B:$AA,24,0),"")</f>
        <v>1803</v>
      </c>
      <c r="H26" s="47"/>
      <c r="I26" s="47"/>
      <c r="J26" s="47"/>
      <c r="K26" s="76">
        <f t="shared" si="3"/>
        <v>1803</v>
      </c>
      <c r="L26" s="75">
        <f>IFERROR('HI-LOW Berechnung'!AS25,0)</f>
        <v>85</v>
      </c>
      <c r="M26" s="47">
        <f>IFERROR('HI-LOW Berechnung'!AY25,0)</f>
        <v>61</v>
      </c>
      <c r="N26" s="76">
        <f>IFERROR('HI-LOW Berechnung'!BB25,0)</f>
        <v>39</v>
      </c>
      <c r="O26" s="75">
        <f>IFNA(VLOOKUP(B26,Datensammler!$B:$AA,25,0),"")</f>
        <v>12</v>
      </c>
      <c r="P26" s="47"/>
      <c r="Q26" s="47"/>
      <c r="R26" s="47"/>
      <c r="S26" s="77">
        <f t="shared" si="4"/>
        <v>12</v>
      </c>
      <c r="T26" s="78">
        <f t="shared" ref="T26:U26" si="51">IF(G26=0,"",G26/O26)</f>
        <v>150.25</v>
      </c>
      <c r="U26" s="51" t="str">
        <f t="shared" si="51"/>
        <v/>
      </c>
      <c r="V26" s="51" t="str">
        <f t="shared" ref="V26:W26" si="52">IF(I26="","",I26/Q26)</f>
        <v/>
      </c>
      <c r="W26" s="51" t="str">
        <f t="shared" si="52"/>
        <v/>
      </c>
      <c r="X26" s="79">
        <f t="shared" si="7"/>
        <v>150.25</v>
      </c>
      <c r="Y26" s="48">
        <v>21.0</v>
      </c>
      <c r="Z26" s="48">
        <f t="shared" si="8"/>
        <v>0.00815839882</v>
      </c>
      <c r="AA26" s="48">
        <f t="shared" si="9"/>
        <v>1803.008158</v>
      </c>
      <c r="AB26" s="48">
        <v>21.0</v>
      </c>
      <c r="AC26" s="48">
        <f t="shared" si="10"/>
        <v>1596.008399</v>
      </c>
      <c r="AD26" s="48">
        <f t="shared" si="11"/>
        <v>3</v>
      </c>
      <c r="AE26" s="72">
        <v>21.0</v>
      </c>
      <c r="AF26" s="83">
        <f t="shared" si="12"/>
        <v>150.25021</v>
      </c>
      <c r="AG26" s="72">
        <v>21.0</v>
      </c>
      <c r="AH26" s="48">
        <f t="shared" si="13"/>
        <v>133.00003</v>
      </c>
      <c r="AI26" s="84">
        <f t="shared" si="14"/>
        <v>3</v>
      </c>
      <c r="AJ26" s="48"/>
      <c r="AK26" s="48"/>
      <c r="AL26" s="48"/>
      <c r="AM26" s="48"/>
      <c r="AN26" s="48"/>
      <c r="AO26" s="48"/>
      <c r="AP26" s="48"/>
      <c r="AQ26" s="48"/>
      <c r="AR26" s="48"/>
      <c r="AS26" s="48"/>
      <c r="AT26" s="48"/>
      <c r="AU26" s="48"/>
      <c r="AV26" s="48"/>
      <c r="AW26" s="48"/>
      <c r="AX26" s="48"/>
      <c r="AY26" s="48"/>
      <c r="AZ26" s="48"/>
      <c r="BA26" s="48"/>
      <c r="BB26" s="47"/>
      <c r="BC26" s="47"/>
      <c r="BD26" s="47"/>
      <c r="BE26" s="47"/>
      <c r="BF26" s="48"/>
      <c r="BG26" s="52"/>
      <c r="BH26" s="48"/>
      <c r="BI26" s="48"/>
      <c r="BJ26" s="48"/>
      <c r="BK26" s="48"/>
      <c r="BL26" s="48"/>
      <c r="BM26" s="48"/>
      <c r="BN26" s="48"/>
      <c r="BO26" s="48"/>
      <c r="BP26" s="85"/>
      <c r="BQ26" s="48"/>
    </row>
    <row r="27" ht="23.25" customHeight="1">
      <c r="A27" s="47">
        <v>22.0</v>
      </c>
      <c r="B27" s="81">
        <v>7154.0</v>
      </c>
      <c r="C27" s="82" t="str">
        <f>IF(B27="","",VLOOKUP(B27,'Mitglieder BBU'!A:N,6,0))</f>
        <v>Marina Weiske</v>
      </c>
      <c r="D27" s="82" t="str">
        <f>IF(#REF!="","",VLOOKUP(#REF!,'Mitglieder BBU'!A:N,6,0))</f>
        <v>#REF!</v>
      </c>
      <c r="E27" s="82" t="str">
        <f>IF(#REF!="","",VLOOKUP(#REF!,'Mitglieder BBU'!A:N,6,0))</f>
        <v>#REF!</v>
      </c>
      <c r="F27" s="62"/>
      <c r="G27" s="75">
        <f>IFNA(VLOOKUP(B27,Datensammler!$B:$AA,24,0),"")</f>
        <v>2079</v>
      </c>
      <c r="H27" s="47"/>
      <c r="I27" s="47"/>
      <c r="J27" s="47"/>
      <c r="K27" s="76">
        <f t="shared" si="3"/>
        <v>2079</v>
      </c>
      <c r="L27" s="75">
        <f>IFERROR('HI-LOW Berechnung'!AS26,0)</f>
        <v>68</v>
      </c>
      <c r="M27" s="47">
        <f>IFERROR('HI-LOW Berechnung'!AY26,0)</f>
        <v>43</v>
      </c>
      <c r="N27" s="76">
        <f>IFERROR('HI-LOW Berechnung'!BB26,0)</f>
        <v>31</v>
      </c>
      <c r="O27" s="75">
        <f>IFNA(VLOOKUP(B27,Datensammler!$B:$AA,25,0),"")</f>
        <v>12</v>
      </c>
      <c r="P27" s="47"/>
      <c r="Q27" s="47"/>
      <c r="R27" s="47"/>
      <c r="S27" s="77">
        <f t="shared" si="4"/>
        <v>12</v>
      </c>
      <c r="T27" s="78">
        <f t="shared" ref="T27:U27" si="53">IF(G27=0,"",G27/O27)</f>
        <v>173.25</v>
      </c>
      <c r="U27" s="51" t="str">
        <f t="shared" si="53"/>
        <v/>
      </c>
      <c r="V27" s="51" t="str">
        <f t="shared" ref="V27:W27" si="54">IF(I27="","",I27/Q27)</f>
        <v/>
      </c>
      <c r="W27" s="51" t="str">
        <f t="shared" si="54"/>
        <v/>
      </c>
      <c r="X27" s="79">
        <f t="shared" si="7"/>
        <v>173.25</v>
      </c>
      <c r="Y27" s="48">
        <v>22.0</v>
      </c>
      <c r="Z27" s="48">
        <f t="shared" si="8"/>
        <v>0.00832857891</v>
      </c>
      <c r="AA27" s="48">
        <f t="shared" si="9"/>
        <v>2079.008329</v>
      </c>
      <c r="AB27" s="48">
        <v>22.0</v>
      </c>
      <c r="AC27" s="48">
        <f t="shared" si="10"/>
        <v>1574.008309</v>
      </c>
      <c r="AD27" s="48">
        <f t="shared" si="11"/>
        <v>12</v>
      </c>
      <c r="AE27" s="72">
        <v>22.0</v>
      </c>
      <c r="AF27" s="83">
        <f t="shared" si="12"/>
        <v>173.25022</v>
      </c>
      <c r="AG27" s="72">
        <v>22.0</v>
      </c>
      <c r="AH27" s="48">
        <f t="shared" si="13"/>
        <v>131.16712</v>
      </c>
      <c r="AI27" s="84">
        <f t="shared" si="14"/>
        <v>12</v>
      </c>
      <c r="AJ27" s="48"/>
      <c r="AK27" s="48"/>
      <c r="AL27" s="48"/>
      <c r="AM27" s="48"/>
      <c r="AN27" s="48"/>
      <c r="AO27" s="48"/>
      <c r="AP27" s="48"/>
      <c r="AQ27" s="48"/>
      <c r="AR27" s="48"/>
      <c r="AS27" s="48"/>
      <c r="AT27" s="48"/>
      <c r="AU27" s="48"/>
      <c r="AV27" s="48"/>
      <c r="AW27" s="48"/>
      <c r="AX27" s="48"/>
      <c r="AY27" s="48"/>
      <c r="AZ27" s="48"/>
      <c r="BA27" s="48"/>
      <c r="BB27" s="47"/>
      <c r="BC27" s="47"/>
      <c r="BD27" s="47"/>
      <c r="BE27" s="47"/>
      <c r="BF27" s="48"/>
      <c r="BG27" s="52"/>
      <c r="BH27" s="48"/>
      <c r="BI27" s="48"/>
      <c r="BJ27" s="48"/>
      <c r="BK27" s="48"/>
      <c r="BL27" s="48"/>
      <c r="BM27" s="48"/>
      <c r="BN27" s="48"/>
      <c r="BO27" s="48"/>
      <c r="BP27" s="85"/>
      <c r="BQ27" s="48"/>
    </row>
    <row r="28" ht="23.25" customHeight="1">
      <c r="A28" s="47">
        <v>23.0</v>
      </c>
      <c r="B28" s="81"/>
      <c r="C28" s="82" t="str">
        <f>IF(B28="","",VLOOKUP(B28,'Mitglieder BBU'!A:N,6,0))</f>
        <v/>
      </c>
      <c r="D28" s="82" t="str">
        <f>IF(#REF!="","",VLOOKUP(#REF!,'Mitglieder BBU'!A:N,6,0))</f>
        <v>#REF!</v>
      </c>
      <c r="E28" s="82" t="str">
        <f>IF(#REF!="","",VLOOKUP(#REF!,'Mitglieder BBU'!A:N,6,0))</f>
        <v>#REF!</v>
      </c>
      <c r="F28" s="82"/>
      <c r="G28" s="75" t="str">
        <f>IFNA(VLOOKUP(B28,Datensammler!$B:$AA,24,0),"")</f>
        <v/>
      </c>
      <c r="H28" s="47"/>
      <c r="I28" s="47"/>
      <c r="J28" s="47"/>
      <c r="K28" s="76">
        <f t="shared" si="3"/>
        <v>0</v>
      </c>
      <c r="L28" s="75">
        <f>IFERROR('HI-LOW Berechnung'!AS27,0)</f>
        <v>0</v>
      </c>
      <c r="M28" s="47">
        <f>IFERROR('HI-LOW Berechnung'!AY27,0)</f>
        <v>0</v>
      </c>
      <c r="N28" s="76">
        <f>IFERROR('HI-LOW Berechnung'!BB27,0)</f>
        <v>0</v>
      </c>
      <c r="O28" s="75" t="str">
        <f>IFNA(VLOOKUP(B28,Datensammler!$B:$AA,25,0),"")</f>
        <v/>
      </c>
      <c r="P28" s="47"/>
      <c r="Q28" s="47"/>
      <c r="R28" s="47"/>
      <c r="S28" s="77">
        <f t="shared" si="4"/>
        <v>0</v>
      </c>
      <c r="T28" s="78" t="str">
        <f t="shared" ref="T28:U28" si="55">IF(G28=0,"",G28/O28)</f>
        <v>#DIV/0!</v>
      </c>
      <c r="U28" s="51" t="str">
        <f t="shared" si="55"/>
        <v/>
      </c>
      <c r="V28" s="51" t="str">
        <f t="shared" ref="V28:W28" si="56">IF(I28="","",I28/Q28)</f>
        <v/>
      </c>
      <c r="W28" s="51" t="str">
        <f t="shared" si="56"/>
        <v/>
      </c>
      <c r="X28" s="79" t="str">
        <f t="shared" si="7"/>
        <v/>
      </c>
      <c r="Y28" s="48">
        <v>23.0</v>
      </c>
      <c r="Z28" s="48">
        <f t="shared" si="8"/>
        <v>0</v>
      </c>
      <c r="AA28" s="48">
        <f t="shared" si="9"/>
        <v>0</v>
      </c>
      <c r="AB28" s="48">
        <v>23.0</v>
      </c>
      <c r="AC28" s="48">
        <f t="shared" si="10"/>
        <v>0</v>
      </c>
      <c r="AD28" s="48" t="str">
        <f t="shared" si="11"/>
        <v/>
      </c>
      <c r="AE28" s="72">
        <v>23.0</v>
      </c>
      <c r="AF28" s="83" t="str">
        <f t="shared" si="12"/>
        <v/>
      </c>
      <c r="AG28" s="72">
        <v>23.0</v>
      </c>
      <c r="AH28" s="48" t="str">
        <f t="shared" si="13"/>
        <v/>
      </c>
      <c r="AI28" s="84" t="str">
        <f t="shared" si="14"/>
        <v/>
      </c>
      <c r="AJ28" s="48"/>
      <c r="AK28" s="48"/>
      <c r="AL28" s="48"/>
      <c r="AM28" s="48"/>
      <c r="AN28" s="48"/>
      <c r="AO28" s="48"/>
      <c r="AP28" s="48"/>
      <c r="AQ28" s="48"/>
      <c r="AR28" s="48"/>
      <c r="AS28" s="48"/>
      <c r="AT28" s="48"/>
      <c r="AU28" s="48"/>
      <c r="AV28" s="48"/>
      <c r="AW28" s="48"/>
      <c r="AX28" s="48"/>
      <c r="AY28" s="48"/>
      <c r="AZ28" s="48"/>
      <c r="BA28" s="48"/>
      <c r="BB28" s="47"/>
      <c r="BC28" s="47"/>
      <c r="BD28" s="47"/>
      <c r="BE28" s="47"/>
      <c r="BF28" s="48"/>
      <c r="BG28" s="52"/>
      <c r="BH28" s="48"/>
      <c r="BI28" s="48"/>
      <c r="BJ28" s="48"/>
      <c r="BK28" s="48"/>
      <c r="BL28" s="48"/>
      <c r="BM28" s="48"/>
      <c r="BN28" s="48"/>
      <c r="BO28" s="48"/>
      <c r="BP28" s="85"/>
      <c r="BQ28" s="48"/>
    </row>
    <row r="29" ht="23.25" customHeight="1">
      <c r="A29" s="47">
        <v>24.0</v>
      </c>
      <c r="B29" s="81"/>
      <c r="C29" s="82" t="str">
        <f>IF(B29="","",VLOOKUP(B29,'Mitglieder BBU'!A:N,6,0))</f>
        <v/>
      </c>
      <c r="D29" s="82" t="str">
        <f>IF(#REF!="","",VLOOKUP(#REF!,'Mitglieder BBU'!A:N,6,0))</f>
        <v>#REF!</v>
      </c>
      <c r="E29" s="82" t="str">
        <f>IF(#REF!="","",VLOOKUP(#REF!,'Mitglieder BBU'!A:N,6,0))</f>
        <v>#REF!</v>
      </c>
      <c r="F29" s="82"/>
      <c r="G29" s="75" t="str">
        <f>IFNA(VLOOKUP(B29,Datensammler!$B:$AA,24,0),"")</f>
        <v/>
      </c>
      <c r="H29" s="47"/>
      <c r="I29" s="47"/>
      <c r="J29" s="47"/>
      <c r="K29" s="76">
        <f t="shared" si="3"/>
        <v>0</v>
      </c>
      <c r="L29" s="75">
        <f>IFERROR('HI-LOW Berechnung'!AS28,0)</f>
        <v>0</v>
      </c>
      <c r="M29" s="47">
        <f>IFERROR('HI-LOW Berechnung'!AY28,0)</f>
        <v>0</v>
      </c>
      <c r="N29" s="76">
        <f>IFERROR('HI-LOW Berechnung'!BB28,0)</f>
        <v>0</v>
      </c>
      <c r="O29" s="75" t="str">
        <f>IFNA(VLOOKUP(B29,Datensammler!$B:$AA,25,0),"")</f>
        <v/>
      </c>
      <c r="P29" s="47"/>
      <c r="Q29" s="47"/>
      <c r="R29" s="47"/>
      <c r="S29" s="77">
        <f t="shared" si="4"/>
        <v>0</v>
      </c>
      <c r="T29" s="78" t="str">
        <f t="shared" ref="T29:U29" si="57">IF(G29=0,"",G29/O29)</f>
        <v>#DIV/0!</v>
      </c>
      <c r="U29" s="51" t="str">
        <f t="shared" si="57"/>
        <v/>
      </c>
      <c r="V29" s="51" t="str">
        <f t="shared" ref="V29:W29" si="58">IF(I29="","",I29/Q29)</f>
        <v/>
      </c>
      <c r="W29" s="51" t="str">
        <f t="shared" si="58"/>
        <v/>
      </c>
      <c r="X29" s="79" t="str">
        <f t="shared" si="7"/>
        <v/>
      </c>
      <c r="Y29" s="48">
        <v>24.0</v>
      </c>
      <c r="Z29" s="48">
        <f t="shared" si="8"/>
        <v>0</v>
      </c>
      <c r="AA29" s="48">
        <f t="shared" si="9"/>
        <v>0</v>
      </c>
      <c r="AB29" s="48">
        <v>24.0</v>
      </c>
      <c r="AC29" s="48">
        <f t="shared" si="10"/>
        <v>0</v>
      </c>
      <c r="AD29" s="48" t="str">
        <f t="shared" si="11"/>
        <v/>
      </c>
      <c r="AE29" s="72">
        <v>24.0</v>
      </c>
      <c r="AF29" s="83" t="str">
        <f t="shared" si="12"/>
        <v/>
      </c>
      <c r="AG29" s="72">
        <v>24.0</v>
      </c>
      <c r="AH29" s="48" t="str">
        <f t="shared" si="13"/>
        <v/>
      </c>
      <c r="AI29" s="84" t="str">
        <f t="shared" si="14"/>
        <v/>
      </c>
      <c r="AJ29" s="48"/>
      <c r="AK29" s="48"/>
      <c r="AL29" s="48"/>
      <c r="AM29" s="48"/>
      <c r="AN29" s="48"/>
      <c r="AO29" s="48"/>
      <c r="AP29" s="48"/>
      <c r="AQ29" s="48"/>
      <c r="AR29" s="48"/>
      <c r="AS29" s="48"/>
      <c r="AT29" s="48"/>
      <c r="AU29" s="48"/>
      <c r="AV29" s="48"/>
      <c r="AW29" s="48"/>
      <c r="AX29" s="48"/>
      <c r="AY29" s="48"/>
      <c r="AZ29" s="48"/>
      <c r="BA29" s="48"/>
      <c r="BB29" s="47"/>
      <c r="BC29" s="47"/>
      <c r="BD29" s="47"/>
      <c r="BE29" s="47"/>
      <c r="BF29" s="48"/>
      <c r="BG29" s="52"/>
      <c r="BH29" s="48"/>
      <c r="BI29" s="48"/>
      <c r="BJ29" s="48"/>
      <c r="BK29" s="48"/>
      <c r="BL29" s="48"/>
      <c r="BM29" s="48"/>
      <c r="BN29" s="48"/>
      <c r="BO29" s="48"/>
      <c r="BP29" s="85"/>
      <c r="BQ29" s="48"/>
    </row>
    <row r="30" ht="23.25" customHeight="1">
      <c r="A30" s="47">
        <v>25.0</v>
      </c>
      <c r="B30" s="81"/>
      <c r="C30" s="82" t="str">
        <f>IF(B30="","",VLOOKUP(B30,'Mitglieder BBU'!A:N,6,0))</f>
        <v/>
      </c>
      <c r="D30" s="82" t="str">
        <f>IF(#REF!="","",VLOOKUP(#REF!,'Mitglieder BBU'!A:N,6,0))</f>
        <v>#REF!</v>
      </c>
      <c r="E30" s="82" t="str">
        <f>IF(#REF!="","",VLOOKUP(#REF!,'Mitglieder BBU'!A:N,6,0))</f>
        <v>#REF!</v>
      </c>
      <c r="F30" s="82"/>
      <c r="G30" s="75" t="str">
        <f>IFNA(VLOOKUP(B30,Datensammler!$B:$AA,24,0),"")</f>
        <v/>
      </c>
      <c r="H30" s="47"/>
      <c r="I30" s="47"/>
      <c r="J30" s="47"/>
      <c r="K30" s="76">
        <f t="shared" si="3"/>
        <v>0</v>
      </c>
      <c r="L30" s="75">
        <f>IFERROR('HI-LOW Berechnung'!AS29,0)</f>
        <v>0</v>
      </c>
      <c r="M30" s="47">
        <f>IFERROR('HI-LOW Berechnung'!AY29,0)</f>
        <v>0</v>
      </c>
      <c r="N30" s="76">
        <f>IFERROR('HI-LOW Berechnung'!BB29,0)</f>
        <v>0</v>
      </c>
      <c r="O30" s="75" t="str">
        <f>IFNA(VLOOKUP(B30,Datensammler!$B:$AA,25,0),"")</f>
        <v/>
      </c>
      <c r="P30" s="47"/>
      <c r="Q30" s="47"/>
      <c r="R30" s="47"/>
      <c r="S30" s="77">
        <f t="shared" si="4"/>
        <v>0</v>
      </c>
      <c r="T30" s="78" t="str">
        <f t="shared" ref="T30:U30" si="59">IF(G30=0,"",G30/O30)</f>
        <v>#DIV/0!</v>
      </c>
      <c r="U30" s="51" t="str">
        <f t="shared" si="59"/>
        <v/>
      </c>
      <c r="V30" s="51" t="str">
        <f t="shared" ref="V30:W30" si="60">IF(I30="","",I30/Q30)</f>
        <v/>
      </c>
      <c r="W30" s="51" t="str">
        <f t="shared" si="60"/>
        <v/>
      </c>
      <c r="X30" s="79" t="str">
        <f t="shared" si="7"/>
        <v/>
      </c>
      <c r="Y30" s="48">
        <v>25.0</v>
      </c>
      <c r="Z30" s="48">
        <f t="shared" si="8"/>
        <v>0</v>
      </c>
      <c r="AA30" s="48">
        <f t="shared" si="9"/>
        <v>0</v>
      </c>
      <c r="AB30" s="48">
        <v>25.0</v>
      </c>
      <c r="AC30" s="48">
        <f t="shared" si="10"/>
        <v>0</v>
      </c>
      <c r="AD30" s="48" t="str">
        <f t="shared" si="11"/>
        <v/>
      </c>
      <c r="AE30" s="72">
        <v>25.0</v>
      </c>
      <c r="AF30" s="83" t="str">
        <f t="shared" si="12"/>
        <v/>
      </c>
      <c r="AG30" s="72">
        <v>25.0</v>
      </c>
      <c r="AH30" s="48" t="str">
        <f t="shared" si="13"/>
        <v/>
      </c>
      <c r="AI30" s="84" t="str">
        <f t="shared" si="14"/>
        <v/>
      </c>
      <c r="AJ30" s="48"/>
      <c r="AK30" s="48"/>
      <c r="AL30" s="48"/>
      <c r="AM30" s="48"/>
      <c r="AN30" s="48"/>
      <c r="AO30" s="48"/>
      <c r="AP30" s="48"/>
      <c r="AQ30" s="48"/>
      <c r="AR30" s="48"/>
      <c r="AS30" s="48"/>
      <c r="AT30" s="48"/>
      <c r="AU30" s="48"/>
      <c r="AV30" s="48"/>
      <c r="AW30" s="48"/>
      <c r="AX30" s="48"/>
      <c r="AY30" s="48"/>
      <c r="AZ30" s="48"/>
      <c r="BA30" s="48"/>
      <c r="BB30" s="47"/>
      <c r="BC30" s="47"/>
      <c r="BD30" s="47"/>
      <c r="BE30" s="47"/>
      <c r="BF30" s="48"/>
      <c r="BG30" s="52"/>
      <c r="BH30" s="48"/>
      <c r="BI30" s="48"/>
      <c r="BJ30" s="48"/>
      <c r="BK30" s="48"/>
      <c r="BL30" s="48"/>
      <c r="BM30" s="48"/>
      <c r="BN30" s="48"/>
      <c r="BO30" s="48"/>
      <c r="BP30" s="85"/>
      <c r="BQ30" s="48"/>
    </row>
    <row r="31" ht="23.25" customHeight="1">
      <c r="A31" s="47">
        <v>26.0</v>
      </c>
      <c r="B31" s="81"/>
      <c r="C31" s="82" t="str">
        <f>IF(B31="","",VLOOKUP(B31,'Mitglieder BBU'!A:N,6,0))</f>
        <v/>
      </c>
      <c r="D31" s="82" t="str">
        <f>IF(#REF!="","",VLOOKUP(#REF!,'Mitglieder BBU'!A:N,6,0))</f>
        <v>#REF!</v>
      </c>
      <c r="E31" s="82" t="str">
        <f>IF(#REF!="","",VLOOKUP(#REF!,'Mitglieder BBU'!A:N,6,0))</f>
        <v>#REF!</v>
      </c>
      <c r="F31" s="82"/>
      <c r="G31" s="75" t="str">
        <f>IFNA(VLOOKUP(B31,Datensammler!$B:$AA,24,0),"")</f>
        <v/>
      </c>
      <c r="H31" s="47"/>
      <c r="I31" s="47"/>
      <c r="J31" s="47"/>
      <c r="K31" s="76">
        <f t="shared" si="3"/>
        <v>0</v>
      </c>
      <c r="L31" s="75">
        <f>IFERROR('HI-LOW Berechnung'!AS30,0)</f>
        <v>0</v>
      </c>
      <c r="M31" s="47">
        <f>IFERROR('HI-LOW Berechnung'!AY30,0)</f>
        <v>0</v>
      </c>
      <c r="N31" s="76">
        <f>IFERROR('HI-LOW Berechnung'!BB30,0)</f>
        <v>0</v>
      </c>
      <c r="O31" s="75" t="str">
        <f>IFNA(VLOOKUP(B31,Datensammler!$B:$AA,25,0),"")</f>
        <v/>
      </c>
      <c r="P31" s="47"/>
      <c r="Q31" s="47"/>
      <c r="R31" s="47"/>
      <c r="S31" s="77">
        <f t="shared" si="4"/>
        <v>0</v>
      </c>
      <c r="T31" s="78" t="str">
        <f t="shared" ref="T31:U31" si="61">IF(G31=0,"",G31/O31)</f>
        <v>#DIV/0!</v>
      </c>
      <c r="U31" s="51" t="str">
        <f t="shared" si="61"/>
        <v/>
      </c>
      <c r="V31" s="51" t="str">
        <f t="shared" ref="V31:W31" si="62">IF(I31="","",I31/Q31)</f>
        <v/>
      </c>
      <c r="W31" s="51" t="str">
        <f t="shared" si="62"/>
        <v/>
      </c>
      <c r="X31" s="79" t="str">
        <f t="shared" si="7"/>
        <v/>
      </c>
      <c r="Y31" s="48">
        <v>26.0</v>
      </c>
      <c r="Z31" s="48">
        <f t="shared" si="8"/>
        <v>0</v>
      </c>
      <c r="AA31" s="48">
        <f t="shared" si="9"/>
        <v>0</v>
      </c>
      <c r="AB31" s="48">
        <v>26.0</v>
      </c>
      <c r="AC31" s="48">
        <f t="shared" si="10"/>
        <v>0</v>
      </c>
      <c r="AD31" s="48" t="str">
        <f t="shared" si="11"/>
        <v/>
      </c>
      <c r="AE31" s="72">
        <v>26.0</v>
      </c>
      <c r="AF31" s="83" t="str">
        <f t="shared" si="12"/>
        <v/>
      </c>
      <c r="AG31" s="72">
        <v>26.0</v>
      </c>
      <c r="AH31" s="48" t="str">
        <f t="shared" si="13"/>
        <v/>
      </c>
      <c r="AI31" s="84" t="str">
        <f t="shared" si="14"/>
        <v/>
      </c>
      <c r="AJ31" s="48"/>
      <c r="AK31" s="48"/>
      <c r="AL31" s="48"/>
      <c r="AM31" s="48"/>
      <c r="AN31" s="48"/>
      <c r="AO31" s="48"/>
      <c r="AP31" s="48"/>
      <c r="AQ31" s="48"/>
      <c r="AR31" s="48"/>
      <c r="AS31" s="48"/>
      <c r="AT31" s="48"/>
      <c r="AU31" s="48"/>
      <c r="AV31" s="48"/>
      <c r="AW31" s="48"/>
      <c r="AX31" s="48"/>
      <c r="AY31" s="48"/>
      <c r="AZ31" s="48"/>
      <c r="BA31" s="48"/>
      <c r="BB31" s="47"/>
      <c r="BC31" s="47"/>
      <c r="BD31" s="47"/>
      <c r="BE31" s="47"/>
      <c r="BF31" s="48"/>
      <c r="BG31" s="52"/>
      <c r="BH31" s="48"/>
      <c r="BI31" s="48"/>
      <c r="BJ31" s="48"/>
      <c r="BK31" s="48"/>
      <c r="BL31" s="48"/>
      <c r="BM31" s="48"/>
      <c r="BN31" s="48"/>
      <c r="BO31" s="48"/>
      <c r="BP31" s="85"/>
      <c r="BQ31" s="48"/>
    </row>
    <row r="32" ht="23.25" customHeight="1">
      <c r="A32" s="47">
        <v>27.0</v>
      </c>
      <c r="B32" s="81"/>
      <c r="C32" s="82" t="str">
        <f>IF(B32="","",VLOOKUP(B32,'Mitglieder BBU'!A:N,6,0))</f>
        <v/>
      </c>
      <c r="D32" s="82" t="str">
        <f>IF(#REF!="","",VLOOKUP(#REF!,'Mitglieder BBU'!A:N,6,0))</f>
        <v>#REF!</v>
      </c>
      <c r="E32" s="82" t="str">
        <f>IF(#REF!="","",VLOOKUP(#REF!,'Mitglieder BBU'!A:N,6,0))</f>
        <v>#REF!</v>
      </c>
      <c r="F32" s="82"/>
      <c r="G32" s="75" t="str">
        <f>IFNA(VLOOKUP(B32,Datensammler!$B:$AA,24,0),"")</f>
        <v/>
      </c>
      <c r="H32" s="47"/>
      <c r="I32" s="47"/>
      <c r="J32" s="47"/>
      <c r="K32" s="76">
        <f t="shared" si="3"/>
        <v>0</v>
      </c>
      <c r="L32" s="75">
        <f>IFERROR('HI-LOW Berechnung'!AS31,0)</f>
        <v>0</v>
      </c>
      <c r="M32" s="47">
        <f>IFERROR('HI-LOW Berechnung'!AY31,0)</f>
        <v>0</v>
      </c>
      <c r="N32" s="76">
        <f>IFERROR('HI-LOW Berechnung'!BB31,0)</f>
        <v>0</v>
      </c>
      <c r="O32" s="75" t="str">
        <f>IFNA(VLOOKUP(B32,Datensammler!$B:$AA,25,0),"")</f>
        <v/>
      </c>
      <c r="P32" s="47"/>
      <c r="Q32" s="47"/>
      <c r="R32" s="47"/>
      <c r="S32" s="77">
        <f t="shared" si="4"/>
        <v>0</v>
      </c>
      <c r="T32" s="78" t="str">
        <f t="shared" ref="T32:U32" si="63">IF(G32=0,"",G32/O32)</f>
        <v>#DIV/0!</v>
      </c>
      <c r="U32" s="51" t="str">
        <f t="shared" si="63"/>
        <v/>
      </c>
      <c r="V32" s="51" t="str">
        <f t="shared" ref="V32:W32" si="64">IF(I32="","",I32/Q32)</f>
        <v/>
      </c>
      <c r="W32" s="51" t="str">
        <f t="shared" si="64"/>
        <v/>
      </c>
      <c r="X32" s="79" t="str">
        <f t="shared" si="7"/>
        <v/>
      </c>
      <c r="Y32" s="48">
        <v>27.0</v>
      </c>
      <c r="Z32" s="48">
        <f t="shared" si="8"/>
        <v>0</v>
      </c>
      <c r="AA32" s="48">
        <f t="shared" si="9"/>
        <v>0</v>
      </c>
      <c r="AB32" s="48">
        <v>27.0</v>
      </c>
      <c r="AC32" s="48">
        <f t="shared" si="10"/>
        <v>0</v>
      </c>
      <c r="AD32" s="48" t="str">
        <f t="shared" si="11"/>
        <v/>
      </c>
      <c r="AE32" s="72">
        <v>27.0</v>
      </c>
      <c r="AF32" s="83" t="str">
        <f t="shared" si="12"/>
        <v/>
      </c>
      <c r="AG32" s="72">
        <v>27.0</v>
      </c>
      <c r="AH32" s="48" t="str">
        <f t="shared" si="13"/>
        <v/>
      </c>
      <c r="AI32" s="84" t="str">
        <f t="shared" si="14"/>
        <v/>
      </c>
      <c r="AJ32" s="48"/>
      <c r="AK32" s="48"/>
      <c r="AL32" s="48"/>
      <c r="AM32" s="48"/>
      <c r="AN32" s="48"/>
      <c r="AO32" s="48"/>
      <c r="AP32" s="48"/>
      <c r="AQ32" s="48"/>
      <c r="AR32" s="48"/>
      <c r="AS32" s="48"/>
      <c r="AT32" s="48"/>
      <c r="AU32" s="48"/>
      <c r="AV32" s="48"/>
      <c r="AW32" s="48"/>
      <c r="AX32" s="48"/>
      <c r="AY32" s="48"/>
      <c r="AZ32" s="48"/>
      <c r="BA32" s="48"/>
      <c r="BB32" s="47"/>
      <c r="BC32" s="47"/>
      <c r="BD32" s="47"/>
      <c r="BE32" s="47"/>
      <c r="BF32" s="48"/>
      <c r="BG32" s="52"/>
      <c r="BH32" s="48"/>
      <c r="BI32" s="48"/>
      <c r="BJ32" s="48"/>
      <c r="BK32" s="48"/>
      <c r="BL32" s="48"/>
      <c r="BM32" s="48"/>
      <c r="BN32" s="48"/>
      <c r="BO32" s="48"/>
      <c r="BP32" s="85"/>
      <c r="BQ32" s="48"/>
    </row>
    <row r="33" ht="23.25" customHeight="1">
      <c r="A33" s="47">
        <v>28.0</v>
      </c>
      <c r="B33" s="81"/>
      <c r="C33" s="82" t="str">
        <f>IF(B33="","",VLOOKUP(B33,'Mitglieder BBU'!A:N,6,0))</f>
        <v/>
      </c>
      <c r="D33" s="82" t="str">
        <f>IF(#REF!="","",VLOOKUP(#REF!,'Mitglieder BBU'!A:N,6,0))</f>
        <v>#REF!</v>
      </c>
      <c r="E33" s="82" t="str">
        <f>IF(#REF!="","",VLOOKUP(#REF!,'Mitglieder BBU'!A:N,6,0))</f>
        <v>#REF!</v>
      </c>
      <c r="F33" s="82"/>
      <c r="G33" s="75" t="str">
        <f>IFNA(VLOOKUP(B33,Datensammler!$B:$AA,24,0),"")</f>
        <v/>
      </c>
      <c r="H33" s="47"/>
      <c r="I33" s="47"/>
      <c r="J33" s="47"/>
      <c r="K33" s="76">
        <f t="shared" si="3"/>
        <v>0</v>
      </c>
      <c r="L33" s="75">
        <f>IFERROR('HI-LOW Berechnung'!AS32,0)</f>
        <v>0</v>
      </c>
      <c r="M33" s="47">
        <f>IFERROR('HI-LOW Berechnung'!AY32,0)</f>
        <v>0</v>
      </c>
      <c r="N33" s="76">
        <f>IFERROR('HI-LOW Berechnung'!BB32,0)</f>
        <v>0</v>
      </c>
      <c r="O33" s="75" t="str">
        <f>IFNA(VLOOKUP(B33,Datensammler!$B:$AA,25,0),"")</f>
        <v/>
      </c>
      <c r="P33" s="47"/>
      <c r="Q33" s="47"/>
      <c r="R33" s="47"/>
      <c r="S33" s="77">
        <f t="shared" si="4"/>
        <v>0</v>
      </c>
      <c r="T33" s="78" t="str">
        <f t="shared" ref="T33:U33" si="65">IF(G33=0,"",G33/O33)</f>
        <v>#DIV/0!</v>
      </c>
      <c r="U33" s="51" t="str">
        <f t="shared" si="65"/>
        <v/>
      </c>
      <c r="V33" s="51" t="str">
        <f t="shared" ref="V33:W33" si="66">IF(I33="","",I33/Q33)</f>
        <v/>
      </c>
      <c r="W33" s="51" t="str">
        <f t="shared" si="66"/>
        <v/>
      </c>
      <c r="X33" s="79" t="str">
        <f t="shared" si="7"/>
        <v/>
      </c>
      <c r="Y33" s="48">
        <v>28.0</v>
      </c>
      <c r="Z33" s="48">
        <f t="shared" si="8"/>
        <v>0</v>
      </c>
      <c r="AA33" s="48">
        <f t="shared" si="9"/>
        <v>0</v>
      </c>
      <c r="AB33" s="48">
        <v>28.0</v>
      </c>
      <c r="AC33" s="48">
        <f t="shared" si="10"/>
        <v>0</v>
      </c>
      <c r="AD33" s="48" t="str">
        <f t="shared" si="11"/>
        <v/>
      </c>
      <c r="AE33" s="72">
        <v>28.0</v>
      </c>
      <c r="AF33" s="83" t="str">
        <f t="shared" si="12"/>
        <v/>
      </c>
      <c r="AG33" s="72">
        <v>28.0</v>
      </c>
      <c r="AH33" s="48" t="str">
        <f t="shared" si="13"/>
        <v/>
      </c>
      <c r="AI33" s="84" t="str">
        <f t="shared" si="14"/>
        <v/>
      </c>
      <c r="AJ33" s="48"/>
      <c r="AK33" s="48"/>
      <c r="AL33" s="48"/>
      <c r="AM33" s="48"/>
      <c r="AN33" s="48"/>
      <c r="AO33" s="48"/>
      <c r="AP33" s="48"/>
      <c r="AQ33" s="48"/>
      <c r="AR33" s="48"/>
      <c r="AS33" s="48"/>
      <c r="AT33" s="48"/>
      <c r="AU33" s="48"/>
      <c r="AV33" s="48"/>
      <c r="AW33" s="48"/>
      <c r="AX33" s="48"/>
      <c r="AY33" s="48"/>
      <c r="AZ33" s="48"/>
      <c r="BA33" s="48"/>
      <c r="BB33" s="47"/>
      <c r="BC33" s="47"/>
      <c r="BD33" s="47"/>
      <c r="BE33" s="47"/>
      <c r="BF33" s="48"/>
      <c r="BG33" s="52"/>
      <c r="BH33" s="48"/>
      <c r="BI33" s="48"/>
      <c r="BJ33" s="48"/>
      <c r="BK33" s="48"/>
      <c r="BL33" s="48"/>
      <c r="BM33" s="48"/>
      <c r="BN33" s="48"/>
      <c r="BO33" s="48"/>
      <c r="BP33" s="85"/>
      <c r="BQ33" s="48"/>
    </row>
    <row r="34" ht="23.25" customHeight="1">
      <c r="A34" s="47">
        <v>29.0</v>
      </c>
      <c r="B34" s="81"/>
      <c r="C34" s="82" t="str">
        <f>IF(B34="","",VLOOKUP(B34,'Mitglieder BBU'!A:N,6,0))</f>
        <v/>
      </c>
      <c r="D34" s="82" t="str">
        <f>IF(#REF!="","",VLOOKUP(#REF!,'Mitglieder BBU'!A:N,6,0))</f>
        <v>#REF!</v>
      </c>
      <c r="E34" s="82" t="str">
        <f>IF(#REF!="","",VLOOKUP(#REF!,'Mitglieder BBU'!A:N,6,0))</f>
        <v>#REF!</v>
      </c>
      <c r="F34" s="82"/>
      <c r="G34" s="75" t="str">
        <f>IFNA(VLOOKUP(B34,Datensammler!$B:$AA,24,0),"")</f>
        <v/>
      </c>
      <c r="H34" s="47"/>
      <c r="I34" s="47"/>
      <c r="J34" s="47"/>
      <c r="K34" s="76">
        <f t="shared" si="3"/>
        <v>0</v>
      </c>
      <c r="L34" s="75">
        <f>IFERROR('HI-LOW Berechnung'!AS33,0)</f>
        <v>0</v>
      </c>
      <c r="M34" s="47">
        <f>IFERROR('HI-LOW Berechnung'!AY33,0)</f>
        <v>0</v>
      </c>
      <c r="N34" s="76">
        <f>IFERROR('HI-LOW Berechnung'!BB33,0)</f>
        <v>0</v>
      </c>
      <c r="O34" s="75" t="str">
        <f>IFNA(VLOOKUP(B34,Datensammler!$B:$AA,25,0),"")</f>
        <v/>
      </c>
      <c r="P34" s="47"/>
      <c r="Q34" s="47"/>
      <c r="R34" s="47"/>
      <c r="S34" s="77">
        <f t="shared" si="4"/>
        <v>0</v>
      </c>
      <c r="T34" s="78" t="str">
        <f t="shared" ref="T34:U34" si="67">IF(G34=0,"",G34/O34)</f>
        <v>#DIV/0!</v>
      </c>
      <c r="U34" s="51" t="str">
        <f t="shared" si="67"/>
        <v/>
      </c>
      <c r="V34" s="51" t="str">
        <f t="shared" ref="V34:W34" si="68">IF(I34="","",I34/Q34)</f>
        <v/>
      </c>
      <c r="W34" s="51" t="str">
        <f t="shared" si="68"/>
        <v/>
      </c>
      <c r="X34" s="79" t="str">
        <f t="shared" si="7"/>
        <v/>
      </c>
      <c r="Y34" s="48">
        <v>29.0</v>
      </c>
      <c r="Z34" s="48">
        <f t="shared" si="8"/>
        <v>0</v>
      </c>
      <c r="AA34" s="48">
        <f t="shared" si="9"/>
        <v>0</v>
      </c>
      <c r="AB34" s="48">
        <v>29.0</v>
      </c>
      <c r="AC34" s="48">
        <f t="shared" si="10"/>
        <v>0</v>
      </c>
      <c r="AD34" s="48" t="str">
        <f t="shared" si="11"/>
        <v/>
      </c>
      <c r="AE34" s="72">
        <v>29.0</v>
      </c>
      <c r="AF34" s="83" t="str">
        <f t="shared" si="12"/>
        <v/>
      </c>
      <c r="AG34" s="72">
        <v>29.0</v>
      </c>
      <c r="AH34" s="48" t="str">
        <f t="shared" si="13"/>
        <v/>
      </c>
      <c r="AI34" s="84" t="str">
        <f t="shared" si="14"/>
        <v/>
      </c>
      <c r="AJ34" s="48"/>
      <c r="AK34" s="48"/>
      <c r="AL34" s="48"/>
      <c r="AM34" s="48"/>
      <c r="AN34" s="48"/>
      <c r="AO34" s="48"/>
      <c r="AP34" s="48"/>
      <c r="AQ34" s="48"/>
      <c r="AR34" s="48"/>
      <c r="AS34" s="48"/>
      <c r="AT34" s="48"/>
      <c r="AU34" s="48"/>
      <c r="AV34" s="48"/>
      <c r="AW34" s="48"/>
      <c r="AX34" s="48"/>
      <c r="AY34" s="48"/>
      <c r="AZ34" s="48"/>
      <c r="BA34" s="48"/>
      <c r="BB34" s="47"/>
      <c r="BC34" s="47"/>
      <c r="BD34" s="47"/>
      <c r="BE34" s="47"/>
      <c r="BF34" s="48"/>
      <c r="BG34" s="52"/>
      <c r="BH34" s="48"/>
      <c r="BI34" s="48"/>
      <c r="BJ34" s="48"/>
      <c r="BK34" s="48"/>
      <c r="BL34" s="48"/>
      <c r="BM34" s="48"/>
      <c r="BN34" s="48"/>
      <c r="BO34" s="48"/>
      <c r="BP34" s="85"/>
      <c r="BQ34" s="48"/>
    </row>
    <row r="35" ht="23.25" customHeight="1">
      <c r="A35" s="47">
        <v>30.0</v>
      </c>
      <c r="B35" s="81"/>
      <c r="C35" s="82" t="str">
        <f>IF(B35="","",VLOOKUP(B35,'Mitglieder BBU'!A:N,6,0))</f>
        <v/>
      </c>
      <c r="D35" s="82" t="str">
        <f>IF(#REF!="","",VLOOKUP(#REF!,'Mitglieder BBU'!A:N,6,0))</f>
        <v>#REF!</v>
      </c>
      <c r="E35" s="82" t="str">
        <f>IF(#REF!="","",VLOOKUP(#REF!,'Mitglieder BBU'!A:N,6,0))</f>
        <v>#REF!</v>
      </c>
      <c r="F35" s="82"/>
      <c r="G35" s="75" t="str">
        <f>IFNA(VLOOKUP(B35,Datensammler!$B:$AA,24,0),"")</f>
        <v/>
      </c>
      <c r="H35" s="47"/>
      <c r="I35" s="47"/>
      <c r="J35" s="47"/>
      <c r="K35" s="76">
        <f t="shared" si="3"/>
        <v>0</v>
      </c>
      <c r="L35" s="75">
        <f>IFERROR('HI-LOW Berechnung'!AS34,0)</f>
        <v>0</v>
      </c>
      <c r="M35" s="47">
        <f>IFERROR('HI-LOW Berechnung'!AY34,0)</f>
        <v>0</v>
      </c>
      <c r="N35" s="76">
        <f>IFERROR('HI-LOW Berechnung'!BB34,0)</f>
        <v>0</v>
      </c>
      <c r="O35" s="75" t="str">
        <f>IFNA(VLOOKUP(B35,Datensammler!$B:$AA,25,0),"")</f>
        <v/>
      </c>
      <c r="P35" s="47"/>
      <c r="Q35" s="47"/>
      <c r="R35" s="47"/>
      <c r="S35" s="77">
        <f t="shared" si="4"/>
        <v>0</v>
      </c>
      <c r="T35" s="78" t="str">
        <f t="shared" ref="T35:U35" si="69">IF(G35=0,"",G35/O35)</f>
        <v>#DIV/0!</v>
      </c>
      <c r="U35" s="51" t="str">
        <f t="shared" si="69"/>
        <v/>
      </c>
      <c r="V35" s="51" t="str">
        <f t="shared" ref="V35:W35" si="70">IF(I35="","",I35/Q35)</f>
        <v/>
      </c>
      <c r="W35" s="51" t="str">
        <f t="shared" si="70"/>
        <v/>
      </c>
      <c r="X35" s="79" t="str">
        <f t="shared" si="7"/>
        <v/>
      </c>
      <c r="Y35" s="48">
        <v>30.0</v>
      </c>
      <c r="Z35" s="48">
        <f t="shared" si="8"/>
        <v>0</v>
      </c>
      <c r="AA35" s="48">
        <f t="shared" si="9"/>
        <v>0</v>
      </c>
      <c r="AB35" s="48">
        <v>30.0</v>
      </c>
      <c r="AC35" s="48">
        <f t="shared" si="10"/>
        <v>0</v>
      </c>
      <c r="AD35" s="48" t="str">
        <f t="shared" si="11"/>
        <v/>
      </c>
      <c r="AE35" s="72">
        <v>30.0</v>
      </c>
      <c r="AF35" s="83" t="str">
        <f t="shared" si="12"/>
        <v/>
      </c>
      <c r="AG35" s="72">
        <v>30.0</v>
      </c>
      <c r="AH35" s="48" t="str">
        <f t="shared" si="13"/>
        <v/>
      </c>
      <c r="AI35" s="84" t="str">
        <f t="shared" si="14"/>
        <v/>
      </c>
      <c r="AJ35" s="48"/>
      <c r="AK35" s="48"/>
      <c r="AL35" s="48"/>
      <c r="AM35" s="48"/>
      <c r="AN35" s="48"/>
      <c r="AO35" s="48"/>
      <c r="AP35" s="48"/>
      <c r="AQ35" s="48"/>
      <c r="AR35" s="48"/>
      <c r="AS35" s="48"/>
      <c r="AT35" s="48"/>
      <c r="AU35" s="48"/>
      <c r="AV35" s="48"/>
      <c r="AW35" s="48"/>
      <c r="AX35" s="48"/>
      <c r="AY35" s="48"/>
      <c r="AZ35" s="48"/>
      <c r="BA35" s="48"/>
      <c r="BB35" s="47"/>
      <c r="BC35" s="47"/>
      <c r="BD35" s="47"/>
      <c r="BE35" s="47"/>
      <c r="BF35" s="48"/>
      <c r="BG35" s="52"/>
      <c r="BH35" s="48"/>
      <c r="BI35" s="48"/>
      <c r="BJ35" s="48"/>
      <c r="BK35" s="48"/>
      <c r="BL35" s="48"/>
      <c r="BM35" s="48"/>
      <c r="BN35" s="48"/>
      <c r="BO35" s="48"/>
      <c r="BP35" s="85"/>
      <c r="BQ35" s="48"/>
    </row>
    <row r="36" ht="23.25" customHeight="1">
      <c r="A36" s="47">
        <v>31.0</v>
      </c>
      <c r="B36" s="81"/>
      <c r="C36" s="82" t="str">
        <f>IF(B36="","",VLOOKUP(B36,'Mitglieder BBU'!A:N,6,0))</f>
        <v/>
      </c>
      <c r="D36" s="82" t="str">
        <f>IF(#REF!="","",VLOOKUP(#REF!,'Mitglieder BBU'!A:N,6,0))</f>
        <v>#REF!</v>
      </c>
      <c r="E36" s="82" t="str">
        <f>IF(#REF!="","",VLOOKUP(#REF!,'Mitglieder BBU'!A:N,6,0))</f>
        <v>#REF!</v>
      </c>
      <c r="F36" s="62"/>
      <c r="G36" s="75" t="str">
        <f>IFNA(VLOOKUP(B36,Datensammler!$B:$AA,24,0),"")</f>
        <v/>
      </c>
      <c r="H36" s="47"/>
      <c r="I36" s="47"/>
      <c r="J36" s="47"/>
      <c r="K36" s="76">
        <f t="shared" si="3"/>
        <v>0</v>
      </c>
      <c r="L36" s="75">
        <f>IFERROR('HI-LOW Berechnung'!AS35,0)</f>
        <v>0</v>
      </c>
      <c r="M36" s="47">
        <f>IFERROR('HI-LOW Berechnung'!AY35,0)</f>
        <v>0</v>
      </c>
      <c r="N36" s="76">
        <f>IFERROR('HI-LOW Berechnung'!BB35,0)</f>
        <v>0</v>
      </c>
      <c r="O36" s="75" t="str">
        <f>IFNA(VLOOKUP(B36,Datensammler!$B:$AA,25,0),"")</f>
        <v/>
      </c>
      <c r="P36" s="47"/>
      <c r="Q36" s="47"/>
      <c r="R36" s="47"/>
      <c r="S36" s="77">
        <f t="shared" si="4"/>
        <v>0</v>
      </c>
      <c r="T36" s="78" t="str">
        <f t="shared" ref="T36:U36" si="71">IF(G36=0,"",G36/O36)</f>
        <v>#DIV/0!</v>
      </c>
      <c r="U36" s="51" t="str">
        <f t="shared" si="71"/>
        <v/>
      </c>
      <c r="V36" s="51" t="str">
        <f t="shared" ref="V36:W36" si="72">IF(I36="","",I36/Q36)</f>
        <v/>
      </c>
      <c r="W36" s="51" t="str">
        <f t="shared" si="72"/>
        <v/>
      </c>
      <c r="X36" s="79" t="str">
        <f t="shared" si="7"/>
        <v/>
      </c>
      <c r="Y36" s="48">
        <v>31.0</v>
      </c>
      <c r="Z36" s="48">
        <f t="shared" si="8"/>
        <v>0</v>
      </c>
      <c r="AA36" s="48">
        <f t="shared" si="9"/>
        <v>0</v>
      </c>
      <c r="AB36" s="48">
        <v>31.0</v>
      </c>
      <c r="AC36" s="48">
        <f t="shared" si="10"/>
        <v>0</v>
      </c>
      <c r="AD36" s="48" t="str">
        <f t="shared" si="11"/>
        <v/>
      </c>
      <c r="AE36" s="72">
        <v>31.0</v>
      </c>
      <c r="AF36" s="83" t="str">
        <f t="shared" si="12"/>
        <v/>
      </c>
      <c r="AG36" s="72">
        <v>31.0</v>
      </c>
      <c r="AH36" s="48" t="str">
        <f t="shared" si="13"/>
        <v/>
      </c>
      <c r="AI36" s="84" t="str">
        <f t="shared" si="14"/>
        <v/>
      </c>
      <c r="AJ36" s="48"/>
      <c r="AK36" s="48"/>
      <c r="AL36" s="48"/>
      <c r="AM36" s="48"/>
      <c r="AN36" s="48"/>
      <c r="AO36" s="48"/>
      <c r="AP36" s="48"/>
      <c r="AQ36" s="48"/>
      <c r="AR36" s="48"/>
      <c r="AS36" s="48"/>
      <c r="AT36" s="48"/>
      <c r="AU36" s="48"/>
      <c r="AV36" s="48"/>
      <c r="AW36" s="48"/>
      <c r="AX36" s="48"/>
      <c r="AY36" s="48"/>
      <c r="AZ36" s="48"/>
      <c r="BA36" s="48"/>
      <c r="BB36" s="47"/>
      <c r="BC36" s="47"/>
      <c r="BD36" s="47"/>
      <c r="BE36" s="47"/>
      <c r="BF36" s="48"/>
      <c r="BG36" s="52"/>
      <c r="BH36" s="48"/>
      <c r="BI36" s="48"/>
      <c r="BJ36" s="48"/>
      <c r="BK36" s="48"/>
      <c r="BL36" s="48"/>
      <c r="BM36" s="48"/>
      <c r="BN36" s="48"/>
      <c r="BO36" s="48"/>
      <c r="BP36" s="85"/>
      <c r="BQ36" s="48"/>
    </row>
    <row r="37" ht="23.25" customHeight="1">
      <c r="A37" s="47">
        <v>32.0</v>
      </c>
      <c r="B37" s="81"/>
      <c r="C37" s="82" t="str">
        <f>IF(B37="","",VLOOKUP(B37,'Mitglieder BBU'!A:N,6,0))</f>
        <v/>
      </c>
      <c r="D37" s="82" t="str">
        <f>IF(#REF!="","",VLOOKUP(#REF!,'Mitglieder BBU'!A:N,6,0))</f>
        <v>#REF!</v>
      </c>
      <c r="E37" s="82" t="str">
        <f>IF(#REF!="","",VLOOKUP(#REF!,'Mitglieder BBU'!A:N,6,0))</f>
        <v>#REF!</v>
      </c>
      <c r="F37" s="82"/>
      <c r="G37" s="75" t="str">
        <f>IFNA(VLOOKUP(B37,Datensammler!$B:$AA,24,0),"")</f>
        <v/>
      </c>
      <c r="H37" s="47"/>
      <c r="I37" s="47"/>
      <c r="J37" s="47"/>
      <c r="K37" s="76">
        <f t="shared" si="3"/>
        <v>0</v>
      </c>
      <c r="L37" s="75">
        <f>IFERROR('HI-LOW Berechnung'!AS36,0)</f>
        <v>0</v>
      </c>
      <c r="M37" s="47">
        <f>IFERROR('HI-LOW Berechnung'!AY36,0)</f>
        <v>0</v>
      </c>
      <c r="N37" s="76">
        <f>IFERROR('HI-LOW Berechnung'!BB36,0)</f>
        <v>0</v>
      </c>
      <c r="O37" s="75" t="str">
        <f>IFNA(VLOOKUP(B37,Datensammler!$B:$AA,25,0),"")</f>
        <v/>
      </c>
      <c r="P37" s="47"/>
      <c r="Q37" s="47"/>
      <c r="R37" s="47"/>
      <c r="S37" s="77">
        <f t="shared" si="4"/>
        <v>0</v>
      </c>
      <c r="T37" s="78" t="str">
        <f t="shared" ref="T37:U37" si="73">IF(G37=0,"",G37/O37)</f>
        <v>#DIV/0!</v>
      </c>
      <c r="U37" s="51" t="str">
        <f t="shared" si="73"/>
        <v/>
      </c>
      <c r="V37" s="51" t="str">
        <f t="shared" ref="V37:W37" si="74">IF(I37="","",I37/Q37)</f>
        <v/>
      </c>
      <c r="W37" s="51" t="str">
        <f t="shared" si="74"/>
        <v/>
      </c>
      <c r="X37" s="79" t="str">
        <f t="shared" si="7"/>
        <v/>
      </c>
      <c r="Y37" s="48">
        <v>32.0</v>
      </c>
      <c r="Z37" s="48">
        <f t="shared" si="8"/>
        <v>0</v>
      </c>
      <c r="AA37" s="48">
        <f t="shared" si="9"/>
        <v>0</v>
      </c>
      <c r="AB37" s="48">
        <v>32.0</v>
      </c>
      <c r="AC37" s="48">
        <f t="shared" si="10"/>
        <v>0</v>
      </c>
      <c r="AD37" s="48" t="str">
        <f t="shared" si="11"/>
        <v/>
      </c>
      <c r="AE37" s="72">
        <v>32.0</v>
      </c>
      <c r="AF37" s="83" t="str">
        <f t="shared" si="12"/>
        <v/>
      </c>
      <c r="AG37" s="72">
        <v>32.0</v>
      </c>
      <c r="AH37" s="48" t="str">
        <f t="shared" si="13"/>
        <v/>
      </c>
      <c r="AI37" s="84" t="str">
        <f t="shared" si="14"/>
        <v/>
      </c>
      <c r="AJ37" s="48"/>
      <c r="AK37" s="48"/>
      <c r="AL37" s="48"/>
      <c r="AM37" s="48"/>
      <c r="AN37" s="48"/>
      <c r="AO37" s="48"/>
      <c r="AP37" s="48"/>
      <c r="AQ37" s="48"/>
      <c r="AR37" s="48"/>
      <c r="AS37" s="48"/>
      <c r="AT37" s="48"/>
      <c r="AU37" s="48"/>
      <c r="AV37" s="48"/>
      <c r="AW37" s="48"/>
      <c r="AX37" s="48"/>
      <c r="AY37" s="48"/>
      <c r="AZ37" s="48"/>
      <c r="BA37" s="48"/>
      <c r="BB37" s="47"/>
      <c r="BC37" s="47"/>
      <c r="BD37" s="47"/>
      <c r="BE37" s="47"/>
      <c r="BF37" s="48"/>
      <c r="BG37" s="52"/>
      <c r="BH37" s="48"/>
      <c r="BI37" s="48"/>
      <c r="BJ37" s="48"/>
      <c r="BK37" s="48"/>
      <c r="BL37" s="48"/>
      <c r="BM37" s="48"/>
      <c r="BN37" s="48"/>
      <c r="BO37" s="48"/>
      <c r="BP37" s="85"/>
      <c r="BQ37" s="48"/>
    </row>
    <row r="38" ht="23.25" customHeight="1">
      <c r="A38" s="47">
        <v>33.0</v>
      </c>
      <c r="B38" s="81"/>
      <c r="C38" s="82" t="str">
        <f>IF(B38="","",VLOOKUP(B38,'Mitglieder BBU'!A:N,6,0))</f>
        <v/>
      </c>
      <c r="D38" s="82" t="str">
        <f>IF(#REF!="","",VLOOKUP(#REF!,'Mitglieder BBU'!A:N,6,0))</f>
        <v>#REF!</v>
      </c>
      <c r="E38" s="82" t="str">
        <f>IF(#REF!="","",VLOOKUP(#REF!,'Mitglieder BBU'!A:N,6,0))</f>
        <v>#REF!</v>
      </c>
      <c r="F38" s="82"/>
      <c r="G38" s="75" t="str">
        <f>IFNA(VLOOKUP(B38,Datensammler!$B:$AA,24,0),"")</f>
        <v/>
      </c>
      <c r="H38" s="47"/>
      <c r="I38" s="47"/>
      <c r="J38" s="47"/>
      <c r="K38" s="76">
        <f t="shared" si="3"/>
        <v>0</v>
      </c>
      <c r="L38" s="75">
        <f>IFERROR('HI-LOW Berechnung'!AS37,0)</f>
        <v>0</v>
      </c>
      <c r="M38" s="47">
        <f>IFERROR('HI-LOW Berechnung'!AY37,0)</f>
        <v>0</v>
      </c>
      <c r="N38" s="76">
        <f>IFERROR('HI-LOW Berechnung'!BB37,0)</f>
        <v>0</v>
      </c>
      <c r="O38" s="75" t="str">
        <f>IFNA(VLOOKUP(B38,Datensammler!$B:$AA,25,0),"")</f>
        <v/>
      </c>
      <c r="P38" s="47"/>
      <c r="Q38" s="47"/>
      <c r="R38" s="47"/>
      <c r="S38" s="77">
        <f t="shared" si="4"/>
        <v>0</v>
      </c>
      <c r="T38" s="78" t="str">
        <f t="shared" ref="T38:U38" si="75">IF(G38=0,"",G38/O38)</f>
        <v>#DIV/0!</v>
      </c>
      <c r="U38" s="51" t="str">
        <f t="shared" si="75"/>
        <v/>
      </c>
      <c r="V38" s="51" t="str">
        <f t="shared" ref="V38:W38" si="76">IF(I38="","",I38/Q38)</f>
        <v/>
      </c>
      <c r="W38" s="51" t="str">
        <f t="shared" si="76"/>
        <v/>
      </c>
      <c r="X38" s="79" t="str">
        <f t="shared" si="7"/>
        <v/>
      </c>
      <c r="Y38" s="48">
        <v>33.0</v>
      </c>
      <c r="Z38" s="48">
        <f t="shared" si="8"/>
        <v>0</v>
      </c>
      <c r="AA38" s="48">
        <f t="shared" si="9"/>
        <v>0</v>
      </c>
      <c r="AB38" s="48">
        <v>33.0</v>
      </c>
      <c r="AC38" s="48">
        <f t="shared" si="10"/>
        <v>0</v>
      </c>
      <c r="AD38" s="48" t="str">
        <f t="shared" si="11"/>
        <v/>
      </c>
      <c r="AE38" s="72">
        <v>33.0</v>
      </c>
      <c r="AF38" s="83" t="str">
        <f t="shared" si="12"/>
        <v/>
      </c>
      <c r="AG38" s="72">
        <v>33.0</v>
      </c>
      <c r="AH38" s="48" t="str">
        <f t="shared" si="13"/>
        <v/>
      </c>
      <c r="AI38" s="84" t="str">
        <f t="shared" si="14"/>
        <v/>
      </c>
      <c r="AJ38" s="48"/>
      <c r="AK38" s="48"/>
      <c r="AL38" s="48"/>
      <c r="AM38" s="48"/>
      <c r="AN38" s="48"/>
      <c r="AO38" s="48"/>
      <c r="AP38" s="48"/>
      <c r="AQ38" s="48"/>
      <c r="AR38" s="48"/>
      <c r="AS38" s="48"/>
      <c r="AT38" s="48"/>
      <c r="AU38" s="48"/>
      <c r="AV38" s="48"/>
      <c r="AW38" s="48"/>
      <c r="AX38" s="48"/>
      <c r="AY38" s="48"/>
      <c r="AZ38" s="48"/>
      <c r="BA38" s="48"/>
      <c r="BB38" s="47"/>
      <c r="BC38" s="47"/>
      <c r="BD38" s="47"/>
      <c r="BE38" s="47"/>
      <c r="BF38" s="48"/>
      <c r="BG38" s="52"/>
      <c r="BH38" s="48"/>
      <c r="BI38" s="48"/>
      <c r="BJ38" s="48"/>
      <c r="BK38" s="48"/>
      <c r="BL38" s="48"/>
      <c r="BM38" s="48"/>
      <c r="BN38" s="48"/>
      <c r="BO38" s="48"/>
      <c r="BP38" s="85"/>
      <c r="BQ38" s="48"/>
    </row>
    <row r="39" ht="23.25" customHeight="1">
      <c r="A39" s="47">
        <v>34.0</v>
      </c>
      <c r="B39" s="81"/>
      <c r="C39" s="82" t="str">
        <f>IF(B39="","",VLOOKUP(B39,'Mitglieder BBU'!A:N,6,0))</f>
        <v/>
      </c>
      <c r="D39" s="82" t="str">
        <f>IF(#REF!="","",VLOOKUP(#REF!,'Mitglieder BBU'!A:N,6,0))</f>
        <v>#REF!</v>
      </c>
      <c r="E39" s="82" t="str">
        <f>IF(#REF!="","",VLOOKUP(#REF!,'Mitglieder BBU'!A:N,6,0))</f>
        <v>#REF!</v>
      </c>
      <c r="F39" s="82"/>
      <c r="G39" s="75" t="str">
        <f>IFNA(VLOOKUP(B39,Datensammler!$B:$AA,24,0),"")</f>
        <v/>
      </c>
      <c r="H39" s="47"/>
      <c r="I39" s="47"/>
      <c r="J39" s="47"/>
      <c r="K39" s="76">
        <f t="shared" si="3"/>
        <v>0</v>
      </c>
      <c r="L39" s="75">
        <f>IFERROR('HI-LOW Berechnung'!AS38,0)</f>
        <v>0</v>
      </c>
      <c r="M39" s="47">
        <f>IFERROR('HI-LOW Berechnung'!AY38,0)</f>
        <v>0</v>
      </c>
      <c r="N39" s="76">
        <f>IFERROR('HI-LOW Berechnung'!BB38,0)</f>
        <v>0</v>
      </c>
      <c r="O39" s="75" t="str">
        <f>IFNA(VLOOKUP(B39,Datensammler!$B:$AA,25,0),"")</f>
        <v/>
      </c>
      <c r="P39" s="47"/>
      <c r="Q39" s="47"/>
      <c r="R39" s="47"/>
      <c r="S39" s="77">
        <f t="shared" si="4"/>
        <v>0</v>
      </c>
      <c r="T39" s="78" t="str">
        <f t="shared" ref="T39:U39" si="77">IF(G39=0,"",G39/O39)</f>
        <v>#DIV/0!</v>
      </c>
      <c r="U39" s="51" t="str">
        <f t="shared" si="77"/>
        <v/>
      </c>
      <c r="V39" s="51" t="str">
        <f t="shared" ref="V39:W39" si="78">IF(I39="","",I39/Q39)</f>
        <v/>
      </c>
      <c r="W39" s="51" t="str">
        <f t="shared" si="78"/>
        <v/>
      </c>
      <c r="X39" s="79" t="str">
        <f t="shared" si="7"/>
        <v/>
      </c>
      <c r="Y39" s="48">
        <v>34.0</v>
      </c>
      <c r="Z39" s="48">
        <f t="shared" si="8"/>
        <v>0</v>
      </c>
      <c r="AA39" s="48">
        <f t="shared" si="9"/>
        <v>0</v>
      </c>
      <c r="AB39" s="48">
        <v>34.0</v>
      </c>
      <c r="AC39" s="48">
        <f t="shared" si="10"/>
        <v>0</v>
      </c>
      <c r="AD39" s="48" t="str">
        <f t="shared" si="11"/>
        <v/>
      </c>
      <c r="AE39" s="72">
        <v>34.0</v>
      </c>
      <c r="AF39" s="83" t="str">
        <f t="shared" si="12"/>
        <v/>
      </c>
      <c r="AG39" s="72">
        <v>34.0</v>
      </c>
      <c r="AH39" s="48" t="str">
        <f t="shared" si="13"/>
        <v/>
      </c>
      <c r="AI39" s="84" t="str">
        <f t="shared" si="14"/>
        <v/>
      </c>
      <c r="AJ39" s="48"/>
      <c r="AK39" s="48"/>
      <c r="AL39" s="48"/>
      <c r="AM39" s="48"/>
      <c r="AN39" s="48"/>
      <c r="AO39" s="48"/>
      <c r="AP39" s="48"/>
      <c r="AQ39" s="48"/>
      <c r="AR39" s="48"/>
      <c r="AS39" s="48"/>
      <c r="AT39" s="48"/>
      <c r="AU39" s="48"/>
      <c r="AV39" s="48"/>
      <c r="AW39" s="48"/>
      <c r="AX39" s="48"/>
      <c r="AY39" s="48"/>
      <c r="AZ39" s="48"/>
      <c r="BA39" s="48"/>
      <c r="BB39" s="47"/>
      <c r="BC39" s="47"/>
      <c r="BD39" s="47"/>
      <c r="BE39" s="47"/>
      <c r="BF39" s="48"/>
      <c r="BG39" s="52"/>
      <c r="BH39" s="48"/>
      <c r="BI39" s="48"/>
      <c r="BJ39" s="48"/>
      <c r="BK39" s="48"/>
      <c r="BL39" s="48"/>
      <c r="BM39" s="48"/>
      <c r="BN39" s="48"/>
      <c r="BO39" s="48"/>
      <c r="BP39" s="85"/>
      <c r="BQ39" s="48"/>
    </row>
    <row r="40" ht="23.25" customHeight="1">
      <c r="A40" s="47">
        <v>35.0</v>
      </c>
      <c r="B40" s="86"/>
      <c r="C40" s="82" t="str">
        <f>IF(B40="","",VLOOKUP(B40,'Mitglieder BBU'!A:N,6,0))</f>
        <v/>
      </c>
      <c r="D40" s="82" t="str">
        <f>IF(#REF!="","",VLOOKUP(#REF!,'Mitglieder BBU'!A:N,6,0))</f>
        <v>#REF!</v>
      </c>
      <c r="E40" s="82" t="str">
        <f>IF(#REF!="","",VLOOKUP(#REF!,'Mitglieder BBU'!A:N,6,0))</f>
        <v>#REF!</v>
      </c>
      <c r="F40" s="62"/>
      <c r="G40" s="75" t="str">
        <f>IFNA(VLOOKUP(B40,Datensammler!$B:$AA,24,0),"")</f>
        <v/>
      </c>
      <c r="H40" s="47"/>
      <c r="I40" s="47"/>
      <c r="J40" s="47"/>
      <c r="K40" s="76">
        <f t="shared" si="3"/>
        <v>0</v>
      </c>
      <c r="L40" s="75">
        <f>IFERROR('HI-LOW Berechnung'!AS39,0)</f>
        <v>0</v>
      </c>
      <c r="M40" s="47">
        <f>IFERROR('HI-LOW Berechnung'!AY39,0)</f>
        <v>0</v>
      </c>
      <c r="N40" s="76">
        <f>IFERROR('HI-LOW Berechnung'!BB39,0)</f>
        <v>0</v>
      </c>
      <c r="O40" s="75" t="str">
        <f>IFNA(VLOOKUP(B40,Datensammler!$B:$AA,25,0),"")</f>
        <v/>
      </c>
      <c r="P40" s="47"/>
      <c r="Q40" s="47"/>
      <c r="R40" s="47"/>
      <c r="S40" s="77">
        <f t="shared" si="4"/>
        <v>0</v>
      </c>
      <c r="T40" s="78" t="str">
        <f t="shared" ref="T40:U40" si="79">IF(G40=0,"",G40/O40)</f>
        <v>#DIV/0!</v>
      </c>
      <c r="U40" s="51" t="str">
        <f t="shared" si="79"/>
        <v/>
      </c>
      <c r="V40" s="51" t="str">
        <f t="shared" ref="V40:W40" si="80">IF(I40="","",I40/Q40)</f>
        <v/>
      </c>
      <c r="W40" s="51" t="str">
        <f t="shared" si="80"/>
        <v/>
      </c>
      <c r="X40" s="79" t="str">
        <f t="shared" si="7"/>
        <v/>
      </c>
      <c r="Y40" s="48">
        <v>35.0</v>
      </c>
      <c r="Z40" s="48">
        <f t="shared" si="8"/>
        <v>0</v>
      </c>
      <c r="AA40" s="48">
        <f t="shared" si="9"/>
        <v>0</v>
      </c>
      <c r="AB40" s="48">
        <v>35.0</v>
      </c>
      <c r="AC40" s="48">
        <f t="shared" si="10"/>
        <v>0</v>
      </c>
      <c r="AD40" s="48" t="str">
        <f t="shared" si="11"/>
        <v/>
      </c>
      <c r="AE40" s="72">
        <v>35.0</v>
      </c>
      <c r="AF40" s="83" t="str">
        <f t="shared" si="12"/>
        <v/>
      </c>
      <c r="AG40" s="72">
        <v>35.0</v>
      </c>
      <c r="AH40" s="48" t="str">
        <f t="shared" si="13"/>
        <v/>
      </c>
      <c r="AI40" s="84" t="str">
        <f t="shared" si="14"/>
        <v/>
      </c>
      <c r="AJ40" s="48"/>
      <c r="AK40" s="48"/>
      <c r="AL40" s="48"/>
      <c r="AM40" s="48"/>
      <c r="AN40" s="48"/>
      <c r="AO40" s="48"/>
      <c r="AP40" s="48"/>
      <c r="AQ40" s="48"/>
      <c r="AR40" s="48"/>
      <c r="AS40" s="48"/>
      <c r="AT40" s="48"/>
      <c r="AU40" s="48"/>
      <c r="AV40" s="48"/>
      <c r="AW40" s="48"/>
      <c r="AX40" s="48"/>
      <c r="AY40" s="48"/>
      <c r="AZ40" s="48"/>
      <c r="BA40" s="48"/>
      <c r="BB40" s="47"/>
      <c r="BC40" s="47"/>
      <c r="BD40" s="47"/>
      <c r="BE40" s="47"/>
      <c r="BF40" s="48"/>
      <c r="BG40" s="52"/>
      <c r="BH40" s="48"/>
      <c r="BI40" s="48"/>
      <c r="BJ40" s="48"/>
      <c r="BK40" s="48"/>
      <c r="BL40" s="48"/>
      <c r="BM40" s="48"/>
      <c r="BN40" s="48"/>
      <c r="BO40" s="48"/>
      <c r="BP40" s="85"/>
      <c r="BQ40" s="48"/>
    </row>
    <row r="41" ht="23.25" customHeight="1">
      <c r="A41" s="47">
        <v>36.0</v>
      </c>
      <c r="B41" s="87"/>
      <c r="C41" s="82" t="str">
        <f>IF(B41="","",VLOOKUP(B41,'Mitglieder BBU'!A:N,6,0))</f>
        <v/>
      </c>
      <c r="D41" s="82" t="str">
        <f>IF(#REF!="","",VLOOKUP(#REF!,'Mitglieder BBU'!A:N,6,0))</f>
        <v>#REF!</v>
      </c>
      <c r="E41" s="82" t="str">
        <f>IF(#REF!="","",VLOOKUP(#REF!,'Mitglieder BBU'!A:N,6,0))</f>
        <v>#REF!</v>
      </c>
      <c r="F41" s="82"/>
      <c r="G41" s="75" t="str">
        <f>IFNA(VLOOKUP(B41,Datensammler!$B:$AA,24,0),"")</f>
        <v/>
      </c>
      <c r="H41" s="47"/>
      <c r="I41" s="47"/>
      <c r="J41" s="47"/>
      <c r="K41" s="76">
        <f t="shared" si="3"/>
        <v>0</v>
      </c>
      <c r="L41" s="75">
        <f>IFERROR('HI-LOW Berechnung'!AS40,0)</f>
        <v>0</v>
      </c>
      <c r="M41" s="47">
        <f>IFERROR('HI-LOW Berechnung'!AY40,0)</f>
        <v>0</v>
      </c>
      <c r="N41" s="76">
        <f>IFERROR('HI-LOW Berechnung'!BB40,0)</f>
        <v>0</v>
      </c>
      <c r="O41" s="75" t="str">
        <f>IFNA(VLOOKUP(B41,Datensammler!$B:$AA,25,0),"")</f>
        <v/>
      </c>
      <c r="P41" s="47"/>
      <c r="Q41" s="47"/>
      <c r="R41" s="47"/>
      <c r="S41" s="77">
        <f t="shared" si="4"/>
        <v>0</v>
      </c>
      <c r="T41" s="78" t="str">
        <f t="shared" ref="T41:U41" si="81">IF(G41=0,"",G41/O41)</f>
        <v>#DIV/0!</v>
      </c>
      <c r="U41" s="51" t="str">
        <f t="shared" si="81"/>
        <v/>
      </c>
      <c r="V41" s="51" t="str">
        <f t="shared" ref="V41:W41" si="82">IF(I41="","",I41/Q41)</f>
        <v/>
      </c>
      <c r="W41" s="51" t="str">
        <f t="shared" si="82"/>
        <v/>
      </c>
      <c r="X41" s="79" t="str">
        <f t="shared" si="7"/>
        <v/>
      </c>
      <c r="Y41" s="48">
        <v>36.0</v>
      </c>
      <c r="Z41" s="48">
        <f t="shared" si="8"/>
        <v>0</v>
      </c>
      <c r="AA41" s="48">
        <f t="shared" si="9"/>
        <v>0</v>
      </c>
      <c r="AB41" s="48">
        <v>36.0</v>
      </c>
      <c r="AC41" s="48">
        <f t="shared" si="10"/>
        <v>0</v>
      </c>
      <c r="AD41" s="48" t="str">
        <f t="shared" si="11"/>
        <v/>
      </c>
      <c r="AE41" s="72">
        <v>36.0</v>
      </c>
      <c r="AF41" s="83" t="str">
        <f t="shared" si="12"/>
        <v/>
      </c>
      <c r="AG41" s="72">
        <v>36.0</v>
      </c>
      <c r="AH41" s="48" t="str">
        <f t="shared" si="13"/>
        <v/>
      </c>
      <c r="AI41" s="84" t="str">
        <f t="shared" si="14"/>
        <v/>
      </c>
      <c r="AJ41" s="48"/>
      <c r="AK41" s="48"/>
      <c r="AL41" s="48"/>
      <c r="AM41" s="48"/>
      <c r="AN41" s="48"/>
      <c r="AO41" s="48"/>
      <c r="AP41" s="48"/>
      <c r="AQ41" s="48"/>
      <c r="AR41" s="48"/>
      <c r="AS41" s="48"/>
      <c r="AT41" s="48"/>
      <c r="AU41" s="48"/>
      <c r="AV41" s="48"/>
      <c r="AW41" s="48"/>
      <c r="AX41" s="48"/>
      <c r="AY41" s="48"/>
      <c r="AZ41" s="48"/>
      <c r="BA41" s="48"/>
      <c r="BB41" s="47"/>
      <c r="BC41" s="47"/>
      <c r="BD41" s="47"/>
      <c r="BE41" s="47"/>
      <c r="BF41" s="48"/>
      <c r="BG41" s="52"/>
      <c r="BH41" s="48"/>
      <c r="BI41" s="48"/>
      <c r="BJ41" s="48"/>
      <c r="BK41" s="48"/>
      <c r="BL41" s="48"/>
      <c r="BM41" s="48"/>
      <c r="BN41" s="48"/>
      <c r="BO41" s="48"/>
      <c r="BP41" s="85"/>
      <c r="BQ41" s="48"/>
    </row>
    <row r="42" ht="23.25" customHeight="1">
      <c r="A42" s="47">
        <v>37.0</v>
      </c>
      <c r="B42" s="87"/>
      <c r="C42" s="82" t="str">
        <f>IF(B42="","",VLOOKUP(B42,'Mitglieder BBU'!A:N,6,0))</f>
        <v/>
      </c>
      <c r="D42" s="82" t="str">
        <f>IF(#REF!="","",VLOOKUP(#REF!,'Mitglieder BBU'!A:N,6,0))</f>
        <v>#REF!</v>
      </c>
      <c r="E42" s="82" t="str">
        <f>IF(#REF!="","",VLOOKUP(#REF!,'Mitglieder BBU'!A:N,6,0))</f>
        <v>#REF!</v>
      </c>
      <c r="F42" s="82"/>
      <c r="G42" s="75" t="str">
        <f>IFNA(VLOOKUP(B42,Datensammler!$B:$AA,24,0),"")</f>
        <v/>
      </c>
      <c r="H42" s="47"/>
      <c r="I42" s="47"/>
      <c r="J42" s="47"/>
      <c r="K42" s="76">
        <f t="shared" si="3"/>
        <v>0</v>
      </c>
      <c r="L42" s="75">
        <f>IFERROR('HI-LOW Berechnung'!AS41,0)</f>
        <v>0</v>
      </c>
      <c r="M42" s="47">
        <f>IFERROR('HI-LOW Berechnung'!AY41,0)</f>
        <v>0</v>
      </c>
      <c r="N42" s="76">
        <f>IFERROR('HI-LOW Berechnung'!BB41,0)</f>
        <v>0</v>
      </c>
      <c r="O42" s="75" t="str">
        <f>IFNA(VLOOKUP(B42,Datensammler!$B:$AA,25,0),"")</f>
        <v/>
      </c>
      <c r="P42" s="47"/>
      <c r="Q42" s="47"/>
      <c r="R42" s="47"/>
      <c r="S42" s="77">
        <f t="shared" si="4"/>
        <v>0</v>
      </c>
      <c r="T42" s="78" t="str">
        <f t="shared" ref="T42:U42" si="83">IF(G42=0,"",G42/O42)</f>
        <v>#DIV/0!</v>
      </c>
      <c r="U42" s="51" t="str">
        <f t="shared" si="83"/>
        <v/>
      </c>
      <c r="V42" s="51" t="str">
        <f t="shared" ref="V42:W42" si="84">IF(I42="","",I42/Q42)</f>
        <v/>
      </c>
      <c r="W42" s="51" t="str">
        <f t="shared" si="84"/>
        <v/>
      </c>
      <c r="X42" s="79" t="str">
        <f t="shared" si="7"/>
        <v/>
      </c>
      <c r="Y42" s="48">
        <v>37.0</v>
      </c>
      <c r="Z42" s="48">
        <f t="shared" si="8"/>
        <v>0</v>
      </c>
      <c r="AA42" s="48">
        <f t="shared" si="9"/>
        <v>0</v>
      </c>
      <c r="AB42" s="48">
        <v>37.0</v>
      </c>
      <c r="AC42" s="48">
        <f t="shared" si="10"/>
        <v>0</v>
      </c>
      <c r="AD42" s="48" t="str">
        <f t="shared" si="11"/>
        <v/>
      </c>
      <c r="AE42" s="72">
        <v>37.0</v>
      </c>
      <c r="AF42" s="83" t="str">
        <f t="shared" si="12"/>
        <v/>
      </c>
      <c r="AG42" s="72">
        <v>37.0</v>
      </c>
      <c r="AH42" s="48" t="str">
        <f t="shared" si="13"/>
        <v/>
      </c>
      <c r="AI42" s="84" t="str">
        <f t="shared" si="14"/>
        <v/>
      </c>
      <c r="AJ42" s="48"/>
      <c r="AK42" s="48"/>
      <c r="AL42" s="48"/>
      <c r="AM42" s="48"/>
      <c r="AN42" s="48"/>
      <c r="AO42" s="48"/>
      <c r="AP42" s="48"/>
      <c r="AQ42" s="48"/>
      <c r="AR42" s="48"/>
      <c r="AS42" s="48"/>
      <c r="AT42" s="48"/>
      <c r="AU42" s="48"/>
      <c r="AV42" s="48"/>
      <c r="AW42" s="48"/>
      <c r="AX42" s="48"/>
      <c r="AY42" s="48"/>
      <c r="AZ42" s="48"/>
      <c r="BA42" s="48"/>
      <c r="BB42" s="47"/>
      <c r="BC42" s="47"/>
      <c r="BD42" s="47"/>
      <c r="BE42" s="47"/>
      <c r="BF42" s="48"/>
      <c r="BG42" s="52"/>
      <c r="BH42" s="48"/>
      <c r="BI42" s="48"/>
      <c r="BJ42" s="48"/>
      <c r="BK42" s="48"/>
      <c r="BL42" s="48"/>
      <c r="BM42" s="48"/>
      <c r="BN42" s="48"/>
      <c r="BO42" s="48"/>
      <c r="BP42" s="85"/>
      <c r="BQ42" s="48"/>
    </row>
    <row r="43" ht="23.25" customHeight="1">
      <c r="A43" s="47">
        <v>38.0</v>
      </c>
      <c r="B43" s="87"/>
      <c r="C43" s="82" t="str">
        <f>IF(B43="","",VLOOKUP(B43,'Mitglieder BBU'!A:N,6,0))</f>
        <v/>
      </c>
      <c r="D43" s="82" t="str">
        <f>IF(#REF!="","",VLOOKUP(#REF!,'Mitglieder BBU'!A:N,6,0))</f>
        <v>#REF!</v>
      </c>
      <c r="E43" s="82" t="str">
        <f>IF(#REF!="","",VLOOKUP(#REF!,'Mitglieder BBU'!A:N,6,0))</f>
        <v>#REF!</v>
      </c>
      <c r="F43" s="82"/>
      <c r="G43" s="75" t="str">
        <f>IFNA(VLOOKUP(B43,Datensammler!$B:$AA,24,0),"")</f>
        <v/>
      </c>
      <c r="H43" s="47"/>
      <c r="I43" s="47"/>
      <c r="J43" s="47"/>
      <c r="K43" s="76">
        <f t="shared" si="3"/>
        <v>0</v>
      </c>
      <c r="L43" s="75">
        <f>IFERROR('HI-LOW Berechnung'!AS42,0)</f>
        <v>0</v>
      </c>
      <c r="M43" s="47">
        <f>IFERROR('HI-LOW Berechnung'!AY42,0)</f>
        <v>0</v>
      </c>
      <c r="N43" s="76">
        <f>IFERROR('HI-LOW Berechnung'!BB42,0)</f>
        <v>0</v>
      </c>
      <c r="O43" s="75" t="str">
        <f>IFNA(VLOOKUP(B43,Datensammler!$B:$AA,25,0),"")</f>
        <v/>
      </c>
      <c r="P43" s="47"/>
      <c r="Q43" s="47"/>
      <c r="R43" s="47"/>
      <c r="S43" s="77">
        <f t="shared" si="4"/>
        <v>0</v>
      </c>
      <c r="T43" s="78" t="str">
        <f t="shared" ref="T43:U43" si="85">IF(G43=0,"",G43/O43)</f>
        <v>#DIV/0!</v>
      </c>
      <c r="U43" s="51" t="str">
        <f t="shared" si="85"/>
        <v/>
      </c>
      <c r="V43" s="51" t="str">
        <f t="shared" ref="V43:W43" si="86">IF(I43="","",I43/Q43)</f>
        <v/>
      </c>
      <c r="W43" s="51" t="str">
        <f t="shared" si="86"/>
        <v/>
      </c>
      <c r="X43" s="79" t="str">
        <f t="shared" si="7"/>
        <v/>
      </c>
      <c r="Y43" s="48">
        <v>38.0</v>
      </c>
      <c r="Z43" s="48">
        <f t="shared" si="8"/>
        <v>0</v>
      </c>
      <c r="AA43" s="48">
        <f t="shared" si="9"/>
        <v>0</v>
      </c>
      <c r="AB43" s="48">
        <v>38.0</v>
      </c>
      <c r="AC43" s="48">
        <f t="shared" si="10"/>
        <v>0</v>
      </c>
      <c r="AD43" s="48" t="str">
        <f t="shared" si="11"/>
        <v/>
      </c>
      <c r="AE43" s="72">
        <v>38.0</v>
      </c>
      <c r="AF43" s="83" t="str">
        <f t="shared" si="12"/>
        <v/>
      </c>
      <c r="AG43" s="72">
        <v>38.0</v>
      </c>
      <c r="AH43" s="48" t="str">
        <f t="shared" si="13"/>
        <v/>
      </c>
      <c r="AI43" s="84" t="str">
        <f t="shared" si="14"/>
        <v/>
      </c>
      <c r="AJ43" s="48"/>
      <c r="AK43" s="48"/>
      <c r="AL43" s="48"/>
      <c r="AM43" s="48"/>
      <c r="AN43" s="48"/>
      <c r="AO43" s="48"/>
      <c r="AP43" s="48"/>
      <c r="AQ43" s="48"/>
      <c r="AR43" s="48"/>
      <c r="AS43" s="48"/>
      <c r="AT43" s="48"/>
      <c r="AU43" s="48"/>
      <c r="AV43" s="48"/>
      <c r="AW43" s="48"/>
      <c r="AX43" s="48"/>
      <c r="AY43" s="48"/>
      <c r="AZ43" s="48"/>
      <c r="BA43" s="48"/>
      <c r="BB43" s="47"/>
      <c r="BC43" s="47"/>
      <c r="BD43" s="47"/>
      <c r="BE43" s="47"/>
      <c r="BF43" s="48"/>
      <c r="BG43" s="52"/>
      <c r="BH43" s="48"/>
      <c r="BI43" s="48"/>
      <c r="BJ43" s="48"/>
      <c r="BK43" s="48"/>
      <c r="BL43" s="48"/>
      <c r="BM43" s="48"/>
      <c r="BN43" s="48"/>
      <c r="BO43" s="48"/>
      <c r="BP43" s="85"/>
      <c r="BQ43" s="48"/>
    </row>
    <row r="44" ht="23.25" customHeight="1">
      <c r="A44" s="47">
        <v>39.0</v>
      </c>
      <c r="B44" s="87"/>
      <c r="C44" s="82" t="str">
        <f>IF(B44="","",VLOOKUP(B44,'Mitglieder BBU'!A:N,6,0))</f>
        <v/>
      </c>
      <c r="D44" s="82" t="str">
        <f>IF(#REF!="","",VLOOKUP(#REF!,'Mitglieder BBU'!A:N,6,0))</f>
        <v>#REF!</v>
      </c>
      <c r="E44" s="82" t="str">
        <f>IF(#REF!="","",VLOOKUP(#REF!,'Mitglieder BBU'!A:N,6,0))</f>
        <v>#REF!</v>
      </c>
      <c r="F44" s="82"/>
      <c r="G44" s="75" t="str">
        <f>IFNA(VLOOKUP(B44,Datensammler!$B:$AA,24,0),"")</f>
        <v/>
      </c>
      <c r="H44" s="47"/>
      <c r="I44" s="47"/>
      <c r="J44" s="47"/>
      <c r="K44" s="76">
        <f t="shared" si="3"/>
        <v>0</v>
      </c>
      <c r="L44" s="75">
        <f>IFERROR('HI-LOW Berechnung'!AS43,0)</f>
        <v>0</v>
      </c>
      <c r="M44" s="47">
        <f>IFERROR('HI-LOW Berechnung'!AY43,0)</f>
        <v>0</v>
      </c>
      <c r="N44" s="76">
        <f>IFERROR('HI-LOW Berechnung'!BB43,0)</f>
        <v>0</v>
      </c>
      <c r="O44" s="75" t="str">
        <f>IFNA(VLOOKUP(B44,Datensammler!$B:$AA,25,0),"")</f>
        <v/>
      </c>
      <c r="P44" s="47"/>
      <c r="Q44" s="47"/>
      <c r="R44" s="47"/>
      <c r="S44" s="77">
        <f t="shared" si="4"/>
        <v>0</v>
      </c>
      <c r="T44" s="78" t="str">
        <f t="shared" ref="T44:U44" si="87">IF(G44=0,"",G44/O44)</f>
        <v>#DIV/0!</v>
      </c>
      <c r="U44" s="51" t="str">
        <f t="shared" si="87"/>
        <v/>
      </c>
      <c r="V44" s="51" t="str">
        <f t="shared" ref="V44:W44" si="88">IF(I44="","",I44/Q44)</f>
        <v/>
      </c>
      <c r="W44" s="51" t="str">
        <f t="shared" si="88"/>
        <v/>
      </c>
      <c r="X44" s="79" t="str">
        <f t="shared" si="7"/>
        <v/>
      </c>
      <c r="Y44" s="48">
        <v>39.0</v>
      </c>
      <c r="Z44" s="48">
        <f t="shared" si="8"/>
        <v>0</v>
      </c>
      <c r="AA44" s="48">
        <f t="shared" si="9"/>
        <v>0</v>
      </c>
      <c r="AB44" s="48">
        <v>39.0</v>
      </c>
      <c r="AC44" s="48">
        <f t="shared" si="10"/>
        <v>0</v>
      </c>
      <c r="AD44" s="48" t="str">
        <f t="shared" si="11"/>
        <v/>
      </c>
      <c r="AE44" s="72">
        <v>39.0</v>
      </c>
      <c r="AF44" s="83" t="str">
        <f t="shared" si="12"/>
        <v/>
      </c>
      <c r="AG44" s="72">
        <v>39.0</v>
      </c>
      <c r="AH44" s="48" t="str">
        <f t="shared" si="13"/>
        <v/>
      </c>
      <c r="AI44" s="84" t="str">
        <f t="shared" si="14"/>
        <v/>
      </c>
      <c r="AJ44" s="48"/>
      <c r="AK44" s="48"/>
      <c r="AL44" s="48"/>
      <c r="AM44" s="48"/>
      <c r="AN44" s="48"/>
      <c r="AO44" s="48"/>
      <c r="AP44" s="48"/>
      <c r="AQ44" s="48"/>
      <c r="AR44" s="48"/>
      <c r="AS44" s="48"/>
      <c r="AT44" s="48"/>
      <c r="AU44" s="48"/>
      <c r="AV44" s="48"/>
      <c r="AW44" s="48"/>
      <c r="AX44" s="48"/>
      <c r="AY44" s="48"/>
      <c r="AZ44" s="48"/>
      <c r="BA44" s="48"/>
      <c r="BB44" s="47"/>
      <c r="BC44" s="47"/>
      <c r="BD44" s="47"/>
      <c r="BE44" s="47"/>
      <c r="BF44" s="48"/>
      <c r="BG44" s="52"/>
      <c r="BH44" s="48"/>
      <c r="BI44" s="48"/>
      <c r="BJ44" s="48"/>
      <c r="BK44" s="48"/>
      <c r="BL44" s="48"/>
      <c r="BM44" s="48"/>
      <c r="BN44" s="48"/>
      <c r="BO44" s="48"/>
      <c r="BP44" s="85"/>
      <c r="BQ44" s="48"/>
    </row>
    <row r="45" ht="23.25" customHeight="1">
      <c r="A45" s="47">
        <v>40.0</v>
      </c>
      <c r="B45" s="87"/>
      <c r="C45" s="82" t="str">
        <f>IF(B45="","",VLOOKUP(B45,'Mitglieder BBU'!A:N,6,0))</f>
        <v/>
      </c>
      <c r="D45" s="82" t="str">
        <f>IF(#REF!="","",VLOOKUP(#REF!,'Mitglieder BBU'!A:N,6,0))</f>
        <v>#REF!</v>
      </c>
      <c r="E45" s="82" t="str">
        <f>IF(#REF!="","",VLOOKUP(#REF!,'Mitglieder BBU'!A:N,6,0))</f>
        <v>#REF!</v>
      </c>
      <c r="F45" s="82"/>
      <c r="G45" s="75" t="str">
        <f>IFNA(VLOOKUP(B45,Datensammler!$B:$AA,24,0),"")</f>
        <v/>
      </c>
      <c r="H45" s="47"/>
      <c r="I45" s="47"/>
      <c r="J45" s="47"/>
      <c r="K45" s="76">
        <f t="shared" si="3"/>
        <v>0</v>
      </c>
      <c r="L45" s="75">
        <f>IFERROR('HI-LOW Berechnung'!AS44,0)</f>
        <v>0</v>
      </c>
      <c r="M45" s="47">
        <f>IFERROR('HI-LOW Berechnung'!AY44,0)</f>
        <v>0</v>
      </c>
      <c r="N45" s="76">
        <f>IFERROR('HI-LOW Berechnung'!BB44,0)</f>
        <v>0</v>
      </c>
      <c r="O45" s="75" t="str">
        <f>IFNA(VLOOKUP(B45,Datensammler!$B:$AA,25,0),"")</f>
        <v/>
      </c>
      <c r="P45" s="47"/>
      <c r="Q45" s="47"/>
      <c r="R45" s="47"/>
      <c r="S45" s="77">
        <f t="shared" si="4"/>
        <v>0</v>
      </c>
      <c r="T45" s="78" t="str">
        <f t="shared" ref="T45:U45" si="89">IF(G45=0,"",G45/O45)</f>
        <v>#DIV/0!</v>
      </c>
      <c r="U45" s="51" t="str">
        <f t="shared" si="89"/>
        <v/>
      </c>
      <c r="V45" s="51" t="str">
        <f t="shared" ref="V45:W45" si="90">IF(I45="","",I45/Q45)</f>
        <v/>
      </c>
      <c r="W45" s="51" t="str">
        <f t="shared" si="90"/>
        <v/>
      </c>
      <c r="X45" s="79" t="str">
        <f t="shared" si="7"/>
        <v/>
      </c>
      <c r="Y45" s="48">
        <v>40.0</v>
      </c>
      <c r="Z45" s="48">
        <f t="shared" si="8"/>
        <v>0</v>
      </c>
      <c r="AA45" s="48">
        <f t="shared" si="9"/>
        <v>0</v>
      </c>
      <c r="AB45" s="48">
        <v>40.0</v>
      </c>
      <c r="AC45" s="48">
        <f t="shared" si="10"/>
        <v>0</v>
      </c>
      <c r="AD45" s="48" t="str">
        <f t="shared" si="11"/>
        <v/>
      </c>
      <c r="AE45" s="72">
        <v>40.0</v>
      </c>
      <c r="AF45" s="83" t="str">
        <f t="shared" si="12"/>
        <v/>
      </c>
      <c r="AG45" s="72">
        <v>40.0</v>
      </c>
      <c r="AH45" s="48" t="str">
        <f t="shared" si="13"/>
        <v/>
      </c>
      <c r="AI45" s="84" t="str">
        <f t="shared" si="14"/>
        <v/>
      </c>
      <c r="AJ45" s="48"/>
      <c r="AK45" s="48"/>
      <c r="AL45" s="48"/>
      <c r="AM45" s="48"/>
      <c r="AN45" s="48"/>
      <c r="AO45" s="48"/>
      <c r="AP45" s="48"/>
      <c r="AQ45" s="48"/>
      <c r="AR45" s="48"/>
      <c r="AS45" s="48"/>
      <c r="AT45" s="48"/>
      <c r="AU45" s="48"/>
      <c r="AV45" s="48"/>
      <c r="AW45" s="48"/>
      <c r="AX45" s="48"/>
      <c r="AY45" s="48"/>
      <c r="AZ45" s="48"/>
      <c r="BA45" s="48"/>
      <c r="BB45" s="47"/>
      <c r="BC45" s="47"/>
      <c r="BD45" s="47"/>
      <c r="BE45" s="47"/>
      <c r="BF45" s="48"/>
      <c r="BG45" s="52"/>
      <c r="BH45" s="48"/>
      <c r="BI45" s="48"/>
      <c r="BJ45" s="48"/>
      <c r="BK45" s="48"/>
      <c r="BL45" s="48"/>
      <c r="BM45" s="48"/>
      <c r="BN45" s="48"/>
      <c r="BO45" s="48"/>
      <c r="BP45" s="85"/>
      <c r="BQ45" s="48"/>
    </row>
    <row r="46" ht="23.25" customHeight="1">
      <c r="A46" s="47">
        <v>41.0</v>
      </c>
      <c r="B46" s="87"/>
      <c r="C46" s="82" t="str">
        <f>IF(B46="","",VLOOKUP(B46,'Mitglieder BBU'!A:N,6,0))</f>
        <v/>
      </c>
      <c r="D46" s="82" t="str">
        <f>IF(#REF!="","",VLOOKUP(#REF!,'Mitglieder BBU'!A:N,6,0))</f>
        <v>#REF!</v>
      </c>
      <c r="E46" s="82" t="str">
        <f>IF(#REF!="","",VLOOKUP(#REF!,'Mitglieder BBU'!A:N,6,0))</f>
        <v>#REF!</v>
      </c>
      <c r="F46" s="82"/>
      <c r="G46" s="75" t="str">
        <f>IFNA(VLOOKUP(B46,Datensammler!$B:$AA,24,0),"")</f>
        <v/>
      </c>
      <c r="H46" s="47"/>
      <c r="I46" s="47"/>
      <c r="J46" s="47"/>
      <c r="K46" s="76">
        <f t="shared" si="3"/>
        <v>0</v>
      </c>
      <c r="L46" s="75">
        <f>IFERROR('HI-LOW Berechnung'!AS45,0)</f>
        <v>0</v>
      </c>
      <c r="M46" s="47">
        <f>IFERROR('HI-LOW Berechnung'!AY45,0)</f>
        <v>0</v>
      </c>
      <c r="N46" s="76">
        <f>IFERROR('HI-LOW Berechnung'!BB45,0)</f>
        <v>0</v>
      </c>
      <c r="O46" s="75" t="str">
        <f>IFNA(VLOOKUP(B46,Datensammler!$B:$AA,25,0),"")</f>
        <v/>
      </c>
      <c r="P46" s="47"/>
      <c r="Q46" s="47"/>
      <c r="R46" s="47"/>
      <c r="S46" s="77">
        <f t="shared" si="4"/>
        <v>0</v>
      </c>
      <c r="T46" s="78" t="str">
        <f t="shared" ref="T46:U46" si="91">IF(G46=0,"",G46/O46)</f>
        <v>#DIV/0!</v>
      </c>
      <c r="U46" s="51" t="str">
        <f t="shared" si="91"/>
        <v/>
      </c>
      <c r="V46" s="51" t="str">
        <f t="shared" ref="V46:W46" si="92">IF(I46="","",I46/Q46)</f>
        <v/>
      </c>
      <c r="W46" s="51" t="str">
        <f t="shared" si="92"/>
        <v/>
      </c>
      <c r="X46" s="79" t="str">
        <f t="shared" si="7"/>
        <v/>
      </c>
      <c r="Y46" s="48">
        <v>41.0</v>
      </c>
      <c r="Z46" s="48">
        <f t="shared" si="8"/>
        <v>0</v>
      </c>
      <c r="AA46" s="48">
        <f t="shared" si="9"/>
        <v>0</v>
      </c>
      <c r="AB46" s="48">
        <v>41.0</v>
      </c>
      <c r="AC46" s="48">
        <f t="shared" si="10"/>
        <v>0</v>
      </c>
      <c r="AD46" s="48" t="str">
        <f t="shared" si="11"/>
        <v/>
      </c>
      <c r="AE46" s="72">
        <v>41.0</v>
      </c>
      <c r="AF46" s="83" t="str">
        <f t="shared" si="12"/>
        <v/>
      </c>
      <c r="AG46" s="72">
        <v>41.0</v>
      </c>
      <c r="AH46" s="48" t="str">
        <f t="shared" si="13"/>
        <v/>
      </c>
      <c r="AI46" s="84" t="str">
        <f t="shared" si="14"/>
        <v/>
      </c>
      <c r="AJ46" s="48"/>
      <c r="AK46" s="48"/>
      <c r="AL46" s="48"/>
      <c r="AM46" s="48"/>
      <c r="AN46" s="48"/>
      <c r="AO46" s="48"/>
      <c r="AP46" s="48"/>
      <c r="AQ46" s="48"/>
      <c r="AR46" s="48"/>
      <c r="AS46" s="48"/>
      <c r="AT46" s="48"/>
      <c r="AU46" s="48"/>
      <c r="AV46" s="48"/>
      <c r="AW46" s="48"/>
      <c r="AX46" s="48"/>
      <c r="AY46" s="48"/>
      <c r="AZ46" s="48"/>
      <c r="BA46" s="48"/>
      <c r="BB46" s="47"/>
      <c r="BC46" s="47"/>
      <c r="BD46" s="47"/>
      <c r="BE46" s="47"/>
      <c r="BF46" s="48"/>
      <c r="BG46" s="52"/>
      <c r="BH46" s="48"/>
      <c r="BI46" s="48"/>
      <c r="BJ46" s="48"/>
      <c r="BK46" s="48"/>
      <c r="BL46" s="48"/>
      <c r="BM46" s="48"/>
      <c r="BN46" s="48"/>
      <c r="BO46" s="48"/>
      <c r="BP46" s="85"/>
      <c r="BQ46" s="48"/>
    </row>
    <row r="47" ht="23.25" customHeight="1">
      <c r="A47" s="47">
        <v>42.0</v>
      </c>
      <c r="B47" s="87"/>
      <c r="C47" s="82" t="str">
        <f>IF(B47="","",VLOOKUP(B47,'Mitglieder BBU'!A:N,6,0))</f>
        <v/>
      </c>
      <c r="D47" s="82" t="str">
        <f>IF(#REF!="","",VLOOKUP(#REF!,'Mitglieder BBU'!A:N,6,0))</f>
        <v>#REF!</v>
      </c>
      <c r="E47" s="82" t="str">
        <f>IF(#REF!="","",VLOOKUP(#REF!,'Mitglieder BBU'!A:N,6,0))</f>
        <v>#REF!</v>
      </c>
      <c r="F47" s="62"/>
      <c r="G47" s="75" t="str">
        <f>IFNA(VLOOKUP(B47,Datensammler!$B:$AA,24,0),"")</f>
        <v/>
      </c>
      <c r="H47" s="47"/>
      <c r="I47" s="47"/>
      <c r="J47" s="47"/>
      <c r="K47" s="76">
        <f t="shared" si="3"/>
        <v>0</v>
      </c>
      <c r="L47" s="75">
        <f>IFERROR('HI-LOW Berechnung'!AS46,0)</f>
        <v>0</v>
      </c>
      <c r="M47" s="47">
        <f>IFERROR('HI-LOW Berechnung'!AY46,0)</f>
        <v>0</v>
      </c>
      <c r="N47" s="76">
        <f>IFERROR('HI-LOW Berechnung'!BB46,0)</f>
        <v>0</v>
      </c>
      <c r="O47" s="75" t="str">
        <f>IFNA(VLOOKUP(B47,Datensammler!$B:$AA,25,0),"")</f>
        <v/>
      </c>
      <c r="P47" s="47"/>
      <c r="Q47" s="47"/>
      <c r="R47" s="47"/>
      <c r="S47" s="77">
        <f t="shared" si="4"/>
        <v>0</v>
      </c>
      <c r="T47" s="78" t="str">
        <f t="shared" ref="T47:U47" si="93">IF(G47=0,"",G47/O47)</f>
        <v>#DIV/0!</v>
      </c>
      <c r="U47" s="51" t="str">
        <f t="shared" si="93"/>
        <v/>
      </c>
      <c r="V47" s="51" t="str">
        <f t="shared" ref="V47:W47" si="94">IF(I47="","",I47/Q47)</f>
        <v/>
      </c>
      <c r="W47" s="51" t="str">
        <f t="shared" si="94"/>
        <v/>
      </c>
      <c r="X47" s="79" t="str">
        <f t="shared" si="7"/>
        <v/>
      </c>
      <c r="Y47" s="48">
        <v>42.0</v>
      </c>
      <c r="Z47" s="48">
        <f t="shared" si="8"/>
        <v>0</v>
      </c>
      <c r="AA47" s="48">
        <f t="shared" si="9"/>
        <v>0</v>
      </c>
      <c r="AB47" s="48">
        <v>42.0</v>
      </c>
      <c r="AC47" s="48">
        <f t="shared" si="10"/>
        <v>0</v>
      </c>
      <c r="AD47" s="48" t="str">
        <f t="shared" si="11"/>
        <v/>
      </c>
      <c r="AE47" s="72">
        <v>42.0</v>
      </c>
      <c r="AF47" s="83" t="str">
        <f t="shared" si="12"/>
        <v/>
      </c>
      <c r="AG47" s="72">
        <v>42.0</v>
      </c>
      <c r="AH47" s="48" t="str">
        <f t="shared" si="13"/>
        <v/>
      </c>
      <c r="AI47" s="84" t="str">
        <f t="shared" si="14"/>
        <v/>
      </c>
      <c r="AJ47" s="48"/>
      <c r="AK47" s="48"/>
      <c r="AL47" s="48"/>
      <c r="AM47" s="48"/>
      <c r="AN47" s="48"/>
      <c r="AO47" s="48"/>
      <c r="AP47" s="48"/>
      <c r="AQ47" s="48"/>
      <c r="AR47" s="48"/>
      <c r="AS47" s="48"/>
      <c r="AT47" s="48"/>
      <c r="AU47" s="48"/>
      <c r="AV47" s="48"/>
      <c r="AW47" s="48"/>
      <c r="AX47" s="48"/>
      <c r="AY47" s="48"/>
      <c r="AZ47" s="48"/>
      <c r="BA47" s="48"/>
      <c r="BB47" s="47"/>
      <c r="BC47" s="47"/>
      <c r="BD47" s="47"/>
      <c r="BE47" s="47"/>
      <c r="BF47" s="48"/>
      <c r="BG47" s="52"/>
      <c r="BH47" s="48"/>
      <c r="BI47" s="48"/>
      <c r="BJ47" s="48"/>
      <c r="BK47" s="48"/>
      <c r="BL47" s="48"/>
      <c r="BM47" s="48"/>
      <c r="BN47" s="48"/>
      <c r="BO47" s="48"/>
      <c r="BP47" s="85"/>
      <c r="BQ47" s="48"/>
    </row>
    <row r="48" ht="23.25" customHeight="1">
      <c r="A48" s="47">
        <v>43.0</v>
      </c>
      <c r="B48" s="87"/>
      <c r="C48" s="82" t="str">
        <f>IF(B48="","",VLOOKUP(B48,'Mitglieder BBU'!A:N,6,0))</f>
        <v/>
      </c>
      <c r="D48" s="82" t="str">
        <f>IF(#REF!="","",VLOOKUP(#REF!,'Mitglieder BBU'!A:N,6,0))</f>
        <v>#REF!</v>
      </c>
      <c r="E48" s="82" t="str">
        <f>IF(#REF!="","",VLOOKUP(#REF!,'Mitglieder BBU'!A:N,6,0))</f>
        <v>#REF!</v>
      </c>
      <c r="F48" s="62"/>
      <c r="G48" s="75" t="str">
        <f>IFNA(VLOOKUP(B48,Datensammler!$B:$AA,24,0),"")</f>
        <v/>
      </c>
      <c r="H48" s="47"/>
      <c r="I48" s="47"/>
      <c r="J48" s="47"/>
      <c r="K48" s="76">
        <f t="shared" si="3"/>
        <v>0</v>
      </c>
      <c r="L48" s="75">
        <f>IFERROR('HI-LOW Berechnung'!AS47,0)</f>
        <v>0</v>
      </c>
      <c r="M48" s="47">
        <f>IFERROR('HI-LOW Berechnung'!AY47,0)</f>
        <v>0</v>
      </c>
      <c r="N48" s="76">
        <f>IFERROR('HI-LOW Berechnung'!BB47,0)</f>
        <v>0</v>
      </c>
      <c r="O48" s="75" t="str">
        <f>IFNA(VLOOKUP(B48,Datensammler!$B:$AA,25,0),"")</f>
        <v/>
      </c>
      <c r="P48" s="47"/>
      <c r="Q48" s="47"/>
      <c r="R48" s="47"/>
      <c r="S48" s="77">
        <f t="shared" si="4"/>
        <v>0</v>
      </c>
      <c r="T48" s="78" t="str">
        <f t="shared" ref="T48:U48" si="95">IF(G48=0,"",G48/O48)</f>
        <v>#DIV/0!</v>
      </c>
      <c r="U48" s="51" t="str">
        <f t="shared" si="95"/>
        <v/>
      </c>
      <c r="V48" s="51" t="str">
        <f t="shared" ref="V48:W48" si="96">IF(I48="","",I48/Q48)</f>
        <v/>
      </c>
      <c r="W48" s="51" t="str">
        <f t="shared" si="96"/>
        <v/>
      </c>
      <c r="X48" s="79" t="str">
        <f t="shared" si="7"/>
        <v/>
      </c>
      <c r="Y48" s="48">
        <v>43.0</v>
      </c>
      <c r="Z48" s="48">
        <f t="shared" si="8"/>
        <v>0</v>
      </c>
      <c r="AA48" s="48">
        <f t="shared" si="9"/>
        <v>0</v>
      </c>
      <c r="AB48" s="48">
        <v>43.0</v>
      </c>
      <c r="AC48" s="48">
        <f t="shared" si="10"/>
        <v>0</v>
      </c>
      <c r="AD48" s="48" t="str">
        <f t="shared" si="11"/>
        <v/>
      </c>
      <c r="AE48" s="72">
        <v>43.0</v>
      </c>
      <c r="AF48" s="83" t="str">
        <f t="shared" si="12"/>
        <v/>
      </c>
      <c r="AG48" s="72">
        <v>43.0</v>
      </c>
      <c r="AH48" s="48" t="str">
        <f t="shared" si="13"/>
        <v/>
      </c>
      <c r="AI48" s="84" t="str">
        <f t="shared" si="14"/>
        <v/>
      </c>
      <c r="AJ48" s="48"/>
      <c r="AK48" s="48"/>
      <c r="AL48" s="48"/>
      <c r="AM48" s="48"/>
      <c r="AN48" s="48"/>
      <c r="AO48" s="48"/>
      <c r="AP48" s="48"/>
      <c r="AQ48" s="48"/>
      <c r="AR48" s="48"/>
      <c r="AS48" s="48"/>
      <c r="AT48" s="48"/>
      <c r="AU48" s="48"/>
      <c r="AV48" s="48"/>
      <c r="AW48" s="48"/>
      <c r="AX48" s="48"/>
      <c r="AY48" s="48"/>
      <c r="AZ48" s="48"/>
      <c r="BA48" s="48"/>
      <c r="BB48" s="47"/>
      <c r="BC48" s="47"/>
      <c r="BD48" s="47"/>
      <c r="BE48" s="47"/>
      <c r="BF48" s="48"/>
      <c r="BG48" s="52"/>
      <c r="BH48" s="48"/>
      <c r="BI48" s="48"/>
      <c r="BJ48" s="48"/>
      <c r="BK48" s="48"/>
      <c r="BL48" s="48"/>
      <c r="BM48" s="48"/>
      <c r="BN48" s="48"/>
      <c r="BO48" s="48"/>
      <c r="BP48" s="85"/>
      <c r="BQ48" s="48"/>
    </row>
    <row r="49" ht="23.25" customHeight="1">
      <c r="A49" s="47">
        <v>44.0</v>
      </c>
      <c r="B49" s="87"/>
      <c r="C49" s="82" t="str">
        <f>IF(B49="","",VLOOKUP(B49,'Mitglieder BBU'!A:N,6,0))</f>
        <v/>
      </c>
      <c r="D49" s="82" t="str">
        <f>IF(#REF!="","",VLOOKUP(#REF!,'Mitglieder BBU'!A:N,6,0))</f>
        <v>#REF!</v>
      </c>
      <c r="E49" s="82" t="str">
        <f>IF(#REF!="","",VLOOKUP(#REF!,'Mitglieder BBU'!A:N,6,0))</f>
        <v>#REF!</v>
      </c>
      <c r="F49" s="82"/>
      <c r="G49" s="75" t="str">
        <f>IFNA(VLOOKUP(B49,Datensammler!$B:$AA,24,0),"")</f>
        <v/>
      </c>
      <c r="H49" s="47"/>
      <c r="I49" s="47"/>
      <c r="J49" s="47"/>
      <c r="K49" s="76">
        <f t="shared" si="3"/>
        <v>0</v>
      </c>
      <c r="L49" s="75">
        <f>IFERROR('HI-LOW Berechnung'!AS48,0)</f>
        <v>0</v>
      </c>
      <c r="M49" s="47">
        <f>IFERROR('HI-LOW Berechnung'!AY48,0)</f>
        <v>0</v>
      </c>
      <c r="N49" s="76">
        <f>IFERROR('HI-LOW Berechnung'!BB48,0)</f>
        <v>0</v>
      </c>
      <c r="O49" s="75" t="str">
        <f>IFNA(VLOOKUP(B49,Datensammler!$B:$AA,25,0),"")</f>
        <v/>
      </c>
      <c r="P49" s="47"/>
      <c r="Q49" s="47"/>
      <c r="R49" s="47"/>
      <c r="S49" s="77">
        <f t="shared" si="4"/>
        <v>0</v>
      </c>
      <c r="T49" s="78" t="str">
        <f t="shared" ref="T49:U49" si="97">IF(G49=0,"",G49/O49)</f>
        <v>#DIV/0!</v>
      </c>
      <c r="U49" s="51" t="str">
        <f t="shared" si="97"/>
        <v/>
      </c>
      <c r="V49" s="51" t="str">
        <f t="shared" ref="V49:W49" si="98">IF(I49="","",I49/Q49)</f>
        <v/>
      </c>
      <c r="W49" s="51" t="str">
        <f t="shared" si="98"/>
        <v/>
      </c>
      <c r="X49" s="79" t="str">
        <f t="shared" si="7"/>
        <v/>
      </c>
      <c r="Y49" s="48">
        <v>44.0</v>
      </c>
      <c r="Z49" s="48">
        <f t="shared" si="8"/>
        <v>0</v>
      </c>
      <c r="AA49" s="48">
        <f t="shared" si="9"/>
        <v>0</v>
      </c>
      <c r="AB49" s="48">
        <v>44.0</v>
      </c>
      <c r="AC49" s="48">
        <f t="shared" si="10"/>
        <v>0</v>
      </c>
      <c r="AD49" s="48" t="str">
        <f t="shared" si="11"/>
        <v/>
      </c>
      <c r="AE49" s="72">
        <v>44.0</v>
      </c>
      <c r="AF49" s="83" t="str">
        <f t="shared" si="12"/>
        <v/>
      </c>
      <c r="AG49" s="72">
        <v>44.0</v>
      </c>
      <c r="AH49" s="48" t="str">
        <f t="shared" si="13"/>
        <v/>
      </c>
      <c r="AI49" s="84" t="str">
        <f t="shared" si="14"/>
        <v/>
      </c>
      <c r="AJ49" s="48"/>
      <c r="AK49" s="48"/>
      <c r="AL49" s="48"/>
      <c r="AM49" s="48"/>
      <c r="AN49" s="48"/>
      <c r="AO49" s="48"/>
      <c r="AP49" s="48"/>
      <c r="AQ49" s="48"/>
      <c r="AR49" s="48"/>
      <c r="AS49" s="48"/>
      <c r="AT49" s="48"/>
      <c r="AU49" s="48"/>
      <c r="AV49" s="48"/>
      <c r="AW49" s="48"/>
      <c r="AX49" s="48"/>
      <c r="AY49" s="48"/>
      <c r="AZ49" s="48"/>
      <c r="BA49" s="48"/>
      <c r="BB49" s="47"/>
      <c r="BC49" s="47"/>
      <c r="BD49" s="47"/>
      <c r="BE49" s="47"/>
      <c r="BF49" s="48"/>
      <c r="BG49" s="52"/>
      <c r="BH49" s="48"/>
      <c r="BI49" s="48"/>
      <c r="BJ49" s="48"/>
      <c r="BK49" s="48"/>
      <c r="BL49" s="48"/>
      <c r="BM49" s="48"/>
      <c r="BN49" s="48"/>
      <c r="BO49" s="48"/>
      <c r="BP49" s="85"/>
      <c r="BQ49" s="48"/>
    </row>
    <row r="50" ht="23.25" customHeight="1">
      <c r="A50" s="47">
        <v>45.0</v>
      </c>
      <c r="B50" s="87"/>
      <c r="C50" s="82" t="str">
        <f>IF(B50="","",VLOOKUP(B50,'Mitglieder BBU'!A:N,6,0))</f>
        <v/>
      </c>
      <c r="D50" s="82" t="str">
        <f>IF(#REF!="","",VLOOKUP(#REF!,'Mitglieder BBU'!A:N,6,0))</f>
        <v>#REF!</v>
      </c>
      <c r="E50" s="82" t="str">
        <f>IF(#REF!="","",VLOOKUP(#REF!,'Mitglieder BBU'!A:N,6,0))</f>
        <v>#REF!</v>
      </c>
      <c r="F50" s="82"/>
      <c r="G50" s="75" t="str">
        <f>IFNA(VLOOKUP(B50,Datensammler!$B:$AA,24,0),"")</f>
        <v/>
      </c>
      <c r="H50" s="47"/>
      <c r="I50" s="47"/>
      <c r="J50" s="47"/>
      <c r="K50" s="76">
        <f t="shared" si="3"/>
        <v>0</v>
      </c>
      <c r="L50" s="75">
        <f>IFERROR('HI-LOW Berechnung'!AS49,0)</f>
        <v>0</v>
      </c>
      <c r="M50" s="47">
        <f>IFERROR('HI-LOW Berechnung'!AY49,0)</f>
        <v>0</v>
      </c>
      <c r="N50" s="76">
        <f>IFERROR('HI-LOW Berechnung'!BB49,0)</f>
        <v>0</v>
      </c>
      <c r="O50" s="75" t="str">
        <f>IFNA(VLOOKUP(B50,Datensammler!$B:$AA,25,0),"")</f>
        <v/>
      </c>
      <c r="P50" s="47"/>
      <c r="Q50" s="47"/>
      <c r="R50" s="47"/>
      <c r="S50" s="77">
        <f t="shared" si="4"/>
        <v>0</v>
      </c>
      <c r="T50" s="78" t="str">
        <f t="shared" ref="T50:U50" si="99">IF(G50=0,"",G50/O50)</f>
        <v>#DIV/0!</v>
      </c>
      <c r="U50" s="51" t="str">
        <f t="shared" si="99"/>
        <v/>
      </c>
      <c r="V50" s="51" t="str">
        <f t="shared" ref="V50:W50" si="100">IF(I50="","",I50/Q50)</f>
        <v/>
      </c>
      <c r="W50" s="51" t="str">
        <f t="shared" si="100"/>
        <v/>
      </c>
      <c r="X50" s="79" t="str">
        <f t="shared" si="7"/>
        <v/>
      </c>
      <c r="Y50" s="48">
        <v>45.0</v>
      </c>
      <c r="Z50" s="48">
        <f t="shared" si="8"/>
        <v>0</v>
      </c>
      <c r="AA50" s="48">
        <f t="shared" si="9"/>
        <v>0</v>
      </c>
      <c r="AB50" s="48">
        <v>45.0</v>
      </c>
      <c r="AC50" s="48">
        <f t="shared" si="10"/>
        <v>0</v>
      </c>
      <c r="AD50" s="48" t="str">
        <f t="shared" si="11"/>
        <v/>
      </c>
      <c r="AE50" s="72">
        <v>45.0</v>
      </c>
      <c r="AF50" s="83" t="str">
        <f t="shared" si="12"/>
        <v/>
      </c>
      <c r="AG50" s="72">
        <v>45.0</v>
      </c>
      <c r="AH50" s="48" t="str">
        <f t="shared" si="13"/>
        <v/>
      </c>
      <c r="AI50" s="84" t="str">
        <f t="shared" si="14"/>
        <v/>
      </c>
      <c r="AJ50" s="48"/>
      <c r="AK50" s="48"/>
      <c r="AL50" s="48"/>
      <c r="AM50" s="48"/>
      <c r="AN50" s="48"/>
      <c r="AO50" s="48"/>
      <c r="AP50" s="48"/>
      <c r="AQ50" s="48"/>
      <c r="AR50" s="48"/>
      <c r="AS50" s="48"/>
      <c r="AT50" s="48"/>
      <c r="AU50" s="48"/>
      <c r="AV50" s="48"/>
      <c r="AW50" s="48"/>
      <c r="AX50" s="48"/>
      <c r="AY50" s="48"/>
      <c r="AZ50" s="48"/>
      <c r="BA50" s="48"/>
      <c r="BB50" s="47"/>
      <c r="BC50" s="47"/>
      <c r="BD50" s="47"/>
      <c r="BE50" s="47"/>
      <c r="BF50" s="48"/>
      <c r="BG50" s="52"/>
      <c r="BH50" s="48"/>
      <c r="BI50" s="48"/>
      <c r="BJ50" s="48"/>
      <c r="BK50" s="48"/>
      <c r="BL50" s="48"/>
      <c r="BM50" s="48"/>
      <c r="BN50" s="48"/>
      <c r="BO50" s="48"/>
      <c r="BP50" s="85"/>
      <c r="BQ50" s="48"/>
    </row>
    <row r="51" ht="23.25" customHeight="1">
      <c r="A51" s="47">
        <v>46.0</v>
      </c>
      <c r="B51" s="87"/>
      <c r="C51" s="82" t="str">
        <f>IF(B51="","",VLOOKUP(B51,'Mitglieder BBU'!A:N,6,0))</f>
        <v/>
      </c>
      <c r="D51" s="82" t="str">
        <f>IF(#REF!="","",VLOOKUP(#REF!,'Mitglieder BBU'!A:N,6,0))</f>
        <v>#REF!</v>
      </c>
      <c r="E51" s="82" t="str">
        <f>IF(#REF!="","",VLOOKUP(#REF!,'Mitglieder BBU'!A:N,6,0))</f>
        <v>#REF!</v>
      </c>
      <c r="F51" s="82"/>
      <c r="G51" s="75" t="str">
        <f>IFNA(VLOOKUP(B51,Datensammler!$B:$AA,24,0),"")</f>
        <v/>
      </c>
      <c r="H51" s="47"/>
      <c r="I51" s="47"/>
      <c r="J51" s="47"/>
      <c r="K51" s="76">
        <f t="shared" si="3"/>
        <v>0</v>
      </c>
      <c r="L51" s="75">
        <f>IFERROR('HI-LOW Berechnung'!AS50,0)</f>
        <v>0</v>
      </c>
      <c r="M51" s="47">
        <f>IFERROR('HI-LOW Berechnung'!AY50,0)</f>
        <v>0</v>
      </c>
      <c r="N51" s="76">
        <f>IFERROR('HI-LOW Berechnung'!BB50,0)</f>
        <v>0</v>
      </c>
      <c r="O51" s="75" t="str">
        <f>IFNA(VLOOKUP(B51,Datensammler!$B:$AA,25,0),"")</f>
        <v/>
      </c>
      <c r="P51" s="47"/>
      <c r="Q51" s="47"/>
      <c r="R51" s="47"/>
      <c r="S51" s="77">
        <f t="shared" si="4"/>
        <v>0</v>
      </c>
      <c r="T51" s="78" t="str">
        <f t="shared" ref="T51:U51" si="101">IF(G51=0,"",G51/O51)</f>
        <v>#DIV/0!</v>
      </c>
      <c r="U51" s="51" t="str">
        <f t="shared" si="101"/>
        <v/>
      </c>
      <c r="V51" s="51" t="str">
        <f t="shared" ref="V51:W51" si="102">IF(I51="","",I51/Q51)</f>
        <v/>
      </c>
      <c r="W51" s="51" t="str">
        <f t="shared" si="102"/>
        <v/>
      </c>
      <c r="X51" s="79" t="str">
        <f t="shared" si="7"/>
        <v/>
      </c>
      <c r="Y51" s="48">
        <v>46.0</v>
      </c>
      <c r="Z51" s="48">
        <f t="shared" si="8"/>
        <v>0</v>
      </c>
      <c r="AA51" s="48">
        <f t="shared" si="9"/>
        <v>0</v>
      </c>
      <c r="AB51" s="48">
        <v>46.0</v>
      </c>
      <c r="AC51" s="48">
        <f t="shared" si="10"/>
        <v>0</v>
      </c>
      <c r="AD51" s="48" t="str">
        <f t="shared" si="11"/>
        <v/>
      </c>
      <c r="AE51" s="72">
        <v>46.0</v>
      </c>
      <c r="AF51" s="83" t="str">
        <f t="shared" si="12"/>
        <v/>
      </c>
      <c r="AG51" s="72">
        <v>46.0</v>
      </c>
      <c r="AH51" s="48" t="str">
        <f t="shared" si="13"/>
        <v/>
      </c>
      <c r="AI51" s="84" t="str">
        <f t="shared" si="14"/>
        <v/>
      </c>
      <c r="AJ51" s="48"/>
      <c r="AK51" s="48"/>
      <c r="AL51" s="48"/>
      <c r="AM51" s="48"/>
      <c r="AN51" s="48"/>
      <c r="AO51" s="48"/>
      <c r="AP51" s="48"/>
      <c r="AQ51" s="48"/>
      <c r="AR51" s="48"/>
      <c r="AS51" s="48"/>
      <c r="AT51" s="48"/>
      <c r="AU51" s="48"/>
      <c r="AV51" s="48"/>
      <c r="AW51" s="48"/>
      <c r="AX51" s="48"/>
      <c r="AY51" s="48"/>
      <c r="AZ51" s="48"/>
      <c r="BA51" s="48"/>
      <c r="BB51" s="47"/>
      <c r="BC51" s="47"/>
      <c r="BD51" s="47"/>
      <c r="BE51" s="47"/>
      <c r="BF51" s="48"/>
      <c r="BG51" s="52"/>
      <c r="BH51" s="48"/>
      <c r="BI51" s="48"/>
      <c r="BJ51" s="48"/>
      <c r="BK51" s="48"/>
      <c r="BL51" s="48"/>
      <c r="BM51" s="48"/>
      <c r="BN51" s="48"/>
      <c r="BO51" s="48"/>
      <c r="BP51" s="85"/>
      <c r="BQ51" s="48"/>
    </row>
    <row r="52" ht="23.25" customHeight="1">
      <c r="A52" s="47">
        <v>47.0</v>
      </c>
      <c r="B52" s="87"/>
      <c r="C52" s="82" t="str">
        <f>IF(B52="","",VLOOKUP(B52,'Mitglieder BBU'!A:N,6,0))</f>
        <v/>
      </c>
      <c r="D52" s="82" t="str">
        <f>IF(#REF!="","",VLOOKUP(#REF!,'Mitglieder BBU'!A:N,6,0))</f>
        <v>#REF!</v>
      </c>
      <c r="E52" s="82" t="str">
        <f>IF(#REF!="","",VLOOKUP(#REF!,'Mitglieder BBU'!A:N,6,0))</f>
        <v>#REF!</v>
      </c>
      <c r="F52" s="62"/>
      <c r="G52" s="75" t="str">
        <f>IFNA(VLOOKUP(B52,Datensammler!$B:$AA,24,0),"")</f>
        <v/>
      </c>
      <c r="H52" s="47"/>
      <c r="I52" s="47"/>
      <c r="J52" s="47"/>
      <c r="K52" s="76">
        <f t="shared" si="3"/>
        <v>0</v>
      </c>
      <c r="L52" s="75">
        <f>IFERROR('HI-LOW Berechnung'!AS51,0)</f>
        <v>0</v>
      </c>
      <c r="M52" s="47">
        <f>IFERROR('HI-LOW Berechnung'!AY51,0)</f>
        <v>0</v>
      </c>
      <c r="N52" s="76">
        <f>IFERROR('HI-LOW Berechnung'!BB51,0)</f>
        <v>0</v>
      </c>
      <c r="O52" s="75" t="str">
        <f>IFNA(VLOOKUP(B52,Datensammler!$B:$AA,25,0),"")</f>
        <v/>
      </c>
      <c r="P52" s="47"/>
      <c r="Q52" s="47"/>
      <c r="R52" s="47"/>
      <c r="S52" s="77">
        <f t="shared" si="4"/>
        <v>0</v>
      </c>
      <c r="T52" s="78" t="str">
        <f t="shared" ref="T52:U52" si="103">IF(G52=0,"",G52/O52)</f>
        <v>#DIV/0!</v>
      </c>
      <c r="U52" s="51" t="str">
        <f t="shared" si="103"/>
        <v/>
      </c>
      <c r="V52" s="51" t="str">
        <f t="shared" ref="V52:W52" si="104">IF(I52="","",I52/Q52)</f>
        <v/>
      </c>
      <c r="W52" s="51" t="str">
        <f t="shared" si="104"/>
        <v/>
      </c>
      <c r="X52" s="79" t="str">
        <f t="shared" si="7"/>
        <v/>
      </c>
      <c r="Y52" s="48">
        <v>47.0</v>
      </c>
      <c r="Z52" s="48">
        <f t="shared" si="8"/>
        <v>0</v>
      </c>
      <c r="AA52" s="48">
        <f t="shared" si="9"/>
        <v>0</v>
      </c>
      <c r="AB52" s="48">
        <v>47.0</v>
      </c>
      <c r="AC52" s="48">
        <f t="shared" si="10"/>
        <v>0</v>
      </c>
      <c r="AD52" s="48" t="str">
        <f t="shared" si="11"/>
        <v/>
      </c>
      <c r="AE52" s="72">
        <v>47.0</v>
      </c>
      <c r="AF52" s="83" t="str">
        <f t="shared" si="12"/>
        <v/>
      </c>
      <c r="AG52" s="72">
        <v>47.0</v>
      </c>
      <c r="AH52" s="48" t="str">
        <f t="shared" si="13"/>
        <v/>
      </c>
      <c r="AI52" s="84" t="str">
        <f t="shared" si="14"/>
        <v/>
      </c>
      <c r="AJ52" s="48"/>
      <c r="AK52" s="48"/>
      <c r="AL52" s="48"/>
      <c r="AM52" s="48"/>
      <c r="AN52" s="48"/>
      <c r="AO52" s="48"/>
      <c r="AP52" s="48"/>
      <c r="AQ52" s="48"/>
      <c r="AR52" s="48"/>
      <c r="AS52" s="48"/>
      <c r="AT52" s="48"/>
      <c r="AU52" s="48"/>
      <c r="AV52" s="48"/>
      <c r="AW52" s="48"/>
      <c r="AX52" s="48"/>
      <c r="AY52" s="48"/>
      <c r="AZ52" s="48"/>
      <c r="BA52" s="48"/>
      <c r="BB52" s="47"/>
      <c r="BC52" s="47"/>
      <c r="BD52" s="47"/>
      <c r="BE52" s="47"/>
      <c r="BF52" s="48"/>
      <c r="BG52" s="52"/>
      <c r="BH52" s="48"/>
      <c r="BI52" s="48"/>
      <c r="BJ52" s="48"/>
      <c r="BK52" s="48"/>
      <c r="BL52" s="48"/>
      <c r="BM52" s="48"/>
      <c r="BN52" s="48"/>
      <c r="BO52" s="48"/>
      <c r="BP52" s="85"/>
      <c r="BQ52" s="48"/>
    </row>
    <row r="53" ht="23.25" customHeight="1">
      <c r="A53" s="47">
        <v>48.0</v>
      </c>
      <c r="B53" s="87"/>
      <c r="C53" s="82" t="str">
        <f>IF(B53="","",VLOOKUP(B53,'Mitglieder BBU'!A:N,6,0))</f>
        <v/>
      </c>
      <c r="D53" s="82" t="str">
        <f>IF(#REF!="","",VLOOKUP(#REF!,'Mitglieder BBU'!A:N,6,0))</f>
        <v>#REF!</v>
      </c>
      <c r="E53" s="82" t="str">
        <f>IF(#REF!="","",VLOOKUP(#REF!,'Mitglieder BBU'!A:N,6,0))</f>
        <v>#REF!</v>
      </c>
      <c r="F53" s="82"/>
      <c r="G53" s="75" t="str">
        <f>IFNA(VLOOKUP(B53,Datensammler!$B:$AA,24,0),"")</f>
        <v/>
      </c>
      <c r="H53" s="47"/>
      <c r="I53" s="47"/>
      <c r="J53" s="47"/>
      <c r="K53" s="76">
        <f t="shared" si="3"/>
        <v>0</v>
      </c>
      <c r="L53" s="75">
        <f>IFERROR('HI-LOW Berechnung'!AS52,0)</f>
        <v>0</v>
      </c>
      <c r="M53" s="47">
        <f>IFERROR('HI-LOW Berechnung'!AY52,0)</f>
        <v>0</v>
      </c>
      <c r="N53" s="76">
        <f>IFERROR('HI-LOW Berechnung'!BB52,0)</f>
        <v>0</v>
      </c>
      <c r="O53" s="75" t="str">
        <f>IFNA(VLOOKUP(B53,Datensammler!$B:$AA,25,0),"")</f>
        <v/>
      </c>
      <c r="P53" s="47"/>
      <c r="Q53" s="47"/>
      <c r="R53" s="47"/>
      <c r="S53" s="77">
        <f t="shared" si="4"/>
        <v>0</v>
      </c>
      <c r="T53" s="78" t="str">
        <f t="shared" ref="T53:U53" si="105">IF(G53=0,"",G53/O53)</f>
        <v>#DIV/0!</v>
      </c>
      <c r="U53" s="51" t="str">
        <f t="shared" si="105"/>
        <v/>
      </c>
      <c r="V53" s="51" t="str">
        <f t="shared" ref="V53:W53" si="106">IF(I53="","",I53/Q53)</f>
        <v/>
      </c>
      <c r="W53" s="51" t="str">
        <f t="shared" si="106"/>
        <v/>
      </c>
      <c r="X53" s="79" t="str">
        <f t="shared" si="7"/>
        <v/>
      </c>
      <c r="Y53" s="48">
        <v>48.0</v>
      </c>
      <c r="Z53" s="48">
        <f t="shared" si="8"/>
        <v>0</v>
      </c>
      <c r="AA53" s="48">
        <f t="shared" si="9"/>
        <v>0</v>
      </c>
      <c r="AB53" s="48">
        <v>48.0</v>
      </c>
      <c r="AC53" s="48">
        <f t="shared" si="10"/>
        <v>0</v>
      </c>
      <c r="AD53" s="48" t="str">
        <f t="shared" si="11"/>
        <v/>
      </c>
      <c r="AE53" s="72">
        <v>48.0</v>
      </c>
      <c r="AF53" s="83" t="str">
        <f t="shared" si="12"/>
        <v/>
      </c>
      <c r="AG53" s="72">
        <v>48.0</v>
      </c>
      <c r="AH53" s="48" t="str">
        <f t="shared" si="13"/>
        <v/>
      </c>
      <c r="AI53" s="84" t="str">
        <f t="shared" si="14"/>
        <v/>
      </c>
      <c r="AJ53" s="48"/>
      <c r="AK53" s="48"/>
      <c r="AL53" s="48"/>
      <c r="AM53" s="48"/>
      <c r="AN53" s="48"/>
      <c r="AO53" s="48"/>
      <c r="AP53" s="48"/>
      <c r="AQ53" s="48"/>
      <c r="AR53" s="48"/>
      <c r="AS53" s="48"/>
      <c r="AT53" s="48"/>
      <c r="AU53" s="48"/>
      <c r="AV53" s="48"/>
      <c r="AW53" s="48"/>
      <c r="AX53" s="48"/>
      <c r="AY53" s="48"/>
      <c r="AZ53" s="48"/>
      <c r="BA53" s="48"/>
      <c r="BB53" s="47"/>
      <c r="BC53" s="47"/>
      <c r="BD53" s="47"/>
      <c r="BE53" s="47"/>
      <c r="BF53" s="48"/>
      <c r="BG53" s="52"/>
      <c r="BH53" s="48"/>
      <c r="BI53" s="48"/>
      <c r="BJ53" s="48"/>
      <c r="BK53" s="48"/>
      <c r="BL53" s="48"/>
      <c r="BM53" s="48"/>
      <c r="BN53" s="48"/>
      <c r="BO53" s="48"/>
      <c r="BP53" s="85"/>
      <c r="BQ53" s="48"/>
    </row>
    <row r="54" ht="23.25" customHeight="1">
      <c r="A54" s="47">
        <v>49.0</v>
      </c>
      <c r="B54" s="87"/>
      <c r="C54" s="82" t="str">
        <f>IF(B54="","",VLOOKUP(B54,'Mitglieder BBU'!A:N,6,0))</f>
        <v/>
      </c>
      <c r="D54" s="82" t="str">
        <f>IF(#REF!="","",VLOOKUP(#REF!,'Mitglieder BBU'!A:N,6,0))</f>
        <v>#REF!</v>
      </c>
      <c r="E54" s="82" t="str">
        <f>IF(#REF!="","",VLOOKUP(#REF!,'Mitglieder BBU'!A:N,6,0))</f>
        <v>#REF!</v>
      </c>
      <c r="F54" s="82"/>
      <c r="G54" s="75" t="str">
        <f>IFNA(VLOOKUP(B54,Datensammler!$B:$AA,24,0),"")</f>
        <v/>
      </c>
      <c r="H54" s="47"/>
      <c r="I54" s="47"/>
      <c r="J54" s="47"/>
      <c r="K54" s="76">
        <f t="shared" si="3"/>
        <v>0</v>
      </c>
      <c r="L54" s="75">
        <f>IFERROR('HI-LOW Berechnung'!AS53,0)</f>
        <v>0</v>
      </c>
      <c r="M54" s="47">
        <f>IFERROR('HI-LOW Berechnung'!AY53,0)</f>
        <v>0</v>
      </c>
      <c r="N54" s="76">
        <f>IFERROR('HI-LOW Berechnung'!BB53,0)</f>
        <v>0</v>
      </c>
      <c r="O54" s="75" t="str">
        <f>IFNA(VLOOKUP(B54,Datensammler!$B:$AA,25,0),"")</f>
        <v/>
      </c>
      <c r="P54" s="47"/>
      <c r="Q54" s="47"/>
      <c r="R54" s="47"/>
      <c r="S54" s="77">
        <f t="shared" si="4"/>
        <v>0</v>
      </c>
      <c r="T54" s="78" t="str">
        <f t="shared" ref="T54:U54" si="107">IF(G54=0,"",G54/O54)</f>
        <v>#DIV/0!</v>
      </c>
      <c r="U54" s="51" t="str">
        <f t="shared" si="107"/>
        <v/>
      </c>
      <c r="V54" s="51" t="str">
        <f t="shared" ref="V54:W54" si="108">IF(I54="","",I54/Q54)</f>
        <v/>
      </c>
      <c r="W54" s="51" t="str">
        <f t="shared" si="108"/>
        <v/>
      </c>
      <c r="X54" s="79" t="str">
        <f t="shared" si="7"/>
        <v/>
      </c>
      <c r="Y54" s="48">
        <v>49.0</v>
      </c>
      <c r="Z54" s="48">
        <f t="shared" si="8"/>
        <v>0</v>
      </c>
      <c r="AA54" s="48">
        <f t="shared" si="9"/>
        <v>0</v>
      </c>
      <c r="AB54" s="48">
        <v>49.0</v>
      </c>
      <c r="AC54" s="48">
        <f t="shared" si="10"/>
        <v>0</v>
      </c>
      <c r="AD54" s="48" t="str">
        <f t="shared" si="11"/>
        <v/>
      </c>
      <c r="AE54" s="72">
        <v>49.0</v>
      </c>
      <c r="AF54" s="83" t="str">
        <f t="shared" si="12"/>
        <v/>
      </c>
      <c r="AG54" s="72">
        <v>49.0</v>
      </c>
      <c r="AH54" s="48" t="str">
        <f t="shared" si="13"/>
        <v/>
      </c>
      <c r="AI54" s="84" t="str">
        <f t="shared" si="14"/>
        <v/>
      </c>
      <c r="AJ54" s="48"/>
      <c r="AK54" s="48"/>
      <c r="AL54" s="48"/>
      <c r="AM54" s="48"/>
      <c r="AN54" s="48"/>
      <c r="AO54" s="48"/>
      <c r="AP54" s="48"/>
      <c r="AQ54" s="48"/>
      <c r="AR54" s="48"/>
      <c r="AS54" s="48"/>
      <c r="AT54" s="48"/>
      <c r="AU54" s="48"/>
      <c r="AV54" s="48"/>
      <c r="AW54" s="48"/>
      <c r="AX54" s="48"/>
      <c r="AY54" s="48"/>
      <c r="AZ54" s="48"/>
      <c r="BA54" s="48"/>
      <c r="BB54" s="47"/>
      <c r="BC54" s="47"/>
      <c r="BD54" s="47"/>
      <c r="BE54" s="47"/>
      <c r="BF54" s="48"/>
      <c r="BG54" s="52"/>
      <c r="BH54" s="48"/>
      <c r="BI54" s="48"/>
      <c r="BJ54" s="48"/>
      <c r="BK54" s="48"/>
      <c r="BL54" s="48"/>
      <c r="BM54" s="48"/>
      <c r="BN54" s="48"/>
      <c r="BO54" s="48"/>
      <c r="BP54" s="85"/>
      <c r="BQ54" s="48"/>
    </row>
    <row r="55" ht="23.25" customHeight="1">
      <c r="A55" s="47">
        <v>50.0</v>
      </c>
      <c r="B55" s="87"/>
      <c r="C55" s="82" t="str">
        <f>IF(B55="","",VLOOKUP(B55,'Mitglieder BBU'!A:N,6,0))</f>
        <v/>
      </c>
      <c r="D55" s="82" t="str">
        <f>IF(#REF!="","",VLOOKUP(#REF!,'Mitglieder BBU'!A:N,6,0))</f>
        <v>#REF!</v>
      </c>
      <c r="E55" s="82" t="str">
        <f>IF(#REF!="","",VLOOKUP(#REF!,'Mitglieder BBU'!A:N,6,0))</f>
        <v>#REF!</v>
      </c>
      <c r="F55" s="82"/>
      <c r="G55" s="75" t="str">
        <f>IFNA(VLOOKUP(B55,Datensammler!$B:$AA,24,0),"")</f>
        <v/>
      </c>
      <c r="H55" s="47"/>
      <c r="I55" s="47"/>
      <c r="J55" s="47"/>
      <c r="K55" s="76">
        <f t="shared" si="3"/>
        <v>0</v>
      </c>
      <c r="L55" s="75">
        <f>IFERROR('HI-LOW Berechnung'!AS54,0)</f>
        <v>0</v>
      </c>
      <c r="M55" s="47">
        <f>IFERROR('HI-LOW Berechnung'!AY54,0)</f>
        <v>0</v>
      </c>
      <c r="N55" s="76">
        <f>IFERROR('HI-LOW Berechnung'!BB54,0)</f>
        <v>0</v>
      </c>
      <c r="O55" s="75" t="str">
        <f>IFNA(VLOOKUP(B55,Datensammler!$B:$AA,25,0),"")</f>
        <v/>
      </c>
      <c r="P55" s="47"/>
      <c r="Q55" s="47"/>
      <c r="R55" s="47"/>
      <c r="S55" s="77">
        <f t="shared" si="4"/>
        <v>0</v>
      </c>
      <c r="T55" s="78" t="str">
        <f t="shared" ref="T55:U55" si="109">IF(G55=0,"",G55/O55)</f>
        <v>#DIV/0!</v>
      </c>
      <c r="U55" s="51" t="str">
        <f t="shared" si="109"/>
        <v/>
      </c>
      <c r="V55" s="51" t="str">
        <f t="shared" ref="V55:W55" si="110">IF(I55="","",I55/Q55)</f>
        <v/>
      </c>
      <c r="W55" s="51" t="str">
        <f t="shared" si="110"/>
        <v/>
      </c>
      <c r="X55" s="79" t="str">
        <f t="shared" si="7"/>
        <v/>
      </c>
      <c r="Y55" s="48">
        <v>50.0</v>
      </c>
      <c r="Z55" s="48">
        <f t="shared" si="8"/>
        <v>0</v>
      </c>
      <c r="AA55" s="48">
        <f t="shared" si="9"/>
        <v>0</v>
      </c>
      <c r="AB55" s="48">
        <v>50.0</v>
      </c>
      <c r="AC55" s="48">
        <f t="shared" si="10"/>
        <v>0</v>
      </c>
      <c r="AD55" s="48" t="str">
        <f t="shared" si="11"/>
        <v/>
      </c>
      <c r="AE55" s="72">
        <v>50.0</v>
      </c>
      <c r="AF55" s="83" t="str">
        <f t="shared" si="12"/>
        <v/>
      </c>
      <c r="AG55" s="72">
        <v>50.0</v>
      </c>
      <c r="AH55" s="48" t="str">
        <f t="shared" si="13"/>
        <v/>
      </c>
      <c r="AI55" s="84" t="str">
        <f t="shared" si="14"/>
        <v/>
      </c>
      <c r="AJ55" s="48"/>
      <c r="AK55" s="48"/>
      <c r="AL55" s="48"/>
      <c r="AM55" s="48"/>
      <c r="AN55" s="48"/>
      <c r="AO55" s="48"/>
      <c r="AP55" s="48"/>
      <c r="AQ55" s="48"/>
      <c r="AR55" s="48"/>
      <c r="AS55" s="48"/>
      <c r="AT55" s="48"/>
      <c r="AU55" s="48"/>
      <c r="AV55" s="48"/>
      <c r="AW55" s="48"/>
      <c r="AX55" s="48"/>
      <c r="AY55" s="48"/>
      <c r="AZ55" s="48"/>
      <c r="BA55" s="48"/>
      <c r="BB55" s="47"/>
      <c r="BC55" s="47"/>
      <c r="BD55" s="47"/>
      <c r="BE55" s="47"/>
      <c r="BF55" s="48"/>
      <c r="BG55" s="52"/>
      <c r="BH55" s="48"/>
      <c r="BI55" s="48"/>
      <c r="BJ55" s="48"/>
      <c r="BK55" s="48"/>
      <c r="BL55" s="48"/>
      <c r="BM55" s="48"/>
      <c r="BN55" s="48"/>
      <c r="BO55" s="48"/>
      <c r="BP55" s="85"/>
      <c r="BQ55" s="48"/>
    </row>
    <row r="56" ht="23.25" customHeight="1">
      <c r="A56" s="47">
        <v>51.0</v>
      </c>
      <c r="B56" s="87"/>
      <c r="C56" s="82" t="str">
        <f>IF(B56="","",VLOOKUP(B56,'Mitglieder BBU'!A:N,6,0))</f>
        <v/>
      </c>
      <c r="D56" s="82" t="str">
        <f>IF(#REF!="","",VLOOKUP(#REF!,'Mitglieder BBU'!A:N,6,0))</f>
        <v>#REF!</v>
      </c>
      <c r="E56" s="82" t="str">
        <f>IF(#REF!="","",VLOOKUP(#REF!,'Mitglieder BBU'!A:N,6,0))</f>
        <v>#REF!</v>
      </c>
      <c r="F56" s="62"/>
      <c r="G56" s="75" t="str">
        <f>IFNA(VLOOKUP(B56,Datensammler!$B:$AA,24,0),"")</f>
        <v/>
      </c>
      <c r="H56" s="47"/>
      <c r="I56" s="47"/>
      <c r="J56" s="47"/>
      <c r="K56" s="76">
        <f t="shared" si="3"/>
        <v>0</v>
      </c>
      <c r="L56" s="75">
        <f>IFERROR('HI-LOW Berechnung'!AS55,0)</f>
        <v>0</v>
      </c>
      <c r="M56" s="47">
        <f>IFERROR('HI-LOW Berechnung'!AY55,0)</f>
        <v>0</v>
      </c>
      <c r="N56" s="76">
        <f>IFERROR('HI-LOW Berechnung'!BB55,0)</f>
        <v>0</v>
      </c>
      <c r="O56" s="75" t="str">
        <f>IFNA(VLOOKUP(B56,Datensammler!$B:$AA,25,0),"")</f>
        <v/>
      </c>
      <c r="P56" s="47"/>
      <c r="Q56" s="47"/>
      <c r="R56" s="47"/>
      <c r="S56" s="77">
        <f t="shared" si="4"/>
        <v>0</v>
      </c>
      <c r="T56" s="78" t="str">
        <f t="shared" ref="T56:U56" si="111">IF(G56=0,"",G56/O56)</f>
        <v>#DIV/0!</v>
      </c>
      <c r="U56" s="51" t="str">
        <f t="shared" si="111"/>
        <v/>
      </c>
      <c r="V56" s="51" t="str">
        <f t="shared" ref="V56:W56" si="112">IF(I56="","",I56/Q56)</f>
        <v/>
      </c>
      <c r="W56" s="51" t="str">
        <f t="shared" si="112"/>
        <v/>
      </c>
      <c r="X56" s="79" t="str">
        <f t="shared" si="7"/>
        <v/>
      </c>
      <c r="Y56" s="48">
        <v>51.0</v>
      </c>
      <c r="Z56" s="48">
        <f t="shared" si="8"/>
        <v>0</v>
      </c>
      <c r="AA56" s="48">
        <f t="shared" si="9"/>
        <v>0</v>
      </c>
      <c r="AB56" s="48">
        <v>51.0</v>
      </c>
      <c r="AC56" s="48">
        <f t="shared" si="10"/>
        <v>0</v>
      </c>
      <c r="AD56" s="48" t="str">
        <f t="shared" si="11"/>
        <v/>
      </c>
      <c r="AE56" s="72">
        <v>51.0</v>
      </c>
      <c r="AF56" s="83" t="str">
        <f t="shared" si="12"/>
        <v/>
      </c>
      <c r="AG56" s="72">
        <v>51.0</v>
      </c>
      <c r="AH56" s="48" t="str">
        <f t="shared" si="13"/>
        <v/>
      </c>
      <c r="AI56" s="84" t="str">
        <f t="shared" si="14"/>
        <v/>
      </c>
      <c r="AJ56" s="48"/>
      <c r="AK56" s="48"/>
      <c r="AL56" s="48"/>
      <c r="AM56" s="48"/>
      <c r="AN56" s="48"/>
      <c r="AO56" s="48"/>
      <c r="AP56" s="48"/>
      <c r="AQ56" s="48"/>
      <c r="AR56" s="48"/>
      <c r="AS56" s="48"/>
      <c r="AT56" s="48"/>
      <c r="AU56" s="48"/>
      <c r="AV56" s="48"/>
      <c r="AW56" s="48"/>
      <c r="AX56" s="48"/>
      <c r="AY56" s="48"/>
      <c r="AZ56" s="48"/>
      <c r="BA56" s="48"/>
      <c r="BB56" s="47"/>
      <c r="BC56" s="47"/>
      <c r="BD56" s="47"/>
      <c r="BE56" s="47"/>
      <c r="BF56" s="48"/>
      <c r="BG56" s="52"/>
      <c r="BH56" s="48"/>
      <c r="BI56" s="48"/>
      <c r="BJ56" s="48"/>
      <c r="BK56" s="48"/>
      <c r="BL56" s="48"/>
      <c r="BM56" s="48"/>
      <c r="BN56" s="48"/>
      <c r="BO56" s="48"/>
      <c r="BP56" s="85"/>
      <c r="BQ56" s="48"/>
    </row>
    <row r="57" ht="23.25" customHeight="1">
      <c r="A57" s="47">
        <v>52.0</v>
      </c>
      <c r="B57" s="87"/>
      <c r="C57" s="82" t="str">
        <f>IF(B57="","",VLOOKUP(B57,'Mitglieder BBU'!A:N,6,0))</f>
        <v/>
      </c>
      <c r="D57" s="82" t="str">
        <f>IF(#REF!="","",VLOOKUP(#REF!,'Mitglieder BBU'!A:N,6,0))</f>
        <v>#REF!</v>
      </c>
      <c r="E57" s="82" t="str">
        <f>IF(#REF!="","",VLOOKUP(#REF!,'Mitglieder BBU'!A:N,6,0))</f>
        <v>#REF!</v>
      </c>
      <c r="F57" s="62"/>
      <c r="G57" s="75" t="str">
        <f>IFNA(VLOOKUP(B57,Datensammler!$B:$AA,24,0),"")</f>
        <v/>
      </c>
      <c r="H57" s="47"/>
      <c r="I57" s="47"/>
      <c r="J57" s="47"/>
      <c r="K57" s="76">
        <f t="shared" si="3"/>
        <v>0</v>
      </c>
      <c r="L57" s="75">
        <f>IFERROR('HI-LOW Berechnung'!AS56,0)</f>
        <v>0</v>
      </c>
      <c r="M57" s="47">
        <f>IFERROR('HI-LOW Berechnung'!AY56,0)</f>
        <v>0</v>
      </c>
      <c r="N57" s="76">
        <f>IFERROR('HI-LOW Berechnung'!BB56,0)</f>
        <v>0</v>
      </c>
      <c r="O57" s="75" t="str">
        <f>IFNA(VLOOKUP(B57,Datensammler!$B:$AA,25,0),"")</f>
        <v/>
      </c>
      <c r="P57" s="47"/>
      <c r="Q57" s="47"/>
      <c r="R57" s="47"/>
      <c r="S57" s="77">
        <f t="shared" si="4"/>
        <v>0</v>
      </c>
      <c r="T57" s="78" t="str">
        <f t="shared" ref="T57:U57" si="113">IF(G57=0,"",G57/O57)</f>
        <v>#DIV/0!</v>
      </c>
      <c r="U57" s="51" t="str">
        <f t="shared" si="113"/>
        <v/>
      </c>
      <c r="V57" s="51" t="str">
        <f t="shared" ref="V57:W57" si="114">IF(I57="","",I57/Q57)</f>
        <v/>
      </c>
      <c r="W57" s="51" t="str">
        <f t="shared" si="114"/>
        <v/>
      </c>
      <c r="X57" s="79" t="str">
        <f t="shared" si="7"/>
        <v/>
      </c>
      <c r="Y57" s="48">
        <v>52.0</v>
      </c>
      <c r="Z57" s="48">
        <f t="shared" si="8"/>
        <v>0</v>
      </c>
      <c r="AA57" s="48">
        <f t="shared" si="9"/>
        <v>0</v>
      </c>
      <c r="AB57" s="48">
        <v>52.0</v>
      </c>
      <c r="AC57" s="48">
        <f t="shared" si="10"/>
        <v>0</v>
      </c>
      <c r="AD57" s="48" t="str">
        <f t="shared" si="11"/>
        <v/>
      </c>
      <c r="AE57" s="72">
        <v>52.0</v>
      </c>
      <c r="AF57" s="83" t="str">
        <f t="shared" si="12"/>
        <v/>
      </c>
      <c r="AG57" s="72">
        <v>52.0</v>
      </c>
      <c r="AH57" s="48" t="str">
        <f t="shared" si="13"/>
        <v/>
      </c>
      <c r="AI57" s="84" t="str">
        <f t="shared" si="14"/>
        <v/>
      </c>
      <c r="AJ57" s="48"/>
      <c r="AK57" s="48"/>
      <c r="AL57" s="48"/>
      <c r="AM57" s="48"/>
      <c r="AN57" s="48"/>
      <c r="AO57" s="48"/>
      <c r="AP57" s="48"/>
      <c r="AQ57" s="48"/>
      <c r="AR57" s="48"/>
      <c r="AS57" s="48"/>
      <c r="AT57" s="48"/>
      <c r="AU57" s="48"/>
      <c r="AV57" s="48"/>
      <c r="AW57" s="48"/>
      <c r="AX57" s="48"/>
      <c r="AY57" s="48"/>
      <c r="AZ57" s="48"/>
      <c r="BA57" s="48"/>
      <c r="BB57" s="47"/>
      <c r="BC57" s="47"/>
      <c r="BD57" s="47"/>
      <c r="BE57" s="47"/>
      <c r="BF57" s="48"/>
      <c r="BG57" s="52"/>
      <c r="BH57" s="48"/>
      <c r="BI57" s="48"/>
      <c r="BJ57" s="48"/>
      <c r="BK57" s="48"/>
      <c r="BL57" s="48"/>
      <c r="BM57" s="48"/>
      <c r="BN57" s="48"/>
      <c r="BO57" s="48"/>
      <c r="BP57" s="85"/>
      <c r="BQ57" s="48"/>
    </row>
    <row r="58" ht="23.25" customHeight="1">
      <c r="A58" s="47">
        <v>53.0</v>
      </c>
      <c r="B58" s="87"/>
      <c r="C58" s="82" t="str">
        <f>IF(B58="","",VLOOKUP(B58,'Mitglieder BBU'!A:N,6,0))</f>
        <v/>
      </c>
      <c r="D58" s="82" t="str">
        <f>IF(#REF!="","",VLOOKUP(#REF!,'Mitglieder BBU'!A:N,6,0))</f>
        <v>#REF!</v>
      </c>
      <c r="E58" s="82" t="str">
        <f>IF(#REF!="","",VLOOKUP(#REF!,'Mitglieder BBU'!A:N,6,0))</f>
        <v>#REF!</v>
      </c>
      <c r="F58" s="62"/>
      <c r="G58" s="75" t="str">
        <f>IFNA(VLOOKUP(B58,Datensammler!$B:$AA,24,0),"")</f>
        <v/>
      </c>
      <c r="H58" s="47"/>
      <c r="I58" s="47"/>
      <c r="J58" s="47"/>
      <c r="K58" s="76">
        <f t="shared" si="3"/>
        <v>0</v>
      </c>
      <c r="L58" s="75">
        <f>IFERROR('HI-LOW Berechnung'!AS57,0)</f>
        <v>0</v>
      </c>
      <c r="M58" s="47">
        <f>IFERROR('HI-LOW Berechnung'!AY57,0)</f>
        <v>0</v>
      </c>
      <c r="N58" s="76">
        <f>IFERROR('HI-LOW Berechnung'!BB57,0)</f>
        <v>0</v>
      </c>
      <c r="O58" s="75" t="str">
        <f>IFNA(VLOOKUP(B58,Datensammler!$B:$AA,25,0),"")</f>
        <v/>
      </c>
      <c r="P58" s="47"/>
      <c r="Q58" s="47"/>
      <c r="R58" s="47"/>
      <c r="S58" s="77">
        <f t="shared" si="4"/>
        <v>0</v>
      </c>
      <c r="T58" s="78" t="str">
        <f t="shared" ref="T58:U58" si="115">IF(G58=0,"",G58/O58)</f>
        <v>#DIV/0!</v>
      </c>
      <c r="U58" s="51" t="str">
        <f t="shared" si="115"/>
        <v/>
      </c>
      <c r="V58" s="51" t="str">
        <f t="shared" ref="V58:W58" si="116">IF(I58="","",I58/Q58)</f>
        <v/>
      </c>
      <c r="W58" s="51" t="str">
        <f t="shared" si="116"/>
        <v/>
      </c>
      <c r="X58" s="79" t="str">
        <f t="shared" si="7"/>
        <v/>
      </c>
      <c r="Y58" s="48">
        <v>53.0</v>
      </c>
      <c r="Z58" s="48">
        <f t="shared" si="8"/>
        <v>0</v>
      </c>
      <c r="AA58" s="48">
        <f t="shared" si="9"/>
        <v>0</v>
      </c>
      <c r="AB58" s="48">
        <v>53.0</v>
      </c>
      <c r="AC58" s="48">
        <f t="shared" si="10"/>
        <v>0</v>
      </c>
      <c r="AD58" s="48" t="str">
        <f t="shared" si="11"/>
        <v/>
      </c>
      <c r="AE58" s="72">
        <v>53.0</v>
      </c>
      <c r="AF58" s="83" t="str">
        <f t="shared" si="12"/>
        <v/>
      </c>
      <c r="AG58" s="72">
        <v>53.0</v>
      </c>
      <c r="AH58" s="48" t="str">
        <f t="shared" si="13"/>
        <v/>
      </c>
      <c r="AI58" s="84" t="str">
        <f t="shared" si="14"/>
        <v/>
      </c>
      <c r="AJ58" s="48"/>
      <c r="AK58" s="48"/>
      <c r="AL58" s="48"/>
      <c r="AM58" s="48"/>
      <c r="AN58" s="48"/>
      <c r="AO58" s="48"/>
      <c r="AP58" s="48"/>
      <c r="AQ58" s="48"/>
      <c r="AR58" s="48"/>
      <c r="AS58" s="48"/>
      <c r="AT58" s="48"/>
      <c r="AU58" s="48"/>
      <c r="AV58" s="48"/>
      <c r="AW58" s="48"/>
      <c r="AX58" s="48"/>
      <c r="AY58" s="48"/>
      <c r="AZ58" s="48"/>
      <c r="BA58" s="48"/>
      <c r="BB58" s="47"/>
      <c r="BC58" s="47"/>
      <c r="BD58" s="47"/>
      <c r="BE58" s="47"/>
      <c r="BF58" s="48"/>
      <c r="BG58" s="52"/>
      <c r="BH58" s="48"/>
      <c r="BI58" s="48"/>
      <c r="BJ58" s="48"/>
      <c r="BK58" s="48"/>
      <c r="BL58" s="48"/>
      <c r="BM58" s="48"/>
      <c r="BN58" s="48"/>
      <c r="BO58" s="48"/>
      <c r="BP58" s="85"/>
      <c r="BQ58" s="48"/>
    </row>
    <row r="59" ht="23.25" customHeight="1">
      <c r="A59" s="47">
        <v>54.0</v>
      </c>
      <c r="B59" s="87"/>
      <c r="C59" s="82" t="str">
        <f>IF(B59="","",VLOOKUP(B59,'Mitglieder BBU'!A:N,6,0))</f>
        <v/>
      </c>
      <c r="D59" s="82" t="str">
        <f>IF(#REF!="","",VLOOKUP(#REF!,'Mitglieder BBU'!A:N,6,0))</f>
        <v>#REF!</v>
      </c>
      <c r="E59" s="82" t="str">
        <f>IF(#REF!="","",VLOOKUP(#REF!,'Mitglieder BBU'!A:N,6,0))</f>
        <v>#REF!</v>
      </c>
      <c r="F59" s="82"/>
      <c r="G59" s="75" t="str">
        <f>IFNA(VLOOKUP(B59,Datensammler!$B:$AA,24,0),"")</f>
        <v/>
      </c>
      <c r="H59" s="47"/>
      <c r="I59" s="47"/>
      <c r="J59" s="47"/>
      <c r="K59" s="76">
        <f t="shared" si="3"/>
        <v>0</v>
      </c>
      <c r="L59" s="75">
        <f>IFERROR('HI-LOW Berechnung'!AS58,0)</f>
        <v>0</v>
      </c>
      <c r="M59" s="47">
        <f>IFERROR('HI-LOW Berechnung'!AY58,0)</f>
        <v>0</v>
      </c>
      <c r="N59" s="76">
        <f>IFERROR('HI-LOW Berechnung'!BB58,0)</f>
        <v>0</v>
      </c>
      <c r="O59" s="75" t="str">
        <f>IFNA(VLOOKUP(B59,Datensammler!$B:$AA,25,0),"")</f>
        <v/>
      </c>
      <c r="P59" s="47"/>
      <c r="Q59" s="47"/>
      <c r="R59" s="47"/>
      <c r="S59" s="77">
        <f t="shared" si="4"/>
        <v>0</v>
      </c>
      <c r="T59" s="78" t="str">
        <f t="shared" ref="T59:U59" si="117">IF(G59=0,"",G59/O59)</f>
        <v>#DIV/0!</v>
      </c>
      <c r="U59" s="51" t="str">
        <f t="shared" si="117"/>
        <v/>
      </c>
      <c r="V59" s="51" t="str">
        <f t="shared" ref="V59:W59" si="118">IF(I59="","",I59/Q59)</f>
        <v/>
      </c>
      <c r="W59" s="51" t="str">
        <f t="shared" si="118"/>
        <v/>
      </c>
      <c r="X59" s="79" t="str">
        <f t="shared" si="7"/>
        <v/>
      </c>
      <c r="Y59" s="48">
        <v>54.0</v>
      </c>
      <c r="Z59" s="48">
        <f t="shared" si="8"/>
        <v>0</v>
      </c>
      <c r="AA59" s="48">
        <f t="shared" si="9"/>
        <v>0</v>
      </c>
      <c r="AB59" s="48">
        <v>54.0</v>
      </c>
      <c r="AC59" s="48">
        <f t="shared" si="10"/>
        <v>0</v>
      </c>
      <c r="AD59" s="48" t="str">
        <f t="shared" si="11"/>
        <v/>
      </c>
      <c r="AE59" s="72">
        <v>54.0</v>
      </c>
      <c r="AF59" s="83" t="str">
        <f t="shared" si="12"/>
        <v/>
      </c>
      <c r="AG59" s="72">
        <v>54.0</v>
      </c>
      <c r="AH59" s="48" t="str">
        <f t="shared" si="13"/>
        <v/>
      </c>
      <c r="AI59" s="84" t="str">
        <f t="shared" si="14"/>
        <v/>
      </c>
      <c r="AJ59" s="48"/>
      <c r="AK59" s="48"/>
      <c r="AL59" s="48"/>
      <c r="AM59" s="48"/>
      <c r="AN59" s="48"/>
      <c r="AO59" s="48"/>
      <c r="AP59" s="48"/>
      <c r="AQ59" s="48"/>
      <c r="AR59" s="48"/>
      <c r="AS59" s="48"/>
      <c r="AT59" s="48"/>
      <c r="AU59" s="48"/>
      <c r="AV59" s="48"/>
      <c r="AW59" s="48"/>
      <c r="AX59" s="48"/>
      <c r="AY59" s="48"/>
      <c r="AZ59" s="48"/>
      <c r="BA59" s="48"/>
      <c r="BB59" s="47"/>
      <c r="BC59" s="47"/>
      <c r="BD59" s="47"/>
      <c r="BE59" s="47"/>
      <c r="BF59" s="48"/>
      <c r="BG59" s="52"/>
      <c r="BH59" s="48"/>
      <c r="BI59" s="48"/>
      <c r="BJ59" s="48"/>
      <c r="BK59" s="48"/>
      <c r="BL59" s="48"/>
      <c r="BM59" s="48"/>
      <c r="BN59" s="48"/>
      <c r="BO59" s="48"/>
      <c r="BP59" s="85"/>
      <c r="BQ59" s="48"/>
    </row>
    <row r="60" ht="23.25" customHeight="1">
      <c r="A60" s="47">
        <v>55.0</v>
      </c>
      <c r="B60" s="87"/>
      <c r="C60" s="82" t="str">
        <f>IF(B60="","",VLOOKUP(B60,'Mitglieder BBU'!A:N,6,0))</f>
        <v/>
      </c>
      <c r="D60" s="82" t="str">
        <f>IF(#REF!="","",VLOOKUP(#REF!,'Mitglieder BBU'!A:N,6,0))</f>
        <v>#REF!</v>
      </c>
      <c r="E60" s="82" t="str">
        <f>IF(#REF!="","",VLOOKUP(#REF!,'Mitglieder BBU'!A:N,6,0))</f>
        <v>#REF!</v>
      </c>
      <c r="F60" s="82"/>
      <c r="G60" s="75" t="str">
        <f>IFNA(VLOOKUP(B60,Datensammler!$B:$AA,24,0),"")</f>
        <v/>
      </c>
      <c r="H60" s="47"/>
      <c r="I60" s="47"/>
      <c r="J60" s="47"/>
      <c r="K60" s="76">
        <f t="shared" si="3"/>
        <v>0</v>
      </c>
      <c r="L60" s="75">
        <f>IFERROR('HI-LOW Berechnung'!AS59,0)</f>
        <v>0</v>
      </c>
      <c r="M60" s="47">
        <f>IFERROR('HI-LOW Berechnung'!AY59,0)</f>
        <v>0</v>
      </c>
      <c r="N60" s="76">
        <f>IFERROR('HI-LOW Berechnung'!BB59,0)</f>
        <v>0</v>
      </c>
      <c r="O60" s="75" t="str">
        <f>IFNA(VLOOKUP(B60,Datensammler!$B:$AA,25,0),"")</f>
        <v/>
      </c>
      <c r="P60" s="47"/>
      <c r="Q60" s="47"/>
      <c r="R60" s="47"/>
      <c r="S60" s="77">
        <f t="shared" si="4"/>
        <v>0</v>
      </c>
      <c r="T60" s="78" t="str">
        <f t="shared" ref="T60:U60" si="119">IF(G60=0,"",G60/O60)</f>
        <v>#DIV/0!</v>
      </c>
      <c r="U60" s="51" t="str">
        <f t="shared" si="119"/>
        <v/>
      </c>
      <c r="V60" s="51" t="str">
        <f t="shared" ref="V60:W60" si="120">IF(I60="","",I60/Q60)</f>
        <v/>
      </c>
      <c r="W60" s="51" t="str">
        <f t="shared" si="120"/>
        <v/>
      </c>
      <c r="X60" s="79" t="str">
        <f t="shared" si="7"/>
        <v/>
      </c>
      <c r="Y60" s="48">
        <v>55.0</v>
      </c>
      <c r="Z60" s="48">
        <f t="shared" si="8"/>
        <v>0</v>
      </c>
      <c r="AA60" s="48">
        <f t="shared" si="9"/>
        <v>0</v>
      </c>
      <c r="AB60" s="48">
        <v>55.0</v>
      </c>
      <c r="AC60" s="48">
        <f t="shared" si="10"/>
        <v>0</v>
      </c>
      <c r="AD60" s="48" t="str">
        <f t="shared" si="11"/>
        <v/>
      </c>
      <c r="AE60" s="72">
        <v>55.0</v>
      </c>
      <c r="AF60" s="83" t="str">
        <f t="shared" si="12"/>
        <v/>
      </c>
      <c r="AG60" s="72">
        <v>55.0</v>
      </c>
      <c r="AH60" s="48" t="str">
        <f t="shared" si="13"/>
        <v/>
      </c>
      <c r="AI60" s="84" t="str">
        <f t="shared" si="14"/>
        <v/>
      </c>
      <c r="AJ60" s="48"/>
      <c r="AK60" s="48"/>
      <c r="AL60" s="48"/>
      <c r="AM60" s="48"/>
      <c r="AN60" s="48"/>
      <c r="AO60" s="48"/>
      <c r="AP60" s="48"/>
      <c r="AQ60" s="48"/>
      <c r="AR60" s="48"/>
      <c r="AS60" s="48"/>
      <c r="AT60" s="48"/>
      <c r="AU60" s="48"/>
      <c r="AV60" s="48"/>
      <c r="AW60" s="48"/>
      <c r="AX60" s="48"/>
      <c r="AY60" s="48"/>
      <c r="AZ60" s="48"/>
      <c r="BA60" s="48"/>
      <c r="BB60" s="47"/>
      <c r="BC60" s="47"/>
      <c r="BD60" s="47"/>
      <c r="BE60" s="47"/>
      <c r="BF60" s="48"/>
      <c r="BG60" s="52"/>
      <c r="BH60" s="48"/>
      <c r="BI60" s="48"/>
      <c r="BJ60" s="48"/>
      <c r="BK60" s="48"/>
      <c r="BL60" s="48"/>
      <c r="BM60" s="48"/>
      <c r="BN60" s="48"/>
      <c r="BO60" s="48"/>
      <c r="BP60" s="85"/>
      <c r="BQ60" s="48"/>
    </row>
    <row r="61" ht="23.25" customHeight="1">
      <c r="A61" s="47">
        <v>56.0</v>
      </c>
      <c r="B61" s="87"/>
      <c r="C61" s="82" t="str">
        <f>IF(B61="","",VLOOKUP(B61,'Mitglieder BBU'!A:N,6,0))</f>
        <v/>
      </c>
      <c r="D61" s="82" t="str">
        <f>IF(#REF!="","",VLOOKUP(#REF!,'Mitglieder BBU'!A:N,6,0))</f>
        <v>#REF!</v>
      </c>
      <c r="E61" s="82" t="str">
        <f>IF(#REF!="","",VLOOKUP(#REF!,'Mitglieder BBU'!A:N,6,0))</f>
        <v>#REF!</v>
      </c>
      <c r="F61" s="62"/>
      <c r="G61" s="75" t="str">
        <f>IFNA(VLOOKUP(B61,Datensammler!$B:$AA,24,0),"")</f>
        <v/>
      </c>
      <c r="H61" s="47"/>
      <c r="I61" s="47"/>
      <c r="J61" s="47"/>
      <c r="K61" s="76">
        <f t="shared" si="3"/>
        <v>0</v>
      </c>
      <c r="L61" s="75">
        <f>IFERROR('HI-LOW Berechnung'!AS60,0)</f>
        <v>0</v>
      </c>
      <c r="M61" s="47">
        <f>IFERROR('HI-LOW Berechnung'!AY60,0)</f>
        <v>0</v>
      </c>
      <c r="N61" s="76">
        <f>IFERROR('HI-LOW Berechnung'!BB60,0)</f>
        <v>0</v>
      </c>
      <c r="O61" s="75" t="str">
        <f>IFNA(VLOOKUP(B61,Datensammler!$B:$AA,25,0),"")</f>
        <v/>
      </c>
      <c r="P61" s="47"/>
      <c r="Q61" s="47"/>
      <c r="R61" s="47"/>
      <c r="S61" s="77">
        <f t="shared" si="4"/>
        <v>0</v>
      </c>
      <c r="T61" s="78" t="str">
        <f t="shared" ref="T61:U61" si="121">IF(G61=0,"",G61/O61)</f>
        <v>#DIV/0!</v>
      </c>
      <c r="U61" s="51" t="str">
        <f t="shared" si="121"/>
        <v/>
      </c>
      <c r="V61" s="51" t="str">
        <f t="shared" ref="V61:W61" si="122">IF(I61="","",I61/Q61)</f>
        <v/>
      </c>
      <c r="W61" s="51" t="str">
        <f t="shared" si="122"/>
        <v/>
      </c>
      <c r="X61" s="79" t="str">
        <f t="shared" si="7"/>
        <v/>
      </c>
      <c r="Y61" s="48">
        <v>56.0</v>
      </c>
      <c r="Z61" s="48">
        <f t="shared" si="8"/>
        <v>0</v>
      </c>
      <c r="AA61" s="48">
        <f t="shared" si="9"/>
        <v>0</v>
      </c>
      <c r="AB61" s="48">
        <v>56.0</v>
      </c>
      <c r="AC61" s="48">
        <f t="shared" si="10"/>
        <v>0</v>
      </c>
      <c r="AD61" s="48" t="str">
        <f t="shared" si="11"/>
        <v/>
      </c>
      <c r="AE61" s="72">
        <v>56.0</v>
      </c>
      <c r="AF61" s="83" t="str">
        <f t="shared" si="12"/>
        <v/>
      </c>
      <c r="AG61" s="72">
        <v>56.0</v>
      </c>
      <c r="AH61" s="48" t="str">
        <f t="shared" si="13"/>
        <v/>
      </c>
      <c r="AI61" s="84" t="str">
        <f t="shared" si="14"/>
        <v/>
      </c>
      <c r="AJ61" s="48"/>
      <c r="AK61" s="48"/>
      <c r="AL61" s="48"/>
      <c r="AM61" s="48"/>
      <c r="AN61" s="48"/>
      <c r="AO61" s="48"/>
      <c r="AP61" s="48"/>
      <c r="AQ61" s="48"/>
      <c r="AR61" s="48"/>
      <c r="AS61" s="48"/>
      <c r="AT61" s="48"/>
      <c r="AU61" s="48"/>
      <c r="AV61" s="48"/>
      <c r="AW61" s="48"/>
      <c r="AX61" s="48"/>
      <c r="AY61" s="48"/>
      <c r="AZ61" s="48"/>
      <c r="BA61" s="48"/>
      <c r="BB61" s="47"/>
      <c r="BC61" s="47"/>
      <c r="BD61" s="47"/>
      <c r="BE61" s="47"/>
      <c r="BF61" s="48"/>
      <c r="BG61" s="52"/>
      <c r="BH61" s="48"/>
      <c r="BI61" s="48"/>
      <c r="BJ61" s="48"/>
      <c r="BK61" s="48"/>
      <c r="BL61" s="48"/>
      <c r="BM61" s="48"/>
      <c r="BN61" s="48"/>
      <c r="BO61" s="48"/>
      <c r="BP61" s="85"/>
      <c r="BQ61" s="48"/>
    </row>
    <row r="62" ht="23.25" customHeight="1">
      <c r="A62" s="47">
        <v>57.0</v>
      </c>
      <c r="B62" s="87"/>
      <c r="C62" s="82" t="str">
        <f>IF(B62="","",VLOOKUP(B62,'Mitglieder BBU'!A:N,6,0))</f>
        <v/>
      </c>
      <c r="D62" s="82" t="str">
        <f>IF(#REF!="","",VLOOKUP(#REF!,'Mitglieder BBU'!A:N,6,0))</f>
        <v>#REF!</v>
      </c>
      <c r="E62" s="82" t="str">
        <f>IF(#REF!="","",VLOOKUP(#REF!,'Mitglieder BBU'!A:N,6,0))</f>
        <v>#REF!</v>
      </c>
      <c r="F62" s="82"/>
      <c r="G62" s="75" t="str">
        <f>IFNA(VLOOKUP(B62,Datensammler!$B:$AA,24,0),"")</f>
        <v/>
      </c>
      <c r="H62" s="47"/>
      <c r="I62" s="47"/>
      <c r="J62" s="47"/>
      <c r="K62" s="76">
        <f t="shared" si="3"/>
        <v>0</v>
      </c>
      <c r="L62" s="75">
        <f>IFERROR('HI-LOW Berechnung'!AS61,0)</f>
        <v>0</v>
      </c>
      <c r="M62" s="47">
        <f>IFERROR('HI-LOW Berechnung'!AY61,0)</f>
        <v>0</v>
      </c>
      <c r="N62" s="76">
        <f>IFERROR('HI-LOW Berechnung'!BB61,0)</f>
        <v>0</v>
      </c>
      <c r="O62" s="75" t="str">
        <f>IFNA(VLOOKUP(B62,Datensammler!$B:$AA,25,0),"")</f>
        <v/>
      </c>
      <c r="P62" s="47"/>
      <c r="Q62" s="47"/>
      <c r="R62" s="47"/>
      <c r="S62" s="77">
        <f t="shared" si="4"/>
        <v>0</v>
      </c>
      <c r="T62" s="78" t="str">
        <f t="shared" ref="T62:U62" si="123">IF(G62=0,"",G62/O62)</f>
        <v>#DIV/0!</v>
      </c>
      <c r="U62" s="51" t="str">
        <f t="shared" si="123"/>
        <v/>
      </c>
      <c r="V62" s="51" t="str">
        <f t="shared" ref="V62:W62" si="124">IF(I62="","",I62/Q62)</f>
        <v/>
      </c>
      <c r="W62" s="51" t="str">
        <f t="shared" si="124"/>
        <v/>
      </c>
      <c r="X62" s="79" t="str">
        <f t="shared" si="7"/>
        <v/>
      </c>
      <c r="Y62" s="48">
        <v>57.0</v>
      </c>
      <c r="Z62" s="48">
        <f t="shared" si="8"/>
        <v>0</v>
      </c>
      <c r="AA62" s="48">
        <f t="shared" si="9"/>
        <v>0</v>
      </c>
      <c r="AB62" s="48">
        <v>57.0</v>
      </c>
      <c r="AC62" s="48">
        <f t="shared" si="10"/>
        <v>0</v>
      </c>
      <c r="AD62" s="48" t="str">
        <f t="shared" si="11"/>
        <v/>
      </c>
      <c r="AE62" s="72">
        <v>57.0</v>
      </c>
      <c r="AF62" s="83" t="str">
        <f t="shared" si="12"/>
        <v/>
      </c>
      <c r="AG62" s="72">
        <v>57.0</v>
      </c>
      <c r="AH62" s="48" t="str">
        <f t="shared" si="13"/>
        <v/>
      </c>
      <c r="AI62" s="84" t="str">
        <f t="shared" si="14"/>
        <v/>
      </c>
      <c r="AJ62" s="48"/>
      <c r="AK62" s="48"/>
      <c r="AL62" s="48"/>
      <c r="AM62" s="48"/>
      <c r="AN62" s="48"/>
      <c r="AO62" s="48"/>
      <c r="AP62" s="48"/>
      <c r="AQ62" s="48"/>
      <c r="AR62" s="48"/>
      <c r="AS62" s="48"/>
      <c r="AT62" s="48"/>
      <c r="AU62" s="48"/>
      <c r="AV62" s="48"/>
      <c r="AW62" s="48"/>
      <c r="AX62" s="48"/>
      <c r="AY62" s="48"/>
      <c r="AZ62" s="48"/>
      <c r="BA62" s="48"/>
      <c r="BB62" s="47"/>
      <c r="BC62" s="47"/>
      <c r="BD62" s="47"/>
      <c r="BE62" s="47"/>
      <c r="BF62" s="48"/>
      <c r="BG62" s="52"/>
      <c r="BH62" s="48"/>
      <c r="BI62" s="48"/>
      <c r="BJ62" s="48"/>
      <c r="BK62" s="48"/>
      <c r="BL62" s="48"/>
      <c r="BM62" s="48"/>
      <c r="BN62" s="48"/>
      <c r="BO62" s="48"/>
      <c r="BP62" s="85"/>
      <c r="BQ62" s="48"/>
    </row>
    <row r="63" ht="23.25" customHeight="1">
      <c r="A63" s="47">
        <v>58.0</v>
      </c>
      <c r="B63" s="87"/>
      <c r="C63" s="82" t="str">
        <f>IF(B63="","",VLOOKUP(B63,'Mitglieder BBU'!A:N,6,0))</f>
        <v/>
      </c>
      <c r="D63" s="82" t="str">
        <f>IF(#REF!="","",VLOOKUP(#REF!,'Mitglieder BBU'!A:N,6,0))</f>
        <v>#REF!</v>
      </c>
      <c r="E63" s="82" t="str">
        <f>IF(#REF!="","",VLOOKUP(#REF!,'Mitglieder BBU'!A:N,6,0))</f>
        <v>#REF!</v>
      </c>
      <c r="F63" s="82"/>
      <c r="G63" s="75" t="str">
        <f>IFNA(VLOOKUP(B63,Datensammler!$B:$AA,24,0),"")</f>
        <v/>
      </c>
      <c r="H63" s="47"/>
      <c r="I63" s="47"/>
      <c r="J63" s="47"/>
      <c r="K63" s="76">
        <f t="shared" si="3"/>
        <v>0</v>
      </c>
      <c r="L63" s="75">
        <f>IFERROR('HI-LOW Berechnung'!AS62,0)</f>
        <v>0</v>
      </c>
      <c r="M63" s="47">
        <f>IFERROR('HI-LOW Berechnung'!AY62,0)</f>
        <v>0</v>
      </c>
      <c r="N63" s="76">
        <f>IFERROR('HI-LOW Berechnung'!BB62,0)</f>
        <v>0</v>
      </c>
      <c r="O63" s="75" t="str">
        <f>IFNA(VLOOKUP(B63,Datensammler!$B:$AA,25,0),"")</f>
        <v/>
      </c>
      <c r="P63" s="47"/>
      <c r="Q63" s="47"/>
      <c r="R63" s="47"/>
      <c r="S63" s="77">
        <f t="shared" si="4"/>
        <v>0</v>
      </c>
      <c r="T63" s="78" t="str">
        <f t="shared" ref="T63:U63" si="125">IF(G63=0,"",G63/O63)</f>
        <v>#DIV/0!</v>
      </c>
      <c r="U63" s="51" t="str">
        <f t="shared" si="125"/>
        <v/>
      </c>
      <c r="V63" s="51" t="str">
        <f t="shared" ref="V63:W63" si="126">IF(I63="","",I63/Q63)</f>
        <v/>
      </c>
      <c r="W63" s="51" t="str">
        <f t="shared" si="126"/>
        <v/>
      </c>
      <c r="X63" s="79" t="str">
        <f t="shared" si="7"/>
        <v/>
      </c>
      <c r="Y63" s="48">
        <v>58.0</v>
      </c>
      <c r="Z63" s="48">
        <f t="shared" si="8"/>
        <v>0</v>
      </c>
      <c r="AA63" s="48">
        <f t="shared" si="9"/>
        <v>0</v>
      </c>
      <c r="AB63" s="48">
        <v>58.0</v>
      </c>
      <c r="AC63" s="48">
        <f t="shared" si="10"/>
        <v>0</v>
      </c>
      <c r="AD63" s="48" t="str">
        <f t="shared" si="11"/>
        <v/>
      </c>
      <c r="AE63" s="72">
        <v>58.0</v>
      </c>
      <c r="AF63" s="83" t="str">
        <f t="shared" si="12"/>
        <v/>
      </c>
      <c r="AG63" s="72">
        <v>58.0</v>
      </c>
      <c r="AH63" s="48" t="str">
        <f t="shared" si="13"/>
        <v/>
      </c>
      <c r="AI63" s="84" t="str">
        <f t="shared" si="14"/>
        <v/>
      </c>
      <c r="AJ63" s="48"/>
      <c r="AK63" s="48"/>
      <c r="AL63" s="48"/>
      <c r="AM63" s="48"/>
      <c r="AN63" s="48"/>
      <c r="AO63" s="48"/>
      <c r="AP63" s="48"/>
      <c r="AQ63" s="48"/>
      <c r="AR63" s="48"/>
      <c r="AS63" s="48"/>
      <c r="AT63" s="48"/>
      <c r="AU63" s="48"/>
      <c r="AV63" s="48"/>
      <c r="AW63" s="48"/>
      <c r="AX63" s="48"/>
      <c r="AY63" s="48"/>
      <c r="AZ63" s="48"/>
      <c r="BA63" s="48"/>
      <c r="BB63" s="47"/>
      <c r="BC63" s="47"/>
      <c r="BD63" s="47"/>
      <c r="BE63" s="47"/>
      <c r="BF63" s="48"/>
      <c r="BG63" s="52"/>
      <c r="BH63" s="48"/>
      <c r="BI63" s="48"/>
      <c r="BJ63" s="48"/>
      <c r="BK63" s="48"/>
      <c r="BL63" s="48"/>
      <c r="BM63" s="48"/>
      <c r="BN63" s="48"/>
      <c r="BO63" s="48"/>
      <c r="BP63" s="85"/>
      <c r="BQ63" s="48"/>
    </row>
    <row r="64" ht="23.25" customHeight="1">
      <c r="A64" s="47">
        <v>59.0</v>
      </c>
      <c r="B64" s="87"/>
      <c r="C64" s="82" t="str">
        <f>IF(B64="","",VLOOKUP(B64,'Mitglieder BBU'!A:N,6,0))</f>
        <v/>
      </c>
      <c r="D64" s="82" t="str">
        <f>IF(#REF!="","",VLOOKUP(#REF!,'Mitglieder BBU'!A:N,6,0))</f>
        <v>#REF!</v>
      </c>
      <c r="E64" s="82" t="str">
        <f>IF(#REF!="","",VLOOKUP(#REF!,'Mitglieder BBU'!A:N,6,0))</f>
        <v>#REF!</v>
      </c>
      <c r="F64" s="62"/>
      <c r="G64" s="75" t="str">
        <f>IFNA(VLOOKUP(B64,Datensammler!$B:$AA,24,0),"")</f>
        <v/>
      </c>
      <c r="H64" s="47"/>
      <c r="I64" s="47"/>
      <c r="J64" s="47"/>
      <c r="K64" s="76">
        <f t="shared" si="3"/>
        <v>0</v>
      </c>
      <c r="L64" s="75">
        <f>IFERROR('HI-LOW Berechnung'!AS63,0)</f>
        <v>0</v>
      </c>
      <c r="M64" s="47">
        <f>IFERROR('HI-LOW Berechnung'!AY63,0)</f>
        <v>0</v>
      </c>
      <c r="N64" s="76">
        <f>IFERROR('HI-LOW Berechnung'!BB63,0)</f>
        <v>0</v>
      </c>
      <c r="O64" s="75" t="str">
        <f>IFNA(VLOOKUP(B64,Datensammler!$B:$AA,25,0),"")</f>
        <v/>
      </c>
      <c r="P64" s="47"/>
      <c r="Q64" s="47"/>
      <c r="R64" s="47"/>
      <c r="S64" s="77">
        <f t="shared" si="4"/>
        <v>0</v>
      </c>
      <c r="T64" s="78" t="str">
        <f t="shared" ref="T64:U64" si="127">IF(G64=0,"",G64/O64)</f>
        <v>#DIV/0!</v>
      </c>
      <c r="U64" s="51" t="str">
        <f t="shared" si="127"/>
        <v/>
      </c>
      <c r="V64" s="51" t="str">
        <f t="shared" ref="V64:W64" si="128">IF(I64="","",I64/Q64)</f>
        <v/>
      </c>
      <c r="W64" s="51" t="str">
        <f t="shared" si="128"/>
        <v/>
      </c>
      <c r="X64" s="79" t="str">
        <f t="shared" si="7"/>
        <v/>
      </c>
      <c r="Y64" s="48">
        <v>59.0</v>
      </c>
      <c r="Z64" s="48">
        <f t="shared" si="8"/>
        <v>0</v>
      </c>
      <c r="AA64" s="48">
        <f t="shared" si="9"/>
        <v>0</v>
      </c>
      <c r="AB64" s="48">
        <v>59.0</v>
      </c>
      <c r="AC64" s="48">
        <f t="shared" si="10"/>
        <v>0</v>
      </c>
      <c r="AD64" s="48" t="str">
        <f t="shared" si="11"/>
        <v/>
      </c>
      <c r="AE64" s="72">
        <v>59.0</v>
      </c>
      <c r="AF64" s="83" t="str">
        <f t="shared" si="12"/>
        <v/>
      </c>
      <c r="AG64" s="72">
        <v>59.0</v>
      </c>
      <c r="AH64" s="48" t="str">
        <f t="shared" si="13"/>
        <v/>
      </c>
      <c r="AI64" s="84" t="str">
        <f t="shared" si="14"/>
        <v/>
      </c>
      <c r="AJ64" s="48"/>
      <c r="AK64" s="48"/>
      <c r="AL64" s="48"/>
      <c r="AM64" s="48"/>
      <c r="AN64" s="48"/>
      <c r="AO64" s="48"/>
      <c r="AP64" s="48"/>
      <c r="AQ64" s="48"/>
      <c r="AR64" s="48"/>
      <c r="AS64" s="48"/>
      <c r="AT64" s="48"/>
      <c r="AU64" s="48"/>
      <c r="AV64" s="48"/>
      <c r="AW64" s="48"/>
      <c r="AX64" s="48"/>
      <c r="AY64" s="48"/>
      <c r="AZ64" s="48"/>
      <c r="BA64" s="48"/>
      <c r="BB64" s="47"/>
      <c r="BC64" s="47"/>
      <c r="BD64" s="47"/>
      <c r="BE64" s="47"/>
      <c r="BF64" s="48"/>
      <c r="BG64" s="52"/>
      <c r="BH64" s="48"/>
      <c r="BI64" s="48"/>
      <c r="BJ64" s="48"/>
      <c r="BK64" s="48"/>
      <c r="BL64" s="48"/>
      <c r="BM64" s="48"/>
      <c r="BN64" s="48"/>
      <c r="BO64" s="48"/>
      <c r="BP64" s="85"/>
      <c r="BQ64" s="48"/>
    </row>
    <row r="65" ht="23.25" customHeight="1">
      <c r="A65" s="47">
        <v>60.0</v>
      </c>
      <c r="B65" s="87"/>
      <c r="C65" s="82" t="str">
        <f>IF(B65="","",VLOOKUP(B65,'Mitglieder BBU'!A:N,6,0))</f>
        <v/>
      </c>
      <c r="D65" s="82" t="str">
        <f>IF(#REF!="","",VLOOKUP(#REF!,'Mitglieder BBU'!A:N,6,0))</f>
        <v>#REF!</v>
      </c>
      <c r="E65" s="82" t="str">
        <f>IF(#REF!="","",VLOOKUP(#REF!,'Mitglieder BBU'!A:N,6,0))</f>
        <v>#REF!</v>
      </c>
      <c r="F65" s="82"/>
      <c r="G65" s="75" t="str">
        <f>IFNA(VLOOKUP(B65,Datensammler!$B:$AA,24,0),"")</f>
        <v/>
      </c>
      <c r="H65" s="47"/>
      <c r="I65" s="47"/>
      <c r="J65" s="47"/>
      <c r="K65" s="76">
        <f t="shared" si="3"/>
        <v>0</v>
      </c>
      <c r="L65" s="75">
        <f>IFERROR('HI-LOW Berechnung'!AS64,0)</f>
        <v>0</v>
      </c>
      <c r="M65" s="47">
        <f>IFERROR('HI-LOW Berechnung'!AY64,0)</f>
        <v>0</v>
      </c>
      <c r="N65" s="76">
        <f>IFERROR('HI-LOW Berechnung'!BB64,0)</f>
        <v>0</v>
      </c>
      <c r="O65" s="75" t="str">
        <f>IFNA(VLOOKUP(B65,Datensammler!$B:$AA,25,0),"")</f>
        <v/>
      </c>
      <c r="P65" s="47"/>
      <c r="Q65" s="47"/>
      <c r="R65" s="47"/>
      <c r="S65" s="77">
        <f t="shared" si="4"/>
        <v>0</v>
      </c>
      <c r="T65" s="78" t="str">
        <f t="shared" ref="T65:U65" si="129">IF(G65=0,"",G65/O65)</f>
        <v>#DIV/0!</v>
      </c>
      <c r="U65" s="51" t="str">
        <f t="shared" si="129"/>
        <v/>
      </c>
      <c r="V65" s="51" t="str">
        <f t="shared" ref="V65:W65" si="130">IF(I65="","",I65/Q65)</f>
        <v/>
      </c>
      <c r="W65" s="51" t="str">
        <f t="shared" si="130"/>
        <v/>
      </c>
      <c r="X65" s="79" t="str">
        <f t="shared" si="7"/>
        <v/>
      </c>
      <c r="Y65" s="48">
        <v>60.0</v>
      </c>
      <c r="Z65" s="48">
        <f t="shared" si="8"/>
        <v>0</v>
      </c>
      <c r="AA65" s="48">
        <f t="shared" si="9"/>
        <v>0</v>
      </c>
      <c r="AB65" s="48">
        <v>60.0</v>
      </c>
      <c r="AC65" s="48">
        <f t="shared" si="10"/>
        <v>0</v>
      </c>
      <c r="AD65" s="48" t="str">
        <f t="shared" si="11"/>
        <v/>
      </c>
      <c r="AE65" s="72">
        <v>60.0</v>
      </c>
      <c r="AF65" s="83" t="str">
        <f t="shared" si="12"/>
        <v/>
      </c>
      <c r="AG65" s="72">
        <v>60.0</v>
      </c>
      <c r="AH65" s="48" t="str">
        <f t="shared" si="13"/>
        <v/>
      </c>
      <c r="AI65" s="84" t="str">
        <f t="shared" si="14"/>
        <v/>
      </c>
      <c r="AJ65" s="48"/>
      <c r="AK65" s="48"/>
      <c r="AL65" s="48"/>
      <c r="AM65" s="48"/>
      <c r="AN65" s="48"/>
      <c r="AO65" s="48"/>
      <c r="AP65" s="48"/>
      <c r="AQ65" s="48"/>
      <c r="AR65" s="48"/>
      <c r="AS65" s="48"/>
      <c r="AT65" s="48"/>
      <c r="AU65" s="48"/>
      <c r="AV65" s="48"/>
      <c r="AW65" s="48"/>
      <c r="AX65" s="48"/>
      <c r="AY65" s="48"/>
      <c r="AZ65" s="48"/>
      <c r="BA65" s="48"/>
      <c r="BB65" s="47"/>
      <c r="BC65" s="47"/>
      <c r="BD65" s="47"/>
      <c r="BE65" s="47"/>
      <c r="BF65" s="48"/>
      <c r="BG65" s="52"/>
      <c r="BH65" s="48"/>
      <c r="BI65" s="48"/>
      <c r="BJ65" s="48"/>
      <c r="BK65" s="48"/>
      <c r="BL65" s="48"/>
      <c r="BM65" s="48"/>
      <c r="BN65" s="48"/>
      <c r="BO65" s="48"/>
      <c r="BP65" s="85"/>
      <c r="BQ65" s="48"/>
    </row>
    <row r="66" ht="23.25" customHeight="1">
      <c r="A66" s="47">
        <v>61.0</v>
      </c>
      <c r="B66" s="88"/>
      <c r="C66" s="82" t="str">
        <f>IF(B66="","",VLOOKUP(B66,'Mitglieder BBU'!A:N,6,0))</f>
        <v/>
      </c>
      <c r="D66" s="82" t="str">
        <f>IF(#REF!="","",VLOOKUP(#REF!,'Mitglieder BBU'!A:N,6,0))</f>
        <v>#REF!</v>
      </c>
      <c r="E66" s="82" t="str">
        <f>IF(#REF!="","",VLOOKUP(#REF!,'Mitglieder BBU'!A:N,6,0))</f>
        <v>#REF!</v>
      </c>
      <c r="F66" s="82"/>
      <c r="G66" s="75" t="str">
        <f>IFNA(VLOOKUP(B66,Datensammler!$B:$AA,24,0),"")</f>
        <v/>
      </c>
      <c r="H66" s="47"/>
      <c r="I66" s="47"/>
      <c r="J66" s="47"/>
      <c r="K66" s="76">
        <f t="shared" si="3"/>
        <v>0</v>
      </c>
      <c r="L66" s="75">
        <f>IFERROR('HI-LOW Berechnung'!AS65,0)</f>
        <v>0</v>
      </c>
      <c r="M66" s="47">
        <f>IFERROR('HI-LOW Berechnung'!AY65,0)</f>
        <v>0</v>
      </c>
      <c r="N66" s="76">
        <f>IFERROR('HI-LOW Berechnung'!BB65,0)</f>
        <v>0</v>
      </c>
      <c r="O66" s="75" t="str">
        <f>IFNA(VLOOKUP(B66,Datensammler!$B:$AA,25,0),"")</f>
        <v/>
      </c>
      <c r="P66" s="47"/>
      <c r="Q66" s="47"/>
      <c r="R66" s="47"/>
      <c r="S66" s="77">
        <f t="shared" si="4"/>
        <v>0</v>
      </c>
      <c r="T66" s="78" t="str">
        <f t="shared" ref="T66:U66" si="131">IF(G66=0,"",G66/O66)</f>
        <v>#DIV/0!</v>
      </c>
      <c r="U66" s="51" t="str">
        <f t="shared" si="131"/>
        <v/>
      </c>
      <c r="V66" s="51" t="str">
        <f t="shared" ref="V66:W66" si="132">IF(I66="","",I66/Q66)</f>
        <v/>
      </c>
      <c r="W66" s="51" t="str">
        <f t="shared" si="132"/>
        <v/>
      </c>
      <c r="X66" s="79" t="str">
        <f t="shared" si="7"/>
        <v/>
      </c>
      <c r="Y66" s="48">
        <v>61.0</v>
      </c>
      <c r="Z66" s="48">
        <f t="shared" si="8"/>
        <v>0</v>
      </c>
      <c r="AA66" s="48">
        <f t="shared" si="9"/>
        <v>0</v>
      </c>
      <c r="AB66" s="48">
        <v>61.0</v>
      </c>
      <c r="AC66" s="48">
        <f t="shared" si="10"/>
        <v>0</v>
      </c>
      <c r="AD66" s="48" t="str">
        <f t="shared" si="11"/>
        <v/>
      </c>
      <c r="AE66" s="72">
        <v>61.0</v>
      </c>
      <c r="AF66" s="83" t="str">
        <f t="shared" si="12"/>
        <v/>
      </c>
      <c r="AG66" s="72">
        <v>61.0</v>
      </c>
      <c r="AH66" s="48" t="str">
        <f t="shared" si="13"/>
        <v/>
      </c>
      <c r="AI66" s="84" t="str">
        <f t="shared" si="14"/>
        <v/>
      </c>
      <c r="AJ66" s="48"/>
      <c r="AK66" s="48"/>
      <c r="AL66" s="48"/>
      <c r="AM66" s="48"/>
      <c r="AN66" s="48"/>
      <c r="AO66" s="48"/>
      <c r="AP66" s="48"/>
      <c r="AQ66" s="48"/>
      <c r="AR66" s="48"/>
      <c r="AS66" s="48"/>
      <c r="AT66" s="48"/>
      <c r="AU66" s="48"/>
      <c r="AV66" s="48"/>
      <c r="AW66" s="48"/>
      <c r="AX66" s="48"/>
      <c r="AY66" s="48"/>
      <c r="AZ66" s="48"/>
      <c r="BA66" s="48"/>
      <c r="BB66" s="47"/>
      <c r="BC66" s="47"/>
      <c r="BD66" s="47"/>
      <c r="BE66" s="47"/>
      <c r="BF66" s="48"/>
      <c r="BG66" s="52"/>
      <c r="BH66" s="48"/>
      <c r="BI66" s="48"/>
      <c r="BJ66" s="48"/>
      <c r="BK66" s="48"/>
      <c r="BL66" s="48"/>
      <c r="BM66" s="48"/>
      <c r="BN66" s="48"/>
      <c r="BO66" s="48"/>
      <c r="BP66" s="85"/>
      <c r="BQ66" s="48"/>
    </row>
    <row r="67" ht="23.25" customHeight="1">
      <c r="A67" s="47">
        <v>62.0</v>
      </c>
      <c r="B67" s="88"/>
      <c r="C67" s="82" t="str">
        <f>IF(B67="","",VLOOKUP(B67,'Mitglieder BBU'!A:N,6,0))</f>
        <v/>
      </c>
      <c r="D67" s="82" t="str">
        <f>IF(#REF!="","",VLOOKUP(#REF!,'Mitglieder BBU'!A:N,6,0))</f>
        <v>#REF!</v>
      </c>
      <c r="E67" s="82" t="str">
        <f>IF(#REF!="","",VLOOKUP(#REF!,'Mitglieder BBU'!A:N,6,0))</f>
        <v>#REF!</v>
      </c>
      <c r="F67" s="82"/>
      <c r="G67" s="75" t="str">
        <f>IFNA(VLOOKUP(B67,Datensammler!$B:$AA,24,0),"")</f>
        <v/>
      </c>
      <c r="H67" s="47"/>
      <c r="I67" s="47"/>
      <c r="J67" s="47"/>
      <c r="K67" s="76">
        <f t="shared" si="3"/>
        <v>0</v>
      </c>
      <c r="L67" s="75">
        <f>IFERROR('HI-LOW Berechnung'!AS66,0)</f>
        <v>0</v>
      </c>
      <c r="M67" s="47">
        <f>IFERROR('HI-LOW Berechnung'!AY66,0)</f>
        <v>0</v>
      </c>
      <c r="N67" s="76">
        <f>IFERROR('HI-LOW Berechnung'!BB66,0)</f>
        <v>0</v>
      </c>
      <c r="O67" s="75" t="str">
        <f>IFNA(VLOOKUP(B67,Datensammler!$B:$AA,25,0),"")</f>
        <v/>
      </c>
      <c r="P67" s="47"/>
      <c r="Q67" s="47"/>
      <c r="R67" s="47"/>
      <c r="S67" s="77">
        <f t="shared" si="4"/>
        <v>0</v>
      </c>
      <c r="T67" s="78" t="str">
        <f t="shared" ref="T67:U67" si="133">IF(G67=0,"",G67/O67)</f>
        <v>#DIV/0!</v>
      </c>
      <c r="U67" s="51" t="str">
        <f t="shared" si="133"/>
        <v/>
      </c>
      <c r="V67" s="51" t="str">
        <f t="shared" ref="V67:W67" si="134">IF(I67="","",I67/Q67)</f>
        <v/>
      </c>
      <c r="W67" s="51" t="str">
        <f t="shared" si="134"/>
        <v/>
      </c>
      <c r="X67" s="79" t="str">
        <f t="shared" si="7"/>
        <v/>
      </c>
      <c r="Y67" s="48">
        <v>62.0</v>
      </c>
      <c r="Z67" s="48">
        <f t="shared" si="8"/>
        <v>0</v>
      </c>
      <c r="AA67" s="48">
        <f t="shared" si="9"/>
        <v>0</v>
      </c>
      <c r="AB67" s="48">
        <v>62.0</v>
      </c>
      <c r="AC67" s="48">
        <f t="shared" si="10"/>
        <v>0</v>
      </c>
      <c r="AD67" s="48" t="str">
        <f t="shared" si="11"/>
        <v/>
      </c>
      <c r="AE67" s="72">
        <v>62.0</v>
      </c>
      <c r="AF67" s="83" t="str">
        <f t="shared" si="12"/>
        <v/>
      </c>
      <c r="AG67" s="72">
        <v>62.0</v>
      </c>
      <c r="AH67" s="48" t="str">
        <f t="shared" si="13"/>
        <v/>
      </c>
      <c r="AI67" s="84" t="str">
        <f t="shared" si="14"/>
        <v/>
      </c>
      <c r="AJ67" s="48"/>
      <c r="AK67" s="48"/>
      <c r="AL67" s="48"/>
      <c r="AM67" s="48"/>
      <c r="AN67" s="48"/>
      <c r="AO67" s="48"/>
      <c r="AP67" s="48"/>
      <c r="AQ67" s="48"/>
      <c r="AR67" s="48"/>
      <c r="AS67" s="48"/>
      <c r="AT67" s="48"/>
      <c r="AU67" s="48"/>
      <c r="AV67" s="48"/>
      <c r="AW67" s="48"/>
      <c r="AX67" s="48"/>
      <c r="AY67" s="48"/>
      <c r="AZ67" s="48"/>
      <c r="BA67" s="48"/>
      <c r="BB67" s="47"/>
      <c r="BC67" s="47"/>
      <c r="BD67" s="47"/>
      <c r="BE67" s="47"/>
      <c r="BF67" s="48"/>
      <c r="BG67" s="52"/>
      <c r="BH67" s="48"/>
      <c r="BI67" s="48"/>
      <c r="BJ67" s="48"/>
      <c r="BK67" s="48"/>
      <c r="BL67" s="48"/>
      <c r="BM67" s="48"/>
      <c r="BN67" s="48"/>
      <c r="BO67" s="48"/>
      <c r="BP67" s="85"/>
      <c r="BQ67" s="48"/>
    </row>
    <row r="68" ht="23.25" customHeight="1">
      <c r="A68" s="47">
        <v>63.0</v>
      </c>
      <c r="B68" s="88"/>
      <c r="C68" s="82" t="str">
        <f>IF(B68="","",VLOOKUP(B68,'Mitglieder BBU'!A:N,6,0))</f>
        <v/>
      </c>
      <c r="D68" s="82" t="str">
        <f>IF(#REF!="","",VLOOKUP(#REF!,'Mitglieder BBU'!A:N,6,0))</f>
        <v>#REF!</v>
      </c>
      <c r="E68" s="82" t="str">
        <f>IF(#REF!="","",VLOOKUP(#REF!,'Mitglieder BBU'!A:N,6,0))</f>
        <v>#REF!</v>
      </c>
      <c r="F68" s="82"/>
      <c r="G68" s="75" t="str">
        <f>IFNA(VLOOKUP(B68,Datensammler!$B:$AA,24,0),"")</f>
        <v/>
      </c>
      <c r="H68" s="47"/>
      <c r="I68" s="47"/>
      <c r="J68" s="47"/>
      <c r="K68" s="76">
        <f t="shared" si="3"/>
        <v>0</v>
      </c>
      <c r="L68" s="75">
        <f>IFERROR('HI-LOW Berechnung'!AS67,0)</f>
        <v>0</v>
      </c>
      <c r="M68" s="47">
        <f>IFERROR('HI-LOW Berechnung'!AY67,0)</f>
        <v>0</v>
      </c>
      <c r="N68" s="76">
        <f>IFERROR('HI-LOW Berechnung'!BB67,0)</f>
        <v>0</v>
      </c>
      <c r="O68" s="75" t="str">
        <f>IFNA(VLOOKUP(B68,Datensammler!$B:$AA,25,0),"")</f>
        <v/>
      </c>
      <c r="P68" s="47"/>
      <c r="Q68" s="47"/>
      <c r="R68" s="47"/>
      <c r="S68" s="77">
        <f t="shared" si="4"/>
        <v>0</v>
      </c>
      <c r="T68" s="78" t="str">
        <f t="shared" ref="T68:U68" si="135">IF(G68=0,"",G68/O68)</f>
        <v>#DIV/0!</v>
      </c>
      <c r="U68" s="51" t="str">
        <f t="shared" si="135"/>
        <v/>
      </c>
      <c r="V68" s="51" t="str">
        <f t="shared" ref="V68:W68" si="136">IF(I68="","",I68/Q68)</f>
        <v/>
      </c>
      <c r="W68" s="51" t="str">
        <f t="shared" si="136"/>
        <v/>
      </c>
      <c r="X68" s="79" t="str">
        <f t="shared" si="7"/>
        <v/>
      </c>
      <c r="Y68" s="48">
        <v>63.0</v>
      </c>
      <c r="Z68" s="48">
        <f t="shared" si="8"/>
        <v>0</v>
      </c>
      <c r="AA68" s="48">
        <f t="shared" si="9"/>
        <v>0</v>
      </c>
      <c r="AB68" s="48">
        <v>63.0</v>
      </c>
      <c r="AC68" s="48">
        <f t="shared" si="10"/>
        <v>0</v>
      </c>
      <c r="AD68" s="48" t="str">
        <f t="shared" si="11"/>
        <v/>
      </c>
      <c r="AE68" s="72">
        <v>63.0</v>
      </c>
      <c r="AF68" s="83" t="str">
        <f t="shared" si="12"/>
        <v/>
      </c>
      <c r="AG68" s="72">
        <v>63.0</v>
      </c>
      <c r="AH68" s="48" t="str">
        <f t="shared" si="13"/>
        <v/>
      </c>
      <c r="AI68" s="84" t="str">
        <f t="shared" si="14"/>
        <v/>
      </c>
      <c r="AJ68" s="48"/>
      <c r="AK68" s="48"/>
      <c r="AL68" s="48"/>
      <c r="AM68" s="48"/>
      <c r="AN68" s="48"/>
      <c r="AO68" s="48"/>
      <c r="AP68" s="48"/>
      <c r="AQ68" s="48"/>
      <c r="AR68" s="48"/>
      <c r="AS68" s="48"/>
      <c r="AT68" s="48"/>
      <c r="AU68" s="48"/>
      <c r="AV68" s="48"/>
      <c r="AW68" s="48"/>
      <c r="AX68" s="48"/>
      <c r="AY68" s="48"/>
      <c r="AZ68" s="48"/>
      <c r="BA68" s="48"/>
      <c r="BB68" s="47"/>
      <c r="BC68" s="47"/>
      <c r="BD68" s="47"/>
      <c r="BE68" s="47"/>
      <c r="BF68" s="48"/>
      <c r="BG68" s="52"/>
      <c r="BH68" s="48"/>
      <c r="BI68" s="48"/>
      <c r="BJ68" s="48"/>
      <c r="BK68" s="48"/>
      <c r="BL68" s="48"/>
      <c r="BM68" s="48"/>
      <c r="BN68" s="48"/>
      <c r="BO68" s="48"/>
      <c r="BP68" s="85"/>
      <c r="BQ68" s="48"/>
    </row>
    <row r="69" ht="23.25" customHeight="1">
      <c r="A69" s="47">
        <v>64.0</v>
      </c>
      <c r="B69" s="88"/>
      <c r="C69" s="82" t="str">
        <f>IF(B69="","",VLOOKUP(B69,'Mitglieder BBU'!A:N,6,0))</f>
        <v/>
      </c>
      <c r="D69" s="82" t="str">
        <f>IF(#REF!="","",VLOOKUP(#REF!,'Mitglieder BBU'!A:N,6,0))</f>
        <v>#REF!</v>
      </c>
      <c r="E69" s="82" t="str">
        <f>IF(#REF!="","",VLOOKUP(#REF!,'Mitglieder BBU'!A:N,6,0))</f>
        <v>#REF!</v>
      </c>
      <c r="F69" s="82"/>
      <c r="G69" s="75" t="str">
        <f>IFNA(VLOOKUP(B69,Datensammler!$B:$AA,24,0),"")</f>
        <v/>
      </c>
      <c r="H69" s="47"/>
      <c r="I69" s="47"/>
      <c r="J69" s="47"/>
      <c r="K69" s="76">
        <f t="shared" si="3"/>
        <v>0</v>
      </c>
      <c r="L69" s="75">
        <f>IFERROR('HI-LOW Berechnung'!AS68,0)</f>
        <v>0</v>
      </c>
      <c r="M69" s="47">
        <f>IFERROR('HI-LOW Berechnung'!AY68,0)</f>
        <v>0</v>
      </c>
      <c r="N69" s="76">
        <f>IFERROR('HI-LOW Berechnung'!BB68,0)</f>
        <v>0</v>
      </c>
      <c r="O69" s="75" t="str">
        <f>IFNA(VLOOKUP(B69,Datensammler!$B:$AA,25,0),"")</f>
        <v/>
      </c>
      <c r="P69" s="47"/>
      <c r="Q69" s="47"/>
      <c r="R69" s="47"/>
      <c r="S69" s="77">
        <f t="shared" si="4"/>
        <v>0</v>
      </c>
      <c r="T69" s="78" t="str">
        <f t="shared" ref="T69:U69" si="137">IF(G69=0,"",G69/O69)</f>
        <v>#DIV/0!</v>
      </c>
      <c r="U69" s="51" t="str">
        <f t="shared" si="137"/>
        <v/>
      </c>
      <c r="V69" s="51" t="str">
        <f t="shared" ref="V69:W69" si="138">IF(I69="","",I69/Q69)</f>
        <v/>
      </c>
      <c r="W69" s="51" t="str">
        <f t="shared" si="138"/>
        <v/>
      </c>
      <c r="X69" s="79" t="str">
        <f t="shared" si="7"/>
        <v/>
      </c>
      <c r="Y69" s="48">
        <v>64.0</v>
      </c>
      <c r="Z69" s="48">
        <f t="shared" si="8"/>
        <v>0</v>
      </c>
      <c r="AA69" s="48">
        <f t="shared" si="9"/>
        <v>0</v>
      </c>
      <c r="AB69" s="48">
        <v>64.0</v>
      </c>
      <c r="AC69" s="48">
        <f t="shared" si="10"/>
        <v>0</v>
      </c>
      <c r="AD69" s="48" t="str">
        <f t="shared" si="11"/>
        <v/>
      </c>
      <c r="AE69" s="72">
        <v>64.0</v>
      </c>
      <c r="AF69" s="83" t="str">
        <f t="shared" si="12"/>
        <v/>
      </c>
      <c r="AG69" s="72">
        <v>64.0</v>
      </c>
      <c r="AH69" s="48" t="str">
        <f t="shared" si="13"/>
        <v/>
      </c>
      <c r="AI69" s="84" t="str">
        <f t="shared" si="14"/>
        <v/>
      </c>
      <c r="AJ69" s="48"/>
      <c r="AK69" s="48"/>
      <c r="AL69" s="48"/>
      <c r="AM69" s="48"/>
      <c r="AN69" s="48"/>
      <c r="AO69" s="48"/>
      <c r="AP69" s="48"/>
      <c r="AQ69" s="48"/>
      <c r="AR69" s="48"/>
      <c r="AS69" s="48"/>
      <c r="AT69" s="48"/>
      <c r="AU69" s="48"/>
      <c r="AV69" s="48"/>
      <c r="AW69" s="48"/>
      <c r="AX69" s="48"/>
      <c r="AY69" s="48"/>
      <c r="AZ69" s="48"/>
      <c r="BA69" s="48"/>
      <c r="BB69" s="47"/>
      <c r="BC69" s="47"/>
      <c r="BD69" s="47"/>
      <c r="BE69" s="47"/>
      <c r="BF69" s="48"/>
      <c r="BG69" s="52"/>
      <c r="BH69" s="48"/>
      <c r="BI69" s="48"/>
      <c r="BJ69" s="48"/>
      <c r="BK69" s="48"/>
      <c r="BL69" s="48"/>
      <c r="BM69" s="48"/>
      <c r="BN69" s="48"/>
      <c r="BO69" s="48"/>
      <c r="BP69" s="85"/>
      <c r="BQ69" s="48"/>
    </row>
    <row r="70" ht="23.25" customHeight="1">
      <c r="A70" s="47">
        <v>65.0</v>
      </c>
      <c r="B70" s="88"/>
      <c r="C70" s="82" t="str">
        <f>IF(B70="","",VLOOKUP(B70,'Mitglieder BBU'!A:N,6,0))</f>
        <v/>
      </c>
      <c r="D70" s="82" t="str">
        <f>IF(#REF!="","",VLOOKUP(#REF!,'Mitglieder BBU'!A:N,6,0))</f>
        <v>#REF!</v>
      </c>
      <c r="E70" s="82" t="str">
        <f>IF(#REF!="","",VLOOKUP(#REF!,'Mitglieder BBU'!A:N,6,0))</f>
        <v>#REF!</v>
      </c>
      <c r="F70" s="82"/>
      <c r="G70" s="75" t="str">
        <f>IFNA(VLOOKUP(B70,Datensammler!$B:$AA,24,0),"")</f>
        <v/>
      </c>
      <c r="H70" s="47"/>
      <c r="I70" s="47"/>
      <c r="J70" s="47"/>
      <c r="K70" s="76">
        <f t="shared" si="3"/>
        <v>0</v>
      </c>
      <c r="L70" s="75">
        <f>IFERROR('HI-LOW Berechnung'!AS69,0)</f>
        <v>0</v>
      </c>
      <c r="M70" s="47">
        <f>IFERROR('HI-LOW Berechnung'!AY69,0)</f>
        <v>0</v>
      </c>
      <c r="N70" s="76">
        <f>IFERROR('HI-LOW Berechnung'!BB69,0)</f>
        <v>0</v>
      </c>
      <c r="O70" s="75" t="str">
        <f>IFNA(VLOOKUP(B70,Datensammler!$B:$AA,25,0),"")</f>
        <v/>
      </c>
      <c r="P70" s="47"/>
      <c r="Q70" s="47"/>
      <c r="R70" s="47"/>
      <c r="S70" s="77">
        <f t="shared" si="4"/>
        <v>0</v>
      </c>
      <c r="T70" s="78" t="str">
        <f t="shared" ref="T70:U70" si="139">IF(G70=0,"",G70/O70)</f>
        <v>#DIV/0!</v>
      </c>
      <c r="U70" s="51" t="str">
        <f t="shared" si="139"/>
        <v/>
      </c>
      <c r="V70" s="51" t="str">
        <f t="shared" ref="V70:W70" si="140">IF(I70="","",I70/Q70)</f>
        <v/>
      </c>
      <c r="W70" s="51" t="str">
        <f t="shared" si="140"/>
        <v/>
      </c>
      <c r="X70" s="79" t="str">
        <f t="shared" si="7"/>
        <v/>
      </c>
      <c r="Y70" s="48">
        <v>65.0</v>
      </c>
      <c r="Z70" s="48">
        <f t="shared" si="8"/>
        <v>0</v>
      </c>
      <c r="AA70" s="48">
        <f t="shared" si="9"/>
        <v>0</v>
      </c>
      <c r="AB70" s="48">
        <v>65.0</v>
      </c>
      <c r="AC70" s="48">
        <f t="shared" si="10"/>
        <v>0</v>
      </c>
      <c r="AD70" s="48" t="str">
        <f t="shared" si="11"/>
        <v/>
      </c>
      <c r="AE70" s="72">
        <v>65.0</v>
      </c>
      <c r="AF70" s="83" t="str">
        <f t="shared" si="12"/>
        <v/>
      </c>
      <c r="AG70" s="72">
        <v>65.0</v>
      </c>
      <c r="AH70" s="48" t="str">
        <f t="shared" si="13"/>
        <v/>
      </c>
      <c r="AI70" s="84" t="str">
        <f t="shared" si="14"/>
        <v/>
      </c>
      <c r="AJ70" s="48"/>
      <c r="AK70" s="48"/>
      <c r="AL70" s="48"/>
      <c r="AM70" s="48"/>
      <c r="AN70" s="48"/>
      <c r="AO70" s="48"/>
      <c r="AP70" s="48"/>
      <c r="AQ70" s="48"/>
      <c r="AR70" s="48"/>
      <c r="AS70" s="48"/>
      <c r="AT70" s="48"/>
      <c r="AU70" s="48"/>
      <c r="AV70" s="48"/>
      <c r="AW70" s="48"/>
      <c r="AX70" s="48"/>
      <c r="AY70" s="48"/>
      <c r="AZ70" s="48"/>
      <c r="BA70" s="48"/>
      <c r="BB70" s="47"/>
      <c r="BC70" s="47"/>
      <c r="BD70" s="47"/>
      <c r="BE70" s="47"/>
      <c r="BF70" s="48"/>
      <c r="BG70" s="52"/>
      <c r="BH70" s="48"/>
      <c r="BI70" s="48"/>
      <c r="BJ70" s="48"/>
      <c r="BK70" s="48"/>
      <c r="BL70" s="48"/>
      <c r="BM70" s="48"/>
      <c r="BN70" s="48"/>
      <c r="BO70" s="48"/>
      <c r="BP70" s="85"/>
      <c r="BQ70" s="48"/>
    </row>
    <row r="71" ht="23.25" customHeight="1">
      <c r="A71" s="47">
        <v>66.0</v>
      </c>
      <c r="B71" s="88"/>
      <c r="C71" s="82" t="str">
        <f>IF(B71="","",VLOOKUP(B71,'Mitglieder BBU'!A:N,6,0))</f>
        <v/>
      </c>
      <c r="D71" s="82" t="str">
        <f>IF(#REF!="","",VLOOKUP(#REF!,'Mitglieder BBU'!A:N,6,0))</f>
        <v>#REF!</v>
      </c>
      <c r="E71" s="82" t="str">
        <f>IF(#REF!="","",VLOOKUP(#REF!,'Mitglieder BBU'!A:N,6,0))</f>
        <v>#REF!</v>
      </c>
      <c r="F71" s="82"/>
      <c r="G71" s="75" t="str">
        <f>IFNA(VLOOKUP(B71,Datensammler!$B:$AA,24,0),"")</f>
        <v/>
      </c>
      <c r="H71" s="47"/>
      <c r="I71" s="47"/>
      <c r="J71" s="47"/>
      <c r="K71" s="76">
        <f t="shared" si="3"/>
        <v>0</v>
      </c>
      <c r="L71" s="75">
        <f>IFERROR('HI-LOW Berechnung'!AS70,0)</f>
        <v>0</v>
      </c>
      <c r="M71" s="47">
        <f>IFERROR('HI-LOW Berechnung'!AY70,0)</f>
        <v>0</v>
      </c>
      <c r="N71" s="76">
        <f>IFERROR('HI-LOW Berechnung'!BB70,0)</f>
        <v>0</v>
      </c>
      <c r="O71" s="75" t="str">
        <f>IFNA(VLOOKUP(B71,Datensammler!$B:$AA,25,0),"")</f>
        <v/>
      </c>
      <c r="P71" s="47"/>
      <c r="Q71" s="47"/>
      <c r="R71" s="47"/>
      <c r="S71" s="77">
        <f t="shared" si="4"/>
        <v>0</v>
      </c>
      <c r="T71" s="78" t="str">
        <f t="shared" ref="T71:U71" si="141">IF(G71=0,"",G71/O71)</f>
        <v>#DIV/0!</v>
      </c>
      <c r="U71" s="51" t="str">
        <f t="shared" si="141"/>
        <v/>
      </c>
      <c r="V71" s="51" t="str">
        <f t="shared" ref="V71:W71" si="142">IF(I71="","",I71/Q71)</f>
        <v/>
      </c>
      <c r="W71" s="51" t="str">
        <f t="shared" si="142"/>
        <v/>
      </c>
      <c r="X71" s="79" t="str">
        <f t="shared" si="7"/>
        <v/>
      </c>
      <c r="Y71" s="48">
        <v>66.0</v>
      </c>
      <c r="Z71" s="48">
        <f t="shared" si="8"/>
        <v>0</v>
      </c>
      <c r="AA71" s="48">
        <f t="shared" si="9"/>
        <v>0</v>
      </c>
      <c r="AB71" s="48">
        <v>66.0</v>
      </c>
      <c r="AC71" s="48">
        <f t="shared" si="10"/>
        <v>0</v>
      </c>
      <c r="AD71" s="48" t="str">
        <f t="shared" si="11"/>
        <v/>
      </c>
      <c r="AE71" s="72">
        <v>66.0</v>
      </c>
      <c r="AF71" s="83" t="str">
        <f t="shared" si="12"/>
        <v/>
      </c>
      <c r="AG71" s="72">
        <v>66.0</v>
      </c>
      <c r="AH71" s="48" t="str">
        <f t="shared" si="13"/>
        <v/>
      </c>
      <c r="AI71" s="84" t="str">
        <f t="shared" si="14"/>
        <v/>
      </c>
      <c r="AJ71" s="48"/>
      <c r="AK71" s="48"/>
      <c r="AL71" s="48"/>
      <c r="AM71" s="48"/>
      <c r="AN71" s="48"/>
      <c r="AO71" s="48"/>
      <c r="AP71" s="48"/>
      <c r="AQ71" s="48"/>
      <c r="AR71" s="48"/>
      <c r="AS71" s="48"/>
      <c r="AT71" s="48"/>
      <c r="AU71" s="48"/>
      <c r="AV71" s="48"/>
      <c r="AW71" s="48"/>
      <c r="AX71" s="48"/>
      <c r="AY71" s="48"/>
      <c r="AZ71" s="48"/>
      <c r="BA71" s="48"/>
      <c r="BB71" s="47"/>
      <c r="BC71" s="47"/>
      <c r="BD71" s="47"/>
      <c r="BE71" s="47"/>
      <c r="BF71" s="48"/>
      <c r="BG71" s="52"/>
      <c r="BH71" s="48"/>
      <c r="BI71" s="48"/>
      <c r="BJ71" s="48"/>
      <c r="BK71" s="48"/>
      <c r="BL71" s="48"/>
      <c r="BM71" s="48"/>
      <c r="BN71" s="48"/>
      <c r="BO71" s="48"/>
      <c r="BP71" s="85"/>
      <c r="BQ71" s="48"/>
    </row>
    <row r="72" ht="23.25" customHeight="1">
      <c r="A72" s="47">
        <v>67.0</v>
      </c>
      <c r="B72" s="88"/>
      <c r="C72" s="82" t="str">
        <f>IF(B72="","",VLOOKUP(B72,'Mitglieder BBU'!A:N,6,0))</f>
        <v/>
      </c>
      <c r="D72" s="82" t="str">
        <f>IF(#REF!="","",VLOOKUP(#REF!,'Mitglieder BBU'!A:N,6,0))</f>
        <v>#REF!</v>
      </c>
      <c r="E72" s="82" t="str">
        <f>IF(#REF!="","",VLOOKUP(#REF!,'Mitglieder BBU'!A:N,6,0))</f>
        <v>#REF!</v>
      </c>
      <c r="F72" s="82"/>
      <c r="G72" s="75" t="str">
        <f>IFNA(VLOOKUP(B72,Datensammler!$B:$AA,24,0),"")</f>
        <v/>
      </c>
      <c r="H72" s="47"/>
      <c r="I72" s="47"/>
      <c r="J72" s="47"/>
      <c r="K72" s="76">
        <f t="shared" si="3"/>
        <v>0</v>
      </c>
      <c r="L72" s="75">
        <f>IFERROR('HI-LOW Berechnung'!AS71,0)</f>
        <v>0</v>
      </c>
      <c r="M72" s="47">
        <f>IFERROR('HI-LOW Berechnung'!AY71,0)</f>
        <v>0</v>
      </c>
      <c r="N72" s="76">
        <f>IFERROR('HI-LOW Berechnung'!BB71,0)</f>
        <v>0</v>
      </c>
      <c r="O72" s="75" t="str">
        <f>IFNA(VLOOKUP(B72,Datensammler!$B:$AA,25,0),"")</f>
        <v/>
      </c>
      <c r="P72" s="47"/>
      <c r="Q72" s="47"/>
      <c r="R72" s="47"/>
      <c r="S72" s="77">
        <f t="shared" si="4"/>
        <v>0</v>
      </c>
      <c r="T72" s="78" t="str">
        <f t="shared" ref="T72:U72" si="143">IF(G72=0,"",G72/O72)</f>
        <v>#DIV/0!</v>
      </c>
      <c r="U72" s="51" t="str">
        <f t="shared" si="143"/>
        <v/>
      </c>
      <c r="V72" s="51" t="str">
        <f t="shared" ref="V72:W72" si="144">IF(I72="","",I72/Q72)</f>
        <v/>
      </c>
      <c r="W72" s="51" t="str">
        <f t="shared" si="144"/>
        <v/>
      </c>
      <c r="X72" s="79" t="str">
        <f t="shared" si="7"/>
        <v/>
      </c>
      <c r="Y72" s="48">
        <v>67.0</v>
      </c>
      <c r="Z72" s="48">
        <f t="shared" si="8"/>
        <v>0</v>
      </c>
      <c r="AA72" s="48">
        <f t="shared" si="9"/>
        <v>0</v>
      </c>
      <c r="AB72" s="48">
        <v>67.0</v>
      </c>
      <c r="AC72" s="48">
        <f t="shared" si="10"/>
        <v>0</v>
      </c>
      <c r="AD72" s="48" t="str">
        <f t="shared" si="11"/>
        <v/>
      </c>
      <c r="AE72" s="72">
        <v>67.0</v>
      </c>
      <c r="AF72" s="83" t="str">
        <f t="shared" si="12"/>
        <v/>
      </c>
      <c r="AG72" s="72">
        <v>67.0</v>
      </c>
      <c r="AH72" s="48" t="str">
        <f t="shared" si="13"/>
        <v/>
      </c>
      <c r="AI72" s="84" t="str">
        <f t="shared" si="14"/>
        <v/>
      </c>
      <c r="AJ72" s="48"/>
      <c r="AK72" s="48"/>
      <c r="AL72" s="48"/>
      <c r="AM72" s="48"/>
      <c r="AN72" s="48"/>
      <c r="AO72" s="48"/>
      <c r="AP72" s="48"/>
      <c r="AQ72" s="48"/>
      <c r="AR72" s="48"/>
      <c r="AS72" s="48"/>
      <c r="AT72" s="48"/>
      <c r="AU72" s="48"/>
      <c r="AV72" s="48"/>
      <c r="AW72" s="48"/>
      <c r="AX72" s="48"/>
      <c r="AY72" s="48"/>
      <c r="AZ72" s="48"/>
      <c r="BA72" s="48"/>
      <c r="BB72" s="47"/>
      <c r="BC72" s="47"/>
      <c r="BD72" s="47"/>
      <c r="BE72" s="47"/>
      <c r="BF72" s="48"/>
      <c r="BG72" s="52"/>
      <c r="BH72" s="48"/>
      <c r="BI72" s="48"/>
      <c r="BJ72" s="48"/>
      <c r="BK72" s="48"/>
      <c r="BL72" s="48"/>
      <c r="BM72" s="48"/>
      <c r="BN72" s="48"/>
      <c r="BO72" s="48"/>
      <c r="BP72" s="85"/>
      <c r="BQ72" s="48"/>
    </row>
    <row r="73" ht="23.25" customHeight="1">
      <c r="A73" s="47">
        <v>68.0</v>
      </c>
      <c r="B73" s="88"/>
      <c r="C73" s="82" t="str">
        <f>IF(B73="","",VLOOKUP(B73,'Mitglieder BBU'!A:N,6,0))</f>
        <v/>
      </c>
      <c r="D73" s="82" t="str">
        <f>IF(#REF!="","",VLOOKUP(#REF!,'Mitglieder BBU'!A:N,6,0))</f>
        <v>#REF!</v>
      </c>
      <c r="E73" s="82" t="str">
        <f>IF(#REF!="","",VLOOKUP(#REF!,'Mitglieder BBU'!A:N,6,0))</f>
        <v>#REF!</v>
      </c>
      <c r="F73" s="82"/>
      <c r="G73" s="75" t="str">
        <f>IFNA(VLOOKUP(B73,Datensammler!$B:$AA,24,0),"")</f>
        <v/>
      </c>
      <c r="H73" s="47"/>
      <c r="I73" s="47"/>
      <c r="J73" s="47"/>
      <c r="K73" s="76">
        <f t="shared" si="3"/>
        <v>0</v>
      </c>
      <c r="L73" s="75">
        <f>IFERROR('HI-LOW Berechnung'!AS72,0)</f>
        <v>0</v>
      </c>
      <c r="M73" s="47">
        <f>IFERROR('HI-LOW Berechnung'!AY72,0)</f>
        <v>0</v>
      </c>
      <c r="N73" s="76">
        <f>IFERROR('HI-LOW Berechnung'!BB72,0)</f>
        <v>0</v>
      </c>
      <c r="O73" s="75" t="str">
        <f>IFNA(VLOOKUP(B73,Datensammler!$B:$AA,25,0),"")</f>
        <v/>
      </c>
      <c r="P73" s="47"/>
      <c r="Q73" s="47"/>
      <c r="R73" s="47"/>
      <c r="S73" s="77">
        <f t="shared" si="4"/>
        <v>0</v>
      </c>
      <c r="T73" s="78" t="str">
        <f t="shared" ref="T73:U73" si="145">IF(G73=0,"",G73/O73)</f>
        <v>#DIV/0!</v>
      </c>
      <c r="U73" s="51" t="str">
        <f t="shared" si="145"/>
        <v/>
      </c>
      <c r="V73" s="51" t="str">
        <f t="shared" ref="V73:W73" si="146">IF(I73="","",I73/Q73)</f>
        <v/>
      </c>
      <c r="W73" s="51" t="str">
        <f t="shared" si="146"/>
        <v/>
      </c>
      <c r="X73" s="79" t="str">
        <f t="shared" si="7"/>
        <v/>
      </c>
      <c r="Y73" s="48">
        <v>68.0</v>
      </c>
      <c r="Z73" s="48">
        <f t="shared" si="8"/>
        <v>0</v>
      </c>
      <c r="AA73" s="48">
        <f t="shared" si="9"/>
        <v>0</v>
      </c>
      <c r="AB73" s="48">
        <v>68.0</v>
      </c>
      <c r="AC73" s="48">
        <f t="shared" si="10"/>
        <v>0</v>
      </c>
      <c r="AD73" s="48" t="str">
        <f t="shared" si="11"/>
        <v/>
      </c>
      <c r="AE73" s="72">
        <v>68.0</v>
      </c>
      <c r="AF73" s="83" t="str">
        <f t="shared" si="12"/>
        <v/>
      </c>
      <c r="AG73" s="72">
        <v>68.0</v>
      </c>
      <c r="AH73" s="48" t="str">
        <f t="shared" si="13"/>
        <v/>
      </c>
      <c r="AI73" s="84" t="str">
        <f t="shared" si="14"/>
        <v/>
      </c>
      <c r="AJ73" s="48"/>
      <c r="AK73" s="48"/>
      <c r="AL73" s="48"/>
      <c r="AM73" s="48"/>
      <c r="AN73" s="48"/>
      <c r="AO73" s="48"/>
      <c r="AP73" s="48"/>
      <c r="AQ73" s="48"/>
      <c r="AR73" s="48"/>
      <c r="AS73" s="48"/>
      <c r="AT73" s="48"/>
      <c r="AU73" s="48"/>
      <c r="AV73" s="48"/>
      <c r="AW73" s="48"/>
      <c r="AX73" s="48"/>
      <c r="AY73" s="48"/>
      <c r="AZ73" s="48"/>
      <c r="BA73" s="48"/>
      <c r="BB73" s="47"/>
      <c r="BC73" s="47"/>
      <c r="BD73" s="47"/>
      <c r="BE73" s="47"/>
      <c r="BF73" s="48"/>
      <c r="BG73" s="52"/>
      <c r="BH73" s="48"/>
      <c r="BI73" s="48"/>
      <c r="BJ73" s="48"/>
      <c r="BK73" s="48"/>
      <c r="BL73" s="48"/>
      <c r="BM73" s="48"/>
      <c r="BN73" s="48"/>
      <c r="BO73" s="48"/>
      <c r="BP73" s="85"/>
      <c r="BQ73" s="48"/>
    </row>
    <row r="74" ht="23.25" customHeight="1">
      <c r="A74" s="47">
        <v>69.0</v>
      </c>
      <c r="B74" s="88"/>
      <c r="C74" s="82" t="str">
        <f>IF(B74="","",VLOOKUP(B74,'Mitglieder BBU'!A:N,6,0))</f>
        <v/>
      </c>
      <c r="D74" s="82" t="str">
        <f>IF(#REF!="","",VLOOKUP(#REF!,'Mitglieder BBU'!A:N,6,0))</f>
        <v>#REF!</v>
      </c>
      <c r="E74" s="82" t="str">
        <f>IF(#REF!="","",VLOOKUP(#REF!,'Mitglieder BBU'!A:N,6,0))</f>
        <v>#REF!</v>
      </c>
      <c r="F74" s="82"/>
      <c r="G74" s="75" t="str">
        <f>IFNA(VLOOKUP(B74,Datensammler!$B:$AA,24,0),"")</f>
        <v/>
      </c>
      <c r="H74" s="47"/>
      <c r="I74" s="47"/>
      <c r="J74" s="47"/>
      <c r="K74" s="76">
        <f t="shared" si="3"/>
        <v>0</v>
      </c>
      <c r="L74" s="75">
        <f>IFERROR('HI-LOW Berechnung'!AS73,0)</f>
        <v>0</v>
      </c>
      <c r="M74" s="47">
        <f>IFERROR('HI-LOW Berechnung'!AY73,0)</f>
        <v>0</v>
      </c>
      <c r="N74" s="76">
        <f>IFERROR('HI-LOW Berechnung'!BB73,0)</f>
        <v>0</v>
      </c>
      <c r="O74" s="75" t="str">
        <f>IFNA(VLOOKUP(B74,Datensammler!$B:$AA,25,0),"")</f>
        <v/>
      </c>
      <c r="P74" s="47"/>
      <c r="Q74" s="47"/>
      <c r="R74" s="47"/>
      <c r="S74" s="77">
        <f t="shared" si="4"/>
        <v>0</v>
      </c>
      <c r="T74" s="78" t="str">
        <f t="shared" ref="T74:U74" si="147">IF(G74=0,"",G74/O74)</f>
        <v>#DIV/0!</v>
      </c>
      <c r="U74" s="51" t="str">
        <f t="shared" si="147"/>
        <v/>
      </c>
      <c r="V74" s="51" t="str">
        <f t="shared" ref="V74:W74" si="148">IF(I74="","",I74/Q74)</f>
        <v/>
      </c>
      <c r="W74" s="51" t="str">
        <f t="shared" si="148"/>
        <v/>
      </c>
      <c r="X74" s="79" t="str">
        <f t="shared" si="7"/>
        <v/>
      </c>
      <c r="Y74" s="48">
        <v>69.0</v>
      </c>
      <c r="Z74" s="48">
        <f t="shared" si="8"/>
        <v>0</v>
      </c>
      <c r="AA74" s="48">
        <f t="shared" si="9"/>
        <v>0</v>
      </c>
      <c r="AB74" s="48">
        <v>69.0</v>
      </c>
      <c r="AC74" s="48">
        <f t="shared" si="10"/>
        <v>0</v>
      </c>
      <c r="AD74" s="48" t="str">
        <f t="shared" si="11"/>
        <v/>
      </c>
      <c r="AE74" s="72">
        <v>69.0</v>
      </c>
      <c r="AF74" s="83" t="str">
        <f t="shared" si="12"/>
        <v/>
      </c>
      <c r="AG74" s="72">
        <v>69.0</v>
      </c>
      <c r="AH74" s="48" t="str">
        <f t="shared" si="13"/>
        <v/>
      </c>
      <c r="AI74" s="84" t="str">
        <f t="shared" si="14"/>
        <v/>
      </c>
      <c r="AJ74" s="48"/>
      <c r="AK74" s="48"/>
      <c r="AL74" s="48"/>
      <c r="AM74" s="48"/>
      <c r="AN74" s="48"/>
      <c r="AO74" s="48"/>
      <c r="AP74" s="48"/>
      <c r="AQ74" s="48"/>
      <c r="AR74" s="48"/>
      <c r="AS74" s="48"/>
      <c r="AT74" s="48"/>
      <c r="AU74" s="48"/>
      <c r="AV74" s="48"/>
      <c r="AW74" s="48"/>
      <c r="AX74" s="48"/>
      <c r="AY74" s="48"/>
      <c r="AZ74" s="48"/>
      <c r="BA74" s="48"/>
      <c r="BB74" s="47"/>
      <c r="BC74" s="47"/>
      <c r="BD74" s="47"/>
      <c r="BE74" s="47"/>
      <c r="BF74" s="48"/>
      <c r="BG74" s="52"/>
      <c r="BH74" s="48"/>
      <c r="BI74" s="48"/>
      <c r="BJ74" s="48"/>
      <c r="BK74" s="48"/>
      <c r="BL74" s="48"/>
      <c r="BM74" s="48"/>
      <c r="BN74" s="48"/>
      <c r="BO74" s="48"/>
      <c r="BP74" s="85"/>
      <c r="BQ74" s="48"/>
    </row>
    <row r="75" ht="23.25" customHeight="1">
      <c r="A75" s="47">
        <v>70.0</v>
      </c>
      <c r="B75" s="88"/>
      <c r="C75" s="82" t="str">
        <f>IF(B75="","",VLOOKUP(B75,'Mitglieder BBU'!A:N,6,0))</f>
        <v/>
      </c>
      <c r="D75" s="82" t="str">
        <f>IF(#REF!="","",VLOOKUP(#REF!,'Mitglieder BBU'!A:N,6,0))</f>
        <v>#REF!</v>
      </c>
      <c r="E75" s="82" t="str">
        <f>IF(#REF!="","",VLOOKUP(#REF!,'Mitglieder BBU'!A:N,6,0))</f>
        <v>#REF!</v>
      </c>
      <c r="F75" s="82"/>
      <c r="G75" s="75" t="str">
        <f>IFNA(VLOOKUP(B75,Datensammler!$B:$AA,24,0),"")</f>
        <v/>
      </c>
      <c r="H75" s="47"/>
      <c r="I75" s="47"/>
      <c r="J75" s="47"/>
      <c r="K75" s="76">
        <f t="shared" si="3"/>
        <v>0</v>
      </c>
      <c r="L75" s="75">
        <f>IFERROR('HI-LOW Berechnung'!AS74,0)</f>
        <v>0</v>
      </c>
      <c r="M75" s="47">
        <f>IFERROR('HI-LOW Berechnung'!AY74,0)</f>
        <v>0</v>
      </c>
      <c r="N75" s="76">
        <f>IFERROR('HI-LOW Berechnung'!BB74,0)</f>
        <v>0</v>
      </c>
      <c r="O75" s="75" t="str">
        <f>IFNA(VLOOKUP(B75,Datensammler!$B:$AA,25,0),"")</f>
        <v/>
      </c>
      <c r="P75" s="47"/>
      <c r="Q75" s="47"/>
      <c r="R75" s="47"/>
      <c r="S75" s="77">
        <f t="shared" si="4"/>
        <v>0</v>
      </c>
      <c r="T75" s="78" t="str">
        <f t="shared" ref="T75:U75" si="149">IF(G75=0,"",G75/O75)</f>
        <v>#DIV/0!</v>
      </c>
      <c r="U75" s="51" t="str">
        <f t="shared" si="149"/>
        <v/>
      </c>
      <c r="V75" s="51" t="str">
        <f t="shared" ref="V75:W75" si="150">IF(I75="","",I75/Q75)</f>
        <v/>
      </c>
      <c r="W75" s="51" t="str">
        <f t="shared" si="150"/>
        <v/>
      </c>
      <c r="X75" s="79" t="str">
        <f t="shared" si="7"/>
        <v/>
      </c>
      <c r="Y75" s="48">
        <v>70.0</v>
      </c>
      <c r="Z75" s="48">
        <f t="shared" si="8"/>
        <v>0</v>
      </c>
      <c r="AA75" s="48">
        <f t="shared" si="9"/>
        <v>0</v>
      </c>
      <c r="AB75" s="48">
        <v>70.0</v>
      </c>
      <c r="AC75" s="48">
        <f t="shared" si="10"/>
        <v>0</v>
      </c>
      <c r="AD75" s="48" t="str">
        <f t="shared" si="11"/>
        <v/>
      </c>
      <c r="AE75" s="72">
        <v>70.0</v>
      </c>
      <c r="AF75" s="83" t="str">
        <f t="shared" si="12"/>
        <v/>
      </c>
      <c r="AG75" s="72">
        <v>70.0</v>
      </c>
      <c r="AH75" s="48" t="str">
        <f t="shared" si="13"/>
        <v/>
      </c>
      <c r="AI75" s="84" t="str">
        <f t="shared" si="14"/>
        <v/>
      </c>
      <c r="AJ75" s="48"/>
      <c r="AK75" s="48"/>
      <c r="AL75" s="48"/>
      <c r="AM75" s="48"/>
      <c r="AN75" s="48"/>
      <c r="AO75" s="48"/>
      <c r="AP75" s="48"/>
      <c r="AQ75" s="48"/>
      <c r="AR75" s="48"/>
      <c r="AS75" s="48"/>
      <c r="AT75" s="48"/>
      <c r="AU75" s="48"/>
      <c r="AV75" s="48"/>
      <c r="AW75" s="48"/>
      <c r="AX75" s="48"/>
      <c r="AY75" s="48"/>
      <c r="AZ75" s="48"/>
      <c r="BA75" s="48"/>
      <c r="BB75" s="47"/>
      <c r="BC75" s="47"/>
      <c r="BD75" s="47"/>
      <c r="BE75" s="47"/>
      <c r="BF75" s="48"/>
      <c r="BG75" s="52"/>
      <c r="BH75" s="48"/>
      <c r="BI75" s="48"/>
      <c r="BJ75" s="48"/>
      <c r="BK75" s="48"/>
      <c r="BL75" s="48"/>
      <c r="BM75" s="48"/>
      <c r="BN75" s="48"/>
      <c r="BO75" s="48"/>
      <c r="BP75" s="85"/>
      <c r="BQ75" s="48"/>
    </row>
    <row r="76" ht="23.25" customHeight="1">
      <c r="A76" s="47">
        <v>71.0</v>
      </c>
      <c r="B76" s="88"/>
      <c r="C76" s="82" t="str">
        <f>IF(B76="","",VLOOKUP(B76,'Mitglieder BBU'!A:N,6,0))</f>
        <v/>
      </c>
      <c r="D76" s="82" t="str">
        <f>IF(#REF!="","",VLOOKUP(#REF!,'Mitglieder BBU'!A:N,6,0))</f>
        <v>#REF!</v>
      </c>
      <c r="E76" s="82" t="str">
        <f>IF(#REF!="","",VLOOKUP(#REF!,'Mitglieder BBU'!A:N,6,0))</f>
        <v>#REF!</v>
      </c>
      <c r="F76" s="62"/>
      <c r="G76" s="75" t="str">
        <f>IFNA(VLOOKUP(B76,Datensammler!$B:$AA,24,0),"")</f>
        <v/>
      </c>
      <c r="H76" s="47"/>
      <c r="I76" s="47"/>
      <c r="J76" s="47"/>
      <c r="K76" s="76">
        <f t="shared" si="3"/>
        <v>0</v>
      </c>
      <c r="L76" s="75">
        <f>IFERROR('HI-LOW Berechnung'!AS75,0)</f>
        <v>0</v>
      </c>
      <c r="M76" s="47">
        <f>IFERROR('HI-LOW Berechnung'!AY75,0)</f>
        <v>0</v>
      </c>
      <c r="N76" s="76">
        <f>IFERROR('HI-LOW Berechnung'!BB75,0)</f>
        <v>0</v>
      </c>
      <c r="O76" s="75" t="str">
        <f>IFNA(VLOOKUP(B76,Datensammler!$B:$AA,25,0),"")</f>
        <v/>
      </c>
      <c r="P76" s="47"/>
      <c r="Q76" s="47"/>
      <c r="R76" s="47"/>
      <c r="S76" s="77">
        <f t="shared" si="4"/>
        <v>0</v>
      </c>
      <c r="T76" s="78" t="str">
        <f t="shared" ref="T76:U76" si="151">IF(G76=0,"",G76/O76)</f>
        <v>#DIV/0!</v>
      </c>
      <c r="U76" s="51" t="str">
        <f t="shared" si="151"/>
        <v/>
      </c>
      <c r="V76" s="51" t="str">
        <f t="shared" ref="V76:W76" si="152">IF(I76="","",I76/Q76)</f>
        <v/>
      </c>
      <c r="W76" s="51" t="str">
        <f t="shared" si="152"/>
        <v/>
      </c>
      <c r="X76" s="79" t="str">
        <f t="shared" si="7"/>
        <v/>
      </c>
      <c r="Y76" s="48">
        <v>71.0</v>
      </c>
      <c r="Z76" s="48">
        <f t="shared" si="8"/>
        <v>0</v>
      </c>
      <c r="AA76" s="48">
        <f t="shared" si="9"/>
        <v>0</v>
      </c>
      <c r="AB76" s="48">
        <v>71.0</v>
      </c>
      <c r="AC76" s="48">
        <f t="shared" si="10"/>
        <v>0</v>
      </c>
      <c r="AD76" s="48" t="str">
        <f t="shared" si="11"/>
        <v/>
      </c>
      <c r="AE76" s="72">
        <v>71.0</v>
      </c>
      <c r="AF76" s="83" t="str">
        <f t="shared" si="12"/>
        <v/>
      </c>
      <c r="AG76" s="72">
        <v>71.0</v>
      </c>
      <c r="AH76" s="48" t="str">
        <f t="shared" si="13"/>
        <v/>
      </c>
      <c r="AI76" s="84" t="str">
        <f t="shared" si="14"/>
        <v/>
      </c>
      <c r="AJ76" s="48"/>
      <c r="AK76" s="48"/>
      <c r="AL76" s="48"/>
      <c r="AM76" s="48"/>
      <c r="AN76" s="48"/>
      <c r="AO76" s="48"/>
      <c r="AP76" s="48"/>
      <c r="AQ76" s="48"/>
      <c r="AR76" s="48"/>
      <c r="AS76" s="48"/>
      <c r="AT76" s="48"/>
      <c r="AU76" s="48"/>
      <c r="AV76" s="48"/>
      <c r="AW76" s="48"/>
      <c r="AX76" s="48"/>
      <c r="AY76" s="48"/>
      <c r="AZ76" s="48"/>
      <c r="BA76" s="48"/>
      <c r="BB76" s="47"/>
      <c r="BC76" s="47"/>
      <c r="BD76" s="47"/>
      <c r="BE76" s="47"/>
      <c r="BF76" s="48"/>
      <c r="BG76" s="52"/>
      <c r="BH76" s="48"/>
      <c r="BI76" s="48"/>
      <c r="BJ76" s="48"/>
      <c r="BK76" s="48"/>
      <c r="BL76" s="48"/>
      <c r="BM76" s="48"/>
      <c r="BN76" s="48"/>
      <c r="BO76" s="48"/>
      <c r="BP76" s="85"/>
      <c r="BQ76" s="48"/>
    </row>
    <row r="77" ht="23.25" customHeight="1">
      <c r="A77" s="47">
        <v>72.0</v>
      </c>
      <c r="B77" s="88"/>
      <c r="C77" s="82" t="str">
        <f>IF(B77="","",VLOOKUP(B77,'Mitglieder BBU'!A:N,6,0))</f>
        <v/>
      </c>
      <c r="D77" s="82" t="str">
        <f>IF(#REF!="","",VLOOKUP(#REF!,'Mitglieder BBU'!A:N,6,0))</f>
        <v>#REF!</v>
      </c>
      <c r="E77" s="82" t="str">
        <f>IF(#REF!="","",VLOOKUP(#REF!,'Mitglieder BBU'!A:N,6,0))</f>
        <v>#REF!</v>
      </c>
      <c r="F77" s="62"/>
      <c r="G77" s="75" t="str">
        <f>IFNA(VLOOKUP(B77,Datensammler!$B:$AA,24,0),"")</f>
        <v/>
      </c>
      <c r="H77" s="47"/>
      <c r="I77" s="47"/>
      <c r="J77" s="47"/>
      <c r="K77" s="76">
        <f t="shared" si="3"/>
        <v>0</v>
      </c>
      <c r="L77" s="75">
        <f>IFERROR('HI-LOW Berechnung'!AS76,0)</f>
        <v>0</v>
      </c>
      <c r="M77" s="47">
        <f>IFERROR('HI-LOW Berechnung'!AY76,0)</f>
        <v>0</v>
      </c>
      <c r="N77" s="76">
        <f>IFERROR('HI-LOW Berechnung'!BB76,0)</f>
        <v>0</v>
      </c>
      <c r="O77" s="75" t="str">
        <f>IFNA(VLOOKUP(B77,Datensammler!$B:$AA,25,0),"")</f>
        <v/>
      </c>
      <c r="P77" s="47"/>
      <c r="Q77" s="47"/>
      <c r="R77" s="47"/>
      <c r="S77" s="77">
        <f t="shared" si="4"/>
        <v>0</v>
      </c>
      <c r="T77" s="78" t="str">
        <f t="shared" ref="T77:U77" si="153">IF(G77=0,"",G77/O77)</f>
        <v>#DIV/0!</v>
      </c>
      <c r="U77" s="51" t="str">
        <f t="shared" si="153"/>
        <v/>
      </c>
      <c r="V77" s="51" t="str">
        <f t="shared" ref="V77:W77" si="154">IF(I77="","",I77/Q77)</f>
        <v/>
      </c>
      <c r="W77" s="51" t="str">
        <f t="shared" si="154"/>
        <v/>
      </c>
      <c r="X77" s="79" t="str">
        <f t="shared" si="7"/>
        <v/>
      </c>
      <c r="Y77" s="48">
        <v>72.0</v>
      </c>
      <c r="Z77" s="48">
        <f t="shared" si="8"/>
        <v>0</v>
      </c>
      <c r="AA77" s="48">
        <f t="shared" si="9"/>
        <v>0</v>
      </c>
      <c r="AB77" s="48">
        <v>72.0</v>
      </c>
      <c r="AC77" s="48">
        <f t="shared" si="10"/>
        <v>0</v>
      </c>
      <c r="AD77" s="48" t="str">
        <f t="shared" si="11"/>
        <v/>
      </c>
      <c r="AE77" s="72">
        <v>72.0</v>
      </c>
      <c r="AF77" s="83" t="str">
        <f t="shared" si="12"/>
        <v/>
      </c>
      <c r="AG77" s="72">
        <v>72.0</v>
      </c>
      <c r="AH77" s="48" t="str">
        <f t="shared" si="13"/>
        <v/>
      </c>
      <c r="AI77" s="84" t="str">
        <f t="shared" si="14"/>
        <v/>
      </c>
      <c r="AJ77" s="48"/>
      <c r="AK77" s="48"/>
      <c r="AL77" s="48"/>
      <c r="AM77" s="48"/>
      <c r="AN77" s="48"/>
      <c r="AO77" s="48"/>
      <c r="AP77" s="48"/>
      <c r="AQ77" s="48"/>
      <c r="AR77" s="48"/>
      <c r="AS77" s="48"/>
      <c r="AT77" s="48"/>
      <c r="AU77" s="48"/>
      <c r="AV77" s="48"/>
      <c r="AW77" s="48"/>
      <c r="AX77" s="48"/>
      <c r="AY77" s="48"/>
      <c r="AZ77" s="48"/>
      <c r="BA77" s="48"/>
      <c r="BB77" s="47"/>
      <c r="BC77" s="47"/>
      <c r="BD77" s="47"/>
      <c r="BE77" s="47"/>
      <c r="BF77" s="48"/>
      <c r="BG77" s="52"/>
      <c r="BH77" s="48"/>
      <c r="BI77" s="48"/>
      <c r="BJ77" s="48"/>
      <c r="BK77" s="48"/>
      <c r="BL77" s="48"/>
      <c r="BM77" s="48"/>
      <c r="BN77" s="48"/>
      <c r="BO77" s="48"/>
      <c r="BP77" s="85"/>
      <c r="BQ77" s="48"/>
    </row>
    <row r="78" ht="23.25" customHeight="1">
      <c r="A78" s="47">
        <v>73.0</v>
      </c>
      <c r="B78" s="88"/>
      <c r="C78" s="82" t="str">
        <f>IF(B78="","",VLOOKUP(B78,'Mitglieder BBU'!A:N,6,0))</f>
        <v/>
      </c>
      <c r="D78" s="82" t="str">
        <f>IF(#REF!="","",VLOOKUP(#REF!,'Mitglieder BBU'!A:N,6,0))</f>
        <v>#REF!</v>
      </c>
      <c r="E78" s="82" t="str">
        <f>IF(#REF!="","",VLOOKUP(#REF!,'Mitglieder BBU'!A:N,6,0))</f>
        <v>#REF!</v>
      </c>
      <c r="F78" s="82"/>
      <c r="G78" s="75" t="str">
        <f>IFNA(VLOOKUP(B78,Datensammler!$B:$AA,24,0),"")</f>
        <v/>
      </c>
      <c r="H78" s="47"/>
      <c r="I78" s="47"/>
      <c r="J78" s="47"/>
      <c r="K78" s="76">
        <f t="shared" si="3"/>
        <v>0</v>
      </c>
      <c r="L78" s="75">
        <f>IFERROR('HI-LOW Berechnung'!AS77,0)</f>
        <v>0</v>
      </c>
      <c r="M78" s="47">
        <f>IFERROR('HI-LOW Berechnung'!AY77,0)</f>
        <v>0</v>
      </c>
      <c r="N78" s="76">
        <f>IFERROR('HI-LOW Berechnung'!BB77,0)</f>
        <v>0</v>
      </c>
      <c r="O78" s="75" t="str">
        <f>IFNA(VLOOKUP(B78,Datensammler!$B:$AA,25,0),"")</f>
        <v/>
      </c>
      <c r="P78" s="47"/>
      <c r="Q78" s="47"/>
      <c r="R78" s="47"/>
      <c r="S78" s="77">
        <f t="shared" si="4"/>
        <v>0</v>
      </c>
      <c r="T78" s="78" t="str">
        <f t="shared" ref="T78:U78" si="155">IF(G78=0,"",G78/O78)</f>
        <v>#DIV/0!</v>
      </c>
      <c r="U78" s="51" t="str">
        <f t="shared" si="155"/>
        <v/>
      </c>
      <c r="V78" s="51" t="str">
        <f t="shared" ref="V78:W78" si="156">IF(I78="","",I78/Q78)</f>
        <v/>
      </c>
      <c r="W78" s="51" t="str">
        <f t="shared" si="156"/>
        <v/>
      </c>
      <c r="X78" s="79" t="str">
        <f t="shared" si="7"/>
        <v/>
      </c>
      <c r="Y78" s="48">
        <v>73.0</v>
      </c>
      <c r="Z78" s="48">
        <f t="shared" si="8"/>
        <v>0</v>
      </c>
      <c r="AA78" s="48">
        <f t="shared" si="9"/>
        <v>0</v>
      </c>
      <c r="AB78" s="48">
        <v>73.0</v>
      </c>
      <c r="AC78" s="48">
        <f t="shared" si="10"/>
        <v>0</v>
      </c>
      <c r="AD78" s="48" t="str">
        <f t="shared" si="11"/>
        <v/>
      </c>
      <c r="AE78" s="72">
        <v>73.0</v>
      </c>
      <c r="AF78" s="83" t="str">
        <f t="shared" si="12"/>
        <v/>
      </c>
      <c r="AG78" s="72">
        <v>73.0</v>
      </c>
      <c r="AH78" s="48" t="str">
        <f t="shared" si="13"/>
        <v/>
      </c>
      <c r="AI78" s="84" t="str">
        <f t="shared" si="14"/>
        <v/>
      </c>
      <c r="AJ78" s="48"/>
      <c r="AK78" s="48"/>
      <c r="AL78" s="48"/>
      <c r="AM78" s="48"/>
      <c r="AN78" s="48"/>
      <c r="AO78" s="48"/>
      <c r="AP78" s="48"/>
      <c r="AQ78" s="48"/>
      <c r="AR78" s="48"/>
      <c r="AS78" s="48"/>
      <c r="AT78" s="48"/>
      <c r="AU78" s="48"/>
      <c r="AV78" s="48"/>
      <c r="AW78" s="48"/>
      <c r="AX78" s="48"/>
      <c r="AY78" s="48"/>
      <c r="AZ78" s="48"/>
      <c r="BA78" s="48"/>
      <c r="BB78" s="47"/>
      <c r="BC78" s="47"/>
      <c r="BD78" s="47"/>
      <c r="BE78" s="47"/>
      <c r="BF78" s="48"/>
      <c r="BG78" s="52"/>
      <c r="BH78" s="48"/>
      <c r="BI78" s="48"/>
      <c r="BJ78" s="48"/>
      <c r="BK78" s="48"/>
      <c r="BL78" s="48"/>
      <c r="BM78" s="48"/>
      <c r="BN78" s="48"/>
      <c r="BO78" s="48"/>
      <c r="BP78" s="85"/>
      <c r="BQ78" s="48"/>
    </row>
    <row r="79" ht="23.25" customHeight="1">
      <c r="A79" s="47">
        <v>74.0</v>
      </c>
      <c r="B79" s="88"/>
      <c r="C79" s="82" t="str">
        <f>IF(B79="","",VLOOKUP(B79,'Mitglieder BBU'!A:N,6,0))</f>
        <v/>
      </c>
      <c r="D79" s="82" t="str">
        <f>IF(#REF!="","",VLOOKUP(#REF!,'Mitglieder BBU'!A:N,6,0))</f>
        <v>#REF!</v>
      </c>
      <c r="E79" s="82" t="str">
        <f>IF(#REF!="","",VLOOKUP(#REF!,'Mitglieder BBU'!A:N,6,0))</f>
        <v>#REF!</v>
      </c>
      <c r="F79" s="82"/>
      <c r="G79" s="75" t="str">
        <f>IFNA(VLOOKUP(B79,Datensammler!$B:$AA,24,0),"")</f>
        <v/>
      </c>
      <c r="H79" s="47"/>
      <c r="I79" s="47"/>
      <c r="J79" s="47"/>
      <c r="K79" s="76">
        <f t="shared" si="3"/>
        <v>0</v>
      </c>
      <c r="L79" s="75">
        <f>IFERROR('HI-LOW Berechnung'!AS78,0)</f>
        <v>0</v>
      </c>
      <c r="M79" s="47">
        <f>IFERROR('HI-LOW Berechnung'!AY78,0)</f>
        <v>0</v>
      </c>
      <c r="N79" s="76">
        <f>IFERROR('HI-LOW Berechnung'!BB78,0)</f>
        <v>0</v>
      </c>
      <c r="O79" s="75" t="str">
        <f>IFNA(VLOOKUP(B79,Datensammler!$B:$AA,25,0),"")</f>
        <v/>
      </c>
      <c r="P79" s="47"/>
      <c r="Q79" s="47"/>
      <c r="R79" s="47"/>
      <c r="S79" s="77">
        <f t="shared" si="4"/>
        <v>0</v>
      </c>
      <c r="T79" s="78" t="str">
        <f t="shared" ref="T79:U79" si="157">IF(G79=0,"",G79/O79)</f>
        <v>#DIV/0!</v>
      </c>
      <c r="U79" s="51" t="str">
        <f t="shared" si="157"/>
        <v/>
      </c>
      <c r="V79" s="51" t="str">
        <f t="shared" ref="V79:W79" si="158">IF(I79="","",I79/Q79)</f>
        <v/>
      </c>
      <c r="W79" s="51" t="str">
        <f t="shared" si="158"/>
        <v/>
      </c>
      <c r="X79" s="79" t="str">
        <f t="shared" si="7"/>
        <v/>
      </c>
      <c r="Y79" s="48">
        <v>74.0</v>
      </c>
      <c r="Z79" s="48">
        <f t="shared" si="8"/>
        <v>0</v>
      </c>
      <c r="AA79" s="48">
        <f t="shared" si="9"/>
        <v>0</v>
      </c>
      <c r="AB79" s="48">
        <v>74.0</v>
      </c>
      <c r="AC79" s="48">
        <f t="shared" si="10"/>
        <v>0</v>
      </c>
      <c r="AD79" s="48" t="str">
        <f t="shared" si="11"/>
        <v/>
      </c>
      <c r="AE79" s="72">
        <v>74.0</v>
      </c>
      <c r="AF79" s="83" t="str">
        <f t="shared" si="12"/>
        <v/>
      </c>
      <c r="AG79" s="72">
        <v>74.0</v>
      </c>
      <c r="AH79" s="48" t="str">
        <f t="shared" si="13"/>
        <v/>
      </c>
      <c r="AI79" s="84" t="str">
        <f t="shared" si="14"/>
        <v/>
      </c>
      <c r="AJ79" s="48"/>
      <c r="AK79" s="48"/>
      <c r="AL79" s="48"/>
      <c r="AM79" s="48"/>
      <c r="AN79" s="48"/>
      <c r="AO79" s="48"/>
      <c r="AP79" s="48"/>
      <c r="AQ79" s="48"/>
      <c r="AR79" s="48"/>
      <c r="AS79" s="48"/>
      <c r="AT79" s="48"/>
      <c r="AU79" s="48"/>
      <c r="AV79" s="48"/>
      <c r="AW79" s="48"/>
      <c r="AX79" s="48"/>
      <c r="AY79" s="48"/>
      <c r="AZ79" s="48"/>
      <c r="BA79" s="48"/>
      <c r="BB79" s="47"/>
      <c r="BC79" s="47"/>
      <c r="BD79" s="47"/>
      <c r="BE79" s="47"/>
      <c r="BF79" s="48"/>
      <c r="BG79" s="52"/>
      <c r="BH79" s="48"/>
      <c r="BI79" s="48"/>
      <c r="BJ79" s="48"/>
      <c r="BK79" s="48"/>
      <c r="BL79" s="48"/>
      <c r="BM79" s="48"/>
      <c r="BN79" s="48"/>
      <c r="BO79" s="48"/>
      <c r="BP79" s="85"/>
      <c r="BQ79" s="48"/>
    </row>
    <row r="80" ht="23.25" customHeight="1">
      <c r="A80" s="47">
        <v>75.0</v>
      </c>
      <c r="B80" s="88"/>
      <c r="C80" s="82" t="str">
        <f>IF(B80="","",VLOOKUP(B80,'Mitglieder BBU'!A:N,6,0))</f>
        <v/>
      </c>
      <c r="D80" s="82" t="str">
        <f>IF(#REF!="","",VLOOKUP(#REF!,'Mitglieder BBU'!A:N,6,0))</f>
        <v>#REF!</v>
      </c>
      <c r="E80" s="82" t="str">
        <f>IF(#REF!="","",VLOOKUP(#REF!,'Mitglieder BBU'!A:N,6,0))</f>
        <v>#REF!</v>
      </c>
      <c r="F80" s="82"/>
      <c r="G80" s="75" t="str">
        <f>IFNA(VLOOKUP(B80,Datensammler!$B:$AA,24,0),"")</f>
        <v/>
      </c>
      <c r="H80" s="47"/>
      <c r="I80" s="47"/>
      <c r="J80" s="47"/>
      <c r="K80" s="76">
        <f t="shared" si="3"/>
        <v>0</v>
      </c>
      <c r="L80" s="75">
        <f>IFERROR('HI-LOW Berechnung'!AS79,0)</f>
        <v>0</v>
      </c>
      <c r="M80" s="47">
        <f>IFERROR('HI-LOW Berechnung'!AY79,0)</f>
        <v>0</v>
      </c>
      <c r="N80" s="76">
        <f>IFERROR('HI-LOW Berechnung'!BB79,0)</f>
        <v>0</v>
      </c>
      <c r="O80" s="75" t="str">
        <f>IFNA(VLOOKUP(B80,Datensammler!$B:$AA,25,0),"")</f>
        <v/>
      </c>
      <c r="P80" s="47"/>
      <c r="Q80" s="47"/>
      <c r="R80" s="47"/>
      <c r="S80" s="77">
        <f t="shared" si="4"/>
        <v>0</v>
      </c>
      <c r="T80" s="78" t="str">
        <f t="shared" ref="T80:U80" si="159">IF(G80=0,"",G80/O80)</f>
        <v>#DIV/0!</v>
      </c>
      <c r="U80" s="51" t="str">
        <f t="shared" si="159"/>
        <v/>
      </c>
      <c r="V80" s="51" t="str">
        <f t="shared" ref="V80:W80" si="160">IF(I80="","",I80/Q80)</f>
        <v/>
      </c>
      <c r="W80" s="51" t="str">
        <f t="shared" si="160"/>
        <v/>
      </c>
      <c r="X80" s="79" t="str">
        <f t="shared" si="7"/>
        <v/>
      </c>
      <c r="Y80" s="48">
        <v>75.0</v>
      </c>
      <c r="Z80" s="48">
        <f t="shared" si="8"/>
        <v>0</v>
      </c>
      <c r="AA80" s="48">
        <f t="shared" si="9"/>
        <v>0</v>
      </c>
      <c r="AB80" s="48">
        <v>75.0</v>
      </c>
      <c r="AC80" s="48">
        <f t="shared" si="10"/>
        <v>0</v>
      </c>
      <c r="AD80" s="48" t="str">
        <f t="shared" si="11"/>
        <v/>
      </c>
      <c r="AE80" s="72">
        <v>75.0</v>
      </c>
      <c r="AF80" s="83" t="str">
        <f t="shared" si="12"/>
        <v/>
      </c>
      <c r="AG80" s="72">
        <v>75.0</v>
      </c>
      <c r="AH80" s="48" t="str">
        <f t="shared" si="13"/>
        <v/>
      </c>
      <c r="AI80" s="84" t="str">
        <f t="shared" si="14"/>
        <v/>
      </c>
      <c r="AJ80" s="48"/>
      <c r="AK80" s="48"/>
      <c r="AL80" s="48"/>
      <c r="AM80" s="48"/>
      <c r="AN80" s="48"/>
      <c r="AO80" s="48"/>
      <c r="AP80" s="48"/>
      <c r="AQ80" s="48"/>
      <c r="AR80" s="48"/>
      <c r="AS80" s="48"/>
      <c r="AT80" s="48"/>
      <c r="AU80" s="48"/>
      <c r="AV80" s="48"/>
      <c r="AW80" s="48"/>
      <c r="AX80" s="48"/>
      <c r="AY80" s="48"/>
      <c r="AZ80" s="48"/>
      <c r="BA80" s="48"/>
      <c r="BB80" s="47"/>
      <c r="BC80" s="47"/>
      <c r="BD80" s="47"/>
      <c r="BE80" s="47"/>
      <c r="BF80" s="48"/>
      <c r="BG80" s="52"/>
      <c r="BH80" s="48"/>
      <c r="BI80" s="48"/>
      <c r="BJ80" s="48"/>
      <c r="BK80" s="48"/>
      <c r="BL80" s="48"/>
      <c r="BM80" s="48"/>
      <c r="BN80" s="48"/>
      <c r="BO80" s="48"/>
      <c r="BP80" s="85"/>
      <c r="BQ80" s="48"/>
    </row>
    <row r="81" ht="23.25" customHeight="1">
      <c r="A81" s="47">
        <v>76.0</v>
      </c>
      <c r="B81" s="88"/>
      <c r="C81" s="82" t="str">
        <f>IF(B81="","",VLOOKUP(B81,'Mitglieder BBU'!A:N,6,0))</f>
        <v/>
      </c>
      <c r="D81" s="82" t="str">
        <f>IF(#REF!="","",VLOOKUP(#REF!,'Mitglieder BBU'!A:N,6,0))</f>
        <v>#REF!</v>
      </c>
      <c r="E81" s="82" t="str">
        <f>IF(#REF!="","",VLOOKUP(#REF!,'Mitglieder BBU'!A:N,6,0))</f>
        <v>#REF!</v>
      </c>
      <c r="F81" s="82"/>
      <c r="G81" s="75" t="str">
        <f>IFNA(VLOOKUP(B81,Datensammler!$B:$AA,24,0),"")</f>
        <v/>
      </c>
      <c r="H81" s="47"/>
      <c r="I81" s="47"/>
      <c r="J81" s="47"/>
      <c r="K81" s="76">
        <f t="shared" si="3"/>
        <v>0</v>
      </c>
      <c r="L81" s="75">
        <f>IFERROR('HI-LOW Berechnung'!AS80,0)</f>
        <v>0</v>
      </c>
      <c r="M81" s="47">
        <f>IFERROR('HI-LOW Berechnung'!AY80,0)</f>
        <v>0</v>
      </c>
      <c r="N81" s="76">
        <f>IFERROR('HI-LOW Berechnung'!BB80,0)</f>
        <v>0</v>
      </c>
      <c r="O81" s="75" t="str">
        <f>IFNA(VLOOKUP(B81,Datensammler!$B:$AA,25,0),"")</f>
        <v/>
      </c>
      <c r="P81" s="47"/>
      <c r="Q81" s="47"/>
      <c r="R81" s="47"/>
      <c r="S81" s="77">
        <f t="shared" si="4"/>
        <v>0</v>
      </c>
      <c r="T81" s="78" t="str">
        <f t="shared" ref="T81:U81" si="161">IF(G81=0,"",G81/O81)</f>
        <v>#DIV/0!</v>
      </c>
      <c r="U81" s="51" t="str">
        <f t="shared" si="161"/>
        <v/>
      </c>
      <c r="V81" s="51" t="str">
        <f t="shared" ref="V81:W81" si="162">IF(I81="","",I81/Q81)</f>
        <v/>
      </c>
      <c r="W81" s="51" t="str">
        <f t="shared" si="162"/>
        <v/>
      </c>
      <c r="X81" s="79" t="str">
        <f t="shared" si="7"/>
        <v/>
      </c>
      <c r="Y81" s="48">
        <v>76.0</v>
      </c>
      <c r="Z81" s="48">
        <f t="shared" si="8"/>
        <v>0</v>
      </c>
      <c r="AA81" s="48">
        <f t="shared" si="9"/>
        <v>0</v>
      </c>
      <c r="AB81" s="48">
        <v>76.0</v>
      </c>
      <c r="AC81" s="48">
        <f t="shared" si="10"/>
        <v>0</v>
      </c>
      <c r="AD81" s="48" t="str">
        <f t="shared" si="11"/>
        <v/>
      </c>
      <c r="AE81" s="72">
        <v>76.0</v>
      </c>
      <c r="AF81" s="83" t="str">
        <f t="shared" si="12"/>
        <v/>
      </c>
      <c r="AG81" s="72">
        <v>76.0</v>
      </c>
      <c r="AH81" s="48" t="str">
        <f t="shared" si="13"/>
        <v/>
      </c>
      <c r="AI81" s="84" t="str">
        <f t="shared" si="14"/>
        <v/>
      </c>
      <c r="AJ81" s="48"/>
      <c r="AK81" s="48"/>
      <c r="AL81" s="48"/>
      <c r="AM81" s="48"/>
      <c r="AN81" s="48"/>
      <c r="AO81" s="48"/>
      <c r="AP81" s="48"/>
      <c r="AQ81" s="48"/>
      <c r="AR81" s="48"/>
      <c r="AS81" s="48"/>
      <c r="AT81" s="48"/>
      <c r="AU81" s="48"/>
      <c r="AV81" s="48"/>
      <c r="AW81" s="48"/>
      <c r="AX81" s="48"/>
      <c r="AY81" s="48"/>
      <c r="AZ81" s="48"/>
      <c r="BA81" s="48"/>
      <c r="BB81" s="47"/>
      <c r="BC81" s="47"/>
      <c r="BD81" s="47"/>
      <c r="BE81" s="47"/>
      <c r="BF81" s="48"/>
      <c r="BG81" s="52"/>
      <c r="BH81" s="48"/>
      <c r="BI81" s="48"/>
      <c r="BJ81" s="48"/>
      <c r="BK81" s="48"/>
      <c r="BL81" s="48"/>
      <c r="BM81" s="48"/>
      <c r="BN81" s="48"/>
      <c r="BO81" s="48"/>
      <c r="BP81" s="85"/>
      <c r="BQ81" s="48"/>
    </row>
    <row r="82" ht="23.25" customHeight="1">
      <c r="A82" s="47">
        <v>77.0</v>
      </c>
      <c r="B82" s="88"/>
      <c r="C82" s="82" t="str">
        <f>IF(B82="","",VLOOKUP(B82,'Mitglieder BBU'!A:N,6,0))</f>
        <v/>
      </c>
      <c r="D82" s="82" t="str">
        <f>IF(#REF!="","",VLOOKUP(#REF!,'Mitglieder BBU'!A:N,6,0))</f>
        <v>#REF!</v>
      </c>
      <c r="E82" s="82" t="str">
        <f>IF(#REF!="","",VLOOKUP(#REF!,'Mitglieder BBU'!A:N,6,0))</f>
        <v>#REF!</v>
      </c>
      <c r="F82" s="62"/>
      <c r="G82" s="75" t="str">
        <f>IFNA(VLOOKUP(B82,Datensammler!$B:$AA,24,0),"")</f>
        <v/>
      </c>
      <c r="H82" s="47"/>
      <c r="I82" s="47"/>
      <c r="J82" s="47"/>
      <c r="K82" s="76">
        <f t="shared" si="3"/>
        <v>0</v>
      </c>
      <c r="L82" s="75">
        <f>IFERROR('HI-LOW Berechnung'!AS81,0)</f>
        <v>0</v>
      </c>
      <c r="M82" s="47">
        <f>IFERROR('HI-LOW Berechnung'!AY81,0)</f>
        <v>0</v>
      </c>
      <c r="N82" s="76">
        <f>IFERROR('HI-LOW Berechnung'!BB81,0)</f>
        <v>0</v>
      </c>
      <c r="O82" s="75" t="str">
        <f>IFNA(VLOOKUP(B82,Datensammler!$B:$AA,25,0),"")</f>
        <v/>
      </c>
      <c r="P82" s="47"/>
      <c r="Q82" s="47"/>
      <c r="R82" s="47"/>
      <c r="S82" s="77">
        <f t="shared" si="4"/>
        <v>0</v>
      </c>
      <c r="T82" s="78" t="str">
        <f t="shared" ref="T82:U82" si="163">IF(G82=0,"",G82/O82)</f>
        <v>#DIV/0!</v>
      </c>
      <c r="U82" s="51" t="str">
        <f t="shared" si="163"/>
        <v/>
      </c>
      <c r="V82" s="51" t="str">
        <f t="shared" ref="V82:W82" si="164">IF(I82="","",I82/Q82)</f>
        <v/>
      </c>
      <c r="W82" s="51" t="str">
        <f t="shared" si="164"/>
        <v/>
      </c>
      <c r="X82" s="79" t="str">
        <f t="shared" si="7"/>
        <v/>
      </c>
      <c r="Y82" s="48">
        <v>77.0</v>
      </c>
      <c r="Z82" s="48">
        <f t="shared" si="8"/>
        <v>0</v>
      </c>
      <c r="AA82" s="48">
        <f t="shared" si="9"/>
        <v>0</v>
      </c>
      <c r="AB82" s="48">
        <v>77.0</v>
      </c>
      <c r="AC82" s="48">
        <f t="shared" si="10"/>
        <v>0</v>
      </c>
      <c r="AD82" s="48" t="str">
        <f t="shared" si="11"/>
        <v/>
      </c>
      <c r="AE82" s="72">
        <v>77.0</v>
      </c>
      <c r="AF82" s="83" t="str">
        <f t="shared" si="12"/>
        <v/>
      </c>
      <c r="AG82" s="72">
        <v>77.0</v>
      </c>
      <c r="AH82" s="48" t="str">
        <f t="shared" si="13"/>
        <v/>
      </c>
      <c r="AI82" s="84" t="str">
        <f t="shared" si="14"/>
        <v/>
      </c>
      <c r="AJ82" s="48"/>
      <c r="AK82" s="48"/>
      <c r="AL82" s="48"/>
      <c r="AM82" s="48"/>
      <c r="AN82" s="48"/>
      <c r="AO82" s="48"/>
      <c r="AP82" s="48"/>
      <c r="AQ82" s="48"/>
      <c r="AR82" s="48"/>
      <c r="AS82" s="48"/>
      <c r="AT82" s="48"/>
      <c r="AU82" s="48"/>
      <c r="AV82" s="48"/>
      <c r="AW82" s="48"/>
      <c r="AX82" s="48"/>
      <c r="AY82" s="48"/>
      <c r="AZ82" s="48"/>
      <c r="BA82" s="48"/>
      <c r="BB82" s="47"/>
      <c r="BC82" s="47"/>
      <c r="BD82" s="47"/>
      <c r="BE82" s="47"/>
      <c r="BF82" s="48"/>
      <c r="BG82" s="52"/>
      <c r="BH82" s="48"/>
      <c r="BI82" s="48"/>
      <c r="BJ82" s="48"/>
      <c r="BK82" s="48"/>
      <c r="BL82" s="48"/>
      <c r="BM82" s="48"/>
      <c r="BN82" s="48"/>
      <c r="BO82" s="48"/>
      <c r="BP82" s="85"/>
      <c r="BQ82" s="48"/>
    </row>
    <row r="83" ht="23.25" customHeight="1">
      <c r="A83" s="47">
        <v>78.0</v>
      </c>
      <c r="B83" s="88"/>
      <c r="C83" s="82" t="str">
        <f>IF(B83="","",VLOOKUP(B83,'Mitglieder BBU'!A:N,6,0))</f>
        <v/>
      </c>
      <c r="D83" s="82" t="str">
        <f>IF(#REF!="","",VLOOKUP(#REF!,'Mitglieder BBU'!A:N,6,0))</f>
        <v>#REF!</v>
      </c>
      <c r="E83" s="82" t="str">
        <f>IF(#REF!="","",VLOOKUP(#REF!,'Mitglieder BBU'!A:N,6,0))</f>
        <v>#REF!</v>
      </c>
      <c r="F83" s="82"/>
      <c r="G83" s="75" t="str">
        <f>IFNA(VLOOKUP(B83,Datensammler!$B:$AA,24,0),"")</f>
        <v/>
      </c>
      <c r="H83" s="47"/>
      <c r="I83" s="47"/>
      <c r="J83" s="47"/>
      <c r="K83" s="76">
        <f t="shared" si="3"/>
        <v>0</v>
      </c>
      <c r="L83" s="75">
        <f>IFERROR('HI-LOW Berechnung'!AS82,0)</f>
        <v>0</v>
      </c>
      <c r="M83" s="47">
        <f>IFERROR('HI-LOW Berechnung'!AY82,0)</f>
        <v>0</v>
      </c>
      <c r="N83" s="76">
        <f>IFERROR('HI-LOW Berechnung'!BB82,0)</f>
        <v>0</v>
      </c>
      <c r="O83" s="75" t="str">
        <f>IFNA(VLOOKUP(B83,Datensammler!$B:$AA,25,0),"")</f>
        <v/>
      </c>
      <c r="P83" s="47"/>
      <c r="Q83" s="47"/>
      <c r="R83" s="47"/>
      <c r="S83" s="77">
        <f t="shared" si="4"/>
        <v>0</v>
      </c>
      <c r="T83" s="78" t="str">
        <f t="shared" ref="T83:U83" si="165">IF(G83=0,"",G83/O83)</f>
        <v>#DIV/0!</v>
      </c>
      <c r="U83" s="51" t="str">
        <f t="shared" si="165"/>
        <v/>
      </c>
      <c r="V83" s="51" t="str">
        <f t="shared" ref="V83:W83" si="166">IF(I83="","",I83/Q83)</f>
        <v/>
      </c>
      <c r="W83" s="51" t="str">
        <f t="shared" si="166"/>
        <v/>
      </c>
      <c r="X83" s="79" t="str">
        <f t="shared" si="7"/>
        <v/>
      </c>
      <c r="Y83" s="48">
        <v>78.0</v>
      </c>
      <c r="Z83" s="48">
        <f t="shared" si="8"/>
        <v>0</v>
      </c>
      <c r="AA83" s="48">
        <f t="shared" si="9"/>
        <v>0</v>
      </c>
      <c r="AB83" s="48">
        <v>78.0</v>
      </c>
      <c r="AC83" s="48">
        <f t="shared" si="10"/>
        <v>0</v>
      </c>
      <c r="AD83" s="48" t="str">
        <f t="shared" si="11"/>
        <v/>
      </c>
      <c r="AE83" s="72">
        <v>78.0</v>
      </c>
      <c r="AF83" s="83" t="str">
        <f t="shared" si="12"/>
        <v/>
      </c>
      <c r="AG83" s="72">
        <v>78.0</v>
      </c>
      <c r="AH83" s="48" t="str">
        <f t="shared" si="13"/>
        <v/>
      </c>
      <c r="AI83" s="84" t="str">
        <f t="shared" si="14"/>
        <v/>
      </c>
      <c r="AJ83" s="48"/>
      <c r="AK83" s="48"/>
      <c r="AL83" s="48"/>
      <c r="AM83" s="48"/>
      <c r="AN83" s="48"/>
      <c r="AO83" s="48"/>
      <c r="AP83" s="48"/>
      <c r="AQ83" s="48"/>
      <c r="AR83" s="48"/>
      <c r="AS83" s="48"/>
      <c r="AT83" s="48"/>
      <c r="AU83" s="48"/>
      <c r="AV83" s="48"/>
      <c r="AW83" s="48"/>
      <c r="AX83" s="48"/>
      <c r="AY83" s="48"/>
      <c r="AZ83" s="48"/>
      <c r="BA83" s="48"/>
      <c r="BB83" s="47"/>
      <c r="BC83" s="47"/>
      <c r="BD83" s="47"/>
      <c r="BE83" s="47"/>
      <c r="BF83" s="48"/>
      <c r="BG83" s="52"/>
      <c r="BH83" s="48"/>
      <c r="BI83" s="48"/>
      <c r="BJ83" s="48"/>
      <c r="BK83" s="48"/>
      <c r="BL83" s="48"/>
      <c r="BM83" s="48"/>
      <c r="BN83" s="48"/>
      <c r="BO83" s="48"/>
      <c r="BP83" s="85"/>
      <c r="BQ83" s="48"/>
    </row>
    <row r="84" ht="23.25" customHeight="1">
      <c r="A84" s="47">
        <v>79.0</v>
      </c>
      <c r="B84" s="88"/>
      <c r="C84" s="82" t="str">
        <f>IF(B84="","",VLOOKUP(B84,'Mitglieder BBU'!A:N,6,0))</f>
        <v/>
      </c>
      <c r="D84" s="82" t="str">
        <f>IF(#REF!="","",VLOOKUP(#REF!,'Mitglieder BBU'!A:N,6,0))</f>
        <v>#REF!</v>
      </c>
      <c r="E84" s="82" t="str">
        <f>IF(#REF!="","",VLOOKUP(#REF!,'Mitglieder BBU'!A:N,6,0))</f>
        <v>#REF!</v>
      </c>
      <c r="F84" s="82"/>
      <c r="G84" s="75" t="str">
        <f>IFNA(VLOOKUP(B84,Datensammler!$B:$AA,24,0),"")</f>
        <v/>
      </c>
      <c r="H84" s="47"/>
      <c r="I84" s="47"/>
      <c r="J84" s="47"/>
      <c r="K84" s="76">
        <f t="shared" si="3"/>
        <v>0</v>
      </c>
      <c r="L84" s="75">
        <f>IFERROR('HI-LOW Berechnung'!AS83,0)</f>
        <v>0</v>
      </c>
      <c r="M84" s="47">
        <f>IFERROR('HI-LOW Berechnung'!AY83,0)</f>
        <v>0</v>
      </c>
      <c r="N84" s="76">
        <f>IFERROR('HI-LOW Berechnung'!BB83,0)</f>
        <v>0</v>
      </c>
      <c r="O84" s="75" t="str">
        <f>IFNA(VLOOKUP(B84,Datensammler!$B:$AA,25,0),"")</f>
        <v/>
      </c>
      <c r="P84" s="47"/>
      <c r="Q84" s="47"/>
      <c r="R84" s="47"/>
      <c r="S84" s="77">
        <f t="shared" si="4"/>
        <v>0</v>
      </c>
      <c r="T84" s="78" t="str">
        <f t="shared" ref="T84:U84" si="167">IF(G84=0,"",G84/O84)</f>
        <v>#DIV/0!</v>
      </c>
      <c r="U84" s="51" t="str">
        <f t="shared" si="167"/>
        <v/>
      </c>
      <c r="V84" s="51" t="str">
        <f t="shared" ref="V84:W84" si="168">IF(I84="","",I84/Q84)</f>
        <v/>
      </c>
      <c r="W84" s="51" t="str">
        <f t="shared" si="168"/>
        <v/>
      </c>
      <c r="X84" s="79" t="str">
        <f t="shared" si="7"/>
        <v/>
      </c>
      <c r="Y84" s="48">
        <v>79.0</v>
      </c>
      <c r="Z84" s="48">
        <f t="shared" si="8"/>
        <v>0</v>
      </c>
      <c r="AA84" s="48">
        <f t="shared" si="9"/>
        <v>0</v>
      </c>
      <c r="AB84" s="48">
        <v>79.0</v>
      </c>
      <c r="AC84" s="48">
        <f t="shared" si="10"/>
        <v>0</v>
      </c>
      <c r="AD84" s="48" t="str">
        <f t="shared" si="11"/>
        <v/>
      </c>
      <c r="AE84" s="72">
        <v>79.0</v>
      </c>
      <c r="AF84" s="83" t="str">
        <f t="shared" si="12"/>
        <v/>
      </c>
      <c r="AG84" s="72">
        <v>79.0</v>
      </c>
      <c r="AH84" s="48" t="str">
        <f t="shared" si="13"/>
        <v/>
      </c>
      <c r="AI84" s="84" t="str">
        <f t="shared" si="14"/>
        <v/>
      </c>
      <c r="AJ84" s="48"/>
      <c r="AK84" s="48"/>
      <c r="AL84" s="48"/>
      <c r="AM84" s="48"/>
      <c r="AN84" s="48"/>
      <c r="AO84" s="48"/>
      <c r="AP84" s="48"/>
      <c r="AQ84" s="48"/>
      <c r="AR84" s="48"/>
      <c r="AS84" s="48"/>
      <c r="AT84" s="48"/>
      <c r="AU84" s="48"/>
      <c r="AV84" s="48"/>
      <c r="AW84" s="48"/>
      <c r="AX84" s="48"/>
      <c r="AY84" s="48"/>
      <c r="AZ84" s="48"/>
      <c r="BA84" s="48"/>
      <c r="BB84" s="47"/>
      <c r="BC84" s="47"/>
      <c r="BD84" s="47"/>
      <c r="BE84" s="47"/>
      <c r="BF84" s="48"/>
      <c r="BG84" s="52"/>
      <c r="BH84" s="48"/>
      <c r="BI84" s="48"/>
      <c r="BJ84" s="48"/>
      <c r="BK84" s="48"/>
      <c r="BL84" s="48"/>
      <c r="BM84" s="48"/>
      <c r="BN84" s="48"/>
      <c r="BO84" s="48"/>
      <c r="BP84" s="85"/>
      <c r="BQ84" s="48"/>
    </row>
    <row r="85" ht="23.25" customHeight="1">
      <c r="A85" s="47">
        <v>80.0</v>
      </c>
      <c r="B85" s="88"/>
      <c r="C85" s="82" t="str">
        <f>IF(B85="","",VLOOKUP(B85,'Mitglieder BBU'!A:N,6,0))</f>
        <v/>
      </c>
      <c r="D85" s="82" t="str">
        <f>IF(#REF!="","",VLOOKUP(#REF!,'Mitglieder BBU'!A:N,6,0))</f>
        <v>#REF!</v>
      </c>
      <c r="E85" s="82" t="str">
        <f>IF(#REF!="","",VLOOKUP(#REF!,'Mitglieder BBU'!A:N,6,0))</f>
        <v>#REF!</v>
      </c>
      <c r="F85" s="62"/>
      <c r="G85" s="75" t="str">
        <f>IFNA(VLOOKUP(B85,Datensammler!$B:$AA,24,0),"")</f>
        <v/>
      </c>
      <c r="H85" s="47"/>
      <c r="I85" s="47"/>
      <c r="J85" s="47"/>
      <c r="K85" s="76">
        <f t="shared" si="3"/>
        <v>0</v>
      </c>
      <c r="L85" s="75">
        <f>IFERROR('HI-LOW Berechnung'!AS84,0)</f>
        <v>0</v>
      </c>
      <c r="M85" s="47">
        <f>IFERROR('HI-LOW Berechnung'!AY84,0)</f>
        <v>0</v>
      </c>
      <c r="N85" s="76">
        <f>IFERROR('HI-LOW Berechnung'!BB84,0)</f>
        <v>0</v>
      </c>
      <c r="O85" s="75" t="str">
        <f>IFNA(VLOOKUP(B85,Datensammler!$B:$AA,25,0),"")</f>
        <v/>
      </c>
      <c r="P85" s="47"/>
      <c r="Q85" s="47"/>
      <c r="R85" s="47"/>
      <c r="S85" s="77">
        <f t="shared" si="4"/>
        <v>0</v>
      </c>
      <c r="T85" s="78" t="str">
        <f t="shared" ref="T85:U85" si="169">IF(G85=0,"",G85/O85)</f>
        <v>#DIV/0!</v>
      </c>
      <c r="U85" s="51" t="str">
        <f t="shared" si="169"/>
        <v/>
      </c>
      <c r="V85" s="51" t="str">
        <f t="shared" ref="V85:W85" si="170">IF(I85="","",I85/Q85)</f>
        <v/>
      </c>
      <c r="W85" s="51" t="str">
        <f t="shared" si="170"/>
        <v/>
      </c>
      <c r="X85" s="79" t="str">
        <f t="shared" si="7"/>
        <v/>
      </c>
      <c r="Y85" s="48">
        <v>80.0</v>
      </c>
      <c r="Z85" s="48">
        <f t="shared" si="8"/>
        <v>0</v>
      </c>
      <c r="AA85" s="48">
        <f t="shared" si="9"/>
        <v>0</v>
      </c>
      <c r="AB85" s="48">
        <v>80.0</v>
      </c>
      <c r="AC85" s="48">
        <f t="shared" si="10"/>
        <v>0</v>
      </c>
      <c r="AD85" s="48" t="str">
        <f t="shared" si="11"/>
        <v/>
      </c>
      <c r="AE85" s="72">
        <v>80.0</v>
      </c>
      <c r="AF85" s="83" t="str">
        <f t="shared" si="12"/>
        <v/>
      </c>
      <c r="AG85" s="72">
        <v>80.0</v>
      </c>
      <c r="AH85" s="48" t="str">
        <f t="shared" si="13"/>
        <v/>
      </c>
      <c r="AI85" s="84" t="str">
        <f t="shared" si="14"/>
        <v/>
      </c>
      <c r="AJ85" s="48"/>
      <c r="AK85" s="48"/>
      <c r="AL85" s="48"/>
      <c r="AM85" s="48"/>
      <c r="AN85" s="48"/>
      <c r="AO85" s="48"/>
      <c r="AP85" s="48"/>
      <c r="AQ85" s="48"/>
      <c r="AR85" s="48"/>
      <c r="AS85" s="48"/>
      <c r="AT85" s="48"/>
      <c r="AU85" s="48"/>
      <c r="AV85" s="48"/>
      <c r="AW85" s="48"/>
      <c r="AX85" s="48"/>
      <c r="AY85" s="48"/>
      <c r="AZ85" s="48"/>
      <c r="BA85" s="48"/>
      <c r="BB85" s="47"/>
      <c r="BC85" s="47"/>
      <c r="BD85" s="47"/>
      <c r="BE85" s="47"/>
      <c r="BF85" s="48"/>
      <c r="BG85" s="52"/>
      <c r="BH85" s="48"/>
      <c r="BI85" s="48"/>
      <c r="BJ85" s="48"/>
      <c r="BK85" s="48"/>
      <c r="BL85" s="48"/>
      <c r="BM85" s="48"/>
      <c r="BN85" s="48"/>
      <c r="BO85" s="48"/>
      <c r="BP85" s="85"/>
      <c r="BQ85" s="48"/>
    </row>
    <row r="86" ht="23.25" customHeight="1">
      <c r="A86" s="47">
        <v>81.0</v>
      </c>
      <c r="B86" s="88"/>
      <c r="C86" s="82" t="str">
        <f>IF(B86="","",VLOOKUP(B86,'Mitglieder BBU'!A:N,6,0))</f>
        <v/>
      </c>
      <c r="D86" s="82" t="str">
        <f>IF(#REF!="","",VLOOKUP(#REF!,'Mitglieder BBU'!A:N,6,0))</f>
        <v>#REF!</v>
      </c>
      <c r="E86" s="82" t="str">
        <f>IF(#REF!="","",VLOOKUP(#REF!,'Mitglieder BBU'!A:N,6,0))</f>
        <v>#REF!</v>
      </c>
      <c r="F86" s="82"/>
      <c r="G86" s="75" t="str">
        <f>IFNA(VLOOKUP(B86,Datensammler!$B:$AA,24,0),"")</f>
        <v/>
      </c>
      <c r="H86" s="47"/>
      <c r="I86" s="47"/>
      <c r="J86" s="47"/>
      <c r="K86" s="76">
        <f t="shared" si="3"/>
        <v>0</v>
      </c>
      <c r="L86" s="75">
        <f>IFERROR('HI-LOW Berechnung'!AS85,0)</f>
        <v>0</v>
      </c>
      <c r="M86" s="47">
        <f>IFERROR('HI-LOW Berechnung'!AY85,0)</f>
        <v>0</v>
      </c>
      <c r="N86" s="76">
        <f>IFERROR('HI-LOW Berechnung'!BB85,0)</f>
        <v>0</v>
      </c>
      <c r="O86" s="75" t="str">
        <f>IFNA(VLOOKUP(B86,Datensammler!$B:$AA,25,0),"")</f>
        <v/>
      </c>
      <c r="P86" s="47"/>
      <c r="Q86" s="47"/>
      <c r="R86" s="47"/>
      <c r="S86" s="77">
        <f t="shared" si="4"/>
        <v>0</v>
      </c>
      <c r="T86" s="78" t="str">
        <f t="shared" ref="T86:U86" si="171">IF(G86=0,"",G86/O86)</f>
        <v>#DIV/0!</v>
      </c>
      <c r="U86" s="51" t="str">
        <f t="shared" si="171"/>
        <v/>
      </c>
      <c r="V86" s="51" t="str">
        <f t="shared" ref="V86:W86" si="172">IF(I86="","",I86/Q86)</f>
        <v/>
      </c>
      <c r="W86" s="51" t="str">
        <f t="shared" si="172"/>
        <v/>
      </c>
      <c r="X86" s="79" t="str">
        <f t="shared" si="7"/>
        <v/>
      </c>
      <c r="Y86" s="48">
        <v>81.0</v>
      </c>
      <c r="Z86" s="48">
        <f t="shared" si="8"/>
        <v>0</v>
      </c>
      <c r="AA86" s="48">
        <f t="shared" si="9"/>
        <v>0</v>
      </c>
      <c r="AB86" s="48">
        <v>81.0</v>
      </c>
      <c r="AC86" s="48">
        <f t="shared" si="10"/>
        <v>0</v>
      </c>
      <c r="AD86" s="48" t="str">
        <f t="shared" si="11"/>
        <v/>
      </c>
      <c r="AE86" s="72">
        <v>81.0</v>
      </c>
      <c r="AF86" s="83" t="str">
        <f t="shared" si="12"/>
        <v/>
      </c>
      <c r="AG86" s="72">
        <v>81.0</v>
      </c>
      <c r="AH86" s="48" t="str">
        <f t="shared" si="13"/>
        <v/>
      </c>
      <c r="AI86" s="84" t="str">
        <f t="shared" si="14"/>
        <v/>
      </c>
      <c r="AJ86" s="48"/>
      <c r="AK86" s="48"/>
      <c r="AL86" s="48"/>
      <c r="AM86" s="48"/>
      <c r="AN86" s="48"/>
      <c r="AO86" s="48"/>
      <c r="AP86" s="48"/>
      <c r="AQ86" s="48"/>
      <c r="AR86" s="48"/>
      <c r="AS86" s="48"/>
      <c r="AT86" s="48"/>
      <c r="AU86" s="48"/>
      <c r="AV86" s="48"/>
      <c r="AW86" s="48"/>
      <c r="AX86" s="48"/>
      <c r="AY86" s="48"/>
      <c r="AZ86" s="48"/>
      <c r="BA86" s="48"/>
      <c r="BB86" s="47"/>
      <c r="BC86" s="47"/>
      <c r="BD86" s="47"/>
      <c r="BE86" s="47"/>
      <c r="BF86" s="48"/>
      <c r="BG86" s="52"/>
      <c r="BH86" s="48"/>
      <c r="BI86" s="48"/>
      <c r="BJ86" s="48"/>
      <c r="BK86" s="48"/>
      <c r="BL86" s="48"/>
      <c r="BM86" s="48"/>
      <c r="BN86" s="48"/>
      <c r="BO86" s="48"/>
      <c r="BP86" s="85"/>
      <c r="BQ86" s="48"/>
    </row>
    <row r="87" ht="23.25" customHeight="1">
      <c r="A87" s="47">
        <v>82.0</v>
      </c>
      <c r="B87" s="88"/>
      <c r="C87" s="82" t="str">
        <f>IF(B87="","",VLOOKUP(B87,'Mitglieder BBU'!A:N,6,0))</f>
        <v/>
      </c>
      <c r="D87" s="82" t="str">
        <f>IF(#REF!="","",VLOOKUP(#REF!,'Mitglieder BBU'!A:N,6,0))</f>
        <v>#REF!</v>
      </c>
      <c r="E87" s="82" t="str">
        <f>IF(#REF!="","",VLOOKUP(#REF!,'Mitglieder BBU'!A:N,6,0))</f>
        <v>#REF!</v>
      </c>
      <c r="F87" s="82"/>
      <c r="G87" s="75" t="str">
        <f>IFNA(VLOOKUP(B87,Datensammler!$B:$AA,24,0),"")</f>
        <v/>
      </c>
      <c r="H87" s="47"/>
      <c r="I87" s="47"/>
      <c r="J87" s="47"/>
      <c r="K87" s="76">
        <f t="shared" si="3"/>
        <v>0</v>
      </c>
      <c r="L87" s="75">
        <f>IFERROR('HI-LOW Berechnung'!AS86,0)</f>
        <v>0</v>
      </c>
      <c r="M87" s="47">
        <f>IFERROR('HI-LOW Berechnung'!AY86,0)</f>
        <v>0</v>
      </c>
      <c r="N87" s="76">
        <f>IFERROR('HI-LOW Berechnung'!BB86,0)</f>
        <v>0</v>
      </c>
      <c r="O87" s="75" t="str">
        <f>IFNA(VLOOKUP(B87,Datensammler!$B:$AA,25,0),"")</f>
        <v/>
      </c>
      <c r="P87" s="47"/>
      <c r="Q87" s="47"/>
      <c r="R87" s="47"/>
      <c r="S87" s="77">
        <f t="shared" si="4"/>
        <v>0</v>
      </c>
      <c r="T87" s="78" t="str">
        <f t="shared" ref="T87:U87" si="173">IF(G87=0,"",G87/O87)</f>
        <v>#DIV/0!</v>
      </c>
      <c r="U87" s="51" t="str">
        <f t="shared" si="173"/>
        <v/>
      </c>
      <c r="V87" s="51" t="str">
        <f t="shared" ref="V87:W87" si="174">IF(I87="","",I87/Q87)</f>
        <v/>
      </c>
      <c r="W87" s="51" t="str">
        <f t="shared" si="174"/>
        <v/>
      </c>
      <c r="X87" s="79" t="str">
        <f t="shared" si="7"/>
        <v/>
      </c>
      <c r="Y87" s="48">
        <v>82.0</v>
      </c>
      <c r="Z87" s="48">
        <f t="shared" si="8"/>
        <v>0</v>
      </c>
      <c r="AA87" s="48">
        <f t="shared" si="9"/>
        <v>0</v>
      </c>
      <c r="AB87" s="48">
        <v>82.0</v>
      </c>
      <c r="AC87" s="48">
        <f t="shared" si="10"/>
        <v>0</v>
      </c>
      <c r="AD87" s="48" t="str">
        <f t="shared" si="11"/>
        <v/>
      </c>
      <c r="AE87" s="72">
        <v>82.0</v>
      </c>
      <c r="AF87" s="83" t="str">
        <f t="shared" si="12"/>
        <v/>
      </c>
      <c r="AG87" s="72">
        <v>82.0</v>
      </c>
      <c r="AH87" s="48" t="str">
        <f t="shared" si="13"/>
        <v/>
      </c>
      <c r="AI87" s="84" t="str">
        <f t="shared" si="14"/>
        <v/>
      </c>
      <c r="AJ87" s="48"/>
      <c r="AK87" s="48"/>
      <c r="AL87" s="48"/>
      <c r="AM87" s="48"/>
      <c r="AN87" s="48"/>
      <c r="AO87" s="48"/>
      <c r="AP87" s="48"/>
      <c r="AQ87" s="48"/>
      <c r="AR87" s="48"/>
      <c r="AS87" s="48"/>
      <c r="AT87" s="48"/>
      <c r="AU87" s="48"/>
      <c r="AV87" s="48"/>
      <c r="AW87" s="48"/>
      <c r="AX87" s="48"/>
      <c r="AY87" s="48"/>
      <c r="AZ87" s="48"/>
      <c r="BA87" s="48"/>
      <c r="BB87" s="47"/>
      <c r="BC87" s="47"/>
      <c r="BD87" s="47"/>
      <c r="BE87" s="47"/>
      <c r="BF87" s="48"/>
      <c r="BG87" s="52"/>
      <c r="BH87" s="48"/>
      <c r="BI87" s="48"/>
      <c r="BJ87" s="48"/>
      <c r="BK87" s="48"/>
      <c r="BL87" s="48"/>
      <c r="BM87" s="48"/>
      <c r="BN87" s="48"/>
      <c r="BO87" s="48"/>
      <c r="BP87" s="85"/>
      <c r="BQ87" s="48"/>
    </row>
    <row r="88" ht="23.25" customHeight="1">
      <c r="A88" s="47">
        <v>83.0</v>
      </c>
      <c r="B88" s="88"/>
      <c r="C88" s="82" t="str">
        <f>IF(B88="","",VLOOKUP(B88,'Mitglieder BBU'!A:N,6,0))</f>
        <v/>
      </c>
      <c r="D88" s="82" t="str">
        <f>IF(#REF!="","",VLOOKUP(#REF!,'Mitglieder BBU'!A:N,6,0))</f>
        <v>#REF!</v>
      </c>
      <c r="E88" s="82" t="str">
        <f>IF(#REF!="","",VLOOKUP(#REF!,'Mitglieder BBU'!A:N,6,0))</f>
        <v>#REF!</v>
      </c>
      <c r="F88" s="82"/>
      <c r="G88" s="75" t="str">
        <f>IFNA(VLOOKUP(B88,Datensammler!$B:$AA,24,0),"")</f>
        <v/>
      </c>
      <c r="H88" s="47"/>
      <c r="I88" s="47"/>
      <c r="J88" s="47"/>
      <c r="K88" s="76">
        <f t="shared" si="3"/>
        <v>0</v>
      </c>
      <c r="L88" s="75">
        <f>IFERROR('HI-LOW Berechnung'!AS87,0)</f>
        <v>0</v>
      </c>
      <c r="M88" s="47">
        <f>IFERROR('HI-LOW Berechnung'!AY87,0)</f>
        <v>0</v>
      </c>
      <c r="N88" s="76">
        <f>IFERROR('HI-LOW Berechnung'!BB87,0)</f>
        <v>0</v>
      </c>
      <c r="O88" s="75" t="str">
        <f>IFNA(VLOOKUP(B88,Datensammler!$B:$AA,25,0),"")</f>
        <v/>
      </c>
      <c r="P88" s="47"/>
      <c r="Q88" s="47"/>
      <c r="R88" s="47"/>
      <c r="S88" s="77">
        <f t="shared" si="4"/>
        <v>0</v>
      </c>
      <c r="T88" s="78" t="str">
        <f t="shared" ref="T88:U88" si="175">IF(G88=0,"",G88/O88)</f>
        <v>#DIV/0!</v>
      </c>
      <c r="U88" s="51" t="str">
        <f t="shared" si="175"/>
        <v/>
      </c>
      <c r="V88" s="51" t="str">
        <f t="shared" ref="V88:W88" si="176">IF(I88="","",I88/Q88)</f>
        <v/>
      </c>
      <c r="W88" s="51" t="str">
        <f t="shared" si="176"/>
        <v/>
      </c>
      <c r="X88" s="79" t="str">
        <f t="shared" si="7"/>
        <v/>
      </c>
      <c r="Y88" s="48">
        <v>83.0</v>
      </c>
      <c r="Z88" s="48">
        <f t="shared" si="8"/>
        <v>0</v>
      </c>
      <c r="AA88" s="48">
        <f t="shared" si="9"/>
        <v>0</v>
      </c>
      <c r="AB88" s="48">
        <v>83.0</v>
      </c>
      <c r="AC88" s="48">
        <f t="shared" si="10"/>
        <v>0</v>
      </c>
      <c r="AD88" s="48" t="str">
        <f t="shared" si="11"/>
        <v/>
      </c>
      <c r="AE88" s="72">
        <v>83.0</v>
      </c>
      <c r="AF88" s="83" t="str">
        <f t="shared" si="12"/>
        <v/>
      </c>
      <c r="AG88" s="72">
        <v>83.0</v>
      </c>
      <c r="AH88" s="48" t="str">
        <f t="shared" si="13"/>
        <v/>
      </c>
      <c r="AI88" s="84" t="str">
        <f t="shared" si="14"/>
        <v/>
      </c>
      <c r="AJ88" s="48"/>
      <c r="AK88" s="48"/>
      <c r="AL88" s="48"/>
      <c r="AM88" s="48"/>
      <c r="AN88" s="48"/>
      <c r="AO88" s="48"/>
      <c r="AP88" s="48"/>
      <c r="AQ88" s="48"/>
      <c r="AR88" s="48"/>
      <c r="AS88" s="48"/>
      <c r="AT88" s="48"/>
      <c r="AU88" s="48"/>
      <c r="AV88" s="48"/>
      <c r="AW88" s="48"/>
      <c r="AX88" s="48"/>
      <c r="AY88" s="48"/>
      <c r="AZ88" s="48"/>
      <c r="BA88" s="48"/>
      <c r="BB88" s="47"/>
      <c r="BC88" s="47"/>
      <c r="BD88" s="47"/>
      <c r="BE88" s="47"/>
      <c r="BF88" s="48"/>
      <c r="BG88" s="52"/>
      <c r="BH88" s="48"/>
      <c r="BI88" s="48"/>
      <c r="BJ88" s="48"/>
      <c r="BK88" s="48"/>
      <c r="BL88" s="48"/>
      <c r="BM88" s="48"/>
      <c r="BN88" s="48"/>
      <c r="BO88" s="48"/>
      <c r="BP88" s="85"/>
      <c r="BQ88" s="48"/>
    </row>
    <row r="89" ht="23.25" customHeight="1">
      <c r="A89" s="47">
        <v>84.0</v>
      </c>
      <c r="B89" s="88"/>
      <c r="C89" s="82" t="str">
        <f>IF(B89="","",VLOOKUP(B89,'Mitglieder BBU'!A:N,6,0))</f>
        <v/>
      </c>
      <c r="D89" s="82" t="str">
        <f>IF(#REF!="","",VLOOKUP(#REF!,'Mitglieder BBU'!A:N,6,0))</f>
        <v>#REF!</v>
      </c>
      <c r="E89" s="82" t="str">
        <f>IF(#REF!="","",VLOOKUP(#REF!,'Mitglieder BBU'!A:N,6,0))</f>
        <v>#REF!</v>
      </c>
      <c r="F89" s="82"/>
      <c r="G89" s="75" t="str">
        <f>IFNA(VLOOKUP(B89,Datensammler!$B:$AA,24,0),"")</f>
        <v/>
      </c>
      <c r="H89" s="47"/>
      <c r="I89" s="47"/>
      <c r="J89" s="47"/>
      <c r="K89" s="76">
        <f t="shared" si="3"/>
        <v>0</v>
      </c>
      <c r="L89" s="75">
        <f>IFERROR('HI-LOW Berechnung'!AS88,0)</f>
        <v>0</v>
      </c>
      <c r="M89" s="47">
        <f>IFERROR('HI-LOW Berechnung'!AY88,0)</f>
        <v>0</v>
      </c>
      <c r="N89" s="76">
        <f>IFERROR('HI-LOW Berechnung'!BB88,0)</f>
        <v>0</v>
      </c>
      <c r="O89" s="75" t="str">
        <f>IFNA(VLOOKUP(B89,Datensammler!$B:$AA,25,0),"")</f>
        <v/>
      </c>
      <c r="P89" s="47"/>
      <c r="Q89" s="47"/>
      <c r="R89" s="47"/>
      <c r="S89" s="77">
        <f t="shared" si="4"/>
        <v>0</v>
      </c>
      <c r="T89" s="78" t="str">
        <f t="shared" ref="T89:U89" si="177">IF(G89=0,"",G89/O89)</f>
        <v>#DIV/0!</v>
      </c>
      <c r="U89" s="51" t="str">
        <f t="shared" si="177"/>
        <v/>
      </c>
      <c r="V89" s="51" t="str">
        <f t="shared" ref="V89:W89" si="178">IF(I89="","",I89/Q89)</f>
        <v/>
      </c>
      <c r="W89" s="51" t="str">
        <f t="shared" si="178"/>
        <v/>
      </c>
      <c r="X89" s="79" t="str">
        <f t="shared" si="7"/>
        <v/>
      </c>
      <c r="Y89" s="48">
        <v>84.0</v>
      </c>
      <c r="Z89" s="48">
        <f t="shared" si="8"/>
        <v>0</v>
      </c>
      <c r="AA89" s="48">
        <f t="shared" si="9"/>
        <v>0</v>
      </c>
      <c r="AB89" s="48">
        <v>84.0</v>
      </c>
      <c r="AC89" s="48">
        <f t="shared" si="10"/>
        <v>0</v>
      </c>
      <c r="AD89" s="48" t="str">
        <f t="shared" si="11"/>
        <v/>
      </c>
      <c r="AE89" s="72">
        <v>84.0</v>
      </c>
      <c r="AF89" s="83" t="str">
        <f t="shared" si="12"/>
        <v/>
      </c>
      <c r="AG89" s="72">
        <v>84.0</v>
      </c>
      <c r="AH89" s="48" t="str">
        <f t="shared" si="13"/>
        <v/>
      </c>
      <c r="AI89" s="84" t="str">
        <f t="shared" si="14"/>
        <v/>
      </c>
      <c r="AJ89" s="48"/>
      <c r="AK89" s="48"/>
      <c r="AL89" s="48"/>
      <c r="AM89" s="48"/>
      <c r="AN89" s="48"/>
      <c r="AO89" s="48"/>
      <c r="AP89" s="48"/>
      <c r="AQ89" s="48"/>
      <c r="AR89" s="48"/>
      <c r="AS89" s="48"/>
      <c r="AT89" s="48"/>
      <c r="AU89" s="48"/>
      <c r="AV89" s="48"/>
      <c r="AW89" s="48"/>
      <c r="AX89" s="48"/>
      <c r="AY89" s="48"/>
      <c r="AZ89" s="48"/>
      <c r="BA89" s="48"/>
      <c r="BB89" s="47"/>
      <c r="BC89" s="47"/>
      <c r="BD89" s="47"/>
      <c r="BE89" s="47"/>
      <c r="BF89" s="48"/>
      <c r="BG89" s="52"/>
      <c r="BH89" s="48"/>
      <c r="BI89" s="48"/>
      <c r="BJ89" s="48"/>
      <c r="BK89" s="48"/>
      <c r="BL89" s="48"/>
      <c r="BM89" s="48"/>
      <c r="BN89" s="48"/>
      <c r="BO89" s="48"/>
      <c r="BP89" s="85"/>
      <c r="BQ89" s="48"/>
    </row>
    <row r="90" ht="23.25" customHeight="1">
      <c r="A90" s="47">
        <v>85.0</v>
      </c>
      <c r="B90" s="88"/>
      <c r="C90" s="82" t="str">
        <f>IF(B90="","",VLOOKUP(B90,'Mitglieder BBU'!A:N,6,0))</f>
        <v/>
      </c>
      <c r="D90" s="82" t="str">
        <f>IF(#REF!="","",VLOOKUP(#REF!,'Mitglieder BBU'!A:N,6,0))</f>
        <v>#REF!</v>
      </c>
      <c r="E90" s="82" t="str">
        <f>IF(#REF!="","",VLOOKUP(#REF!,'Mitglieder BBU'!A:N,6,0))</f>
        <v>#REF!</v>
      </c>
      <c r="F90" s="82"/>
      <c r="G90" s="75" t="str">
        <f>IFNA(VLOOKUP(B90,Datensammler!$B:$AA,24,0),"")</f>
        <v/>
      </c>
      <c r="H90" s="47"/>
      <c r="I90" s="47"/>
      <c r="J90" s="47"/>
      <c r="K90" s="76">
        <f t="shared" si="3"/>
        <v>0</v>
      </c>
      <c r="L90" s="75">
        <f>IFERROR('HI-LOW Berechnung'!AS89,0)</f>
        <v>0</v>
      </c>
      <c r="M90" s="47">
        <f>IFERROR('HI-LOW Berechnung'!AY89,0)</f>
        <v>0</v>
      </c>
      <c r="N90" s="76">
        <f>IFERROR('HI-LOW Berechnung'!BB89,0)</f>
        <v>0</v>
      </c>
      <c r="O90" s="75" t="str">
        <f>IFNA(VLOOKUP(B90,Datensammler!$B:$AA,25,0),"")</f>
        <v/>
      </c>
      <c r="P90" s="47"/>
      <c r="Q90" s="47"/>
      <c r="R90" s="47"/>
      <c r="S90" s="77">
        <f t="shared" si="4"/>
        <v>0</v>
      </c>
      <c r="T90" s="78" t="str">
        <f t="shared" ref="T90:U90" si="179">IF(G90=0,"",G90/O90)</f>
        <v>#DIV/0!</v>
      </c>
      <c r="U90" s="51" t="str">
        <f t="shared" si="179"/>
        <v/>
      </c>
      <c r="V90" s="51" t="str">
        <f t="shared" ref="V90:W90" si="180">IF(I90="","",I90/Q90)</f>
        <v/>
      </c>
      <c r="W90" s="51" t="str">
        <f t="shared" si="180"/>
        <v/>
      </c>
      <c r="X90" s="79" t="str">
        <f t="shared" si="7"/>
        <v/>
      </c>
      <c r="Y90" s="48">
        <v>85.0</v>
      </c>
      <c r="Z90" s="48">
        <f t="shared" si="8"/>
        <v>0</v>
      </c>
      <c r="AA90" s="48">
        <f t="shared" si="9"/>
        <v>0</v>
      </c>
      <c r="AB90" s="48">
        <v>85.0</v>
      </c>
      <c r="AC90" s="48">
        <f t="shared" si="10"/>
        <v>0</v>
      </c>
      <c r="AD90" s="48" t="str">
        <f t="shared" si="11"/>
        <v/>
      </c>
      <c r="AE90" s="72">
        <v>85.0</v>
      </c>
      <c r="AF90" s="83" t="str">
        <f t="shared" si="12"/>
        <v/>
      </c>
      <c r="AG90" s="72">
        <v>85.0</v>
      </c>
      <c r="AH90" s="48" t="str">
        <f t="shared" si="13"/>
        <v/>
      </c>
      <c r="AI90" s="84" t="str">
        <f t="shared" si="14"/>
        <v/>
      </c>
      <c r="AJ90" s="48"/>
      <c r="AK90" s="48"/>
      <c r="AL90" s="48"/>
      <c r="AM90" s="48"/>
      <c r="AN90" s="48"/>
      <c r="AO90" s="48"/>
      <c r="AP90" s="48"/>
      <c r="AQ90" s="48"/>
      <c r="AR90" s="48"/>
      <c r="AS90" s="48"/>
      <c r="AT90" s="48"/>
      <c r="AU90" s="48"/>
      <c r="AV90" s="48"/>
      <c r="AW90" s="48"/>
      <c r="AX90" s="48"/>
      <c r="AY90" s="48"/>
      <c r="AZ90" s="48"/>
      <c r="BA90" s="48"/>
      <c r="BB90" s="47"/>
      <c r="BC90" s="47"/>
      <c r="BD90" s="47"/>
      <c r="BE90" s="47"/>
      <c r="BF90" s="48"/>
      <c r="BG90" s="52"/>
      <c r="BH90" s="48"/>
      <c r="BI90" s="48"/>
      <c r="BJ90" s="48"/>
      <c r="BK90" s="48"/>
      <c r="BL90" s="48"/>
      <c r="BM90" s="48"/>
      <c r="BN90" s="48"/>
      <c r="BO90" s="48"/>
      <c r="BP90" s="85"/>
      <c r="BQ90" s="48"/>
    </row>
    <row r="91" ht="23.25" customHeight="1">
      <c r="A91" s="47">
        <v>86.0</v>
      </c>
      <c r="B91" s="88"/>
      <c r="C91" s="82" t="str">
        <f>IF(B91="","",VLOOKUP(B91,'Mitglieder BBU'!A:N,6,0))</f>
        <v/>
      </c>
      <c r="D91" s="82" t="str">
        <f>IF(#REF!="","",VLOOKUP(#REF!,'Mitglieder BBU'!A:N,6,0))</f>
        <v>#REF!</v>
      </c>
      <c r="E91" s="82" t="str">
        <f>IF(#REF!="","",VLOOKUP(#REF!,'Mitglieder BBU'!A:N,6,0))</f>
        <v>#REF!</v>
      </c>
      <c r="F91" s="82"/>
      <c r="G91" s="75" t="str">
        <f>IFNA(VLOOKUP(B91,Datensammler!$B:$AA,24,0),"")</f>
        <v/>
      </c>
      <c r="H91" s="47"/>
      <c r="I91" s="47"/>
      <c r="J91" s="47"/>
      <c r="K91" s="76">
        <f t="shared" si="3"/>
        <v>0</v>
      </c>
      <c r="L91" s="75">
        <f>IFERROR('HI-LOW Berechnung'!AS90,0)</f>
        <v>0</v>
      </c>
      <c r="M91" s="47">
        <f>IFERROR('HI-LOW Berechnung'!AY90,0)</f>
        <v>0</v>
      </c>
      <c r="N91" s="76">
        <f>IFERROR('HI-LOW Berechnung'!BB90,0)</f>
        <v>0</v>
      </c>
      <c r="O91" s="75" t="str">
        <f>IFNA(VLOOKUP(B91,Datensammler!$B:$AA,25,0),"")</f>
        <v/>
      </c>
      <c r="P91" s="47"/>
      <c r="Q91" s="47"/>
      <c r="R91" s="47"/>
      <c r="S91" s="77">
        <f t="shared" si="4"/>
        <v>0</v>
      </c>
      <c r="T91" s="78" t="str">
        <f t="shared" ref="T91:U91" si="181">IF(G91=0,"",G91/O91)</f>
        <v>#DIV/0!</v>
      </c>
      <c r="U91" s="51" t="str">
        <f t="shared" si="181"/>
        <v/>
      </c>
      <c r="V91" s="51" t="str">
        <f t="shared" ref="V91:W91" si="182">IF(I91="","",I91/Q91)</f>
        <v/>
      </c>
      <c r="W91" s="51" t="str">
        <f t="shared" si="182"/>
        <v/>
      </c>
      <c r="X91" s="79" t="str">
        <f t="shared" si="7"/>
        <v/>
      </c>
      <c r="Y91" s="48">
        <v>86.0</v>
      </c>
      <c r="Z91" s="48">
        <f t="shared" si="8"/>
        <v>0</v>
      </c>
      <c r="AA91" s="48">
        <f t="shared" si="9"/>
        <v>0</v>
      </c>
      <c r="AB91" s="48">
        <v>86.0</v>
      </c>
      <c r="AC91" s="48">
        <f t="shared" si="10"/>
        <v>0</v>
      </c>
      <c r="AD91" s="48" t="str">
        <f t="shared" si="11"/>
        <v/>
      </c>
      <c r="AE91" s="72">
        <v>86.0</v>
      </c>
      <c r="AF91" s="83" t="str">
        <f t="shared" si="12"/>
        <v/>
      </c>
      <c r="AG91" s="72">
        <v>86.0</v>
      </c>
      <c r="AH91" s="48" t="str">
        <f t="shared" si="13"/>
        <v/>
      </c>
      <c r="AI91" s="84" t="str">
        <f t="shared" si="14"/>
        <v/>
      </c>
      <c r="AJ91" s="48"/>
      <c r="AK91" s="48"/>
      <c r="AL91" s="48"/>
      <c r="AM91" s="48"/>
      <c r="AN91" s="48"/>
      <c r="AO91" s="48"/>
      <c r="AP91" s="48"/>
      <c r="AQ91" s="48"/>
      <c r="AR91" s="48"/>
      <c r="AS91" s="48"/>
      <c r="AT91" s="48"/>
      <c r="AU91" s="48"/>
      <c r="AV91" s="48"/>
      <c r="AW91" s="48"/>
      <c r="AX91" s="48"/>
      <c r="AY91" s="48"/>
      <c r="AZ91" s="48"/>
      <c r="BA91" s="48"/>
      <c r="BB91" s="47"/>
      <c r="BC91" s="47"/>
      <c r="BD91" s="47"/>
      <c r="BE91" s="47"/>
      <c r="BF91" s="48"/>
      <c r="BG91" s="52"/>
      <c r="BH91" s="48"/>
      <c r="BI91" s="48"/>
      <c r="BJ91" s="48"/>
      <c r="BK91" s="48"/>
      <c r="BL91" s="48"/>
      <c r="BM91" s="48"/>
      <c r="BN91" s="48"/>
      <c r="BO91" s="48"/>
      <c r="BP91" s="85"/>
      <c r="BQ91" s="48"/>
    </row>
    <row r="92" ht="23.25" customHeight="1">
      <c r="A92" s="47">
        <v>87.0</v>
      </c>
      <c r="B92" s="88"/>
      <c r="C92" s="82" t="str">
        <f>IF(B92="","",VLOOKUP(B92,'Mitglieder BBU'!A:N,6,0))</f>
        <v/>
      </c>
      <c r="D92" s="82" t="str">
        <f>IF(#REF!="","",VLOOKUP(#REF!,'Mitglieder BBU'!A:N,6,0))</f>
        <v>#REF!</v>
      </c>
      <c r="E92" s="82" t="str">
        <f>IF(#REF!="","",VLOOKUP(#REF!,'Mitglieder BBU'!A:N,6,0))</f>
        <v>#REF!</v>
      </c>
      <c r="F92" s="82"/>
      <c r="G92" s="75" t="str">
        <f>IFNA(VLOOKUP(B92,Datensammler!$B:$AA,24,0),"")</f>
        <v/>
      </c>
      <c r="H92" s="47"/>
      <c r="I92" s="47"/>
      <c r="J92" s="47"/>
      <c r="K92" s="76">
        <f t="shared" si="3"/>
        <v>0</v>
      </c>
      <c r="L92" s="75">
        <f>IFERROR('HI-LOW Berechnung'!AS91,0)</f>
        <v>0</v>
      </c>
      <c r="M92" s="47">
        <f>IFERROR('HI-LOW Berechnung'!AY91,0)</f>
        <v>0</v>
      </c>
      <c r="N92" s="76">
        <f>IFERROR('HI-LOW Berechnung'!BB91,0)</f>
        <v>0</v>
      </c>
      <c r="O92" s="75" t="str">
        <f>IFNA(VLOOKUP(B92,Datensammler!$B:$AA,25,0),"")</f>
        <v/>
      </c>
      <c r="P92" s="47"/>
      <c r="Q92" s="47"/>
      <c r="R92" s="47"/>
      <c r="S92" s="77">
        <f t="shared" si="4"/>
        <v>0</v>
      </c>
      <c r="T92" s="78" t="str">
        <f t="shared" ref="T92:U92" si="183">IF(G92=0,"",G92/O92)</f>
        <v>#DIV/0!</v>
      </c>
      <c r="U92" s="51" t="str">
        <f t="shared" si="183"/>
        <v/>
      </c>
      <c r="V92" s="51" t="str">
        <f t="shared" ref="V92:W92" si="184">IF(I92="","",I92/Q92)</f>
        <v/>
      </c>
      <c r="W92" s="51" t="str">
        <f t="shared" si="184"/>
        <v/>
      </c>
      <c r="X92" s="79" t="str">
        <f t="shared" si="7"/>
        <v/>
      </c>
      <c r="Y92" s="48">
        <v>87.0</v>
      </c>
      <c r="Z92" s="48">
        <f t="shared" si="8"/>
        <v>0</v>
      </c>
      <c r="AA92" s="48">
        <f t="shared" si="9"/>
        <v>0</v>
      </c>
      <c r="AB92" s="48">
        <v>87.0</v>
      </c>
      <c r="AC92" s="48">
        <f t="shared" si="10"/>
        <v>0</v>
      </c>
      <c r="AD92" s="48" t="str">
        <f t="shared" si="11"/>
        <v/>
      </c>
      <c r="AE92" s="72">
        <v>87.0</v>
      </c>
      <c r="AF92" s="83" t="str">
        <f t="shared" si="12"/>
        <v/>
      </c>
      <c r="AG92" s="72">
        <v>87.0</v>
      </c>
      <c r="AH92" s="48" t="str">
        <f t="shared" si="13"/>
        <v/>
      </c>
      <c r="AI92" s="84" t="str">
        <f t="shared" si="14"/>
        <v/>
      </c>
      <c r="AJ92" s="48"/>
      <c r="AK92" s="48"/>
      <c r="AL92" s="48"/>
      <c r="AM92" s="48"/>
      <c r="AN92" s="48"/>
      <c r="AO92" s="48"/>
      <c r="AP92" s="48"/>
      <c r="AQ92" s="48"/>
      <c r="AR92" s="48"/>
      <c r="AS92" s="48"/>
      <c r="AT92" s="48"/>
      <c r="AU92" s="48"/>
      <c r="AV92" s="48"/>
      <c r="AW92" s="48"/>
      <c r="AX92" s="48"/>
      <c r="AY92" s="48"/>
      <c r="AZ92" s="48"/>
      <c r="BA92" s="48"/>
      <c r="BB92" s="47"/>
      <c r="BC92" s="47"/>
      <c r="BD92" s="47"/>
      <c r="BE92" s="47"/>
      <c r="BF92" s="48"/>
      <c r="BG92" s="52"/>
      <c r="BH92" s="48"/>
      <c r="BI92" s="48"/>
      <c r="BJ92" s="48"/>
      <c r="BK92" s="48"/>
      <c r="BL92" s="48"/>
      <c r="BM92" s="48"/>
      <c r="BN92" s="48"/>
      <c r="BO92" s="48"/>
      <c r="BP92" s="85"/>
      <c r="BQ92" s="48"/>
    </row>
    <row r="93" ht="23.25" customHeight="1">
      <c r="A93" s="47">
        <v>88.0</v>
      </c>
      <c r="B93" s="88"/>
      <c r="C93" s="82" t="str">
        <f>IF(B93="","",VLOOKUP(B93,'Mitglieder BBU'!A:N,6,0))</f>
        <v/>
      </c>
      <c r="D93" s="82" t="str">
        <f>IF(#REF!="","",VLOOKUP(#REF!,'Mitglieder BBU'!A:N,6,0))</f>
        <v>#REF!</v>
      </c>
      <c r="E93" s="82" t="str">
        <f>IF(#REF!="","",VLOOKUP(#REF!,'Mitglieder BBU'!A:N,6,0))</f>
        <v>#REF!</v>
      </c>
      <c r="F93" s="82"/>
      <c r="G93" s="75" t="str">
        <f>IFNA(VLOOKUP(B93,Datensammler!$B:$AA,24,0),"")</f>
        <v/>
      </c>
      <c r="H93" s="47"/>
      <c r="I93" s="47"/>
      <c r="J93" s="47"/>
      <c r="K93" s="76">
        <f t="shared" si="3"/>
        <v>0</v>
      </c>
      <c r="L93" s="75">
        <f>IFERROR('HI-LOW Berechnung'!AS92,0)</f>
        <v>0</v>
      </c>
      <c r="M93" s="47">
        <f>IFERROR('HI-LOW Berechnung'!AY92,0)</f>
        <v>0</v>
      </c>
      <c r="N93" s="76">
        <f>IFERROR('HI-LOW Berechnung'!BB92,0)</f>
        <v>0</v>
      </c>
      <c r="O93" s="75" t="str">
        <f>IFNA(VLOOKUP(B93,Datensammler!$B:$AA,25,0),"")</f>
        <v/>
      </c>
      <c r="P93" s="47"/>
      <c r="Q93" s="47"/>
      <c r="R93" s="47"/>
      <c r="S93" s="77">
        <f t="shared" si="4"/>
        <v>0</v>
      </c>
      <c r="T93" s="78" t="str">
        <f t="shared" ref="T93:U93" si="185">IF(G93=0,"",G93/O93)</f>
        <v>#DIV/0!</v>
      </c>
      <c r="U93" s="51" t="str">
        <f t="shared" si="185"/>
        <v/>
      </c>
      <c r="V93" s="51" t="str">
        <f t="shared" ref="V93:W93" si="186">IF(I93="","",I93/Q93)</f>
        <v/>
      </c>
      <c r="W93" s="51" t="str">
        <f t="shared" si="186"/>
        <v/>
      </c>
      <c r="X93" s="79" t="str">
        <f t="shared" si="7"/>
        <v/>
      </c>
      <c r="Y93" s="48">
        <v>88.0</v>
      </c>
      <c r="Z93" s="48">
        <f t="shared" si="8"/>
        <v>0</v>
      </c>
      <c r="AA93" s="48">
        <f t="shared" si="9"/>
        <v>0</v>
      </c>
      <c r="AB93" s="48">
        <v>88.0</v>
      </c>
      <c r="AC93" s="48">
        <f t="shared" si="10"/>
        <v>0</v>
      </c>
      <c r="AD93" s="48" t="str">
        <f t="shared" si="11"/>
        <v/>
      </c>
      <c r="AE93" s="72">
        <v>88.0</v>
      </c>
      <c r="AF93" s="83" t="str">
        <f t="shared" si="12"/>
        <v/>
      </c>
      <c r="AG93" s="72">
        <v>88.0</v>
      </c>
      <c r="AH93" s="48" t="str">
        <f t="shared" si="13"/>
        <v/>
      </c>
      <c r="AI93" s="84" t="str">
        <f t="shared" si="14"/>
        <v/>
      </c>
      <c r="AJ93" s="48"/>
      <c r="AK93" s="48"/>
      <c r="AL93" s="48"/>
      <c r="AM93" s="48"/>
      <c r="AN93" s="48"/>
      <c r="AO93" s="48"/>
      <c r="AP93" s="48"/>
      <c r="AQ93" s="48"/>
      <c r="AR93" s="48"/>
      <c r="AS93" s="48"/>
      <c r="AT93" s="48"/>
      <c r="AU93" s="48"/>
      <c r="AV93" s="48"/>
      <c r="AW93" s="48"/>
      <c r="AX93" s="48"/>
      <c r="AY93" s="48"/>
      <c r="AZ93" s="48"/>
      <c r="BA93" s="48"/>
      <c r="BB93" s="47"/>
      <c r="BC93" s="47"/>
      <c r="BD93" s="47"/>
      <c r="BE93" s="47"/>
      <c r="BF93" s="48"/>
      <c r="BG93" s="52"/>
      <c r="BH93" s="48"/>
      <c r="BI93" s="48"/>
      <c r="BJ93" s="48"/>
      <c r="BK93" s="48"/>
      <c r="BL93" s="48"/>
      <c r="BM93" s="48"/>
      <c r="BN93" s="48"/>
      <c r="BO93" s="48"/>
      <c r="BP93" s="85"/>
      <c r="BQ93" s="48"/>
    </row>
    <row r="94" ht="23.25" customHeight="1">
      <c r="A94" s="47">
        <v>89.0</v>
      </c>
      <c r="B94" s="88"/>
      <c r="C94" s="82" t="str">
        <f>IF(B94="","",VLOOKUP(B94,'Mitglieder BBU'!A:N,6,0))</f>
        <v/>
      </c>
      <c r="D94" s="82" t="str">
        <f>IF(#REF!="","",VLOOKUP(#REF!,'Mitglieder BBU'!A:N,6,0))</f>
        <v>#REF!</v>
      </c>
      <c r="E94" s="82" t="str">
        <f>IF(#REF!="","",VLOOKUP(#REF!,'Mitglieder BBU'!A:N,6,0))</f>
        <v>#REF!</v>
      </c>
      <c r="F94" s="82"/>
      <c r="G94" s="75" t="str">
        <f>IFNA(VLOOKUP(B94,Datensammler!$B:$AA,24,0),"")</f>
        <v/>
      </c>
      <c r="H94" s="47"/>
      <c r="I94" s="47"/>
      <c r="J94" s="47"/>
      <c r="K94" s="76">
        <f t="shared" si="3"/>
        <v>0</v>
      </c>
      <c r="L94" s="75">
        <f>IFERROR('HI-LOW Berechnung'!AS93,0)</f>
        <v>0</v>
      </c>
      <c r="M94" s="47">
        <f>IFERROR('HI-LOW Berechnung'!AY93,0)</f>
        <v>0</v>
      </c>
      <c r="N94" s="76">
        <f>IFERROR('HI-LOW Berechnung'!BB93,0)</f>
        <v>0</v>
      </c>
      <c r="O94" s="75" t="str">
        <f>IFNA(VLOOKUP(B94,Datensammler!$B:$AA,25,0),"")</f>
        <v/>
      </c>
      <c r="P94" s="47"/>
      <c r="Q94" s="47"/>
      <c r="R94" s="47"/>
      <c r="S94" s="77">
        <f t="shared" si="4"/>
        <v>0</v>
      </c>
      <c r="T94" s="78" t="str">
        <f t="shared" ref="T94:U94" si="187">IF(G94=0,"",G94/O94)</f>
        <v>#DIV/0!</v>
      </c>
      <c r="U94" s="51" t="str">
        <f t="shared" si="187"/>
        <v/>
      </c>
      <c r="V94" s="51" t="str">
        <f t="shared" ref="V94:W94" si="188">IF(I94="","",I94/Q94)</f>
        <v/>
      </c>
      <c r="W94" s="51" t="str">
        <f t="shared" si="188"/>
        <v/>
      </c>
      <c r="X94" s="79" t="str">
        <f t="shared" si="7"/>
        <v/>
      </c>
      <c r="Y94" s="48">
        <v>89.0</v>
      </c>
      <c r="Z94" s="48">
        <f t="shared" si="8"/>
        <v>0</v>
      </c>
      <c r="AA94" s="48">
        <f t="shared" si="9"/>
        <v>0</v>
      </c>
      <c r="AB94" s="48">
        <v>89.0</v>
      </c>
      <c r="AC94" s="48">
        <f t="shared" si="10"/>
        <v>0</v>
      </c>
      <c r="AD94" s="48" t="str">
        <f t="shared" si="11"/>
        <v/>
      </c>
      <c r="AE94" s="72">
        <v>89.0</v>
      </c>
      <c r="AF94" s="83" t="str">
        <f t="shared" si="12"/>
        <v/>
      </c>
      <c r="AG94" s="72">
        <v>89.0</v>
      </c>
      <c r="AH94" s="48" t="str">
        <f t="shared" si="13"/>
        <v/>
      </c>
      <c r="AI94" s="84" t="str">
        <f t="shared" si="14"/>
        <v/>
      </c>
      <c r="AJ94" s="48"/>
      <c r="AK94" s="48"/>
      <c r="AL94" s="48"/>
      <c r="AM94" s="48"/>
      <c r="AN94" s="48"/>
      <c r="AO94" s="48"/>
      <c r="AP94" s="48"/>
      <c r="AQ94" s="48"/>
      <c r="AR94" s="48"/>
      <c r="AS94" s="48"/>
      <c r="AT94" s="48"/>
      <c r="AU94" s="48"/>
      <c r="AV94" s="48"/>
      <c r="AW94" s="48"/>
      <c r="AX94" s="48"/>
      <c r="AY94" s="48"/>
      <c r="AZ94" s="48"/>
      <c r="BA94" s="48"/>
      <c r="BB94" s="47"/>
      <c r="BC94" s="47"/>
      <c r="BD94" s="47"/>
      <c r="BE94" s="47"/>
      <c r="BF94" s="48"/>
      <c r="BG94" s="52"/>
      <c r="BH94" s="48"/>
      <c r="BI94" s="48"/>
      <c r="BJ94" s="48"/>
      <c r="BK94" s="48"/>
      <c r="BL94" s="48"/>
      <c r="BM94" s="48"/>
      <c r="BN94" s="48"/>
      <c r="BO94" s="48"/>
      <c r="BP94" s="85"/>
      <c r="BQ94" s="48"/>
    </row>
    <row r="95" ht="23.25" customHeight="1">
      <c r="A95" s="47">
        <v>90.0</v>
      </c>
      <c r="B95" s="88"/>
      <c r="C95" s="82" t="str">
        <f>IF(B95="","",VLOOKUP(B95,'Mitglieder BBU'!A:N,6,0))</f>
        <v/>
      </c>
      <c r="D95" s="82" t="str">
        <f>IF(#REF!="","",VLOOKUP(#REF!,'Mitglieder BBU'!A:N,6,0))</f>
        <v>#REF!</v>
      </c>
      <c r="E95" s="82" t="str">
        <f>IF(#REF!="","",VLOOKUP(#REF!,'Mitglieder BBU'!A:N,6,0))</f>
        <v>#REF!</v>
      </c>
      <c r="F95" s="82"/>
      <c r="G95" s="75" t="str">
        <f>IFNA(VLOOKUP(B95,Datensammler!$B:$AA,24,0),"")</f>
        <v/>
      </c>
      <c r="H95" s="47"/>
      <c r="I95" s="47"/>
      <c r="J95" s="47"/>
      <c r="K95" s="76">
        <f t="shared" si="3"/>
        <v>0</v>
      </c>
      <c r="L95" s="75">
        <f>IFERROR('HI-LOW Berechnung'!AS94,0)</f>
        <v>0</v>
      </c>
      <c r="M95" s="47">
        <f>IFERROR('HI-LOW Berechnung'!AY94,0)</f>
        <v>0</v>
      </c>
      <c r="N95" s="76">
        <f>IFERROR('HI-LOW Berechnung'!BB94,0)</f>
        <v>0</v>
      </c>
      <c r="O95" s="75" t="str">
        <f>IFNA(VLOOKUP(B95,Datensammler!$B:$AA,25,0),"")</f>
        <v/>
      </c>
      <c r="P95" s="47"/>
      <c r="Q95" s="47"/>
      <c r="R95" s="47"/>
      <c r="S95" s="77">
        <f t="shared" si="4"/>
        <v>0</v>
      </c>
      <c r="T95" s="78" t="str">
        <f t="shared" ref="T95:U95" si="189">IF(G95=0,"",G95/O95)</f>
        <v>#DIV/0!</v>
      </c>
      <c r="U95" s="51" t="str">
        <f t="shared" si="189"/>
        <v/>
      </c>
      <c r="V95" s="51" t="str">
        <f t="shared" ref="V95:W95" si="190">IF(I95="","",I95/Q95)</f>
        <v/>
      </c>
      <c r="W95" s="51" t="str">
        <f t="shared" si="190"/>
        <v/>
      </c>
      <c r="X95" s="79" t="str">
        <f t="shared" si="7"/>
        <v/>
      </c>
      <c r="Y95" s="48">
        <v>90.0</v>
      </c>
      <c r="Z95" s="48">
        <f t="shared" si="8"/>
        <v>0</v>
      </c>
      <c r="AA95" s="48">
        <f t="shared" si="9"/>
        <v>0</v>
      </c>
      <c r="AB95" s="48">
        <v>90.0</v>
      </c>
      <c r="AC95" s="48">
        <f t="shared" si="10"/>
        <v>0</v>
      </c>
      <c r="AD95" s="48" t="str">
        <f t="shared" si="11"/>
        <v/>
      </c>
      <c r="AE95" s="72">
        <v>90.0</v>
      </c>
      <c r="AF95" s="83" t="str">
        <f t="shared" si="12"/>
        <v/>
      </c>
      <c r="AG95" s="72">
        <v>90.0</v>
      </c>
      <c r="AH95" s="48" t="str">
        <f t="shared" si="13"/>
        <v/>
      </c>
      <c r="AI95" s="84" t="str">
        <f t="shared" si="14"/>
        <v/>
      </c>
      <c r="AJ95" s="48"/>
      <c r="AK95" s="48"/>
      <c r="AL95" s="48"/>
      <c r="AM95" s="48"/>
      <c r="AN95" s="48"/>
      <c r="AO95" s="48"/>
      <c r="AP95" s="48"/>
      <c r="AQ95" s="48"/>
      <c r="AR95" s="48"/>
      <c r="AS95" s="48"/>
      <c r="AT95" s="48"/>
      <c r="AU95" s="48"/>
      <c r="AV95" s="48"/>
      <c r="AW95" s="48"/>
      <c r="AX95" s="48"/>
      <c r="AY95" s="48"/>
      <c r="AZ95" s="48"/>
      <c r="BA95" s="48"/>
      <c r="BB95" s="47"/>
      <c r="BC95" s="47"/>
      <c r="BD95" s="47"/>
      <c r="BE95" s="47"/>
      <c r="BF95" s="48"/>
      <c r="BG95" s="52"/>
      <c r="BH95" s="48"/>
      <c r="BI95" s="48"/>
      <c r="BJ95" s="48"/>
      <c r="BK95" s="48"/>
      <c r="BL95" s="48"/>
      <c r="BM95" s="48"/>
      <c r="BN95" s="48"/>
      <c r="BO95" s="48"/>
      <c r="BP95" s="85"/>
      <c r="BQ95" s="48"/>
    </row>
    <row r="96" ht="23.25" customHeight="1">
      <c r="A96" s="47">
        <v>91.0</v>
      </c>
      <c r="B96" s="88"/>
      <c r="C96" s="82" t="str">
        <f>IF(B96="","",VLOOKUP(B96,'Mitglieder BBU'!A:N,6,0))</f>
        <v/>
      </c>
      <c r="D96" s="82" t="str">
        <f>IF(#REF!="","",VLOOKUP(#REF!,'Mitglieder BBU'!A:N,6,0))</f>
        <v>#REF!</v>
      </c>
      <c r="E96" s="82" t="str">
        <f>IF(#REF!="","",VLOOKUP(#REF!,'Mitglieder BBU'!A:N,6,0))</f>
        <v>#REF!</v>
      </c>
      <c r="F96" s="82"/>
      <c r="G96" s="75" t="str">
        <f>IFNA(VLOOKUP(B96,Datensammler!$B:$AA,24,0),"")</f>
        <v/>
      </c>
      <c r="H96" s="47"/>
      <c r="I96" s="47"/>
      <c r="J96" s="47"/>
      <c r="K96" s="76">
        <f t="shared" si="3"/>
        <v>0</v>
      </c>
      <c r="L96" s="75">
        <f>IFERROR('HI-LOW Berechnung'!AS95,0)</f>
        <v>0</v>
      </c>
      <c r="M96" s="47">
        <f>IFERROR('HI-LOW Berechnung'!AY95,0)</f>
        <v>0</v>
      </c>
      <c r="N96" s="76">
        <f>IFERROR('HI-LOW Berechnung'!BB95,0)</f>
        <v>0</v>
      </c>
      <c r="O96" s="75" t="str">
        <f>IFNA(VLOOKUP(B96,Datensammler!$B:$AA,25,0),"")</f>
        <v/>
      </c>
      <c r="P96" s="47"/>
      <c r="Q96" s="47"/>
      <c r="R96" s="47"/>
      <c r="S96" s="77">
        <f t="shared" si="4"/>
        <v>0</v>
      </c>
      <c r="T96" s="78" t="str">
        <f t="shared" ref="T96:U96" si="191">IF(G96=0,"",G96/O96)</f>
        <v>#DIV/0!</v>
      </c>
      <c r="U96" s="51" t="str">
        <f t="shared" si="191"/>
        <v/>
      </c>
      <c r="V96" s="51" t="str">
        <f t="shared" ref="V96:W96" si="192">IF(I96="","",I96/Q96)</f>
        <v/>
      </c>
      <c r="W96" s="51" t="str">
        <f t="shared" si="192"/>
        <v/>
      </c>
      <c r="X96" s="79" t="str">
        <f t="shared" si="7"/>
        <v/>
      </c>
      <c r="Y96" s="48">
        <v>91.0</v>
      </c>
      <c r="Z96" s="48">
        <f t="shared" si="8"/>
        <v>0</v>
      </c>
      <c r="AA96" s="48">
        <f t="shared" si="9"/>
        <v>0</v>
      </c>
      <c r="AB96" s="48">
        <v>91.0</v>
      </c>
      <c r="AC96" s="48">
        <f t="shared" si="10"/>
        <v>0</v>
      </c>
      <c r="AD96" s="48" t="str">
        <f t="shared" si="11"/>
        <v/>
      </c>
      <c r="AE96" s="72">
        <v>91.0</v>
      </c>
      <c r="AF96" s="83" t="str">
        <f t="shared" si="12"/>
        <v/>
      </c>
      <c r="AG96" s="72">
        <v>91.0</v>
      </c>
      <c r="AH96" s="48" t="str">
        <f t="shared" si="13"/>
        <v/>
      </c>
      <c r="AI96" s="84" t="str">
        <f t="shared" si="14"/>
        <v/>
      </c>
      <c r="AJ96" s="48"/>
      <c r="AK96" s="48"/>
      <c r="AL96" s="48"/>
      <c r="AM96" s="48"/>
      <c r="AN96" s="48"/>
      <c r="AO96" s="48"/>
      <c r="AP96" s="48"/>
      <c r="AQ96" s="48"/>
      <c r="AR96" s="48"/>
      <c r="AS96" s="48"/>
      <c r="AT96" s="48"/>
      <c r="AU96" s="48"/>
      <c r="AV96" s="48"/>
      <c r="AW96" s="48"/>
      <c r="AX96" s="48"/>
      <c r="AY96" s="48"/>
      <c r="AZ96" s="48"/>
      <c r="BA96" s="48"/>
      <c r="BB96" s="47"/>
      <c r="BC96" s="47"/>
      <c r="BD96" s="47"/>
      <c r="BE96" s="47"/>
      <c r="BF96" s="48"/>
      <c r="BG96" s="52"/>
      <c r="BH96" s="48"/>
      <c r="BI96" s="48"/>
      <c r="BJ96" s="48"/>
      <c r="BK96" s="48"/>
      <c r="BL96" s="48"/>
      <c r="BM96" s="48"/>
      <c r="BN96" s="48"/>
      <c r="BO96" s="48"/>
      <c r="BP96" s="85"/>
      <c r="BQ96" s="48"/>
    </row>
    <row r="97" ht="23.25" customHeight="1">
      <c r="A97" s="47">
        <v>92.0</v>
      </c>
      <c r="B97" s="88"/>
      <c r="C97" s="82" t="str">
        <f>IF(B97="","",VLOOKUP(B97,'Mitglieder BBU'!A:N,6,0))</f>
        <v/>
      </c>
      <c r="D97" s="82" t="str">
        <f>IF(#REF!="","",VLOOKUP(#REF!,'Mitglieder BBU'!A:N,6,0))</f>
        <v>#REF!</v>
      </c>
      <c r="E97" s="82" t="str">
        <f>IF(#REF!="","",VLOOKUP(#REF!,'Mitglieder BBU'!A:N,6,0))</f>
        <v>#REF!</v>
      </c>
      <c r="F97" s="62"/>
      <c r="G97" s="75" t="str">
        <f>IFNA(VLOOKUP(B97,Datensammler!$B:$AA,24,0),"")</f>
        <v/>
      </c>
      <c r="H97" s="47"/>
      <c r="I97" s="47"/>
      <c r="J97" s="47"/>
      <c r="K97" s="76">
        <f t="shared" si="3"/>
        <v>0</v>
      </c>
      <c r="L97" s="75">
        <f>IFERROR('HI-LOW Berechnung'!AS96,0)</f>
        <v>0</v>
      </c>
      <c r="M97" s="47">
        <f>IFERROR('HI-LOW Berechnung'!AY96,0)</f>
        <v>0</v>
      </c>
      <c r="N97" s="76">
        <f>IFERROR('HI-LOW Berechnung'!BB96,0)</f>
        <v>0</v>
      </c>
      <c r="O97" s="75" t="str">
        <f>IFNA(VLOOKUP(B97,Datensammler!$B:$AA,25,0),"")</f>
        <v/>
      </c>
      <c r="P97" s="47"/>
      <c r="Q97" s="47"/>
      <c r="R97" s="47"/>
      <c r="S97" s="77">
        <f t="shared" si="4"/>
        <v>0</v>
      </c>
      <c r="T97" s="78" t="str">
        <f t="shared" ref="T97:U97" si="193">IF(G97=0,"",G97/O97)</f>
        <v>#DIV/0!</v>
      </c>
      <c r="U97" s="51" t="str">
        <f t="shared" si="193"/>
        <v/>
      </c>
      <c r="V97" s="51" t="str">
        <f t="shared" ref="V97:W97" si="194">IF(I97="","",I97/Q97)</f>
        <v/>
      </c>
      <c r="W97" s="51" t="str">
        <f t="shared" si="194"/>
        <v/>
      </c>
      <c r="X97" s="79" t="str">
        <f t="shared" si="7"/>
        <v/>
      </c>
      <c r="Y97" s="48">
        <v>92.0</v>
      </c>
      <c r="Z97" s="48">
        <f t="shared" si="8"/>
        <v>0</v>
      </c>
      <c r="AA97" s="48">
        <f t="shared" si="9"/>
        <v>0</v>
      </c>
      <c r="AB97" s="48">
        <v>92.0</v>
      </c>
      <c r="AC97" s="48">
        <f t="shared" si="10"/>
        <v>0</v>
      </c>
      <c r="AD97" s="48" t="str">
        <f t="shared" si="11"/>
        <v/>
      </c>
      <c r="AE97" s="72">
        <v>92.0</v>
      </c>
      <c r="AF97" s="83" t="str">
        <f t="shared" si="12"/>
        <v/>
      </c>
      <c r="AG97" s="72">
        <v>92.0</v>
      </c>
      <c r="AH97" s="48" t="str">
        <f t="shared" si="13"/>
        <v/>
      </c>
      <c r="AI97" s="84" t="str">
        <f t="shared" si="14"/>
        <v/>
      </c>
      <c r="AJ97" s="48"/>
      <c r="AK97" s="48"/>
      <c r="AL97" s="48"/>
      <c r="AM97" s="48"/>
      <c r="AN97" s="48"/>
      <c r="AO97" s="48"/>
      <c r="AP97" s="48"/>
      <c r="AQ97" s="48"/>
      <c r="AR97" s="48"/>
      <c r="AS97" s="48"/>
      <c r="AT97" s="48"/>
      <c r="AU97" s="48"/>
      <c r="AV97" s="48"/>
      <c r="AW97" s="48"/>
      <c r="AX97" s="48"/>
      <c r="AY97" s="48"/>
      <c r="AZ97" s="48"/>
      <c r="BA97" s="48"/>
      <c r="BB97" s="47"/>
      <c r="BC97" s="47"/>
      <c r="BD97" s="47"/>
      <c r="BE97" s="47"/>
      <c r="BF97" s="48"/>
      <c r="BG97" s="52"/>
      <c r="BH97" s="48"/>
      <c r="BI97" s="48"/>
      <c r="BJ97" s="48"/>
      <c r="BK97" s="48"/>
      <c r="BL97" s="48"/>
      <c r="BM97" s="48"/>
      <c r="BN97" s="48"/>
      <c r="BO97" s="48"/>
      <c r="BP97" s="85"/>
      <c r="BQ97" s="48"/>
    </row>
    <row r="98" ht="23.25" customHeight="1">
      <c r="A98" s="47">
        <v>93.0</v>
      </c>
      <c r="B98" s="88"/>
      <c r="C98" s="82" t="str">
        <f>IF(B98="","",VLOOKUP(B98,'Mitglieder BBU'!A:N,6,0))</f>
        <v/>
      </c>
      <c r="D98" s="82" t="str">
        <f>IF(#REF!="","",VLOOKUP(#REF!,'Mitglieder BBU'!A:N,6,0))</f>
        <v>#REF!</v>
      </c>
      <c r="E98" s="82" t="str">
        <f>IF(#REF!="","",VLOOKUP(#REF!,'Mitglieder BBU'!A:N,6,0))</f>
        <v>#REF!</v>
      </c>
      <c r="F98" s="62"/>
      <c r="G98" s="75" t="str">
        <f>IFNA(VLOOKUP(B98,Datensammler!$B:$AA,24,0),"")</f>
        <v/>
      </c>
      <c r="H98" s="47"/>
      <c r="I98" s="47"/>
      <c r="J98" s="47"/>
      <c r="K98" s="76">
        <f t="shared" si="3"/>
        <v>0</v>
      </c>
      <c r="L98" s="75">
        <f>IFERROR('HI-LOW Berechnung'!AS97,0)</f>
        <v>0</v>
      </c>
      <c r="M98" s="47">
        <f>IFERROR('HI-LOW Berechnung'!AY97,0)</f>
        <v>0</v>
      </c>
      <c r="N98" s="76">
        <f>IFERROR('HI-LOW Berechnung'!BB97,0)</f>
        <v>0</v>
      </c>
      <c r="O98" s="75" t="str">
        <f>IFNA(VLOOKUP(B98,Datensammler!$B:$AA,25,0),"")</f>
        <v/>
      </c>
      <c r="P98" s="47"/>
      <c r="Q98" s="47"/>
      <c r="R98" s="47"/>
      <c r="S98" s="77">
        <f t="shared" si="4"/>
        <v>0</v>
      </c>
      <c r="T98" s="78" t="str">
        <f t="shared" ref="T98:U98" si="195">IF(G98=0,"",G98/O98)</f>
        <v>#DIV/0!</v>
      </c>
      <c r="U98" s="51" t="str">
        <f t="shared" si="195"/>
        <v/>
      </c>
      <c r="V98" s="51" t="str">
        <f t="shared" ref="V98:W98" si="196">IF(I98="","",I98/Q98)</f>
        <v/>
      </c>
      <c r="W98" s="51" t="str">
        <f t="shared" si="196"/>
        <v/>
      </c>
      <c r="X98" s="79" t="str">
        <f t="shared" si="7"/>
        <v/>
      </c>
      <c r="Y98" s="48">
        <v>93.0</v>
      </c>
      <c r="Z98" s="48">
        <f t="shared" si="8"/>
        <v>0</v>
      </c>
      <c r="AA98" s="48">
        <f t="shared" si="9"/>
        <v>0</v>
      </c>
      <c r="AB98" s="48">
        <v>93.0</v>
      </c>
      <c r="AC98" s="48">
        <f t="shared" si="10"/>
        <v>0</v>
      </c>
      <c r="AD98" s="48" t="str">
        <f t="shared" si="11"/>
        <v/>
      </c>
      <c r="AE98" s="72">
        <v>93.0</v>
      </c>
      <c r="AF98" s="83" t="str">
        <f t="shared" si="12"/>
        <v/>
      </c>
      <c r="AG98" s="72">
        <v>93.0</v>
      </c>
      <c r="AH98" s="48" t="str">
        <f t="shared" si="13"/>
        <v/>
      </c>
      <c r="AI98" s="84" t="str">
        <f t="shared" si="14"/>
        <v/>
      </c>
      <c r="AJ98" s="48"/>
      <c r="AK98" s="48"/>
      <c r="AL98" s="48"/>
      <c r="AM98" s="48"/>
      <c r="AN98" s="48"/>
      <c r="AO98" s="48"/>
      <c r="AP98" s="48"/>
      <c r="AQ98" s="48"/>
      <c r="AR98" s="48"/>
      <c r="AS98" s="48"/>
      <c r="AT98" s="48"/>
      <c r="AU98" s="48"/>
      <c r="AV98" s="48"/>
      <c r="AW98" s="48"/>
      <c r="AX98" s="48"/>
      <c r="AY98" s="48"/>
      <c r="AZ98" s="48"/>
      <c r="BA98" s="48"/>
      <c r="BB98" s="47"/>
      <c r="BC98" s="47"/>
      <c r="BD98" s="47"/>
      <c r="BE98" s="47"/>
      <c r="BF98" s="48"/>
      <c r="BG98" s="52"/>
      <c r="BH98" s="48"/>
      <c r="BI98" s="48"/>
      <c r="BJ98" s="48"/>
      <c r="BK98" s="48"/>
      <c r="BL98" s="48"/>
      <c r="BM98" s="48"/>
      <c r="BN98" s="48"/>
      <c r="BO98" s="48"/>
      <c r="BP98" s="85"/>
      <c r="BQ98" s="48"/>
    </row>
    <row r="99" ht="23.25" customHeight="1">
      <c r="A99" s="47">
        <v>94.0</v>
      </c>
      <c r="B99" s="88"/>
      <c r="C99" s="82" t="str">
        <f>IF(B99="","",VLOOKUP(B99,'Mitglieder BBU'!A:N,6,0))</f>
        <v/>
      </c>
      <c r="D99" s="82" t="str">
        <f>IF(#REF!="","",VLOOKUP(#REF!,'Mitglieder BBU'!A:N,6,0))</f>
        <v>#REF!</v>
      </c>
      <c r="E99" s="82" t="str">
        <f>IF(#REF!="","",VLOOKUP(#REF!,'Mitglieder BBU'!A:N,6,0))</f>
        <v>#REF!</v>
      </c>
      <c r="F99" s="62"/>
      <c r="G99" s="75" t="str">
        <f>IFNA(VLOOKUP(B99,Datensammler!$B:$AA,24,0),"")</f>
        <v/>
      </c>
      <c r="H99" s="47"/>
      <c r="I99" s="47"/>
      <c r="J99" s="47"/>
      <c r="K99" s="76">
        <f t="shared" si="3"/>
        <v>0</v>
      </c>
      <c r="L99" s="75">
        <f>IFERROR('HI-LOW Berechnung'!AS98,0)</f>
        <v>0</v>
      </c>
      <c r="M99" s="47">
        <f>IFERROR('HI-LOW Berechnung'!AY98,0)</f>
        <v>0</v>
      </c>
      <c r="N99" s="76">
        <f>IFERROR('HI-LOW Berechnung'!BB98,0)</f>
        <v>0</v>
      </c>
      <c r="O99" s="75" t="str">
        <f>IFNA(VLOOKUP(B99,Datensammler!$B:$AA,25,0),"")</f>
        <v/>
      </c>
      <c r="P99" s="47"/>
      <c r="Q99" s="47"/>
      <c r="R99" s="47"/>
      <c r="S99" s="77">
        <f t="shared" si="4"/>
        <v>0</v>
      </c>
      <c r="T99" s="78" t="str">
        <f t="shared" ref="T99:U99" si="197">IF(G99=0,"",G99/O99)</f>
        <v>#DIV/0!</v>
      </c>
      <c r="U99" s="51" t="str">
        <f t="shared" si="197"/>
        <v/>
      </c>
      <c r="V99" s="51" t="str">
        <f t="shared" ref="V99:W99" si="198">IF(I99="","",I99/Q99)</f>
        <v/>
      </c>
      <c r="W99" s="51" t="str">
        <f t="shared" si="198"/>
        <v/>
      </c>
      <c r="X99" s="79" t="str">
        <f t="shared" si="7"/>
        <v/>
      </c>
      <c r="Y99" s="48">
        <v>94.0</v>
      </c>
      <c r="Z99" s="48">
        <f t="shared" si="8"/>
        <v>0</v>
      </c>
      <c r="AA99" s="48">
        <f t="shared" si="9"/>
        <v>0</v>
      </c>
      <c r="AB99" s="48">
        <v>94.0</v>
      </c>
      <c r="AC99" s="48">
        <f t="shared" si="10"/>
        <v>0</v>
      </c>
      <c r="AD99" s="48" t="str">
        <f t="shared" si="11"/>
        <v/>
      </c>
      <c r="AE99" s="72">
        <v>94.0</v>
      </c>
      <c r="AF99" s="83" t="str">
        <f t="shared" si="12"/>
        <v/>
      </c>
      <c r="AG99" s="72">
        <v>94.0</v>
      </c>
      <c r="AH99" s="48" t="str">
        <f t="shared" si="13"/>
        <v/>
      </c>
      <c r="AI99" s="84" t="str">
        <f t="shared" si="14"/>
        <v/>
      </c>
      <c r="AJ99" s="48"/>
      <c r="AK99" s="48"/>
      <c r="AL99" s="48"/>
      <c r="AM99" s="48"/>
      <c r="AN99" s="48"/>
      <c r="AO99" s="48"/>
      <c r="AP99" s="48"/>
      <c r="AQ99" s="48"/>
      <c r="AR99" s="48"/>
      <c r="AS99" s="48"/>
      <c r="AT99" s="48"/>
      <c r="AU99" s="48"/>
      <c r="AV99" s="48"/>
      <c r="AW99" s="48"/>
      <c r="AX99" s="48"/>
      <c r="AY99" s="48"/>
      <c r="AZ99" s="48"/>
      <c r="BA99" s="48"/>
      <c r="BB99" s="47"/>
      <c r="BC99" s="47"/>
      <c r="BD99" s="47"/>
      <c r="BE99" s="47"/>
      <c r="BF99" s="48"/>
      <c r="BG99" s="52"/>
      <c r="BH99" s="48"/>
      <c r="BI99" s="48"/>
      <c r="BJ99" s="48"/>
      <c r="BK99" s="48"/>
      <c r="BL99" s="48"/>
      <c r="BM99" s="48"/>
      <c r="BN99" s="48"/>
      <c r="BO99" s="48"/>
      <c r="BP99" s="85"/>
      <c r="BQ99" s="48"/>
    </row>
    <row r="100" ht="23.25" customHeight="1">
      <c r="A100" s="47">
        <v>95.0</v>
      </c>
      <c r="B100" s="88"/>
      <c r="C100" s="82" t="str">
        <f>IF(B100="","",VLOOKUP(B100,'Mitglieder BBU'!A:N,6,0))</f>
        <v/>
      </c>
      <c r="D100" s="82" t="str">
        <f>IF(#REF!="","",VLOOKUP(#REF!,'Mitglieder BBU'!A:N,6,0))</f>
        <v>#REF!</v>
      </c>
      <c r="E100" s="82" t="str">
        <f>IF(#REF!="","",VLOOKUP(#REF!,'Mitglieder BBU'!A:N,6,0))</f>
        <v>#REF!</v>
      </c>
      <c r="F100" s="82"/>
      <c r="G100" s="75" t="str">
        <f>IFNA(VLOOKUP(B100,Datensammler!$B:$AA,24,0),"")</f>
        <v/>
      </c>
      <c r="H100" s="47"/>
      <c r="I100" s="47"/>
      <c r="J100" s="47"/>
      <c r="K100" s="76">
        <f t="shared" si="3"/>
        <v>0</v>
      </c>
      <c r="L100" s="75">
        <f>IFERROR('HI-LOW Berechnung'!AS99,0)</f>
        <v>0</v>
      </c>
      <c r="M100" s="47">
        <f>IFERROR('HI-LOW Berechnung'!AY99,0)</f>
        <v>0</v>
      </c>
      <c r="N100" s="76">
        <f>IFERROR('HI-LOW Berechnung'!BB99,0)</f>
        <v>0</v>
      </c>
      <c r="O100" s="75" t="str">
        <f>IFNA(VLOOKUP(B100,Datensammler!$B:$AA,25,0),"")</f>
        <v/>
      </c>
      <c r="P100" s="47"/>
      <c r="Q100" s="47"/>
      <c r="R100" s="47"/>
      <c r="S100" s="77">
        <f t="shared" si="4"/>
        <v>0</v>
      </c>
      <c r="T100" s="78" t="str">
        <f t="shared" ref="T100:U100" si="199">IF(G100=0,"",G100/O100)</f>
        <v>#DIV/0!</v>
      </c>
      <c r="U100" s="51" t="str">
        <f t="shared" si="199"/>
        <v/>
      </c>
      <c r="V100" s="51" t="str">
        <f t="shared" ref="V100:W100" si="200">IF(I100="","",I100/Q100)</f>
        <v/>
      </c>
      <c r="W100" s="51" t="str">
        <f t="shared" si="200"/>
        <v/>
      </c>
      <c r="X100" s="79" t="str">
        <f t="shared" si="7"/>
        <v/>
      </c>
      <c r="Y100" s="48">
        <v>95.0</v>
      </c>
      <c r="Z100" s="48">
        <f t="shared" si="8"/>
        <v>0</v>
      </c>
      <c r="AA100" s="48">
        <f t="shared" si="9"/>
        <v>0</v>
      </c>
      <c r="AB100" s="48">
        <v>95.0</v>
      </c>
      <c r="AC100" s="48">
        <f t="shared" si="10"/>
        <v>0</v>
      </c>
      <c r="AD100" s="48" t="str">
        <f t="shared" si="11"/>
        <v/>
      </c>
      <c r="AE100" s="72">
        <v>95.0</v>
      </c>
      <c r="AF100" s="83" t="str">
        <f t="shared" si="12"/>
        <v/>
      </c>
      <c r="AG100" s="72">
        <v>95.0</v>
      </c>
      <c r="AH100" s="48" t="str">
        <f t="shared" si="13"/>
        <v/>
      </c>
      <c r="AI100" s="84" t="str">
        <f t="shared" si="14"/>
        <v/>
      </c>
      <c r="AJ100" s="48"/>
      <c r="AK100" s="48"/>
      <c r="AL100" s="48"/>
      <c r="AM100" s="48"/>
      <c r="AN100" s="48"/>
      <c r="AO100" s="48"/>
      <c r="AP100" s="48"/>
      <c r="AQ100" s="48"/>
      <c r="AR100" s="48"/>
      <c r="AS100" s="48"/>
      <c r="AT100" s="48"/>
      <c r="AU100" s="48"/>
      <c r="AV100" s="48"/>
      <c r="AW100" s="48"/>
      <c r="AX100" s="48"/>
      <c r="AY100" s="48"/>
      <c r="AZ100" s="48"/>
      <c r="BA100" s="48"/>
      <c r="BB100" s="47"/>
      <c r="BC100" s="47"/>
      <c r="BD100" s="47"/>
      <c r="BE100" s="47"/>
      <c r="BF100" s="48"/>
      <c r="BG100" s="52"/>
      <c r="BH100" s="48"/>
      <c r="BI100" s="48"/>
      <c r="BJ100" s="48"/>
      <c r="BK100" s="48"/>
      <c r="BL100" s="48"/>
      <c r="BM100" s="48"/>
      <c r="BN100" s="48"/>
      <c r="BO100" s="48"/>
      <c r="BP100" s="85"/>
      <c r="BQ100" s="48"/>
    </row>
    <row r="101" ht="23.25" customHeight="1">
      <c r="A101" s="47">
        <v>96.0</v>
      </c>
      <c r="B101" s="88"/>
      <c r="C101" s="82" t="str">
        <f>IF(B101="","",VLOOKUP(B101,'Mitglieder BBU'!A:N,6,0))</f>
        <v/>
      </c>
      <c r="D101" s="82" t="str">
        <f>IF(#REF!="","",VLOOKUP(#REF!,'Mitglieder BBU'!A:N,6,0))</f>
        <v>#REF!</v>
      </c>
      <c r="E101" s="82" t="str">
        <f>IF(#REF!="","",VLOOKUP(#REF!,'Mitglieder BBU'!A:N,6,0))</f>
        <v>#REF!</v>
      </c>
      <c r="F101" s="82"/>
      <c r="G101" s="75" t="str">
        <f>IFNA(VLOOKUP(B101,Datensammler!$B:$AA,24,0),"")</f>
        <v/>
      </c>
      <c r="H101" s="47"/>
      <c r="I101" s="47"/>
      <c r="J101" s="47"/>
      <c r="K101" s="76">
        <f t="shared" si="3"/>
        <v>0</v>
      </c>
      <c r="L101" s="75">
        <f>IFERROR('HI-LOW Berechnung'!AS100,0)</f>
        <v>0</v>
      </c>
      <c r="M101" s="47">
        <f>IFERROR('HI-LOW Berechnung'!AY100,0)</f>
        <v>0</v>
      </c>
      <c r="N101" s="76">
        <f>IFERROR('HI-LOW Berechnung'!BB100,0)</f>
        <v>0</v>
      </c>
      <c r="O101" s="75" t="str">
        <f>IFNA(VLOOKUP(B101,Datensammler!$B:$AA,25,0),"")</f>
        <v/>
      </c>
      <c r="P101" s="47"/>
      <c r="Q101" s="47"/>
      <c r="R101" s="47"/>
      <c r="S101" s="77">
        <f t="shared" si="4"/>
        <v>0</v>
      </c>
      <c r="T101" s="78" t="str">
        <f t="shared" ref="T101:U101" si="201">IF(G101=0,"",G101/O101)</f>
        <v>#DIV/0!</v>
      </c>
      <c r="U101" s="51" t="str">
        <f t="shared" si="201"/>
        <v/>
      </c>
      <c r="V101" s="51" t="str">
        <f t="shared" ref="V101:W101" si="202">IF(I101="","",I101/Q101)</f>
        <v/>
      </c>
      <c r="W101" s="51" t="str">
        <f t="shared" si="202"/>
        <v/>
      </c>
      <c r="X101" s="79" t="str">
        <f t="shared" si="7"/>
        <v/>
      </c>
      <c r="Y101" s="48">
        <v>96.0</v>
      </c>
      <c r="Z101" s="48">
        <f t="shared" si="8"/>
        <v>0</v>
      </c>
      <c r="AA101" s="48">
        <f t="shared" si="9"/>
        <v>0</v>
      </c>
      <c r="AB101" s="48">
        <v>96.0</v>
      </c>
      <c r="AC101" s="48">
        <f t="shared" si="10"/>
        <v>0</v>
      </c>
      <c r="AD101" s="48" t="str">
        <f t="shared" si="11"/>
        <v/>
      </c>
      <c r="AE101" s="72">
        <v>96.0</v>
      </c>
      <c r="AF101" s="83" t="str">
        <f t="shared" si="12"/>
        <v/>
      </c>
      <c r="AG101" s="72">
        <v>96.0</v>
      </c>
      <c r="AH101" s="48" t="str">
        <f t="shared" si="13"/>
        <v/>
      </c>
      <c r="AI101" s="84" t="str">
        <f t="shared" si="14"/>
        <v/>
      </c>
      <c r="AJ101" s="48"/>
      <c r="AK101" s="48"/>
      <c r="AL101" s="48"/>
      <c r="AM101" s="48"/>
      <c r="AN101" s="48"/>
      <c r="AO101" s="48"/>
      <c r="AP101" s="48"/>
      <c r="AQ101" s="48"/>
      <c r="AR101" s="48"/>
      <c r="AS101" s="48"/>
      <c r="AT101" s="48"/>
      <c r="AU101" s="48"/>
      <c r="AV101" s="48"/>
      <c r="AW101" s="48"/>
      <c r="AX101" s="48"/>
      <c r="AY101" s="48"/>
      <c r="AZ101" s="48"/>
      <c r="BA101" s="48"/>
      <c r="BB101" s="47"/>
      <c r="BC101" s="47"/>
      <c r="BD101" s="47"/>
      <c r="BE101" s="47"/>
      <c r="BF101" s="48"/>
      <c r="BG101" s="52"/>
      <c r="BH101" s="48"/>
      <c r="BI101" s="48"/>
      <c r="BJ101" s="48"/>
      <c r="BK101" s="48"/>
      <c r="BL101" s="48"/>
      <c r="BM101" s="48"/>
      <c r="BN101" s="48"/>
      <c r="BO101" s="48"/>
      <c r="BP101" s="85"/>
      <c r="BQ101" s="48"/>
    </row>
    <row r="102" ht="23.25" customHeight="1">
      <c r="A102" s="47">
        <v>97.0</v>
      </c>
      <c r="B102" s="88"/>
      <c r="C102" s="82" t="str">
        <f>IF(B102="","",VLOOKUP(B102,'Mitglieder BBU'!A:N,6,0))</f>
        <v/>
      </c>
      <c r="D102" s="82" t="str">
        <f>IF(#REF!="","",VLOOKUP(#REF!,'Mitglieder BBU'!A:N,6,0))</f>
        <v>#REF!</v>
      </c>
      <c r="E102" s="82" t="str">
        <f>IF(#REF!="","",VLOOKUP(#REF!,'Mitglieder BBU'!A:N,6,0))</f>
        <v>#REF!</v>
      </c>
      <c r="F102" s="82"/>
      <c r="G102" s="75" t="str">
        <f>IFNA(VLOOKUP(B102,Datensammler!$B:$AA,24,0),"")</f>
        <v/>
      </c>
      <c r="H102" s="47"/>
      <c r="I102" s="47"/>
      <c r="J102" s="47"/>
      <c r="K102" s="76">
        <f t="shared" si="3"/>
        <v>0</v>
      </c>
      <c r="L102" s="75">
        <f>IFERROR('HI-LOW Berechnung'!AS101,0)</f>
        <v>0</v>
      </c>
      <c r="M102" s="47">
        <f>IFERROR('HI-LOW Berechnung'!AY101,0)</f>
        <v>0</v>
      </c>
      <c r="N102" s="76">
        <f>IFERROR('HI-LOW Berechnung'!BB101,0)</f>
        <v>0</v>
      </c>
      <c r="O102" s="75" t="str">
        <f>IFNA(VLOOKUP(B102,Datensammler!$B:$AA,25,0),"")</f>
        <v/>
      </c>
      <c r="P102" s="47"/>
      <c r="Q102" s="47"/>
      <c r="R102" s="47"/>
      <c r="S102" s="77">
        <f t="shared" si="4"/>
        <v>0</v>
      </c>
      <c r="T102" s="78" t="str">
        <f t="shared" ref="T102:U102" si="203">IF(G102=0,"",G102/O102)</f>
        <v>#DIV/0!</v>
      </c>
      <c r="U102" s="51" t="str">
        <f t="shared" si="203"/>
        <v/>
      </c>
      <c r="V102" s="51" t="str">
        <f t="shared" ref="V102:W102" si="204">IF(I102="","",I102/Q102)</f>
        <v/>
      </c>
      <c r="W102" s="51" t="str">
        <f t="shared" si="204"/>
        <v/>
      </c>
      <c r="X102" s="79" t="str">
        <f t="shared" si="7"/>
        <v/>
      </c>
      <c r="Y102" s="48">
        <v>97.0</v>
      </c>
      <c r="Z102" s="48">
        <f t="shared" si="8"/>
        <v>0</v>
      </c>
      <c r="AA102" s="48">
        <f t="shared" si="9"/>
        <v>0</v>
      </c>
      <c r="AB102" s="48">
        <v>97.0</v>
      </c>
      <c r="AC102" s="48">
        <f t="shared" si="10"/>
        <v>0</v>
      </c>
      <c r="AD102" s="48" t="str">
        <f t="shared" si="11"/>
        <v/>
      </c>
      <c r="AE102" s="72">
        <v>97.0</v>
      </c>
      <c r="AF102" s="83" t="str">
        <f t="shared" si="12"/>
        <v/>
      </c>
      <c r="AG102" s="72">
        <v>97.0</v>
      </c>
      <c r="AH102" s="48" t="str">
        <f t="shared" si="13"/>
        <v/>
      </c>
      <c r="AI102" s="84" t="str">
        <f t="shared" si="14"/>
        <v/>
      </c>
      <c r="AJ102" s="48"/>
      <c r="AK102" s="48"/>
      <c r="AL102" s="48"/>
      <c r="AM102" s="48"/>
      <c r="AN102" s="48"/>
      <c r="AO102" s="48"/>
      <c r="AP102" s="48"/>
      <c r="AQ102" s="48"/>
      <c r="AR102" s="48"/>
      <c r="AS102" s="48"/>
      <c r="AT102" s="48"/>
      <c r="AU102" s="48"/>
      <c r="AV102" s="48"/>
      <c r="AW102" s="48"/>
      <c r="AX102" s="48"/>
      <c r="AY102" s="48"/>
      <c r="AZ102" s="48"/>
      <c r="BA102" s="48"/>
      <c r="BB102" s="47"/>
      <c r="BC102" s="47"/>
      <c r="BD102" s="47"/>
      <c r="BE102" s="47"/>
      <c r="BF102" s="48"/>
      <c r="BG102" s="52"/>
      <c r="BH102" s="48"/>
      <c r="BI102" s="48"/>
      <c r="BJ102" s="48"/>
      <c r="BK102" s="48"/>
      <c r="BL102" s="48"/>
      <c r="BM102" s="48"/>
      <c r="BN102" s="48"/>
      <c r="BO102" s="48"/>
      <c r="BP102" s="85"/>
      <c r="BQ102" s="48"/>
    </row>
    <row r="103" ht="23.25" customHeight="1">
      <c r="A103" s="47">
        <v>98.0</v>
      </c>
      <c r="B103" s="88"/>
      <c r="C103" s="82" t="str">
        <f>IF(B103="","",VLOOKUP(B103,'Mitglieder BBU'!A:N,6,0))</f>
        <v/>
      </c>
      <c r="D103" s="82" t="str">
        <f>IF(#REF!="","",VLOOKUP(#REF!,'Mitglieder BBU'!A:N,6,0))</f>
        <v>#REF!</v>
      </c>
      <c r="E103" s="82" t="str">
        <f>IF(#REF!="","",VLOOKUP(#REF!,'Mitglieder BBU'!A:N,6,0))</f>
        <v>#REF!</v>
      </c>
      <c r="F103" s="82"/>
      <c r="G103" s="75" t="str">
        <f>IFNA(VLOOKUP(B103,Datensammler!$B:$AA,24,0),"")</f>
        <v/>
      </c>
      <c r="H103" s="47"/>
      <c r="I103" s="47"/>
      <c r="J103" s="47"/>
      <c r="K103" s="76">
        <f t="shared" si="3"/>
        <v>0</v>
      </c>
      <c r="L103" s="75">
        <f>IFERROR('HI-LOW Berechnung'!AS102,0)</f>
        <v>0</v>
      </c>
      <c r="M103" s="47">
        <f>IFERROR('HI-LOW Berechnung'!AY102,0)</f>
        <v>0</v>
      </c>
      <c r="N103" s="76">
        <f>IFERROR('HI-LOW Berechnung'!BB102,0)</f>
        <v>0</v>
      </c>
      <c r="O103" s="75" t="str">
        <f>IFNA(VLOOKUP(B103,Datensammler!$B:$AA,25,0),"")</f>
        <v/>
      </c>
      <c r="P103" s="47"/>
      <c r="Q103" s="47"/>
      <c r="R103" s="47"/>
      <c r="S103" s="77">
        <f t="shared" si="4"/>
        <v>0</v>
      </c>
      <c r="T103" s="78" t="str">
        <f t="shared" ref="T103:U103" si="205">IF(G103=0,"",G103/O103)</f>
        <v>#DIV/0!</v>
      </c>
      <c r="U103" s="51" t="str">
        <f t="shared" si="205"/>
        <v/>
      </c>
      <c r="V103" s="51" t="str">
        <f t="shared" ref="V103:W103" si="206">IF(I103="","",I103/Q103)</f>
        <v/>
      </c>
      <c r="W103" s="51" t="str">
        <f t="shared" si="206"/>
        <v/>
      </c>
      <c r="X103" s="79" t="str">
        <f t="shared" si="7"/>
        <v/>
      </c>
      <c r="Y103" s="48">
        <v>98.0</v>
      </c>
      <c r="Z103" s="48">
        <f t="shared" si="8"/>
        <v>0</v>
      </c>
      <c r="AA103" s="48">
        <f t="shared" si="9"/>
        <v>0</v>
      </c>
      <c r="AB103" s="48">
        <v>98.0</v>
      </c>
      <c r="AC103" s="48">
        <f t="shared" si="10"/>
        <v>0</v>
      </c>
      <c r="AD103" s="48" t="str">
        <f t="shared" si="11"/>
        <v/>
      </c>
      <c r="AE103" s="72">
        <v>98.0</v>
      </c>
      <c r="AF103" s="83" t="str">
        <f t="shared" si="12"/>
        <v/>
      </c>
      <c r="AG103" s="72">
        <v>98.0</v>
      </c>
      <c r="AH103" s="48" t="str">
        <f t="shared" si="13"/>
        <v/>
      </c>
      <c r="AI103" s="84" t="str">
        <f t="shared" si="14"/>
        <v/>
      </c>
      <c r="AJ103" s="48"/>
      <c r="AK103" s="48"/>
      <c r="AL103" s="48"/>
      <c r="AM103" s="48"/>
      <c r="AN103" s="48"/>
      <c r="AO103" s="48"/>
      <c r="AP103" s="48"/>
      <c r="AQ103" s="48"/>
      <c r="AR103" s="48"/>
      <c r="AS103" s="48"/>
      <c r="AT103" s="48"/>
      <c r="AU103" s="48"/>
      <c r="AV103" s="48"/>
      <c r="AW103" s="48"/>
      <c r="AX103" s="48"/>
      <c r="AY103" s="48"/>
      <c r="AZ103" s="48"/>
      <c r="BA103" s="48"/>
      <c r="BB103" s="47"/>
      <c r="BC103" s="47"/>
      <c r="BD103" s="47"/>
      <c r="BE103" s="47"/>
      <c r="BF103" s="48"/>
      <c r="BG103" s="52"/>
      <c r="BH103" s="48"/>
      <c r="BI103" s="48"/>
      <c r="BJ103" s="48"/>
      <c r="BK103" s="48"/>
      <c r="BL103" s="48"/>
      <c r="BM103" s="48"/>
      <c r="BN103" s="48"/>
      <c r="BO103" s="48"/>
      <c r="BP103" s="85"/>
      <c r="BQ103" s="48"/>
    </row>
    <row r="104" ht="23.25" customHeight="1">
      <c r="A104" s="47">
        <v>99.0</v>
      </c>
      <c r="B104" s="88"/>
      <c r="C104" s="82" t="str">
        <f>IF(B104="","",VLOOKUP(B104,'Mitglieder BBU'!A:N,6,0))</f>
        <v/>
      </c>
      <c r="D104" s="82" t="str">
        <f>IF(#REF!="","",VLOOKUP(#REF!,'Mitglieder BBU'!A:N,6,0))</f>
        <v>#REF!</v>
      </c>
      <c r="E104" s="82" t="str">
        <f>IF(#REF!="","",VLOOKUP(#REF!,'Mitglieder BBU'!A:N,6,0))</f>
        <v>#REF!</v>
      </c>
      <c r="F104" s="82"/>
      <c r="G104" s="75" t="str">
        <f>IFNA(VLOOKUP(B104,Datensammler!$B:$AA,24,0),"")</f>
        <v/>
      </c>
      <c r="H104" s="47"/>
      <c r="I104" s="47"/>
      <c r="J104" s="47"/>
      <c r="K104" s="76">
        <f t="shared" si="3"/>
        <v>0</v>
      </c>
      <c r="L104" s="75">
        <f>IFERROR('HI-LOW Berechnung'!AS103,0)</f>
        <v>0</v>
      </c>
      <c r="M104" s="47">
        <f>IFERROR('HI-LOW Berechnung'!AY103,0)</f>
        <v>0</v>
      </c>
      <c r="N104" s="76">
        <f>IFERROR('HI-LOW Berechnung'!BB103,0)</f>
        <v>0</v>
      </c>
      <c r="O104" s="75" t="str">
        <f>IFNA(VLOOKUP(B104,Datensammler!$B:$AA,25,0),"")</f>
        <v/>
      </c>
      <c r="P104" s="47"/>
      <c r="Q104" s="47"/>
      <c r="R104" s="47"/>
      <c r="S104" s="77">
        <f t="shared" si="4"/>
        <v>0</v>
      </c>
      <c r="T104" s="78" t="str">
        <f t="shared" ref="T104:U104" si="207">IF(G104=0,"",G104/O104)</f>
        <v>#DIV/0!</v>
      </c>
      <c r="U104" s="51" t="str">
        <f t="shared" si="207"/>
        <v/>
      </c>
      <c r="V104" s="51" t="str">
        <f t="shared" ref="V104:W104" si="208">IF(I104="","",I104/Q104)</f>
        <v/>
      </c>
      <c r="W104" s="51" t="str">
        <f t="shared" si="208"/>
        <v/>
      </c>
      <c r="X104" s="79" t="str">
        <f t="shared" si="7"/>
        <v/>
      </c>
      <c r="Y104" s="48">
        <v>99.0</v>
      </c>
      <c r="Z104" s="48">
        <f t="shared" si="8"/>
        <v>0</v>
      </c>
      <c r="AA104" s="48">
        <f t="shared" si="9"/>
        <v>0</v>
      </c>
      <c r="AB104" s="48">
        <v>99.0</v>
      </c>
      <c r="AC104" s="48">
        <f t="shared" si="10"/>
        <v>0</v>
      </c>
      <c r="AD104" s="48" t="str">
        <f t="shared" si="11"/>
        <v/>
      </c>
      <c r="AE104" s="72">
        <v>99.0</v>
      </c>
      <c r="AF104" s="83" t="str">
        <f t="shared" si="12"/>
        <v/>
      </c>
      <c r="AG104" s="72">
        <v>99.0</v>
      </c>
      <c r="AH104" s="48" t="str">
        <f t="shared" si="13"/>
        <v/>
      </c>
      <c r="AI104" s="84" t="str">
        <f t="shared" si="14"/>
        <v/>
      </c>
      <c r="AJ104" s="48"/>
      <c r="AK104" s="48"/>
      <c r="AL104" s="48"/>
      <c r="AM104" s="48"/>
      <c r="AN104" s="48"/>
      <c r="AO104" s="48"/>
      <c r="AP104" s="48"/>
      <c r="AQ104" s="48"/>
      <c r="AR104" s="48"/>
      <c r="AS104" s="48"/>
      <c r="AT104" s="48"/>
      <c r="AU104" s="48"/>
      <c r="AV104" s="48"/>
      <c r="AW104" s="48"/>
      <c r="AX104" s="48"/>
      <c r="AY104" s="48"/>
      <c r="AZ104" s="48"/>
      <c r="BA104" s="48"/>
      <c r="BB104" s="47"/>
      <c r="BC104" s="47"/>
      <c r="BD104" s="47"/>
      <c r="BE104" s="47"/>
      <c r="BF104" s="48"/>
      <c r="BG104" s="52"/>
      <c r="BH104" s="48"/>
      <c r="BI104" s="48"/>
      <c r="BJ104" s="48"/>
      <c r="BK104" s="48"/>
      <c r="BL104" s="48"/>
      <c r="BM104" s="48"/>
      <c r="BN104" s="48"/>
      <c r="BO104" s="48"/>
      <c r="BP104" s="85"/>
      <c r="BQ104" s="48"/>
    </row>
    <row r="105" ht="23.25" customHeight="1">
      <c r="A105" s="47">
        <v>100.0</v>
      </c>
      <c r="B105" s="88"/>
      <c r="C105" s="82" t="str">
        <f>IF(B105="","",VLOOKUP(B105,'Mitglieder BBU'!A:N,6,0))</f>
        <v/>
      </c>
      <c r="D105" s="82" t="str">
        <f>IF(#REF!="","",VLOOKUP(#REF!,'Mitglieder BBU'!A:N,6,0))</f>
        <v>#REF!</v>
      </c>
      <c r="E105" s="82" t="str">
        <f>IF(#REF!="","",VLOOKUP(#REF!,'Mitglieder BBU'!A:N,6,0))</f>
        <v>#REF!</v>
      </c>
      <c r="F105" s="82"/>
      <c r="G105" s="75" t="str">
        <f>IFNA(VLOOKUP(B105,Datensammler!$B:$AA,24,0),"")</f>
        <v/>
      </c>
      <c r="H105" s="47"/>
      <c r="I105" s="47"/>
      <c r="J105" s="47"/>
      <c r="K105" s="76">
        <f t="shared" si="3"/>
        <v>0</v>
      </c>
      <c r="L105" s="75">
        <f>IFERROR('HI-LOW Berechnung'!AS104,0)</f>
        <v>0</v>
      </c>
      <c r="M105" s="47">
        <f>IFERROR('HI-LOW Berechnung'!AY104,0)</f>
        <v>0</v>
      </c>
      <c r="N105" s="76">
        <f>IFERROR('HI-LOW Berechnung'!BB104,0)</f>
        <v>0</v>
      </c>
      <c r="O105" s="75" t="str">
        <f>IFNA(VLOOKUP(B105,Datensammler!$B:$AA,25,0),"")</f>
        <v/>
      </c>
      <c r="P105" s="47"/>
      <c r="Q105" s="47"/>
      <c r="R105" s="47"/>
      <c r="S105" s="77">
        <f t="shared" si="4"/>
        <v>0</v>
      </c>
      <c r="T105" s="78" t="str">
        <f t="shared" ref="T105:U105" si="209">IF(G105=0,"",G105/O105)</f>
        <v>#DIV/0!</v>
      </c>
      <c r="U105" s="51" t="str">
        <f t="shared" si="209"/>
        <v/>
      </c>
      <c r="V105" s="51" t="str">
        <f t="shared" ref="V105:W105" si="210">IF(I105="","",I105/Q105)</f>
        <v/>
      </c>
      <c r="W105" s="51" t="str">
        <f t="shared" si="210"/>
        <v/>
      </c>
      <c r="X105" s="79" t="str">
        <f t="shared" si="7"/>
        <v/>
      </c>
      <c r="Y105" s="48">
        <v>100.0</v>
      </c>
      <c r="Z105" s="48">
        <f t="shared" si="8"/>
        <v>0</v>
      </c>
      <c r="AA105" s="48">
        <f t="shared" si="9"/>
        <v>0</v>
      </c>
      <c r="AB105" s="48">
        <v>100.0</v>
      </c>
      <c r="AC105" s="48">
        <f t="shared" si="10"/>
        <v>0</v>
      </c>
      <c r="AD105" s="48" t="str">
        <f t="shared" si="11"/>
        <v/>
      </c>
      <c r="AE105" s="72">
        <v>100.0</v>
      </c>
      <c r="AF105" s="83" t="str">
        <f t="shared" si="12"/>
        <v/>
      </c>
      <c r="AG105" s="72">
        <v>100.0</v>
      </c>
      <c r="AH105" s="48" t="str">
        <f t="shared" si="13"/>
        <v/>
      </c>
      <c r="AI105" s="84" t="str">
        <f t="shared" si="14"/>
        <v/>
      </c>
      <c r="AJ105" s="48"/>
      <c r="AK105" s="48"/>
      <c r="AL105" s="48"/>
      <c r="AM105" s="48"/>
      <c r="AN105" s="48"/>
      <c r="AO105" s="48"/>
      <c r="AP105" s="48"/>
      <c r="AQ105" s="48"/>
      <c r="AR105" s="48"/>
      <c r="AS105" s="48"/>
      <c r="AT105" s="48"/>
      <c r="AU105" s="48"/>
      <c r="AV105" s="48"/>
      <c r="AW105" s="48"/>
      <c r="AX105" s="48"/>
      <c r="AY105" s="48"/>
      <c r="AZ105" s="48"/>
      <c r="BA105" s="48"/>
      <c r="BB105" s="47"/>
      <c r="BC105" s="47"/>
      <c r="BD105" s="47"/>
      <c r="BE105" s="47"/>
      <c r="BF105" s="48"/>
      <c r="BG105" s="52"/>
      <c r="BH105" s="48"/>
      <c r="BI105" s="48"/>
      <c r="BJ105" s="48"/>
      <c r="BK105" s="48"/>
      <c r="BL105" s="48"/>
      <c r="BM105" s="48"/>
      <c r="BN105" s="48"/>
      <c r="BO105" s="48"/>
      <c r="BP105" s="85"/>
      <c r="BQ105" s="48"/>
    </row>
    <row r="106" ht="23.25" customHeight="1">
      <c r="A106" s="47">
        <v>101.0</v>
      </c>
      <c r="B106" s="88"/>
      <c r="C106" s="82" t="str">
        <f>IF(B106="","",VLOOKUP(B106,'Mitglieder BBU'!A:N,6,0))</f>
        <v/>
      </c>
      <c r="D106" s="82" t="str">
        <f>IF(#REF!="","",VLOOKUP(#REF!,'Mitglieder BBU'!A:N,6,0))</f>
        <v>#REF!</v>
      </c>
      <c r="E106" s="82" t="str">
        <f>IF(#REF!="","",VLOOKUP(#REF!,'Mitglieder BBU'!A:N,6,0))</f>
        <v>#REF!</v>
      </c>
      <c r="F106" s="82"/>
      <c r="G106" s="75" t="str">
        <f>IFNA(VLOOKUP(B106,Datensammler!$B:$AA,24,0),"")</f>
        <v/>
      </c>
      <c r="H106" s="47"/>
      <c r="I106" s="47"/>
      <c r="J106" s="47"/>
      <c r="K106" s="76">
        <f t="shared" si="3"/>
        <v>0</v>
      </c>
      <c r="L106" s="75">
        <f>IFERROR('HI-LOW Berechnung'!AS105,0)</f>
        <v>0</v>
      </c>
      <c r="M106" s="47">
        <f>IFERROR('HI-LOW Berechnung'!AY105,0)</f>
        <v>0</v>
      </c>
      <c r="N106" s="76">
        <f>IFERROR('HI-LOW Berechnung'!BB105,0)</f>
        <v>0</v>
      </c>
      <c r="O106" s="75" t="str">
        <f>IFNA(VLOOKUP(B106,Datensammler!$B:$AA,25,0),"")</f>
        <v/>
      </c>
      <c r="P106" s="47"/>
      <c r="Q106" s="47"/>
      <c r="R106" s="47"/>
      <c r="S106" s="77">
        <f t="shared" si="4"/>
        <v>0</v>
      </c>
      <c r="T106" s="78" t="str">
        <f t="shared" ref="T106:U106" si="211">IF(G106=0,"",G106/O106)</f>
        <v>#DIV/0!</v>
      </c>
      <c r="U106" s="51" t="str">
        <f t="shared" si="211"/>
        <v/>
      </c>
      <c r="V106" s="51" t="str">
        <f t="shared" ref="V106:W106" si="212">IF(I106="","",I106/Q106)</f>
        <v/>
      </c>
      <c r="W106" s="51" t="str">
        <f t="shared" si="212"/>
        <v/>
      </c>
      <c r="X106" s="79" t="str">
        <f t="shared" si="7"/>
        <v/>
      </c>
      <c r="Y106" s="48">
        <v>101.0</v>
      </c>
      <c r="Z106" s="48">
        <f t="shared" si="8"/>
        <v>0</v>
      </c>
      <c r="AA106" s="48">
        <f t="shared" si="9"/>
        <v>0</v>
      </c>
      <c r="AB106" s="48">
        <v>101.0</v>
      </c>
      <c r="AC106" s="48">
        <f t="shared" si="10"/>
        <v>0</v>
      </c>
      <c r="AD106" s="48" t="str">
        <f t="shared" si="11"/>
        <v/>
      </c>
      <c r="AE106" s="72">
        <v>101.0</v>
      </c>
      <c r="AF106" s="83" t="str">
        <f t="shared" si="12"/>
        <v/>
      </c>
      <c r="AG106" s="72">
        <v>101.0</v>
      </c>
      <c r="AH106" s="48" t="str">
        <f t="shared" si="13"/>
        <v/>
      </c>
      <c r="AI106" s="84" t="str">
        <f t="shared" si="14"/>
        <v/>
      </c>
      <c r="AJ106" s="48"/>
      <c r="AK106" s="48"/>
      <c r="AL106" s="48"/>
      <c r="AM106" s="48"/>
      <c r="AN106" s="48"/>
      <c r="AO106" s="48"/>
      <c r="AP106" s="48"/>
      <c r="AQ106" s="48"/>
      <c r="AR106" s="48"/>
      <c r="AS106" s="48"/>
      <c r="AT106" s="48"/>
      <c r="AU106" s="48"/>
      <c r="AV106" s="48"/>
      <c r="AW106" s="48"/>
      <c r="AX106" s="48"/>
      <c r="AY106" s="48"/>
      <c r="AZ106" s="48"/>
      <c r="BA106" s="48"/>
      <c r="BB106" s="47"/>
      <c r="BC106" s="47"/>
      <c r="BD106" s="47"/>
      <c r="BE106" s="47"/>
      <c r="BF106" s="48"/>
      <c r="BG106" s="52"/>
      <c r="BH106" s="48"/>
      <c r="BI106" s="48"/>
      <c r="BJ106" s="48"/>
      <c r="BK106" s="48"/>
      <c r="BL106" s="48"/>
      <c r="BM106" s="48"/>
      <c r="BN106" s="48"/>
      <c r="BO106" s="48"/>
      <c r="BP106" s="85"/>
      <c r="BQ106" s="48"/>
    </row>
    <row r="107" ht="23.25" customHeight="1">
      <c r="A107" s="47">
        <v>102.0</v>
      </c>
      <c r="B107" s="88"/>
      <c r="C107" s="82" t="str">
        <f>IF(B107="","",VLOOKUP(B107,'Mitglieder BBU'!A:N,6,0))</f>
        <v/>
      </c>
      <c r="D107" s="82" t="str">
        <f>IF(#REF!="","",VLOOKUP(#REF!,'Mitglieder BBU'!A:N,6,0))</f>
        <v>#REF!</v>
      </c>
      <c r="E107" s="82" t="str">
        <f>IF(#REF!="","",VLOOKUP(#REF!,'Mitglieder BBU'!A:N,6,0))</f>
        <v>#REF!</v>
      </c>
      <c r="F107" s="62"/>
      <c r="G107" s="75" t="str">
        <f>IFNA(VLOOKUP(B107,Datensammler!$B:$AA,24,0),"")</f>
        <v/>
      </c>
      <c r="H107" s="47"/>
      <c r="I107" s="47"/>
      <c r="J107" s="47"/>
      <c r="K107" s="76">
        <f t="shared" si="3"/>
        <v>0</v>
      </c>
      <c r="L107" s="75">
        <f>IFERROR('HI-LOW Berechnung'!AS106,0)</f>
        <v>0</v>
      </c>
      <c r="M107" s="47">
        <f>IFERROR('HI-LOW Berechnung'!AY106,0)</f>
        <v>0</v>
      </c>
      <c r="N107" s="76">
        <f>IFERROR('HI-LOW Berechnung'!BB106,0)</f>
        <v>0</v>
      </c>
      <c r="O107" s="75" t="str">
        <f>IFNA(VLOOKUP(B107,Datensammler!$B:$AA,25,0),"")</f>
        <v/>
      </c>
      <c r="P107" s="47"/>
      <c r="Q107" s="47"/>
      <c r="R107" s="47"/>
      <c r="S107" s="77">
        <f t="shared" si="4"/>
        <v>0</v>
      </c>
      <c r="T107" s="78" t="str">
        <f t="shared" ref="T107:U107" si="213">IF(G107=0,"",G107/O107)</f>
        <v>#DIV/0!</v>
      </c>
      <c r="U107" s="51" t="str">
        <f t="shared" si="213"/>
        <v/>
      </c>
      <c r="V107" s="51" t="str">
        <f t="shared" ref="V107:W107" si="214">IF(I107="","",I107/Q107)</f>
        <v/>
      </c>
      <c r="W107" s="51" t="str">
        <f t="shared" si="214"/>
        <v/>
      </c>
      <c r="X107" s="79" t="str">
        <f t="shared" si="7"/>
        <v/>
      </c>
      <c r="Y107" s="48">
        <v>102.0</v>
      </c>
      <c r="Z107" s="48">
        <f t="shared" si="8"/>
        <v>0</v>
      </c>
      <c r="AA107" s="48">
        <f t="shared" si="9"/>
        <v>0</v>
      </c>
      <c r="AB107" s="48">
        <v>102.0</v>
      </c>
      <c r="AC107" s="48">
        <f t="shared" si="10"/>
        <v>0</v>
      </c>
      <c r="AD107" s="48" t="str">
        <f t="shared" si="11"/>
        <v/>
      </c>
      <c r="AE107" s="72">
        <v>102.0</v>
      </c>
      <c r="AF107" s="83" t="str">
        <f t="shared" si="12"/>
        <v/>
      </c>
      <c r="AG107" s="72">
        <v>102.0</v>
      </c>
      <c r="AH107" s="48" t="str">
        <f t="shared" si="13"/>
        <v/>
      </c>
      <c r="AI107" s="84" t="str">
        <f t="shared" si="14"/>
        <v/>
      </c>
      <c r="AJ107" s="48"/>
      <c r="AK107" s="48"/>
      <c r="AL107" s="48"/>
      <c r="AM107" s="48"/>
      <c r="AN107" s="48"/>
      <c r="AO107" s="48"/>
      <c r="AP107" s="48"/>
      <c r="AQ107" s="48"/>
      <c r="AR107" s="48"/>
      <c r="AS107" s="48"/>
      <c r="AT107" s="48"/>
      <c r="AU107" s="48"/>
      <c r="AV107" s="48"/>
      <c r="AW107" s="48"/>
      <c r="AX107" s="48"/>
      <c r="AY107" s="48"/>
      <c r="AZ107" s="48"/>
      <c r="BA107" s="48"/>
      <c r="BB107" s="47"/>
      <c r="BC107" s="47"/>
      <c r="BD107" s="47"/>
      <c r="BE107" s="47"/>
      <c r="BF107" s="48"/>
      <c r="BG107" s="52"/>
      <c r="BH107" s="48"/>
      <c r="BI107" s="48"/>
      <c r="BJ107" s="48"/>
      <c r="BK107" s="48"/>
      <c r="BL107" s="48"/>
      <c r="BM107" s="48"/>
      <c r="BN107" s="48"/>
      <c r="BO107" s="48"/>
      <c r="BP107" s="85"/>
      <c r="BQ107" s="48"/>
    </row>
    <row r="108" ht="23.25" customHeight="1">
      <c r="A108" s="47">
        <v>103.0</v>
      </c>
      <c r="B108" s="88"/>
      <c r="C108" s="82" t="str">
        <f>IF(B108="","",VLOOKUP(B108,'Mitglieder BBU'!A:N,6,0))</f>
        <v/>
      </c>
      <c r="D108" s="82" t="str">
        <f>IF(#REF!="","",VLOOKUP(#REF!,'Mitglieder BBU'!A:N,6,0))</f>
        <v>#REF!</v>
      </c>
      <c r="E108" s="82" t="str">
        <f>IF(#REF!="","",VLOOKUP(#REF!,'Mitglieder BBU'!A:N,6,0))</f>
        <v>#REF!</v>
      </c>
      <c r="F108" s="82"/>
      <c r="G108" s="75" t="str">
        <f>IFNA(VLOOKUP(B108,Datensammler!$B:$AA,24,0),"")</f>
        <v/>
      </c>
      <c r="H108" s="47"/>
      <c r="I108" s="47"/>
      <c r="J108" s="47"/>
      <c r="K108" s="76">
        <f t="shared" si="3"/>
        <v>0</v>
      </c>
      <c r="L108" s="75">
        <f>IFERROR('HI-LOW Berechnung'!AS107,0)</f>
        <v>0</v>
      </c>
      <c r="M108" s="47">
        <f>IFERROR('HI-LOW Berechnung'!AY107,0)</f>
        <v>0</v>
      </c>
      <c r="N108" s="76">
        <f>IFERROR('HI-LOW Berechnung'!BB107,0)</f>
        <v>0</v>
      </c>
      <c r="O108" s="75" t="str">
        <f>IFNA(VLOOKUP(B108,Datensammler!$B:$AA,25,0),"")</f>
        <v/>
      </c>
      <c r="P108" s="47"/>
      <c r="Q108" s="47"/>
      <c r="R108" s="47"/>
      <c r="S108" s="77">
        <f t="shared" si="4"/>
        <v>0</v>
      </c>
      <c r="T108" s="78" t="str">
        <f t="shared" ref="T108:U108" si="215">IF(G108=0,"",G108/O108)</f>
        <v>#DIV/0!</v>
      </c>
      <c r="U108" s="51" t="str">
        <f t="shared" si="215"/>
        <v/>
      </c>
      <c r="V108" s="51" t="str">
        <f t="shared" ref="V108:W108" si="216">IF(I108="","",I108/Q108)</f>
        <v/>
      </c>
      <c r="W108" s="51" t="str">
        <f t="shared" si="216"/>
        <v/>
      </c>
      <c r="X108" s="79" t="str">
        <f t="shared" si="7"/>
        <v/>
      </c>
      <c r="Y108" s="48">
        <v>103.0</v>
      </c>
      <c r="Z108" s="48">
        <f t="shared" si="8"/>
        <v>0</v>
      </c>
      <c r="AA108" s="48">
        <f t="shared" si="9"/>
        <v>0</v>
      </c>
      <c r="AB108" s="48">
        <v>103.0</v>
      </c>
      <c r="AC108" s="48">
        <f t="shared" si="10"/>
        <v>0</v>
      </c>
      <c r="AD108" s="48" t="str">
        <f t="shared" si="11"/>
        <v/>
      </c>
      <c r="AE108" s="72">
        <v>103.0</v>
      </c>
      <c r="AF108" s="83" t="str">
        <f t="shared" si="12"/>
        <v/>
      </c>
      <c r="AG108" s="72">
        <v>103.0</v>
      </c>
      <c r="AH108" s="48" t="str">
        <f t="shared" si="13"/>
        <v/>
      </c>
      <c r="AI108" s="84" t="str">
        <f t="shared" si="14"/>
        <v/>
      </c>
      <c r="AJ108" s="48"/>
      <c r="AK108" s="48"/>
      <c r="AL108" s="48"/>
      <c r="AM108" s="48"/>
      <c r="AN108" s="48"/>
      <c r="AO108" s="48"/>
      <c r="AP108" s="48"/>
      <c r="AQ108" s="48"/>
      <c r="AR108" s="48"/>
      <c r="AS108" s="48"/>
      <c r="AT108" s="48"/>
      <c r="AU108" s="48"/>
      <c r="AV108" s="48"/>
      <c r="AW108" s="48"/>
      <c r="AX108" s="48"/>
      <c r="AY108" s="48"/>
      <c r="AZ108" s="48"/>
      <c r="BA108" s="48"/>
      <c r="BB108" s="47"/>
      <c r="BC108" s="47"/>
      <c r="BD108" s="47"/>
      <c r="BE108" s="47"/>
      <c r="BF108" s="48"/>
      <c r="BG108" s="52"/>
      <c r="BH108" s="48"/>
      <c r="BI108" s="48"/>
      <c r="BJ108" s="48"/>
      <c r="BK108" s="48"/>
      <c r="BL108" s="48"/>
      <c r="BM108" s="48"/>
      <c r="BN108" s="48"/>
      <c r="BO108" s="48"/>
      <c r="BP108" s="85"/>
      <c r="BQ108" s="48"/>
    </row>
    <row r="109" ht="23.25" customHeight="1">
      <c r="A109" s="47">
        <v>104.0</v>
      </c>
      <c r="B109" s="88"/>
      <c r="C109" s="82" t="str">
        <f>IF(B109="","",VLOOKUP(B109,'Mitglieder BBU'!A:N,6,0))</f>
        <v/>
      </c>
      <c r="D109" s="82" t="str">
        <f>IF(#REF!="","",VLOOKUP(#REF!,'Mitglieder BBU'!A:N,6,0))</f>
        <v>#REF!</v>
      </c>
      <c r="E109" s="82" t="str">
        <f>IF(#REF!="","",VLOOKUP(#REF!,'Mitglieder BBU'!A:N,6,0))</f>
        <v>#REF!</v>
      </c>
      <c r="F109" s="62"/>
      <c r="G109" s="75" t="str">
        <f>IFNA(VLOOKUP(B109,Datensammler!$B:$AA,24,0),"")</f>
        <v/>
      </c>
      <c r="H109" s="47"/>
      <c r="I109" s="47"/>
      <c r="J109" s="47"/>
      <c r="K109" s="76">
        <f t="shared" si="3"/>
        <v>0</v>
      </c>
      <c r="L109" s="75">
        <f>IFERROR('HI-LOW Berechnung'!AS108,0)</f>
        <v>0</v>
      </c>
      <c r="M109" s="47">
        <f>IFERROR('HI-LOW Berechnung'!AY108,0)</f>
        <v>0</v>
      </c>
      <c r="N109" s="76">
        <f>IFERROR('HI-LOW Berechnung'!BB108,0)</f>
        <v>0</v>
      </c>
      <c r="O109" s="75" t="str">
        <f>IFNA(VLOOKUP(B109,Datensammler!$B:$AA,25,0),"")</f>
        <v/>
      </c>
      <c r="P109" s="47"/>
      <c r="Q109" s="47"/>
      <c r="R109" s="47"/>
      <c r="S109" s="77">
        <f t="shared" si="4"/>
        <v>0</v>
      </c>
      <c r="T109" s="78" t="str">
        <f t="shared" ref="T109:U109" si="217">IF(G109=0,"",G109/O109)</f>
        <v>#DIV/0!</v>
      </c>
      <c r="U109" s="51" t="str">
        <f t="shared" si="217"/>
        <v/>
      </c>
      <c r="V109" s="51" t="str">
        <f t="shared" ref="V109:W109" si="218">IF(I109="","",I109/Q109)</f>
        <v/>
      </c>
      <c r="W109" s="51" t="str">
        <f t="shared" si="218"/>
        <v/>
      </c>
      <c r="X109" s="79" t="str">
        <f t="shared" si="7"/>
        <v/>
      </c>
      <c r="Y109" s="48">
        <v>104.0</v>
      </c>
      <c r="Z109" s="48">
        <f t="shared" si="8"/>
        <v>0</v>
      </c>
      <c r="AA109" s="48">
        <f t="shared" si="9"/>
        <v>0</v>
      </c>
      <c r="AB109" s="48">
        <v>104.0</v>
      </c>
      <c r="AC109" s="48">
        <f t="shared" si="10"/>
        <v>0</v>
      </c>
      <c r="AD109" s="48" t="str">
        <f t="shared" si="11"/>
        <v/>
      </c>
      <c r="AE109" s="72">
        <v>104.0</v>
      </c>
      <c r="AF109" s="83" t="str">
        <f t="shared" si="12"/>
        <v/>
      </c>
      <c r="AG109" s="72">
        <v>104.0</v>
      </c>
      <c r="AH109" s="48" t="str">
        <f t="shared" si="13"/>
        <v/>
      </c>
      <c r="AI109" s="84" t="str">
        <f t="shared" si="14"/>
        <v/>
      </c>
      <c r="AJ109" s="48"/>
      <c r="AK109" s="48"/>
      <c r="AL109" s="48"/>
      <c r="AM109" s="48"/>
      <c r="AN109" s="48"/>
      <c r="AO109" s="48"/>
      <c r="AP109" s="48"/>
      <c r="AQ109" s="48"/>
      <c r="AR109" s="48"/>
      <c r="AS109" s="48"/>
      <c r="AT109" s="48"/>
      <c r="AU109" s="48"/>
      <c r="AV109" s="48"/>
      <c r="AW109" s="48"/>
      <c r="AX109" s="48"/>
      <c r="AY109" s="48"/>
      <c r="AZ109" s="48"/>
      <c r="BA109" s="48"/>
      <c r="BB109" s="47"/>
      <c r="BC109" s="47"/>
      <c r="BD109" s="47"/>
      <c r="BE109" s="47"/>
      <c r="BF109" s="48"/>
      <c r="BG109" s="52"/>
      <c r="BH109" s="48"/>
      <c r="BI109" s="48"/>
      <c r="BJ109" s="48"/>
      <c r="BK109" s="48"/>
      <c r="BL109" s="48"/>
      <c r="BM109" s="48"/>
      <c r="BN109" s="48"/>
      <c r="BO109" s="48"/>
      <c r="BP109" s="85"/>
      <c r="BQ109" s="48"/>
    </row>
    <row r="110" ht="23.25" customHeight="1">
      <c r="A110" s="47">
        <v>105.0</v>
      </c>
      <c r="B110" s="88"/>
      <c r="C110" s="82" t="str">
        <f>IF(B110="","",VLOOKUP(B110,'Mitglieder BBU'!A:N,6,0))</f>
        <v/>
      </c>
      <c r="D110" s="82" t="str">
        <f>IF(#REF!="","",VLOOKUP(#REF!,'Mitglieder BBU'!A:N,6,0))</f>
        <v>#REF!</v>
      </c>
      <c r="E110" s="82" t="str">
        <f>IF(#REF!="","",VLOOKUP(#REF!,'Mitglieder BBU'!A:N,6,0))</f>
        <v>#REF!</v>
      </c>
      <c r="F110" s="62"/>
      <c r="G110" s="75" t="str">
        <f>IFNA(VLOOKUP(B110,Datensammler!$B:$AA,24,0),"")</f>
        <v/>
      </c>
      <c r="H110" s="47"/>
      <c r="I110" s="47"/>
      <c r="J110" s="47"/>
      <c r="K110" s="76">
        <f t="shared" si="3"/>
        <v>0</v>
      </c>
      <c r="L110" s="75">
        <f>IFERROR('HI-LOW Berechnung'!AS109,0)</f>
        <v>0</v>
      </c>
      <c r="M110" s="47">
        <f>IFERROR('HI-LOW Berechnung'!AY109,0)</f>
        <v>0</v>
      </c>
      <c r="N110" s="76">
        <f>IFERROR('HI-LOW Berechnung'!BB109,0)</f>
        <v>0</v>
      </c>
      <c r="O110" s="75" t="str">
        <f>IFNA(VLOOKUP(B110,Datensammler!$B:$AA,25,0),"")</f>
        <v/>
      </c>
      <c r="P110" s="47"/>
      <c r="Q110" s="47"/>
      <c r="R110" s="47"/>
      <c r="S110" s="77">
        <f t="shared" si="4"/>
        <v>0</v>
      </c>
      <c r="T110" s="78" t="str">
        <f t="shared" ref="T110:U110" si="219">IF(G110=0,"",G110/O110)</f>
        <v>#DIV/0!</v>
      </c>
      <c r="U110" s="51" t="str">
        <f t="shared" si="219"/>
        <v/>
      </c>
      <c r="V110" s="51" t="str">
        <f t="shared" ref="V110:W110" si="220">IF(I110="","",I110/Q110)</f>
        <v/>
      </c>
      <c r="W110" s="51" t="str">
        <f t="shared" si="220"/>
        <v/>
      </c>
      <c r="X110" s="79" t="str">
        <f t="shared" si="7"/>
        <v/>
      </c>
      <c r="Y110" s="48">
        <v>105.0</v>
      </c>
      <c r="Z110" s="48">
        <f t="shared" si="8"/>
        <v>0</v>
      </c>
      <c r="AA110" s="48">
        <f t="shared" si="9"/>
        <v>0</v>
      </c>
      <c r="AB110" s="48">
        <v>105.0</v>
      </c>
      <c r="AC110" s="48">
        <f t="shared" si="10"/>
        <v>0</v>
      </c>
      <c r="AD110" s="48" t="str">
        <f t="shared" si="11"/>
        <v/>
      </c>
      <c r="AE110" s="72">
        <v>105.0</v>
      </c>
      <c r="AF110" s="83" t="str">
        <f t="shared" si="12"/>
        <v/>
      </c>
      <c r="AG110" s="72">
        <v>105.0</v>
      </c>
      <c r="AH110" s="48" t="str">
        <f t="shared" si="13"/>
        <v/>
      </c>
      <c r="AI110" s="84" t="str">
        <f t="shared" si="14"/>
        <v/>
      </c>
      <c r="AJ110" s="48"/>
      <c r="AK110" s="48"/>
      <c r="AL110" s="48"/>
      <c r="AM110" s="48"/>
      <c r="AN110" s="48"/>
      <c r="AO110" s="48"/>
      <c r="AP110" s="48"/>
      <c r="AQ110" s="48"/>
      <c r="AR110" s="48"/>
      <c r="AS110" s="48"/>
      <c r="AT110" s="48"/>
      <c r="AU110" s="48"/>
      <c r="AV110" s="48"/>
      <c r="AW110" s="48"/>
      <c r="AX110" s="48"/>
      <c r="AY110" s="48"/>
      <c r="AZ110" s="48"/>
      <c r="BA110" s="48"/>
      <c r="BB110" s="47"/>
      <c r="BC110" s="47"/>
      <c r="BD110" s="47"/>
      <c r="BE110" s="47"/>
      <c r="BF110" s="48"/>
      <c r="BG110" s="52"/>
      <c r="BH110" s="48"/>
      <c r="BI110" s="48"/>
      <c r="BJ110" s="48"/>
      <c r="BK110" s="48"/>
      <c r="BL110" s="48"/>
      <c r="BM110" s="48"/>
      <c r="BN110" s="48"/>
      <c r="BO110" s="48"/>
      <c r="BP110" s="85"/>
      <c r="BQ110" s="48"/>
    </row>
    <row r="111" ht="23.25" customHeight="1">
      <c r="A111" s="47">
        <v>106.0</v>
      </c>
      <c r="B111" s="88"/>
      <c r="C111" s="82" t="str">
        <f>IF(B111="","",VLOOKUP(B111,'Mitglieder BBU'!A:N,6,0))</f>
        <v/>
      </c>
      <c r="D111" s="82" t="str">
        <f>IF(#REF!="","",VLOOKUP(#REF!,'Mitglieder BBU'!A:N,6,0))</f>
        <v>#REF!</v>
      </c>
      <c r="E111" s="82" t="str">
        <f>IF(#REF!="","",VLOOKUP(#REF!,'Mitglieder BBU'!A:N,6,0))</f>
        <v>#REF!</v>
      </c>
      <c r="F111" s="62"/>
      <c r="G111" s="75" t="str">
        <f>IFNA(VLOOKUP(B111,Datensammler!$B:$AA,24,0),"")</f>
        <v/>
      </c>
      <c r="H111" s="47"/>
      <c r="I111" s="47"/>
      <c r="J111" s="47"/>
      <c r="K111" s="76">
        <f t="shared" si="3"/>
        <v>0</v>
      </c>
      <c r="L111" s="75">
        <f>IFERROR('HI-LOW Berechnung'!AS110,0)</f>
        <v>0</v>
      </c>
      <c r="M111" s="47">
        <f>IFERROR('HI-LOW Berechnung'!AY110,0)</f>
        <v>0</v>
      </c>
      <c r="N111" s="76">
        <f>IFERROR('HI-LOW Berechnung'!BB110,0)</f>
        <v>0</v>
      </c>
      <c r="O111" s="75" t="str">
        <f>IFNA(VLOOKUP(B111,Datensammler!$B:$AA,25,0),"")</f>
        <v/>
      </c>
      <c r="P111" s="47"/>
      <c r="Q111" s="47"/>
      <c r="R111" s="47"/>
      <c r="S111" s="77">
        <f t="shared" si="4"/>
        <v>0</v>
      </c>
      <c r="T111" s="78" t="str">
        <f t="shared" ref="T111:U111" si="221">IF(G111=0,"",G111/O111)</f>
        <v>#DIV/0!</v>
      </c>
      <c r="U111" s="51" t="str">
        <f t="shared" si="221"/>
        <v/>
      </c>
      <c r="V111" s="51" t="str">
        <f t="shared" ref="V111:W111" si="222">IF(I111="","",I111/Q111)</f>
        <v/>
      </c>
      <c r="W111" s="51" t="str">
        <f t="shared" si="222"/>
        <v/>
      </c>
      <c r="X111" s="79" t="str">
        <f t="shared" si="7"/>
        <v/>
      </c>
      <c r="Y111" s="48">
        <v>106.0</v>
      </c>
      <c r="Z111" s="48">
        <f t="shared" si="8"/>
        <v>0</v>
      </c>
      <c r="AA111" s="48">
        <f t="shared" si="9"/>
        <v>0</v>
      </c>
      <c r="AB111" s="48">
        <v>106.0</v>
      </c>
      <c r="AC111" s="48">
        <f t="shared" si="10"/>
        <v>0</v>
      </c>
      <c r="AD111" s="48" t="str">
        <f t="shared" si="11"/>
        <v/>
      </c>
      <c r="AE111" s="72">
        <v>106.0</v>
      </c>
      <c r="AF111" s="83" t="str">
        <f t="shared" si="12"/>
        <v/>
      </c>
      <c r="AG111" s="72">
        <v>106.0</v>
      </c>
      <c r="AH111" s="48" t="str">
        <f t="shared" si="13"/>
        <v/>
      </c>
      <c r="AI111" s="84" t="str">
        <f t="shared" si="14"/>
        <v/>
      </c>
      <c r="AJ111" s="48"/>
      <c r="AK111" s="48"/>
      <c r="AL111" s="48"/>
      <c r="AM111" s="48"/>
      <c r="AN111" s="48"/>
      <c r="AO111" s="48"/>
      <c r="AP111" s="48"/>
      <c r="AQ111" s="48"/>
      <c r="AR111" s="48"/>
      <c r="AS111" s="48"/>
      <c r="AT111" s="48"/>
      <c r="AU111" s="48"/>
      <c r="AV111" s="48"/>
      <c r="AW111" s="48"/>
      <c r="AX111" s="48"/>
      <c r="AY111" s="48"/>
      <c r="AZ111" s="48"/>
      <c r="BA111" s="48"/>
      <c r="BB111" s="47"/>
      <c r="BC111" s="47"/>
      <c r="BD111" s="47"/>
      <c r="BE111" s="47"/>
      <c r="BF111" s="48"/>
      <c r="BG111" s="52"/>
      <c r="BH111" s="48"/>
      <c r="BI111" s="48"/>
      <c r="BJ111" s="48"/>
      <c r="BK111" s="48"/>
      <c r="BL111" s="48"/>
      <c r="BM111" s="48"/>
      <c r="BN111" s="48"/>
      <c r="BO111" s="48"/>
      <c r="BP111" s="85"/>
      <c r="BQ111" s="48"/>
    </row>
    <row r="112" ht="23.25" customHeight="1">
      <c r="A112" s="47">
        <v>107.0</v>
      </c>
      <c r="B112" s="88"/>
      <c r="C112" s="82" t="str">
        <f>IF(B112="","",VLOOKUP(B112,'Mitglieder BBU'!A:N,6,0))</f>
        <v/>
      </c>
      <c r="D112" s="82" t="str">
        <f>IF(#REF!="","",VLOOKUP(#REF!,'Mitglieder BBU'!A:N,6,0))</f>
        <v>#REF!</v>
      </c>
      <c r="E112" s="82" t="str">
        <f>IF(#REF!="","",VLOOKUP(#REF!,'Mitglieder BBU'!A:N,6,0))</f>
        <v>#REF!</v>
      </c>
      <c r="F112" s="62"/>
      <c r="G112" s="75" t="str">
        <f>IFNA(VLOOKUP(B112,Datensammler!$B:$AA,24,0),"")</f>
        <v/>
      </c>
      <c r="H112" s="47"/>
      <c r="I112" s="47"/>
      <c r="J112" s="47"/>
      <c r="K112" s="76">
        <f t="shared" si="3"/>
        <v>0</v>
      </c>
      <c r="L112" s="75">
        <f>IFERROR('HI-LOW Berechnung'!AS111,0)</f>
        <v>0</v>
      </c>
      <c r="M112" s="47">
        <f>IFERROR('HI-LOW Berechnung'!AY111,0)</f>
        <v>0</v>
      </c>
      <c r="N112" s="76">
        <f>IFERROR('HI-LOW Berechnung'!BB111,0)</f>
        <v>0</v>
      </c>
      <c r="O112" s="75" t="str">
        <f>IFNA(VLOOKUP(B112,Datensammler!$B:$AA,25,0),"")</f>
        <v/>
      </c>
      <c r="P112" s="47"/>
      <c r="Q112" s="47"/>
      <c r="R112" s="47"/>
      <c r="S112" s="77">
        <f t="shared" si="4"/>
        <v>0</v>
      </c>
      <c r="T112" s="78" t="str">
        <f t="shared" ref="T112:U112" si="223">IF(G112=0,"",G112/O112)</f>
        <v>#DIV/0!</v>
      </c>
      <c r="U112" s="51" t="str">
        <f t="shared" si="223"/>
        <v/>
      </c>
      <c r="V112" s="51" t="str">
        <f t="shared" ref="V112:W112" si="224">IF(I112="","",I112/Q112)</f>
        <v/>
      </c>
      <c r="W112" s="51" t="str">
        <f t="shared" si="224"/>
        <v/>
      </c>
      <c r="X112" s="79" t="str">
        <f t="shared" si="7"/>
        <v/>
      </c>
      <c r="Y112" s="48">
        <v>107.0</v>
      </c>
      <c r="Z112" s="48">
        <f t="shared" si="8"/>
        <v>0</v>
      </c>
      <c r="AA112" s="48">
        <f t="shared" si="9"/>
        <v>0</v>
      </c>
      <c r="AB112" s="48">
        <v>107.0</v>
      </c>
      <c r="AC112" s="48">
        <f t="shared" si="10"/>
        <v>0</v>
      </c>
      <c r="AD112" s="48" t="str">
        <f t="shared" si="11"/>
        <v/>
      </c>
      <c r="AE112" s="72">
        <v>107.0</v>
      </c>
      <c r="AF112" s="83" t="str">
        <f t="shared" si="12"/>
        <v/>
      </c>
      <c r="AG112" s="72">
        <v>107.0</v>
      </c>
      <c r="AH112" s="48" t="str">
        <f t="shared" si="13"/>
        <v/>
      </c>
      <c r="AI112" s="84" t="str">
        <f t="shared" si="14"/>
        <v/>
      </c>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52"/>
      <c r="BH112" s="48"/>
      <c r="BI112" s="48"/>
      <c r="BJ112" s="48"/>
      <c r="BK112" s="48"/>
      <c r="BL112" s="48"/>
      <c r="BM112" s="48"/>
      <c r="BN112" s="48"/>
      <c r="BO112" s="48"/>
      <c r="BP112" s="48"/>
      <c r="BQ112" s="48"/>
    </row>
    <row r="113" ht="23.25" customHeight="1">
      <c r="A113" s="47">
        <v>108.0</v>
      </c>
      <c r="B113" s="88"/>
      <c r="C113" s="82" t="str">
        <f>IF(B113="","",VLOOKUP(B113,'Mitglieder BBU'!A:N,6,0))</f>
        <v/>
      </c>
      <c r="D113" s="82" t="str">
        <f>IF(#REF!="","",VLOOKUP(#REF!,'Mitglieder BBU'!A:N,6,0))</f>
        <v>#REF!</v>
      </c>
      <c r="E113" s="82" t="str">
        <f>IF(#REF!="","",VLOOKUP(#REF!,'Mitglieder BBU'!A:N,6,0))</f>
        <v>#REF!</v>
      </c>
      <c r="F113" s="62"/>
      <c r="G113" s="75" t="str">
        <f>IFNA(VLOOKUP(B113,Datensammler!$B:$AA,24,0),"")</f>
        <v/>
      </c>
      <c r="H113" s="47"/>
      <c r="I113" s="47"/>
      <c r="J113" s="47"/>
      <c r="K113" s="76">
        <f t="shared" si="3"/>
        <v>0</v>
      </c>
      <c r="L113" s="75">
        <f>IFERROR('HI-LOW Berechnung'!AS112,0)</f>
        <v>0</v>
      </c>
      <c r="M113" s="47">
        <f>IFERROR('HI-LOW Berechnung'!AY112,0)</f>
        <v>0</v>
      </c>
      <c r="N113" s="76">
        <f>IFERROR('HI-LOW Berechnung'!BB112,0)</f>
        <v>0</v>
      </c>
      <c r="O113" s="75" t="str">
        <f>IFNA(VLOOKUP(B113,Datensammler!$B:$AA,25,0),"")</f>
        <v/>
      </c>
      <c r="P113" s="47"/>
      <c r="Q113" s="47"/>
      <c r="R113" s="47"/>
      <c r="S113" s="77">
        <f t="shared" si="4"/>
        <v>0</v>
      </c>
      <c r="T113" s="78" t="str">
        <f t="shared" ref="T113:U113" si="225">IF(G113=0,"",G113/O113)</f>
        <v>#DIV/0!</v>
      </c>
      <c r="U113" s="51" t="str">
        <f t="shared" si="225"/>
        <v/>
      </c>
      <c r="V113" s="51" t="str">
        <f t="shared" ref="V113:W113" si="226">IF(I113="","",I113/Q113)</f>
        <v/>
      </c>
      <c r="W113" s="51" t="str">
        <f t="shared" si="226"/>
        <v/>
      </c>
      <c r="X113" s="79" t="str">
        <f t="shared" si="7"/>
        <v/>
      </c>
      <c r="Y113" s="48">
        <v>108.0</v>
      </c>
      <c r="Z113" s="48">
        <f t="shared" si="8"/>
        <v>0</v>
      </c>
      <c r="AA113" s="48">
        <f t="shared" si="9"/>
        <v>0</v>
      </c>
      <c r="AB113" s="48">
        <v>108.0</v>
      </c>
      <c r="AC113" s="48">
        <f t="shared" si="10"/>
        <v>0</v>
      </c>
      <c r="AD113" s="48" t="str">
        <f t="shared" si="11"/>
        <v/>
      </c>
      <c r="AE113" s="72">
        <v>108.0</v>
      </c>
      <c r="AF113" s="83" t="str">
        <f t="shared" si="12"/>
        <v/>
      </c>
      <c r="AG113" s="72">
        <v>108.0</v>
      </c>
      <c r="AH113" s="48" t="str">
        <f t="shared" si="13"/>
        <v/>
      </c>
      <c r="AI113" s="84" t="str">
        <f t="shared" si="14"/>
        <v/>
      </c>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52"/>
      <c r="BH113" s="48"/>
      <c r="BI113" s="48"/>
      <c r="BJ113" s="48"/>
      <c r="BK113" s="48"/>
      <c r="BL113" s="48"/>
      <c r="BM113" s="48"/>
      <c r="BN113" s="48"/>
      <c r="BO113" s="48"/>
      <c r="BP113" s="48"/>
      <c r="BQ113" s="48"/>
    </row>
    <row r="114" ht="23.25" customHeight="1">
      <c r="A114" s="47">
        <v>109.0</v>
      </c>
      <c r="B114" s="88"/>
      <c r="C114" s="82" t="str">
        <f>IF(B114="","",VLOOKUP(B114,'Mitglieder BBU'!A:N,6,0))</f>
        <v/>
      </c>
      <c r="D114" s="82" t="str">
        <f>IF(#REF!="","",VLOOKUP(#REF!,'Mitglieder BBU'!A:N,6,0))</f>
        <v>#REF!</v>
      </c>
      <c r="E114" s="82" t="str">
        <f>IF(#REF!="","",VLOOKUP(#REF!,'Mitglieder BBU'!A:N,6,0))</f>
        <v>#REF!</v>
      </c>
      <c r="F114" s="82"/>
      <c r="G114" s="75" t="str">
        <f>IFNA(VLOOKUP(B114,Datensammler!$B:$AA,24,0),"")</f>
        <v/>
      </c>
      <c r="H114" s="47"/>
      <c r="I114" s="47"/>
      <c r="J114" s="47"/>
      <c r="K114" s="76">
        <f t="shared" si="3"/>
        <v>0</v>
      </c>
      <c r="L114" s="75">
        <f>IFERROR('HI-LOW Berechnung'!AS113,0)</f>
        <v>0</v>
      </c>
      <c r="M114" s="47">
        <f>IFERROR('HI-LOW Berechnung'!AY113,0)</f>
        <v>0</v>
      </c>
      <c r="N114" s="76">
        <f>IFERROR('HI-LOW Berechnung'!BB113,0)</f>
        <v>0</v>
      </c>
      <c r="O114" s="75" t="str">
        <f>IFNA(VLOOKUP(B114,Datensammler!$B:$AA,25,0),"")</f>
        <v/>
      </c>
      <c r="P114" s="47"/>
      <c r="Q114" s="47"/>
      <c r="R114" s="47"/>
      <c r="S114" s="77">
        <f t="shared" si="4"/>
        <v>0</v>
      </c>
      <c r="T114" s="78" t="str">
        <f t="shared" ref="T114:U114" si="227">IF(G114=0,"",G114/O114)</f>
        <v>#DIV/0!</v>
      </c>
      <c r="U114" s="51" t="str">
        <f t="shared" si="227"/>
        <v/>
      </c>
      <c r="V114" s="51" t="str">
        <f t="shared" ref="V114:W114" si="228">IF(I114="","",I114/Q114)</f>
        <v/>
      </c>
      <c r="W114" s="51" t="str">
        <f t="shared" si="228"/>
        <v/>
      </c>
      <c r="X114" s="79" t="str">
        <f t="shared" si="7"/>
        <v/>
      </c>
      <c r="Y114" s="48">
        <v>109.0</v>
      </c>
      <c r="Z114" s="48">
        <f t="shared" si="8"/>
        <v>0</v>
      </c>
      <c r="AA114" s="48">
        <f t="shared" si="9"/>
        <v>0</v>
      </c>
      <c r="AB114" s="48">
        <v>109.0</v>
      </c>
      <c r="AC114" s="48">
        <f t="shared" si="10"/>
        <v>0</v>
      </c>
      <c r="AD114" s="48" t="str">
        <f t="shared" si="11"/>
        <v/>
      </c>
      <c r="AE114" s="72">
        <v>109.0</v>
      </c>
      <c r="AF114" s="83" t="str">
        <f t="shared" si="12"/>
        <v/>
      </c>
      <c r="AG114" s="72">
        <v>109.0</v>
      </c>
      <c r="AH114" s="48" t="str">
        <f t="shared" si="13"/>
        <v/>
      </c>
      <c r="AI114" s="84" t="str">
        <f t="shared" si="14"/>
        <v/>
      </c>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52"/>
      <c r="BH114" s="48"/>
      <c r="BI114" s="48"/>
      <c r="BJ114" s="48"/>
      <c r="BK114" s="48"/>
      <c r="BL114" s="48"/>
      <c r="BM114" s="48"/>
      <c r="BN114" s="48"/>
      <c r="BO114" s="48"/>
      <c r="BP114" s="48"/>
      <c r="BQ114" s="48"/>
    </row>
    <row r="115" ht="23.25" customHeight="1">
      <c r="A115" s="47">
        <v>110.0</v>
      </c>
      <c r="B115" s="88"/>
      <c r="C115" s="82" t="str">
        <f>IF(B115="","",VLOOKUP(B115,'Mitglieder BBU'!A:N,6,0))</f>
        <v/>
      </c>
      <c r="D115" s="82" t="str">
        <f>IF(#REF!="","",VLOOKUP(#REF!,'Mitglieder BBU'!A:N,6,0))</f>
        <v>#REF!</v>
      </c>
      <c r="E115" s="82" t="str">
        <f>IF(#REF!="","",VLOOKUP(#REF!,'Mitglieder BBU'!A:N,6,0))</f>
        <v>#REF!</v>
      </c>
      <c r="F115" s="82"/>
      <c r="G115" s="75" t="str">
        <f>IFNA(VLOOKUP(B115,Datensammler!$B:$AA,24,0),"")</f>
        <v/>
      </c>
      <c r="H115" s="47"/>
      <c r="I115" s="47"/>
      <c r="J115" s="47"/>
      <c r="K115" s="76">
        <f t="shared" si="3"/>
        <v>0</v>
      </c>
      <c r="L115" s="75">
        <f>IFERROR('HI-LOW Berechnung'!AS114,0)</f>
        <v>0</v>
      </c>
      <c r="M115" s="47">
        <f>IFERROR('HI-LOW Berechnung'!AY114,0)</f>
        <v>0</v>
      </c>
      <c r="N115" s="76">
        <f>IFERROR('HI-LOW Berechnung'!BB114,0)</f>
        <v>0</v>
      </c>
      <c r="O115" s="75" t="str">
        <f>IFNA(VLOOKUP(B115,Datensammler!$B:$AA,25,0),"")</f>
        <v/>
      </c>
      <c r="P115" s="47"/>
      <c r="Q115" s="47"/>
      <c r="R115" s="47"/>
      <c r="S115" s="77">
        <f t="shared" si="4"/>
        <v>0</v>
      </c>
      <c r="T115" s="78" t="str">
        <f t="shared" ref="T115:U115" si="229">IF(G115=0,"",G115/O115)</f>
        <v>#DIV/0!</v>
      </c>
      <c r="U115" s="51" t="str">
        <f t="shared" si="229"/>
        <v/>
      </c>
      <c r="V115" s="51" t="str">
        <f t="shared" ref="V115:W115" si="230">IF(I115="","",I115/Q115)</f>
        <v/>
      </c>
      <c r="W115" s="51" t="str">
        <f t="shared" si="230"/>
        <v/>
      </c>
      <c r="X115" s="79" t="str">
        <f t="shared" si="7"/>
        <v/>
      </c>
      <c r="Y115" s="48">
        <v>110.0</v>
      </c>
      <c r="Z115" s="48">
        <f t="shared" si="8"/>
        <v>0</v>
      </c>
      <c r="AA115" s="48">
        <f t="shared" si="9"/>
        <v>0</v>
      </c>
      <c r="AB115" s="48">
        <v>110.0</v>
      </c>
      <c r="AC115" s="48">
        <f t="shared" si="10"/>
        <v>0</v>
      </c>
      <c r="AD115" s="48" t="str">
        <f t="shared" si="11"/>
        <v/>
      </c>
      <c r="AE115" s="72">
        <v>110.0</v>
      </c>
      <c r="AF115" s="83" t="str">
        <f t="shared" si="12"/>
        <v/>
      </c>
      <c r="AG115" s="72">
        <v>110.0</v>
      </c>
      <c r="AH115" s="48" t="str">
        <f t="shared" si="13"/>
        <v/>
      </c>
      <c r="AI115" s="84" t="str">
        <f t="shared" si="14"/>
        <v/>
      </c>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52"/>
      <c r="BH115" s="48"/>
      <c r="BI115" s="48"/>
      <c r="BJ115" s="48"/>
      <c r="BK115" s="48"/>
      <c r="BL115" s="48"/>
      <c r="BM115" s="48"/>
      <c r="BN115" s="48"/>
      <c r="BO115" s="48"/>
      <c r="BP115" s="48"/>
      <c r="BQ115" s="48"/>
    </row>
    <row r="116" ht="23.25" customHeight="1">
      <c r="A116" s="47">
        <v>111.0</v>
      </c>
      <c r="B116" s="88"/>
      <c r="C116" s="82" t="str">
        <f>IF(B116="","",VLOOKUP(B116,'Mitglieder BBU'!A:N,6,0))</f>
        <v/>
      </c>
      <c r="D116" s="82" t="str">
        <f>IF(#REF!="","",VLOOKUP(#REF!,'Mitglieder BBU'!A:N,6,0))</f>
        <v>#REF!</v>
      </c>
      <c r="E116" s="82" t="str">
        <f>IF(#REF!="","",VLOOKUP(#REF!,'Mitglieder BBU'!A:N,6,0))</f>
        <v>#REF!</v>
      </c>
      <c r="F116" s="62"/>
      <c r="G116" s="75" t="str">
        <f>IFNA(VLOOKUP(B116,Datensammler!$B:$AA,24,0),"")</f>
        <v/>
      </c>
      <c r="H116" s="47"/>
      <c r="I116" s="47"/>
      <c r="J116" s="47"/>
      <c r="K116" s="76">
        <f t="shared" si="3"/>
        <v>0</v>
      </c>
      <c r="L116" s="75">
        <f>IFERROR('HI-LOW Berechnung'!AS115,0)</f>
        <v>0</v>
      </c>
      <c r="M116" s="47">
        <f>IFERROR('HI-LOW Berechnung'!AY115,0)</f>
        <v>0</v>
      </c>
      <c r="N116" s="76">
        <f>IFERROR('HI-LOW Berechnung'!BB115,0)</f>
        <v>0</v>
      </c>
      <c r="O116" s="75" t="str">
        <f>IFNA(VLOOKUP(B116,Datensammler!$B:$AA,25,0),"")</f>
        <v/>
      </c>
      <c r="P116" s="47"/>
      <c r="Q116" s="47"/>
      <c r="R116" s="47"/>
      <c r="S116" s="77">
        <f t="shared" si="4"/>
        <v>0</v>
      </c>
      <c r="T116" s="78" t="str">
        <f t="shared" ref="T116:U116" si="231">IF(G116=0,"",G116/O116)</f>
        <v>#DIV/0!</v>
      </c>
      <c r="U116" s="51" t="str">
        <f t="shared" si="231"/>
        <v/>
      </c>
      <c r="V116" s="51" t="str">
        <f t="shared" ref="V116:W116" si="232">IF(I116="","",I116/Q116)</f>
        <v/>
      </c>
      <c r="W116" s="51" t="str">
        <f t="shared" si="232"/>
        <v/>
      </c>
      <c r="X116" s="79" t="str">
        <f t="shared" si="7"/>
        <v/>
      </c>
      <c r="Y116" s="48">
        <v>111.0</v>
      </c>
      <c r="Z116" s="48">
        <f t="shared" si="8"/>
        <v>0</v>
      </c>
      <c r="AA116" s="48">
        <f t="shared" si="9"/>
        <v>0</v>
      </c>
      <c r="AB116" s="48">
        <v>111.0</v>
      </c>
      <c r="AC116" s="48">
        <f t="shared" si="10"/>
        <v>0</v>
      </c>
      <c r="AD116" s="48" t="str">
        <f t="shared" si="11"/>
        <v/>
      </c>
      <c r="AE116" s="72">
        <v>111.0</v>
      </c>
      <c r="AF116" s="83" t="str">
        <f t="shared" si="12"/>
        <v/>
      </c>
      <c r="AG116" s="72">
        <v>111.0</v>
      </c>
      <c r="AH116" s="48" t="str">
        <f t="shared" si="13"/>
        <v/>
      </c>
      <c r="AI116" s="84" t="str">
        <f t="shared" si="14"/>
        <v/>
      </c>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52"/>
      <c r="BH116" s="48"/>
      <c r="BI116" s="48"/>
      <c r="BJ116" s="48"/>
      <c r="BK116" s="48"/>
      <c r="BL116" s="48"/>
      <c r="BM116" s="48"/>
      <c r="BN116" s="48"/>
      <c r="BO116" s="48"/>
      <c r="BP116" s="48"/>
      <c r="BQ116" s="48"/>
    </row>
    <row r="117" ht="23.25" customHeight="1">
      <c r="A117" s="47">
        <v>112.0</v>
      </c>
      <c r="B117" s="88"/>
      <c r="C117" s="82" t="str">
        <f>IF(B117="","",VLOOKUP(B117,'Mitglieder BBU'!A:N,6,0))</f>
        <v/>
      </c>
      <c r="D117" s="82" t="str">
        <f>IF(#REF!="","",VLOOKUP(#REF!,'Mitglieder BBU'!A:N,6,0))</f>
        <v>#REF!</v>
      </c>
      <c r="E117" s="82" t="str">
        <f>IF(#REF!="","",VLOOKUP(#REF!,'Mitglieder BBU'!A:N,6,0))</f>
        <v>#REF!</v>
      </c>
      <c r="F117" s="82"/>
      <c r="G117" s="75" t="str">
        <f>IFNA(VLOOKUP(B117,Datensammler!$B:$AA,24,0),"")</f>
        <v/>
      </c>
      <c r="H117" s="47"/>
      <c r="I117" s="47"/>
      <c r="J117" s="47"/>
      <c r="K117" s="76">
        <f t="shared" si="3"/>
        <v>0</v>
      </c>
      <c r="L117" s="75">
        <f>IFERROR('HI-LOW Berechnung'!AS116,0)</f>
        <v>0</v>
      </c>
      <c r="M117" s="47">
        <f>IFERROR('HI-LOW Berechnung'!AY116,0)</f>
        <v>0</v>
      </c>
      <c r="N117" s="76">
        <f>IFERROR('HI-LOW Berechnung'!BB116,0)</f>
        <v>0</v>
      </c>
      <c r="O117" s="75" t="str">
        <f>IFNA(VLOOKUP(B117,Datensammler!$B:$AA,25,0),"")</f>
        <v/>
      </c>
      <c r="P117" s="47"/>
      <c r="Q117" s="47"/>
      <c r="R117" s="47"/>
      <c r="S117" s="77">
        <f t="shared" si="4"/>
        <v>0</v>
      </c>
      <c r="T117" s="78" t="str">
        <f t="shared" ref="T117:U117" si="233">IF(G117=0,"",G117/O117)</f>
        <v>#DIV/0!</v>
      </c>
      <c r="U117" s="51" t="str">
        <f t="shared" si="233"/>
        <v/>
      </c>
      <c r="V117" s="51" t="str">
        <f t="shared" ref="V117:W117" si="234">IF(I117="","",I117/Q117)</f>
        <v/>
      </c>
      <c r="W117" s="51" t="str">
        <f t="shared" si="234"/>
        <v/>
      </c>
      <c r="X117" s="79" t="str">
        <f t="shared" si="7"/>
        <v/>
      </c>
      <c r="Y117" s="48">
        <v>112.0</v>
      </c>
      <c r="Z117" s="48">
        <f t="shared" si="8"/>
        <v>0</v>
      </c>
      <c r="AA117" s="48">
        <f t="shared" si="9"/>
        <v>0</v>
      </c>
      <c r="AB117" s="48">
        <v>112.0</v>
      </c>
      <c r="AC117" s="48">
        <f t="shared" si="10"/>
        <v>0</v>
      </c>
      <c r="AD117" s="48" t="str">
        <f t="shared" si="11"/>
        <v/>
      </c>
      <c r="AE117" s="72">
        <v>112.0</v>
      </c>
      <c r="AF117" s="83" t="str">
        <f t="shared" si="12"/>
        <v/>
      </c>
      <c r="AG117" s="72">
        <v>112.0</v>
      </c>
      <c r="AH117" s="48" t="str">
        <f t="shared" si="13"/>
        <v/>
      </c>
      <c r="AI117" s="84" t="str">
        <f t="shared" si="14"/>
        <v/>
      </c>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52"/>
      <c r="BH117" s="48"/>
      <c r="BI117" s="48"/>
      <c r="BJ117" s="48"/>
      <c r="BK117" s="48"/>
      <c r="BL117" s="48"/>
      <c r="BM117" s="48"/>
      <c r="BN117" s="48"/>
      <c r="BO117" s="48"/>
      <c r="BP117" s="48"/>
      <c r="BQ117" s="48"/>
    </row>
    <row r="118" ht="23.25" customHeight="1">
      <c r="A118" s="47">
        <v>113.0</v>
      </c>
      <c r="B118" s="88"/>
      <c r="C118" s="82" t="str">
        <f>IF(B118="","",VLOOKUP(B118,'Mitglieder BBU'!A:N,6,0))</f>
        <v/>
      </c>
      <c r="D118" s="82" t="str">
        <f>IF(#REF!="","",VLOOKUP(#REF!,'Mitglieder BBU'!A:N,6,0))</f>
        <v>#REF!</v>
      </c>
      <c r="E118" s="82" t="str">
        <f>IF(#REF!="","",VLOOKUP(#REF!,'Mitglieder BBU'!A:N,6,0))</f>
        <v>#REF!</v>
      </c>
      <c r="F118" s="62"/>
      <c r="G118" s="75" t="str">
        <f>IFNA(VLOOKUP(B118,Datensammler!$B:$AA,24,0),"")</f>
        <v/>
      </c>
      <c r="H118" s="47"/>
      <c r="I118" s="47"/>
      <c r="J118" s="47"/>
      <c r="K118" s="76">
        <f t="shared" si="3"/>
        <v>0</v>
      </c>
      <c r="L118" s="75">
        <f>IFERROR('HI-LOW Berechnung'!AS117,0)</f>
        <v>0</v>
      </c>
      <c r="M118" s="47">
        <f>IFERROR('HI-LOW Berechnung'!AY117,0)</f>
        <v>0</v>
      </c>
      <c r="N118" s="76">
        <f>IFERROR('HI-LOW Berechnung'!BB117,0)</f>
        <v>0</v>
      </c>
      <c r="O118" s="75" t="str">
        <f>IFNA(VLOOKUP(B118,Datensammler!$B:$AA,25,0),"")</f>
        <v/>
      </c>
      <c r="P118" s="47"/>
      <c r="Q118" s="47"/>
      <c r="R118" s="47"/>
      <c r="S118" s="77">
        <f t="shared" si="4"/>
        <v>0</v>
      </c>
      <c r="T118" s="78" t="str">
        <f t="shared" ref="T118:U118" si="235">IF(G118=0,"",G118/O118)</f>
        <v>#DIV/0!</v>
      </c>
      <c r="U118" s="51" t="str">
        <f t="shared" si="235"/>
        <v/>
      </c>
      <c r="V118" s="51" t="str">
        <f t="shared" ref="V118:W118" si="236">IF(I118="","",I118/Q118)</f>
        <v/>
      </c>
      <c r="W118" s="51" t="str">
        <f t="shared" si="236"/>
        <v/>
      </c>
      <c r="X118" s="79" t="str">
        <f t="shared" si="7"/>
        <v/>
      </c>
      <c r="Y118" s="48">
        <v>113.0</v>
      </c>
      <c r="Z118" s="48">
        <f t="shared" si="8"/>
        <v>0</v>
      </c>
      <c r="AA118" s="48">
        <f t="shared" si="9"/>
        <v>0</v>
      </c>
      <c r="AB118" s="48">
        <v>113.0</v>
      </c>
      <c r="AC118" s="48">
        <f t="shared" si="10"/>
        <v>0</v>
      </c>
      <c r="AD118" s="48" t="str">
        <f t="shared" si="11"/>
        <v/>
      </c>
      <c r="AE118" s="72">
        <v>113.0</v>
      </c>
      <c r="AF118" s="83" t="str">
        <f t="shared" si="12"/>
        <v/>
      </c>
      <c r="AG118" s="72">
        <v>113.0</v>
      </c>
      <c r="AH118" s="48" t="str">
        <f t="shared" si="13"/>
        <v/>
      </c>
      <c r="AI118" s="84" t="str">
        <f t="shared" si="14"/>
        <v/>
      </c>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52"/>
      <c r="BH118" s="48"/>
      <c r="BI118" s="48"/>
      <c r="BJ118" s="48"/>
      <c r="BK118" s="48"/>
      <c r="BL118" s="48"/>
      <c r="BM118" s="48"/>
      <c r="BN118" s="48"/>
      <c r="BO118" s="48"/>
      <c r="BP118" s="48"/>
      <c r="BQ118" s="48"/>
    </row>
    <row r="119" ht="23.25" customHeight="1">
      <c r="A119" s="47">
        <v>114.0</v>
      </c>
      <c r="B119" s="88"/>
      <c r="C119" s="82" t="str">
        <f>IF(B119="","",VLOOKUP(B119,'Mitglieder BBU'!A:N,6,0))</f>
        <v/>
      </c>
      <c r="D119" s="82" t="str">
        <f>IF(#REF!="","",VLOOKUP(#REF!,'Mitglieder BBU'!A:N,6,0))</f>
        <v>#REF!</v>
      </c>
      <c r="E119" s="82" t="str">
        <f>IF(#REF!="","",VLOOKUP(#REF!,'Mitglieder BBU'!A:N,6,0))</f>
        <v>#REF!</v>
      </c>
      <c r="F119" s="82"/>
      <c r="G119" s="75" t="str">
        <f>IFNA(VLOOKUP(B119,Datensammler!$B:$AA,24,0),"")</f>
        <v/>
      </c>
      <c r="H119" s="47"/>
      <c r="I119" s="47"/>
      <c r="J119" s="47"/>
      <c r="K119" s="76">
        <f t="shared" si="3"/>
        <v>0</v>
      </c>
      <c r="L119" s="75">
        <f>IFERROR('HI-LOW Berechnung'!AS118,0)</f>
        <v>0</v>
      </c>
      <c r="M119" s="47">
        <f>IFERROR('HI-LOW Berechnung'!AY118,0)</f>
        <v>0</v>
      </c>
      <c r="N119" s="76">
        <f>IFERROR('HI-LOW Berechnung'!BB118,0)</f>
        <v>0</v>
      </c>
      <c r="O119" s="75" t="str">
        <f>IFNA(VLOOKUP(B119,Datensammler!$B:$AA,25,0),"")</f>
        <v/>
      </c>
      <c r="P119" s="47"/>
      <c r="Q119" s="47"/>
      <c r="R119" s="47"/>
      <c r="S119" s="77">
        <f t="shared" si="4"/>
        <v>0</v>
      </c>
      <c r="T119" s="78" t="str">
        <f t="shared" ref="T119:U119" si="237">IF(G119=0,"",G119/O119)</f>
        <v>#DIV/0!</v>
      </c>
      <c r="U119" s="51" t="str">
        <f t="shared" si="237"/>
        <v/>
      </c>
      <c r="V119" s="51" t="str">
        <f t="shared" ref="V119:W119" si="238">IF(I119="","",I119/Q119)</f>
        <v/>
      </c>
      <c r="W119" s="51" t="str">
        <f t="shared" si="238"/>
        <v/>
      </c>
      <c r="X119" s="79" t="str">
        <f t="shared" si="7"/>
        <v/>
      </c>
      <c r="Y119" s="48">
        <v>114.0</v>
      </c>
      <c r="Z119" s="48">
        <f t="shared" si="8"/>
        <v>0</v>
      </c>
      <c r="AA119" s="48">
        <f t="shared" si="9"/>
        <v>0</v>
      </c>
      <c r="AB119" s="48">
        <v>114.0</v>
      </c>
      <c r="AC119" s="48">
        <f t="shared" si="10"/>
        <v>0</v>
      </c>
      <c r="AD119" s="48" t="str">
        <f t="shared" si="11"/>
        <v/>
      </c>
      <c r="AE119" s="72">
        <v>114.0</v>
      </c>
      <c r="AF119" s="83" t="str">
        <f t="shared" si="12"/>
        <v/>
      </c>
      <c r="AG119" s="72">
        <v>114.0</v>
      </c>
      <c r="AH119" s="48" t="str">
        <f t="shared" si="13"/>
        <v/>
      </c>
      <c r="AI119" s="84" t="str">
        <f t="shared" si="14"/>
        <v/>
      </c>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52"/>
      <c r="BH119" s="48"/>
      <c r="BI119" s="48"/>
      <c r="BJ119" s="48"/>
      <c r="BK119" s="48"/>
      <c r="BL119" s="48"/>
      <c r="BM119" s="48"/>
      <c r="BN119" s="48"/>
      <c r="BO119" s="48"/>
      <c r="BP119" s="48"/>
      <c r="BQ119" s="48"/>
    </row>
    <row r="120" ht="23.25" customHeight="1">
      <c r="A120" s="47">
        <v>115.0</v>
      </c>
      <c r="B120" s="88"/>
      <c r="C120" s="82" t="str">
        <f>IF(B120="","",VLOOKUP(B120,'Mitglieder BBU'!A:N,6,0))</f>
        <v/>
      </c>
      <c r="D120" s="82" t="str">
        <f>IF(#REF!="","",VLOOKUP(#REF!,'Mitglieder BBU'!A:N,6,0))</f>
        <v>#REF!</v>
      </c>
      <c r="E120" s="82" t="str">
        <f>IF(#REF!="","",VLOOKUP(#REF!,'Mitglieder BBU'!A:N,6,0))</f>
        <v>#REF!</v>
      </c>
      <c r="F120" s="82"/>
      <c r="G120" s="75" t="str">
        <f>IFNA(VLOOKUP(B120,Datensammler!$B:$AA,24,0),"")</f>
        <v/>
      </c>
      <c r="H120" s="47"/>
      <c r="I120" s="47"/>
      <c r="J120" s="47"/>
      <c r="K120" s="76">
        <f t="shared" si="3"/>
        <v>0</v>
      </c>
      <c r="L120" s="75">
        <f>IFERROR('HI-LOW Berechnung'!AS119,0)</f>
        <v>0</v>
      </c>
      <c r="M120" s="47">
        <f>IFERROR('HI-LOW Berechnung'!AY119,0)</f>
        <v>0</v>
      </c>
      <c r="N120" s="76">
        <f>IFERROR('HI-LOW Berechnung'!BB119,0)</f>
        <v>0</v>
      </c>
      <c r="O120" s="75" t="str">
        <f>IFNA(VLOOKUP(B120,Datensammler!$B:$AA,25,0),"")</f>
        <v/>
      </c>
      <c r="P120" s="47"/>
      <c r="Q120" s="47"/>
      <c r="R120" s="47"/>
      <c r="S120" s="77">
        <f t="shared" si="4"/>
        <v>0</v>
      </c>
      <c r="T120" s="78" t="str">
        <f t="shared" ref="T120:U120" si="239">IF(G120=0,"",G120/O120)</f>
        <v>#DIV/0!</v>
      </c>
      <c r="U120" s="51" t="str">
        <f t="shared" si="239"/>
        <v/>
      </c>
      <c r="V120" s="51" t="str">
        <f t="shared" ref="V120:W120" si="240">IF(I120="","",I120/Q120)</f>
        <v/>
      </c>
      <c r="W120" s="51" t="str">
        <f t="shared" si="240"/>
        <v/>
      </c>
      <c r="X120" s="79" t="str">
        <f t="shared" si="7"/>
        <v/>
      </c>
      <c r="Y120" s="48">
        <v>115.0</v>
      </c>
      <c r="Z120" s="48">
        <f t="shared" si="8"/>
        <v>0</v>
      </c>
      <c r="AA120" s="48">
        <f t="shared" si="9"/>
        <v>0</v>
      </c>
      <c r="AB120" s="48">
        <v>115.0</v>
      </c>
      <c r="AC120" s="48">
        <f t="shared" si="10"/>
        <v>0</v>
      </c>
      <c r="AD120" s="48" t="str">
        <f t="shared" si="11"/>
        <v/>
      </c>
      <c r="AE120" s="72">
        <v>115.0</v>
      </c>
      <c r="AF120" s="83" t="str">
        <f t="shared" si="12"/>
        <v/>
      </c>
      <c r="AG120" s="72">
        <v>115.0</v>
      </c>
      <c r="AH120" s="48" t="str">
        <f t="shared" si="13"/>
        <v/>
      </c>
      <c r="AI120" s="84" t="str">
        <f t="shared" si="14"/>
        <v/>
      </c>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52"/>
      <c r="BH120" s="48"/>
      <c r="BI120" s="48"/>
      <c r="BJ120" s="48"/>
      <c r="BK120" s="48"/>
      <c r="BL120" s="48"/>
      <c r="BM120" s="48"/>
      <c r="BN120" s="48"/>
      <c r="BO120" s="48"/>
      <c r="BP120" s="48"/>
      <c r="BQ120" s="48"/>
    </row>
    <row r="121" ht="23.25" customHeight="1">
      <c r="A121" s="47">
        <v>116.0</v>
      </c>
      <c r="B121" s="88"/>
      <c r="C121" s="82" t="str">
        <f>IF(B121="","",VLOOKUP(B121,'Mitglieder BBU'!A:N,6,0))</f>
        <v/>
      </c>
      <c r="D121" s="82" t="str">
        <f>IF(#REF!="","",VLOOKUP(#REF!,'Mitglieder BBU'!A:N,6,0))</f>
        <v>#REF!</v>
      </c>
      <c r="E121" s="82" t="str">
        <f>IF(#REF!="","",VLOOKUP(#REF!,'Mitglieder BBU'!A:N,6,0))</f>
        <v>#REF!</v>
      </c>
      <c r="F121" s="82"/>
      <c r="G121" s="75" t="str">
        <f>IFNA(VLOOKUP(B121,Datensammler!$B:$AA,24,0),"")</f>
        <v/>
      </c>
      <c r="H121" s="47"/>
      <c r="I121" s="47"/>
      <c r="J121" s="47"/>
      <c r="K121" s="76">
        <f t="shared" si="3"/>
        <v>0</v>
      </c>
      <c r="L121" s="75">
        <f>IFERROR('HI-LOW Berechnung'!AS120,0)</f>
        <v>0</v>
      </c>
      <c r="M121" s="47">
        <f>IFERROR('HI-LOW Berechnung'!AY120,0)</f>
        <v>0</v>
      </c>
      <c r="N121" s="76">
        <f>IFERROR('HI-LOW Berechnung'!BB120,0)</f>
        <v>0</v>
      </c>
      <c r="O121" s="75" t="str">
        <f>IFNA(VLOOKUP(B121,Datensammler!$B:$AA,25,0),"")</f>
        <v/>
      </c>
      <c r="P121" s="47"/>
      <c r="Q121" s="47"/>
      <c r="R121" s="47"/>
      <c r="S121" s="77">
        <f t="shared" si="4"/>
        <v>0</v>
      </c>
      <c r="T121" s="78" t="str">
        <f t="shared" ref="T121:U121" si="241">IF(G121=0,"",G121/O121)</f>
        <v>#DIV/0!</v>
      </c>
      <c r="U121" s="51" t="str">
        <f t="shared" si="241"/>
        <v/>
      </c>
      <c r="V121" s="51" t="str">
        <f t="shared" ref="V121:W121" si="242">IF(I121="","",I121/Q121)</f>
        <v/>
      </c>
      <c r="W121" s="51" t="str">
        <f t="shared" si="242"/>
        <v/>
      </c>
      <c r="X121" s="79" t="str">
        <f t="shared" si="7"/>
        <v/>
      </c>
      <c r="Y121" s="48">
        <v>116.0</v>
      </c>
      <c r="Z121" s="48">
        <f t="shared" si="8"/>
        <v>0</v>
      </c>
      <c r="AA121" s="48">
        <f t="shared" si="9"/>
        <v>0</v>
      </c>
      <c r="AB121" s="48">
        <v>116.0</v>
      </c>
      <c r="AC121" s="48">
        <f t="shared" si="10"/>
        <v>0</v>
      </c>
      <c r="AD121" s="48" t="str">
        <f t="shared" si="11"/>
        <v/>
      </c>
      <c r="AE121" s="72">
        <v>116.0</v>
      </c>
      <c r="AF121" s="83" t="str">
        <f t="shared" si="12"/>
        <v/>
      </c>
      <c r="AG121" s="72">
        <v>116.0</v>
      </c>
      <c r="AH121" s="48" t="str">
        <f t="shared" si="13"/>
        <v/>
      </c>
      <c r="AI121" s="84" t="str">
        <f t="shared" si="14"/>
        <v/>
      </c>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52"/>
      <c r="BH121" s="48"/>
      <c r="BI121" s="48"/>
      <c r="BJ121" s="48"/>
      <c r="BK121" s="48"/>
      <c r="BL121" s="48"/>
      <c r="BM121" s="48"/>
      <c r="BN121" s="48"/>
      <c r="BO121" s="48"/>
      <c r="BP121" s="48"/>
      <c r="BQ121" s="48"/>
    </row>
    <row r="122" ht="23.25" customHeight="1">
      <c r="A122" s="47">
        <v>117.0</v>
      </c>
      <c r="B122" s="88"/>
      <c r="C122" s="82" t="str">
        <f>IF(B122="","",VLOOKUP(B122,'Mitglieder BBU'!A:N,6,0))</f>
        <v/>
      </c>
      <c r="D122" s="82" t="str">
        <f>IF(#REF!="","",VLOOKUP(#REF!,'Mitglieder BBU'!A:N,6,0))</f>
        <v>#REF!</v>
      </c>
      <c r="E122" s="82" t="str">
        <f>IF(#REF!="","",VLOOKUP(#REF!,'Mitglieder BBU'!A:N,6,0))</f>
        <v>#REF!</v>
      </c>
      <c r="F122" s="82"/>
      <c r="G122" s="75" t="str">
        <f>IFNA(VLOOKUP(B122,Datensammler!$B:$AA,24,0),"")</f>
        <v/>
      </c>
      <c r="H122" s="47"/>
      <c r="I122" s="47"/>
      <c r="J122" s="47"/>
      <c r="K122" s="76">
        <f t="shared" si="3"/>
        <v>0</v>
      </c>
      <c r="L122" s="75">
        <f>IFERROR('HI-LOW Berechnung'!AS121,0)</f>
        <v>0</v>
      </c>
      <c r="M122" s="47">
        <f>IFERROR('HI-LOW Berechnung'!AY121,0)</f>
        <v>0</v>
      </c>
      <c r="N122" s="76">
        <f>IFERROR('HI-LOW Berechnung'!BB121,0)</f>
        <v>0</v>
      </c>
      <c r="O122" s="75" t="str">
        <f>IFNA(VLOOKUP(B122,Datensammler!$B:$AA,25,0),"")</f>
        <v/>
      </c>
      <c r="P122" s="47"/>
      <c r="Q122" s="47"/>
      <c r="R122" s="47"/>
      <c r="S122" s="77">
        <f t="shared" si="4"/>
        <v>0</v>
      </c>
      <c r="T122" s="78" t="str">
        <f t="shared" ref="T122:U122" si="243">IF(G122=0,"",G122/O122)</f>
        <v>#DIV/0!</v>
      </c>
      <c r="U122" s="51" t="str">
        <f t="shared" si="243"/>
        <v/>
      </c>
      <c r="V122" s="51" t="str">
        <f t="shared" ref="V122:W122" si="244">IF(I122="","",I122/Q122)</f>
        <v/>
      </c>
      <c r="W122" s="51" t="str">
        <f t="shared" si="244"/>
        <v/>
      </c>
      <c r="X122" s="79" t="str">
        <f t="shared" si="7"/>
        <v/>
      </c>
      <c r="Y122" s="48">
        <v>117.0</v>
      </c>
      <c r="Z122" s="48">
        <f t="shared" si="8"/>
        <v>0</v>
      </c>
      <c r="AA122" s="48">
        <f t="shared" si="9"/>
        <v>0</v>
      </c>
      <c r="AB122" s="48">
        <v>117.0</v>
      </c>
      <c r="AC122" s="48">
        <f t="shared" si="10"/>
        <v>0</v>
      </c>
      <c r="AD122" s="48" t="str">
        <f t="shared" si="11"/>
        <v/>
      </c>
      <c r="AE122" s="72">
        <v>117.0</v>
      </c>
      <c r="AF122" s="83" t="str">
        <f t="shared" si="12"/>
        <v/>
      </c>
      <c r="AG122" s="72">
        <v>117.0</v>
      </c>
      <c r="AH122" s="48" t="str">
        <f t="shared" si="13"/>
        <v/>
      </c>
      <c r="AI122" s="84" t="str">
        <f t="shared" si="14"/>
        <v/>
      </c>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52"/>
      <c r="BH122" s="48"/>
      <c r="BI122" s="48"/>
      <c r="BJ122" s="48"/>
      <c r="BK122" s="48"/>
      <c r="BL122" s="48"/>
      <c r="BM122" s="48"/>
      <c r="BN122" s="48"/>
      <c r="BO122" s="48"/>
      <c r="BP122" s="48"/>
      <c r="BQ122" s="48"/>
    </row>
    <row r="123" ht="23.25" customHeight="1">
      <c r="A123" s="47">
        <v>118.0</v>
      </c>
      <c r="B123" s="88"/>
      <c r="C123" s="82" t="str">
        <f>IF(B123="","",VLOOKUP(B123,'Mitglieder BBU'!A:N,6,0))</f>
        <v/>
      </c>
      <c r="D123" s="82" t="str">
        <f>IF(#REF!="","",VLOOKUP(#REF!,'Mitglieder BBU'!A:N,6,0))</f>
        <v>#REF!</v>
      </c>
      <c r="E123" s="82" t="str">
        <f>IF(#REF!="","",VLOOKUP(#REF!,'Mitglieder BBU'!A:N,6,0))</f>
        <v>#REF!</v>
      </c>
      <c r="F123" s="62"/>
      <c r="G123" s="75" t="str">
        <f>IFNA(VLOOKUP(B123,Datensammler!$B:$AA,24,0),"")</f>
        <v/>
      </c>
      <c r="H123" s="47"/>
      <c r="I123" s="47"/>
      <c r="J123" s="47"/>
      <c r="K123" s="76">
        <f t="shared" si="3"/>
        <v>0</v>
      </c>
      <c r="L123" s="75">
        <f>IFERROR('HI-LOW Berechnung'!AS122,0)</f>
        <v>0</v>
      </c>
      <c r="M123" s="47">
        <f>IFERROR('HI-LOW Berechnung'!AY122,0)</f>
        <v>0</v>
      </c>
      <c r="N123" s="76">
        <f>IFERROR('HI-LOW Berechnung'!BB122,0)</f>
        <v>0</v>
      </c>
      <c r="O123" s="75" t="str">
        <f>IFNA(VLOOKUP(B123,Datensammler!$B:$AA,25,0),"")</f>
        <v/>
      </c>
      <c r="P123" s="47"/>
      <c r="Q123" s="47"/>
      <c r="R123" s="47"/>
      <c r="S123" s="77">
        <f t="shared" si="4"/>
        <v>0</v>
      </c>
      <c r="T123" s="78" t="str">
        <f t="shared" ref="T123:U123" si="245">IF(G123=0,"",G123/O123)</f>
        <v>#DIV/0!</v>
      </c>
      <c r="U123" s="51" t="str">
        <f t="shared" si="245"/>
        <v/>
      </c>
      <c r="V123" s="51" t="str">
        <f t="shared" ref="V123:W123" si="246">IF(I123="","",I123/Q123)</f>
        <v/>
      </c>
      <c r="W123" s="51" t="str">
        <f t="shared" si="246"/>
        <v/>
      </c>
      <c r="X123" s="79" t="str">
        <f t="shared" si="7"/>
        <v/>
      </c>
      <c r="Y123" s="48">
        <v>118.0</v>
      </c>
      <c r="Z123" s="48">
        <f t="shared" si="8"/>
        <v>0</v>
      </c>
      <c r="AA123" s="48">
        <f t="shared" si="9"/>
        <v>0</v>
      </c>
      <c r="AB123" s="48">
        <v>118.0</v>
      </c>
      <c r="AC123" s="48">
        <f t="shared" si="10"/>
        <v>0</v>
      </c>
      <c r="AD123" s="48" t="str">
        <f t="shared" si="11"/>
        <v/>
      </c>
      <c r="AE123" s="72">
        <v>118.0</v>
      </c>
      <c r="AF123" s="83" t="str">
        <f t="shared" si="12"/>
        <v/>
      </c>
      <c r="AG123" s="72">
        <v>118.0</v>
      </c>
      <c r="AH123" s="48" t="str">
        <f t="shared" si="13"/>
        <v/>
      </c>
      <c r="AI123" s="84" t="str">
        <f t="shared" si="14"/>
        <v/>
      </c>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52"/>
      <c r="BH123" s="48"/>
      <c r="BI123" s="48"/>
      <c r="BJ123" s="48"/>
      <c r="BK123" s="48"/>
      <c r="BL123" s="48"/>
      <c r="BM123" s="48"/>
      <c r="BN123" s="48"/>
      <c r="BO123" s="48"/>
      <c r="BP123" s="48"/>
      <c r="BQ123" s="48"/>
    </row>
    <row r="124" ht="23.25" customHeight="1">
      <c r="A124" s="47">
        <v>119.0</v>
      </c>
      <c r="B124" s="88"/>
      <c r="C124" s="82" t="str">
        <f>IF(B124="","",VLOOKUP(B124,'Mitglieder BBU'!A:N,6,0))</f>
        <v/>
      </c>
      <c r="D124" s="82" t="str">
        <f>IF(#REF!="","",VLOOKUP(#REF!,'Mitglieder BBU'!A:N,6,0))</f>
        <v>#REF!</v>
      </c>
      <c r="E124" s="82" t="str">
        <f>IF(#REF!="","",VLOOKUP(#REF!,'Mitglieder BBU'!A:N,6,0))</f>
        <v>#REF!</v>
      </c>
      <c r="F124" s="82"/>
      <c r="G124" s="75" t="str">
        <f>IFNA(VLOOKUP(B124,Datensammler!$B:$AA,24,0),"")</f>
        <v/>
      </c>
      <c r="H124" s="47"/>
      <c r="I124" s="47"/>
      <c r="J124" s="47"/>
      <c r="K124" s="76">
        <f t="shared" si="3"/>
        <v>0</v>
      </c>
      <c r="L124" s="75">
        <f>IFERROR('HI-LOW Berechnung'!AS123,0)</f>
        <v>0</v>
      </c>
      <c r="M124" s="47">
        <f>IFERROR('HI-LOW Berechnung'!AY123,0)</f>
        <v>0</v>
      </c>
      <c r="N124" s="76">
        <f>IFERROR('HI-LOW Berechnung'!BB123,0)</f>
        <v>0</v>
      </c>
      <c r="O124" s="75" t="str">
        <f>IFNA(VLOOKUP(B124,Datensammler!$B:$AA,25,0),"")</f>
        <v/>
      </c>
      <c r="P124" s="47"/>
      <c r="Q124" s="47"/>
      <c r="R124" s="47"/>
      <c r="S124" s="77">
        <f t="shared" si="4"/>
        <v>0</v>
      </c>
      <c r="T124" s="78" t="str">
        <f t="shared" ref="T124:U124" si="247">IF(G124=0,"",G124/O124)</f>
        <v>#DIV/0!</v>
      </c>
      <c r="U124" s="51" t="str">
        <f t="shared" si="247"/>
        <v/>
      </c>
      <c r="V124" s="51" t="str">
        <f t="shared" ref="V124:W124" si="248">IF(I124="","",I124/Q124)</f>
        <v/>
      </c>
      <c r="W124" s="51" t="str">
        <f t="shared" si="248"/>
        <v/>
      </c>
      <c r="X124" s="79" t="str">
        <f t="shared" si="7"/>
        <v/>
      </c>
      <c r="Y124" s="48">
        <v>119.0</v>
      </c>
      <c r="Z124" s="48">
        <f t="shared" si="8"/>
        <v>0</v>
      </c>
      <c r="AA124" s="48">
        <f t="shared" si="9"/>
        <v>0</v>
      </c>
      <c r="AB124" s="48">
        <v>119.0</v>
      </c>
      <c r="AC124" s="48">
        <f t="shared" si="10"/>
        <v>0</v>
      </c>
      <c r="AD124" s="48" t="str">
        <f t="shared" si="11"/>
        <v/>
      </c>
      <c r="AE124" s="72">
        <v>119.0</v>
      </c>
      <c r="AF124" s="83" t="str">
        <f t="shared" si="12"/>
        <v/>
      </c>
      <c r="AG124" s="72">
        <v>119.0</v>
      </c>
      <c r="AH124" s="48" t="str">
        <f t="shared" si="13"/>
        <v/>
      </c>
      <c r="AI124" s="84" t="str">
        <f t="shared" si="14"/>
        <v/>
      </c>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52"/>
      <c r="BH124" s="48"/>
      <c r="BI124" s="48"/>
      <c r="BJ124" s="48"/>
      <c r="BK124" s="48"/>
      <c r="BL124" s="48"/>
      <c r="BM124" s="48"/>
      <c r="BN124" s="48"/>
      <c r="BO124" s="48"/>
      <c r="BP124" s="48"/>
      <c r="BQ124" s="48"/>
    </row>
    <row r="125" ht="23.25" customHeight="1">
      <c r="A125" s="47">
        <v>120.0</v>
      </c>
      <c r="B125" s="88"/>
      <c r="C125" s="82" t="str">
        <f>IF(B125="","",VLOOKUP(B125,'Mitglieder BBU'!A:N,6,0))</f>
        <v/>
      </c>
      <c r="D125" s="82" t="str">
        <f>IF(#REF!="","",VLOOKUP(#REF!,'Mitglieder BBU'!A:N,6,0))</f>
        <v>#REF!</v>
      </c>
      <c r="E125" s="82" t="str">
        <f>IF(#REF!="","",VLOOKUP(#REF!,'Mitglieder BBU'!A:N,6,0))</f>
        <v>#REF!</v>
      </c>
      <c r="F125" s="62"/>
      <c r="G125" s="75" t="str">
        <f>IFNA(VLOOKUP(B125,Datensammler!$B:$AA,24,0),"")</f>
        <v/>
      </c>
      <c r="H125" s="47"/>
      <c r="I125" s="47"/>
      <c r="J125" s="47"/>
      <c r="K125" s="76">
        <f t="shared" si="3"/>
        <v>0</v>
      </c>
      <c r="L125" s="75">
        <f>IFERROR('HI-LOW Berechnung'!AS124,0)</f>
        <v>0</v>
      </c>
      <c r="M125" s="47">
        <f>IFERROR('HI-LOW Berechnung'!AY124,0)</f>
        <v>0</v>
      </c>
      <c r="N125" s="76">
        <f>IFERROR('HI-LOW Berechnung'!BB124,0)</f>
        <v>0</v>
      </c>
      <c r="O125" s="75" t="str">
        <f>IFNA(VLOOKUP(B125,Datensammler!$B:$AA,25,0),"")</f>
        <v/>
      </c>
      <c r="P125" s="47"/>
      <c r="Q125" s="47"/>
      <c r="R125" s="47"/>
      <c r="S125" s="77">
        <f t="shared" si="4"/>
        <v>0</v>
      </c>
      <c r="T125" s="78" t="str">
        <f t="shared" ref="T125:U125" si="249">IF(G125=0,"",G125/O125)</f>
        <v>#DIV/0!</v>
      </c>
      <c r="U125" s="51" t="str">
        <f t="shared" si="249"/>
        <v/>
      </c>
      <c r="V125" s="51" t="str">
        <f t="shared" ref="V125:W125" si="250">IF(I125="","",I125/Q125)</f>
        <v/>
      </c>
      <c r="W125" s="51" t="str">
        <f t="shared" si="250"/>
        <v/>
      </c>
      <c r="X125" s="79" t="str">
        <f t="shared" si="7"/>
        <v/>
      </c>
      <c r="Y125" s="48">
        <v>120.0</v>
      </c>
      <c r="Z125" s="48">
        <f t="shared" si="8"/>
        <v>0</v>
      </c>
      <c r="AA125" s="48">
        <f t="shared" si="9"/>
        <v>0</v>
      </c>
      <c r="AB125" s="48">
        <v>120.0</v>
      </c>
      <c r="AC125" s="48">
        <f t="shared" si="10"/>
        <v>0</v>
      </c>
      <c r="AD125" s="48" t="str">
        <f t="shared" si="11"/>
        <v/>
      </c>
      <c r="AE125" s="72">
        <v>120.0</v>
      </c>
      <c r="AF125" s="83" t="str">
        <f t="shared" si="12"/>
        <v/>
      </c>
      <c r="AG125" s="72">
        <v>120.0</v>
      </c>
      <c r="AH125" s="48" t="str">
        <f t="shared" si="13"/>
        <v/>
      </c>
      <c r="AI125" s="84" t="str">
        <f t="shared" si="14"/>
        <v/>
      </c>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52"/>
      <c r="BH125" s="48"/>
      <c r="BI125" s="48"/>
      <c r="BJ125" s="48"/>
      <c r="BK125" s="48"/>
      <c r="BL125" s="48"/>
      <c r="BM125" s="48"/>
      <c r="BN125" s="48"/>
      <c r="BO125" s="48"/>
      <c r="BP125" s="48"/>
      <c r="BQ125" s="48"/>
    </row>
    <row r="126" ht="23.25" customHeight="1">
      <c r="A126" s="47">
        <v>121.0</v>
      </c>
      <c r="B126" s="88"/>
      <c r="C126" s="82" t="str">
        <f>IF(B126="","",VLOOKUP(B126,'Mitglieder BBU'!A:N,6,0))</f>
        <v/>
      </c>
      <c r="D126" s="82" t="str">
        <f>IF(#REF!="","",VLOOKUP(#REF!,'Mitglieder BBU'!A:N,6,0))</f>
        <v>#REF!</v>
      </c>
      <c r="E126" s="82" t="str">
        <f>IF(#REF!="","",VLOOKUP(#REF!,'Mitglieder BBU'!A:N,6,0))</f>
        <v>#REF!</v>
      </c>
      <c r="F126" s="82"/>
      <c r="G126" s="75" t="str">
        <f>IFNA(VLOOKUP(B126,Datensammler!$B:$AA,24,0),"")</f>
        <v/>
      </c>
      <c r="H126" s="47"/>
      <c r="I126" s="47"/>
      <c r="J126" s="47"/>
      <c r="K126" s="76">
        <f t="shared" si="3"/>
        <v>0</v>
      </c>
      <c r="L126" s="75">
        <f>IFERROR('HI-LOW Berechnung'!AS125,0)</f>
        <v>0</v>
      </c>
      <c r="M126" s="47">
        <f>IFERROR('HI-LOW Berechnung'!AY125,0)</f>
        <v>0</v>
      </c>
      <c r="N126" s="76">
        <f>IFERROR('HI-LOW Berechnung'!BB125,0)</f>
        <v>0</v>
      </c>
      <c r="O126" s="75" t="str">
        <f>IFNA(VLOOKUP(B126,Datensammler!$B:$AA,25,0),"")</f>
        <v/>
      </c>
      <c r="P126" s="47"/>
      <c r="Q126" s="47"/>
      <c r="R126" s="47"/>
      <c r="S126" s="77">
        <f t="shared" si="4"/>
        <v>0</v>
      </c>
      <c r="T126" s="78" t="str">
        <f t="shared" ref="T126:U126" si="251">IF(G126=0,"",G126/O126)</f>
        <v>#DIV/0!</v>
      </c>
      <c r="U126" s="51" t="str">
        <f t="shared" si="251"/>
        <v/>
      </c>
      <c r="V126" s="51" t="str">
        <f t="shared" ref="V126:W126" si="252">IF(I126="","",I126/Q126)</f>
        <v/>
      </c>
      <c r="W126" s="51" t="str">
        <f t="shared" si="252"/>
        <v/>
      </c>
      <c r="X126" s="79" t="str">
        <f t="shared" si="7"/>
        <v/>
      </c>
      <c r="Y126" s="48">
        <v>121.0</v>
      </c>
      <c r="Z126" s="48">
        <f t="shared" si="8"/>
        <v>0</v>
      </c>
      <c r="AA126" s="48">
        <f t="shared" si="9"/>
        <v>0</v>
      </c>
      <c r="AB126" s="48">
        <v>121.0</v>
      </c>
      <c r="AC126" s="48">
        <f t="shared" si="10"/>
        <v>0</v>
      </c>
      <c r="AD126" s="48" t="str">
        <f t="shared" si="11"/>
        <v/>
      </c>
      <c r="AE126" s="72">
        <v>121.0</v>
      </c>
      <c r="AF126" s="83" t="str">
        <f t="shared" si="12"/>
        <v/>
      </c>
      <c r="AG126" s="72">
        <v>121.0</v>
      </c>
      <c r="AH126" s="48" t="str">
        <f t="shared" si="13"/>
        <v/>
      </c>
      <c r="AI126" s="84" t="str">
        <f t="shared" si="14"/>
        <v/>
      </c>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52"/>
      <c r="BH126" s="48"/>
      <c r="BI126" s="48"/>
      <c r="BJ126" s="48"/>
      <c r="BK126" s="48"/>
      <c r="BL126" s="48"/>
      <c r="BM126" s="48"/>
      <c r="BN126" s="48"/>
      <c r="BO126" s="48"/>
      <c r="BP126" s="48"/>
      <c r="BQ126" s="48"/>
    </row>
    <row r="127" ht="23.25" customHeight="1">
      <c r="A127" s="47">
        <v>122.0</v>
      </c>
      <c r="B127" s="88"/>
      <c r="C127" s="82" t="str">
        <f>IF(B127="","",VLOOKUP(B127,'Mitglieder BBU'!A:N,6,0))</f>
        <v/>
      </c>
      <c r="D127" s="82" t="str">
        <f>IF(#REF!="","",VLOOKUP(#REF!,'Mitglieder BBU'!A:N,6,0))</f>
        <v>#REF!</v>
      </c>
      <c r="E127" s="82" t="str">
        <f>IF(#REF!="","",VLOOKUP(#REF!,'Mitglieder BBU'!A:N,6,0))</f>
        <v>#REF!</v>
      </c>
      <c r="F127" s="82"/>
      <c r="G127" s="75" t="str">
        <f>IFNA(VLOOKUP(B127,Datensammler!$B:$AA,24,0),"")</f>
        <v/>
      </c>
      <c r="H127" s="47"/>
      <c r="I127" s="47"/>
      <c r="J127" s="47"/>
      <c r="K127" s="76">
        <f t="shared" si="3"/>
        <v>0</v>
      </c>
      <c r="L127" s="75">
        <f>IFERROR('HI-LOW Berechnung'!AS126,0)</f>
        <v>0</v>
      </c>
      <c r="M127" s="47">
        <f>IFERROR('HI-LOW Berechnung'!AY126,0)</f>
        <v>0</v>
      </c>
      <c r="N127" s="76">
        <f>IFERROR('HI-LOW Berechnung'!BB126,0)</f>
        <v>0</v>
      </c>
      <c r="O127" s="75" t="str">
        <f>IFNA(VLOOKUP(B127,Datensammler!$B:$AA,25,0),"")</f>
        <v/>
      </c>
      <c r="P127" s="47"/>
      <c r="Q127" s="47"/>
      <c r="R127" s="47"/>
      <c r="S127" s="77">
        <f t="shared" si="4"/>
        <v>0</v>
      </c>
      <c r="T127" s="78" t="str">
        <f t="shared" ref="T127:U127" si="253">IF(G127=0,"",G127/O127)</f>
        <v>#DIV/0!</v>
      </c>
      <c r="U127" s="51" t="str">
        <f t="shared" si="253"/>
        <v/>
      </c>
      <c r="V127" s="51" t="str">
        <f t="shared" ref="V127:W127" si="254">IF(I127="","",I127/Q127)</f>
        <v/>
      </c>
      <c r="W127" s="51" t="str">
        <f t="shared" si="254"/>
        <v/>
      </c>
      <c r="X127" s="79" t="str">
        <f t="shared" si="7"/>
        <v/>
      </c>
      <c r="Y127" s="48">
        <v>122.0</v>
      </c>
      <c r="Z127" s="48">
        <f t="shared" si="8"/>
        <v>0</v>
      </c>
      <c r="AA127" s="48">
        <f t="shared" si="9"/>
        <v>0</v>
      </c>
      <c r="AB127" s="48">
        <v>122.0</v>
      </c>
      <c r="AC127" s="48">
        <f t="shared" si="10"/>
        <v>0</v>
      </c>
      <c r="AD127" s="48" t="str">
        <f t="shared" si="11"/>
        <v/>
      </c>
      <c r="AE127" s="72">
        <v>122.0</v>
      </c>
      <c r="AF127" s="83" t="str">
        <f t="shared" si="12"/>
        <v/>
      </c>
      <c r="AG127" s="72">
        <v>122.0</v>
      </c>
      <c r="AH127" s="48" t="str">
        <f t="shared" si="13"/>
        <v/>
      </c>
      <c r="AI127" s="84" t="str">
        <f t="shared" si="14"/>
        <v/>
      </c>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52"/>
      <c r="BH127" s="48"/>
      <c r="BI127" s="48"/>
      <c r="BJ127" s="48"/>
      <c r="BK127" s="48"/>
      <c r="BL127" s="48"/>
      <c r="BM127" s="48"/>
      <c r="BN127" s="48"/>
      <c r="BO127" s="48"/>
      <c r="BP127" s="48"/>
      <c r="BQ127" s="48"/>
    </row>
    <row r="128" ht="23.25" customHeight="1">
      <c r="A128" s="47">
        <v>123.0</v>
      </c>
      <c r="B128" s="88"/>
      <c r="C128" s="82" t="str">
        <f>IF(B128="","",VLOOKUP(B128,'Mitglieder BBU'!A:N,6,0))</f>
        <v/>
      </c>
      <c r="D128" s="82" t="str">
        <f>IF(#REF!="","",VLOOKUP(#REF!,'Mitglieder BBU'!A:N,6,0))</f>
        <v>#REF!</v>
      </c>
      <c r="E128" s="82" t="str">
        <f>IF(#REF!="","",VLOOKUP(#REF!,'Mitglieder BBU'!A:N,6,0))</f>
        <v>#REF!</v>
      </c>
      <c r="F128" s="82"/>
      <c r="G128" s="75" t="str">
        <f>IFNA(VLOOKUP(B128,Datensammler!$B:$AA,24,0),"")</f>
        <v/>
      </c>
      <c r="H128" s="47"/>
      <c r="I128" s="47"/>
      <c r="J128" s="47"/>
      <c r="K128" s="76">
        <f t="shared" si="3"/>
        <v>0</v>
      </c>
      <c r="L128" s="75">
        <f>IFERROR('HI-LOW Berechnung'!AS127,0)</f>
        <v>0</v>
      </c>
      <c r="M128" s="47">
        <f>IFERROR('HI-LOW Berechnung'!AY127,0)</f>
        <v>0</v>
      </c>
      <c r="N128" s="76">
        <f>IFERROR('HI-LOW Berechnung'!BB127,0)</f>
        <v>0</v>
      </c>
      <c r="O128" s="75" t="str">
        <f>IFNA(VLOOKUP(B128,Datensammler!$B:$AA,25,0),"")</f>
        <v/>
      </c>
      <c r="P128" s="47"/>
      <c r="Q128" s="47"/>
      <c r="R128" s="47"/>
      <c r="S128" s="77">
        <f t="shared" si="4"/>
        <v>0</v>
      </c>
      <c r="T128" s="78" t="str">
        <f t="shared" ref="T128:U128" si="255">IF(G128=0,"",G128/O128)</f>
        <v>#DIV/0!</v>
      </c>
      <c r="U128" s="51" t="str">
        <f t="shared" si="255"/>
        <v/>
      </c>
      <c r="V128" s="51" t="str">
        <f t="shared" ref="V128:W128" si="256">IF(I128="","",I128/Q128)</f>
        <v/>
      </c>
      <c r="W128" s="51" t="str">
        <f t="shared" si="256"/>
        <v/>
      </c>
      <c r="X128" s="79" t="str">
        <f t="shared" si="7"/>
        <v/>
      </c>
      <c r="Y128" s="48">
        <v>123.0</v>
      </c>
      <c r="Z128" s="48">
        <f t="shared" si="8"/>
        <v>0</v>
      </c>
      <c r="AA128" s="48">
        <f t="shared" si="9"/>
        <v>0</v>
      </c>
      <c r="AB128" s="48">
        <v>123.0</v>
      </c>
      <c r="AC128" s="48">
        <f t="shared" si="10"/>
        <v>0</v>
      </c>
      <c r="AD128" s="48" t="str">
        <f t="shared" si="11"/>
        <v/>
      </c>
      <c r="AE128" s="72">
        <v>123.0</v>
      </c>
      <c r="AF128" s="83" t="str">
        <f t="shared" si="12"/>
        <v/>
      </c>
      <c r="AG128" s="72">
        <v>123.0</v>
      </c>
      <c r="AH128" s="48" t="str">
        <f t="shared" si="13"/>
        <v/>
      </c>
      <c r="AI128" s="84" t="str">
        <f t="shared" si="14"/>
        <v/>
      </c>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52"/>
      <c r="BH128" s="48"/>
      <c r="BI128" s="48"/>
      <c r="BJ128" s="48"/>
      <c r="BK128" s="48"/>
      <c r="BL128" s="48"/>
      <c r="BM128" s="48"/>
      <c r="BN128" s="48"/>
      <c r="BO128" s="48"/>
      <c r="BP128" s="48"/>
      <c r="BQ128" s="48"/>
    </row>
    <row r="129" ht="23.25" customHeight="1">
      <c r="A129" s="47">
        <v>124.0</v>
      </c>
      <c r="B129" s="88"/>
      <c r="C129" s="82" t="str">
        <f>IF(B129="","",VLOOKUP(B129,'Mitglieder BBU'!A:N,6,0))</f>
        <v/>
      </c>
      <c r="D129" s="82" t="str">
        <f>IF(#REF!="","",VLOOKUP(#REF!,'Mitglieder BBU'!A:N,6,0))</f>
        <v>#REF!</v>
      </c>
      <c r="E129" s="82" t="str">
        <f>IF(#REF!="","",VLOOKUP(#REF!,'Mitglieder BBU'!A:N,6,0))</f>
        <v>#REF!</v>
      </c>
      <c r="F129" s="82"/>
      <c r="G129" s="75" t="str">
        <f>IFNA(VLOOKUP(B129,Datensammler!$B:$AA,24,0),"")</f>
        <v/>
      </c>
      <c r="H129" s="47"/>
      <c r="I129" s="47"/>
      <c r="J129" s="47"/>
      <c r="K129" s="76">
        <f t="shared" si="3"/>
        <v>0</v>
      </c>
      <c r="L129" s="75">
        <f>IFERROR('HI-LOW Berechnung'!AS128,0)</f>
        <v>0</v>
      </c>
      <c r="M129" s="47">
        <f>IFERROR('HI-LOW Berechnung'!AY128,0)</f>
        <v>0</v>
      </c>
      <c r="N129" s="76">
        <f>IFERROR('HI-LOW Berechnung'!BB128,0)</f>
        <v>0</v>
      </c>
      <c r="O129" s="75" t="str">
        <f>IFNA(VLOOKUP(B129,Datensammler!$B:$AA,25,0),"")</f>
        <v/>
      </c>
      <c r="P129" s="47"/>
      <c r="Q129" s="47"/>
      <c r="R129" s="47"/>
      <c r="S129" s="77">
        <f t="shared" si="4"/>
        <v>0</v>
      </c>
      <c r="T129" s="78" t="str">
        <f t="shared" ref="T129:U129" si="257">IF(G129=0,"",G129/O129)</f>
        <v>#DIV/0!</v>
      </c>
      <c r="U129" s="51" t="str">
        <f t="shared" si="257"/>
        <v/>
      </c>
      <c r="V129" s="51" t="str">
        <f t="shared" ref="V129:W129" si="258">IF(I129="","",I129/Q129)</f>
        <v/>
      </c>
      <c r="W129" s="51" t="str">
        <f t="shared" si="258"/>
        <v/>
      </c>
      <c r="X129" s="79" t="str">
        <f t="shared" si="7"/>
        <v/>
      </c>
      <c r="Y129" s="48">
        <v>124.0</v>
      </c>
      <c r="Z129" s="48">
        <f t="shared" si="8"/>
        <v>0</v>
      </c>
      <c r="AA129" s="48">
        <f t="shared" si="9"/>
        <v>0</v>
      </c>
      <c r="AB129" s="48">
        <v>124.0</v>
      </c>
      <c r="AC129" s="48">
        <f t="shared" si="10"/>
        <v>0</v>
      </c>
      <c r="AD129" s="48" t="str">
        <f t="shared" si="11"/>
        <v/>
      </c>
      <c r="AE129" s="72">
        <v>124.0</v>
      </c>
      <c r="AF129" s="83" t="str">
        <f t="shared" si="12"/>
        <v/>
      </c>
      <c r="AG129" s="72">
        <v>124.0</v>
      </c>
      <c r="AH129" s="48" t="str">
        <f t="shared" si="13"/>
        <v/>
      </c>
      <c r="AI129" s="84" t="str">
        <f t="shared" si="14"/>
        <v/>
      </c>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52"/>
      <c r="BH129" s="48"/>
      <c r="BI129" s="48"/>
      <c r="BJ129" s="48"/>
      <c r="BK129" s="48"/>
      <c r="BL129" s="48"/>
      <c r="BM129" s="48"/>
      <c r="BN129" s="48"/>
      <c r="BO129" s="48"/>
      <c r="BP129" s="48"/>
      <c r="BQ129" s="48"/>
    </row>
    <row r="130" ht="23.25" customHeight="1">
      <c r="A130" s="47">
        <v>125.0</v>
      </c>
      <c r="B130" s="88"/>
      <c r="C130" s="82" t="str">
        <f>IF(B130="","",VLOOKUP(B130,'Mitglieder BBU'!A:N,6,0))</f>
        <v/>
      </c>
      <c r="D130" s="82" t="str">
        <f>IF(#REF!="","",VLOOKUP(#REF!,'Mitglieder BBU'!A:N,6,0))</f>
        <v>#REF!</v>
      </c>
      <c r="E130" s="82" t="str">
        <f>IF(#REF!="","",VLOOKUP(#REF!,'Mitglieder BBU'!A:N,6,0))</f>
        <v>#REF!</v>
      </c>
      <c r="F130" s="82"/>
      <c r="G130" s="75" t="str">
        <f>IFNA(VLOOKUP(B130,Datensammler!$B:$AA,24,0),"")</f>
        <v/>
      </c>
      <c r="H130" s="47"/>
      <c r="I130" s="47"/>
      <c r="J130" s="47"/>
      <c r="K130" s="76">
        <f t="shared" si="3"/>
        <v>0</v>
      </c>
      <c r="L130" s="75">
        <f>IFERROR('HI-LOW Berechnung'!AS129,0)</f>
        <v>0</v>
      </c>
      <c r="M130" s="47">
        <f>IFERROR('HI-LOW Berechnung'!AY129,0)</f>
        <v>0</v>
      </c>
      <c r="N130" s="76">
        <f>IFERROR('HI-LOW Berechnung'!BB129,0)</f>
        <v>0</v>
      </c>
      <c r="O130" s="75" t="str">
        <f>IFNA(VLOOKUP(B130,Datensammler!$B:$AA,25,0),"")</f>
        <v/>
      </c>
      <c r="P130" s="47"/>
      <c r="Q130" s="47"/>
      <c r="R130" s="47"/>
      <c r="S130" s="77">
        <f t="shared" si="4"/>
        <v>0</v>
      </c>
      <c r="T130" s="78" t="str">
        <f t="shared" ref="T130:U130" si="259">IF(G130=0,"",G130/O130)</f>
        <v>#DIV/0!</v>
      </c>
      <c r="U130" s="51" t="str">
        <f t="shared" si="259"/>
        <v/>
      </c>
      <c r="V130" s="51" t="str">
        <f t="shared" ref="V130:W130" si="260">IF(I130="","",I130/Q130)</f>
        <v/>
      </c>
      <c r="W130" s="51" t="str">
        <f t="shared" si="260"/>
        <v/>
      </c>
      <c r="X130" s="79" t="str">
        <f t="shared" si="7"/>
        <v/>
      </c>
      <c r="Y130" s="48">
        <v>125.0</v>
      </c>
      <c r="Z130" s="48">
        <f t="shared" si="8"/>
        <v>0</v>
      </c>
      <c r="AA130" s="48">
        <f t="shared" si="9"/>
        <v>0</v>
      </c>
      <c r="AB130" s="48">
        <v>125.0</v>
      </c>
      <c r="AC130" s="48">
        <f t="shared" si="10"/>
        <v>0</v>
      </c>
      <c r="AD130" s="48" t="str">
        <f t="shared" si="11"/>
        <v/>
      </c>
      <c r="AE130" s="72">
        <v>125.0</v>
      </c>
      <c r="AF130" s="83" t="str">
        <f t="shared" si="12"/>
        <v/>
      </c>
      <c r="AG130" s="72">
        <v>125.0</v>
      </c>
      <c r="AH130" s="48" t="str">
        <f t="shared" si="13"/>
        <v/>
      </c>
      <c r="AI130" s="84" t="str">
        <f t="shared" si="14"/>
        <v/>
      </c>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52"/>
      <c r="BH130" s="48"/>
      <c r="BI130" s="48"/>
      <c r="BJ130" s="48"/>
      <c r="BK130" s="48"/>
      <c r="BL130" s="48"/>
      <c r="BM130" s="48"/>
      <c r="BN130" s="48"/>
      <c r="BO130" s="48"/>
      <c r="BP130" s="48"/>
      <c r="BQ130" s="48"/>
    </row>
    <row r="131" ht="23.25" customHeight="1">
      <c r="A131" s="47">
        <v>126.0</v>
      </c>
      <c r="B131" s="88"/>
      <c r="C131" s="82" t="str">
        <f>IF(B131="","",VLOOKUP(B131,'Mitglieder BBU'!A:N,6,0))</f>
        <v/>
      </c>
      <c r="D131" s="82" t="str">
        <f>IF(#REF!="","",VLOOKUP(#REF!,'Mitglieder BBU'!A:N,6,0))</f>
        <v>#REF!</v>
      </c>
      <c r="E131" s="82" t="str">
        <f>IF(#REF!="","",VLOOKUP(#REF!,'Mitglieder BBU'!A:N,6,0))</f>
        <v>#REF!</v>
      </c>
      <c r="F131" s="82"/>
      <c r="G131" s="75" t="str">
        <f>IFNA(VLOOKUP(B131,Datensammler!$B:$AA,24,0),"")</f>
        <v/>
      </c>
      <c r="H131" s="47"/>
      <c r="I131" s="47"/>
      <c r="J131" s="47"/>
      <c r="K131" s="76">
        <f t="shared" si="3"/>
        <v>0</v>
      </c>
      <c r="L131" s="75">
        <f>IFERROR('HI-LOW Berechnung'!AS130,0)</f>
        <v>0</v>
      </c>
      <c r="M131" s="47">
        <f>IFERROR('HI-LOW Berechnung'!AY130,0)</f>
        <v>0</v>
      </c>
      <c r="N131" s="76">
        <f>IFERROR('HI-LOW Berechnung'!BB130,0)</f>
        <v>0</v>
      </c>
      <c r="O131" s="75" t="str">
        <f>IFNA(VLOOKUP(B131,Datensammler!$B:$AA,25,0),"")</f>
        <v/>
      </c>
      <c r="P131" s="47"/>
      <c r="Q131" s="47"/>
      <c r="R131" s="47"/>
      <c r="S131" s="77">
        <f t="shared" si="4"/>
        <v>0</v>
      </c>
      <c r="T131" s="78" t="str">
        <f t="shared" ref="T131:U131" si="261">IF(G131=0,"",G131/O131)</f>
        <v>#DIV/0!</v>
      </c>
      <c r="U131" s="51" t="str">
        <f t="shared" si="261"/>
        <v/>
      </c>
      <c r="V131" s="51" t="str">
        <f t="shared" ref="V131:W131" si="262">IF(I131="","",I131/Q131)</f>
        <v/>
      </c>
      <c r="W131" s="51" t="str">
        <f t="shared" si="262"/>
        <v/>
      </c>
      <c r="X131" s="79" t="str">
        <f t="shared" si="7"/>
        <v/>
      </c>
      <c r="Y131" s="48">
        <v>126.0</v>
      </c>
      <c r="Z131" s="48">
        <f t="shared" si="8"/>
        <v>0</v>
      </c>
      <c r="AA131" s="48">
        <f t="shared" si="9"/>
        <v>0</v>
      </c>
      <c r="AB131" s="48">
        <v>126.0</v>
      </c>
      <c r="AC131" s="48">
        <f t="shared" si="10"/>
        <v>0</v>
      </c>
      <c r="AD131" s="48" t="str">
        <f t="shared" si="11"/>
        <v/>
      </c>
      <c r="AE131" s="72">
        <v>126.0</v>
      </c>
      <c r="AF131" s="83" t="str">
        <f t="shared" si="12"/>
        <v/>
      </c>
      <c r="AG131" s="72">
        <v>126.0</v>
      </c>
      <c r="AH131" s="48" t="str">
        <f t="shared" si="13"/>
        <v/>
      </c>
      <c r="AI131" s="84" t="str">
        <f t="shared" si="14"/>
        <v/>
      </c>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52"/>
      <c r="BH131" s="48"/>
      <c r="BI131" s="48"/>
      <c r="BJ131" s="48"/>
      <c r="BK131" s="48"/>
      <c r="BL131" s="48"/>
      <c r="BM131" s="48"/>
      <c r="BN131" s="48"/>
      <c r="BO131" s="48"/>
      <c r="BP131" s="48"/>
      <c r="BQ131" s="48"/>
    </row>
    <row r="132" ht="23.25" customHeight="1">
      <c r="A132" s="47">
        <v>127.0</v>
      </c>
      <c r="B132" s="88"/>
      <c r="C132" s="82" t="str">
        <f>IF(B132="","",VLOOKUP(B132,'Mitglieder BBU'!A:N,6,0))</f>
        <v/>
      </c>
      <c r="D132" s="82" t="str">
        <f>IF(#REF!="","",VLOOKUP(#REF!,'Mitglieder BBU'!A:N,6,0))</f>
        <v>#REF!</v>
      </c>
      <c r="E132" s="82" t="str">
        <f>IF(#REF!="","",VLOOKUP(#REF!,'Mitglieder BBU'!A:N,6,0))</f>
        <v>#REF!</v>
      </c>
      <c r="F132" s="82"/>
      <c r="G132" s="75" t="str">
        <f>IFNA(VLOOKUP(B132,Datensammler!$B:$AA,24,0),"")</f>
        <v/>
      </c>
      <c r="H132" s="47"/>
      <c r="I132" s="47"/>
      <c r="J132" s="47"/>
      <c r="K132" s="76">
        <f t="shared" si="3"/>
        <v>0</v>
      </c>
      <c r="L132" s="75">
        <f>IFERROR('HI-LOW Berechnung'!AS131,0)</f>
        <v>0</v>
      </c>
      <c r="M132" s="47">
        <f>IFERROR('HI-LOW Berechnung'!AY131,0)</f>
        <v>0</v>
      </c>
      <c r="N132" s="76">
        <f>IFERROR('HI-LOW Berechnung'!BB131,0)</f>
        <v>0</v>
      </c>
      <c r="O132" s="75" t="str">
        <f>IFNA(VLOOKUP(B132,Datensammler!$B:$AA,25,0),"")</f>
        <v/>
      </c>
      <c r="P132" s="47"/>
      <c r="Q132" s="47"/>
      <c r="R132" s="47"/>
      <c r="S132" s="77">
        <f t="shared" si="4"/>
        <v>0</v>
      </c>
      <c r="T132" s="78" t="str">
        <f t="shared" ref="T132:U132" si="263">IF(G132=0,"",G132/O132)</f>
        <v>#DIV/0!</v>
      </c>
      <c r="U132" s="51" t="str">
        <f t="shared" si="263"/>
        <v/>
      </c>
      <c r="V132" s="51" t="str">
        <f t="shared" ref="V132:W132" si="264">IF(I132="","",I132/Q132)</f>
        <v/>
      </c>
      <c r="W132" s="51" t="str">
        <f t="shared" si="264"/>
        <v/>
      </c>
      <c r="X132" s="79" t="str">
        <f t="shared" si="7"/>
        <v/>
      </c>
      <c r="Y132" s="48">
        <v>127.0</v>
      </c>
      <c r="Z132" s="48">
        <f t="shared" si="8"/>
        <v>0</v>
      </c>
      <c r="AA132" s="48">
        <f t="shared" si="9"/>
        <v>0</v>
      </c>
      <c r="AB132" s="48">
        <v>127.0</v>
      </c>
      <c r="AC132" s="48">
        <f t="shared" si="10"/>
        <v>0</v>
      </c>
      <c r="AD132" s="48" t="str">
        <f t="shared" si="11"/>
        <v/>
      </c>
      <c r="AE132" s="72">
        <v>127.0</v>
      </c>
      <c r="AF132" s="83" t="str">
        <f t="shared" si="12"/>
        <v/>
      </c>
      <c r="AG132" s="72">
        <v>127.0</v>
      </c>
      <c r="AH132" s="48" t="str">
        <f t="shared" si="13"/>
        <v/>
      </c>
      <c r="AI132" s="84" t="str">
        <f t="shared" si="14"/>
        <v/>
      </c>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52"/>
      <c r="BH132" s="48"/>
      <c r="BI132" s="48"/>
      <c r="BJ132" s="48"/>
      <c r="BK132" s="48"/>
      <c r="BL132" s="48"/>
      <c r="BM132" s="48"/>
      <c r="BN132" s="48"/>
      <c r="BO132" s="48"/>
      <c r="BP132" s="48"/>
      <c r="BQ132" s="48"/>
    </row>
    <row r="133" ht="23.25" customHeight="1">
      <c r="A133" s="47">
        <v>128.0</v>
      </c>
      <c r="B133" s="88"/>
      <c r="C133" s="82" t="str">
        <f>IF(B133="","",VLOOKUP(B133,'Mitglieder BBU'!A:N,6,0))</f>
        <v/>
      </c>
      <c r="D133" s="82" t="str">
        <f>IF(#REF!="","",VLOOKUP(#REF!,'Mitglieder BBU'!A:N,6,0))</f>
        <v>#REF!</v>
      </c>
      <c r="E133" s="82" t="str">
        <f>IF(#REF!="","",VLOOKUP(#REF!,'Mitglieder BBU'!A:N,6,0))</f>
        <v>#REF!</v>
      </c>
      <c r="F133" s="82"/>
      <c r="G133" s="75" t="str">
        <f>IFNA(VLOOKUP(B133,Datensammler!$B:$AA,24,0),"")</f>
        <v/>
      </c>
      <c r="H133" s="47"/>
      <c r="I133" s="47"/>
      <c r="J133" s="47"/>
      <c r="K133" s="76">
        <f t="shared" si="3"/>
        <v>0</v>
      </c>
      <c r="L133" s="75">
        <f>IFERROR('HI-LOW Berechnung'!AS132,0)</f>
        <v>0</v>
      </c>
      <c r="M133" s="47">
        <f>IFERROR('HI-LOW Berechnung'!AY132,0)</f>
        <v>0</v>
      </c>
      <c r="N133" s="76">
        <f>IFERROR('HI-LOW Berechnung'!BB132,0)</f>
        <v>0</v>
      </c>
      <c r="O133" s="75" t="str">
        <f>IFNA(VLOOKUP(B133,Datensammler!$B:$AA,25,0),"")</f>
        <v/>
      </c>
      <c r="P133" s="47"/>
      <c r="Q133" s="47"/>
      <c r="R133" s="47"/>
      <c r="S133" s="77">
        <f t="shared" si="4"/>
        <v>0</v>
      </c>
      <c r="T133" s="78" t="str">
        <f t="shared" ref="T133:U133" si="265">IF(G133=0,"",G133/O133)</f>
        <v>#DIV/0!</v>
      </c>
      <c r="U133" s="51" t="str">
        <f t="shared" si="265"/>
        <v/>
      </c>
      <c r="V133" s="51" t="str">
        <f t="shared" ref="V133:W133" si="266">IF(I133="","",I133/Q133)</f>
        <v/>
      </c>
      <c r="W133" s="51" t="str">
        <f t="shared" si="266"/>
        <v/>
      </c>
      <c r="X133" s="79" t="str">
        <f t="shared" si="7"/>
        <v/>
      </c>
      <c r="Y133" s="48">
        <v>128.0</v>
      </c>
      <c r="Z133" s="48">
        <f t="shared" si="8"/>
        <v>0</v>
      </c>
      <c r="AA133" s="48">
        <f t="shared" si="9"/>
        <v>0</v>
      </c>
      <c r="AB133" s="48">
        <v>128.0</v>
      </c>
      <c r="AC133" s="48">
        <f t="shared" si="10"/>
        <v>0</v>
      </c>
      <c r="AD133" s="48" t="str">
        <f t="shared" si="11"/>
        <v/>
      </c>
      <c r="AE133" s="72">
        <v>128.0</v>
      </c>
      <c r="AF133" s="83" t="str">
        <f t="shared" si="12"/>
        <v/>
      </c>
      <c r="AG133" s="72">
        <v>128.0</v>
      </c>
      <c r="AH133" s="48" t="str">
        <f t="shared" si="13"/>
        <v/>
      </c>
      <c r="AI133" s="84" t="str">
        <f t="shared" si="14"/>
        <v/>
      </c>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52"/>
      <c r="BH133" s="48"/>
      <c r="BI133" s="48"/>
      <c r="BJ133" s="48"/>
      <c r="BK133" s="48"/>
      <c r="BL133" s="48"/>
      <c r="BM133" s="48"/>
      <c r="BN133" s="48"/>
      <c r="BO133" s="48"/>
      <c r="BP133" s="48"/>
      <c r="BQ133" s="48"/>
    </row>
    <row r="134" ht="23.25" customHeight="1">
      <c r="A134" s="47">
        <v>129.0</v>
      </c>
      <c r="B134" s="88"/>
      <c r="C134" s="82" t="str">
        <f>IF(B134="","",VLOOKUP(B134,'Mitglieder BBU'!A:N,6,0))</f>
        <v/>
      </c>
      <c r="D134" s="82" t="str">
        <f>IF(#REF!="","",VLOOKUP(#REF!,'Mitglieder BBU'!A:N,6,0))</f>
        <v>#REF!</v>
      </c>
      <c r="E134" s="82" t="str">
        <f>IF(#REF!="","",VLOOKUP(#REF!,'Mitglieder BBU'!A:N,6,0))</f>
        <v>#REF!</v>
      </c>
      <c r="F134" s="82"/>
      <c r="G134" s="75" t="str">
        <f>IFNA(VLOOKUP(B134,Datensammler!$B:$AA,24,0),"")</f>
        <v/>
      </c>
      <c r="H134" s="47"/>
      <c r="I134" s="47"/>
      <c r="J134" s="47"/>
      <c r="K134" s="76">
        <f t="shared" si="3"/>
        <v>0</v>
      </c>
      <c r="L134" s="75">
        <f>IFERROR('HI-LOW Berechnung'!AS133,0)</f>
        <v>0</v>
      </c>
      <c r="M134" s="47">
        <f>IFERROR('HI-LOW Berechnung'!AY133,0)</f>
        <v>0</v>
      </c>
      <c r="N134" s="76">
        <f>IFERROR('HI-LOW Berechnung'!BB133,0)</f>
        <v>0</v>
      </c>
      <c r="O134" s="75" t="str">
        <f>IFNA(VLOOKUP(B134,Datensammler!$B:$AA,25,0),"")</f>
        <v/>
      </c>
      <c r="P134" s="47"/>
      <c r="Q134" s="47"/>
      <c r="R134" s="47"/>
      <c r="S134" s="77">
        <f t="shared" si="4"/>
        <v>0</v>
      </c>
      <c r="T134" s="78" t="str">
        <f t="shared" ref="T134:U134" si="267">IF(G134=0,"",G134/O134)</f>
        <v>#DIV/0!</v>
      </c>
      <c r="U134" s="51" t="str">
        <f t="shared" si="267"/>
        <v/>
      </c>
      <c r="V134" s="51" t="str">
        <f t="shared" ref="V134:W134" si="268">IF(I134="","",I134/Q134)</f>
        <v/>
      </c>
      <c r="W134" s="51" t="str">
        <f t="shared" si="268"/>
        <v/>
      </c>
      <c r="X134" s="79" t="str">
        <f t="shared" si="7"/>
        <v/>
      </c>
      <c r="Y134" s="48">
        <v>129.0</v>
      </c>
      <c r="Z134" s="48">
        <f t="shared" si="8"/>
        <v>0</v>
      </c>
      <c r="AA134" s="48">
        <f t="shared" si="9"/>
        <v>0</v>
      </c>
      <c r="AB134" s="48">
        <v>129.0</v>
      </c>
      <c r="AC134" s="48">
        <f t="shared" si="10"/>
        <v>0</v>
      </c>
      <c r="AD134" s="48" t="str">
        <f t="shared" si="11"/>
        <v/>
      </c>
      <c r="AE134" s="72">
        <v>129.0</v>
      </c>
      <c r="AF134" s="83" t="str">
        <f t="shared" si="12"/>
        <v/>
      </c>
      <c r="AG134" s="72">
        <v>129.0</v>
      </c>
      <c r="AH134" s="48" t="str">
        <f t="shared" si="13"/>
        <v/>
      </c>
      <c r="AI134" s="84" t="str">
        <f t="shared" si="14"/>
        <v/>
      </c>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52"/>
      <c r="BH134" s="48"/>
      <c r="BI134" s="48"/>
      <c r="BJ134" s="48"/>
      <c r="BK134" s="48"/>
      <c r="BL134" s="48"/>
      <c r="BM134" s="48"/>
      <c r="BN134" s="48"/>
      <c r="BO134" s="48"/>
      <c r="BP134" s="48"/>
      <c r="BQ134" s="48"/>
    </row>
    <row r="135" ht="23.25" customHeight="1">
      <c r="A135" s="47">
        <v>130.0</v>
      </c>
      <c r="B135" s="88"/>
      <c r="C135" s="82" t="str">
        <f>IF(B135="","",VLOOKUP(B135,'Mitglieder BBU'!A:N,6,0))</f>
        <v/>
      </c>
      <c r="D135" s="82" t="str">
        <f>IF(#REF!="","",VLOOKUP(#REF!,'Mitglieder BBU'!A:N,6,0))</f>
        <v>#REF!</v>
      </c>
      <c r="E135" s="82" t="str">
        <f>IF(#REF!="","",VLOOKUP(#REF!,'Mitglieder BBU'!A:N,6,0))</f>
        <v>#REF!</v>
      </c>
      <c r="F135" s="82"/>
      <c r="G135" s="75" t="str">
        <f>IFNA(VLOOKUP(B135,Datensammler!$B:$AA,24,0),"")</f>
        <v/>
      </c>
      <c r="H135" s="47"/>
      <c r="I135" s="47"/>
      <c r="J135" s="47"/>
      <c r="K135" s="76">
        <f t="shared" si="3"/>
        <v>0</v>
      </c>
      <c r="L135" s="75">
        <f>IFERROR('HI-LOW Berechnung'!AS134,0)</f>
        <v>0</v>
      </c>
      <c r="M135" s="47">
        <f>IFERROR('HI-LOW Berechnung'!AY134,0)</f>
        <v>0</v>
      </c>
      <c r="N135" s="76">
        <f>IFERROR('HI-LOW Berechnung'!BB134,0)</f>
        <v>0</v>
      </c>
      <c r="O135" s="75" t="str">
        <f>IFNA(VLOOKUP(B135,Datensammler!$B:$AA,25,0),"")</f>
        <v/>
      </c>
      <c r="P135" s="47"/>
      <c r="Q135" s="47"/>
      <c r="R135" s="47"/>
      <c r="S135" s="77">
        <f t="shared" si="4"/>
        <v>0</v>
      </c>
      <c r="T135" s="78" t="str">
        <f t="shared" ref="T135:U135" si="269">IF(G135=0,"",G135/O135)</f>
        <v>#DIV/0!</v>
      </c>
      <c r="U135" s="51" t="str">
        <f t="shared" si="269"/>
        <v/>
      </c>
      <c r="V135" s="51" t="str">
        <f t="shared" ref="V135:W135" si="270">IF(I135="","",I135/Q135)</f>
        <v/>
      </c>
      <c r="W135" s="51" t="str">
        <f t="shared" si="270"/>
        <v/>
      </c>
      <c r="X135" s="79" t="str">
        <f t="shared" si="7"/>
        <v/>
      </c>
      <c r="Y135" s="48">
        <v>130.0</v>
      </c>
      <c r="Z135" s="48">
        <f t="shared" si="8"/>
        <v>0</v>
      </c>
      <c r="AA135" s="48">
        <f t="shared" si="9"/>
        <v>0</v>
      </c>
      <c r="AB135" s="48">
        <v>130.0</v>
      </c>
      <c r="AC135" s="48">
        <f t="shared" si="10"/>
        <v>0</v>
      </c>
      <c r="AD135" s="48" t="str">
        <f t="shared" si="11"/>
        <v/>
      </c>
      <c r="AE135" s="72">
        <v>130.0</v>
      </c>
      <c r="AF135" s="83" t="str">
        <f t="shared" si="12"/>
        <v/>
      </c>
      <c r="AG135" s="72">
        <v>130.0</v>
      </c>
      <c r="AH135" s="48" t="str">
        <f t="shared" si="13"/>
        <v/>
      </c>
      <c r="AI135" s="84" t="str">
        <f t="shared" si="14"/>
        <v/>
      </c>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52"/>
      <c r="BH135" s="48"/>
      <c r="BI135" s="48"/>
      <c r="BJ135" s="48"/>
      <c r="BK135" s="48"/>
      <c r="BL135" s="48"/>
      <c r="BM135" s="48"/>
      <c r="BN135" s="48"/>
      <c r="BO135" s="48"/>
      <c r="BP135" s="48"/>
      <c r="BQ135" s="48"/>
    </row>
    <row r="136" ht="23.25" customHeight="1">
      <c r="A136" s="47">
        <v>131.0</v>
      </c>
      <c r="B136" s="88"/>
      <c r="C136" s="82" t="str">
        <f>IF(B136="","",VLOOKUP(B136,'Mitglieder BBU'!A:N,6,0))</f>
        <v/>
      </c>
      <c r="D136" s="82" t="str">
        <f>IF(#REF!="","",VLOOKUP(#REF!,'Mitglieder BBU'!A:N,6,0))</f>
        <v>#REF!</v>
      </c>
      <c r="E136" s="82" t="str">
        <f>IF(#REF!="","",VLOOKUP(#REF!,'Mitglieder BBU'!A:N,6,0))</f>
        <v>#REF!</v>
      </c>
      <c r="F136" s="82"/>
      <c r="G136" s="75" t="str">
        <f>IFNA(VLOOKUP(B136,Datensammler!$B:$AA,24,0),"")</f>
        <v/>
      </c>
      <c r="H136" s="47"/>
      <c r="I136" s="47"/>
      <c r="J136" s="47"/>
      <c r="K136" s="76">
        <f t="shared" si="3"/>
        <v>0</v>
      </c>
      <c r="L136" s="75">
        <f>IFERROR('HI-LOW Berechnung'!AS135,0)</f>
        <v>0</v>
      </c>
      <c r="M136" s="47">
        <f>IFERROR('HI-LOW Berechnung'!AY135,0)</f>
        <v>0</v>
      </c>
      <c r="N136" s="76">
        <f>IFERROR('HI-LOW Berechnung'!BB135,0)</f>
        <v>0</v>
      </c>
      <c r="O136" s="75" t="str">
        <f>IFNA(VLOOKUP(B136,Datensammler!$B:$AA,25,0),"")</f>
        <v/>
      </c>
      <c r="P136" s="47"/>
      <c r="Q136" s="47"/>
      <c r="R136" s="47"/>
      <c r="S136" s="77">
        <f t="shared" si="4"/>
        <v>0</v>
      </c>
      <c r="T136" s="78" t="str">
        <f t="shared" ref="T136:U136" si="271">IF(G136=0,"",G136/O136)</f>
        <v>#DIV/0!</v>
      </c>
      <c r="U136" s="51" t="str">
        <f t="shared" si="271"/>
        <v/>
      </c>
      <c r="V136" s="51" t="str">
        <f t="shared" ref="V136:W136" si="272">IF(I136="","",I136/Q136)</f>
        <v/>
      </c>
      <c r="W136" s="51" t="str">
        <f t="shared" si="272"/>
        <v/>
      </c>
      <c r="X136" s="79" t="str">
        <f t="shared" si="7"/>
        <v/>
      </c>
      <c r="Y136" s="48">
        <v>131.0</v>
      </c>
      <c r="Z136" s="48">
        <f t="shared" si="8"/>
        <v>0</v>
      </c>
      <c r="AA136" s="48">
        <f t="shared" si="9"/>
        <v>0</v>
      </c>
      <c r="AB136" s="48">
        <v>131.0</v>
      </c>
      <c r="AC136" s="48">
        <f t="shared" si="10"/>
        <v>0</v>
      </c>
      <c r="AD136" s="48" t="str">
        <f t="shared" si="11"/>
        <v/>
      </c>
      <c r="AE136" s="72">
        <v>131.0</v>
      </c>
      <c r="AF136" s="83" t="str">
        <f t="shared" si="12"/>
        <v/>
      </c>
      <c r="AG136" s="72">
        <v>131.0</v>
      </c>
      <c r="AH136" s="48" t="str">
        <f t="shared" si="13"/>
        <v/>
      </c>
      <c r="AI136" s="84" t="str">
        <f t="shared" si="14"/>
        <v/>
      </c>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52"/>
      <c r="BH136" s="48"/>
      <c r="BI136" s="48"/>
      <c r="BJ136" s="48"/>
      <c r="BK136" s="48"/>
      <c r="BL136" s="48"/>
      <c r="BM136" s="48"/>
      <c r="BN136" s="48"/>
      <c r="BO136" s="48"/>
      <c r="BP136" s="48"/>
      <c r="BQ136" s="48"/>
    </row>
    <row r="137" ht="23.25" customHeight="1">
      <c r="A137" s="47">
        <v>132.0</v>
      </c>
      <c r="B137" s="88"/>
      <c r="C137" s="82" t="str">
        <f>IF(B137="","",VLOOKUP(B137,'Mitglieder BBU'!A:N,6,0))</f>
        <v/>
      </c>
      <c r="D137" s="82" t="str">
        <f>IF(#REF!="","",VLOOKUP(#REF!,'Mitglieder BBU'!A:N,6,0))</f>
        <v>#REF!</v>
      </c>
      <c r="E137" s="82" t="str">
        <f>IF(#REF!="","",VLOOKUP(#REF!,'Mitglieder BBU'!A:N,6,0))</f>
        <v>#REF!</v>
      </c>
      <c r="F137" s="82"/>
      <c r="G137" s="75" t="str">
        <f>IFNA(VLOOKUP(B137,Datensammler!$B:$AA,24,0),"")</f>
        <v/>
      </c>
      <c r="H137" s="47"/>
      <c r="I137" s="47"/>
      <c r="J137" s="47"/>
      <c r="K137" s="76">
        <f t="shared" si="3"/>
        <v>0</v>
      </c>
      <c r="L137" s="75">
        <f>IFERROR('HI-LOW Berechnung'!AS136,0)</f>
        <v>0</v>
      </c>
      <c r="M137" s="47">
        <f>IFERROR('HI-LOW Berechnung'!AY136,0)</f>
        <v>0</v>
      </c>
      <c r="N137" s="76">
        <f>IFERROR('HI-LOW Berechnung'!BB136,0)</f>
        <v>0</v>
      </c>
      <c r="O137" s="75" t="str">
        <f>IFNA(VLOOKUP(B137,Datensammler!$B:$AA,25,0),"")</f>
        <v/>
      </c>
      <c r="P137" s="47"/>
      <c r="Q137" s="47"/>
      <c r="R137" s="47"/>
      <c r="S137" s="77">
        <f t="shared" si="4"/>
        <v>0</v>
      </c>
      <c r="T137" s="78" t="str">
        <f t="shared" ref="T137:U137" si="273">IF(G137=0,"",G137/O137)</f>
        <v>#DIV/0!</v>
      </c>
      <c r="U137" s="51" t="str">
        <f t="shared" si="273"/>
        <v/>
      </c>
      <c r="V137" s="51" t="str">
        <f t="shared" ref="V137:W137" si="274">IF(I137="","",I137/Q137)</f>
        <v/>
      </c>
      <c r="W137" s="51" t="str">
        <f t="shared" si="274"/>
        <v/>
      </c>
      <c r="X137" s="79" t="str">
        <f t="shared" si="7"/>
        <v/>
      </c>
      <c r="Y137" s="48">
        <v>132.0</v>
      </c>
      <c r="Z137" s="48">
        <f t="shared" si="8"/>
        <v>0</v>
      </c>
      <c r="AA137" s="48">
        <f t="shared" si="9"/>
        <v>0</v>
      </c>
      <c r="AB137" s="48">
        <v>132.0</v>
      </c>
      <c r="AC137" s="48">
        <f t="shared" si="10"/>
        <v>0</v>
      </c>
      <c r="AD137" s="48" t="str">
        <f t="shared" si="11"/>
        <v/>
      </c>
      <c r="AE137" s="72">
        <v>132.0</v>
      </c>
      <c r="AF137" s="83" t="str">
        <f t="shared" si="12"/>
        <v/>
      </c>
      <c r="AG137" s="72">
        <v>132.0</v>
      </c>
      <c r="AH137" s="48" t="str">
        <f t="shared" si="13"/>
        <v/>
      </c>
      <c r="AI137" s="84" t="str">
        <f t="shared" si="14"/>
        <v/>
      </c>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52"/>
      <c r="BH137" s="48"/>
      <c r="BI137" s="48"/>
      <c r="BJ137" s="48"/>
      <c r="BK137" s="48"/>
      <c r="BL137" s="48"/>
      <c r="BM137" s="48"/>
      <c r="BN137" s="48"/>
      <c r="BO137" s="48"/>
      <c r="BP137" s="48"/>
      <c r="BQ137" s="48"/>
    </row>
    <row r="138" ht="23.25" customHeight="1">
      <c r="A138" s="47">
        <v>133.0</v>
      </c>
      <c r="B138" s="88"/>
      <c r="C138" s="82" t="str">
        <f>IF(B138="","",VLOOKUP(B138,'Mitglieder BBU'!A:N,6,0))</f>
        <v/>
      </c>
      <c r="D138" s="82" t="str">
        <f>IF(#REF!="","",VLOOKUP(#REF!,'Mitglieder BBU'!A:N,6,0))</f>
        <v>#REF!</v>
      </c>
      <c r="E138" s="82" t="str">
        <f>IF(#REF!="","",VLOOKUP(#REF!,'Mitglieder BBU'!A:N,6,0))</f>
        <v>#REF!</v>
      </c>
      <c r="F138" s="82"/>
      <c r="G138" s="75" t="str">
        <f>IFNA(VLOOKUP(B138,Datensammler!$B:$AA,24,0),"")</f>
        <v/>
      </c>
      <c r="H138" s="47"/>
      <c r="I138" s="47"/>
      <c r="J138" s="47"/>
      <c r="K138" s="76">
        <f t="shared" si="3"/>
        <v>0</v>
      </c>
      <c r="L138" s="75">
        <f>IFERROR('HI-LOW Berechnung'!AS137,0)</f>
        <v>0</v>
      </c>
      <c r="M138" s="47">
        <f>IFERROR('HI-LOW Berechnung'!AY137,0)</f>
        <v>0</v>
      </c>
      <c r="N138" s="76">
        <f>IFERROR('HI-LOW Berechnung'!BB137,0)</f>
        <v>0</v>
      </c>
      <c r="O138" s="75" t="str">
        <f>IFNA(VLOOKUP(B138,Datensammler!$B:$AA,25,0),"")</f>
        <v/>
      </c>
      <c r="P138" s="47"/>
      <c r="Q138" s="47"/>
      <c r="R138" s="47"/>
      <c r="S138" s="77">
        <f t="shared" si="4"/>
        <v>0</v>
      </c>
      <c r="T138" s="78" t="str">
        <f t="shared" ref="T138:U138" si="275">IF(G138=0,"",G138/O138)</f>
        <v>#DIV/0!</v>
      </c>
      <c r="U138" s="51" t="str">
        <f t="shared" si="275"/>
        <v/>
      </c>
      <c r="V138" s="51" t="str">
        <f t="shared" ref="V138:W138" si="276">IF(I138="","",I138/Q138)</f>
        <v/>
      </c>
      <c r="W138" s="51" t="str">
        <f t="shared" si="276"/>
        <v/>
      </c>
      <c r="X138" s="79" t="str">
        <f t="shared" si="7"/>
        <v/>
      </c>
      <c r="Y138" s="48">
        <v>133.0</v>
      </c>
      <c r="Z138" s="48">
        <f t="shared" si="8"/>
        <v>0</v>
      </c>
      <c r="AA138" s="48">
        <f t="shared" si="9"/>
        <v>0</v>
      </c>
      <c r="AB138" s="48">
        <v>133.0</v>
      </c>
      <c r="AC138" s="48">
        <f t="shared" si="10"/>
        <v>0</v>
      </c>
      <c r="AD138" s="48" t="str">
        <f t="shared" si="11"/>
        <v/>
      </c>
      <c r="AE138" s="72">
        <v>133.0</v>
      </c>
      <c r="AF138" s="83" t="str">
        <f t="shared" si="12"/>
        <v/>
      </c>
      <c r="AG138" s="72">
        <v>133.0</v>
      </c>
      <c r="AH138" s="48" t="str">
        <f t="shared" si="13"/>
        <v/>
      </c>
      <c r="AI138" s="84" t="str">
        <f t="shared" si="14"/>
        <v/>
      </c>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52"/>
      <c r="BH138" s="48"/>
      <c r="BI138" s="48"/>
      <c r="BJ138" s="48"/>
      <c r="BK138" s="48"/>
      <c r="BL138" s="48"/>
      <c r="BM138" s="48"/>
      <c r="BN138" s="48"/>
      <c r="BO138" s="48"/>
      <c r="BP138" s="48"/>
      <c r="BQ138" s="48"/>
    </row>
    <row r="139" ht="23.25" customHeight="1">
      <c r="A139" s="47">
        <v>134.0</v>
      </c>
      <c r="B139" s="88"/>
      <c r="C139" s="82" t="str">
        <f>IF(B139="","",VLOOKUP(B139,'Mitglieder BBU'!A:N,6,0))</f>
        <v/>
      </c>
      <c r="D139" s="82" t="str">
        <f>IF(#REF!="","",VLOOKUP(#REF!,'Mitglieder BBU'!A:N,6,0))</f>
        <v>#REF!</v>
      </c>
      <c r="E139" s="82" t="str">
        <f>IF(#REF!="","",VLOOKUP(#REF!,'Mitglieder BBU'!A:N,6,0))</f>
        <v>#REF!</v>
      </c>
      <c r="F139" s="82"/>
      <c r="G139" s="75" t="str">
        <f>IFNA(VLOOKUP(B139,Datensammler!$B:$AA,24,0),"")</f>
        <v/>
      </c>
      <c r="H139" s="47"/>
      <c r="I139" s="47"/>
      <c r="J139" s="47"/>
      <c r="K139" s="76">
        <f t="shared" si="3"/>
        <v>0</v>
      </c>
      <c r="L139" s="75">
        <f>IFERROR('HI-LOW Berechnung'!AS138,0)</f>
        <v>0</v>
      </c>
      <c r="M139" s="47">
        <f>IFERROR('HI-LOW Berechnung'!AY138,0)</f>
        <v>0</v>
      </c>
      <c r="N139" s="76">
        <f>IFERROR('HI-LOW Berechnung'!BB138,0)</f>
        <v>0</v>
      </c>
      <c r="O139" s="75" t="str">
        <f>IFNA(VLOOKUP(B139,Datensammler!$B:$AA,25,0),"")</f>
        <v/>
      </c>
      <c r="P139" s="47"/>
      <c r="Q139" s="47"/>
      <c r="R139" s="47"/>
      <c r="S139" s="77">
        <f t="shared" si="4"/>
        <v>0</v>
      </c>
      <c r="T139" s="78" t="str">
        <f t="shared" ref="T139:U139" si="277">IF(G139=0,"",G139/O139)</f>
        <v>#DIV/0!</v>
      </c>
      <c r="U139" s="51" t="str">
        <f t="shared" si="277"/>
        <v/>
      </c>
      <c r="V139" s="51" t="str">
        <f t="shared" ref="V139:W139" si="278">IF(I139="","",I139/Q139)</f>
        <v/>
      </c>
      <c r="W139" s="51" t="str">
        <f t="shared" si="278"/>
        <v/>
      </c>
      <c r="X139" s="79" t="str">
        <f t="shared" si="7"/>
        <v/>
      </c>
      <c r="Y139" s="48">
        <v>134.0</v>
      </c>
      <c r="Z139" s="48">
        <f t="shared" si="8"/>
        <v>0</v>
      </c>
      <c r="AA139" s="48">
        <f t="shared" si="9"/>
        <v>0</v>
      </c>
      <c r="AB139" s="48">
        <v>134.0</v>
      </c>
      <c r="AC139" s="48">
        <f t="shared" si="10"/>
        <v>0</v>
      </c>
      <c r="AD139" s="48" t="str">
        <f t="shared" si="11"/>
        <v/>
      </c>
      <c r="AE139" s="72">
        <v>134.0</v>
      </c>
      <c r="AF139" s="83" t="str">
        <f t="shared" si="12"/>
        <v/>
      </c>
      <c r="AG139" s="72">
        <v>134.0</v>
      </c>
      <c r="AH139" s="48" t="str">
        <f t="shared" si="13"/>
        <v/>
      </c>
      <c r="AI139" s="84" t="str">
        <f t="shared" si="14"/>
        <v/>
      </c>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52"/>
      <c r="BH139" s="48"/>
      <c r="BI139" s="48"/>
      <c r="BJ139" s="48"/>
      <c r="BK139" s="48"/>
      <c r="BL139" s="48"/>
      <c r="BM139" s="48"/>
      <c r="BN139" s="48"/>
      <c r="BO139" s="48"/>
      <c r="BP139" s="48"/>
      <c r="BQ139" s="48"/>
    </row>
    <row r="140" ht="23.25" customHeight="1">
      <c r="A140" s="47">
        <v>135.0</v>
      </c>
      <c r="B140" s="88"/>
      <c r="C140" s="82" t="str">
        <f>IF(B140="","",VLOOKUP(B140,'Mitglieder BBU'!A:N,6,0))</f>
        <v/>
      </c>
      <c r="D140" s="82" t="str">
        <f>IF(#REF!="","",VLOOKUP(#REF!,'Mitglieder BBU'!A:N,6,0))</f>
        <v>#REF!</v>
      </c>
      <c r="E140" s="82" t="str">
        <f>IF(#REF!="","",VLOOKUP(#REF!,'Mitglieder BBU'!A:N,6,0))</f>
        <v>#REF!</v>
      </c>
      <c r="F140" s="82"/>
      <c r="G140" s="75" t="str">
        <f>IFNA(VLOOKUP(B140,Datensammler!$B:$AA,24,0),"")</f>
        <v/>
      </c>
      <c r="H140" s="47"/>
      <c r="I140" s="47"/>
      <c r="J140" s="47"/>
      <c r="K140" s="76">
        <f t="shared" si="3"/>
        <v>0</v>
      </c>
      <c r="L140" s="75">
        <f>IFERROR('HI-LOW Berechnung'!AS139,0)</f>
        <v>0</v>
      </c>
      <c r="M140" s="47">
        <f>IFERROR('HI-LOW Berechnung'!AY139,0)</f>
        <v>0</v>
      </c>
      <c r="N140" s="76">
        <f>IFERROR('HI-LOW Berechnung'!BB139,0)</f>
        <v>0</v>
      </c>
      <c r="O140" s="75" t="str">
        <f>IFNA(VLOOKUP(B140,Datensammler!$B:$AA,25,0),"")</f>
        <v/>
      </c>
      <c r="P140" s="47"/>
      <c r="Q140" s="47"/>
      <c r="R140" s="47"/>
      <c r="S140" s="77">
        <f t="shared" si="4"/>
        <v>0</v>
      </c>
      <c r="T140" s="78" t="str">
        <f t="shared" ref="T140:U140" si="279">IF(G140=0,"",G140/O140)</f>
        <v>#DIV/0!</v>
      </c>
      <c r="U140" s="51" t="str">
        <f t="shared" si="279"/>
        <v/>
      </c>
      <c r="V140" s="51" t="str">
        <f t="shared" ref="V140:W140" si="280">IF(I140="","",I140/Q140)</f>
        <v/>
      </c>
      <c r="W140" s="51" t="str">
        <f t="shared" si="280"/>
        <v/>
      </c>
      <c r="X140" s="79" t="str">
        <f t="shared" si="7"/>
        <v/>
      </c>
      <c r="Y140" s="48">
        <v>135.0</v>
      </c>
      <c r="Z140" s="48">
        <f t="shared" si="8"/>
        <v>0</v>
      </c>
      <c r="AA140" s="48">
        <f t="shared" si="9"/>
        <v>0</v>
      </c>
      <c r="AB140" s="48">
        <v>135.0</v>
      </c>
      <c r="AC140" s="48">
        <f t="shared" si="10"/>
        <v>0</v>
      </c>
      <c r="AD140" s="48" t="str">
        <f t="shared" si="11"/>
        <v/>
      </c>
      <c r="AE140" s="72">
        <v>135.0</v>
      </c>
      <c r="AF140" s="83" t="str">
        <f t="shared" si="12"/>
        <v/>
      </c>
      <c r="AG140" s="72">
        <v>135.0</v>
      </c>
      <c r="AH140" s="48" t="str">
        <f t="shared" si="13"/>
        <v/>
      </c>
      <c r="AI140" s="84" t="str">
        <f t="shared" si="14"/>
        <v/>
      </c>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52"/>
      <c r="BH140" s="48"/>
      <c r="BI140" s="48"/>
      <c r="BJ140" s="48"/>
      <c r="BK140" s="48"/>
      <c r="BL140" s="48"/>
      <c r="BM140" s="48"/>
      <c r="BN140" s="48"/>
      <c r="BO140" s="48"/>
      <c r="BP140" s="48"/>
      <c r="BQ140" s="48"/>
    </row>
    <row r="141" ht="23.25" customHeight="1">
      <c r="A141" s="47">
        <v>136.0</v>
      </c>
      <c r="B141" s="88"/>
      <c r="C141" s="82" t="str">
        <f>IF(B141="","",VLOOKUP(B141,'Mitglieder BBU'!A:N,6,0))</f>
        <v/>
      </c>
      <c r="D141" s="82" t="str">
        <f>IF(#REF!="","",VLOOKUP(#REF!,'Mitglieder BBU'!A:N,6,0))</f>
        <v>#REF!</v>
      </c>
      <c r="E141" s="82" t="str">
        <f>IF(#REF!="","",VLOOKUP(#REF!,'Mitglieder BBU'!A:N,6,0))</f>
        <v>#REF!</v>
      </c>
      <c r="F141" s="82"/>
      <c r="G141" s="75" t="str">
        <f>IFNA(VLOOKUP(B141,Datensammler!$B:$AA,24,0),"")</f>
        <v/>
      </c>
      <c r="H141" s="47"/>
      <c r="I141" s="47"/>
      <c r="J141" s="47"/>
      <c r="K141" s="76">
        <f t="shared" si="3"/>
        <v>0</v>
      </c>
      <c r="L141" s="75">
        <f>IFERROR('HI-LOW Berechnung'!AS140,0)</f>
        <v>0</v>
      </c>
      <c r="M141" s="47">
        <f>IFERROR('HI-LOW Berechnung'!AY140,0)</f>
        <v>0</v>
      </c>
      <c r="N141" s="76">
        <f>IFERROR('HI-LOW Berechnung'!BB140,0)</f>
        <v>0</v>
      </c>
      <c r="O141" s="75" t="str">
        <f>IFNA(VLOOKUP(B141,Datensammler!$B:$AA,25,0),"")</f>
        <v/>
      </c>
      <c r="P141" s="47"/>
      <c r="Q141" s="47"/>
      <c r="R141" s="47"/>
      <c r="S141" s="77">
        <f t="shared" si="4"/>
        <v>0</v>
      </c>
      <c r="T141" s="78" t="str">
        <f t="shared" ref="T141:U141" si="281">IF(G141=0,"",G141/O141)</f>
        <v>#DIV/0!</v>
      </c>
      <c r="U141" s="51" t="str">
        <f t="shared" si="281"/>
        <v/>
      </c>
      <c r="V141" s="51" t="str">
        <f t="shared" ref="V141:W141" si="282">IF(I141="","",I141/Q141)</f>
        <v/>
      </c>
      <c r="W141" s="51" t="str">
        <f t="shared" si="282"/>
        <v/>
      </c>
      <c r="X141" s="79" t="str">
        <f t="shared" si="7"/>
        <v/>
      </c>
      <c r="Y141" s="48">
        <v>136.0</v>
      </c>
      <c r="Z141" s="48">
        <f t="shared" si="8"/>
        <v>0</v>
      </c>
      <c r="AA141" s="48">
        <f t="shared" si="9"/>
        <v>0</v>
      </c>
      <c r="AB141" s="48">
        <v>136.0</v>
      </c>
      <c r="AC141" s="48">
        <f t="shared" si="10"/>
        <v>0</v>
      </c>
      <c r="AD141" s="48" t="str">
        <f t="shared" si="11"/>
        <v/>
      </c>
      <c r="AE141" s="72">
        <v>136.0</v>
      </c>
      <c r="AF141" s="83" t="str">
        <f t="shared" si="12"/>
        <v/>
      </c>
      <c r="AG141" s="72">
        <v>136.0</v>
      </c>
      <c r="AH141" s="48" t="str">
        <f t="shared" si="13"/>
        <v/>
      </c>
      <c r="AI141" s="84" t="str">
        <f t="shared" si="14"/>
        <v/>
      </c>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52"/>
      <c r="BH141" s="48"/>
      <c r="BI141" s="48"/>
      <c r="BJ141" s="48"/>
      <c r="BK141" s="48"/>
      <c r="BL141" s="48"/>
      <c r="BM141" s="48"/>
      <c r="BN141" s="48"/>
      <c r="BO141" s="48"/>
      <c r="BP141" s="48"/>
      <c r="BQ141" s="48"/>
    </row>
    <row r="142" ht="23.25" customHeight="1">
      <c r="A142" s="47">
        <v>137.0</v>
      </c>
      <c r="B142" s="88"/>
      <c r="C142" s="82" t="str">
        <f>IF(B142="","",VLOOKUP(B142,'Mitglieder BBU'!A:N,6,0))</f>
        <v/>
      </c>
      <c r="D142" s="82" t="str">
        <f>IF(#REF!="","",VLOOKUP(#REF!,'Mitglieder BBU'!A:N,6,0))</f>
        <v>#REF!</v>
      </c>
      <c r="E142" s="82" t="str">
        <f>IF(#REF!="","",VLOOKUP(#REF!,'Mitglieder BBU'!A:N,6,0))</f>
        <v>#REF!</v>
      </c>
      <c r="F142" s="82"/>
      <c r="G142" s="75" t="str">
        <f>IFNA(VLOOKUP(B142,Datensammler!$B:$AA,24,0),"")</f>
        <v/>
      </c>
      <c r="H142" s="47"/>
      <c r="I142" s="47"/>
      <c r="J142" s="47"/>
      <c r="K142" s="76">
        <f t="shared" si="3"/>
        <v>0</v>
      </c>
      <c r="L142" s="75">
        <f>IFERROR('HI-LOW Berechnung'!AS141,0)</f>
        <v>0</v>
      </c>
      <c r="M142" s="47">
        <f>IFERROR('HI-LOW Berechnung'!AY141,0)</f>
        <v>0</v>
      </c>
      <c r="N142" s="76">
        <f>IFERROR('HI-LOW Berechnung'!BB141,0)</f>
        <v>0</v>
      </c>
      <c r="O142" s="75" t="str">
        <f>IFNA(VLOOKUP(B142,Datensammler!$B:$AA,25,0),"")</f>
        <v/>
      </c>
      <c r="P142" s="47"/>
      <c r="Q142" s="47"/>
      <c r="R142" s="47"/>
      <c r="S142" s="77">
        <f t="shared" si="4"/>
        <v>0</v>
      </c>
      <c r="T142" s="78" t="str">
        <f t="shared" ref="T142:U142" si="283">IF(G142=0,"",G142/O142)</f>
        <v>#DIV/0!</v>
      </c>
      <c r="U142" s="51" t="str">
        <f t="shared" si="283"/>
        <v/>
      </c>
      <c r="V142" s="51" t="str">
        <f t="shared" ref="V142:W142" si="284">IF(I142="","",I142/Q142)</f>
        <v/>
      </c>
      <c r="W142" s="51" t="str">
        <f t="shared" si="284"/>
        <v/>
      </c>
      <c r="X142" s="79" t="str">
        <f t="shared" si="7"/>
        <v/>
      </c>
      <c r="Y142" s="48">
        <v>137.0</v>
      </c>
      <c r="Z142" s="48">
        <f t="shared" si="8"/>
        <v>0</v>
      </c>
      <c r="AA142" s="48">
        <f t="shared" si="9"/>
        <v>0</v>
      </c>
      <c r="AB142" s="48">
        <v>137.0</v>
      </c>
      <c r="AC142" s="48">
        <f t="shared" si="10"/>
        <v>0</v>
      </c>
      <c r="AD142" s="48" t="str">
        <f t="shared" si="11"/>
        <v/>
      </c>
      <c r="AE142" s="72">
        <v>137.0</v>
      </c>
      <c r="AF142" s="83" t="str">
        <f t="shared" si="12"/>
        <v/>
      </c>
      <c r="AG142" s="72">
        <v>137.0</v>
      </c>
      <c r="AH142" s="48" t="str">
        <f t="shared" si="13"/>
        <v/>
      </c>
      <c r="AI142" s="84" t="str">
        <f t="shared" si="14"/>
        <v/>
      </c>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52"/>
      <c r="BH142" s="48"/>
      <c r="BI142" s="48"/>
      <c r="BJ142" s="48"/>
      <c r="BK142" s="48"/>
      <c r="BL142" s="48"/>
      <c r="BM142" s="48"/>
      <c r="BN142" s="48"/>
      <c r="BO142" s="48"/>
      <c r="BP142" s="48"/>
      <c r="BQ142" s="48"/>
    </row>
    <row r="143" ht="23.25" customHeight="1">
      <c r="A143" s="47">
        <v>138.0</v>
      </c>
      <c r="B143" s="88"/>
      <c r="C143" s="82" t="str">
        <f>IF(B143="","",VLOOKUP(B143,'Mitglieder BBU'!A:N,6,0))</f>
        <v/>
      </c>
      <c r="D143" s="82" t="str">
        <f>IF(#REF!="","",VLOOKUP(#REF!,'Mitglieder BBU'!A:N,6,0))</f>
        <v>#REF!</v>
      </c>
      <c r="E143" s="82" t="str">
        <f>IF(#REF!="","",VLOOKUP(#REF!,'Mitglieder BBU'!A:N,6,0))</f>
        <v>#REF!</v>
      </c>
      <c r="F143" s="82"/>
      <c r="G143" s="75" t="str">
        <f>IFNA(VLOOKUP(B143,Datensammler!$B:$AA,24,0),"")</f>
        <v/>
      </c>
      <c r="H143" s="47"/>
      <c r="I143" s="47"/>
      <c r="J143" s="47"/>
      <c r="K143" s="76">
        <f t="shared" si="3"/>
        <v>0</v>
      </c>
      <c r="L143" s="75">
        <f>IFERROR('HI-LOW Berechnung'!AS142,0)</f>
        <v>0</v>
      </c>
      <c r="M143" s="47">
        <f>IFERROR('HI-LOW Berechnung'!AY142,0)</f>
        <v>0</v>
      </c>
      <c r="N143" s="76">
        <f>IFERROR('HI-LOW Berechnung'!BB142,0)</f>
        <v>0</v>
      </c>
      <c r="O143" s="75" t="str">
        <f>IFNA(VLOOKUP(B143,Datensammler!$B:$AA,25,0),"")</f>
        <v/>
      </c>
      <c r="P143" s="47"/>
      <c r="Q143" s="47"/>
      <c r="R143" s="47"/>
      <c r="S143" s="77">
        <f t="shared" si="4"/>
        <v>0</v>
      </c>
      <c r="T143" s="78" t="str">
        <f t="shared" ref="T143:U143" si="285">IF(G143=0,"",G143/O143)</f>
        <v>#DIV/0!</v>
      </c>
      <c r="U143" s="51" t="str">
        <f t="shared" si="285"/>
        <v/>
      </c>
      <c r="V143" s="51" t="str">
        <f t="shared" ref="V143:W143" si="286">IF(I143="","",I143/Q143)</f>
        <v/>
      </c>
      <c r="W143" s="51" t="str">
        <f t="shared" si="286"/>
        <v/>
      </c>
      <c r="X143" s="79" t="str">
        <f t="shared" si="7"/>
        <v/>
      </c>
      <c r="Y143" s="48">
        <v>138.0</v>
      </c>
      <c r="Z143" s="48">
        <f t="shared" si="8"/>
        <v>0</v>
      </c>
      <c r="AA143" s="48">
        <f t="shared" si="9"/>
        <v>0</v>
      </c>
      <c r="AB143" s="48">
        <v>138.0</v>
      </c>
      <c r="AC143" s="48">
        <f t="shared" si="10"/>
        <v>0</v>
      </c>
      <c r="AD143" s="48" t="str">
        <f t="shared" si="11"/>
        <v/>
      </c>
      <c r="AE143" s="72">
        <v>138.0</v>
      </c>
      <c r="AF143" s="83" t="str">
        <f t="shared" si="12"/>
        <v/>
      </c>
      <c r="AG143" s="72">
        <v>138.0</v>
      </c>
      <c r="AH143" s="48" t="str">
        <f t="shared" si="13"/>
        <v/>
      </c>
      <c r="AI143" s="84" t="str">
        <f t="shared" si="14"/>
        <v/>
      </c>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52"/>
      <c r="BH143" s="48"/>
      <c r="BI143" s="48"/>
      <c r="BJ143" s="48"/>
      <c r="BK143" s="48"/>
      <c r="BL143" s="48"/>
      <c r="BM143" s="48"/>
      <c r="BN143" s="48"/>
      <c r="BO143" s="48"/>
      <c r="BP143" s="48"/>
      <c r="BQ143" s="48"/>
    </row>
    <row r="144" ht="23.25" customHeight="1">
      <c r="A144" s="47">
        <v>139.0</v>
      </c>
      <c r="B144" s="88"/>
      <c r="C144" s="82" t="str">
        <f>IF(B144="","",VLOOKUP(B144,'Mitglieder BBU'!A:N,6,0))</f>
        <v/>
      </c>
      <c r="D144" s="82" t="str">
        <f>IF(#REF!="","",VLOOKUP(#REF!,'Mitglieder BBU'!A:N,6,0))</f>
        <v>#REF!</v>
      </c>
      <c r="E144" s="82" t="str">
        <f>IF(#REF!="","",VLOOKUP(#REF!,'Mitglieder BBU'!A:N,6,0))</f>
        <v>#REF!</v>
      </c>
      <c r="F144" s="82"/>
      <c r="G144" s="75" t="str">
        <f>IFNA(VLOOKUP(B144,Datensammler!$B:$AA,24,0),"")</f>
        <v/>
      </c>
      <c r="H144" s="47"/>
      <c r="I144" s="47"/>
      <c r="J144" s="47"/>
      <c r="K144" s="76">
        <f t="shared" si="3"/>
        <v>0</v>
      </c>
      <c r="L144" s="75">
        <f>IFERROR('HI-LOW Berechnung'!AS143,0)</f>
        <v>0</v>
      </c>
      <c r="M144" s="47">
        <f>IFERROR('HI-LOW Berechnung'!AY143,0)</f>
        <v>0</v>
      </c>
      <c r="N144" s="76">
        <f>IFERROR('HI-LOW Berechnung'!BB143,0)</f>
        <v>0</v>
      </c>
      <c r="O144" s="75" t="str">
        <f>IFNA(VLOOKUP(B144,Datensammler!$B:$AA,25,0),"")</f>
        <v/>
      </c>
      <c r="P144" s="47"/>
      <c r="Q144" s="47"/>
      <c r="R144" s="47"/>
      <c r="S144" s="77">
        <f t="shared" si="4"/>
        <v>0</v>
      </c>
      <c r="T144" s="78" t="str">
        <f t="shared" ref="T144:U144" si="287">IF(G144=0,"",G144/O144)</f>
        <v>#DIV/0!</v>
      </c>
      <c r="U144" s="51" t="str">
        <f t="shared" si="287"/>
        <v/>
      </c>
      <c r="V144" s="51" t="str">
        <f t="shared" ref="V144:W144" si="288">IF(I144="","",I144/Q144)</f>
        <v/>
      </c>
      <c r="W144" s="51" t="str">
        <f t="shared" si="288"/>
        <v/>
      </c>
      <c r="X144" s="79" t="str">
        <f t="shared" si="7"/>
        <v/>
      </c>
      <c r="Y144" s="48">
        <v>139.0</v>
      </c>
      <c r="Z144" s="48">
        <f t="shared" si="8"/>
        <v>0</v>
      </c>
      <c r="AA144" s="48">
        <f t="shared" si="9"/>
        <v>0</v>
      </c>
      <c r="AB144" s="48">
        <v>139.0</v>
      </c>
      <c r="AC144" s="48">
        <f t="shared" si="10"/>
        <v>0</v>
      </c>
      <c r="AD144" s="48" t="str">
        <f t="shared" si="11"/>
        <v/>
      </c>
      <c r="AE144" s="72">
        <v>139.0</v>
      </c>
      <c r="AF144" s="83" t="str">
        <f t="shared" si="12"/>
        <v/>
      </c>
      <c r="AG144" s="72">
        <v>139.0</v>
      </c>
      <c r="AH144" s="48" t="str">
        <f t="shared" si="13"/>
        <v/>
      </c>
      <c r="AI144" s="84" t="str">
        <f t="shared" si="14"/>
        <v/>
      </c>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52"/>
      <c r="BH144" s="48"/>
      <c r="BI144" s="48"/>
      <c r="BJ144" s="48"/>
      <c r="BK144" s="48"/>
      <c r="BL144" s="48"/>
      <c r="BM144" s="48"/>
      <c r="BN144" s="48"/>
      <c r="BO144" s="48"/>
      <c r="BP144" s="48"/>
      <c r="BQ144" s="48"/>
    </row>
    <row r="145" ht="23.25" customHeight="1">
      <c r="A145" s="47">
        <v>140.0</v>
      </c>
      <c r="B145" s="88"/>
      <c r="C145" s="82" t="str">
        <f>IF(B145="","",VLOOKUP(B145,'Mitglieder BBU'!A:N,6,0))</f>
        <v/>
      </c>
      <c r="D145" s="82" t="str">
        <f>IF(#REF!="","",VLOOKUP(#REF!,'Mitglieder BBU'!A:N,6,0))</f>
        <v>#REF!</v>
      </c>
      <c r="E145" s="82" t="str">
        <f>IF(#REF!="","",VLOOKUP(#REF!,'Mitglieder BBU'!A:N,6,0))</f>
        <v>#REF!</v>
      </c>
      <c r="F145" s="82"/>
      <c r="G145" s="75" t="str">
        <f>IFNA(VLOOKUP(B145,Datensammler!$B:$AA,24,0),"")</f>
        <v/>
      </c>
      <c r="H145" s="47"/>
      <c r="I145" s="47"/>
      <c r="J145" s="47"/>
      <c r="K145" s="76">
        <f t="shared" si="3"/>
        <v>0</v>
      </c>
      <c r="L145" s="75">
        <f>IFERROR('HI-LOW Berechnung'!AS144,0)</f>
        <v>0</v>
      </c>
      <c r="M145" s="47">
        <f>IFERROR('HI-LOW Berechnung'!AY144,0)</f>
        <v>0</v>
      </c>
      <c r="N145" s="76">
        <f>IFERROR('HI-LOW Berechnung'!BB144,0)</f>
        <v>0</v>
      </c>
      <c r="O145" s="75" t="str">
        <f>IFNA(VLOOKUP(B145,Datensammler!$B:$AA,25,0),"")</f>
        <v/>
      </c>
      <c r="P145" s="47"/>
      <c r="Q145" s="47"/>
      <c r="R145" s="47"/>
      <c r="S145" s="77">
        <f t="shared" si="4"/>
        <v>0</v>
      </c>
      <c r="T145" s="78" t="str">
        <f t="shared" ref="T145:U145" si="289">IF(G145=0,"",G145/O145)</f>
        <v>#DIV/0!</v>
      </c>
      <c r="U145" s="51" t="str">
        <f t="shared" si="289"/>
        <v/>
      </c>
      <c r="V145" s="51" t="str">
        <f t="shared" ref="V145:W145" si="290">IF(I145="","",I145/Q145)</f>
        <v/>
      </c>
      <c r="W145" s="51" t="str">
        <f t="shared" si="290"/>
        <v/>
      </c>
      <c r="X145" s="79" t="str">
        <f t="shared" si="7"/>
        <v/>
      </c>
      <c r="Y145" s="48">
        <v>140.0</v>
      </c>
      <c r="Z145" s="48">
        <f t="shared" si="8"/>
        <v>0</v>
      </c>
      <c r="AA145" s="48">
        <f t="shared" si="9"/>
        <v>0</v>
      </c>
      <c r="AB145" s="48">
        <v>140.0</v>
      </c>
      <c r="AC145" s="48">
        <f t="shared" si="10"/>
        <v>0</v>
      </c>
      <c r="AD145" s="48" t="str">
        <f t="shared" si="11"/>
        <v/>
      </c>
      <c r="AE145" s="72">
        <v>140.0</v>
      </c>
      <c r="AF145" s="83" t="str">
        <f t="shared" si="12"/>
        <v/>
      </c>
      <c r="AG145" s="72">
        <v>140.0</v>
      </c>
      <c r="AH145" s="48" t="str">
        <f t="shared" si="13"/>
        <v/>
      </c>
      <c r="AI145" s="84" t="str">
        <f t="shared" si="14"/>
        <v/>
      </c>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52"/>
      <c r="BH145" s="48"/>
      <c r="BI145" s="48"/>
      <c r="BJ145" s="48"/>
      <c r="BK145" s="48"/>
      <c r="BL145" s="48"/>
      <c r="BM145" s="48"/>
      <c r="BN145" s="48"/>
      <c r="BO145" s="48"/>
      <c r="BP145" s="48"/>
      <c r="BQ145" s="48"/>
    </row>
    <row r="146" ht="23.25" customHeight="1">
      <c r="A146" s="47">
        <v>141.0</v>
      </c>
      <c r="B146" s="88"/>
      <c r="C146" s="82" t="str">
        <f>IF(B146="","",VLOOKUP(B146,'Mitglieder BBU'!A:N,6,0))</f>
        <v/>
      </c>
      <c r="D146" s="82" t="str">
        <f>IF(#REF!="","",VLOOKUP(#REF!,'Mitglieder BBU'!A:N,6,0))</f>
        <v>#REF!</v>
      </c>
      <c r="E146" s="82" t="str">
        <f>IF(#REF!="","",VLOOKUP(#REF!,'Mitglieder BBU'!A:N,6,0))</f>
        <v>#REF!</v>
      </c>
      <c r="F146" s="82"/>
      <c r="G146" s="75" t="str">
        <f>IFNA(VLOOKUP(B146,Datensammler!$B:$AA,24,0),"")</f>
        <v/>
      </c>
      <c r="H146" s="47"/>
      <c r="I146" s="47"/>
      <c r="J146" s="47"/>
      <c r="K146" s="76">
        <f t="shared" si="3"/>
        <v>0</v>
      </c>
      <c r="L146" s="75">
        <f>IFERROR('HI-LOW Berechnung'!AS145,0)</f>
        <v>0</v>
      </c>
      <c r="M146" s="47">
        <f>IFERROR('HI-LOW Berechnung'!AY145,0)</f>
        <v>0</v>
      </c>
      <c r="N146" s="76">
        <f>IFERROR('HI-LOW Berechnung'!BB145,0)</f>
        <v>0</v>
      </c>
      <c r="O146" s="75" t="str">
        <f>IFNA(VLOOKUP(B146,Datensammler!$B:$AA,25,0),"")</f>
        <v/>
      </c>
      <c r="P146" s="47"/>
      <c r="Q146" s="47"/>
      <c r="R146" s="47"/>
      <c r="S146" s="77">
        <f t="shared" si="4"/>
        <v>0</v>
      </c>
      <c r="T146" s="78" t="str">
        <f t="shared" ref="T146:U146" si="291">IF(G146=0,"",G146/O146)</f>
        <v>#DIV/0!</v>
      </c>
      <c r="U146" s="51" t="str">
        <f t="shared" si="291"/>
        <v/>
      </c>
      <c r="V146" s="51" t="str">
        <f t="shared" ref="V146:W146" si="292">IF(I146="","",I146/Q146)</f>
        <v/>
      </c>
      <c r="W146" s="51" t="str">
        <f t="shared" si="292"/>
        <v/>
      </c>
      <c r="X146" s="79" t="str">
        <f t="shared" si="7"/>
        <v/>
      </c>
      <c r="Y146" s="48">
        <v>141.0</v>
      </c>
      <c r="Z146" s="48">
        <f t="shared" si="8"/>
        <v>0</v>
      </c>
      <c r="AA146" s="48">
        <f t="shared" si="9"/>
        <v>0</v>
      </c>
      <c r="AB146" s="48">
        <v>141.0</v>
      </c>
      <c r="AC146" s="48">
        <f t="shared" si="10"/>
        <v>0</v>
      </c>
      <c r="AD146" s="48" t="str">
        <f t="shared" si="11"/>
        <v/>
      </c>
      <c r="AE146" s="72">
        <v>141.0</v>
      </c>
      <c r="AF146" s="83" t="str">
        <f t="shared" si="12"/>
        <v/>
      </c>
      <c r="AG146" s="72">
        <v>141.0</v>
      </c>
      <c r="AH146" s="48" t="str">
        <f t="shared" si="13"/>
        <v/>
      </c>
      <c r="AI146" s="84" t="str">
        <f t="shared" si="14"/>
        <v/>
      </c>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52"/>
      <c r="BH146" s="48"/>
      <c r="BI146" s="48"/>
      <c r="BJ146" s="48"/>
      <c r="BK146" s="48"/>
      <c r="BL146" s="48"/>
      <c r="BM146" s="48"/>
      <c r="BN146" s="48"/>
      <c r="BO146" s="48"/>
      <c r="BP146" s="48"/>
      <c r="BQ146" s="48"/>
    </row>
    <row r="147" ht="23.25" customHeight="1">
      <c r="A147" s="47">
        <v>142.0</v>
      </c>
      <c r="B147" s="88"/>
      <c r="C147" s="82" t="str">
        <f>IF(B147="","",VLOOKUP(B147,'Mitglieder BBU'!A:N,6,0))</f>
        <v/>
      </c>
      <c r="D147" s="82" t="str">
        <f>IF(#REF!="","",VLOOKUP(#REF!,'Mitglieder BBU'!A:N,6,0))</f>
        <v>#REF!</v>
      </c>
      <c r="E147" s="82" t="str">
        <f>IF(#REF!="","",VLOOKUP(#REF!,'Mitglieder BBU'!A:N,6,0))</f>
        <v>#REF!</v>
      </c>
      <c r="F147" s="82"/>
      <c r="G147" s="75" t="str">
        <f>IFNA(VLOOKUP(B147,Datensammler!$B:$AA,24,0),"")</f>
        <v/>
      </c>
      <c r="H147" s="47"/>
      <c r="I147" s="47"/>
      <c r="J147" s="47"/>
      <c r="K147" s="76">
        <f t="shared" si="3"/>
        <v>0</v>
      </c>
      <c r="L147" s="75">
        <f>IFERROR('HI-LOW Berechnung'!AS146,0)</f>
        <v>0</v>
      </c>
      <c r="M147" s="47">
        <f>IFERROR('HI-LOW Berechnung'!AY146,0)</f>
        <v>0</v>
      </c>
      <c r="N147" s="76">
        <f>IFERROR('HI-LOW Berechnung'!BB146,0)</f>
        <v>0</v>
      </c>
      <c r="O147" s="75" t="str">
        <f>IFNA(VLOOKUP(B147,Datensammler!$B:$AA,25,0),"")</f>
        <v/>
      </c>
      <c r="P147" s="47"/>
      <c r="Q147" s="47"/>
      <c r="R147" s="47"/>
      <c r="S147" s="77">
        <f t="shared" si="4"/>
        <v>0</v>
      </c>
      <c r="T147" s="78" t="str">
        <f t="shared" ref="T147:U147" si="293">IF(G147=0,"",G147/O147)</f>
        <v>#DIV/0!</v>
      </c>
      <c r="U147" s="51" t="str">
        <f t="shared" si="293"/>
        <v/>
      </c>
      <c r="V147" s="51" t="str">
        <f t="shared" ref="V147:W147" si="294">IF(I147="","",I147/Q147)</f>
        <v/>
      </c>
      <c r="W147" s="51" t="str">
        <f t="shared" si="294"/>
        <v/>
      </c>
      <c r="X147" s="79" t="str">
        <f t="shared" si="7"/>
        <v/>
      </c>
      <c r="Y147" s="48">
        <v>142.0</v>
      </c>
      <c r="Z147" s="48">
        <f t="shared" si="8"/>
        <v>0</v>
      </c>
      <c r="AA147" s="48">
        <f t="shared" si="9"/>
        <v>0</v>
      </c>
      <c r="AB147" s="48">
        <v>142.0</v>
      </c>
      <c r="AC147" s="48">
        <f t="shared" si="10"/>
        <v>0</v>
      </c>
      <c r="AD147" s="48" t="str">
        <f t="shared" si="11"/>
        <v/>
      </c>
      <c r="AE147" s="72">
        <v>142.0</v>
      </c>
      <c r="AF147" s="83" t="str">
        <f t="shared" si="12"/>
        <v/>
      </c>
      <c r="AG147" s="72">
        <v>142.0</v>
      </c>
      <c r="AH147" s="48" t="str">
        <f t="shared" si="13"/>
        <v/>
      </c>
      <c r="AI147" s="84" t="str">
        <f t="shared" si="14"/>
        <v/>
      </c>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52"/>
      <c r="BH147" s="48"/>
      <c r="BI147" s="48"/>
      <c r="BJ147" s="48"/>
      <c r="BK147" s="48"/>
      <c r="BL147" s="48"/>
      <c r="BM147" s="48"/>
      <c r="BN147" s="48"/>
      <c r="BO147" s="48"/>
      <c r="BP147" s="48"/>
      <c r="BQ147" s="48"/>
    </row>
    <row r="148" ht="23.25" customHeight="1">
      <c r="A148" s="47">
        <v>143.0</v>
      </c>
      <c r="B148" s="88"/>
      <c r="C148" s="82" t="str">
        <f>IF(B148="","",VLOOKUP(B148,'Mitglieder BBU'!A:N,6,0))</f>
        <v/>
      </c>
      <c r="D148" s="82" t="str">
        <f>IF(#REF!="","",VLOOKUP(#REF!,'Mitglieder BBU'!A:N,6,0))</f>
        <v>#REF!</v>
      </c>
      <c r="E148" s="82" t="str">
        <f>IF(#REF!="","",VLOOKUP(#REF!,'Mitglieder BBU'!A:N,6,0))</f>
        <v>#REF!</v>
      </c>
      <c r="F148" s="82"/>
      <c r="G148" s="75" t="str">
        <f>IFNA(VLOOKUP(B148,Datensammler!$B:$AA,24,0),"")</f>
        <v/>
      </c>
      <c r="H148" s="47"/>
      <c r="I148" s="47"/>
      <c r="J148" s="47"/>
      <c r="K148" s="76">
        <f t="shared" si="3"/>
        <v>0</v>
      </c>
      <c r="L148" s="75">
        <f>IFERROR('HI-LOW Berechnung'!AS147,0)</f>
        <v>0</v>
      </c>
      <c r="M148" s="47">
        <f>IFERROR('HI-LOW Berechnung'!AY147,0)</f>
        <v>0</v>
      </c>
      <c r="N148" s="76">
        <f>IFERROR('HI-LOW Berechnung'!BB147,0)</f>
        <v>0</v>
      </c>
      <c r="O148" s="75" t="str">
        <f>IFNA(VLOOKUP(B148,Datensammler!$B:$AA,25,0),"")</f>
        <v/>
      </c>
      <c r="P148" s="47"/>
      <c r="Q148" s="47"/>
      <c r="R148" s="47"/>
      <c r="S148" s="77">
        <f t="shared" si="4"/>
        <v>0</v>
      </c>
      <c r="T148" s="78" t="str">
        <f t="shared" ref="T148:U148" si="295">IF(G148=0,"",G148/O148)</f>
        <v>#DIV/0!</v>
      </c>
      <c r="U148" s="51" t="str">
        <f t="shared" si="295"/>
        <v/>
      </c>
      <c r="V148" s="51" t="str">
        <f t="shared" ref="V148:W148" si="296">IF(I148="","",I148/Q148)</f>
        <v/>
      </c>
      <c r="W148" s="51" t="str">
        <f t="shared" si="296"/>
        <v/>
      </c>
      <c r="X148" s="79" t="str">
        <f t="shared" si="7"/>
        <v/>
      </c>
      <c r="Y148" s="48">
        <v>143.0</v>
      </c>
      <c r="Z148" s="48">
        <f t="shared" si="8"/>
        <v>0</v>
      </c>
      <c r="AA148" s="48">
        <f t="shared" si="9"/>
        <v>0</v>
      </c>
      <c r="AB148" s="48">
        <v>143.0</v>
      </c>
      <c r="AC148" s="48">
        <f t="shared" si="10"/>
        <v>0</v>
      </c>
      <c r="AD148" s="48" t="str">
        <f t="shared" si="11"/>
        <v/>
      </c>
      <c r="AE148" s="72">
        <v>143.0</v>
      </c>
      <c r="AF148" s="83" t="str">
        <f t="shared" si="12"/>
        <v/>
      </c>
      <c r="AG148" s="72">
        <v>143.0</v>
      </c>
      <c r="AH148" s="48" t="str">
        <f t="shared" si="13"/>
        <v/>
      </c>
      <c r="AI148" s="84" t="str">
        <f t="shared" si="14"/>
        <v/>
      </c>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52"/>
      <c r="BH148" s="48"/>
      <c r="BI148" s="48"/>
      <c r="BJ148" s="48"/>
      <c r="BK148" s="48"/>
      <c r="BL148" s="48"/>
      <c r="BM148" s="48"/>
      <c r="BN148" s="48"/>
      <c r="BO148" s="48"/>
      <c r="BP148" s="48"/>
      <c r="BQ148" s="48"/>
    </row>
    <row r="149" ht="23.25" customHeight="1">
      <c r="A149" s="47">
        <v>144.0</v>
      </c>
      <c r="B149" s="88"/>
      <c r="C149" s="82" t="str">
        <f>IF(B149="","",VLOOKUP(B149,'Mitglieder BBU'!A:N,6,0))</f>
        <v/>
      </c>
      <c r="D149" s="82" t="str">
        <f>IF(#REF!="","",VLOOKUP(#REF!,'Mitglieder BBU'!A:N,6,0))</f>
        <v>#REF!</v>
      </c>
      <c r="E149" s="82" t="str">
        <f>IF(#REF!="","",VLOOKUP(#REF!,'Mitglieder BBU'!A:N,6,0))</f>
        <v>#REF!</v>
      </c>
      <c r="F149" s="82"/>
      <c r="G149" s="75" t="str">
        <f>IFNA(VLOOKUP(B149,Datensammler!$B:$AA,24,0),"")</f>
        <v/>
      </c>
      <c r="H149" s="47"/>
      <c r="I149" s="47"/>
      <c r="J149" s="47"/>
      <c r="K149" s="76">
        <f t="shared" si="3"/>
        <v>0</v>
      </c>
      <c r="L149" s="75">
        <f>IFERROR('HI-LOW Berechnung'!AS148,0)</f>
        <v>0</v>
      </c>
      <c r="M149" s="47">
        <f>IFERROR('HI-LOW Berechnung'!AY148,0)</f>
        <v>0</v>
      </c>
      <c r="N149" s="76">
        <f>IFERROR('HI-LOW Berechnung'!BB148,0)</f>
        <v>0</v>
      </c>
      <c r="O149" s="75" t="str">
        <f>IFNA(VLOOKUP(B149,Datensammler!$B:$AA,25,0),"")</f>
        <v/>
      </c>
      <c r="P149" s="47"/>
      <c r="Q149" s="47"/>
      <c r="R149" s="47"/>
      <c r="S149" s="77">
        <f t="shared" si="4"/>
        <v>0</v>
      </c>
      <c r="T149" s="78" t="str">
        <f t="shared" ref="T149:U149" si="297">IF(G149=0,"",G149/O149)</f>
        <v>#DIV/0!</v>
      </c>
      <c r="U149" s="51" t="str">
        <f t="shared" si="297"/>
        <v/>
      </c>
      <c r="V149" s="51" t="str">
        <f t="shared" ref="V149:W149" si="298">IF(I149="","",I149/Q149)</f>
        <v/>
      </c>
      <c r="W149" s="51" t="str">
        <f t="shared" si="298"/>
        <v/>
      </c>
      <c r="X149" s="79" t="str">
        <f t="shared" si="7"/>
        <v/>
      </c>
      <c r="Y149" s="48">
        <v>144.0</v>
      </c>
      <c r="Z149" s="48">
        <f t="shared" si="8"/>
        <v>0</v>
      </c>
      <c r="AA149" s="48">
        <f t="shared" si="9"/>
        <v>0</v>
      </c>
      <c r="AB149" s="48">
        <v>144.0</v>
      </c>
      <c r="AC149" s="48">
        <f t="shared" si="10"/>
        <v>0</v>
      </c>
      <c r="AD149" s="48" t="str">
        <f t="shared" si="11"/>
        <v/>
      </c>
      <c r="AE149" s="72">
        <v>144.0</v>
      </c>
      <c r="AF149" s="83" t="str">
        <f t="shared" si="12"/>
        <v/>
      </c>
      <c r="AG149" s="72">
        <v>144.0</v>
      </c>
      <c r="AH149" s="48" t="str">
        <f t="shared" si="13"/>
        <v/>
      </c>
      <c r="AI149" s="84" t="str">
        <f t="shared" si="14"/>
        <v/>
      </c>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52"/>
      <c r="BH149" s="48"/>
      <c r="BI149" s="48"/>
      <c r="BJ149" s="48"/>
      <c r="BK149" s="48"/>
      <c r="BL149" s="48"/>
      <c r="BM149" s="48"/>
      <c r="BN149" s="48"/>
      <c r="BO149" s="48"/>
      <c r="BP149" s="48"/>
      <c r="BQ149" s="48"/>
    </row>
    <row r="150" ht="23.25" customHeight="1">
      <c r="A150" s="47">
        <v>145.0</v>
      </c>
      <c r="B150" s="88"/>
      <c r="C150" s="82" t="str">
        <f>IF(B150="","",VLOOKUP(B150,'Mitglieder BBU'!A:N,6,0))</f>
        <v/>
      </c>
      <c r="D150" s="82" t="str">
        <f>IF(#REF!="","",VLOOKUP(#REF!,'Mitglieder BBU'!A:N,6,0))</f>
        <v>#REF!</v>
      </c>
      <c r="E150" s="82" t="str">
        <f>IF(#REF!="","",VLOOKUP(#REF!,'Mitglieder BBU'!A:N,6,0))</f>
        <v>#REF!</v>
      </c>
      <c r="F150" s="82"/>
      <c r="G150" s="75" t="str">
        <f>IFNA(VLOOKUP(B150,Datensammler!$B:$AA,24,0),"")</f>
        <v/>
      </c>
      <c r="H150" s="47"/>
      <c r="I150" s="47"/>
      <c r="J150" s="47"/>
      <c r="K150" s="76">
        <f t="shared" si="3"/>
        <v>0</v>
      </c>
      <c r="L150" s="75">
        <f>IFERROR('HI-LOW Berechnung'!AS149,0)</f>
        <v>0</v>
      </c>
      <c r="M150" s="47">
        <f>IFERROR('HI-LOW Berechnung'!AY149,0)</f>
        <v>0</v>
      </c>
      <c r="N150" s="76">
        <f>IFERROR('HI-LOW Berechnung'!BB149,0)</f>
        <v>0</v>
      </c>
      <c r="O150" s="75" t="str">
        <f>IFNA(VLOOKUP(B150,Datensammler!$B:$AA,25,0),"")</f>
        <v/>
      </c>
      <c r="P150" s="47"/>
      <c r="Q150" s="47"/>
      <c r="R150" s="47"/>
      <c r="S150" s="77">
        <f t="shared" si="4"/>
        <v>0</v>
      </c>
      <c r="T150" s="78" t="str">
        <f t="shared" ref="T150:U150" si="299">IF(G150=0,"",G150/O150)</f>
        <v>#DIV/0!</v>
      </c>
      <c r="U150" s="51" t="str">
        <f t="shared" si="299"/>
        <v/>
      </c>
      <c r="V150" s="51" t="str">
        <f t="shared" ref="V150:W150" si="300">IF(I150="","",I150/Q150)</f>
        <v/>
      </c>
      <c r="W150" s="51" t="str">
        <f t="shared" si="300"/>
        <v/>
      </c>
      <c r="X150" s="79" t="str">
        <f t="shared" si="7"/>
        <v/>
      </c>
      <c r="Y150" s="48">
        <v>145.0</v>
      </c>
      <c r="Z150" s="48">
        <f t="shared" si="8"/>
        <v>0</v>
      </c>
      <c r="AA150" s="48">
        <f t="shared" si="9"/>
        <v>0</v>
      </c>
      <c r="AB150" s="48">
        <v>145.0</v>
      </c>
      <c r="AC150" s="48">
        <f t="shared" si="10"/>
        <v>0</v>
      </c>
      <c r="AD150" s="48" t="str">
        <f t="shared" si="11"/>
        <v/>
      </c>
      <c r="AE150" s="72">
        <v>145.0</v>
      </c>
      <c r="AF150" s="83" t="str">
        <f t="shared" si="12"/>
        <v/>
      </c>
      <c r="AG150" s="72">
        <v>145.0</v>
      </c>
      <c r="AH150" s="48" t="str">
        <f t="shared" si="13"/>
        <v/>
      </c>
      <c r="AI150" s="84" t="str">
        <f t="shared" si="14"/>
        <v/>
      </c>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52"/>
      <c r="BH150" s="48"/>
      <c r="BI150" s="48"/>
      <c r="BJ150" s="48"/>
      <c r="BK150" s="48"/>
      <c r="BL150" s="48"/>
      <c r="BM150" s="48"/>
      <c r="BN150" s="48"/>
      <c r="BO150" s="48"/>
      <c r="BP150" s="48"/>
      <c r="BQ150" s="48"/>
    </row>
    <row r="151" ht="23.25" customHeight="1">
      <c r="A151" s="47">
        <v>146.0</v>
      </c>
      <c r="B151" s="88"/>
      <c r="C151" s="82" t="str">
        <f>IF(B151="","",VLOOKUP(B151,'Mitglieder BBU'!A:N,6,0))</f>
        <v/>
      </c>
      <c r="D151" s="82" t="str">
        <f>IF(#REF!="","",VLOOKUP(#REF!,'Mitglieder BBU'!A:N,6,0))</f>
        <v>#REF!</v>
      </c>
      <c r="E151" s="82" t="str">
        <f>IF(#REF!="","",VLOOKUP(#REF!,'Mitglieder BBU'!A:N,6,0))</f>
        <v>#REF!</v>
      </c>
      <c r="F151" s="82"/>
      <c r="G151" s="75" t="str">
        <f>IFNA(VLOOKUP(B151,Datensammler!$B:$AA,24,0),"")</f>
        <v/>
      </c>
      <c r="H151" s="47"/>
      <c r="I151" s="47"/>
      <c r="J151" s="47"/>
      <c r="K151" s="76">
        <f t="shared" si="3"/>
        <v>0</v>
      </c>
      <c r="L151" s="75">
        <f>IFERROR('HI-LOW Berechnung'!AS150,0)</f>
        <v>0</v>
      </c>
      <c r="M151" s="47">
        <f>IFERROR('HI-LOW Berechnung'!AY150,0)</f>
        <v>0</v>
      </c>
      <c r="N151" s="76">
        <f>IFERROR('HI-LOW Berechnung'!BB150,0)</f>
        <v>0</v>
      </c>
      <c r="O151" s="75" t="str">
        <f>IFNA(VLOOKUP(B151,Datensammler!$B:$AA,25,0),"")</f>
        <v/>
      </c>
      <c r="P151" s="47"/>
      <c r="Q151" s="47"/>
      <c r="R151" s="47"/>
      <c r="S151" s="77">
        <f t="shared" si="4"/>
        <v>0</v>
      </c>
      <c r="T151" s="78" t="str">
        <f t="shared" ref="T151:U151" si="301">IF(G151=0,"",G151/O151)</f>
        <v>#DIV/0!</v>
      </c>
      <c r="U151" s="51" t="str">
        <f t="shared" si="301"/>
        <v/>
      </c>
      <c r="V151" s="51" t="str">
        <f t="shared" ref="V151:W151" si="302">IF(I151="","",I151/Q151)</f>
        <v/>
      </c>
      <c r="W151" s="51" t="str">
        <f t="shared" si="302"/>
        <v/>
      </c>
      <c r="X151" s="79" t="str">
        <f t="shared" si="7"/>
        <v/>
      </c>
      <c r="Y151" s="48">
        <v>146.0</v>
      </c>
      <c r="Z151" s="48">
        <f t="shared" si="8"/>
        <v>0</v>
      </c>
      <c r="AA151" s="48">
        <f t="shared" si="9"/>
        <v>0</v>
      </c>
      <c r="AB151" s="48">
        <v>146.0</v>
      </c>
      <c r="AC151" s="48">
        <f t="shared" si="10"/>
        <v>0</v>
      </c>
      <c r="AD151" s="48" t="str">
        <f t="shared" si="11"/>
        <v/>
      </c>
      <c r="AE151" s="72">
        <v>146.0</v>
      </c>
      <c r="AF151" s="83" t="str">
        <f t="shared" si="12"/>
        <v/>
      </c>
      <c r="AG151" s="72">
        <v>146.0</v>
      </c>
      <c r="AH151" s="48" t="str">
        <f t="shared" si="13"/>
        <v/>
      </c>
      <c r="AI151" s="84" t="str">
        <f t="shared" si="14"/>
        <v/>
      </c>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52"/>
      <c r="BH151" s="48"/>
      <c r="BI151" s="48"/>
      <c r="BJ151" s="48"/>
      <c r="BK151" s="48"/>
      <c r="BL151" s="48"/>
      <c r="BM151" s="48"/>
      <c r="BN151" s="48"/>
      <c r="BO151" s="48"/>
      <c r="BP151" s="48"/>
      <c r="BQ151" s="48"/>
    </row>
    <row r="152" ht="23.25" customHeight="1">
      <c r="A152" s="47">
        <v>147.0</v>
      </c>
      <c r="B152" s="88"/>
      <c r="C152" s="82" t="str">
        <f>IF(B152="","",VLOOKUP(B152,'Mitglieder BBU'!A:N,6,0))</f>
        <v/>
      </c>
      <c r="D152" s="82" t="str">
        <f>IF(#REF!="","",VLOOKUP(#REF!,'Mitglieder BBU'!A:N,6,0))</f>
        <v>#REF!</v>
      </c>
      <c r="E152" s="82" t="str">
        <f>IF(#REF!="","",VLOOKUP(#REF!,'Mitglieder BBU'!A:N,6,0))</f>
        <v>#REF!</v>
      </c>
      <c r="F152" s="82"/>
      <c r="G152" s="75" t="str">
        <f>IFNA(VLOOKUP(B152,Datensammler!$B:$AA,24,0),"")</f>
        <v/>
      </c>
      <c r="H152" s="47"/>
      <c r="I152" s="47"/>
      <c r="J152" s="47"/>
      <c r="K152" s="76">
        <f t="shared" si="3"/>
        <v>0</v>
      </c>
      <c r="L152" s="75">
        <f>IFERROR('HI-LOW Berechnung'!AS151,0)</f>
        <v>0</v>
      </c>
      <c r="M152" s="47">
        <f>IFERROR('HI-LOW Berechnung'!AY151,0)</f>
        <v>0</v>
      </c>
      <c r="N152" s="76">
        <f>IFERROR('HI-LOW Berechnung'!BB151,0)</f>
        <v>0</v>
      </c>
      <c r="O152" s="75" t="str">
        <f>IFNA(VLOOKUP(B152,Datensammler!$B:$AA,25,0),"")</f>
        <v/>
      </c>
      <c r="P152" s="47"/>
      <c r="Q152" s="47"/>
      <c r="R152" s="47"/>
      <c r="S152" s="77">
        <f t="shared" si="4"/>
        <v>0</v>
      </c>
      <c r="T152" s="78" t="str">
        <f t="shared" ref="T152:U152" si="303">IF(G152=0,"",G152/O152)</f>
        <v>#DIV/0!</v>
      </c>
      <c r="U152" s="51" t="str">
        <f t="shared" si="303"/>
        <v/>
      </c>
      <c r="V152" s="51" t="str">
        <f t="shared" ref="V152:W152" si="304">IF(I152="","",I152/Q152)</f>
        <v/>
      </c>
      <c r="W152" s="51" t="str">
        <f t="shared" si="304"/>
        <v/>
      </c>
      <c r="X152" s="79" t="str">
        <f t="shared" si="7"/>
        <v/>
      </c>
      <c r="Y152" s="48">
        <v>147.0</v>
      </c>
      <c r="Z152" s="48">
        <f t="shared" si="8"/>
        <v>0</v>
      </c>
      <c r="AA152" s="48">
        <f t="shared" si="9"/>
        <v>0</v>
      </c>
      <c r="AB152" s="48">
        <v>147.0</v>
      </c>
      <c r="AC152" s="48">
        <f t="shared" si="10"/>
        <v>0</v>
      </c>
      <c r="AD152" s="48" t="str">
        <f t="shared" si="11"/>
        <v/>
      </c>
      <c r="AE152" s="72">
        <v>147.0</v>
      </c>
      <c r="AF152" s="83" t="str">
        <f t="shared" si="12"/>
        <v/>
      </c>
      <c r="AG152" s="72">
        <v>147.0</v>
      </c>
      <c r="AH152" s="48" t="str">
        <f t="shared" si="13"/>
        <v/>
      </c>
      <c r="AI152" s="84" t="str">
        <f t="shared" si="14"/>
        <v/>
      </c>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52"/>
      <c r="BH152" s="48"/>
      <c r="BI152" s="48"/>
      <c r="BJ152" s="48"/>
      <c r="BK152" s="48"/>
      <c r="BL152" s="48"/>
      <c r="BM152" s="48"/>
      <c r="BN152" s="48"/>
      <c r="BO152" s="48"/>
      <c r="BP152" s="48"/>
      <c r="BQ152" s="48"/>
    </row>
    <row r="153" ht="23.25" customHeight="1">
      <c r="A153" s="47">
        <v>148.0</v>
      </c>
      <c r="B153" s="88"/>
      <c r="C153" s="82" t="str">
        <f>IF(B153="","",VLOOKUP(B153,'Mitglieder BBU'!A:N,6,0))</f>
        <v/>
      </c>
      <c r="D153" s="82" t="str">
        <f>IF(#REF!="","",VLOOKUP(#REF!,'Mitglieder BBU'!A:N,6,0))</f>
        <v>#REF!</v>
      </c>
      <c r="E153" s="82" t="str">
        <f>IF(#REF!="","",VLOOKUP(#REF!,'Mitglieder BBU'!A:N,6,0))</f>
        <v>#REF!</v>
      </c>
      <c r="F153" s="82"/>
      <c r="G153" s="75" t="str">
        <f>IFNA(VLOOKUP(B153,Datensammler!$B:$AA,24,0),"")</f>
        <v/>
      </c>
      <c r="H153" s="47"/>
      <c r="I153" s="47"/>
      <c r="J153" s="47"/>
      <c r="K153" s="76">
        <f t="shared" si="3"/>
        <v>0</v>
      </c>
      <c r="L153" s="75">
        <f>IFERROR('HI-LOW Berechnung'!AS152,0)</f>
        <v>0</v>
      </c>
      <c r="M153" s="47">
        <f>IFERROR('HI-LOW Berechnung'!AY152,0)</f>
        <v>0</v>
      </c>
      <c r="N153" s="76">
        <f>IFERROR('HI-LOW Berechnung'!BB152,0)</f>
        <v>0</v>
      </c>
      <c r="O153" s="75" t="str">
        <f>IFNA(VLOOKUP(B153,Datensammler!$B:$AA,25,0),"")</f>
        <v/>
      </c>
      <c r="P153" s="47"/>
      <c r="Q153" s="47"/>
      <c r="R153" s="47"/>
      <c r="S153" s="77">
        <f t="shared" si="4"/>
        <v>0</v>
      </c>
      <c r="T153" s="78" t="str">
        <f t="shared" ref="T153:U153" si="305">IF(G153=0,"",G153/O153)</f>
        <v>#DIV/0!</v>
      </c>
      <c r="U153" s="51" t="str">
        <f t="shared" si="305"/>
        <v/>
      </c>
      <c r="V153" s="51" t="str">
        <f t="shared" ref="V153:W153" si="306">IF(I153="","",I153/Q153)</f>
        <v/>
      </c>
      <c r="W153" s="51" t="str">
        <f t="shared" si="306"/>
        <v/>
      </c>
      <c r="X153" s="79" t="str">
        <f t="shared" si="7"/>
        <v/>
      </c>
      <c r="Y153" s="48">
        <v>148.0</v>
      </c>
      <c r="Z153" s="48">
        <f t="shared" si="8"/>
        <v>0</v>
      </c>
      <c r="AA153" s="48">
        <f t="shared" si="9"/>
        <v>0</v>
      </c>
      <c r="AB153" s="48">
        <v>148.0</v>
      </c>
      <c r="AC153" s="48">
        <f t="shared" si="10"/>
        <v>0</v>
      </c>
      <c r="AD153" s="48" t="str">
        <f t="shared" si="11"/>
        <v/>
      </c>
      <c r="AE153" s="72">
        <v>148.0</v>
      </c>
      <c r="AF153" s="83" t="str">
        <f t="shared" si="12"/>
        <v/>
      </c>
      <c r="AG153" s="72">
        <v>148.0</v>
      </c>
      <c r="AH153" s="48" t="str">
        <f t="shared" si="13"/>
        <v/>
      </c>
      <c r="AI153" s="84" t="str">
        <f t="shared" si="14"/>
        <v/>
      </c>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52"/>
      <c r="BH153" s="48"/>
      <c r="BI153" s="48"/>
      <c r="BJ153" s="48"/>
      <c r="BK153" s="48"/>
      <c r="BL153" s="48"/>
      <c r="BM153" s="48"/>
      <c r="BN153" s="48"/>
      <c r="BO153" s="48"/>
      <c r="BP153" s="48"/>
      <c r="BQ153" s="48"/>
    </row>
    <row r="154" ht="23.25" customHeight="1">
      <c r="A154" s="47">
        <v>149.0</v>
      </c>
      <c r="B154" s="88"/>
      <c r="C154" s="82" t="str">
        <f>IF(B154="","",VLOOKUP(B154,'Mitglieder BBU'!A:N,6,0))</f>
        <v/>
      </c>
      <c r="D154" s="82" t="str">
        <f>IF(#REF!="","",VLOOKUP(#REF!,'Mitglieder BBU'!A:N,6,0))</f>
        <v>#REF!</v>
      </c>
      <c r="E154" s="82" t="str">
        <f>IF(#REF!="","",VLOOKUP(#REF!,'Mitglieder BBU'!A:N,6,0))</f>
        <v>#REF!</v>
      </c>
      <c r="F154" s="82"/>
      <c r="G154" s="75" t="str">
        <f>IFNA(VLOOKUP(B154,Datensammler!$B:$AA,24,0),"")</f>
        <v/>
      </c>
      <c r="H154" s="47"/>
      <c r="I154" s="47"/>
      <c r="J154" s="47"/>
      <c r="K154" s="76">
        <f t="shared" si="3"/>
        <v>0</v>
      </c>
      <c r="L154" s="75">
        <f>IFERROR('HI-LOW Berechnung'!AS153,0)</f>
        <v>0</v>
      </c>
      <c r="M154" s="47">
        <f>IFERROR('HI-LOW Berechnung'!AY153,0)</f>
        <v>0</v>
      </c>
      <c r="N154" s="76">
        <f>IFERROR('HI-LOW Berechnung'!BB153,0)</f>
        <v>0</v>
      </c>
      <c r="O154" s="75" t="str">
        <f>IFNA(VLOOKUP(B154,Datensammler!$B:$AA,25,0),"")</f>
        <v/>
      </c>
      <c r="P154" s="47"/>
      <c r="Q154" s="47"/>
      <c r="R154" s="47"/>
      <c r="S154" s="77">
        <f t="shared" si="4"/>
        <v>0</v>
      </c>
      <c r="T154" s="78" t="str">
        <f t="shared" ref="T154:U154" si="307">IF(G154=0,"",G154/O154)</f>
        <v>#DIV/0!</v>
      </c>
      <c r="U154" s="51" t="str">
        <f t="shared" si="307"/>
        <v/>
      </c>
      <c r="V154" s="51" t="str">
        <f t="shared" ref="V154:W154" si="308">IF(I154="","",I154/Q154)</f>
        <v/>
      </c>
      <c r="W154" s="51" t="str">
        <f t="shared" si="308"/>
        <v/>
      </c>
      <c r="X154" s="79" t="str">
        <f t="shared" si="7"/>
        <v/>
      </c>
      <c r="Y154" s="48">
        <v>149.0</v>
      </c>
      <c r="Z154" s="48">
        <f t="shared" si="8"/>
        <v>0</v>
      </c>
      <c r="AA154" s="48">
        <f t="shared" si="9"/>
        <v>0</v>
      </c>
      <c r="AB154" s="48">
        <v>149.0</v>
      </c>
      <c r="AC154" s="48">
        <f t="shared" si="10"/>
        <v>0</v>
      </c>
      <c r="AD154" s="48" t="str">
        <f t="shared" si="11"/>
        <v/>
      </c>
      <c r="AE154" s="72">
        <v>149.0</v>
      </c>
      <c r="AF154" s="83" t="str">
        <f t="shared" si="12"/>
        <v/>
      </c>
      <c r="AG154" s="72">
        <v>149.0</v>
      </c>
      <c r="AH154" s="48" t="str">
        <f t="shared" si="13"/>
        <v/>
      </c>
      <c r="AI154" s="84" t="str">
        <f t="shared" si="14"/>
        <v/>
      </c>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52"/>
      <c r="BH154" s="48"/>
      <c r="BI154" s="48"/>
      <c r="BJ154" s="48"/>
      <c r="BK154" s="48"/>
      <c r="BL154" s="48"/>
      <c r="BM154" s="48"/>
      <c r="BN154" s="48"/>
      <c r="BO154" s="48"/>
      <c r="BP154" s="48"/>
      <c r="BQ154" s="48"/>
    </row>
    <row r="155" ht="23.25" customHeight="1">
      <c r="A155" s="47">
        <v>150.0</v>
      </c>
      <c r="B155" s="88"/>
      <c r="C155" s="82" t="str">
        <f>IF(B155="","",VLOOKUP(B155,'Mitglieder BBU'!A:N,6,0))</f>
        <v/>
      </c>
      <c r="D155" s="82" t="str">
        <f>IF(#REF!="","",VLOOKUP(#REF!,'Mitglieder BBU'!A:N,6,0))</f>
        <v>#REF!</v>
      </c>
      <c r="E155" s="82" t="str">
        <f>IF(#REF!="","",VLOOKUP(#REF!,'Mitglieder BBU'!A:N,6,0))</f>
        <v>#REF!</v>
      </c>
      <c r="F155" s="82"/>
      <c r="G155" s="75" t="str">
        <f>IFNA(VLOOKUP(B155,Datensammler!$B:$AA,24,0),"")</f>
        <v/>
      </c>
      <c r="H155" s="47"/>
      <c r="I155" s="47"/>
      <c r="J155" s="47"/>
      <c r="K155" s="76">
        <f t="shared" si="3"/>
        <v>0</v>
      </c>
      <c r="L155" s="75">
        <f>IFERROR('HI-LOW Berechnung'!AS154,0)</f>
        <v>0</v>
      </c>
      <c r="M155" s="47">
        <f>IFERROR('HI-LOW Berechnung'!AY154,0)</f>
        <v>0</v>
      </c>
      <c r="N155" s="76">
        <f>IFERROR('HI-LOW Berechnung'!BB154,0)</f>
        <v>0</v>
      </c>
      <c r="O155" s="75" t="str">
        <f>IFNA(VLOOKUP(B155,Datensammler!$B:$AA,25,0),"")</f>
        <v/>
      </c>
      <c r="P155" s="47"/>
      <c r="Q155" s="47"/>
      <c r="R155" s="47"/>
      <c r="S155" s="77">
        <f t="shared" si="4"/>
        <v>0</v>
      </c>
      <c r="T155" s="78" t="str">
        <f t="shared" ref="T155:U155" si="309">IF(G155=0,"",G155/O155)</f>
        <v>#DIV/0!</v>
      </c>
      <c r="U155" s="51" t="str">
        <f t="shared" si="309"/>
        <v/>
      </c>
      <c r="V155" s="51" t="str">
        <f t="shared" ref="V155:W155" si="310">IF(I155="","",I155/Q155)</f>
        <v/>
      </c>
      <c r="W155" s="51" t="str">
        <f t="shared" si="310"/>
        <v/>
      </c>
      <c r="X155" s="79" t="str">
        <f t="shared" si="7"/>
        <v/>
      </c>
      <c r="Y155" s="48">
        <v>150.0</v>
      </c>
      <c r="Z155" s="48">
        <f t="shared" si="8"/>
        <v>0</v>
      </c>
      <c r="AA155" s="48">
        <f t="shared" si="9"/>
        <v>0</v>
      </c>
      <c r="AB155" s="48">
        <v>150.0</v>
      </c>
      <c r="AC155" s="48">
        <f t="shared" si="10"/>
        <v>0</v>
      </c>
      <c r="AD155" s="48" t="str">
        <f t="shared" si="11"/>
        <v/>
      </c>
      <c r="AE155" s="72">
        <v>150.0</v>
      </c>
      <c r="AF155" s="83" t="str">
        <f t="shared" si="12"/>
        <v/>
      </c>
      <c r="AG155" s="72">
        <v>150.0</v>
      </c>
      <c r="AH155" s="48" t="str">
        <f t="shared" si="13"/>
        <v/>
      </c>
      <c r="AI155" s="84" t="str">
        <f t="shared" si="14"/>
        <v/>
      </c>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52"/>
      <c r="BH155" s="48"/>
      <c r="BI155" s="48"/>
      <c r="BJ155" s="48"/>
      <c r="BK155" s="48"/>
      <c r="BL155" s="48"/>
      <c r="BM155" s="48"/>
      <c r="BN155" s="48"/>
      <c r="BO155" s="48"/>
      <c r="BP155" s="48"/>
      <c r="BQ155" s="48"/>
    </row>
    <row r="156" ht="23.25" customHeight="1">
      <c r="A156" s="47">
        <v>151.0</v>
      </c>
      <c r="B156" s="88"/>
      <c r="C156" s="82" t="str">
        <f>IF(B156="","",VLOOKUP(B156,'Mitglieder BBU'!A:N,6,0))</f>
        <v/>
      </c>
      <c r="D156" s="82" t="str">
        <f>IF(#REF!="","",VLOOKUP(#REF!,'Mitglieder BBU'!A:N,6,0))</f>
        <v>#REF!</v>
      </c>
      <c r="E156" s="82" t="str">
        <f>IF(#REF!="","",VLOOKUP(#REF!,'Mitglieder BBU'!A:N,6,0))</f>
        <v>#REF!</v>
      </c>
      <c r="F156" s="82"/>
      <c r="G156" s="75" t="str">
        <f>IFNA(VLOOKUP(B156,Datensammler!$B:$AA,24,0),"")</f>
        <v/>
      </c>
      <c r="H156" s="47"/>
      <c r="I156" s="47"/>
      <c r="J156" s="47"/>
      <c r="K156" s="76">
        <f t="shared" si="3"/>
        <v>0</v>
      </c>
      <c r="L156" s="75">
        <f>IFERROR('HI-LOW Berechnung'!AS155,0)</f>
        <v>0</v>
      </c>
      <c r="M156" s="47">
        <f>IFERROR('HI-LOW Berechnung'!AY155,0)</f>
        <v>0</v>
      </c>
      <c r="N156" s="76">
        <f>IFERROR('HI-LOW Berechnung'!BB155,0)</f>
        <v>0</v>
      </c>
      <c r="O156" s="75" t="str">
        <f>IFNA(VLOOKUP(B156,Datensammler!$B:$AA,25,0),"")</f>
        <v/>
      </c>
      <c r="P156" s="47"/>
      <c r="Q156" s="47"/>
      <c r="R156" s="47"/>
      <c r="S156" s="77">
        <f t="shared" si="4"/>
        <v>0</v>
      </c>
      <c r="T156" s="78" t="str">
        <f t="shared" ref="T156:U156" si="311">IF(G156=0,"",G156/O156)</f>
        <v>#DIV/0!</v>
      </c>
      <c r="U156" s="51" t="str">
        <f t="shared" si="311"/>
        <v/>
      </c>
      <c r="V156" s="51" t="str">
        <f t="shared" ref="V156:W156" si="312">IF(I156="","",I156/Q156)</f>
        <v/>
      </c>
      <c r="W156" s="51" t="str">
        <f t="shared" si="312"/>
        <v/>
      </c>
      <c r="X156" s="79" t="str">
        <f t="shared" si="7"/>
        <v/>
      </c>
      <c r="Y156" s="48">
        <v>151.0</v>
      </c>
      <c r="Z156" s="48">
        <f t="shared" si="8"/>
        <v>0</v>
      </c>
      <c r="AA156" s="48">
        <f t="shared" si="9"/>
        <v>0</v>
      </c>
      <c r="AB156" s="48">
        <v>151.0</v>
      </c>
      <c r="AC156" s="48">
        <f t="shared" si="10"/>
        <v>0</v>
      </c>
      <c r="AD156" s="48" t="str">
        <f t="shared" si="11"/>
        <v/>
      </c>
      <c r="AE156" s="72">
        <v>151.0</v>
      </c>
      <c r="AF156" s="83" t="str">
        <f t="shared" si="12"/>
        <v/>
      </c>
      <c r="AG156" s="72">
        <v>151.0</v>
      </c>
      <c r="AH156" s="48" t="str">
        <f t="shared" si="13"/>
        <v/>
      </c>
      <c r="AI156" s="84" t="str">
        <f t="shared" si="14"/>
        <v/>
      </c>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52"/>
      <c r="BH156" s="48"/>
      <c r="BI156" s="48"/>
      <c r="BJ156" s="48"/>
      <c r="BK156" s="48"/>
      <c r="BL156" s="48"/>
      <c r="BM156" s="48"/>
      <c r="BN156" s="48"/>
      <c r="BO156" s="48"/>
      <c r="BP156" s="48"/>
      <c r="BQ156" s="48"/>
    </row>
    <row r="157" ht="23.25" customHeight="1">
      <c r="A157" s="47">
        <v>152.0</v>
      </c>
      <c r="B157" s="88"/>
      <c r="C157" s="82" t="str">
        <f>IF(B157="","",VLOOKUP(B157,'Mitglieder BBU'!A:N,6,0))</f>
        <v/>
      </c>
      <c r="D157" s="82" t="str">
        <f>IF(#REF!="","",VLOOKUP(#REF!,'Mitglieder BBU'!A:N,6,0))</f>
        <v>#REF!</v>
      </c>
      <c r="E157" s="82" t="str">
        <f>IF(#REF!="","",VLOOKUP(#REF!,'Mitglieder BBU'!A:N,6,0))</f>
        <v>#REF!</v>
      </c>
      <c r="F157" s="82"/>
      <c r="G157" s="75" t="str">
        <f>IFNA(VLOOKUP(B157,Datensammler!$B:$AA,24,0),"")</f>
        <v/>
      </c>
      <c r="H157" s="47"/>
      <c r="I157" s="47"/>
      <c r="J157" s="47"/>
      <c r="K157" s="76">
        <f t="shared" si="3"/>
        <v>0</v>
      </c>
      <c r="L157" s="75">
        <f>IFERROR('HI-LOW Berechnung'!AS156,0)</f>
        <v>0</v>
      </c>
      <c r="M157" s="47">
        <f>IFERROR('HI-LOW Berechnung'!AY156,0)</f>
        <v>0</v>
      </c>
      <c r="N157" s="76">
        <f>IFERROR('HI-LOW Berechnung'!BB156,0)</f>
        <v>0</v>
      </c>
      <c r="O157" s="75" t="str">
        <f>IFNA(VLOOKUP(B157,Datensammler!$B:$AA,25,0),"")</f>
        <v/>
      </c>
      <c r="P157" s="47"/>
      <c r="Q157" s="47"/>
      <c r="R157" s="47"/>
      <c r="S157" s="77">
        <f t="shared" si="4"/>
        <v>0</v>
      </c>
      <c r="T157" s="78" t="str">
        <f t="shared" ref="T157:U157" si="313">IF(G157=0,"",G157/O157)</f>
        <v>#DIV/0!</v>
      </c>
      <c r="U157" s="51" t="str">
        <f t="shared" si="313"/>
        <v/>
      </c>
      <c r="V157" s="51" t="str">
        <f t="shared" ref="V157:W157" si="314">IF(I157="","",I157/Q157)</f>
        <v/>
      </c>
      <c r="W157" s="51" t="str">
        <f t="shared" si="314"/>
        <v/>
      </c>
      <c r="X157" s="79" t="str">
        <f t="shared" si="7"/>
        <v/>
      </c>
      <c r="Y157" s="48">
        <v>152.0</v>
      </c>
      <c r="Z157" s="48">
        <f t="shared" si="8"/>
        <v>0</v>
      </c>
      <c r="AA157" s="48">
        <f t="shared" si="9"/>
        <v>0</v>
      </c>
      <c r="AB157" s="48">
        <v>152.0</v>
      </c>
      <c r="AC157" s="48">
        <f t="shared" si="10"/>
        <v>0</v>
      </c>
      <c r="AD157" s="48" t="str">
        <f t="shared" si="11"/>
        <v/>
      </c>
      <c r="AE157" s="72">
        <v>152.0</v>
      </c>
      <c r="AF157" s="83" t="str">
        <f t="shared" si="12"/>
        <v/>
      </c>
      <c r="AG157" s="72">
        <v>152.0</v>
      </c>
      <c r="AH157" s="48" t="str">
        <f t="shared" si="13"/>
        <v/>
      </c>
      <c r="AI157" s="84" t="str">
        <f t="shared" si="14"/>
        <v/>
      </c>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52"/>
      <c r="BH157" s="48"/>
      <c r="BI157" s="48"/>
      <c r="BJ157" s="48"/>
      <c r="BK157" s="48"/>
      <c r="BL157" s="48"/>
      <c r="BM157" s="48"/>
      <c r="BN157" s="48"/>
      <c r="BO157" s="48"/>
      <c r="BP157" s="48"/>
      <c r="BQ157" s="48"/>
    </row>
    <row r="158" ht="23.25" customHeight="1">
      <c r="A158" s="47">
        <v>153.0</v>
      </c>
      <c r="B158" s="88"/>
      <c r="C158" s="82" t="str">
        <f>IF(B158="","",VLOOKUP(B158,'Mitglieder BBU'!A:N,6,0))</f>
        <v/>
      </c>
      <c r="D158" s="82" t="str">
        <f>IF(#REF!="","",VLOOKUP(#REF!,'Mitglieder BBU'!A:N,6,0))</f>
        <v>#REF!</v>
      </c>
      <c r="E158" s="82" t="str">
        <f>IF(#REF!="","",VLOOKUP(#REF!,'Mitglieder BBU'!A:N,6,0))</f>
        <v>#REF!</v>
      </c>
      <c r="F158" s="82"/>
      <c r="G158" s="75" t="str">
        <f>IFNA(VLOOKUP(B158,Datensammler!$B:$AA,24,0),"")</f>
        <v/>
      </c>
      <c r="H158" s="47"/>
      <c r="I158" s="47"/>
      <c r="J158" s="47"/>
      <c r="K158" s="76">
        <f t="shared" si="3"/>
        <v>0</v>
      </c>
      <c r="L158" s="75">
        <f>IFERROR('HI-LOW Berechnung'!AS157,0)</f>
        <v>0</v>
      </c>
      <c r="M158" s="47">
        <f>IFERROR('HI-LOW Berechnung'!AY157,0)</f>
        <v>0</v>
      </c>
      <c r="N158" s="76">
        <f>IFERROR('HI-LOW Berechnung'!BB157,0)</f>
        <v>0</v>
      </c>
      <c r="O158" s="75" t="str">
        <f>IFNA(VLOOKUP(B158,Datensammler!$B:$AA,25,0),"")</f>
        <v/>
      </c>
      <c r="P158" s="47"/>
      <c r="Q158" s="47"/>
      <c r="R158" s="47"/>
      <c r="S158" s="77">
        <f t="shared" si="4"/>
        <v>0</v>
      </c>
      <c r="T158" s="78" t="str">
        <f t="shared" ref="T158:U158" si="315">IF(G158=0,"",G158/O158)</f>
        <v>#DIV/0!</v>
      </c>
      <c r="U158" s="51" t="str">
        <f t="shared" si="315"/>
        <v/>
      </c>
      <c r="V158" s="51" t="str">
        <f t="shared" ref="V158:W158" si="316">IF(I158="","",I158/Q158)</f>
        <v/>
      </c>
      <c r="W158" s="51" t="str">
        <f t="shared" si="316"/>
        <v/>
      </c>
      <c r="X158" s="79" t="str">
        <f t="shared" si="7"/>
        <v/>
      </c>
      <c r="Y158" s="48">
        <v>153.0</v>
      </c>
      <c r="Z158" s="48">
        <f t="shared" si="8"/>
        <v>0</v>
      </c>
      <c r="AA158" s="48">
        <f t="shared" si="9"/>
        <v>0</v>
      </c>
      <c r="AB158" s="48">
        <v>153.0</v>
      </c>
      <c r="AC158" s="48">
        <f t="shared" si="10"/>
        <v>0</v>
      </c>
      <c r="AD158" s="48" t="str">
        <f t="shared" si="11"/>
        <v/>
      </c>
      <c r="AE158" s="72">
        <v>153.0</v>
      </c>
      <c r="AF158" s="83" t="str">
        <f t="shared" si="12"/>
        <v/>
      </c>
      <c r="AG158" s="72">
        <v>153.0</v>
      </c>
      <c r="AH158" s="48" t="str">
        <f t="shared" si="13"/>
        <v/>
      </c>
      <c r="AI158" s="84" t="str">
        <f t="shared" si="14"/>
        <v/>
      </c>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52"/>
      <c r="BH158" s="48"/>
      <c r="BI158" s="48"/>
      <c r="BJ158" s="48"/>
      <c r="BK158" s="48"/>
      <c r="BL158" s="48"/>
      <c r="BM158" s="48"/>
      <c r="BN158" s="48"/>
      <c r="BO158" s="48"/>
      <c r="BP158" s="48"/>
      <c r="BQ158" s="48"/>
    </row>
    <row r="159" ht="23.25" customHeight="1">
      <c r="A159" s="47">
        <v>154.0</v>
      </c>
      <c r="B159" s="88"/>
      <c r="C159" s="82" t="str">
        <f>IF(B159="","",VLOOKUP(B159,'Mitglieder BBU'!A:N,6,0))</f>
        <v/>
      </c>
      <c r="D159" s="82" t="str">
        <f>IF(#REF!="","",VLOOKUP(#REF!,'Mitglieder BBU'!A:N,6,0))</f>
        <v>#REF!</v>
      </c>
      <c r="E159" s="82" t="str">
        <f>IF(#REF!="","",VLOOKUP(#REF!,'Mitglieder BBU'!A:N,6,0))</f>
        <v>#REF!</v>
      </c>
      <c r="F159" s="82"/>
      <c r="G159" s="75" t="str">
        <f>IFNA(VLOOKUP(B159,Datensammler!$B:$AA,24,0),"")</f>
        <v/>
      </c>
      <c r="H159" s="47"/>
      <c r="I159" s="47"/>
      <c r="J159" s="47"/>
      <c r="K159" s="76">
        <f t="shared" si="3"/>
        <v>0</v>
      </c>
      <c r="L159" s="75">
        <f>IFERROR('HI-LOW Berechnung'!AS158,0)</f>
        <v>0</v>
      </c>
      <c r="M159" s="47">
        <f>IFERROR('HI-LOW Berechnung'!AY158,0)</f>
        <v>0</v>
      </c>
      <c r="N159" s="76">
        <f>IFERROR('HI-LOW Berechnung'!BB158,0)</f>
        <v>0</v>
      </c>
      <c r="O159" s="75" t="str">
        <f>IFNA(VLOOKUP(B159,Datensammler!$B:$AA,25,0),"")</f>
        <v/>
      </c>
      <c r="P159" s="47"/>
      <c r="Q159" s="47"/>
      <c r="R159" s="47"/>
      <c r="S159" s="77">
        <f t="shared" si="4"/>
        <v>0</v>
      </c>
      <c r="T159" s="78" t="str">
        <f t="shared" ref="T159:U159" si="317">IF(G159=0,"",G159/O159)</f>
        <v>#DIV/0!</v>
      </c>
      <c r="U159" s="51" t="str">
        <f t="shared" si="317"/>
        <v/>
      </c>
      <c r="V159" s="51" t="str">
        <f t="shared" ref="V159:W159" si="318">IF(I159="","",I159/Q159)</f>
        <v/>
      </c>
      <c r="W159" s="51" t="str">
        <f t="shared" si="318"/>
        <v/>
      </c>
      <c r="X159" s="79" t="str">
        <f t="shared" si="7"/>
        <v/>
      </c>
      <c r="Y159" s="48">
        <v>154.0</v>
      </c>
      <c r="Z159" s="48">
        <f t="shared" si="8"/>
        <v>0</v>
      </c>
      <c r="AA159" s="48">
        <f t="shared" si="9"/>
        <v>0</v>
      </c>
      <c r="AB159" s="48">
        <v>154.0</v>
      </c>
      <c r="AC159" s="48">
        <f t="shared" si="10"/>
        <v>0</v>
      </c>
      <c r="AD159" s="48" t="str">
        <f t="shared" si="11"/>
        <v/>
      </c>
      <c r="AE159" s="72">
        <v>154.0</v>
      </c>
      <c r="AF159" s="83" t="str">
        <f t="shared" si="12"/>
        <v/>
      </c>
      <c r="AG159" s="72">
        <v>154.0</v>
      </c>
      <c r="AH159" s="48" t="str">
        <f t="shared" si="13"/>
        <v/>
      </c>
      <c r="AI159" s="84" t="str">
        <f t="shared" si="14"/>
        <v/>
      </c>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52"/>
      <c r="BH159" s="48"/>
      <c r="BI159" s="48"/>
      <c r="BJ159" s="48"/>
      <c r="BK159" s="48"/>
      <c r="BL159" s="48"/>
      <c r="BM159" s="48"/>
      <c r="BN159" s="48"/>
      <c r="BO159" s="48"/>
      <c r="BP159" s="48"/>
      <c r="BQ159" s="48"/>
    </row>
    <row r="160" ht="23.25" customHeight="1">
      <c r="A160" s="47">
        <v>155.0</v>
      </c>
      <c r="B160" s="88"/>
      <c r="C160" s="82" t="str">
        <f>IF(B160="","",VLOOKUP(B160,'Mitglieder BBU'!A:N,6,0))</f>
        <v/>
      </c>
      <c r="D160" s="82" t="str">
        <f>IF(#REF!="","",VLOOKUP(#REF!,'Mitglieder BBU'!A:N,6,0))</f>
        <v>#REF!</v>
      </c>
      <c r="E160" s="82" t="str">
        <f>IF(#REF!="","",VLOOKUP(#REF!,'Mitglieder BBU'!A:N,6,0))</f>
        <v>#REF!</v>
      </c>
      <c r="F160" s="82"/>
      <c r="G160" s="75" t="str">
        <f>IFNA(VLOOKUP(B160,Datensammler!$B:$AA,24,0),"")</f>
        <v/>
      </c>
      <c r="H160" s="47"/>
      <c r="I160" s="47"/>
      <c r="J160" s="47"/>
      <c r="K160" s="76">
        <f t="shared" si="3"/>
        <v>0</v>
      </c>
      <c r="L160" s="75">
        <f>IFERROR('HI-LOW Berechnung'!AS159,0)</f>
        <v>0</v>
      </c>
      <c r="M160" s="47">
        <f>IFERROR('HI-LOW Berechnung'!AY159,0)</f>
        <v>0</v>
      </c>
      <c r="N160" s="76">
        <f>IFERROR('HI-LOW Berechnung'!BB159,0)</f>
        <v>0</v>
      </c>
      <c r="O160" s="75" t="str">
        <f>IFNA(VLOOKUP(B160,Datensammler!$B:$AA,25,0),"")</f>
        <v/>
      </c>
      <c r="P160" s="47"/>
      <c r="Q160" s="47"/>
      <c r="R160" s="47"/>
      <c r="S160" s="77">
        <f t="shared" si="4"/>
        <v>0</v>
      </c>
      <c r="T160" s="78" t="str">
        <f t="shared" ref="T160:U160" si="319">IF(G160=0,"",G160/O160)</f>
        <v>#DIV/0!</v>
      </c>
      <c r="U160" s="51" t="str">
        <f t="shared" si="319"/>
        <v/>
      </c>
      <c r="V160" s="51" t="str">
        <f t="shared" ref="V160:W160" si="320">IF(I160="","",I160/Q160)</f>
        <v/>
      </c>
      <c r="W160" s="51" t="str">
        <f t="shared" si="320"/>
        <v/>
      </c>
      <c r="X160" s="79" t="str">
        <f t="shared" si="7"/>
        <v/>
      </c>
      <c r="Y160" s="48">
        <v>155.0</v>
      </c>
      <c r="Z160" s="48">
        <f t="shared" si="8"/>
        <v>0</v>
      </c>
      <c r="AA160" s="48">
        <f t="shared" si="9"/>
        <v>0</v>
      </c>
      <c r="AB160" s="48">
        <v>155.0</v>
      </c>
      <c r="AC160" s="48">
        <f t="shared" si="10"/>
        <v>0</v>
      </c>
      <c r="AD160" s="48" t="str">
        <f t="shared" si="11"/>
        <v/>
      </c>
      <c r="AE160" s="72">
        <v>155.0</v>
      </c>
      <c r="AF160" s="83" t="str">
        <f t="shared" si="12"/>
        <v/>
      </c>
      <c r="AG160" s="72">
        <v>155.0</v>
      </c>
      <c r="AH160" s="48" t="str">
        <f t="shared" si="13"/>
        <v/>
      </c>
      <c r="AI160" s="84" t="str">
        <f t="shared" si="14"/>
        <v/>
      </c>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52"/>
      <c r="BH160" s="48"/>
      <c r="BI160" s="48"/>
      <c r="BJ160" s="48"/>
      <c r="BK160" s="48"/>
      <c r="BL160" s="48"/>
      <c r="BM160" s="48"/>
      <c r="BN160" s="48"/>
      <c r="BO160" s="48"/>
      <c r="BP160" s="48"/>
      <c r="BQ160" s="48"/>
    </row>
    <row r="161" ht="23.25" customHeight="1">
      <c r="A161" s="47">
        <v>156.0</v>
      </c>
      <c r="B161" s="88"/>
      <c r="C161" s="82" t="str">
        <f>IF(B161="","",VLOOKUP(B161,'Mitglieder BBU'!A:N,6,0))</f>
        <v/>
      </c>
      <c r="D161" s="82" t="str">
        <f>IF(#REF!="","",VLOOKUP(#REF!,'Mitglieder BBU'!A:N,6,0))</f>
        <v>#REF!</v>
      </c>
      <c r="E161" s="82" t="str">
        <f>IF(#REF!="","",VLOOKUP(#REF!,'Mitglieder BBU'!A:N,6,0))</f>
        <v>#REF!</v>
      </c>
      <c r="F161" s="82"/>
      <c r="G161" s="75" t="str">
        <f>IFNA(VLOOKUP(B161,Datensammler!$B:$AA,24,0),"")</f>
        <v/>
      </c>
      <c r="H161" s="47"/>
      <c r="I161" s="47"/>
      <c r="J161" s="47"/>
      <c r="K161" s="76">
        <f t="shared" si="3"/>
        <v>0</v>
      </c>
      <c r="L161" s="75">
        <f>IFERROR('HI-LOW Berechnung'!AS160,0)</f>
        <v>0</v>
      </c>
      <c r="M161" s="47">
        <f>IFERROR('HI-LOW Berechnung'!AY160,0)</f>
        <v>0</v>
      </c>
      <c r="N161" s="76">
        <f>IFERROR('HI-LOW Berechnung'!BB160,0)</f>
        <v>0</v>
      </c>
      <c r="O161" s="75" t="str">
        <f>IFNA(VLOOKUP(B161,Datensammler!$B:$AA,25,0),"")</f>
        <v/>
      </c>
      <c r="P161" s="47"/>
      <c r="Q161" s="47"/>
      <c r="R161" s="47"/>
      <c r="S161" s="77">
        <f t="shared" si="4"/>
        <v>0</v>
      </c>
      <c r="T161" s="78" t="str">
        <f t="shared" ref="T161:U161" si="321">IF(G161=0,"",G161/O161)</f>
        <v>#DIV/0!</v>
      </c>
      <c r="U161" s="51" t="str">
        <f t="shared" si="321"/>
        <v/>
      </c>
      <c r="V161" s="51" t="str">
        <f t="shared" ref="V161:W161" si="322">IF(I161="","",I161/Q161)</f>
        <v/>
      </c>
      <c r="W161" s="51" t="str">
        <f t="shared" si="322"/>
        <v/>
      </c>
      <c r="X161" s="79" t="str">
        <f t="shared" si="7"/>
        <v/>
      </c>
      <c r="Y161" s="48">
        <v>156.0</v>
      </c>
      <c r="Z161" s="48">
        <f t="shared" si="8"/>
        <v>0</v>
      </c>
      <c r="AA161" s="48">
        <f t="shared" si="9"/>
        <v>0</v>
      </c>
      <c r="AB161" s="48">
        <v>156.0</v>
      </c>
      <c r="AC161" s="48">
        <f t="shared" si="10"/>
        <v>0</v>
      </c>
      <c r="AD161" s="48" t="str">
        <f t="shared" si="11"/>
        <v/>
      </c>
      <c r="AE161" s="72">
        <v>156.0</v>
      </c>
      <c r="AF161" s="83" t="str">
        <f t="shared" si="12"/>
        <v/>
      </c>
      <c r="AG161" s="72">
        <v>156.0</v>
      </c>
      <c r="AH161" s="48" t="str">
        <f t="shared" si="13"/>
        <v/>
      </c>
      <c r="AI161" s="84" t="str">
        <f t="shared" si="14"/>
        <v/>
      </c>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52"/>
      <c r="BH161" s="48"/>
      <c r="BI161" s="48"/>
      <c r="BJ161" s="48"/>
      <c r="BK161" s="48"/>
      <c r="BL161" s="48"/>
      <c r="BM161" s="48"/>
      <c r="BN161" s="48"/>
      <c r="BO161" s="48"/>
      <c r="BP161" s="48"/>
      <c r="BQ161" s="48"/>
    </row>
    <row r="162" ht="23.25" customHeight="1">
      <c r="A162" s="47">
        <v>157.0</v>
      </c>
      <c r="B162" s="88"/>
      <c r="C162" s="82" t="str">
        <f>IF(B162="","",VLOOKUP(B162,'Mitglieder BBU'!A:N,6,0))</f>
        <v/>
      </c>
      <c r="D162" s="82" t="str">
        <f>IF(#REF!="","",VLOOKUP(#REF!,'Mitglieder BBU'!A:N,6,0))</f>
        <v>#REF!</v>
      </c>
      <c r="E162" s="82" t="str">
        <f>IF(#REF!="","",VLOOKUP(#REF!,'Mitglieder BBU'!A:N,6,0))</f>
        <v>#REF!</v>
      </c>
      <c r="F162" s="82"/>
      <c r="G162" s="75" t="str">
        <f>IFNA(VLOOKUP(B162,Datensammler!$B:$AA,24,0),"")</f>
        <v/>
      </c>
      <c r="H162" s="47"/>
      <c r="I162" s="47"/>
      <c r="J162" s="47"/>
      <c r="K162" s="76">
        <f t="shared" si="3"/>
        <v>0</v>
      </c>
      <c r="L162" s="75">
        <f>IFERROR('HI-LOW Berechnung'!AS161,0)</f>
        <v>0</v>
      </c>
      <c r="M162" s="47">
        <f>IFERROR('HI-LOW Berechnung'!AY161,0)</f>
        <v>0</v>
      </c>
      <c r="N162" s="76">
        <f>IFERROR('HI-LOW Berechnung'!BB161,0)</f>
        <v>0</v>
      </c>
      <c r="O162" s="75" t="str">
        <f>IFNA(VLOOKUP(B162,Datensammler!$B:$AA,25,0),"")</f>
        <v/>
      </c>
      <c r="P162" s="47"/>
      <c r="Q162" s="47"/>
      <c r="R162" s="47"/>
      <c r="S162" s="77">
        <f t="shared" si="4"/>
        <v>0</v>
      </c>
      <c r="T162" s="78" t="str">
        <f t="shared" ref="T162:U162" si="323">IF(G162=0,"",G162/O162)</f>
        <v>#DIV/0!</v>
      </c>
      <c r="U162" s="51" t="str">
        <f t="shared" si="323"/>
        <v/>
      </c>
      <c r="V162" s="51" t="str">
        <f t="shared" ref="V162:W162" si="324">IF(I162="","",I162/Q162)</f>
        <v/>
      </c>
      <c r="W162" s="51" t="str">
        <f t="shared" si="324"/>
        <v/>
      </c>
      <c r="X162" s="79" t="str">
        <f t="shared" si="7"/>
        <v/>
      </c>
      <c r="Y162" s="48">
        <v>157.0</v>
      </c>
      <c r="Z162" s="48">
        <f t="shared" si="8"/>
        <v>0</v>
      </c>
      <c r="AA162" s="48">
        <f t="shared" si="9"/>
        <v>0</v>
      </c>
      <c r="AB162" s="48">
        <v>157.0</v>
      </c>
      <c r="AC162" s="48">
        <f t="shared" si="10"/>
        <v>0</v>
      </c>
      <c r="AD162" s="48" t="str">
        <f t="shared" si="11"/>
        <v/>
      </c>
      <c r="AE162" s="72">
        <v>157.0</v>
      </c>
      <c r="AF162" s="83" t="str">
        <f t="shared" si="12"/>
        <v/>
      </c>
      <c r="AG162" s="72">
        <v>157.0</v>
      </c>
      <c r="AH162" s="48" t="str">
        <f t="shared" si="13"/>
        <v/>
      </c>
      <c r="AI162" s="84" t="str">
        <f t="shared" si="14"/>
        <v/>
      </c>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52"/>
      <c r="BH162" s="48"/>
      <c r="BI162" s="48"/>
      <c r="BJ162" s="48"/>
      <c r="BK162" s="48"/>
      <c r="BL162" s="48"/>
      <c r="BM162" s="48"/>
      <c r="BN162" s="48"/>
      <c r="BO162" s="48"/>
      <c r="BP162" s="48"/>
      <c r="BQ162" s="48"/>
    </row>
    <row r="163" ht="23.25" customHeight="1">
      <c r="A163" s="47">
        <v>158.0</v>
      </c>
      <c r="B163" s="88"/>
      <c r="C163" s="82" t="str">
        <f>IF(B163="","",VLOOKUP(B163,'Mitglieder BBU'!A:N,6,0))</f>
        <v/>
      </c>
      <c r="D163" s="82" t="str">
        <f>IF(#REF!="","",VLOOKUP(#REF!,'Mitglieder BBU'!A:N,6,0))</f>
        <v>#REF!</v>
      </c>
      <c r="E163" s="82" t="str">
        <f>IF(#REF!="","",VLOOKUP(#REF!,'Mitglieder BBU'!A:N,6,0))</f>
        <v>#REF!</v>
      </c>
      <c r="F163" s="82"/>
      <c r="G163" s="75" t="str">
        <f>IFNA(VLOOKUP(B163,Datensammler!$B:$AA,24,0),"")</f>
        <v/>
      </c>
      <c r="H163" s="47"/>
      <c r="I163" s="47"/>
      <c r="J163" s="47"/>
      <c r="K163" s="76">
        <f t="shared" si="3"/>
        <v>0</v>
      </c>
      <c r="L163" s="75">
        <f>IFERROR('HI-LOW Berechnung'!AS162,0)</f>
        <v>0</v>
      </c>
      <c r="M163" s="47">
        <f>IFERROR('HI-LOW Berechnung'!AY162,0)</f>
        <v>0</v>
      </c>
      <c r="N163" s="76">
        <f>IFERROR('HI-LOW Berechnung'!BB162,0)</f>
        <v>0</v>
      </c>
      <c r="O163" s="75" t="str">
        <f>IFNA(VLOOKUP(B163,Datensammler!$B:$AA,25,0),"")</f>
        <v/>
      </c>
      <c r="P163" s="47"/>
      <c r="Q163" s="47"/>
      <c r="R163" s="47"/>
      <c r="S163" s="77">
        <f t="shared" si="4"/>
        <v>0</v>
      </c>
      <c r="T163" s="78" t="str">
        <f t="shared" ref="T163:U163" si="325">IF(G163=0,"",G163/O163)</f>
        <v>#DIV/0!</v>
      </c>
      <c r="U163" s="51" t="str">
        <f t="shared" si="325"/>
        <v/>
      </c>
      <c r="V163" s="51" t="str">
        <f t="shared" ref="V163:W163" si="326">IF(I163="","",I163/Q163)</f>
        <v/>
      </c>
      <c r="W163" s="51" t="str">
        <f t="shared" si="326"/>
        <v/>
      </c>
      <c r="X163" s="79" t="str">
        <f t="shared" si="7"/>
        <v/>
      </c>
      <c r="Y163" s="48">
        <v>158.0</v>
      </c>
      <c r="Z163" s="48">
        <f t="shared" si="8"/>
        <v>0</v>
      </c>
      <c r="AA163" s="48">
        <f t="shared" si="9"/>
        <v>0</v>
      </c>
      <c r="AB163" s="48">
        <v>158.0</v>
      </c>
      <c r="AC163" s="48">
        <f t="shared" si="10"/>
        <v>0</v>
      </c>
      <c r="AD163" s="48" t="str">
        <f t="shared" si="11"/>
        <v/>
      </c>
      <c r="AE163" s="72">
        <v>158.0</v>
      </c>
      <c r="AF163" s="83" t="str">
        <f t="shared" si="12"/>
        <v/>
      </c>
      <c r="AG163" s="72">
        <v>158.0</v>
      </c>
      <c r="AH163" s="48" t="str">
        <f t="shared" si="13"/>
        <v/>
      </c>
      <c r="AI163" s="84" t="str">
        <f t="shared" si="14"/>
        <v/>
      </c>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52"/>
      <c r="BH163" s="48"/>
      <c r="BI163" s="48"/>
      <c r="BJ163" s="48"/>
      <c r="BK163" s="48"/>
      <c r="BL163" s="48"/>
      <c r="BM163" s="48"/>
      <c r="BN163" s="48"/>
      <c r="BO163" s="48"/>
      <c r="BP163" s="48"/>
      <c r="BQ163" s="48"/>
    </row>
    <row r="164" ht="23.25" customHeight="1">
      <c r="A164" s="47">
        <v>159.0</v>
      </c>
      <c r="B164" s="88"/>
      <c r="C164" s="82" t="str">
        <f>IF(B164="","",VLOOKUP(B164,'Mitglieder BBU'!A:N,6,0))</f>
        <v/>
      </c>
      <c r="D164" s="82" t="str">
        <f>IF(#REF!="","",VLOOKUP(#REF!,'Mitglieder BBU'!A:N,6,0))</f>
        <v>#REF!</v>
      </c>
      <c r="E164" s="82" t="str">
        <f>IF(#REF!="","",VLOOKUP(#REF!,'Mitglieder BBU'!A:N,6,0))</f>
        <v>#REF!</v>
      </c>
      <c r="F164" s="82"/>
      <c r="G164" s="75" t="str">
        <f>IFNA(VLOOKUP(B164,Datensammler!$B:$AA,24,0),"")</f>
        <v/>
      </c>
      <c r="H164" s="47"/>
      <c r="I164" s="47"/>
      <c r="J164" s="47"/>
      <c r="K164" s="76">
        <f t="shared" si="3"/>
        <v>0</v>
      </c>
      <c r="L164" s="75">
        <f>IFERROR('HI-LOW Berechnung'!AS163,0)</f>
        <v>0</v>
      </c>
      <c r="M164" s="47">
        <f>IFERROR('HI-LOW Berechnung'!AY163,0)</f>
        <v>0</v>
      </c>
      <c r="N164" s="76">
        <f>IFERROR('HI-LOW Berechnung'!BB163,0)</f>
        <v>0</v>
      </c>
      <c r="O164" s="75" t="str">
        <f>IFNA(VLOOKUP(B164,Datensammler!$B:$AA,25,0),"")</f>
        <v/>
      </c>
      <c r="P164" s="47"/>
      <c r="Q164" s="47"/>
      <c r="R164" s="47"/>
      <c r="S164" s="77">
        <f t="shared" si="4"/>
        <v>0</v>
      </c>
      <c r="T164" s="78" t="str">
        <f t="shared" ref="T164:U164" si="327">IF(G164=0,"",G164/O164)</f>
        <v>#DIV/0!</v>
      </c>
      <c r="U164" s="51" t="str">
        <f t="shared" si="327"/>
        <v/>
      </c>
      <c r="V164" s="51" t="str">
        <f t="shared" ref="V164:W164" si="328">IF(I164="","",I164/Q164)</f>
        <v/>
      </c>
      <c r="W164" s="51" t="str">
        <f t="shared" si="328"/>
        <v/>
      </c>
      <c r="X164" s="79" t="str">
        <f t="shared" si="7"/>
        <v/>
      </c>
      <c r="Y164" s="48">
        <v>159.0</v>
      </c>
      <c r="Z164" s="48">
        <f t="shared" si="8"/>
        <v>0</v>
      </c>
      <c r="AA164" s="48">
        <f t="shared" si="9"/>
        <v>0</v>
      </c>
      <c r="AB164" s="48">
        <v>159.0</v>
      </c>
      <c r="AC164" s="48">
        <f t="shared" si="10"/>
        <v>0</v>
      </c>
      <c r="AD164" s="48" t="str">
        <f t="shared" si="11"/>
        <v/>
      </c>
      <c r="AE164" s="72">
        <v>159.0</v>
      </c>
      <c r="AF164" s="83" t="str">
        <f t="shared" si="12"/>
        <v/>
      </c>
      <c r="AG164" s="72">
        <v>159.0</v>
      </c>
      <c r="AH164" s="48" t="str">
        <f t="shared" si="13"/>
        <v/>
      </c>
      <c r="AI164" s="84" t="str">
        <f t="shared" si="14"/>
        <v/>
      </c>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52"/>
      <c r="BH164" s="48"/>
      <c r="BI164" s="48"/>
      <c r="BJ164" s="48"/>
      <c r="BK164" s="48"/>
      <c r="BL164" s="48"/>
      <c r="BM164" s="48"/>
      <c r="BN164" s="48"/>
      <c r="BO164" s="48"/>
      <c r="BP164" s="48"/>
      <c r="BQ164" s="48"/>
    </row>
    <row r="165" ht="23.25" customHeight="1">
      <c r="A165" s="47">
        <v>160.0</v>
      </c>
      <c r="B165" s="88"/>
      <c r="C165" s="82" t="str">
        <f>IF(B165="","",VLOOKUP(B165,'Mitglieder BBU'!A:N,6,0))</f>
        <v/>
      </c>
      <c r="D165" s="82" t="str">
        <f>IF(#REF!="","",VLOOKUP(#REF!,'Mitglieder BBU'!A:N,6,0))</f>
        <v>#REF!</v>
      </c>
      <c r="E165" s="82" t="str">
        <f>IF(#REF!="","",VLOOKUP(#REF!,'Mitglieder BBU'!A:N,6,0))</f>
        <v>#REF!</v>
      </c>
      <c r="F165" s="82"/>
      <c r="G165" s="75" t="str">
        <f>IFNA(VLOOKUP(B165,Datensammler!$B:$AA,24,0),"")</f>
        <v/>
      </c>
      <c r="H165" s="47"/>
      <c r="I165" s="47"/>
      <c r="J165" s="47"/>
      <c r="K165" s="76">
        <f t="shared" si="3"/>
        <v>0</v>
      </c>
      <c r="L165" s="75">
        <f>IFERROR('HI-LOW Berechnung'!AS164,0)</f>
        <v>0</v>
      </c>
      <c r="M165" s="47">
        <f>IFERROR('HI-LOW Berechnung'!AY164,0)</f>
        <v>0</v>
      </c>
      <c r="N165" s="76">
        <f>IFERROR('HI-LOW Berechnung'!BB164,0)</f>
        <v>0</v>
      </c>
      <c r="O165" s="75" t="str">
        <f>IFNA(VLOOKUP(B165,Datensammler!$B:$AA,25,0),"")</f>
        <v/>
      </c>
      <c r="P165" s="47"/>
      <c r="Q165" s="47"/>
      <c r="R165" s="47"/>
      <c r="S165" s="77">
        <f t="shared" si="4"/>
        <v>0</v>
      </c>
      <c r="T165" s="78" t="str">
        <f t="shared" ref="T165:U165" si="329">IF(G165=0,"",G165/O165)</f>
        <v>#DIV/0!</v>
      </c>
      <c r="U165" s="51" t="str">
        <f t="shared" si="329"/>
        <v/>
      </c>
      <c r="V165" s="51" t="str">
        <f t="shared" ref="V165:W165" si="330">IF(I165="","",I165/Q165)</f>
        <v/>
      </c>
      <c r="W165" s="51" t="str">
        <f t="shared" si="330"/>
        <v/>
      </c>
      <c r="X165" s="79" t="str">
        <f t="shared" si="7"/>
        <v/>
      </c>
      <c r="Y165" s="48">
        <v>160.0</v>
      </c>
      <c r="Z165" s="48">
        <f t="shared" si="8"/>
        <v>0</v>
      </c>
      <c r="AA165" s="48">
        <f t="shared" si="9"/>
        <v>0</v>
      </c>
      <c r="AB165" s="48">
        <v>160.0</v>
      </c>
      <c r="AC165" s="48">
        <f t="shared" si="10"/>
        <v>0</v>
      </c>
      <c r="AD165" s="48" t="str">
        <f t="shared" si="11"/>
        <v/>
      </c>
      <c r="AE165" s="72">
        <v>160.0</v>
      </c>
      <c r="AF165" s="83" t="str">
        <f t="shared" si="12"/>
        <v/>
      </c>
      <c r="AG165" s="72">
        <v>160.0</v>
      </c>
      <c r="AH165" s="48" t="str">
        <f t="shared" si="13"/>
        <v/>
      </c>
      <c r="AI165" s="84" t="str">
        <f t="shared" si="14"/>
        <v/>
      </c>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52"/>
      <c r="BH165" s="48"/>
      <c r="BI165" s="48"/>
      <c r="BJ165" s="48"/>
      <c r="BK165" s="48"/>
      <c r="BL165" s="48"/>
      <c r="BM165" s="48"/>
      <c r="BN165" s="48"/>
      <c r="BO165" s="48"/>
      <c r="BP165" s="48"/>
      <c r="BQ165" s="48"/>
    </row>
    <row r="166" ht="23.25" customHeight="1">
      <c r="A166" s="47">
        <v>161.0</v>
      </c>
      <c r="B166" s="89"/>
      <c r="C166" s="82" t="str">
        <f>IF(B166="","",VLOOKUP(B166,'Mitglieder BBU'!A:N,6,0))</f>
        <v/>
      </c>
      <c r="D166" s="82" t="str">
        <f>IF(#REF!="","",VLOOKUP(#REF!,'Mitglieder BBU'!A:N,6,0))</f>
        <v>#REF!</v>
      </c>
      <c r="E166" s="82" t="str">
        <f>IF(#REF!="","",VLOOKUP(#REF!,'Mitglieder BBU'!A:N,6,0))</f>
        <v>#REF!</v>
      </c>
      <c r="F166" s="82"/>
      <c r="G166" s="75" t="str">
        <f>IFNA(VLOOKUP(B166,Datensammler!$B:$AA,24,0),"")</f>
        <v/>
      </c>
      <c r="H166" s="47"/>
      <c r="I166" s="47"/>
      <c r="J166" s="47"/>
      <c r="K166" s="76">
        <f t="shared" si="3"/>
        <v>0</v>
      </c>
      <c r="L166" s="75">
        <f>IFERROR('HI-LOW Berechnung'!AS165,0)</f>
        <v>0</v>
      </c>
      <c r="M166" s="47">
        <f>IFERROR('HI-LOW Berechnung'!AY165,0)</f>
        <v>0</v>
      </c>
      <c r="N166" s="76">
        <f>IFERROR('HI-LOW Berechnung'!BB165,0)</f>
        <v>0</v>
      </c>
      <c r="O166" s="75" t="str">
        <f>IFNA(VLOOKUP(B166,Datensammler!$B:$AA,25,0),"")</f>
        <v/>
      </c>
      <c r="P166" s="47"/>
      <c r="Q166" s="47"/>
      <c r="R166" s="47"/>
      <c r="S166" s="77">
        <f t="shared" si="4"/>
        <v>0</v>
      </c>
      <c r="T166" s="78" t="str">
        <f t="shared" ref="T166:U166" si="331">IF(G166=0,"",G166/O166)</f>
        <v>#DIV/0!</v>
      </c>
      <c r="U166" s="51" t="str">
        <f t="shared" si="331"/>
        <v/>
      </c>
      <c r="V166" s="51" t="str">
        <f t="shared" ref="V166:W166" si="332">IF(I166="","",I166/Q166)</f>
        <v/>
      </c>
      <c r="W166" s="51" t="str">
        <f t="shared" si="332"/>
        <v/>
      </c>
      <c r="X166" s="79" t="str">
        <f t="shared" si="7"/>
        <v/>
      </c>
      <c r="Y166" s="48">
        <v>161.0</v>
      </c>
      <c r="Z166" s="48">
        <f t="shared" si="8"/>
        <v>0</v>
      </c>
      <c r="AA166" s="48">
        <f t="shared" si="9"/>
        <v>0</v>
      </c>
      <c r="AB166" s="48">
        <v>161.0</v>
      </c>
      <c r="AC166" s="48">
        <f t="shared" si="10"/>
        <v>0</v>
      </c>
      <c r="AD166" s="48" t="str">
        <f t="shared" si="11"/>
        <v/>
      </c>
      <c r="AE166" s="72">
        <v>161.0</v>
      </c>
      <c r="AF166" s="83" t="str">
        <f t="shared" si="12"/>
        <v/>
      </c>
      <c r="AG166" s="72">
        <v>161.0</v>
      </c>
      <c r="AH166" s="48" t="str">
        <f t="shared" si="13"/>
        <v/>
      </c>
      <c r="AI166" s="84" t="str">
        <f t="shared" si="14"/>
        <v/>
      </c>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52"/>
      <c r="BH166" s="48"/>
      <c r="BI166" s="48"/>
      <c r="BJ166" s="48"/>
      <c r="BK166" s="48"/>
      <c r="BL166" s="48"/>
      <c r="BM166" s="48"/>
      <c r="BN166" s="48"/>
      <c r="BO166" s="48"/>
      <c r="BP166" s="48"/>
      <c r="BQ166" s="48"/>
    </row>
    <row r="167" ht="23.25" customHeight="1">
      <c r="A167" s="47">
        <v>162.0</v>
      </c>
      <c r="B167" s="89"/>
      <c r="C167" s="82" t="str">
        <f>IF(B167="","",VLOOKUP(B167,'Mitglieder BBU'!A:N,6,0))</f>
        <v/>
      </c>
      <c r="D167" s="82" t="str">
        <f>IF(#REF!="","",VLOOKUP(#REF!,'Mitglieder BBU'!A:N,6,0))</f>
        <v>#REF!</v>
      </c>
      <c r="E167" s="82" t="str">
        <f>IF(#REF!="","",VLOOKUP(#REF!,'Mitglieder BBU'!A:N,6,0))</f>
        <v>#REF!</v>
      </c>
      <c r="F167" s="82"/>
      <c r="G167" s="75" t="str">
        <f>IFNA(VLOOKUP(B167,Datensammler!$B:$AA,24,0),"")</f>
        <v/>
      </c>
      <c r="H167" s="47"/>
      <c r="I167" s="47"/>
      <c r="J167" s="47"/>
      <c r="K167" s="76">
        <f t="shared" si="3"/>
        <v>0</v>
      </c>
      <c r="L167" s="75">
        <f>IFERROR('HI-LOW Berechnung'!AS166,0)</f>
        <v>0</v>
      </c>
      <c r="M167" s="47">
        <f>IFERROR('HI-LOW Berechnung'!AY166,0)</f>
        <v>0</v>
      </c>
      <c r="N167" s="76">
        <f>IFERROR('HI-LOW Berechnung'!BB166,0)</f>
        <v>0</v>
      </c>
      <c r="O167" s="75" t="str">
        <f>IFNA(VLOOKUP(B167,Datensammler!$B:$AA,25,0),"")</f>
        <v/>
      </c>
      <c r="P167" s="47"/>
      <c r="Q167" s="47"/>
      <c r="R167" s="47"/>
      <c r="S167" s="77">
        <f t="shared" si="4"/>
        <v>0</v>
      </c>
      <c r="T167" s="78" t="str">
        <f t="shared" ref="T167:U167" si="333">IF(G167=0,"",G167/O167)</f>
        <v>#DIV/0!</v>
      </c>
      <c r="U167" s="51" t="str">
        <f t="shared" si="333"/>
        <v/>
      </c>
      <c r="V167" s="51" t="str">
        <f t="shared" ref="V167:W167" si="334">IF(I167="","",I167/Q167)</f>
        <v/>
      </c>
      <c r="W167" s="51" t="str">
        <f t="shared" si="334"/>
        <v/>
      </c>
      <c r="X167" s="79" t="str">
        <f t="shared" si="7"/>
        <v/>
      </c>
      <c r="Y167" s="48">
        <v>162.0</v>
      </c>
      <c r="Z167" s="48">
        <f t="shared" si="8"/>
        <v>0</v>
      </c>
      <c r="AA167" s="48">
        <f t="shared" si="9"/>
        <v>0</v>
      </c>
      <c r="AB167" s="48">
        <v>162.0</v>
      </c>
      <c r="AC167" s="48">
        <f t="shared" si="10"/>
        <v>0</v>
      </c>
      <c r="AD167" s="48" t="str">
        <f t="shared" si="11"/>
        <v/>
      </c>
      <c r="AE167" s="72">
        <v>162.0</v>
      </c>
      <c r="AF167" s="83" t="str">
        <f t="shared" si="12"/>
        <v/>
      </c>
      <c r="AG167" s="72">
        <v>162.0</v>
      </c>
      <c r="AH167" s="48" t="str">
        <f t="shared" si="13"/>
        <v/>
      </c>
      <c r="AI167" s="84" t="str">
        <f t="shared" si="14"/>
        <v/>
      </c>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52"/>
      <c r="BH167" s="48"/>
      <c r="BI167" s="48"/>
      <c r="BJ167" s="48"/>
      <c r="BK167" s="48"/>
      <c r="BL167" s="48"/>
      <c r="BM167" s="48"/>
      <c r="BN167" s="48"/>
      <c r="BO167" s="48"/>
      <c r="BP167" s="48"/>
      <c r="BQ167" s="48"/>
    </row>
    <row r="168" ht="23.25" customHeight="1">
      <c r="A168" s="47">
        <v>163.0</v>
      </c>
      <c r="B168" s="89"/>
      <c r="C168" s="82" t="str">
        <f>IF(B168="","",VLOOKUP(B168,'Mitglieder BBU'!A:N,6,0))</f>
        <v/>
      </c>
      <c r="D168" s="82" t="str">
        <f>IF(#REF!="","",VLOOKUP(#REF!,'Mitglieder BBU'!A:N,6,0))</f>
        <v>#REF!</v>
      </c>
      <c r="E168" s="82" t="str">
        <f>IF(#REF!="","",VLOOKUP(#REF!,'Mitglieder BBU'!A:N,6,0))</f>
        <v>#REF!</v>
      </c>
      <c r="F168" s="82"/>
      <c r="G168" s="75" t="str">
        <f>IFNA(VLOOKUP(B168,Datensammler!$B:$AA,24,0),"")</f>
        <v/>
      </c>
      <c r="H168" s="47"/>
      <c r="I168" s="47"/>
      <c r="J168" s="47"/>
      <c r="K168" s="76">
        <f t="shared" si="3"/>
        <v>0</v>
      </c>
      <c r="L168" s="75">
        <f>IFERROR('HI-LOW Berechnung'!AS167,0)</f>
        <v>0</v>
      </c>
      <c r="M168" s="47">
        <f>IFERROR('HI-LOW Berechnung'!AY167,0)</f>
        <v>0</v>
      </c>
      <c r="N168" s="76">
        <f>IFERROR('HI-LOW Berechnung'!BB167,0)</f>
        <v>0</v>
      </c>
      <c r="O168" s="75" t="str">
        <f>IFNA(VLOOKUP(B168,Datensammler!$B:$AA,25,0),"")</f>
        <v/>
      </c>
      <c r="P168" s="47"/>
      <c r="Q168" s="47"/>
      <c r="R168" s="47"/>
      <c r="S168" s="77">
        <f t="shared" si="4"/>
        <v>0</v>
      </c>
      <c r="T168" s="78" t="str">
        <f t="shared" ref="T168:U168" si="335">IF(G168=0,"",G168/O168)</f>
        <v>#DIV/0!</v>
      </c>
      <c r="U168" s="51" t="str">
        <f t="shared" si="335"/>
        <v/>
      </c>
      <c r="V168" s="51" t="str">
        <f t="shared" ref="V168:W168" si="336">IF(I168="","",I168/Q168)</f>
        <v/>
      </c>
      <c r="W168" s="51" t="str">
        <f t="shared" si="336"/>
        <v/>
      </c>
      <c r="X168" s="79" t="str">
        <f t="shared" si="7"/>
        <v/>
      </c>
      <c r="Y168" s="48">
        <v>163.0</v>
      </c>
      <c r="Z168" s="48">
        <f t="shared" si="8"/>
        <v>0</v>
      </c>
      <c r="AA168" s="48">
        <f t="shared" si="9"/>
        <v>0</v>
      </c>
      <c r="AB168" s="48">
        <v>163.0</v>
      </c>
      <c r="AC168" s="48">
        <f t="shared" si="10"/>
        <v>0</v>
      </c>
      <c r="AD168" s="48" t="str">
        <f t="shared" si="11"/>
        <v/>
      </c>
      <c r="AE168" s="72">
        <v>163.0</v>
      </c>
      <c r="AF168" s="83" t="str">
        <f t="shared" si="12"/>
        <v/>
      </c>
      <c r="AG168" s="72">
        <v>163.0</v>
      </c>
      <c r="AH168" s="48" t="str">
        <f t="shared" si="13"/>
        <v/>
      </c>
      <c r="AI168" s="84" t="str">
        <f t="shared" si="14"/>
        <v/>
      </c>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52"/>
      <c r="BH168" s="48"/>
      <c r="BI168" s="48"/>
      <c r="BJ168" s="48"/>
      <c r="BK168" s="48"/>
      <c r="BL168" s="48"/>
      <c r="BM168" s="48"/>
      <c r="BN168" s="48"/>
      <c r="BO168" s="48"/>
      <c r="BP168" s="48"/>
      <c r="BQ168" s="48"/>
    </row>
    <row r="169" ht="23.25" customHeight="1">
      <c r="A169" s="47">
        <v>164.0</v>
      </c>
      <c r="B169" s="89"/>
      <c r="C169" s="82" t="str">
        <f>IF(B169="","",VLOOKUP(B169,'Mitglieder BBU'!A:N,6,0))</f>
        <v/>
      </c>
      <c r="D169" s="82" t="str">
        <f>IF(#REF!="","",VLOOKUP(#REF!,'Mitglieder BBU'!A:N,6,0))</f>
        <v>#REF!</v>
      </c>
      <c r="E169" s="82" t="str">
        <f>IF(#REF!="","",VLOOKUP(#REF!,'Mitglieder BBU'!A:N,6,0))</f>
        <v>#REF!</v>
      </c>
      <c r="F169" s="82"/>
      <c r="G169" s="75" t="str">
        <f>IFNA(VLOOKUP(B169,Datensammler!$B:$AA,24,0),"")</f>
        <v/>
      </c>
      <c r="H169" s="47"/>
      <c r="I169" s="47"/>
      <c r="J169" s="47"/>
      <c r="K169" s="76">
        <f t="shared" si="3"/>
        <v>0</v>
      </c>
      <c r="L169" s="75">
        <f>IFERROR('HI-LOW Berechnung'!AS168,0)</f>
        <v>0</v>
      </c>
      <c r="M169" s="47">
        <f>IFERROR('HI-LOW Berechnung'!AY168,0)</f>
        <v>0</v>
      </c>
      <c r="N169" s="76">
        <f>IFERROR('HI-LOW Berechnung'!BB168,0)</f>
        <v>0</v>
      </c>
      <c r="O169" s="75" t="str">
        <f>IFNA(VLOOKUP(B169,Datensammler!$B:$AA,25,0),"")</f>
        <v/>
      </c>
      <c r="P169" s="47"/>
      <c r="Q169" s="47"/>
      <c r="R169" s="47"/>
      <c r="S169" s="77">
        <f t="shared" si="4"/>
        <v>0</v>
      </c>
      <c r="T169" s="78" t="str">
        <f t="shared" ref="T169:U169" si="337">IF(G169=0,"",G169/O169)</f>
        <v>#DIV/0!</v>
      </c>
      <c r="U169" s="51" t="str">
        <f t="shared" si="337"/>
        <v/>
      </c>
      <c r="V169" s="51" t="str">
        <f t="shared" ref="V169:W169" si="338">IF(I169="","",I169/Q169)</f>
        <v/>
      </c>
      <c r="W169" s="51" t="str">
        <f t="shared" si="338"/>
        <v/>
      </c>
      <c r="X169" s="79" t="str">
        <f t="shared" si="7"/>
        <v/>
      </c>
      <c r="Y169" s="48">
        <v>164.0</v>
      </c>
      <c r="Z169" s="48">
        <f t="shared" si="8"/>
        <v>0</v>
      </c>
      <c r="AA169" s="48">
        <f t="shared" si="9"/>
        <v>0</v>
      </c>
      <c r="AB169" s="48">
        <v>164.0</v>
      </c>
      <c r="AC169" s="48">
        <f t="shared" si="10"/>
        <v>0</v>
      </c>
      <c r="AD169" s="48" t="str">
        <f t="shared" si="11"/>
        <v/>
      </c>
      <c r="AE169" s="72">
        <v>164.0</v>
      </c>
      <c r="AF169" s="83" t="str">
        <f t="shared" si="12"/>
        <v/>
      </c>
      <c r="AG169" s="72">
        <v>164.0</v>
      </c>
      <c r="AH169" s="48" t="str">
        <f t="shared" si="13"/>
        <v/>
      </c>
      <c r="AI169" s="84" t="str">
        <f t="shared" si="14"/>
        <v/>
      </c>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52"/>
      <c r="BH169" s="48"/>
      <c r="BI169" s="48"/>
      <c r="BJ169" s="48"/>
      <c r="BK169" s="48"/>
      <c r="BL169" s="48"/>
      <c r="BM169" s="48"/>
      <c r="BN169" s="48"/>
      <c r="BO169" s="48"/>
      <c r="BP169" s="48"/>
      <c r="BQ169" s="48"/>
    </row>
    <row r="170" ht="23.25" customHeight="1">
      <c r="A170" s="47">
        <v>165.0</v>
      </c>
      <c r="B170" s="89"/>
      <c r="C170" s="82" t="str">
        <f>IF(B170="","",VLOOKUP(B170,'Mitglieder BBU'!A:N,6,0))</f>
        <v/>
      </c>
      <c r="D170" s="82" t="str">
        <f>IF(#REF!="","",VLOOKUP(#REF!,'Mitglieder BBU'!A:N,6,0))</f>
        <v>#REF!</v>
      </c>
      <c r="E170" s="82" t="str">
        <f>IF(#REF!="","",VLOOKUP(#REF!,'Mitglieder BBU'!A:N,6,0))</f>
        <v>#REF!</v>
      </c>
      <c r="F170" s="82"/>
      <c r="G170" s="75" t="str">
        <f>IFNA(VLOOKUP(B170,Datensammler!$B:$AA,24,0),"")</f>
        <v/>
      </c>
      <c r="H170" s="47"/>
      <c r="I170" s="47"/>
      <c r="J170" s="47"/>
      <c r="K170" s="76">
        <f t="shared" si="3"/>
        <v>0</v>
      </c>
      <c r="L170" s="75">
        <f>IFERROR('HI-LOW Berechnung'!AS169,0)</f>
        <v>0</v>
      </c>
      <c r="M170" s="47">
        <f>IFERROR('HI-LOW Berechnung'!AY169,0)</f>
        <v>0</v>
      </c>
      <c r="N170" s="76">
        <f>IFERROR('HI-LOW Berechnung'!BB169,0)</f>
        <v>0</v>
      </c>
      <c r="O170" s="75" t="str">
        <f>IFNA(VLOOKUP(B170,Datensammler!$B:$AA,25,0),"")</f>
        <v/>
      </c>
      <c r="P170" s="47"/>
      <c r="Q170" s="47"/>
      <c r="R170" s="47"/>
      <c r="S170" s="77">
        <f t="shared" si="4"/>
        <v>0</v>
      </c>
      <c r="T170" s="78" t="str">
        <f t="shared" ref="T170:U170" si="339">IF(G170=0,"",G170/O170)</f>
        <v>#DIV/0!</v>
      </c>
      <c r="U170" s="51" t="str">
        <f t="shared" si="339"/>
        <v/>
      </c>
      <c r="V170" s="51" t="str">
        <f t="shared" ref="V170:W170" si="340">IF(I170="","",I170/Q170)</f>
        <v/>
      </c>
      <c r="W170" s="51" t="str">
        <f t="shared" si="340"/>
        <v/>
      </c>
      <c r="X170" s="79" t="str">
        <f t="shared" si="7"/>
        <v/>
      </c>
      <c r="Y170" s="48">
        <v>165.0</v>
      </c>
      <c r="Z170" s="48">
        <f t="shared" si="8"/>
        <v>0</v>
      </c>
      <c r="AA170" s="48">
        <f t="shared" si="9"/>
        <v>0</v>
      </c>
      <c r="AB170" s="48">
        <v>165.0</v>
      </c>
      <c r="AC170" s="48">
        <f t="shared" si="10"/>
        <v>0</v>
      </c>
      <c r="AD170" s="48" t="str">
        <f t="shared" si="11"/>
        <v/>
      </c>
      <c r="AE170" s="72">
        <v>165.0</v>
      </c>
      <c r="AF170" s="83" t="str">
        <f t="shared" si="12"/>
        <v/>
      </c>
      <c r="AG170" s="72">
        <v>165.0</v>
      </c>
      <c r="AH170" s="48" t="str">
        <f t="shared" si="13"/>
        <v/>
      </c>
      <c r="AI170" s="84" t="str">
        <f t="shared" si="14"/>
        <v/>
      </c>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52"/>
      <c r="BH170" s="48"/>
      <c r="BI170" s="48"/>
      <c r="BJ170" s="48"/>
      <c r="BK170" s="48"/>
      <c r="BL170" s="48"/>
      <c r="BM170" s="48"/>
      <c r="BN170" s="48"/>
      <c r="BO170" s="48"/>
      <c r="BP170" s="48"/>
      <c r="BQ170" s="48"/>
    </row>
    <row r="171" ht="23.25" customHeight="1">
      <c r="A171" s="47">
        <v>166.0</v>
      </c>
      <c r="B171" s="89"/>
      <c r="C171" s="82" t="str">
        <f>IF(B171="","",VLOOKUP(B171,'Mitglieder BBU'!A:N,6,0))</f>
        <v/>
      </c>
      <c r="D171" s="82" t="str">
        <f>IF(#REF!="","",VLOOKUP(#REF!,'Mitglieder BBU'!A:N,6,0))</f>
        <v>#REF!</v>
      </c>
      <c r="E171" s="82" t="str">
        <f>IF(#REF!="","",VLOOKUP(#REF!,'Mitglieder BBU'!A:N,6,0))</f>
        <v>#REF!</v>
      </c>
      <c r="F171" s="82"/>
      <c r="G171" s="75" t="str">
        <f>IFNA(VLOOKUP(B171,Datensammler!$B:$AA,24,0),"")</f>
        <v/>
      </c>
      <c r="H171" s="47"/>
      <c r="I171" s="47"/>
      <c r="J171" s="47"/>
      <c r="K171" s="76">
        <f t="shared" si="3"/>
        <v>0</v>
      </c>
      <c r="L171" s="75" t="str">
        <f>IFERROR('HI-LOW Berechnung'!AS170,0)</f>
        <v/>
      </c>
      <c r="M171" s="47" t="str">
        <f>IFERROR('HI-LOW Berechnung'!AY170,0)</f>
        <v/>
      </c>
      <c r="N171" s="76" t="str">
        <f>IFERROR('HI-LOW Berechnung'!BB170,0)</f>
        <v/>
      </c>
      <c r="O171" s="75" t="str">
        <f>IFNA(VLOOKUP(B171,Datensammler!$B:$AA,25,0),"")</f>
        <v/>
      </c>
      <c r="P171" s="47"/>
      <c r="Q171" s="47"/>
      <c r="R171" s="47"/>
      <c r="S171" s="77">
        <f t="shared" si="4"/>
        <v>0</v>
      </c>
      <c r="T171" s="78" t="str">
        <f t="shared" ref="T171:U171" si="341">IF(G171=0,"",G171/O171)</f>
        <v>#DIV/0!</v>
      </c>
      <c r="U171" s="51" t="str">
        <f t="shared" si="341"/>
        <v/>
      </c>
      <c r="V171" s="51" t="str">
        <f t="shared" ref="V171:W171" si="342">IF(I171="","",I171/Q171)</f>
        <v/>
      </c>
      <c r="W171" s="51" t="str">
        <f t="shared" si="342"/>
        <v/>
      </c>
      <c r="X171" s="79" t="str">
        <f t="shared" si="7"/>
        <v/>
      </c>
      <c r="Y171" s="48">
        <v>166.0</v>
      </c>
      <c r="Z171" s="48">
        <f t="shared" si="8"/>
        <v>0</v>
      </c>
      <c r="AA171" s="48">
        <f t="shared" si="9"/>
        <v>0</v>
      </c>
      <c r="AB171" s="48">
        <v>166.0</v>
      </c>
      <c r="AC171" s="48">
        <f t="shared" si="10"/>
        <v>0</v>
      </c>
      <c r="AD171" s="48" t="str">
        <f t="shared" si="11"/>
        <v/>
      </c>
      <c r="AE171" s="72">
        <v>166.0</v>
      </c>
      <c r="AF171" s="83" t="str">
        <f t="shared" si="12"/>
        <v/>
      </c>
      <c r="AG171" s="72">
        <v>166.0</v>
      </c>
      <c r="AH171" s="48" t="str">
        <f t="shared" si="13"/>
        <v/>
      </c>
      <c r="AI171" s="84" t="str">
        <f t="shared" si="14"/>
        <v/>
      </c>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52"/>
      <c r="BH171" s="48"/>
      <c r="BI171" s="48"/>
      <c r="BJ171" s="48"/>
      <c r="BK171" s="48"/>
      <c r="BL171" s="48"/>
      <c r="BM171" s="48"/>
      <c r="BN171" s="48"/>
      <c r="BO171" s="48"/>
      <c r="BP171" s="48"/>
      <c r="BQ171" s="48"/>
    </row>
    <row r="172" ht="23.25" customHeight="1">
      <c r="A172" s="47">
        <v>167.0</v>
      </c>
      <c r="B172" s="89"/>
      <c r="C172" s="82" t="str">
        <f>IF(B172="","",VLOOKUP(B172,'Mitglieder BBU'!A:N,6,0))</f>
        <v/>
      </c>
      <c r="D172" s="82" t="str">
        <f>IF(#REF!="","",VLOOKUP(#REF!,'Mitglieder BBU'!A:N,6,0))</f>
        <v>#REF!</v>
      </c>
      <c r="E172" s="82" t="str">
        <f>IF(#REF!="","",VLOOKUP(#REF!,'Mitglieder BBU'!A:N,6,0))</f>
        <v>#REF!</v>
      </c>
      <c r="F172" s="82"/>
      <c r="G172" s="75" t="str">
        <f>IFNA(VLOOKUP(B172,Datensammler!$B:$AA,24,0),"")</f>
        <v/>
      </c>
      <c r="H172" s="47"/>
      <c r="I172" s="47"/>
      <c r="J172" s="47"/>
      <c r="K172" s="76">
        <f t="shared" si="3"/>
        <v>0</v>
      </c>
      <c r="L172" s="75" t="str">
        <f>IFERROR('HI-LOW Berechnung'!AS171,0)</f>
        <v/>
      </c>
      <c r="M172" s="47" t="str">
        <f>IFERROR('HI-LOW Berechnung'!AY171,0)</f>
        <v/>
      </c>
      <c r="N172" s="76" t="str">
        <f>IFERROR('HI-LOW Berechnung'!BB171,0)</f>
        <v/>
      </c>
      <c r="O172" s="75" t="str">
        <f>IFNA(VLOOKUP(B172,Datensammler!$B:$AA,25,0),"")</f>
        <v/>
      </c>
      <c r="P172" s="47"/>
      <c r="Q172" s="47"/>
      <c r="R172" s="47"/>
      <c r="S172" s="77">
        <f t="shared" si="4"/>
        <v>0</v>
      </c>
      <c r="T172" s="78" t="str">
        <f t="shared" ref="T172:U172" si="343">IF(G172=0,"",G172/O172)</f>
        <v>#DIV/0!</v>
      </c>
      <c r="U172" s="51" t="str">
        <f t="shared" si="343"/>
        <v/>
      </c>
      <c r="V172" s="51" t="str">
        <f t="shared" ref="V172:W172" si="344">IF(I172="","",I172/Q172)</f>
        <v/>
      </c>
      <c r="W172" s="51" t="str">
        <f t="shared" si="344"/>
        <v/>
      </c>
      <c r="X172" s="79" t="str">
        <f t="shared" si="7"/>
        <v/>
      </c>
      <c r="Y172" s="48">
        <v>167.0</v>
      </c>
      <c r="Z172" s="48">
        <f t="shared" si="8"/>
        <v>0</v>
      </c>
      <c r="AA172" s="48">
        <f t="shared" si="9"/>
        <v>0</v>
      </c>
      <c r="AB172" s="48">
        <v>167.0</v>
      </c>
      <c r="AC172" s="48">
        <f t="shared" si="10"/>
        <v>0</v>
      </c>
      <c r="AD172" s="48" t="str">
        <f t="shared" si="11"/>
        <v/>
      </c>
      <c r="AE172" s="72">
        <v>167.0</v>
      </c>
      <c r="AF172" s="83" t="str">
        <f t="shared" si="12"/>
        <v/>
      </c>
      <c r="AG172" s="72">
        <v>167.0</v>
      </c>
      <c r="AH172" s="48" t="str">
        <f t="shared" si="13"/>
        <v/>
      </c>
      <c r="AI172" s="84" t="str">
        <f t="shared" si="14"/>
        <v/>
      </c>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52"/>
      <c r="BH172" s="48"/>
      <c r="BI172" s="48"/>
      <c r="BJ172" s="48"/>
      <c r="BK172" s="48"/>
      <c r="BL172" s="48"/>
      <c r="BM172" s="48"/>
      <c r="BN172" s="48"/>
      <c r="BO172" s="48"/>
      <c r="BP172" s="48"/>
      <c r="BQ172" s="48"/>
    </row>
    <row r="173" ht="23.25" customHeight="1">
      <c r="A173" s="47">
        <v>168.0</v>
      </c>
      <c r="B173" s="89"/>
      <c r="C173" s="82" t="str">
        <f>IF(B173="","",VLOOKUP(B173,'Mitglieder BBU'!A:N,6,0))</f>
        <v/>
      </c>
      <c r="D173" s="82" t="str">
        <f>IF(#REF!="","",VLOOKUP(#REF!,'Mitglieder BBU'!A:N,6,0))</f>
        <v>#REF!</v>
      </c>
      <c r="E173" s="82" t="str">
        <f>IF(#REF!="","",VLOOKUP(#REF!,'Mitglieder BBU'!A:N,6,0))</f>
        <v>#REF!</v>
      </c>
      <c r="F173" s="82"/>
      <c r="G173" s="75" t="str">
        <f>IFNA(VLOOKUP(B173,Datensammler!$B:$AA,24,0),"")</f>
        <v/>
      </c>
      <c r="H173" s="47"/>
      <c r="I173" s="47"/>
      <c r="J173" s="47"/>
      <c r="K173" s="76">
        <f t="shared" si="3"/>
        <v>0</v>
      </c>
      <c r="L173" s="75" t="str">
        <f>IFERROR('HI-LOW Berechnung'!AS172,0)</f>
        <v/>
      </c>
      <c r="M173" s="47" t="str">
        <f>IFERROR('HI-LOW Berechnung'!AY172,0)</f>
        <v/>
      </c>
      <c r="N173" s="76" t="str">
        <f>IFERROR('HI-LOW Berechnung'!BB172,0)</f>
        <v/>
      </c>
      <c r="O173" s="75" t="str">
        <f>IFNA(VLOOKUP(B173,Datensammler!$B:$AA,25,0),"")</f>
        <v/>
      </c>
      <c r="P173" s="47"/>
      <c r="Q173" s="47"/>
      <c r="R173" s="47"/>
      <c r="S173" s="77">
        <f t="shared" si="4"/>
        <v>0</v>
      </c>
      <c r="T173" s="78" t="str">
        <f t="shared" ref="T173:U173" si="345">IF(G173=0,"",G173/O173)</f>
        <v>#DIV/0!</v>
      </c>
      <c r="U173" s="51" t="str">
        <f t="shared" si="345"/>
        <v/>
      </c>
      <c r="V173" s="51" t="str">
        <f t="shared" ref="V173:W173" si="346">IF(I173="","",I173/Q173)</f>
        <v/>
      </c>
      <c r="W173" s="51" t="str">
        <f t="shared" si="346"/>
        <v/>
      </c>
      <c r="X173" s="79" t="str">
        <f t="shared" si="7"/>
        <v/>
      </c>
      <c r="Y173" s="48">
        <v>168.0</v>
      </c>
      <c r="Z173" s="48">
        <f t="shared" si="8"/>
        <v>0</v>
      </c>
      <c r="AA173" s="48">
        <f t="shared" si="9"/>
        <v>0</v>
      </c>
      <c r="AB173" s="48">
        <v>168.0</v>
      </c>
      <c r="AC173" s="48">
        <f t="shared" si="10"/>
        <v>0</v>
      </c>
      <c r="AD173" s="48" t="str">
        <f t="shared" si="11"/>
        <v/>
      </c>
      <c r="AE173" s="72">
        <v>168.0</v>
      </c>
      <c r="AF173" s="83" t="str">
        <f t="shared" si="12"/>
        <v/>
      </c>
      <c r="AG173" s="72">
        <v>168.0</v>
      </c>
      <c r="AH173" s="48" t="str">
        <f t="shared" si="13"/>
        <v/>
      </c>
      <c r="AI173" s="84" t="str">
        <f t="shared" si="14"/>
        <v/>
      </c>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52"/>
      <c r="BH173" s="48"/>
      <c r="BI173" s="48"/>
      <c r="BJ173" s="48"/>
      <c r="BK173" s="48"/>
      <c r="BL173" s="48"/>
      <c r="BM173" s="48"/>
      <c r="BN173" s="48"/>
      <c r="BO173" s="48"/>
      <c r="BP173" s="48"/>
      <c r="BQ173" s="48"/>
    </row>
    <row r="174" ht="23.25" customHeight="1">
      <c r="A174" s="47">
        <v>169.0</v>
      </c>
      <c r="B174" s="89"/>
      <c r="C174" s="82" t="str">
        <f>IF(B174="","",VLOOKUP(B174,'Mitglieder BBU'!A:N,6,0))</f>
        <v/>
      </c>
      <c r="D174" s="82" t="str">
        <f>IF(#REF!="","",VLOOKUP(#REF!,'Mitglieder BBU'!A:N,6,0))</f>
        <v>#REF!</v>
      </c>
      <c r="E174" s="82" t="str">
        <f>IF(#REF!="","",VLOOKUP(#REF!,'Mitglieder BBU'!A:N,6,0))</f>
        <v>#REF!</v>
      </c>
      <c r="F174" s="82"/>
      <c r="G174" s="75" t="str">
        <f>IFNA(VLOOKUP(B174,Datensammler!$B:$AA,24,0),"")</f>
        <v/>
      </c>
      <c r="H174" s="47"/>
      <c r="I174" s="47"/>
      <c r="J174" s="47"/>
      <c r="K174" s="76">
        <f t="shared" si="3"/>
        <v>0</v>
      </c>
      <c r="L174" s="75" t="str">
        <f>IFERROR('HI-LOW Berechnung'!AS173,0)</f>
        <v/>
      </c>
      <c r="M174" s="47" t="str">
        <f>IFERROR('HI-LOW Berechnung'!AY173,0)</f>
        <v/>
      </c>
      <c r="N174" s="76" t="str">
        <f>IFERROR('HI-LOW Berechnung'!BB173,0)</f>
        <v/>
      </c>
      <c r="O174" s="75" t="str">
        <f>IFNA(VLOOKUP(B174,Datensammler!$B:$AA,25,0),"")</f>
        <v/>
      </c>
      <c r="P174" s="47"/>
      <c r="Q174" s="47"/>
      <c r="R174" s="47"/>
      <c r="S174" s="77">
        <f t="shared" si="4"/>
        <v>0</v>
      </c>
      <c r="T174" s="78" t="str">
        <f t="shared" ref="T174:U174" si="347">IF(G174=0,"",G174/O174)</f>
        <v>#DIV/0!</v>
      </c>
      <c r="U174" s="51" t="str">
        <f t="shared" si="347"/>
        <v/>
      </c>
      <c r="V174" s="51" t="str">
        <f t="shared" ref="V174:W174" si="348">IF(I174="","",I174/Q174)</f>
        <v/>
      </c>
      <c r="W174" s="51" t="str">
        <f t="shared" si="348"/>
        <v/>
      </c>
      <c r="X174" s="79" t="str">
        <f t="shared" si="7"/>
        <v/>
      </c>
      <c r="Y174" s="48">
        <v>169.0</v>
      </c>
      <c r="Z174" s="48">
        <f t="shared" si="8"/>
        <v>0</v>
      </c>
      <c r="AA174" s="48">
        <f t="shared" si="9"/>
        <v>0</v>
      </c>
      <c r="AB174" s="48">
        <v>169.0</v>
      </c>
      <c r="AC174" s="48">
        <f t="shared" si="10"/>
        <v>0</v>
      </c>
      <c r="AD174" s="48" t="str">
        <f t="shared" si="11"/>
        <v/>
      </c>
      <c r="AE174" s="72">
        <v>169.0</v>
      </c>
      <c r="AF174" s="83" t="str">
        <f t="shared" si="12"/>
        <v/>
      </c>
      <c r="AG174" s="72">
        <v>169.0</v>
      </c>
      <c r="AH174" s="48" t="str">
        <f t="shared" si="13"/>
        <v/>
      </c>
      <c r="AI174" s="84" t="str">
        <f t="shared" si="14"/>
        <v/>
      </c>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52"/>
      <c r="BH174" s="48"/>
      <c r="BI174" s="48"/>
      <c r="BJ174" s="48"/>
      <c r="BK174" s="48"/>
      <c r="BL174" s="48"/>
      <c r="BM174" s="48"/>
      <c r="BN174" s="48"/>
      <c r="BO174" s="48"/>
      <c r="BP174" s="48"/>
      <c r="BQ174" s="48"/>
    </row>
    <row r="175" ht="23.25" customHeight="1">
      <c r="A175" s="47">
        <v>170.0</v>
      </c>
      <c r="B175" s="89"/>
      <c r="C175" s="82" t="str">
        <f>IF(B175="","",VLOOKUP(B175,'Mitglieder BBU'!A:N,6,0))</f>
        <v/>
      </c>
      <c r="D175" s="82" t="str">
        <f>IF(#REF!="","",VLOOKUP(#REF!,'Mitglieder BBU'!A:N,6,0))</f>
        <v>#REF!</v>
      </c>
      <c r="E175" s="82" t="str">
        <f>IF(#REF!="","",VLOOKUP(#REF!,'Mitglieder BBU'!A:N,6,0))</f>
        <v>#REF!</v>
      </c>
      <c r="F175" s="82"/>
      <c r="G175" s="75" t="str">
        <f>IFNA(VLOOKUP(B175,Datensammler!$B:$AA,24,0),"")</f>
        <v/>
      </c>
      <c r="H175" s="47"/>
      <c r="I175" s="47"/>
      <c r="J175" s="47"/>
      <c r="K175" s="76">
        <f t="shared" si="3"/>
        <v>0</v>
      </c>
      <c r="L175" s="75" t="str">
        <f>IFERROR('HI-LOW Berechnung'!AS174,0)</f>
        <v/>
      </c>
      <c r="M175" s="47" t="str">
        <f>IFERROR('HI-LOW Berechnung'!AY174,0)</f>
        <v/>
      </c>
      <c r="N175" s="76" t="str">
        <f>IFERROR('HI-LOW Berechnung'!BB174,0)</f>
        <v/>
      </c>
      <c r="O175" s="75" t="str">
        <f>IFNA(VLOOKUP(B175,Datensammler!$B:$AA,25,0),"")</f>
        <v/>
      </c>
      <c r="P175" s="47"/>
      <c r="Q175" s="47"/>
      <c r="R175" s="47"/>
      <c r="S175" s="77">
        <f t="shared" si="4"/>
        <v>0</v>
      </c>
      <c r="T175" s="78" t="str">
        <f t="shared" ref="T175:U175" si="349">IF(G175=0,"",G175/O175)</f>
        <v>#DIV/0!</v>
      </c>
      <c r="U175" s="51" t="str">
        <f t="shared" si="349"/>
        <v/>
      </c>
      <c r="V175" s="51" t="str">
        <f t="shared" ref="V175:W175" si="350">IF(I175="","",I175/Q175)</f>
        <v/>
      </c>
      <c r="W175" s="51" t="str">
        <f t="shared" si="350"/>
        <v/>
      </c>
      <c r="X175" s="79" t="str">
        <f t="shared" si="7"/>
        <v/>
      </c>
      <c r="Y175" s="48">
        <v>170.0</v>
      </c>
      <c r="Z175" s="48">
        <f t="shared" si="8"/>
        <v>0</v>
      </c>
      <c r="AA175" s="48">
        <f t="shared" si="9"/>
        <v>0</v>
      </c>
      <c r="AB175" s="48">
        <v>170.0</v>
      </c>
      <c r="AC175" s="48">
        <f t="shared" si="10"/>
        <v>0</v>
      </c>
      <c r="AD175" s="48" t="str">
        <f t="shared" si="11"/>
        <v/>
      </c>
      <c r="AE175" s="72">
        <v>170.0</v>
      </c>
      <c r="AF175" s="83" t="str">
        <f t="shared" si="12"/>
        <v/>
      </c>
      <c r="AG175" s="72">
        <v>170.0</v>
      </c>
      <c r="AH175" s="48" t="str">
        <f t="shared" si="13"/>
        <v/>
      </c>
      <c r="AI175" s="84" t="str">
        <f t="shared" si="14"/>
        <v/>
      </c>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52"/>
      <c r="BH175" s="48"/>
      <c r="BI175" s="48"/>
      <c r="BJ175" s="48"/>
      <c r="BK175" s="48"/>
      <c r="BL175" s="48"/>
      <c r="BM175" s="48"/>
      <c r="BN175" s="48"/>
      <c r="BO175" s="48"/>
      <c r="BP175" s="48"/>
      <c r="BQ175" s="48"/>
    </row>
    <row r="176" ht="23.25" customHeight="1">
      <c r="A176" s="47">
        <v>171.0</v>
      </c>
      <c r="B176" s="89"/>
      <c r="C176" s="82" t="str">
        <f>IF(B176="","",VLOOKUP(B176,'Mitglieder BBU'!A:N,6,0))</f>
        <v/>
      </c>
      <c r="D176" s="82" t="str">
        <f>IF(#REF!="","",VLOOKUP(#REF!,'Mitglieder BBU'!A:N,6,0))</f>
        <v>#REF!</v>
      </c>
      <c r="E176" s="82" t="str">
        <f>IF(#REF!="","",VLOOKUP(#REF!,'Mitglieder BBU'!A:N,6,0))</f>
        <v>#REF!</v>
      </c>
      <c r="F176" s="82"/>
      <c r="G176" s="75" t="str">
        <f>IFNA(VLOOKUP(B176,Datensammler!$B:$AA,24,0),"")</f>
        <v/>
      </c>
      <c r="H176" s="47"/>
      <c r="I176" s="47"/>
      <c r="J176" s="47"/>
      <c r="K176" s="76">
        <f t="shared" si="3"/>
        <v>0</v>
      </c>
      <c r="L176" s="75" t="str">
        <f>IFERROR('HI-LOW Berechnung'!AS175,0)</f>
        <v/>
      </c>
      <c r="M176" s="47" t="str">
        <f>IFERROR('HI-LOW Berechnung'!AY175,0)</f>
        <v/>
      </c>
      <c r="N176" s="76" t="str">
        <f>IFERROR('HI-LOW Berechnung'!BB175,0)</f>
        <v/>
      </c>
      <c r="O176" s="75" t="str">
        <f>IFNA(VLOOKUP(B176,Datensammler!$B:$AA,25,0),"")</f>
        <v/>
      </c>
      <c r="P176" s="47"/>
      <c r="Q176" s="47"/>
      <c r="R176" s="47"/>
      <c r="S176" s="77">
        <f t="shared" si="4"/>
        <v>0</v>
      </c>
      <c r="T176" s="78" t="str">
        <f t="shared" ref="T176:U176" si="351">IF(G176=0,"",G176/O176)</f>
        <v>#DIV/0!</v>
      </c>
      <c r="U176" s="51" t="str">
        <f t="shared" si="351"/>
        <v/>
      </c>
      <c r="V176" s="51" t="str">
        <f t="shared" ref="V176:W176" si="352">IF(I176="","",I176/Q176)</f>
        <v/>
      </c>
      <c r="W176" s="51" t="str">
        <f t="shared" si="352"/>
        <v/>
      </c>
      <c r="X176" s="79" t="str">
        <f t="shared" si="7"/>
        <v/>
      </c>
      <c r="Y176" s="48">
        <v>171.0</v>
      </c>
      <c r="Z176" s="48">
        <f t="shared" si="8"/>
        <v>0</v>
      </c>
      <c r="AA176" s="48">
        <f t="shared" si="9"/>
        <v>0</v>
      </c>
      <c r="AB176" s="48">
        <v>171.0</v>
      </c>
      <c r="AC176" s="48">
        <f t="shared" si="10"/>
        <v>0</v>
      </c>
      <c r="AD176" s="48" t="str">
        <f t="shared" si="11"/>
        <v/>
      </c>
      <c r="AE176" s="72">
        <v>171.0</v>
      </c>
      <c r="AF176" s="83" t="str">
        <f t="shared" si="12"/>
        <v/>
      </c>
      <c r="AG176" s="72">
        <v>171.0</v>
      </c>
      <c r="AH176" s="48" t="str">
        <f t="shared" si="13"/>
        <v/>
      </c>
      <c r="AI176" s="84" t="str">
        <f t="shared" si="14"/>
        <v/>
      </c>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52"/>
      <c r="BH176" s="48"/>
      <c r="BI176" s="48"/>
      <c r="BJ176" s="48"/>
      <c r="BK176" s="48"/>
      <c r="BL176" s="48"/>
      <c r="BM176" s="48"/>
      <c r="BN176" s="48"/>
      <c r="BO176" s="48"/>
      <c r="BP176" s="48"/>
      <c r="BQ176" s="48"/>
    </row>
    <row r="177" ht="23.25" customHeight="1">
      <c r="A177" s="47">
        <v>172.0</v>
      </c>
      <c r="B177" s="89"/>
      <c r="C177" s="82" t="str">
        <f>IF(B177="","",VLOOKUP(B177,'Mitglieder BBU'!A:N,6,0))</f>
        <v/>
      </c>
      <c r="D177" s="82" t="str">
        <f>IF(#REF!="","",VLOOKUP(#REF!,'Mitglieder BBU'!A:N,6,0))</f>
        <v>#REF!</v>
      </c>
      <c r="E177" s="82" t="str">
        <f>IF(#REF!="","",VLOOKUP(#REF!,'Mitglieder BBU'!A:N,6,0))</f>
        <v>#REF!</v>
      </c>
      <c r="F177" s="82"/>
      <c r="G177" s="75" t="str">
        <f>IFNA(VLOOKUP(B177,Datensammler!$B:$AA,24,0),"")</f>
        <v/>
      </c>
      <c r="H177" s="47"/>
      <c r="I177" s="47"/>
      <c r="J177" s="47"/>
      <c r="K177" s="76">
        <f t="shared" si="3"/>
        <v>0</v>
      </c>
      <c r="L177" s="75" t="str">
        <f>IFERROR('HI-LOW Berechnung'!AS176,0)</f>
        <v/>
      </c>
      <c r="M177" s="47" t="str">
        <f>IFERROR('HI-LOW Berechnung'!AY176,0)</f>
        <v/>
      </c>
      <c r="N177" s="76" t="str">
        <f>IFERROR('HI-LOW Berechnung'!BB176,0)</f>
        <v/>
      </c>
      <c r="O177" s="75" t="str">
        <f>IFNA(VLOOKUP(B177,Datensammler!$B:$AA,25,0),"")</f>
        <v/>
      </c>
      <c r="P177" s="47"/>
      <c r="Q177" s="47"/>
      <c r="R177" s="47"/>
      <c r="S177" s="77">
        <f t="shared" si="4"/>
        <v>0</v>
      </c>
      <c r="T177" s="78" t="str">
        <f t="shared" ref="T177:U177" si="353">IF(G177=0,"",G177/O177)</f>
        <v>#DIV/0!</v>
      </c>
      <c r="U177" s="51" t="str">
        <f t="shared" si="353"/>
        <v/>
      </c>
      <c r="V177" s="51" t="str">
        <f t="shared" ref="V177:W177" si="354">IF(I177="","",I177/Q177)</f>
        <v/>
      </c>
      <c r="W177" s="51" t="str">
        <f t="shared" si="354"/>
        <v/>
      </c>
      <c r="X177" s="79" t="str">
        <f t="shared" si="7"/>
        <v/>
      </c>
      <c r="Y177" s="48">
        <v>172.0</v>
      </c>
      <c r="Z177" s="48">
        <f t="shared" si="8"/>
        <v>0</v>
      </c>
      <c r="AA177" s="48">
        <f t="shared" si="9"/>
        <v>0</v>
      </c>
      <c r="AB177" s="48">
        <v>172.0</v>
      </c>
      <c r="AC177" s="48">
        <f t="shared" si="10"/>
        <v>0</v>
      </c>
      <c r="AD177" s="48" t="str">
        <f t="shared" si="11"/>
        <v/>
      </c>
      <c r="AE177" s="72">
        <v>172.0</v>
      </c>
      <c r="AF177" s="83" t="str">
        <f t="shared" si="12"/>
        <v/>
      </c>
      <c r="AG177" s="72">
        <v>172.0</v>
      </c>
      <c r="AH177" s="48" t="str">
        <f t="shared" si="13"/>
        <v/>
      </c>
      <c r="AI177" s="84" t="str">
        <f t="shared" si="14"/>
        <v/>
      </c>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52"/>
      <c r="BH177" s="48"/>
      <c r="BI177" s="48"/>
      <c r="BJ177" s="48"/>
      <c r="BK177" s="48"/>
      <c r="BL177" s="48"/>
      <c r="BM177" s="48"/>
      <c r="BN177" s="48"/>
      <c r="BO177" s="48"/>
      <c r="BP177" s="48"/>
      <c r="BQ177" s="48"/>
    </row>
    <row r="178" ht="23.25" customHeight="1">
      <c r="A178" s="47">
        <v>173.0</v>
      </c>
      <c r="B178" s="89"/>
      <c r="C178" s="82" t="str">
        <f>IF(B178="","",VLOOKUP(B178,'Mitglieder BBU'!A:N,6,0))</f>
        <v/>
      </c>
      <c r="D178" s="82" t="str">
        <f>IF(#REF!="","",VLOOKUP(#REF!,'Mitglieder BBU'!A:N,6,0))</f>
        <v>#REF!</v>
      </c>
      <c r="E178" s="82" t="str">
        <f>IF(#REF!="","",VLOOKUP(#REF!,'Mitglieder BBU'!A:N,6,0))</f>
        <v>#REF!</v>
      </c>
      <c r="F178" s="82"/>
      <c r="G178" s="75" t="str">
        <f>IFNA(VLOOKUP(B178,Datensammler!$B:$AA,24,0),"")</f>
        <v/>
      </c>
      <c r="H178" s="47"/>
      <c r="I178" s="47"/>
      <c r="J178" s="47"/>
      <c r="K178" s="76">
        <f t="shared" si="3"/>
        <v>0</v>
      </c>
      <c r="L178" s="75" t="str">
        <f>IFERROR('HI-LOW Berechnung'!AS177,0)</f>
        <v/>
      </c>
      <c r="M178" s="47" t="str">
        <f>IFERROR('HI-LOW Berechnung'!AY177,0)</f>
        <v/>
      </c>
      <c r="N178" s="76" t="str">
        <f>IFERROR('HI-LOW Berechnung'!BB177,0)</f>
        <v/>
      </c>
      <c r="O178" s="75" t="str">
        <f>IFNA(VLOOKUP(B178,Datensammler!$B:$AA,25,0),"")</f>
        <v/>
      </c>
      <c r="P178" s="47"/>
      <c r="Q178" s="47"/>
      <c r="R178" s="47"/>
      <c r="S178" s="77">
        <f t="shared" si="4"/>
        <v>0</v>
      </c>
      <c r="T178" s="78" t="str">
        <f t="shared" ref="T178:U178" si="355">IF(G178=0,"",G178/O178)</f>
        <v>#DIV/0!</v>
      </c>
      <c r="U178" s="51" t="str">
        <f t="shared" si="355"/>
        <v/>
      </c>
      <c r="V178" s="51" t="str">
        <f t="shared" ref="V178:W178" si="356">IF(I178="","",I178/Q178)</f>
        <v/>
      </c>
      <c r="W178" s="51" t="str">
        <f t="shared" si="356"/>
        <v/>
      </c>
      <c r="X178" s="79" t="str">
        <f t="shared" si="7"/>
        <v/>
      </c>
      <c r="Y178" s="48">
        <v>173.0</v>
      </c>
      <c r="Z178" s="48">
        <f t="shared" si="8"/>
        <v>0</v>
      </c>
      <c r="AA178" s="48">
        <f t="shared" si="9"/>
        <v>0</v>
      </c>
      <c r="AB178" s="48">
        <v>173.0</v>
      </c>
      <c r="AC178" s="48">
        <f t="shared" si="10"/>
        <v>0</v>
      </c>
      <c r="AD178" s="48" t="str">
        <f t="shared" si="11"/>
        <v/>
      </c>
      <c r="AE178" s="72">
        <v>173.0</v>
      </c>
      <c r="AF178" s="83" t="str">
        <f t="shared" si="12"/>
        <v/>
      </c>
      <c r="AG178" s="72">
        <v>173.0</v>
      </c>
      <c r="AH178" s="48" t="str">
        <f t="shared" si="13"/>
        <v/>
      </c>
      <c r="AI178" s="84" t="str">
        <f t="shared" si="14"/>
        <v/>
      </c>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52"/>
      <c r="BH178" s="48"/>
      <c r="BI178" s="48"/>
      <c r="BJ178" s="48"/>
      <c r="BK178" s="48"/>
      <c r="BL178" s="48"/>
      <c r="BM178" s="48"/>
      <c r="BN178" s="48"/>
      <c r="BO178" s="48"/>
      <c r="BP178" s="48"/>
      <c r="BQ178" s="48"/>
    </row>
    <row r="179" ht="23.25" customHeight="1">
      <c r="A179" s="47">
        <v>174.0</v>
      </c>
      <c r="B179" s="89"/>
      <c r="C179" s="82" t="str">
        <f>IF(B179="","",VLOOKUP(B179,'Mitglieder BBU'!A:N,6,0))</f>
        <v/>
      </c>
      <c r="D179" s="82" t="str">
        <f>IF(#REF!="","",VLOOKUP(#REF!,'Mitglieder BBU'!A:N,6,0))</f>
        <v>#REF!</v>
      </c>
      <c r="E179" s="82" t="str">
        <f>IF(#REF!="","",VLOOKUP(#REF!,'Mitglieder BBU'!A:N,6,0))</f>
        <v>#REF!</v>
      </c>
      <c r="F179" s="82"/>
      <c r="G179" s="75" t="str">
        <f>IFNA(VLOOKUP(B179,Datensammler!$B:$AA,24,0),"")</f>
        <v/>
      </c>
      <c r="H179" s="47"/>
      <c r="I179" s="47"/>
      <c r="J179" s="47"/>
      <c r="K179" s="76">
        <f t="shared" si="3"/>
        <v>0</v>
      </c>
      <c r="L179" s="75" t="str">
        <f>IFERROR('HI-LOW Berechnung'!AS178,0)</f>
        <v/>
      </c>
      <c r="M179" s="47" t="str">
        <f>IFERROR('HI-LOW Berechnung'!AY178,0)</f>
        <v/>
      </c>
      <c r="N179" s="76" t="str">
        <f>IFERROR('HI-LOW Berechnung'!BB178,0)</f>
        <v/>
      </c>
      <c r="O179" s="75" t="str">
        <f>IFNA(VLOOKUP(B179,Datensammler!$B:$AA,25,0),"")</f>
        <v/>
      </c>
      <c r="P179" s="47"/>
      <c r="Q179" s="47"/>
      <c r="R179" s="47"/>
      <c r="S179" s="77">
        <f t="shared" si="4"/>
        <v>0</v>
      </c>
      <c r="T179" s="78" t="str">
        <f t="shared" ref="T179:U179" si="357">IF(G179=0,"",G179/O179)</f>
        <v>#DIV/0!</v>
      </c>
      <c r="U179" s="51" t="str">
        <f t="shared" si="357"/>
        <v/>
      </c>
      <c r="V179" s="51" t="str">
        <f t="shared" ref="V179:W179" si="358">IF(I179="","",I179/Q179)</f>
        <v/>
      </c>
      <c r="W179" s="51" t="str">
        <f t="shared" si="358"/>
        <v/>
      </c>
      <c r="X179" s="79" t="str">
        <f t="shared" si="7"/>
        <v/>
      </c>
      <c r="Y179" s="48">
        <v>174.0</v>
      </c>
      <c r="Z179" s="48">
        <f t="shared" si="8"/>
        <v>0</v>
      </c>
      <c r="AA179" s="48">
        <f t="shared" si="9"/>
        <v>0</v>
      </c>
      <c r="AB179" s="48">
        <v>174.0</v>
      </c>
      <c r="AC179" s="48">
        <f t="shared" si="10"/>
        <v>0</v>
      </c>
      <c r="AD179" s="48" t="str">
        <f t="shared" si="11"/>
        <v/>
      </c>
      <c r="AE179" s="72">
        <v>174.0</v>
      </c>
      <c r="AF179" s="83" t="str">
        <f t="shared" si="12"/>
        <v/>
      </c>
      <c r="AG179" s="72">
        <v>174.0</v>
      </c>
      <c r="AH179" s="48" t="str">
        <f t="shared" si="13"/>
        <v/>
      </c>
      <c r="AI179" s="84" t="str">
        <f t="shared" si="14"/>
        <v/>
      </c>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52"/>
      <c r="BH179" s="48"/>
      <c r="BI179" s="48"/>
      <c r="BJ179" s="48"/>
      <c r="BK179" s="48"/>
      <c r="BL179" s="48"/>
      <c r="BM179" s="48"/>
      <c r="BN179" s="48"/>
      <c r="BO179" s="48"/>
      <c r="BP179" s="48"/>
      <c r="BQ179" s="48"/>
    </row>
    <row r="180" ht="23.25" customHeight="1">
      <c r="A180" s="47">
        <v>175.0</v>
      </c>
      <c r="B180" s="89"/>
      <c r="C180" s="82" t="str">
        <f>IF(B180="","",VLOOKUP(B180,'Mitglieder BBU'!A:N,6,0))</f>
        <v/>
      </c>
      <c r="D180" s="82" t="str">
        <f>IF(#REF!="","",VLOOKUP(#REF!,'Mitglieder BBU'!A:N,6,0))</f>
        <v>#REF!</v>
      </c>
      <c r="E180" s="82" t="str">
        <f>IF(#REF!="","",VLOOKUP(#REF!,'Mitglieder BBU'!A:N,6,0))</f>
        <v>#REF!</v>
      </c>
      <c r="F180" s="82"/>
      <c r="G180" s="75" t="str">
        <f>IFNA(VLOOKUP(B180,Datensammler!$B:$AA,24,0),"")</f>
        <v/>
      </c>
      <c r="H180" s="47"/>
      <c r="I180" s="47"/>
      <c r="J180" s="47"/>
      <c r="K180" s="76">
        <f t="shared" si="3"/>
        <v>0</v>
      </c>
      <c r="L180" s="75" t="str">
        <f>IFERROR('HI-LOW Berechnung'!AS179,0)</f>
        <v/>
      </c>
      <c r="M180" s="47" t="str">
        <f>IFERROR('HI-LOW Berechnung'!AY179,0)</f>
        <v/>
      </c>
      <c r="N180" s="76" t="str">
        <f>IFERROR('HI-LOW Berechnung'!BB179,0)</f>
        <v/>
      </c>
      <c r="O180" s="75" t="str">
        <f>IFNA(VLOOKUP(B180,Datensammler!$B:$AA,25,0),"")</f>
        <v/>
      </c>
      <c r="P180" s="47"/>
      <c r="Q180" s="47"/>
      <c r="R180" s="47"/>
      <c r="S180" s="77">
        <f t="shared" si="4"/>
        <v>0</v>
      </c>
      <c r="T180" s="78" t="str">
        <f t="shared" ref="T180:U180" si="359">IF(G180=0,"",G180/O180)</f>
        <v>#DIV/0!</v>
      </c>
      <c r="U180" s="51" t="str">
        <f t="shared" si="359"/>
        <v/>
      </c>
      <c r="V180" s="51" t="str">
        <f t="shared" ref="V180:W180" si="360">IF(I180="","",I180/Q180)</f>
        <v/>
      </c>
      <c r="W180" s="51" t="str">
        <f t="shared" si="360"/>
        <v/>
      </c>
      <c r="X180" s="79" t="str">
        <f t="shared" si="7"/>
        <v/>
      </c>
      <c r="Y180" s="48">
        <v>175.0</v>
      </c>
      <c r="Z180" s="48">
        <f t="shared" si="8"/>
        <v>0</v>
      </c>
      <c r="AA180" s="48">
        <f t="shared" si="9"/>
        <v>0</v>
      </c>
      <c r="AB180" s="48">
        <v>175.0</v>
      </c>
      <c r="AC180" s="48">
        <f t="shared" si="10"/>
        <v>0</v>
      </c>
      <c r="AD180" s="48" t="str">
        <f t="shared" si="11"/>
        <v/>
      </c>
      <c r="AE180" s="72">
        <v>175.0</v>
      </c>
      <c r="AF180" s="83" t="str">
        <f t="shared" si="12"/>
        <v/>
      </c>
      <c r="AG180" s="72">
        <v>175.0</v>
      </c>
      <c r="AH180" s="48" t="str">
        <f t="shared" si="13"/>
        <v/>
      </c>
      <c r="AI180" s="84" t="str">
        <f t="shared" si="14"/>
        <v/>
      </c>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52"/>
      <c r="BH180" s="48"/>
      <c r="BI180" s="48"/>
      <c r="BJ180" s="48"/>
      <c r="BK180" s="48"/>
      <c r="BL180" s="48"/>
      <c r="BM180" s="48"/>
      <c r="BN180" s="48"/>
      <c r="BO180" s="48"/>
      <c r="BP180" s="48"/>
      <c r="BQ180" s="48"/>
    </row>
    <row r="181" ht="23.25" customHeight="1">
      <c r="A181" s="47">
        <v>176.0</v>
      </c>
      <c r="B181" s="89"/>
      <c r="C181" s="82" t="str">
        <f>IF(B181="","",VLOOKUP(B181,'Mitglieder BBU'!A:N,6,0))</f>
        <v/>
      </c>
      <c r="D181" s="82" t="str">
        <f>IF(#REF!="","",VLOOKUP(#REF!,'Mitglieder BBU'!A:N,6,0))</f>
        <v>#REF!</v>
      </c>
      <c r="E181" s="82" t="str">
        <f>IF(#REF!="","",VLOOKUP(#REF!,'Mitglieder BBU'!A:N,6,0))</f>
        <v>#REF!</v>
      </c>
      <c r="F181" s="82"/>
      <c r="G181" s="75" t="str">
        <f>IFNA(VLOOKUP(B181,Datensammler!$B:$AA,24,0),"")</f>
        <v/>
      </c>
      <c r="H181" s="47"/>
      <c r="I181" s="47"/>
      <c r="J181" s="47"/>
      <c r="K181" s="76">
        <f t="shared" si="3"/>
        <v>0</v>
      </c>
      <c r="L181" s="75" t="str">
        <f>IFERROR('HI-LOW Berechnung'!AS180,0)</f>
        <v/>
      </c>
      <c r="M181" s="47" t="str">
        <f>IFERROR('HI-LOW Berechnung'!AY180,0)</f>
        <v/>
      </c>
      <c r="N181" s="76" t="str">
        <f>IFERROR('HI-LOW Berechnung'!BB180,0)</f>
        <v/>
      </c>
      <c r="O181" s="75" t="str">
        <f>IFNA(VLOOKUP(B181,Datensammler!$B:$AA,25,0),"")</f>
        <v/>
      </c>
      <c r="P181" s="47"/>
      <c r="Q181" s="47"/>
      <c r="R181" s="47"/>
      <c r="S181" s="77">
        <f t="shared" si="4"/>
        <v>0</v>
      </c>
      <c r="T181" s="78" t="str">
        <f t="shared" ref="T181:U181" si="361">IF(G181=0,"",G181/O181)</f>
        <v>#DIV/0!</v>
      </c>
      <c r="U181" s="51" t="str">
        <f t="shared" si="361"/>
        <v/>
      </c>
      <c r="V181" s="51" t="str">
        <f t="shared" ref="V181:W181" si="362">IF(I181="","",I181/Q181)</f>
        <v/>
      </c>
      <c r="W181" s="51" t="str">
        <f t="shared" si="362"/>
        <v/>
      </c>
      <c r="X181" s="79" t="str">
        <f t="shared" si="7"/>
        <v/>
      </c>
      <c r="Y181" s="48">
        <v>176.0</v>
      </c>
      <c r="Z181" s="48">
        <f t="shared" si="8"/>
        <v>0</v>
      </c>
      <c r="AA181" s="48">
        <f t="shared" si="9"/>
        <v>0</v>
      </c>
      <c r="AB181" s="48">
        <v>176.0</v>
      </c>
      <c r="AC181" s="48">
        <f t="shared" si="10"/>
        <v>0</v>
      </c>
      <c r="AD181" s="48" t="str">
        <f t="shared" si="11"/>
        <v/>
      </c>
      <c r="AE181" s="72">
        <v>176.0</v>
      </c>
      <c r="AF181" s="83" t="str">
        <f t="shared" si="12"/>
        <v/>
      </c>
      <c r="AG181" s="72">
        <v>176.0</v>
      </c>
      <c r="AH181" s="48" t="str">
        <f t="shared" si="13"/>
        <v/>
      </c>
      <c r="AI181" s="84" t="str">
        <f t="shared" si="14"/>
        <v/>
      </c>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52"/>
      <c r="BH181" s="48"/>
      <c r="BI181" s="48"/>
      <c r="BJ181" s="48"/>
      <c r="BK181" s="48"/>
      <c r="BL181" s="48"/>
      <c r="BM181" s="48"/>
      <c r="BN181" s="48"/>
      <c r="BO181" s="48"/>
      <c r="BP181" s="48"/>
      <c r="BQ181" s="48"/>
    </row>
    <row r="182" ht="23.25" customHeight="1">
      <c r="A182" s="47">
        <v>177.0</v>
      </c>
      <c r="B182" s="89"/>
      <c r="C182" s="82" t="str">
        <f>IF(B182="","",VLOOKUP(B182,'Mitglieder BBU'!A:N,6,0))</f>
        <v/>
      </c>
      <c r="D182" s="82" t="str">
        <f>IF(#REF!="","",VLOOKUP(#REF!,'Mitglieder BBU'!A:N,6,0))</f>
        <v>#REF!</v>
      </c>
      <c r="E182" s="82" t="str">
        <f>IF(#REF!="","",VLOOKUP(#REF!,'Mitglieder BBU'!A:N,6,0))</f>
        <v>#REF!</v>
      </c>
      <c r="F182" s="82"/>
      <c r="G182" s="75" t="str">
        <f>IFNA(VLOOKUP(B182,Datensammler!$B:$AA,24,0),"")</f>
        <v/>
      </c>
      <c r="H182" s="47"/>
      <c r="I182" s="47"/>
      <c r="J182" s="47"/>
      <c r="K182" s="76">
        <f t="shared" si="3"/>
        <v>0</v>
      </c>
      <c r="L182" s="75" t="str">
        <f>IFERROR('HI-LOW Berechnung'!AS181,0)</f>
        <v/>
      </c>
      <c r="M182" s="47" t="str">
        <f>IFERROR('HI-LOW Berechnung'!AY181,0)</f>
        <v/>
      </c>
      <c r="N182" s="76" t="str">
        <f>IFERROR('HI-LOW Berechnung'!BB181,0)</f>
        <v/>
      </c>
      <c r="O182" s="75" t="str">
        <f>IFNA(VLOOKUP(B182,Datensammler!$B:$AA,25,0),"")</f>
        <v/>
      </c>
      <c r="P182" s="47"/>
      <c r="Q182" s="47"/>
      <c r="R182" s="47"/>
      <c r="S182" s="77">
        <f t="shared" si="4"/>
        <v>0</v>
      </c>
      <c r="T182" s="78" t="str">
        <f t="shared" ref="T182:U182" si="363">IF(G182=0,"",G182/O182)</f>
        <v>#DIV/0!</v>
      </c>
      <c r="U182" s="51" t="str">
        <f t="shared" si="363"/>
        <v/>
      </c>
      <c r="V182" s="51" t="str">
        <f t="shared" ref="V182:W182" si="364">IF(I182="","",I182/Q182)</f>
        <v/>
      </c>
      <c r="W182" s="51" t="str">
        <f t="shared" si="364"/>
        <v/>
      </c>
      <c r="X182" s="79" t="str">
        <f t="shared" si="7"/>
        <v/>
      </c>
      <c r="Y182" s="48">
        <v>177.0</v>
      </c>
      <c r="Z182" s="48">
        <f t="shared" si="8"/>
        <v>0</v>
      </c>
      <c r="AA182" s="48">
        <f t="shared" si="9"/>
        <v>0</v>
      </c>
      <c r="AB182" s="48">
        <v>177.0</v>
      </c>
      <c r="AC182" s="48">
        <f t="shared" si="10"/>
        <v>0</v>
      </c>
      <c r="AD182" s="48" t="str">
        <f t="shared" si="11"/>
        <v/>
      </c>
      <c r="AE182" s="72">
        <v>177.0</v>
      </c>
      <c r="AF182" s="83" t="str">
        <f t="shared" si="12"/>
        <v/>
      </c>
      <c r="AG182" s="72">
        <v>177.0</v>
      </c>
      <c r="AH182" s="48" t="str">
        <f t="shared" si="13"/>
        <v/>
      </c>
      <c r="AI182" s="84" t="str">
        <f t="shared" si="14"/>
        <v/>
      </c>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52"/>
      <c r="BH182" s="48"/>
      <c r="BI182" s="48"/>
      <c r="BJ182" s="48"/>
      <c r="BK182" s="48"/>
      <c r="BL182" s="48"/>
      <c r="BM182" s="48"/>
      <c r="BN182" s="48"/>
      <c r="BO182" s="48"/>
      <c r="BP182" s="48"/>
      <c r="BQ182" s="48"/>
    </row>
    <row r="183" ht="23.25" customHeight="1">
      <c r="A183" s="47">
        <v>178.0</v>
      </c>
      <c r="B183" s="89"/>
      <c r="C183" s="82" t="str">
        <f>IF(B183="","",VLOOKUP(B183,'Mitglieder BBU'!A:N,6,0))</f>
        <v/>
      </c>
      <c r="D183" s="82" t="str">
        <f>IF(#REF!="","",VLOOKUP(#REF!,'Mitglieder BBU'!A:N,6,0))</f>
        <v>#REF!</v>
      </c>
      <c r="E183" s="82" t="str">
        <f>IF(#REF!="","",VLOOKUP(#REF!,'Mitglieder BBU'!A:N,6,0))</f>
        <v>#REF!</v>
      </c>
      <c r="F183" s="82"/>
      <c r="G183" s="75" t="str">
        <f>IFNA(VLOOKUP(B183,Datensammler!$B:$AA,24,0),"")</f>
        <v/>
      </c>
      <c r="H183" s="47"/>
      <c r="I183" s="47"/>
      <c r="J183" s="47"/>
      <c r="K183" s="76">
        <f t="shared" si="3"/>
        <v>0</v>
      </c>
      <c r="L183" s="75" t="str">
        <f>IFERROR('HI-LOW Berechnung'!AS182,0)</f>
        <v/>
      </c>
      <c r="M183" s="47" t="str">
        <f>IFERROR('HI-LOW Berechnung'!AY182,0)</f>
        <v/>
      </c>
      <c r="N183" s="76" t="str">
        <f>IFERROR('HI-LOW Berechnung'!BB182,0)</f>
        <v/>
      </c>
      <c r="O183" s="75" t="str">
        <f>IFNA(VLOOKUP(B183,Datensammler!$B:$AA,25,0),"")</f>
        <v/>
      </c>
      <c r="P183" s="47"/>
      <c r="Q183" s="47"/>
      <c r="R183" s="47"/>
      <c r="S183" s="77">
        <f t="shared" si="4"/>
        <v>0</v>
      </c>
      <c r="T183" s="78" t="str">
        <f t="shared" ref="T183:U183" si="365">IF(G183=0,"",G183/O183)</f>
        <v>#DIV/0!</v>
      </c>
      <c r="U183" s="51" t="str">
        <f t="shared" si="365"/>
        <v/>
      </c>
      <c r="V183" s="51" t="str">
        <f t="shared" ref="V183:W183" si="366">IF(I183="","",I183/Q183)</f>
        <v/>
      </c>
      <c r="W183" s="51" t="str">
        <f t="shared" si="366"/>
        <v/>
      </c>
      <c r="X183" s="79" t="str">
        <f t="shared" si="7"/>
        <v/>
      </c>
      <c r="Y183" s="48">
        <v>178.0</v>
      </c>
      <c r="Z183" s="48">
        <f t="shared" si="8"/>
        <v>0</v>
      </c>
      <c r="AA183" s="48">
        <f t="shared" si="9"/>
        <v>0</v>
      </c>
      <c r="AB183" s="48">
        <v>178.0</v>
      </c>
      <c r="AC183" s="48">
        <f t="shared" si="10"/>
        <v>0</v>
      </c>
      <c r="AD183" s="48" t="str">
        <f t="shared" si="11"/>
        <v/>
      </c>
      <c r="AE183" s="72">
        <v>178.0</v>
      </c>
      <c r="AF183" s="83" t="str">
        <f t="shared" si="12"/>
        <v/>
      </c>
      <c r="AG183" s="72">
        <v>178.0</v>
      </c>
      <c r="AH183" s="48" t="str">
        <f t="shared" si="13"/>
        <v/>
      </c>
      <c r="AI183" s="84" t="str">
        <f t="shared" si="14"/>
        <v/>
      </c>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52"/>
      <c r="BH183" s="48"/>
      <c r="BI183" s="48"/>
      <c r="BJ183" s="48"/>
      <c r="BK183" s="48"/>
      <c r="BL183" s="48"/>
      <c r="BM183" s="48"/>
      <c r="BN183" s="48"/>
      <c r="BO183" s="48"/>
      <c r="BP183" s="48"/>
      <c r="BQ183" s="48"/>
    </row>
    <row r="184" ht="23.25" customHeight="1">
      <c r="A184" s="47">
        <v>179.0</v>
      </c>
      <c r="B184" s="89"/>
      <c r="C184" s="82" t="str">
        <f>IF(B184="","",VLOOKUP(B184,'Mitglieder BBU'!A:N,6,0))</f>
        <v/>
      </c>
      <c r="D184" s="82" t="str">
        <f>IF(#REF!="","",VLOOKUP(#REF!,'Mitglieder BBU'!A:N,6,0))</f>
        <v>#REF!</v>
      </c>
      <c r="E184" s="82" t="str">
        <f>IF(#REF!="","",VLOOKUP(#REF!,'Mitglieder BBU'!A:N,6,0))</f>
        <v>#REF!</v>
      </c>
      <c r="F184" s="82"/>
      <c r="G184" s="75" t="str">
        <f>IFNA(VLOOKUP(B184,Datensammler!$B:$AA,24,0),"")</f>
        <v/>
      </c>
      <c r="H184" s="47"/>
      <c r="I184" s="47"/>
      <c r="J184" s="47"/>
      <c r="K184" s="76">
        <f t="shared" si="3"/>
        <v>0</v>
      </c>
      <c r="L184" s="75" t="str">
        <f>IFERROR('HI-LOW Berechnung'!AS183,0)</f>
        <v/>
      </c>
      <c r="M184" s="47" t="str">
        <f>IFERROR('HI-LOW Berechnung'!AY183,0)</f>
        <v/>
      </c>
      <c r="N184" s="76" t="str">
        <f>IFERROR('HI-LOW Berechnung'!BB183,0)</f>
        <v/>
      </c>
      <c r="O184" s="75" t="str">
        <f>IFNA(VLOOKUP(B184,Datensammler!$B:$AA,25,0),"")</f>
        <v/>
      </c>
      <c r="P184" s="47"/>
      <c r="Q184" s="47"/>
      <c r="R184" s="47"/>
      <c r="S184" s="77">
        <f t="shared" si="4"/>
        <v>0</v>
      </c>
      <c r="T184" s="78" t="str">
        <f t="shared" ref="T184:U184" si="367">IF(G184=0,"",G184/O184)</f>
        <v>#DIV/0!</v>
      </c>
      <c r="U184" s="51" t="str">
        <f t="shared" si="367"/>
        <v/>
      </c>
      <c r="V184" s="51" t="str">
        <f t="shared" ref="V184:W184" si="368">IF(I184="","",I184/Q184)</f>
        <v/>
      </c>
      <c r="W184" s="51" t="str">
        <f t="shared" si="368"/>
        <v/>
      </c>
      <c r="X184" s="79" t="str">
        <f t="shared" si="7"/>
        <v/>
      </c>
      <c r="Y184" s="48">
        <v>179.0</v>
      </c>
      <c r="Z184" s="48">
        <f t="shared" si="8"/>
        <v>0</v>
      </c>
      <c r="AA184" s="48">
        <f t="shared" si="9"/>
        <v>0</v>
      </c>
      <c r="AB184" s="48">
        <v>179.0</v>
      </c>
      <c r="AC184" s="48">
        <f t="shared" si="10"/>
        <v>0</v>
      </c>
      <c r="AD184" s="48" t="str">
        <f t="shared" si="11"/>
        <v/>
      </c>
      <c r="AE184" s="72">
        <v>179.0</v>
      </c>
      <c r="AF184" s="83" t="str">
        <f t="shared" si="12"/>
        <v/>
      </c>
      <c r="AG184" s="72">
        <v>179.0</v>
      </c>
      <c r="AH184" s="48" t="str">
        <f t="shared" si="13"/>
        <v/>
      </c>
      <c r="AI184" s="84" t="str">
        <f t="shared" si="14"/>
        <v/>
      </c>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52"/>
      <c r="BH184" s="48"/>
      <c r="BI184" s="48"/>
      <c r="BJ184" s="48"/>
      <c r="BK184" s="48"/>
      <c r="BL184" s="48"/>
      <c r="BM184" s="48"/>
      <c r="BN184" s="48"/>
      <c r="BO184" s="48"/>
      <c r="BP184" s="48"/>
      <c r="BQ184" s="48"/>
    </row>
    <row r="185" ht="23.25" customHeight="1">
      <c r="A185" s="47">
        <v>180.0</v>
      </c>
      <c r="B185" s="89"/>
      <c r="C185" s="82" t="str">
        <f>IF(B185="","",VLOOKUP(B185,'Mitglieder BBU'!A:N,6,0))</f>
        <v/>
      </c>
      <c r="D185" s="82" t="str">
        <f>IF(#REF!="","",VLOOKUP(#REF!,'Mitglieder BBU'!A:N,6,0))</f>
        <v>#REF!</v>
      </c>
      <c r="E185" s="82" t="str">
        <f>IF(#REF!="","",VLOOKUP(#REF!,'Mitglieder BBU'!A:N,6,0))</f>
        <v>#REF!</v>
      </c>
      <c r="F185" s="82"/>
      <c r="G185" s="75" t="str">
        <f>IFNA(VLOOKUP(B185,Datensammler!$B:$AA,24,0),"")</f>
        <v/>
      </c>
      <c r="H185" s="47"/>
      <c r="I185" s="47"/>
      <c r="J185" s="47"/>
      <c r="K185" s="76">
        <f t="shared" si="3"/>
        <v>0</v>
      </c>
      <c r="L185" s="75" t="str">
        <f>IFERROR('HI-LOW Berechnung'!AS184,0)</f>
        <v/>
      </c>
      <c r="M185" s="47" t="str">
        <f>IFERROR('HI-LOW Berechnung'!AY184,0)</f>
        <v/>
      </c>
      <c r="N185" s="76" t="str">
        <f>IFERROR('HI-LOW Berechnung'!BB184,0)</f>
        <v/>
      </c>
      <c r="O185" s="75" t="str">
        <f>IFNA(VLOOKUP(B185,Datensammler!$B:$AA,25,0),"")</f>
        <v/>
      </c>
      <c r="P185" s="47"/>
      <c r="Q185" s="47"/>
      <c r="R185" s="47"/>
      <c r="S185" s="77">
        <f t="shared" si="4"/>
        <v>0</v>
      </c>
      <c r="T185" s="78" t="str">
        <f t="shared" ref="T185:U185" si="369">IF(G185=0,"",G185/O185)</f>
        <v>#DIV/0!</v>
      </c>
      <c r="U185" s="51" t="str">
        <f t="shared" si="369"/>
        <v/>
      </c>
      <c r="V185" s="51" t="str">
        <f t="shared" ref="V185:W185" si="370">IF(I185="","",I185/Q185)</f>
        <v/>
      </c>
      <c r="W185" s="51" t="str">
        <f t="shared" si="370"/>
        <v/>
      </c>
      <c r="X185" s="79" t="str">
        <f t="shared" si="7"/>
        <v/>
      </c>
      <c r="Y185" s="48">
        <v>180.0</v>
      </c>
      <c r="Z185" s="48">
        <f t="shared" si="8"/>
        <v>0</v>
      </c>
      <c r="AA185" s="48">
        <f t="shared" si="9"/>
        <v>0</v>
      </c>
      <c r="AB185" s="48">
        <v>180.0</v>
      </c>
      <c r="AC185" s="48">
        <f t="shared" si="10"/>
        <v>0</v>
      </c>
      <c r="AD185" s="48" t="str">
        <f t="shared" si="11"/>
        <v/>
      </c>
      <c r="AE185" s="72">
        <v>180.0</v>
      </c>
      <c r="AF185" s="83" t="str">
        <f t="shared" si="12"/>
        <v/>
      </c>
      <c r="AG185" s="72">
        <v>180.0</v>
      </c>
      <c r="AH185" s="48" t="str">
        <f t="shared" si="13"/>
        <v/>
      </c>
      <c r="AI185" s="84" t="str">
        <f t="shared" si="14"/>
        <v/>
      </c>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52"/>
      <c r="BH185" s="48"/>
      <c r="BI185" s="48"/>
      <c r="BJ185" s="48"/>
      <c r="BK185" s="48"/>
      <c r="BL185" s="48"/>
      <c r="BM185" s="48"/>
      <c r="BN185" s="48"/>
      <c r="BO185" s="48"/>
      <c r="BP185" s="48"/>
      <c r="BQ185" s="48"/>
    </row>
    <row r="186" ht="23.25" customHeight="1">
      <c r="A186" s="47">
        <v>181.0</v>
      </c>
      <c r="B186" s="89"/>
      <c r="C186" s="82" t="str">
        <f>IF(B186="","",VLOOKUP(B186,'Mitglieder BBU'!A:N,6,0))</f>
        <v/>
      </c>
      <c r="D186" s="82" t="str">
        <f>IF(#REF!="","",VLOOKUP(#REF!,'Mitglieder BBU'!A:N,6,0))</f>
        <v>#REF!</v>
      </c>
      <c r="E186" s="82" t="str">
        <f>IF(#REF!="","",VLOOKUP(#REF!,'Mitglieder BBU'!A:N,6,0))</f>
        <v>#REF!</v>
      </c>
      <c r="F186" s="82"/>
      <c r="G186" s="75" t="str">
        <f>IFNA(VLOOKUP(B186,Datensammler!$B:$AA,24,0),"")</f>
        <v/>
      </c>
      <c r="H186" s="47"/>
      <c r="I186" s="47"/>
      <c r="J186" s="47"/>
      <c r="K186" s="76">
        <f t="shared" si="3"/>
        <v>0</v>
      </c>
      <c r="L186" s="75" t="str">
        <f>IFERROR('HI-LOW Berechnung'!AS185,0)</f>
        <v/>
      </c>
      <c r="M186" s="47" t="str">
        <f>IFERROR('HI-LOW Berechnung'!AY185,0)</f>
        <v/>
      </c>
      <c r="N186" s="76" t="str">
        <f>IFERROR('HI-LOW Berechnung'!BB185,0)</f>
        <v/>
      </c>
      <c r="O186" s="75" t="str">
        <f>IFNA(VLOOKUP(B186,Datensammler!$B:$AA,25,0),"")</f>
        <v/>
      </c>
      <c r="P186" s="47"/>
      <c r="Q186" s="47"/>
      <c r="R186" s="47"/>
      <c r="S186" s="77">
        <f t="shared" si="4"/>
        <v>0</v>
      </c>
      <c r="T186" s="78" t="str">
        <f t="shared" ref="T186:U186" si="371">IF(G186=0,"",G186/O186)</f>
        <v>#DIV/0!</v>
      </c>
      <c r="U186" s="51" t="str">
        <f t="shared" si="371"/>
        <v/>
      </c>
      <c r="V186" s="51" t="str">
        <f t="shared" ref="V186:W186" si="372">IF(I186="","",I186/Q186)</f>
        <v/>
      </c>
      <c r="W186" s="51" t="str">
        <f t="shared" si="372"/>
        <v/>
      </c>
      <c r="X186" s="79" t="str">
        <f t="shared" si="7"/>
        <v/>
      </c>
      <c r="Y186" s="48">
        <v>181.0</v>
      </c>
      <c r="Z186" s="48">
        <f t="shared" si="8"/>
        <v>0</v>
      </c>
      <c r="AA186" s="48">
        <f t="shared" si="9"/>
        <v>0</v>
      </c>
      <c r="AB186" s="48">
        <v>181.0</v>
      </c>
      <c r="AC186" s="48">
        <f t="shared" si="10"/>
        <v>0</v>
      </c>
      <c r="AD186" s="48" t="str">
        <f t="shared" si="11"/>
        <v/>
      </c>
      <c r="AE186" s="72">
        <v>181.0</v>
      </c>
      <c r="AF186" s="83" t="str">
        <f t="shared" si="12"/>
        <v/>
      </c>
      <c r="AG186" s="72">
        <v>181.0</v>
      </c>
      <c r="AH186" s="48" t="str">
        <f t="shared" si="13"/>
        <v/>
      </c>
      <c r="AI186" s="84" t="str">
        <f t="shared" si="14"/>
        <v/>
      </c>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52"/>
      <c r="BH186" s="48"/>
      <c r="BI186" s="48"/>
      <c r="BJ186" s="48"/>
      <c r="BK186" s="48"/>
      <c r="BL186" s="48"/>
      <c r="BM186" s="48"/>
      <c r="BN186" s="48"/>
      <c r="BO186" s="48"/>
      <c r="BP186" s="48"/>
      <c r="BQ186" s="48"/>
    </row>
    <row r="187" ht="23.25" customHeight="1">
      <c r="A187" s="47">
        <v>182.0</v>
      </c>
      <c r="B187" s="89"/>
      <c r="C187" s="82" t="str">
        <f>IF(B187="","",VLOOKUP(B187,'Mitglieder BBU'!A:N,6,0))</f>
        <v/>
      </c>
      <c r="D187" s="82" t="str">
        <f>IF(#REF!="","",VLOOKUP(#REF!,'Mitglieder BBU'!A:N,6,0))</f>
        <v>#REF!</v>
      </c>
      <c r="E187" s="82" t="str">
        <f>IF(#REF!="","",VLOOKUP(#REF!,'Mitglieder BBU'!A:N,6,0))</f>
        <v>#REF!</v>
      </c>
      <c r="F187" s="82"/>
      <c r="G187" s="75" t="str">
        <f>IFNA(VLOOKUP(B187,Datensammler!$B:$AA,24,0),"")</f>
        <v/>
      </c>
      <c r="H187" s="47"/>
      <c r="I187" s="47"/>
      <c r="J187" s="47"/>
      <c r="K187" s="76">
        <f t="shared" si="3"/>
        <v>0</v>
      </c>
      <c r="L187" s="75" t="str">
        <f>IFERROR('HI-LOW Berechnung'!AS186,0)</f>
        <v/>
      </c>
      <c r="M187" s="47" t="str">
        <f>IFERROR('HI-LOW Berechnung'!AY186,0)</f>
        <v/>
      </c>
      <c r="N187" s="76" t="str">
        <f>IFERROR('HI-LOW Berechnung'!BB186,0)</f>
        <v/>
      </c>
      <c r="O187" s="75" t="str">
        <f>IFNA(VLOOKUP(B187,Datensammler!$B:$AA,25,0),"")</f>
        <v/>
      </c>
      <c r="P187" s="47"/>
      <c r="Q187" s="47"/>
      <c r="R187" s="47"/>
      <c r="S187" s="77">
        <f t="shared" si="4"/>
        <v>0</v>
      </c>
      <c r="T187" s="78" t="str">
        <f t="shared" ref="T187:U187" si="373">IF(G187=0,"",G187/O187)</f>
        <v>#DIV/0!</v>
      </c>
      <c r="U187" s="51" t="str">
        <f t="shared" si="373"/>
        <v/>
      </c>
      <c r="V187" s="51" t="str">
        <f t="shared" ref="V187:W187" si="374">IF(I187="","",I187/Q187)</f>
        <v/>
      </c>
      <c r="W187" s="51" t="str">
        <f t="shared" si="374"/>
        <v/>
      </c>
      <c r="X187" s="79" t="str">
        <f t="shared" si="7"/>
        <v/>
      </c>
      <c r="Y187" s="48">
        <v>182.0</v>
      </c>
      <c r="Z187" s="48">
        <f t="shared" si="8"/>
        <v>0</v>
      </c>
      <c r="AA187" s="48">
        <f t="shared" si="9"/>
        <v>0</v>
      </c>
      <c r="AB187" s="48">
        <v>182.0</v>
      </c>
      <c r="AC187" s="48">
        <f t="shared" si="10"/>
        <v>0</v>
      </c>
      <c r="AD187" s="48" t="str">
        <f t="shared" si="11"/>
        <v/>
      </c>
      <c r="AE187" s="72">
        <v>182.0</v>
      </c>
      <c r="AF187" s="83" t="str">
        <f t="shared" si="12"/>
        <v/>
      </c>
      <c r="AG187" s="72">
        <v>182.0</v>
      </c>
      <c r="AH187" s="48" t="str">
        <f t="shared" si="13"/>
        <v/>
      </c>
      <c r="AI187" s="84" t="str">
        <f t="shared" si="14"/>
        <v/>
      </c>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52"/>
      <c r="BH187" s="48"/>
      <c r="BI187" s="48"/>
      <c r="BJ187" s="48"/>
      <c r="BK187" s="48"/>
      <c r="BL187" s="48"/>
      <c r="BM187" s="48"/>
      <c r="BN187" s="48"/>
      <c r="BO187" s="48"/>
      <c r="BP187" s="48"/>
      <c r="BQ187" s="48"/>
    </row>
    <row r="188" ht="23.25" customHeight="1">
      <c r="A188" s="47">
        <v>183.0</v>
      </c>
      <c r="B188" s="89"/>
      <c r="C188" s="82" t="str">
        <f>IF(B188="","",VLOOKUP(B188,'Mitglieder BBU'!A:N,6,0))</f>
        <v/>
      </c>
      <c r="D188" s="82" t="str">
        <f>IF(#REF!="","",VLOOKUP(#REF!,'Mitglieder BBU'!A:N,6,0))</f>
        <v>#REF!</v>
      </c>
      <c r="E188" s="82" t="str">
        <f>IF(#REF!="","",VLOOKUP(#REF!,'Mitglieder BBU'!A:N,6,0))</f>
        <v>#REF!</v>
      </c>
      <c r="F188" s="82"/>
      <c r="G188" s="75" t="str">
        <f>IFNA(VLOOKUP(B188,Datensammler!$B:$AA,24,0),"")</f>
        <v/>
      </c>
      <c r="H188" s="47"/>
      <c r="I188" s="47"/>
      <c r="J188" s="47"/>
      <c r="K188" s="76">
        <f t="shared" si="3"/>
        <v>0</v>
      </c>
      <c r="L188" s="75" t="str">
        <f>IFERROR('HI-LOW Berechnung'!AS187,0)</f>
        <v/>
      </c>
      <c r="M188" s="47" t="str">
        <f>IFERROR('HI-LOW Berechnung'!AY187,0)</f>
        <v/>
      </c>
      <c r="N188" s="76" t="str">
        <f>IFERROR('HI-LOW Berechnung'!BB187,0)</f>
        <v/>
      </c>
      <c r="O188" s="75" t="str">
        <f>IFNA(VLOOKUP(B188,Datensammler!$B:$AA,25,0),"")</f>
        <v/>
      </c>
      <c r="P188" s="47"/>
      <c r="Q188" s="47"/>
      <c r="R188" s="47"/>
      <c r="S188" s="77">
        <f t="shared" si="4"/>
        <v>0</v>
      </c>
      <c r="T188" s="78" t="str">
        <f t="shared" ref="T188:U188" si="375">IF(G188=0,"",G188/O188)</f>
        <v>#DIV/0!</v>
      </c>
      <c r="U188" s="51" t="str">
        <f t="shared" si="375"/>
        <v/>
      </c>
      <c r="V188" s="51" t="str">
        <f t="shared" ref="V188:W188" si="376">IF(I188="","",I188/Q188)</f>
        <v/>
      </c>
      <c r="W188" s="51" t="str">
        <f t="shared" si="376"/>
        <v/>
      </c>
      <c r="X188" s="79" t="str">
        <f t="shared" si="7"/>
        <v/>
      </c>
      <c r="Y188" s="48">
        <v>183.0</v>
      </c>
      <c r="Z188" s="48">
        <f t="shared" si="8"/>
        <v>0</v>
      </c>
      <c r="AA188" s="48">
        <f t="shared" si="9"/>
        <v>0</v>
      </c>
      <c r="AB188" s="48">
        <v>183.0</v>
      </c>
      <c r="AC188" s="48">
        <f t="shared" si="10"/>
        <v>0</v>
      </c>
      <c r="AD188" s="48" t="str">
        <f t="shared" si="11"/>
        <v/>
      </c>
      <c r="AE188" s="72">
        <v>183.0</v>
      </c>
      <c r="AF188" s="83" t="str">
        <f t="shared" si="12"/>
        <v/>
      </c>
      <c r="AG188" s="72">
        <v>183.0</v>
      </c>
      <c r="AH188" s="48" t="str">
        <f t="shared" si="13"/>
        <v/>
      </c>
      <c r="AI188" s="84" t="str">
        <f t="shared" si="14"/>
        <v/>
      </c>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52"/>
      <c r="BH188" s="48"/>
      <c r="BI188" s="48"/>
      <c r="BJ188" s="48"/>
      <c r="BK188" s="48"/>
      <c r="BL188" s="48"/>
      <c r="BM188" s="48"/>
      <c r="BN188" s="48"/>
      <c r="BO188" s="48"/>
      <c r="BP188" s="48"/>
      <c r="BQ188" s="48"/>
    </row>
    <row r="189" ht="23.25" customHeight="1">
      <c r="A189" s="47">
        <v>184.0</v>
      </c>
      <c r="B189" s="89"/>
      <c r="C189" s="82" t="str">
        <f>IF(B189="","",VLOOKUP(B189,'Mitglieder BBU'!A:N,6,0))</f>
        <v/>
      </c>
      <c r="D189" s="82" t="str">
        <f>IF(#REF!="","",VLOOKUP(#REF!,'Mitglieder BBU'!A:N,6,0))</f>
        <v>#REF!</v>
      </c>
      <c r="E189" s="82" t="str">
        <f>IF(#REF!="","",VLOOKUP(#REF!,'Mitglieder BBU'!A:N,6,0))</f>
        <v>#REF!</v>
      </c>
      <c r="F189" s="82"/>
      <c r="G189" s="75" t="str">
        <f>IFNA(VLOOKUP(B189,Datensammler!$B:$AA,24,0),"")</f>
        <v/>
      </c>
      <c r="H189" s="47"/>
      <c r="I189" s="47"/>
      <c r="J189" s="47"/>
      <c r="K189" s="76">
        <f t="shared" si="3"/>
        <v>0</v>
      </c>
      <c r="L189" s="75" t="str">
        <f>IFERROR('HI-LOW Berechnung'!AS188,0)</f>
        <v/>
      </c>
      <c r="M189" s="47" t="str">
        <f>IFERROR('HI-LOW Berechnung'!AY188,0)</f>
        <v/>
      </c>
      <c r="N189" s="76" t="str">
        <f>IFERROR('HI-LOW Berechnung'!BB188,0)</f>
        <v/>
      </c>
      <c r="O189" s="75" t="str">
        <f>IFNA(VLOOKUP(B189,Datensammler!$B:$AA,25,0),"")</f>
        <v/>
      </c>
      <c r="P189" s="47"/>
      <c r="Q189" s="47"/>
      <c r="R189" s="47"/>
      <c r="S189" s="77">
        <f t="shared" si="4"/>
        <v>0</v>
      </c>
      <c r="T189" s="78" t="str">
        <f t="shared" ref="T189:U189" si="377">IF(G189=0,"",G189/O189)</f>
        <v>#DIV/0!</v>
      </c>
      <c r="U189" s="51" t="str">
        <f t="shared" si="377"/>
        <v/>
      </c>
      <c r="V189" s="51" t="str">
        <f t="shared" ref="V189:W189" si="378">IF(I189="","",I189/Q189)</f>
        <v/>
      </c>
      <c r="W189" s="51" t="str">
        <f t="shared" si="378"/>
        <v/>
      </c>
      <c r="X189" s="79" t="str">
        <f t="shared" si="7"/>
        <v/>
      </c>
      <c r="Y189" s="48">
        <v>184.0</v>
      </c>
      <c r="Z189" s="48">
        <f t="shared" si="8"/>
        <v>0</v>
      </c>
      <c r="AA189" s="48">
        <f t="shared" si="9"/>
        <v>0</v>
      </c>
      <c r="AB189" s="48">
        <v>184.0</v>
      </c>
      <c r="AC189" s="48">
        <f t="shared" si="10"/>
        <v>0</v>
      </c>
      <c r="AD189" s="48" t="str">
        <f t="shared" si="11"/>
        <v/>
      </c>
      <c r="AE189" s="72">
        <v>184.0</v>
      </c>
      <c r="AF189" s="83" t="str">
        <f t="shared" si="12"/>
        <v/>
      </c>
      <c r="AG189" s="72">
        <v>184.0</v>
      </c>
      <c r="AH189" s="48" t="str">
        <f t="shared" si="13"/>
        <v/>
      </c>
      <c r="AI189" s="84" t="str">
        <f t="shared" si="14"/>
        <v/>
      </c>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52"/>
      <c r="BH189" s="48"/>
      <c r="BI189" s="48"/>
      <c r="BJ189" s="48"/>
      <c r="BK189" s="48"/>
      <c r="BL189" s="48"/>
      <c r="BM189" s="48"/>
      <c r="BN189" s="48"/>
      <c r="BO189" s="48"/>
      <c r="BP189" s="48"/>
      <c r="BQ189" s="48"/>
    </row>
    <row r="190" ht="23.25" customHeight="1">
      <c r="A190" s="47">
        <v>185.0</v>
      </c>
      <c r="B190" s="89"/>
      <c r="C190" s="82" t="str">
        <f>IF(B190="","",VLOOKUP(B190,'Mitglieder BBU'!A:N,6,0))</f>
        <v/>
      </c>
      <c r="D190" s="82" t="str">
        <f>IF(#REF!="","",VLOOKUP(#REF!,'Mitglieder BBU'!A:N,6,0))</f>
        <v>#REF!</v>
      </c>
      <c r="E190" s="82" t="str">
        <f>IF(#REF!="","",VLOOKUP(#REF!,'Mitglieder BBU'!A:N,6,0))</f>
        <v>#REF!</v>
      </c>
      <c r="F190" s="82"/>
      <c r="G190" s="75" t="str">
        <f>IFNA(VLOOKUP(B190,Datensammler!$B:$AA,24,0),"")</f>
        <v/>
      </c>
      <c r="H190" s="47"/>
      <c r="I190" s="47"/>
      <c r="J190" s="47"/>
      <c r="K190" s="76">
        <f t="shared" si="3"/>
        <v>0</v>
      </c>
      <c r="L190" s="75" t="str">
        <f>IFERROR('HI-LOW Berechnung'!AS189,0)</f>
        <v/>
      </c>
      <c r="M190" s="47" t="str">
        <f>IFERROR('HI-LOW Berechnung'!AY189,0)</f>
        <v/>
      </c>
      <c r="N190" s="76" t="str">
        <f>IFERROR('HI-LOW Berechnung'!BB189,0)</f>
        <v/>
      </c>
      <c r="O190" s="75" t="str">
        <f>IFNA(VLOOKUP(B190,Datensammler!$B:$AA,25,0),"")</f>
        <v/>
      </c>
      <c r="P190" s="47"/>
      <c r="Q190" s="47"/>
      <c r="R190" s="47"/>
      <c r="S190" s="77">
        <f t="shared" si="4"/>
        <v>0</v>
      </c>
      <c r="T190" s="78" t="str">
        <f t="shared" ref="T190:U190" si="379">IF(G190=0,"",G190/O190)</f>
        <v>#DIV/0!</v>
      </c>
      <c r="U190" s="51" t="str">
        <f t="shared" si="379"/>
        <v/>
      </c>
      <c r="V190" s="51" t="str">
        <f t="shared" ref="V190:W190" si="380">IF(I190="","",I190/Q190)</f>
        <v/>
      </c>
      <c r="W190" s="51" t="str">
        <f t="shared" si="380"/>
        <v/>
      </c>
      <c r="X190" s="79" t="str">
        <f t="shared" si="7"/>
        <v/>
      </c>
      <c r="Y190" s="48">
        <v>185.0</v>
      </c>
      <c r="Z190" s="48">
        <f t="shared" si="8"/>
        <v>0</v>
      </c>
      <c r="AA190" s="48">
        <f t="shared" si="9"/>
        <v>0</v>
      </c>
      <c r="AB190" s="48">
        <v>185.0</v>
      </c>
      <c r="AC190" s="48">
        <f t="shared" si="10"/>
        <v>0</v>
      </c>
      <c r="AD190" s="48" t="str">
        <f t="shared" si="11"/>
        <v/>
      </c>
      <c r="AE190" s="72">
        <v>185.0</v>
      </c>
      <c r="AF190" s="83" t="str">
        <f t="shared" si="12"/>
        <v/>
      </c>
      <c r="AG190" s="72">
        <v>185.0</v>
      </c>
      <c r="AH190" s="48" t="str">
        <f t="shared" si="13"/>
        <v/>
      </c>
      <c r="AI190" s="84" t="str">
        <f t="shared" si="14"/>
        <v/>
      </c>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52"/>
      <c r="BH190" s="48"/>
      <c r="BI190" s="48"/>
      <c r="BJ190" s="48"/>
      <c r="BK190" s="48"/>
      <c r="BL190" s="48"/>
      <c r="BM190" s="48"/>
      <c r="BN190" s="48"/>
      <c r="BO190" s="48"/>
      <c r="BP190" s="48"/>
      <c r="BQ190" s="48"/>
    </row>
    <row r="191" ht="23.25" customHeight="1">
      <c r="A191" s="47">
        <v>186.0</v>
      </c>
      <c r="B191" s="89"/>
      <c r="C191" s="82" t="str">
        <f>IF(B191="","",VLOOKUP(B191,'Mitglieder BBU'!A:N,6,0))</f>
        <v/>
      </c>
      <c r="D191" s="82" t="str">
        <f>IF(#REF!="","",VLOOKUP(#REF!,'Mitglieder BBU'!A:N,6,0))</f>
        <v>#REF!</v>
      </c>
      <c r="E191" s="82" t="str">
        <f>IF(#REF!="","",VLOOKUP(#REF!,'Mitglieder BBU'!A:N,6,0))</f>
        <v>#REF!</v>
      </c>
      <c r="F191" s="82"/>
      <c r="G191" s="75" t="str">
        <f>IFNA(VLOOKUP(B191,Datensammler!$B:$AA,24,0),"")</f>
        <v/>
      </c>
      <c r="H191" s="47"/>
      <c r="I191" s="47"/>
      <c r="J191" s="47"/>
      <c r="K191" s="76">
        <f t="shared" si="3"/>
        <v>0</v>
      </c>
      <c r="L191" s="75" t="str">
        <f>IFERROR('HI-LOW Berechnung'!AS190,0)</f>
        <v/>
      </c>
      <c r="M191" s="47" t="str">
        <f>IFERROR('HI-LOW Berechnung'!AY190,0)</f>
        <v/>
      </c>
      <c r="N191" s="76" t="str">
        <f>IFERROR('HI-LOW Berechnung'!BB190,0)</f>
        <v/>
      </c>
      <c r="O191" s="75" t="str">
        <f>IFNA(VLOOKUP(B191,Datensammler!$B:$AA,25,0),"")</f>
        <v/>
      </c>
      <c r="P191" s="47"/>
      <c r="Q191" s="47"/>
      <c r="R191" s="47"/>
      <c r="S191" s="77">
        <f t="shared" si="4"/>
        <v>0</v>
      </c>
      <c r="T191" s="78" t="str">
        <f t="shared" ref="T191:U191" si="381">IF(G191=0,"",G191/O191)</f>
        <v>#DIV/0!</v>
      </c>
      <c r="U191" s="51" t="str">
        <f t="shared" si="381"/>
        <v/>
      </c>
      <c r="V191" s="51" t="str">
        <f t="shared" ref="V191:W191" si="382">IF(I191="","",I191/Q191)</f>
        <v/>
      </c>
      <c r="W191" s="51" t="str">
        <f t="shared" si="382"/>
        <v/>
      </c>
      <c r="X191" s="79" t="str">
        <f t="shared" si="7"/>
        <v/>
      </c>
      <c r="Y191" s="48">
        <v>186.0</v>
      </c>
      <c r="Z191" s="48">
        <f t="shared" si="8"/>
        <v>0</v>
      </c>
      <c r="AA191" s="48">
        <f t="shared" si="9"/>
        <v>0</v>
      </c>
      <c r="AB191" s="48">
        <v>186.0</v>
      </c>
      <c r="AC191" s="48">
        <f t="shared" si="10"/>
        <v>0</v>
      </c>
      <c r="AD191" s="48" t="str">
        <f t="shared" si="11"/>
        <v/>
      </c>
      <c r="AE191" s="72">
        <v>186.0</v>
      </c>
      <c r="AF191" s="83" t="str">
        <f t="shared" si="12"/>
        <v/>
      </c>
      <c r="AG191" s="72">
        <v>186.0</v>
      </c>
      <c r="AH191" s="48" t="str">
        <f t="shared" si="13"/>
        <v/>
      </c>
      <c r="AI191" s="84" t="str">
        <f t="shared" si="14"/>
        <v/>
      </c>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52"/>
      <c r="BH191" s="48"/>
      <c r="BI191" s="48"/>
      <c r="BJ191" s="48"/>
      <c r="BK191" s="48"/>
      <c r="BL191" s="48"/>
      <c r="BM191" s="48"/>
      <c r="BN191" s="48"/>
      <c r="BO191" s="48"/>
      <c r="BP191" s="48"/>
      <c r="BQ191" s="48"/>
    </row>
    <row r="192" ht="23.25" customHeight="1">
      <c r="A192" s="47">
        <v>187.0</v>
      </c>
      <c r="B192" s="89"/>
      <c r="C192" s="82" t="str">
        <f>IF(B192="","",VLOOKUP(B192,'Mitglieder BBU'!A:N,6,0))</f>
        <v/>
      </c>
      <c r="D192" s="82" t="str">
        <f>IF(#REF!="","",VLOOKUP(#REF!,'Mitglieder BBU'!A:N,6,0))</f>
        <v>#REF!</v>
      </c>
      <c r="E192" s="82" t="str">
        <f>IF(#REF!="","",VLOOKUP(#REF!,'Mitglieder BBU'!A:N,6,0))</f>
        <v>#REF!</v>
      </c>
      <c r="F192" s="82"/>
      <c r="G192" s="75" t="str">
        <f>IFNA(VLOOKUP(B192,Datensammler!$B:$AA,24,0),"")</f>
        <v/>
      </c>
      <c r="H192" s="47"/>
      <c r="I192" s="47"/>
      <c r="J192" s="47"/>
      <c r="K192" s="76">
        <f t="shared" si="3"/>
        <v>0</v>
      </c>
      <c r="L192" s="75" t="str">
        <f>IFERROR('HI-LOW Berechnung'!AS191,0)</f>
        <v/>
      </c>
      <c r="M192" s="47" t="str">
        <f>IFERROR('HI-LOW Berechnung'!AY191,0)</f>
        <v/>
      </c>
      <c r="N192" s="76" t="str">
        <f>IFERROR('HI-LOW Berechnung'!BB191,0)</f>
        <v/>
      </c>
      <c r="O192" s="75" t="str">
        <f>IFNA(VLOOKUP(B192,Datensammler!$B:$AA,25,0),"")</f>
        <v/>
      </c>
      <c r="P192" s="47"/>
      <c r="Q192" s="47"/>
      <c r="R192" s="47"/>
      <c r="S192" s="77">
        <f t="shared" si="4"/>
        <v>0</v>
      </c>
      <c r="T192" s="78" t="str">
        <f t="shared" ref="T192:U192" si="383">IF(G192=0,"",G192/O192)</f>
        <v>#DIV/0!</v>
      </c>
      <c r="U192" s="51" t="str">
        <f t="shared" si="383"/>
        <v/>
      </c>
      <c r="V192" s="51" t="str">
        <f t="shared" ref="V192:W192" si="384">IF(I192="","",I192/Q192)</f>
        <v/>
      </c>
      <c r="W192" s="51" t="str">
        <f t="shared" si="384"/>
        <v/>
      </c>
      <c r="X192" s="79" t="str">
        <f t="shared" si="7"/>
        <v/>
      </c>
      <c r="Y192" s="48">
        <v>187.0</v>
      </c>
      <c r="Z192" s="48">
        <f t="shared" si="8"/>
        <v>0</v>
      </c>
      <c r="AA192" s="48">
        <f t="shared" si="9"/>
        <v>0</v>
      </c>
      <c r="AB192" s="48">
        <v>187.0</v>
      </c>
      <c r="AC192" s="48">
        <f t="shared" si="10"/>
        <v>0</v>
      </c>
      <c r="AD192" s="48" t="str">
        <f t="shared" si="11"/>
        <v/>
      </c>
      <c r="AE192" s="72">
        <v>187.0</v>
      </c>
      <c r="AF192" s="83" t="str">
        <f t="shared" si="12"/>
        <v/>
      </c>
      <c r="AG192" s="72">
        <v>187.0</v>
      </c>
      <c r="AH192" s="48" t="str">
        <f t="shared" si="13"/>
        <v/>
      </c>
      <c r="AI192" s="84" t="str">
        <f t="shared" si="14"/>
        <v/>
      </c>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52"/>
      <c r="BH192" s="48"/>
      <c r="BI192" s="48"/>
      <c r="BJ192" s="48"/>
      <c r="BK192" s="48"/>
      <c r="BL192" s="48"/>
      <c r="BM192" s="48"/>
      <c r="BN192" s="48"/>
      <c r="BO192" s="48"/>
      <c r="BP192" s="48"/>
      <c r="BQ192" s="48"/>
    </row>
    <row r="193" ht="23.25" customHeight="1">
      <c r="A193" s="47">
        <v>188.0</v>
      </c>
      <c r="B193" s="89"/>
      <c r="C193" s="82" t="str">
        <f>IF(B193="","",VLOOKUP(B193,'Mitglieder BBU'!A:N,6,0))</f>
        <v/>
      </c>
      <c r="D193" s="82" t="str">
        <f>IF(#REF!="","",VLOOKUP(#REF!,'Mitglieder BBU'!A:N,6,0))</f>
        <v>#REF!</v>
      </c>
      <c r="E193" s="82" t="str">
        <f>IF(#REF!="","",VLOOKUP(#REF!,'Mitglieder BBU'!A:N,6,0))</f>
        <v>#REF!</v>
      </c>
      <c r="F193" s="82"/>
      <c r="G193" s="75" t="str">
        <f>IFNA(VLOOKUP(B193,Datensammler!$B:$AA,24,0),"")</f>
        <v/>
      </c>
      <c r="H193" s="47"/>
      <c r="I193" s="47"/>
      <c r="J193" s="47"/>
      <c r="K193" s="76">
        <f t="shared" si="3"/>
        <v>0</v>
      </c>
      <c r="L193" s="75" t="str">
        <f>IFERROR('HI-LOW Berechnung'!AS192,0)</f>
        <v/>
      </c>
      <c r="M193" s="47" t="str">
        <f>IFERROR('HI-LOW Berechnung'!AY192,0)</f>
        <v/>
      </c>
      <c r="N193" s="76" t="str">
        <f>IFERROR('HI-LOW Berechnung'!BB192,0)</f>
        <v/>
      </c>
      <c r="O193" s="75" t="str">
        <f>IFNA(VLOOKUP(B193,Datensammler!$B:$AA,25,0),"")</f>
        <v/>
      </c>
      <c r="P193" s="47"/>
      <c r="Q193" s="47"/>
      <c r="R193" s="47"/>
      <c r="S193" s="77">
        <f t="shared" si="4"/>
        <v>0</v>
      </c>
      <c r="T193" s="78" t="str">
        <f t="shared" ref="T193:U193" si="385">IF(G193=0,"",G193/O193)</f>
        <v>#DIV/0!</v>
      </c>
      <c r="U193" s="51" t="str">
        <f t="shared" si="385"/>
        <v/>
      </c>
      <c r="V193" s="51" t="str">
        <f t="shared" ref="V193:W193" si="386">IF(I193="","",I193/Q193)</f>
        <v/>
      </c>
      <c r="W193" s="51" t="str">
        <f t="shared" si="386"/>
        <v/>
      </c>
      <c r="X193" s="79" t="str">
        <f t="shared" si="7"/>
        <v/>
      </c>
      <c r="Y193" s="48">
        <v>188.0</v>
      </c>
      <c r="Z193" s="48">
        <f t="shared" si="8"/>
        <v>0</v>
      </c>
      <c r="AA193" s="48">
        <f t="shared" si="9"/>
        <v>0</v>
      </c>
      <c r="AB193" s="48">
        <v>188.0</v>
      </c>
      <c r="AC193" s="48">
        <f t="shared" si="10"/>
        <v>0</v>
      </c>
      <c r="AD193" s="48" t="str">
        <f t="shared" si="11"/>
        <v/>
      </c>
      <c r="AE193" s="72">
        <v>188.0</v>
      </c>
      <c r="AF193" s="83" t="str">
        <f t="shared" si="12"/>
        <v/>
      </c>
      <c r="AG193" s="72">
        <v>188.0</v>
      </c>
      <c r="AH193" s="48" t="str">
        <f t="shared" si="13"/>
        <v/>
      </c>
      <c r="AI193" s="84" t="str">
        <f t="shared" si="14"/>
        <v/>
      </c>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52"/>
      <c r="BH193" s="48"/>
      <c r="BI193" s="48"/>
      <c r="BJ193" s="48"/>
      <c r="BK193" s="48"/>
      <c r="BL193" s="48"/>
      <c r="BM193" s="48"/>
      <c r="BN193" s="48"/>
      <c r="BO193" s="48"/>
      <c r="BP193" s="48"/>
      <c r="BQ193" s="48"/>
    </row>
    <row r="194" ht="23.25" customHeight="1">
      <c r="A194" s="47">
        <v>189.0</v>
      </c>
      <c r="B194" s="89"/>
      <c r="C194" s="82" t="str">
        <f>IF(B194="","",VLOOKUP(B194,'Mitglieder BBU'!A:N,6,0))</f>
        <v/>
      </c>
      <c r="D194" s="82" t="str">
        <f>IF(#REF!="","",VLOOKUP(#REF!,'Mitglieder BBU'!A:N,6,0))</f>
        <v>#REF!</v>
      </c>
      <c r="E194" s="82" t="str">
        <f>IF(#REF!="","",VLOOKUP(#REF!,'Mitglieder BBU'!A:N,6,0))</f>
        <v>#REF!</v>
      </c>
      <c r="F194" s="82"/>
      <c r="G194" s="75" t="str">
        <f>IFNA(VLOOKUP(B194,Datensammler!$B:$AA,24,0),"")</f>
        <v/>
      </c>
      <c r="H194" s="47"/>
      <c r="I194" s="47"/>
      <c r="J194" s="47"/>
      <c r="K194" s="76">
        <f t="shared" si="3"/>
        <v>0</v>
      </c>
      <c r="L194" s="75" t="str">
        <f>IFERROR('HI-LOW Berechnung'!AS193,0)</f>
        <v/>
      </c>
      <c r="M194" s="47" t="str">
        <f>IFERROR('HI-LOW Berechnung'!AY193,0)</f>
        <v/>
      </c>
      <c r="N194" s="76" t="str">
        <f>IFERROR('HI-LOW Berechnung'!BB193,0)</f>
        <v/>
      </c>
      <c r="O194" s="75" t="str">
        <f>IFNA(VLOOKUP(B194,Datensammler!$B:$AA,25,0),"")</f>
        <v/>
      </c>
      <c r="P194" s="47"/>
      <c r="Q194" s="47"/>
      <c r="R194" s="47"/>
      <c r="S194" s="77">
        <f t="shared" si="4"/>
        <v>0</v>
      </c>
      <c r="T194" s="78" t="str">
        <f t="shared" ref="T194:U194" si="387">IF(G194=0,"",G194/O194)</f>
        <v>#DIV/0!</v>
      </c>
      <c r="U194" s="51" t="str">
        <f t="shared" si="387"/>
        <v/>
      </c>
      <c r="V194" s="51" t="str">
        <f t="shared" ref="V194:W194" si="388">IF(I194="","",I194/Q194)</f>
        <v/>
      </c>
      <c r="W194" s="51" t="str">
        <f t="shared" si="388"/>
        <v/>
      </c>
      <c r="X194" s="79" t="str">
        <f t="shared" si="7"/>
        <v/>
      </c>
      <c r="Y194" s="48">
        <v>189.0</v>
      </c>
      <c r="Z194" s="48">
        <f t="shared" si="8"/>
        <v>0</v>
      </c>
      <c r="AA194" s="48">
        <f t="shared" si="9"/>
        <v>0</v>
      </c>
      <c r="AB194" s="48">
        <v>189.0</v>
      </c>
      <c r="AC194" s="48">
        <f t="shared" si="10"/>
        <v>0</v>
      </c>
      <c r="AD194" s="48" t="str">
        <f t="shared" si="11"/>
        <v/>
      </c>
      <c r="AE194" s="72">
        <v>189.0</v>
      </c>
      <c r="AF194" s="83" t="str">
        <f t="shared" si="12"/>
        <v/>
      </c>
      <c r="AG194" s="72">
        <v>189.0</v>
      </c>
      <c r="AH194" s="48" t="str">
        <f t="shared" si="13"/>
        <v/>
      </c>
      <c r="AI194" s="84" t="str">
        <f t="shared" si="14"/>
        <v/>
      </c>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52"/>
      <c r="BH194" s="48"/>
      <c r="BI194" s="48"/>
      <c r="BJ194" s="48"/>
      <c r="BK194" s="48"/>
      <c r="BL194" s="48"/>
      <c r="BM194" s="48"/>
      <c r="BN194" s="48"/>
      <c r="BO194" s="48"/>
      <c r="BP194" s="48"/>
      <c r="BQ194" s="48"/>
    </row>
    <row r="195" ht="23.25" customHeight="1">
      <c r="A195" s="47">
        <v>190.0</v>
      </c>
      <c r="B195" s="89"/>
      <c r="C195" s="82" t="str">
        <f>IF(B195="","",VLOOKUP(B195,'Mitglieder BBU'!A:N,6,0))</f>
        <v/>
      </c>
      <c r="D195" s="82" t="str">
        <f>IF(#REF!="","",VLOOKUP(#REF!,'Mitglieder BBU'!A:N,6,0))</f>
        <v>#REF!</v>
      </c>
      <c r="E195" s="82" t="str">
        <f>IF(#REF!="","",VLOOKUP(#REF!,'Mitglieder BBU'!A:N,6,0))</f>
        <v>#REF!</v>
      </c>
      <c r="F195" s="82"/>
      <c r="G195" s="75" t="str">
        <f>IFNA(VLOOKUP(B195,Datensammler!$B:$AA,24,0),"")</f>
        <v/>
      </c>
      <c r="H195" s="47"/>
      <c r="I195" s="47"/>
      <c r="J195" s="47"/>
      <c r="K195" s="76">
        <f t="shared" si="3"/>
        <v>0</v>
      </c>
      <c r="L195" s="75" t="str">
        <f>IFERROR('HI-LOW Berechnung'!AS194,0)</f>
        <v/>
      </c>
      <c r="M195" s="47" t="str">
        <f>IFERROR('HI-LOW Berechnung'!AY194,0)</f>
        <v/>
      </c>
      <c r="N195" s="76" t="str">
        <f>IFERROR('HI-LOW Berechnung'!BB194,0)</f>
        <v/>
      </c>
      <c r="O195" s="75" t="str">
        <f>IFNA(VLOOKUP(B195,Datensammler!$B:$AA,25,0),"")</f>
        <v/>
      </c>
      <c r="P195" s="47"/>
      <c r="Q195" s="47"/>
      <c r="R195" s="47"/>
      <c r="S195" s="77">
        <f t="shared" si="4"/>
        <v>0</v>
      </c>
      <c r="T195" s="78" t="str">
        <f t="shared" ref="T195:U195" si="389">IF(G195=0,"",G195/O195)</f>
        <v>#DIV/0!</v>
      </c>
      <c r="U195" s="51" t="str">
        <f t="shared" si="389"/>
        <v/>
      </c>
      <c r="V195" s="51" t="str">
        <f t="shared" ref="V195:W195" si="390">IF(I195="","",I195/Q195)</f>
        <v/>
      </c>
      <c r="W195" s="51" t="str">
        <f t="shared" si="390"/>
        <v/>
      </c>
      <c r="X195" s="79" t="str">
        <f t="shared" si="7"/>
        <v/>
      </c>
      <c r="Y195" s="48">
        <v>190.0</v>
      </c>
      <c r="Z195" s="48">
        <f t="shared" si="8"/>
        <v>0</v>
      </c>
      <c r="AA195" s="48">
        <f t="shared" si="9"/>
        <v>0</v>
      </c>
      <c r="AB195" s="48">
        <v>190.0</v>
      </c>
      <c r="AC195" s="48">
        <f t="shared" si="10"/>
        <v>0</v>
      </c>
      <c r="AD195" s="48" t="str">
        <f t="shared" si="11"/>
        <v/>
      </c>
      <c r="AE195" s="72">
        <v>190.0</v>
      </c>
      <c r="AF195" s="83" t="str">
        <f t="shared" si="12"/>
        <v/>
      </c>
      <c r="AG195" s="72">
        <v>190.0</v>
      </c>
      <c r="AH195" s="48" t="str">
        <f t="shared" si="13"/>
        <v/>
      </c>
      <c r="AI195" s="84" t="str">
        <f t="shared" si="14"/>
        <v/>
      </c>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52"/>
      <c r="BH195" s="48"/>
      <c r="BI195" s="48"/>
      <c r="BJ195" s="48"/>
      <c r="BK195" s="48"/>
      <c r="BL195" s="48"/>
      <c r="BM195" s="48"/>
      <c r="BN195" s="48"/>
      <c r="BO195" s="48"/>
      <c r="BP195" s="48"/>
      <c r="BQ195" s="48"/>
    </row>
    <row r="196" ht="23.25" customHeight="1">
      <c r="A196" s="47">
        <v>191.0</v>
      </c>
      <c r="B196" s="89"/>
      <c r="C196" s="82" t="str">
        <f>IF(B196="","",VLOOKUP(B196,'Mitglieder BBU'!A:N,6,0))</f>
        <v/>
      </c>
      <c r="D196" s="82" t="str">
        <f>IF(#REF!="","",VLOOKUP(#REF!,'Mitglieder BBU'!A:N,6,0))</f>
        <v>#REF!</v>
      </c>
      <c r="E196" s="82" t="str">
        <f>IF(#REF!="","",VLOOKUP(#REF!,'Mitglieder BBU'!A:N,6,0))</f>
        <v>#REF!</v>
      </c>
      <c r="F196" s="82"/>
      <c r="G196" s="75" t="str">
        <f>IFNA(VLOOKUP(B196,Datensammler!$B:$AA,24,0),"")</f>
        <v/>
      </c>
      <c r="H196" s="47"/>
      <c r="I196" s="47"/>
      <c r="J196" s="47"/>
      <c r="K196" s="76">
        <f t="shared" si="3"/>
        <v>0</v>
      </c>
      <c r="L196" s="75" t="str">
        <f>IFERROR('HI-LOW Berechnung'!AS195,0)</f>
        <v/>
      </c>
      <c r="M196" s="47" t="str">
        <f>IFERROR('HI-LOW Berechnung'!AY195,0)</f>
        <v/>
      </c>
      <c r="N196" s="76" t="str">
        <f>IFERROR('HI-LOW Berechnung'!BB195,0)</f>
        <v/>
      </c>
      <c r="O196" s="75" t="str">
        <f>IFNA(VLOOKUP(B196,Datensammler!$B:$AA,25,0),"")</f>
        <v/>
      </c>
      <c r="P196" s="47"/>
      <c r="Q196" s="47"/>
      <c r="R196" s="47"/>
      <c r="S196" s="77">
        <f t="shared" si="4"/>
        <v>0</v>
      </c>
      <c r="T196" s="78" t="str">
        <f t="shared" ref="T196:U196" si="391">IF(G196=0,"",G196/O196)</f>
        <v>#DIV/0!</v>
      </c>
      <c r="U196" s="51" t="str">
        <f t="shared" si="391"/>
        <v/>
      </c>
      <c r="V196" s="51" t="str">
        <f t="shared" ref="V196:W196" si="392">IF(I196="","",I196/Q196)</f>
        <v/>
      </c>
      <c r="W196" s="51" t="str">
        <f t="shared" si="392"/>
        <v/>
      </c>
      <c r="X196" s="79" t="str">
        <f t="shared" si="7"/>
        <v/>
      </c>
      <c r="Y196" s="48">
        <v>191.0</v>
      </c>
      <c r="Z196" s="48">
        <f t="shared" si="8"/>
        <v>0</v>
      </c>
      <c r="AA196" s="48">
        <f t="shared" si="9"/>
        <v>0</v>
      </c>
      <c r="AB196" s="48">
        <v>191.0</v>
      </c>
      <c r="AC196" s="48">
        <f t="shared" si="10"/>
        <v>0</v>
      </c>
      <c r="AD196" s="48" t="str">
        <f t="shared" si="11"/>
        <v/>
      </c>
      <c r="AE196" s="72">
        <v>191.0</v>
      </c>
      <c r="AF196" s="83" t="str">
        <f t="shared" si="12"/>
        <v/>
      </c>
      <c r="AG196" s="72">
        <v>191.0</v>
      </c>
      <c r="AH196" s="48" t="str">
        <f t="shared" si="13"/>
        <v/>
      </c>
      <c r="AI196" s="84" t="str">
        <f t="shared" si="14"/>
        <v/>
      </c>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52"/>
      <c r="BH196" s="48"/>
      <c r="BI196" s="48"/>
      <c r="BJ196" s="48"/>
      <c r="BK196" s="48"/>
      <c r="BL196" s="48"/>
      <c r="BM196" s="48"/>
      <c r="BN196" s="48"/>
      <c r="BO196" s="48"/>
      <c r="BP196" s="48"/>
      <c r="BQ196" s="48"/>
    </row>
    <row r="197" ht="23.25" customHeight="1">
      <c r="A197" s="47">
        <v>192.0</v>
      </c>
      <c r="B197" s="89"/>
      <c r="C197" s="82" t="str">
        <f>IF(B197="","",VLOOKUP(B197,'Mitglieder BBU'!A:N,6,0))</f>
        <v/>
      </c>
      <c r="D197" s="82" t="str">
        <f>IF(#REF!="","",VLOOKUP(#REF!,'Mitglieder BBU'!A:N,6,0))</f>
        <v>#REF!</v>
      </c>
      <c r="E197" s="82" t="str">
        <f>IF(#REF!="","",VLOOKUP(#REF!,'Mitglieder BBU'!A:N,6,0))</f>
        <v>#REF!</v>
      </c>
      <c r="F197" s="82"/>
      <c r="G197" s="75" t="str">
        <f>IFNA(VLOOKUP(B197,Datensammler!$B:$AA,24,0),"")</f>
        <v/>
      </c>
      <c r="H197" s="47"/>
      <c r="I197" s="47"/>
      <c r="J197" s="47"/>
      <c r="K197" s="76">
        <f t="shared" si="3"/>
        <v>0</v>
      </c>
      <c r="L197" s="75" t="str">
        <f>IFERROR('HI-LOW Berechnung'!AS196,0)</f>
        <v/>
      </c>
      <c r="M197" s="47" t="str">
        <f>IFERROR('HI-LOW Berechnung'!AY196,0)</f>
        <v/>
      </c>
      <c r="N197" s="76" t="str">
        <f>IFERROR('HI-LOW Berechnung'!BB196,0)</f>
        <v/>
      </c>
      <c r="O197" s="75" t="str">
        <f>IFNA(VLOOKUP(B197,Datensammler!$B:$AA,25,0),"")</f>
        <v/>
      </c>
      <c r="P197" s="47"/>
      <c r="Q197" s="47"/>
      <c r="R197" s="47"/>
      <c r="S197" s="77">
        <f t="shared" si="4"/>
        <v>0</v>
      </c>
      <c r="T197" s="78" t="str">
        <f t="shared" ref="T197:U197" si="393">IF(G197=0,"",G197/O197)</f>
        <v>#DIV/0!</v>
      </c>
      <c r="U197" s="51" t="str">
        <f t="shared" si="393"/>
        <v/>
      </c>
      <c r="V197" s="51" t="str">
        <f t="shared" ref="V197:W197" si="394">IF(I197="","",I197/Q197)</f>
        <v/>
      </c>
      <c r="W197" s="51" t="str">
        <f t="shared" si="394"/>
        <v/>
      </c>
      <c r="X197" s="79" t="str">
        <f t="shared" si="7"/>
        <v/>
      </c>
      <c r="Y197" s="48">
        <v>192.0</v>
      </c>
      <c r="Z197" s="48">
        <f t="shared" si="8"/>
        <v>0</v>
      </c>
      <c r="AA197" s="48">
        <f t="shared" si="9"/>
        <v>0</v>
      </c>
      <c r="AB197" s="48">
        <v>192.0</v>
      </c>
      <c r="AC197" s="48">
        <f t="shared" si="10"/>
        <v>0</v>
      </c>
      <c r="AD197" s="48" t="str">
        <f t="shared" si="11"/>
        <v/>
      </c>
      <c r="AE197" s="72">
        <v>192.0</v>
      </c>
      <c r="AF197" s="83" t="str">
        <f t="shared" si="12"/>
        <v/>
      </c>
      <c r="AG197" s="72">
        <v>192.0</v>
      </c>
      <c r="AH197" s="48" t="str">
        <f t="shared" si="13"/>
        <v/>
      </c>
      <c r="AI197" s="84" t="str">
        <f t="shared" si="14"/>
        <v/>
      </c>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52"/>
      <c r="BH197" s="48"/>
      <c r="BI197" s="48"/>
      <c r="BJ197" s="48"/>
      <c r="BK197" s="48"/>
      <c r="BL197" s="48"/>
      <c r="BM197" s="48"/>
      <c r="BN197" s="48"/>
      <c r="BO197" s="48"/>
      <c r="BP197" s="48"/>
      <c r="BQ197" s="48"/>
    </row>
    <row r="198" ht="23.25" customHeight="1">
      <c r="A198" s="47">
        <v>193.0</v>
      </c>
      <c r="B198" s="89"/>
      <c r="C198" s="82" t="str">
        <f>IF(B198="","",VLOOKUP(B198,'Mitglieder BBU'!A:N,6,0))</f>
        <v/>
      </c>
      <c r="D198" s="82" t="str">
        <f>IF(#REF!="","",VLOOKUP(#REF!,'Mitglieder BBU'!A:N,6,0))</f>
        <v>#REF!</v>
      </c>
      <c r="E198" s="82" t="str">
        <f>IF(#REF!="","",VLOOKUP(#REF!,'Mitglieder BBU'!A:N,6,0))</f>
        <v>#REF!</v>
      </c>
      <c r="F198" s="82"/>
      <c r="G198" s="75" t="str">
        <f>IFNA(VLOOKUP(B198,Datensammler!$B:$AA,24,0),"")</f>
        <v/>
      </c>
      <c r="H198" s="47"/>
      <c r="I198" s="47"/>
      <c r="J198" s="47"/>
      <c r="K198" s="76">
        <f t="shared" si="3"/>
        <v>0</v>
      </c>
      <c r="L198" s="75" t="str">
        <f>IFERROR('HI-LOW Berechnung'!AS197,0)</f>
        <v/>
      </c>
      <c r="M198" s="47" t="str">
        <f>IFERROR('HI-LOW Berechnung'!AY197,0)</f>
        <v/>
      </c>
      <c r="N198" s="76" t="str">
        <f>IFERROR('HI-LOW Berechnung'!BB197,0)</f>
        <v/>
      </c>
      <c r="O198" s="75" t="str">
        <f>IFNA(VLOOKUP(B198,Datensammler!$B:$AA,25,0),"")</f>
        <v/>
      </c>
      <c r="P198" s="47"/>
      <c r="Q198" s="47"/>
      <c r="R198" s="47"/>
      <c r="S198" s="77">
        <f t="shared" si="4"/>
        <v>0</v>
      </c>
      <c r="T198" s="78" t="str">
        <f t="shared" ref="T198:U198" si="395">IF(G198=0,"",G198/O198)</f>
        <v>#DIV/0!</v>
      </c>
      <c r="U198" s="51" t="str">
        <f t="shared" si="395"/>
        <v/>
      </c>
      <c r="V198" s="51" t="str">
        <f t="shared" ref="V198:W198" si="396">IF(I198="","",I198/Q198)</f>
        <v/>
      </c>
      <c r="W198" s="51" t="str">
        <f t="shared" si="396"/>
        <v/>
      </c>
      <c r="X198" s="79" t="str">
        <f t="shared" si="7"/>
        <v/>
      </c>
      <c r="Y198" s="48">
        <v>193.0</v>
      </c>
      <c r="Z198" s="48">
        <f t="shared" si="8"/>
        <v>0</v>
      </c>
      <c r="AA198" s="48">
        <f t="shared" si="9"/>
        <v>0</v>
      </c>
      <c r="AB198" s="48">
        <v>193.0</v>
      </c>
      <c r="AC198" s="48">
        <f t="shared" si="10"/>
        <v>0</v>
      </c>
      <c r="AD198" s="48" t="str">
        <f t="shared" si="11"/>
        <v/>
      </c>
      <c r="AE198" s="72">
        <v>193.0</v>
      </c>
      <c r="AF198" s="83" t="str">
        <f t="shared" si="12"/>
        <v/>
      </c>
      <c r="AG198" s="72">
        <v>193.0</v>
      </c>
      <c r="AH198" s="48" t="str">
        <f t="shared" si="13"/>
        <v/>
      </c>
      <c r="AI198" s="84" t="str">
        <f t="shared" si="14"/>
        <v/>
      </c>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52"/>
      <c r="BH198" s="48"/>
      <c r="BI198" s="48"/>
      <c r="BJ198" s="48"/>
      <c r="BK198" s="48"/>
      <c r="BL198" s="48"/>
      <c r="BM198" s="48"/>
      <c r="BN198" s="48"/>
      <c r="BO198" s="48"/>
      <c r="BP198" s="48"/>
      <c r="BQ198" s="48"/>
    </row>
    <row r="199" ht="23.25" customHeight="1">
      <c r="A199" s="47">
        <v>194.0</v>
      </c>
      <c r="B199" s="89"/>
      <c r="C199" s="82" t="str">
        <f>IF(B199="","",VLOOKUP(B199,'Mitglieder BBU'!A:N,6,0))</f>
        <v/>
      </c>
      <c r="D199" s="82" t="str">
        <f>IF(#REF!="","",VLOOKUP(#REF!,'Mitglieder BBU'!A:N,6,0))</f>
        <v>#REF!</v>
      </c>
      <c r="E199" s="82" t="str">
        <f>IF(#REF!="","",VLOOKUP(#REF!,'Mitglieder BBU'!A:N,6,0))</f>
        <v>#REF!</v>
      </c>
      <c r="F199" s="82"/>
      <c r="G199" s="75" t="str">
        <f>IFNA(VLOOKUP(B199,Datensammler!$B:$AA,24,0),"")</f>
        <v/>
      </c>
      <c r="H199" s="47"/>
      <c r="I199" s="47"/>
      <c r="J199" s="47"/>
      <c r="K199" s="76">
        <f t="shared" si="3"/>
        <v>0</v>
      </c>
      <c r="L199" s="75" t="str">
        <f>IFERROR('HI-LOW Berechnung'!AS198,0)</f>
        <v/>
      </c>
      <c r="M199" s="47" t="str">
        <f>IFERROR('HI-LOW Berechnung'!AY198,0)</f>
        <v/>
      </c>
      <c r="N199" s="76" t="str">
        <f>IFERROR('HI-LOW Berechnung'!BB198,0)</f>
        <v/>
      </c>
      <c r="O199" s="75" t="str">
        <f>IFNA(VLOOKUP(B199,Datensammler!$B:$AA,25,0),"")</f>
        <v/>
      </c>
      <c r="P199" s="47"/>
      <c r="Q199" s="47"/>
      <c r="R199" s="47"/>
      <c r="S199" s="77">
        <f t="shared" si="4"/>
        <v>0</v>
      </c>
      <c r="T199" s="78" t="str">
        <f t="shared" ref="T199:U199" si="397">IF(G199=0,"",G199/O199)</f>
        <v>#DIV/0!</v>
      </c>
      <c r="U199" s="51" t="str">
        <f t="shared" si="397"/>
        <v/>
      </c>
      <c r="V199" s="51" t="str">
        <f t="shared" ref="V199:W199" si="398">IF(I199="","",I199/Q199)</f>
        <v/>
      </c>
      <c r="W199" s="51" t="str">
        <f t="shared" si="398"/>
        <v/>
      </c>
      <c r="X199" s="79" t="str">
        <f t="shared" si="7"/>
        <v/>
      </c>
      <c r="Y199" s="48">
        <v>194.0</v>
      </c>
      <c r="Z199" s="48">
        <f t="shared" si="8"/>
        <v>0</v>
      </c>
      <c r="AA199" s="48">
        <f t="shared" si="9"/>
        <v>0</v>
      </c>
      <c r="AB199" s="48">
        <v>194.0</v>
      </c>
      <c r="AC199" s="48">
        <f t="shared" si="10"/>
        <v>0</v>
      </c>
      <c r="AD199" s="48" t="str">
        <f t="shared" si="11"/>
        <v/>
      </c>
      <c r="AE199" s="72">
        <v>194.0</v>
      </c>
      <c r="AF199" s="83" t="str">
        <f t="shared" si="12"/>
        <v/>
      </c>
      <c r="AG199" s="72">
        <v>194.0</v>
      </c>
      <c r="AH199" s="48" t="str">
        <f t="shared" si="13"/>
        <v/>
      </c>
      <c r="AI199" s="84" t="str">
        <f t="shared" si="14"/>
        <v/>
      </c>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52"/>
      <c r="BH199" s="48"/>
      <c r="BI199" s="48"/>
      <c r="BJ199" s="48"/>
      <c r="BK199" s="48"/>
      <c r="BL199" s="48"/>
      <c r="BM199" s="48"/>
      <c r="BN199" s="48"/>
      <c r="BO199" s="48"/>
      <c r="BP199" s="48"/>
      <c r="BQ199" s="48"/>
    </row>
    <row r="200" ht="23.25" customHeight="1">
      <c r="A200" s="47">
        <v>195.0</v>
      </c>
      <c r="B200" s="89"/>
      <c r="C200" s="82" t="str">
        <f>IF(B200="","",VLOOKUP(B200,'Mitglieder BBU'!A:N,6,0))</f>
        <v/>
      </c>
      <c r="D200" s="82" t="str">
        <f>IF(#REF!="","",VLOOKUP(#REF!,'Mitglieder BBU'!A:N,6,0))</f>
        <v>#REF!</v>
      </c>
      <c r="E200" s="82" t="str">
        <f>IF(#REF!="","",VLOOKUP(#REF!,'Mitglieder BBU'!A:N,6,0))</f>
        <v>#REF!</v>
      </c>
      <c r="F200" s="82"/>
      <c r="G200" s="75" t="str">
        <f>IFNA(VLOOKUP(B200,Datensammler!$B:$AA,24,0),"")</f>
        <v/>
      </c>
      <c r="H200" s="47"/>
      <c r="I200" s="47"/>
      <c r="J200" s="47"/>
      <c r="K200" s="76">
        <f t="shared" si="3"/>
        <v>0</v>
      </c>
      <c r="L200" s="75" t="str">
        <f>IFERROR('HI-LOW Berechnung'!AS199,0)</f>
        <v/>
      </c>
      <c r="M200" s="47" t="str">
        <f>IFERROR('HI-LOW Berechnung'!AY199,0)</f>
        <v/>
      </c>
      <c r="N200" s="76" t="str">
        <f>IFERROR('HI-LOW Berechnung'!BB199,0)</f>
        <v/>
      </c>
      <c r="O200" s="75" t="str">
        <f>IFNA(VLOOKUP(B200,Datensammler!$B:$AA,25,0),"")</f>
        <v/>
      </c>
      <c r="P200" s="47"/>
      <c r="Q200" s="47"/>
      <c r="R200" s="47"/>
      <c r="S200" s="77">
        <f t="shared" si="4"/>
        <v>0</v>
      </c>
      <c r="T200" s="78" t="str">
        <f t="shared" ref="T200:U200" si="399">IF(G200=0,"",G200/O200)</f>
        <v>#DIV/0!</v>
      </c>
      <c r="U200" s="51" t="str">
        <f t="shared" si="399"/>
        <v/>
      </c>
      <c r="V200" s="51" t="str">
        <f t="shared" ref="V200:W200" si="400">IF(I200="","",I200/Q200)</f>
        <v/>
      </c>
      <c r="W200" s="51" t="str">
        <f t="shared" si="400"/>
        <v/>
      </c>
      <c r="X200" s="79" t="str">
        <f t="shared" si="7"/>
        <v/>
      </c>
      <c r="Y200" s="48">
        <v>195.0</v>
      </c>
      <c r="Z200" s="48">
        <f t="shared" si="8"/>
        <v>0</v>
      </c>
      <c r="AA200" s="48">
        <f t="shared" si="9"/>
        <v>0</v>
      </c>
      <c r="AB200" s="48">
        <v>195.0</v>
      </c>
      <c r="AC200" s="48">
        <f t="shared" si="10"/>
        <v>0</v>
      </c>
      <c r="AD200" s="48" t="str">
        <f t="shared" si="11"/>
        <v/>
      </c>
      <c r="AE200" s="72">
        <v>195.0</v>
      </c>
      <c r="AF200" s="83" t="str">
        <f t="shared" si="12"/>
        <v/>
      </c>
      <c r="AG200" s="72">
        <v>195.0</v>
      </c>
      <c r="AH200" s="48" t="str">
        <f t="shared" si="13"/>
        <v/>
      </c>
      <c r="AI200" s="84" t="str">
        <f t="shared" si="14"/>
        <v/>
      </c>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52"/>
      <c r="BH200" s="48"/>
      <c r="BI200" s="48"/>
      <c r="BJ200" s="48"/>
      <c r="BK200" s="48"/>
      <c r="BL200" s="48"/>
      <c r="BM200" s="48"/>
      <c r="BN200" s="48"/>
      <c r="BO200" s="48"/>
      <c r="BP200" s="48"/>
      <c r="BQ200" s="48"/>
    </row>
    <row r="201" ht="23.25" customHeight="1">
      <c r="A201" s="47">
        <v>196.0</v>
      </c>
      <c r="B201" s="89"/>
      <c r="C201" s="82" t="str">
        <f>IF(B201="","",VLOOKUP(B201,'Mitglieder BBU'!A:N,6,0))</f>
        <v/>
      </c>
      <c r="D201" s="82" t="str">
        <f>IF(#REF!="","",VLOOKUP(#REF!,'Mitglieder BBU'!A:N,6,0))</f>
        <v>#REF!</v>
      </c>
      <c r="E201" s="82" t="str">
        <f>IF(#REF!="","",VLOOKUP(#REF!,'Mitglieder BBU'!A:N,6,0))</f>
        <v>#REF!</v>
      </c>
      <c r="F201" s="82"/>
      <c r="G201" s="75" t="str">
        <f>IFNA(VLOOKUP(B201,Datensammler!$B:$AA,24,0),"")</f>
        <v/>
      </c>
      <c r="H201" s="47"/>
      <c r="I201" s="47"/>
      <c r="J201" s="47"/>
      <c r="K201" s="76">
        <f t="shared" si="3"/>
        <v>0</v>
      </c>
      <c r="L201" s="75" t="str">
        <f>IFERROR('HI-LOW Berechnung'!AS200,0)</f>
        <v/>
      </c>
      <c r="M201" s="47" t="str">
        <f>IFERROR('HI-LOW Berechnung'!AY200,0)</f>
        <v/>
      </c>
      <c r="N201" s="76" t="str">
        <f>IFERROR('HI-LOW Berechnung'!BB200,0)</f>
        <v/>
      </c>
      <c r="O201" s="75" t="str">
        <f>IFNA(VLOOKUP(B201,Datensammler!$B:$AA,25,0),"")</f>
        <v/>
      </c>
      <c r="P201" s="47"/>
      <c r="Q201" s="47"/>
      <c r="R201" s="47"/>
      <c r="S201" s="77">
        <f t="shared" si="4"/>
        <v>0</v>
      </c>
      <c r="T201" s="78" t="str">
        <f t="shared" ref="T201:U201" si="401">IF(G201=0,"",G201/O201)</f>
        <v>#DIV/0!</v>
      </c>
      <c r="U201" s="51" t="str">
        <f t="shared" si="401"/>
        <v/>
      </c>
      <c r="V201" s="51" t="str">
        <f t="shared" ref="V201:W201" si="402">IF(I201="","",I201/Q201)</f>
        <v/>
      </c>
      <c r="W201" s="51" t="str">
        <f t="shared" si="402"/>
        <v/>
      </c>
      <c r="X201" s="79" t="str">
        <f t="shared" si="7"/>
        <v/>
      </c>
      <c r="Y201" s="48">
        <v>196.0</v>
      </c>
      <c r="Z201" s="48">
        <f t="shared" si="8"/>
        <v>0</v>
      </c>
      <c r="AA201" s="48">
        <f t="shared" si="9"/>
        <v>0</v>
      </c>
      <c r="AB201" s="48">
        <v>196.0</v>
      </c>
      <c r="AC201" s="48">
        <f t="shared" si="10"/>
        <v>0</v>
      </c>
      <c r="AD201" s="48" t="str">
        <f t="shared" si="11"/>
        <v/>
      </c>
      <c r="AE201" s="72">
        <v>196.0</v>
      </c>
      <c r="AF201" s="83" t="str">
        <f t="shared" si="12"/>
        <v/>
      </c>
      <c r="AG201" s="72">
        <v>196.0</v>
      </c>
      <c r="AH201" s="48" t="str">
        <f t="shared" si="13"/>
        <v/>
      </c>
      <c r="AI201" s="84" t="str">
        <f t="shared" si="14"/>
        <v/>
      </c>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52"/>
      <c r="BH201" s="48"/>
      <c r="BI201" s="48"/>
      <c r="BJ201" s="48"/>
      <c r="BK201" s="48"/>
      <c r="BL201" s="48"/>
      <c r="BM201" s="48"/>
      <c r="BN201" s="48"/>
      <c r="BO201" s="48"/>
      <c r="BP201" s="48"/>
      <c r="BQ201" s="48"/>
    </row>
    <row r="202" ht="23.25" customHeight="1">
      <c r="A202" s="47">
        <v>197.0</v>
      </c>
      <c r="B202" s="89"/>
      <c r="C202" s="82" t="str">
        <f>IF(B202="","",VLOOKUP(B202,'Mitglieder BBU'!A:N,6,0))</f>
        <v/>
      </c>
      <c r="D202" s="82" t="str">
        <f>IF(#REF!="","",VLOOKUP(#REF!,'Mitglieder BBU'!A:N,6,0))</f>
        <v>#REF!</v>
      </c>
      <c r="E202" s="82" t="str">
        <f>IF(#REF!="","",VLOOKUP(#REF!,'Mitglieder BBU'!A:N,6,0))</f>
        <v>#REF!</v>
      </c>
      <c r="F202" s="82"/>
      <c r="G202" s="75" t="str">
        <f>IFNA(VLOOKUP(B202,Datensammler!$B:$AA,24,0),"")</f>
        <v/>
      </c>
      <c r="H202" s="47"/>
      <c r="I202" s="47"/>
      <c r="J202" s="47"/>
      <c r="K202" s="76">
        <f t="shared" si="3"/>
        <v>0</v>
      </c>
      <c r="L202" s="75" t="str">
        <f>IFERROR('HI-LOW Berechnung'!AS201,0)</f>
        <v/>
      </c>
      <c r="M202" s="47" t="str">
        <f>IFERROR('HI-LOW Berechnung'!AY201,0)</f>
        <v/>
      </c>
      <c r="N202" s="76" t="str">
        <f>IFERROR('HI-LOW Berechnung'!BB201,0)</f>
        <v/>
      </c>
      <c r="O202" s="75" t="str">
        <f>IFNA(VLOOKUP(B202,Datensammler!$B:$AA,25,0),"")</f>
        <v/>
      </c>
      <c r="P202" s="47"/>
      <c r="Q202" s="47"/>
      <c r="R202" s="47"/>
      <c r="S202" s="77">
        <f t="shared" si="4"/>
        <v>0</v>
      </c>
      <c r="T202" s="78" t="str">
        <f t="shared" ref="T202:U202" si="403">IF(G202=0,"",G202/O202)</f>
        <v>#DIV/0!</v>
      </c>
      <c r="U202" s="51" t="str">
        <f t="shared" si="403"/>
        <v/>
      </c>
      <c r="V202" s="51" t="str">
        <f t="shared" ref="V202:W202" si="404">IF(I202="","",I202/Q202)</f>
        <v/>
      </c>
      <c r="W202" s="51" t="str">
        <f t="shared" si="404"/>
        <v/>
      </c>
      <c r="X202" s="79" t="str">
        <f t="shared" si="7"/>
        <v/>
      </c>
      <c r="Y202" s="48">
        <v>197.0</v>
      </c>
      <c r="Z202" s="48">
        <f t="shared" si="8"/>
        <v>0</v>
      </c>
      <c r="AA202" s="48">
        <f t="shared" si="9"/>
        <v>0</v>
      </c>
      <c r="AB202" s="48">
        <v>197.0</v>
      </c>
      <c r="AC202" s="48">
        <f t="shared" si="10"/>
        <v>0</v>
      </c>
      <c r="AD202" s="48" t="str">
        <f t="shared" si="11"/>
        <v/>
      </c>
      <c r="AE202" s="72">
        <v>197.0</v>
      </c>
      <c r="AF202" s="83" t="str">
        <f t="shared" si="12"/>
        <v/>
      </c>
      <c r="AG202" s="72">
        <v>197.0</v>
      </c>
      <c r="AH202" s="48" t="str">
        <f t="shared" si="13"/>
        <v/>
      </c>
      <c r="AI202" s="84" t="str">
        <f t="shared" si="14"/>
        <v/>
      </c>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52"/>
      <c r="BH202" s="48"/>
      <c r="BI202" s="48"/>
      <c r="BJ202" s="48"/>
      <c r="BK202" s="48"/>
      <c r="BL202" s="48"/>
      <c r="BM202" s="48"/>
      <c r="BN202" s="48"/>
      <c r="BO202" s="48"/>
      <c r="BP202" s="48"/>
      <c r="BQ202" s="48"/>
    </row>
    <row r="203" ht="23.25" customHeight="1">
      <c r="A203" s="47">
        <v>198.0</v>
      </c>
      <c r="B203" s="89"/>
      <c r="C203" s="82" t="str">
        <f>IF(B203="","",VLOOKUP(B203,'Mitglieder BBU'!A:N,6,0))</f>
        <v/>
      </c>
      <c r="D203" s="82" t="str">
        <f>IF(#REF!="","",VLOOKUP(#REF!,'Mitglieder BBU'!A:N,6,0))</f>
        <v>#REF!</v>
      </c>
      <c r="E203" s="82" t="str">
        <f>IF(#REF!="","",VLOOKUP(#REF!,'Mitglieder BBU'!A:N,6,0))</f>
        <v>#REF!</v>
      </c>
      <c r="F203" s="82"/>
      <c r="G203" s="75" t="str">
        <f>IFNA(VLOOKUP(B203,Datensammler!$B:$AA,24,0),"")</f>
        <v/>
      </c>
      <c r="H203" s="47"/>
      <c r="I203" s="47"/>
      <c r="J203" s="47"/>
      <c r="K203" s="76">
        <f t="shared" si="3"/>
        <v>0</v>
      </c>
      <c r="L203" s="75" t="str">
        <f>IFERROR('HI-LOW Berechnung'!AS202,0)</f>
        <v/>
      </c>
      <c r="M203" s="47" t="str">
        <f>IFERROR('HI-LOW Berechnung'!AY202,0)</f>
        <v/>
      </c>
      <c r="N203" s="76" t="str">
        <f>IFERROR('HI-LOW Berechnung'!BB202,0)</f>
        <v/>
      </c>
      <c r="O203" s="75" t="str">
        <f>IFNA(VLOOKUP(B203,Datensammler!$B:$AA,25,0),"")</f>
        <v/>
      </c>
      <c r="P203" s="47"/>
      <c r="Q203" s="47"/>
      <c r="R203" s="47"/>
      <c r="S203" s="77">
        <f t="shared" si="4"/>
        <v>0</v>
      </c>
      <c r="T203" s="78" t="str">
        <f t="shared" ref="T203:U203" si="405">IF(G203=0,"",G203/O203)</f>
        <v>#DIV/0!</v>
      </c>
      <c r="U203" s="51" t="str">
        <f t="shared" si="405"/>
        <v/>
      </c>
      <c r="V203" s="51" t="str">
        <f t="shared" ref="V203:W203" si="406">IF(I203="","",I203/Q203)</f>
        <v/>
      </c>
      <c r="W203" s="51" t="str">
        <f t="shared" si="406"/>
        <v/>
      </c>
      <c r="X203" s="79" t="str">
        <f t="shared" si="7"/>
        <v/>
      </c>
      <c r="Y203" s="48">
        <v>198.0</v>
      </c>
      <c r="Z203" s="48">
        <f t="shared" si="8"/>
        <v>0</v>
      </c>
      <c r="AA203" s="48">
        <f t="shared" si="9"/>
        <v>0</v>
      </c>
      <c r="AB203" s="48">
        <v>198.0</v>
      </c>
      <c r="AC203" s="48">
        <f t="shared" si="10"/>
        <v>0</v>
      </c>
      <c r="AD203" s="48" t="str">
        <f t="shared" si="11"/>
        <v/>
      </c>
      <c r="AE203" s="72">
        <v>198.0</v>
      </c>
      <c r="AF203" s="83" t="str">
        <f t="shared" si="12"/>
        <v/>
      </c>
      <c r="AG203" s="72">
        <v>198.0</v>
      </c>
      <c r="AH203" s="48" t="str">
        <f t="shared" si="13"/>
        <v/>
      </c>
      <c r="AI203" s="84" t="str">
        <f t="shared" si="14"/>
        <v/>
      </c>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52"/>
      <c r="BH203" s="48"/>
      <c r="BI203" s="48"/>
      <c r="BJ203" s="48"/>
      <c r="BK203" s="48"/>
      <c r="BL203" s="48"/>
      <c r="BM203" s="48"/>
      <c r="BN203" s="48"/>
      <c r="BO203" s="48"/>
      <c r="BP203" s="48"/>
      <c r="BQ203" s="48"/>
    </row>
    <row r="204" ht="23.25" customHeight="1">
      <c r="A204" s="47">
        <v>199.0</v>
      </c>
      <c r="B204" s="89"/>
      <c r="C204" s="48"/>
      <c r="D204" s="48"/>
      <c r="E204" s="48"/>
      <c r="F204" s="48"/>
      <c r="G204" s="75" t="str">
        <f>IFNA(VLOOKUP(B204,Datensammler!$B:$AA,24,0),"")</f>
        <v/>
      </c>
      <c r="H204" s="47"/>
      <c r="I204" s="47"/>
      <c r="J204" s="47"/>
      <c r="K204" s="76">
        <f t="shared" si="3"/>
        <v>0</v>
      </c>
      <c r="L204" s="75" t="str">
        <f>IFERROR('HI-LOW Berechnung'!AS203,0)</f>
        <v/>
      </c>
      <c r="M204" s="47" t="str">
        <f>IFERROR('HI-LOW Berechnung'!AY203,0)</f>
        <v/>
      </c>
      <c r="N204" s="76" t="str">
        <f>IFERROR('HI-LOW Berechnung'!BB203,0)</f>
        <v/>
      </c>
      <c r="O204" s="75" t="str">
        <f>IFNA(VLOOKUP(B204,Datensammler!$B:$AA,25,0),"")</f>
        <v/>
      </c>
      <c r="P204" s="47"/>
      <c r="Q204" s="47"/>
      <c r="R204" s="47"/>
      <c r="S204" s="77">
        <f t="shared" si="4"/>
        <v>0</v>
      </c>
      <c r="T204" s="78" t="str">
        <f t="shared" ref="T204:U204" si="407">IF(G204=0,"",G204/O204)</f>
        <v>#DIV/0!</v>
      </c>
      <c r="U204" s="51" t="str">
        <f t="shared" si="407"/>
        <v/>
      </c>
      <c r="V204" s="51" t="str">
        <f t="shared" ref="V204:W204" si="408">IF(I204="","",I204/Q204)</f>
        <v/>
      </c>
      <c r="W204" s="51" t="str">
        <f t="shared" si="408"/>
        <v/>
      </c>
      <c r="X204" s="79" t="str">
        <f t="shared" si="7"/>
        <v/>
      </c>
      <c r="Y204" s="48">
        <v>199.0</v>
      </c>
      <c r="Z204" s="48">
        <f t="shared" si="8"/>
        <v>0</v>
      </c>
      <c r="AA204" s="48">
        <f t="shared" si="9"/>
        <v>0</v>
      </c>
      <c r="AB204" s="48">
        <v>199.0</v>
      </c>
      <c r="AC204" s="48">
        <f t="shared" si="10"/>
        <v>0</v>
      </c>
      <c r="AD204" s="48" t="str">
        <f t="shared" si="11"/>
        <v/>
      </c>
      <c r="AE204" s="72">
        <v>199.0</v>
      </c>
      <c r="AF204" s="83" t="str">
        <f t="shared" si="12"/>
        <v/>
      </c>
      <c r="AG204" s="72">
        <v>199.0</v>
      </c>
      <c r="AH204" s="48" t="str">
        <f t="shared" si="13"/>
        <v/>
      </c>
      <c r="AI204" s="84" t="str">
        <f t="shared" si="14"/>
        <v/>
      </c>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52"/>
      <c r="BH204" s="48"/>
      <c r="BI204" s="48"/>
      <c r="BJ204" s="48"/>
      <c r="BK204" s="48"/>
      <c r="BL204" s="48"/>
      <c r="BM204" s="48"/>
      <c r="BN204" s="48"/>
      <c r="BO204" s="48"/>
      <c r="BP204" s="48"/>
      <c r="BQ204" s="48"/>
    </row>
    <row r="205" ht="23.25" customHeight="1">
      <c r="A205" s="47">
        <v>200.0</v>
      </c>
      <c r="B205" s="89"/>
      <c r="C205" s="48"/>
      <c r="D205" s="48"/>
      <c r="E205" s="48"/>
      <c r="F205" s="48"/>
      <c r="G205" s="75" t="str">
        <f>IFNA(VLOOKUP(B205,Datensammler!$B:$AA,24,0),"")</f>
        <v/>
      </c>
      <c r="H205" s="47"/>
      <c r="I205" s="47"/>
      <c r="J205" s="47"/>
      <c r="K205" s="76">
        <f t="shared" si="3"/>
        <v>0</v>
      </c>
      <c r="L205" s="75" t="str">
        <f>IFERROR('HI-LOW Berechnung'!AS204,0)</f>
        <v/>
      </c>
      <c r="M205" s="47" t="str">
        <f>IFERROR('HI-LOW Berechnung'!AY204,0)</f>
        <v/>
      </c>
      <c r="N205" s="76" t="str">
        <f>IFERROR('HI-LOW Berechnung'!BB204,0)</f>
        <v/>
      </c>
      <c r="O205" s="75" t="str">
        <f>IFNA(VLOOKUP(B205,Datensammler!$B:$AA,25,0),"")</f>
        <v/>
      </c>
      <c r="P205" s="47"/>
      <c r="Q205" s="47"/>
      <c r="R205" s="47"/>
      <c r="S205" s="77">
        <f t="shared" si="4"/>
        <v>0</v>
      </c>
      <c r="T205" s="78" t="str">
        <f t="shared" ref="T205:U205" si="409">IF(G205=0,"",G205/O205)</f>
        <v>#DIV/0!</v>
      </c>
      <c r="U205" s="51" t="str">
        <f t="shared" si="409"/>
        <v/>
      </c>
      <c r="V205" s="51" t="str">
        <f t="shared" ref="V205:W205" si="410">IF(I205="","",I205/Q205)</f>
        <v/>
      </c>
      <c r="W205" s="51" t="str">
        <f t="shared" si="410"/>
        <v/>
      </c>
      <c r="X205" s="79" t="str">
        <f t="shared" si="7"/>
        <v/>
      </c>
      <c r="Y205" s="48">
        <v>200.0</v>
      </c>
      <c r="Z205" s="48">
        <f t="shared" si="8"/>
        <v>0</v>
      </c>
      <c r="AA205" s="48">
        <f t="shared" si="9"/>
        <v>0</v>
      </c>
      <c r="AB205" s="48">
        <v>200.0</v>
      </c>
      <c r="AC205" s="48">
        <f t="shared" si="10"/>
        <v>0</v>
      </c>
      <c r="AD205" s="48" t="str">
        <f t="shared" si="11"/>
        <v/>
      </c>
      <c r="AE205" s="72">
        <v>200.0</v>
      </c>
      <c r="AF205" s="83" t="str">
        <f t="shared" si="12"/>
        <v/>
      </c>
      <c r="AG205" s="72">
        <v>200.0</v>
      </c>
      <c r="AH205" s="48" t="str">
        <f t="shared" si="13"/>
        <v/>
      </c>
      <c r="AI205" s="84" t="str">
        <f t="shared" si="14"/>
        <v/>
      </c>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52"/>
      <c r="BH205" s="48"/>
      <c r="BI205" s="48"/>
      <c r="BJ205" s="48"/>
      <c r="BK205" s="48"/>
      <c r="BL205" s="48"/>
      <c r="BM205" s="48"/>
      <c r="BN205" s="48"/>
      <c r="BO205" s="48"/>
      <c r="BP205" s="48"/>
      <c r="BQ205" s="48"/>
    </row>
    <row r="206" ht="23.25" customHeight="1">
      <c r="A206" s="47"/>
      <c r="B206" s="47"/>
      <c r="C206" s="48"/>
      <c r="D206" s="48"/>
      <c r="E206" s="48"/>
      <c r="F206" s="48"/>
      <c r="G206" s="47"/>
      <c r="H206" s="47"/>
      <c r="I206" s="47"/>
      <c r="J206" s="47"/>
      <c r="K206" s="47"/>
      <c r="L206" s="47"/>
      <c r="M206" s="47"/>
      <c r="N206" s="47"/>
      <c r="O206" s="47"/>
      <c r="P206" s="47"/>
      <c r="Q206" s="47"/>
      <c r="R206" s="47"/>
      <c r="S206" s="50"/>
      <c r="T206" s="51"/>
      <c r="U206" s="51"/>
      <c r="V206" s="51"/>
      <c r="W206" s="51"/>
      <c r="X206" s="51"/>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52"/>
      <c r="BH206" s="48"/>
      <c r="BI206" s="48"/>
      <c r="BJ206" s="48"/>
      <c r="BK206" s="48"/>
      <c r="BL206" s="48"/>
      <c r="BM206" s="48"/>
      <c r="BN206" s="48"/>
      <c r="BO206" s="48"/>
      <c r="BP206" s="48"/>
      <c r="BQ206" s="48"/>
    </row>
    <row r="207" ht="23.25" customHeight="1">
      <c r="A207" s="47"/>
      <c r="B207" s="47"/>
      <c r="C207" s="48"/>
      <c r="D207" s="48"/>
      <c r="E207" s="48"/>
      <c r="F207" s="48"/>
      <c r="G207" s="47"/>
      <c r="H207" s="47"/>
      <c r="I207" s="47"/>
      <c r="J207" s="47"/>
      <c r="K207" s="47"/>
      <c r="L207" s="47"/>
      <c r="M207" s="47"/>
      <c r="N207" s="47"/>
      <c r="O207" s="47"/>
      <c r="P207" s="47"/>
      <c r="Q207" s="47"/>
      <c r="R207" s="47"/>
      <c r="S207" s="50"/>
      <c r="T207" s="51"/>
      <c r="U207" s="51"/>
      <c r="V207" s="51"/>
      <c r="W207" s="51"/>
      <c r="X207" s="51"/>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52"/>
      <c r="BH207" s="48"/>
      <c r="BI207" s="48"/>
      <c r="BJ207" s="48"/>
      <c r="BK207" s="48"/>
      <c r="BL207" s="48"/>
      <c r="BM207" s="48"/>
      <c r="BN207" s="48"/>
      <c r="BO207" s="48"/>
      <c r="BP207" s="48"/>
      <c r="BQ207" s="48"/>
    </row>
    <row r="208" ht="23.25" customHeight="1">
      <c r="A208" s="47"/>
      <c r="B208" s="47"/>
      <c r="C208" s="48"/>
      <c r="D208" s="48"/>
      <c r="E208" s="48"/>
      <c r="F208" s="48"/>
      <c r="G208" s="47"/>
      <c r="H208" s="47"/>
      <c r="I208" s="47"/>
      <c r="J208" s="47"/>
      <c r="K208" s="47"/>
      <c r="L208" s="47"/>
      <c r="M208" s="47"/>
      <c r="N208" s="47"/>
      <c r="O208" s="47"/>
      <c r="P208" s="47"/>
      <c r="Q208" s="47"/>
      <c r="R208" s="47"/>
      <c r="S208" s="50"/>
      <c r="T208" s="51"/>
      <c r="U208" s="51"/>
      <c r="V208" s="51"/>
      <c r="W208" s="51"/>
      <c r="X208" s="51"/>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52"/>
      <c r="BH208" s="48"/>
      <c r="BI208" s="48"/>
      <c r="BJ208" s="48"/>
      <c r="BK208" s="48"/>
      <c r="BL208" s="48"/>
      <c r="BM208" s="48"/>
      <c r="BN208" s="48"/>
      <c r="BO208" s="48"/>
      <c r="BP208" s="48"/>
      <c r="BQ208" s="48"/>
    </row>
    <row r="209" ht="23.25" customHeight="1">
      <c r="A209" s="47"/>
      <c r="B209" s="47"/>
      <c r="C209" s="48"/>
      <c r="D209" s="48"/>
      <c r="E209" s="48"/>
      <c r="F209" s="48"/>
      <c r="G209" s="47"/>
      <c r="H209" s="47"/>
      <c r="I209" s="47"/>
      <c r="J209" s="47"/>
      <c r="K209" s="47"/>
      <c r="L209" s="47"/>
      <c r="M209" s="47"/>
      <c r="N209" s="47"/>
      <c r="O209" s="47"/>
      <c r="P209" s="47"/>
      <c r="Q209" s="47"/>
      <c r="R209" s="47"/>
      <c r="S209" s="50"/>
      <c r="T209" s="51"/>
      <c r="U209" s="51"/>
      <c r="V209" s="51"/>
      <c r="W209" s="51"/>
      <c r="X209" s="51"/>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52"/>
      <c r="BH209" s="48"/>
      <c r="BI209" s="48"/>
      <c r="BJ209" s="48"/>
      <c r="BK209" s="48"/>
      <c r="BL209" s="48"/>
      <c r="BM209" s="48"/>
      <c r="BN209" s="48"/>
      <c r="BO209" s="48"/>
      <c r="BP209" s="48"/>
      <c r="BQ209" s="48"/>
    </row>
    <row r="210" ht="23.25" customHeight="1">
      <c r="A210" s="47"/>
      <c r="B210" s="47"/>
      <c r="C210" s="48"/>
      <c r="D210" s="48"/>
      <c r="E210" s="48"/>
      <c r="F210" s="48"/>
      <c r="G210" s="47"/>
      <c r="H210" s="47"/>
      <c r="I210" s="47"/>
      <c r="J210" s="47"/>
      <c r="K210" s="47"/>
      <c r="L210" s="47"/>
      <c r="M210" s="47"/>
      <c r="N210" s="47"/>
      <c r="O210" s="47"/>
      <c r="P210" s="47"/>
      <c r="Q210" s="47"/>
      <c r="R210" s="47"/>
      <c r="S210" s="50"/>
      <c r="T210" s="51"/>
      <c r="U210" s="51"/>
      <c r="V210" s="51"/>
      <c r="W210" s="51"/>
      <c r="X210" s="51"/>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52"/>
      <c r="BH210" s="48"/>
      <c r="BI210" s="48"/>
      <c r="BJ210" s="48"/>
      <c r="BK210" s="48"/>
      <c r="BL210" s="48"/>
      <c r="BM210" s="48"/>
      <c r="BN210" s="48"/>
      <c r="BO210" s="48"/>
      <c r="BP210" s="48"/>
      <c r="BQ210" s="48"/>
    </row>
    <row r="211" ht="23.25" customHeight="1">
      <c r="A211" s="47"/>
      <c r="B211" s="47"/>
      <c r="C211" s="48"/>
      <c r="D211" s="48"/>
      <c r="E211" s="48"/>
      <c r="F211" s="48"/>
      <c r="G211" s="47"/>
      <c r="H211" s="47"/>
      <c r="I211" s="47"/>
      <c r="J211" s="47"/>
      <c r="K211" s="47"/>
      <c r="L211" s="47"/>
      <c r="M211" s="47"/>
      <c r="N211" s="47"/>
      <c r="O211" s="47"/>
      <c r="P211" s="47"/>
      <c r="Q211" s="47"/>
      <c r="R211" s="47"/>
      <c r="S211" s="50"/>
      <c r="T211" s="51"/>
      <c r="U211" s="51"/>
      <c r="V211" s="51"/>
      <c r="W211" s="51"/>
      <c r="X211" s="51"/>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52"/>
      <c r="BH211" s="48"/>
      <c r="BI211" s="48"/>
      <c r="BJ211" s="48"/>
      <c r="BK211" s="48"/>
      <c r="BL211" s="48"/>
      <c r="BM211" s="48"/>
      <c r="BN211" s="48"/>
      <c r="BO211" s="48"/>
      <c r="BP211" s="48"/>
      <c r="BQ211" s="48"/>
    </row>
    <row r="212" ht="23.25" customHeight="1">
      <c r="A212" s="47"/>
      <c r="B212" s="47"/>
      <c r="C212" s="48"/>
      <c r="D212" s="48"/>
      <c r="E212" s="48"/>
      <c r="F212" s="48"/>
      <c r="G212" s="47"/>
      <c r="H212" s="47"/>
      <c r="I212" s="47"/>
      <c r="J212" s="47"/>
      <c r="K212" s="47"/>
      <c r="L212" s="47"/>
      <c r="M212" s="47"/>
      <c r="N212" s="47"/>
      <c r="O212" s="47"/>
      <c r="P212" s="47"/>
      <c r="Q212" s="47"/>
      <c r="R212" s="47"/>
      <c r="S212" s="50"/>
      <c r="T212" s="51"/>
      <c r="U212" s="51"/>
      <c r="V212" s="51"/>
      <c r="W212" s="51"/>
      <c r="X212" s="51"/>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52"/>
      <c r="BH212" s="48"/>
      <c r="BI212" s="48"/>
      <c r="BJ212" s="48"/>
      <c r="BK212" s="48"/>
      <c r="BL212" s="48"/>
      <c r="BM212" s="48"/>
      <c r="BN212" s="48"/>
      <c r="BO212" s="48"/>
      <c r="BP212" s="48"/>
      <c r="BQ212" s="48"/>
    </row>
    <row r="213" ht="23.25" customHeight="1">
      <c r="A213" s="47"/>
      <c r="B213" s="47"/>
      <c r="C213" s="48"/>
      <c r="D213" s="48"/>
      <c r="E213" s="48"/>
      <c r="F213" s="48"/>
      <c r="G213" s="47"/>
      <c r="H213" s="47"/>
      <c r="I213" s="47"/>
      <c r="J213" s="47"/>
      <c r="K213" s="47"/>
      <c r="L213" s="47"/>
      <c r="M213" s="47"/>
      <c r="N213" s="47"/>
      <c r="O213" s="47"/>
      <c r="P213" s="47"/>
      <c r="Q213" s="47"/>
      <c r="R213" s="47"/>
      <c r="S213" s="50"/>
      <c r="T213" s="51"/>
      <c r="U213" s="51"/>
      <c r="V213" s="51"/>
      <c r="W213" s="51"/>
      <c r="X213" s="51"/>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52"/>
      <c r="BH213" s="48"/>
      <c r="BI213" s="48"/>
      <c r="BJ213" s="48"/>
      <c r="BK213" s="48"/>
      <c r="BL213" s="48"/>
      <c r="BM213" s="48"/>
      <c r="BN213" s="48"/>
      <c r="BO213" s="48"/>
      <c r="BP213" s="48"/>
      <c r="BQ213" s="48"/>
    </row>
    <row r="214" ht="23.25" customHeight="1">
      <c r="A214" s="47"/>
      <c r="B214" s="47"/>
      <c r="C214" s="48"/>
      <c r="D214" s="48"/>
      <c r="E214" s="48"/>
      <c r="F214" s="48"/>
      <c r="G214" s="47"/>
      <c r="H214" s="47"/>
      <c r="I214" s="47"/>
      <c r="J214" s="47"/>
      <c r="K214" s="47"/>
      <c r="L214" s="47"/>
      <c r="M214" s="47"/>
      <c r="N214" s="47"/>
      <c r="O214" s="47"/>
      <c r="P214" s="47"/>
      <c r="Q214" s="47"/>
      <c r="R214" s="47"/>
      <c r="S214" s="50"/>
      <c r="T214" s="51"/>
      <c r="U214" s="51"/>
      <c r="V214" s="51"/>
      <c r="W214" s="51"/>
      <c r="X214" s="51"/>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52"/>
      <c r="BH214" s="48"/>
      <c r="BI214" s="48"/>
      <c r="BJ214" s="48"/>
      <c r="BK214" s="48"/>
      <c r="BL214" s="48"/>
      <c r="BM214" s="48"/>
      <c r="BN214" s="48"/>
      <c r="BO214" s="48"/>
      <c r="BP214" s="48"/>
      <c r="BQ214" s="48"/>
    </row>
    <row r="215" ht="23.25" customHeight="1">
      <c r="A215" s="47"/>
      <c r="B215" s="47"/>
      <c r="C215" s="48"/>
      <c r="D215" s="48"/>
      <c r="E215" s="48"/>
      <c r="F215" s="48"/>
      <c r="G215" s="47"/>
      <c r="H215" s="47"/>
      <c r="I215" s="47"/>
      <c r="J215" s="47"/>
      <c r="K215" s="47"/>
      <c r="L215" s="47"/>
      <c r="M215" s="47"/>
      <c r="N215" s="47"/>
      <c r="O215" s="47"/>
      <c r="P215" s="47"/>
      <c r="Q215" s="47"/>
      <c r="R215" s="47"/>
      <c r="S215" s="50"/>
      <c r="T215" s="51"/>
      <c r="U215" s="51"/>
      <c r="V215" s="51"/>
      <c r="W215" s="51"/>
      <c r="X215" s="51"/>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52"/>
      <c r="BH215" s="48"/>
      <c r="BI215" s="48"/>
      <c r="BJ215" s="48"/>
      <c r="BK215" s="48"/>
      <c r="BL215" s="48"/>
      <c r="BM215" s="48"/>
      <c r="BN215" s="48"/>
      <c r="BO215" s="48"/>
      <c r="BP215" s="48"/>
      <c r="BQ215" s="48"/>
    </row>
    <row r="216" ht="23.25" customHeight="1">
      <c r="A216" s="47"/>
      <c r="B216" s="47"/>
      <c r="C216" s="48"/>
      <c r="D216" s="48"/>
      <c r="E216" s="48"/>
      <c r="F216" s="48"/>
      <c r="G216" s="47"/>
      <c r="H216" s="47"/>
      <c r="I216" s="47"/>
      <c r="J216" s="47"/>
      <c r="K216" s="47"/>
      <c r="L216" s="47"/>
      <c r="M216" s="47"/>
      <c r="N216" s="47"/>
      <c r="O216" s="47"/>
      <c r="P216" s="47"/>
      <c r="Q216" s="47"/>
      <c r="R216" s="47"/>
      <c r="S216" s="50"/>
      <c r="T216" s="51"/>
      <c r="U216" s="51"/>
      <c r="V216" s="51"/>
      <c r="W216" s="51"/>
      <c r="X216" s="51"/>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52"/>
      <c r="BH216" s="48"/>
      <c r="BI216" s="48"/>
      <c r="BJ216" s="48"/>
      <c r="BK216" s="48"/>
      <c r="BL216" s="48"/>
      <c r="BM216" s="48"/>
      <c r="BN216" s="48"/>
      <c r="BO216" s="48"/>
      <c r="BP216" s="48"/>
      <c r="BQ216" s="48"/>
    </row>
    <row r="217" ht="23.25" customHeight="1">
      <c r="A217" s="47"/>
      <c r="B217" s="47"/>
      <c r="C217" s="48"/>
      <c r="D217" s="48"/>
      <c r="E217" s="48"/>
      <c r="F217" s="48"/>
      <c r="G217" s="47"/>
      <c r="H217" s="47"/>
      <c r="I217" s="47"/>
      <c r="J217" s="47"/>
      <c r="K217" s="47"/>
      <c r="L217" s="47"/>
      <c r="M217" s="47"/>
      <c r="N217" s="47"/>
      <c r="O217" s="47"/>
      <c r="P217" s="47"/>
      <c r="Q217" s="47"/>
      <c r="R217" s="47"/>
      <c r="S217" s="50"/>
      <c r="T217" s="51"/>
      <c r="U217" s="51"/>
      <c r="V217" s="51"/>
      <c r="W217" s="51"/>
      <c r="X217" s="51"/>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52"/>
      <c r="BH217" s="48"/>
      <c r="BI217" s="48"/>
      <c r="BJ217" s="48"/>
      <c r="BK217" s="48"/>
      <c r="BL217" s="48"/>
      <c r="BM217" s="48"/>
      <c r="BN217" s="48"/>
      <c r="BO217" s="48"/>
      <c r="BP217" s="48"/>
      <c r="BQ217" s="48"/>
    </row>
    <row r="218" ht="23.25" customHeight="1">
      <c r="A218" s="47"/>
      <c r="B218" s="47"/>
      <c r="C218" s="48"/>
      <c r="D218" s="48"/>
      <c r="E218" s="48"/>
      <c r="F218" s="48"/>
      <c r="G218" s="47"/>
      <c r="H218" s="47"/>
      <c r="I218" s="47"/>
      <c r="J218" s="47"/>
      <c r="K218" s="47"/>
      <c r="L218" s="47"/>
      <c r="M218" s="47"/>
      <c r="N218" s="47"/>
      <c r="O218" s="47"/>
      <c r="P218" s="47"/>
      <c r="Q218" s="47"/>
      <c r="R218" s="47"/>
      <c r="S218" s="50"/>
      <c r="T218" s="51"/>
      <c r="U218" s="51"/>
      <c r="V218" s="51"/>
      <c r="W218" s="51"/>
      <c r="X218" s="51"/>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52"/>
      <c r="BH218" s="48"/>
      <c r="BI218" s="48"/>
      <c r="BJ218" s="48"/>
      <c r="BK218" s="48"/>
      <c r="BL218" s="48"/>
      <c r="BM218" s="48"/>
      <c r="BN218" s="48"/>
      <c r="BO218" s="48"/>
      <c r="BP218" s="48"/>
      <c r="BQ218" s="48"/>
    </row>
    <row r="219" ht="23.25" customHeight="1">
      <c r="A219" s="47"/>
      <c r="B219" s="47"/>
      <c r="C219" s="48"/>
      <c r="D219" s="48"/>
      <c r="E219" s="48"/>
      <c r="F219" s="48"/>
      <c r="G219" s="47"/>
      <c r="H219" s="47"/>
      <c r="I219" s="47"/>
      <c r="J219" s="47"/>
      <c r="K219" s="47"/>
      <c r="L219" s="47"/>
      <c r="M219" s="47"/>
      <c r="N219" s="47"/>
      <c r="O219" s="47"/>
      <c r="P219" s="47"/>
      <c r="Q219" s="47"/>
      <c r="R219" s="47"/>
      <c r="S219" s="50"/>
      <c r="T219" s="51"/>
      <c r="U219" s="51"/>
      <c r="V219" s="51"/>
      <c r="W219" s="51"/>
      <c r="X219" s="51"/>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52"/>
      <c r="BH219" s="48"/>
      <c r="BI219" s="48"/>
      <c r="BJ219" s="48"/>
      <c r="BK219" s="48"/>
      <c r="BL219" s="48"/>
      <c r="BM219" s="48"/>
      <c r="BN219" s="48"/>
      <c r="BO219" s="48"/>
      <c r="BP219" s="48"/>
      <c r="BQ219" s="48"/>
    </row>
    <row r="220" ht="23.25" customHeight="1">
      <c r="A220" s="47"/>
      <c r="B220" s="47"/>
      <c r="C220" s="48"/>
      <c r="D220" s="48"/>
      <c r="E220" s="48"/>
      <c r="F220" s="48"/>
      <c r="G220" s="47"/>
      <c r="H220" s="47"/>
      <c r="I220" s="47"/>
      <c r="J220" s="47"/>
      <c r="K220" s="47"/>
      <c r="L220" s="47"/>
      <c r="M220" s="47"/>
      <c r="N220" s="47"/>
      <c r="O220" s="47"/>
      <c r="P220" s="47"/>
      <c r="Q220" s="47"/>
      <c r="R220" s="47"/>
      <c r="S220" s="50"/>
      <c r="T220" s="51"/>
      <c r="U220" s="51"/>
      <c r="V220" s="51"/>
      <c r="W220" s="51"/>
      <c r="X220" s="51"/>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52"/>
      <c r="BH220" s="48"/>
      <c r="BI220" s="48"/>
      <c r="BJ220" s="48"/>
      <c r="BK220" s="48"/>
      <c r="BL220" s="48"/>
      <c r="BM220" s="48"/>
      <c r="BN220" s="48"/>
      <c r="BO220" s="48"/>
      <c r="BP220" s="48"/>
      <c r="BQ220" s="48"/>
    </row>
    <row r="221" ht="23.25" customHeight="1">
      <c r="A221" s="47"/>
      <c r="B221" s="47"/>
      <c r="C221" s="48"/>
      <c r="D221" s="48"/>
      <c r="E221" s="48"/>
      <c r="F221" s="48"/>
      <c r="G221" s="47"/>
      <c r="H221" s="47"/>
      <c r="I221" s="47"/>
      <c r="J221" s="47"/>
      <c r="K221" s="47"/>
      <c r="L221" s="47"/>
      <c r="M221" s="47"/>
      <c r="N221" s="47"/>
      <c r="O221" s="47"/>
      <c r="P221" s="47"/>
      <c r="Q221" s="47"/>
      <c r="R221" s="47"/>
      <c r="S221" s="50"/>
      <c r="T221" s="51"/>
      <c r="U221" s="51"/>
      <c r="V221" s="51"/>
      <c r="W221" s="51"/>
      <c r="X221" s="51"/>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52"/>
      <c r="BH221" s="48"/>
      <c r="BI221" s="48"/>
      <c r="BJ221" s="48"/>
      <c r="BK221" s="48"/>
      <c r="BL221" s="48"/>
      <c r="BM221" s="48"/>
      <c r="BN221" s="48"/>
      <c r="BO221" s="48"/>
      <c r="BP221" s="48"/>
      <c r="BQ221" s="48"/>
    </row>
    <row r="222" ht="23.25" customHeight="1">
      <c r="A222" s="47"/>
      <c r="B222" s="47"/>
      <c r="C222" s="48"/>
      <c r="D222" s="48"/>
      <c r="E222" s="48"/>
      <c r="F222" s="48"/>
      <c r="G222" s="47"/>
      <c r="H222" s="47"/>
      <c r="I222" s="47"/>
      <c r="J222" s="47"/>
      <c r="K222" s="47"/>
      <c r="L222" s="47"/>
      <c r="M222" s="47"/>
      <c r="N222" s="47"/>
      <c r="O222" s="47"/>
      <c r="P222" s="47"/>
      <c r="Q222" s="47"/>
      <c r="R222" s="47"/>
      <c r="S222" s="50"/>
      <c r="T222" s="51"/>
      <c r="U222" s="51"/>
      <c r="V222" s="51"/>
      <c r="W222" s="51"/>
      <c r="X222" s="51"/>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52"/>
      <c r="BH222" s="48"/>
      <c r="BI222" s="48"/>
      <c r="BJ222" s="48"/>
      <c r="BK222" s="48"/>
      <c r="BL222" s="48"/>
      <c r="BM222" s="48"/>
      <c r="BN222" s="48"/>
      <c r="BO222" s="48"/>
      <c r="BP222" s="48"/>
      <c r="BQ222" s="48"/>
    </row>
    <row r="223" ht="23.25" customHeight="1">
      <c r="A223" s="47"/>
      <c r="B223" s="47"/>
      <c r="C223" s="48"/>
      <c r="D223" s="48"/>
      <c r="E223" s="48"/>
      <c r="F223" s="48"/>
      <c r="G223" s="47"/>
      <c r="H223" s="47"/>
      <c r="I223" s="47"/>
      <c r="J223" s="47"/>
      <c r="K223" s="47"/>
      <c r="L223" s="47"/>
      <c r="M223" s="47"/>
      <c r="N223" s="47"/>
      <c r="O223" s="47"/>
      <c r="P223" s="47"/>
      <c r="Q223" s="47"/>
      <c r="R223" s="47"/>
      <c r="S223" s="50"/>
      <c r="T223" s="51"/>
      <c r="U223" s="51"/>
      <c r="V223" s="51"/>
      <c r="W223" s="51"/>
      <c r="X223" s="51"/>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52"/>
      <c r="BH223" s="48"/>
      <c r="BI223" s="48"/>
      <c r="BJ223" s="48"/>
      <c r="BK223" s="48"/>
      <c r="BL223" s="48"/>
      <c r="BM223" s="48"/>
      <c r="BN223" s="48"/>
      <c r="BO223" s="48"/>
      <c r="BP223" s="48"/>
      <c r="BQ223" s="48"/>
    </row>
    <row r="224" ht="23.25" customHeight="1">
      <c r="A224" s="47"/>
      <c r="B224" s="47"/>
      <c r="C224" s="48"/>
      <c r="D224" s="48"/>
      <c r="E224" s="48"/>
      <c r="F224" s="48"/>
      <c r="G224" s="47"/>
      <c r="H224" s="47"/>
      <c r="I224" s="47"/>
      <c r="J224" s="47"/>
      <c r="K224" s="47"/>
      <c r="L224" s="47"/>
      <c r="M224" s="47"/>
      <c r="N224" s="47"/>
      <c r="O224" s="47"/>
      <c r="P224" s="47"/>
      <c r="Q224" s="47"/>
      <c r="R224" s="47"/>
      <c r="S224" s="50"/>
      <c r="T224" s="51"/>
      <c r="U224" s="51"/>
      <c r="V224" s="51"/>
      <c r="W224" s="51"/>
      <c r="X224" s="51"/>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52"/>
      <c r="BH224" s="48"/>
      <c r="BI224" s="48"/>
      <c r="BJ224" s="48"/>
      <c r="BK224" s="48"/>
      <c r="BL224" s="48"/>
      <c r="BM224" s="48"/>
      <c r="BN224" s="48"/>
      <c r="BO224" s="48"/>
      <c r="BP224" s="48"/>
      <c r="BQ224" s="48"/>
    </row>
    <row r="225" ht="23.25" customHeight="1">
      <c r="A225" s="47"/>
      <c r="B225" s="47"/>
      <c r="C225" s="48"/>
      <c r="D225" s="48"/>
      <c r="E225" s="48"/>
      <c r="F225" s="48"/>
      <c r="G225" s="47"/>
      <c r="H225" s="47"/>
      <c r="I225" s="47"/>
      <c r="J225" s="47"/>
      <c r="K225" s="47"/>
      <c r="L225" s="47"/>
      <c r="M225" s="47"/>
      <c r="N225" s="47"/>
      <c r="O225" s="47"/>
      <c r="P225" s="47"/>
      <c r="Q225" s="47"/>
      <c r="R225" s="47"/>
      <c r="S225" s="50"/>
      <c r="T225" s="51"/>
      <c r="U225" s="51"/>
      <c r="V225" s="51"/>
      <c r="W225" s="51"/>
      <c r="X225" s="51"/>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52"/>
      <c r="BH225" s="48"/>
      <c r="BI225" s="48"/>
      <c r="BJ225" s="48"/>
      <c r="BK225" s="48"/>
      <c r="BL225" s="48"/>
      <c r="BM225" s="48"/>
      <c r="BN225" s="48"/>
      <c r="BO225" s="48"/>
      <c r="BP225" s="48"/>
      <c r="BQ225" s="48"/>
    </row>
    <row r="226" ht="23.25" customHeight="1">
      <c r="A226" s="47"/>
      <c r="B226" s="47"/>
      <c r="C226" s="48"/>
      <c r="D226" s="48"/>
      <c r="E226" s="48"/>
      <c r="F226" s="48"/>
      <c r="G226" s="47"/>
      <c r="H226" s="47"/>
      <c r="I226" s="47"/>
      <c r="J226" s="47"/>
      <c r="K226" s="47"/>
      <c r="L226" s="47"/>
      <c r="M226" s="47"/>
      <c r="N226" s="47"/>
      <c r="O226" s="47"/>
      <c r="P226" s="47"/>
      <c r="Q226" s="47"/>
      <c r="R226" s="47"/>
      <c r="S226" s="50"/>
      <c r="T226" s="51"/>
      <c r="U226" s="51"/>
      <c r="V226" s="51"/>
      <c r="W226" s="51"/>
      <c r="X226" s="51"/>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52"/>
      <c r="BH226" s="48"/>
      <c r="BI226" s="48"/>
      <c r="BJ226" s="48"/>
      <c r="BK226" s="48"/>
      <c r="BL226" s="48"/>
      <c r="BM226" s="48"/>
      <c r="BN226" s="48"/>
      <c r="BO226" s="48"/>
      <c r="BP226" s="48"/>
      <c r="BQ226" s="48"/>
    </row>
    <row r="227" ht="23.25" customHeight="1">
      <c r="A227" s="47"/>
      <c r="B227" s="47"/>
      <c r="C227" s="48"/>
      <c r="D227" s="48"/>
      <c r="E227" s="48"/>
      <c r="F227" s="48"/>
      <c r="G227" s="47"/>
      <c r="H227" s="47"/>
      <c r="I227" s="47"/>
      <c r="J227" s="47"/>
      <c r="K227" s="47"/>
      <c r="L227" s="47"/>
      <c r="M227" s="47"/>
      <c r="N227" s="47"/>
      <c r="O227" s="47"/>
      <c r="P227" s="47"/>
      <c r="Q227" s="47"/>
      <c r="R227" s="47"/>
      <c r="S227" s="50"/>
      <c r="T227" s="51"/>
      <c r="U227" s="51"/>
      <c r="V227" s="51"/>
      <c r="W227" s="51"/>
      <c r="X227" s="51"/>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52"/>
      <c r="BH227" s="48"/>
      <c r="BI227" s="48"/>
      <c r="BJ227" s="48"/>
      <c r="BK227" s="48"/>
      <c r="BL227" s="48"/>
      <c r="BM227" s="48"/>
      <c r="BN227" s="48"/>
      <c r="BO227" s="48"/>
      <c r="BP227" s="48"/>
      <c r="BQ227" s="48"/>
    </row>
    <row r="228" ht="23.25" customHeight="1">
      <c r="A228" s="47"/>
      <c r="B228" s="47"/>
      <c r="C228" s="48"/>
      <c r="D228" s="48"/>
      <c r="E228" s="48"/>
      <c r="F228" s="48"/>
      <c r="G228" s="47"/>
      <c r="H228" s="47"/>
      <c r="I228" s="47"/>
      <c r="J228" s="47"/>
      <c r="K228" s="47"/>
      <c r="L228" s="47"/>
      <c r="M228" s="47"/>
      <c r="N228" s="47"/>
      <c r="O228" s="47"/>
      <c r="P228" s="47"/>
      <c r="Q228" s="47"/>
      <c r="R228" s="47"/>
      <c r="S228" s="50"/>
      <c r="T228" s="51"/>
      <c r="U228" s="51"/>
      <c r="V228" s="51"/>
      <c r="W228" s="51"/>
      <c r="X228" s="51"/>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52"/>
      <c r="BH228" s="48"/>
      <c r="BI228" s="48"/>
      <c r="BJ228" s="48"/>
      <c r="BK228" s="48"/>
      <c r="BL228" s="48"/>
      <c r="BM228" s="48"/>
      <c r="BN228" s="48"/>
      <c r="BO228" s="48"/>
      <c r="BP228" s="48"/>
      <c r="BQ228" s="48"/>
    </row>
    <row r="229" ht="23.25" customHeight="1">
      <c r="A229" s="47"/>
      <c r="B229" s="47"/>
      <c r="C229" s="48"/>
      <c r="D229" s="48"/>
      <c r="E229" s="48"/>
      <c r="F229" s="48"/>
      <c r="G229" s="47"/>
      <c r="H229" s="47"/>
      <c r="I229" s="47"/>
      <c r="J229" s="47"/>
      <c r="K229" s="47"/>
      <c r="L229" s="47"/>
      <c r="M229" s="47"/>
      <c r="N229" s="47"/>
      <c r="O229" s="47"/>
      <c r="P229" s="47"/>
      <c r="Q229" s="47"/>
      <c r="R229" s="47"/>
      <c r="S229" s="50"/>
      <c r="T229" s="51"/>
      <c r="U229" s="51"/>
      <c r="V229" s="51"/>
      <c r="W229" s="51"/>
      <c r="X229" s="51"/>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52"/>
      <c r="BH229" s="48"/>
      <c r="BI229" s="48"/>
      <c r="BJ229" s="48"/>
      <c r="BK229" s="48"/>
      <c r="BL229" s="48"/>
      <c r="BM229" s="48"/>
      <c r="BN229" s="48"/>
      <c r="BO229" s="48"/>
      <c r="BP229" s="48"/>
      <c r="BQ229" s="48"/>
    </row>
    <row r="230" ht="23.25" customHeight="1">
      <c r="A230" s="47"/>
      <c r="B230" s="47"/>
      <c r="C230" s="48"/>
      <c r="D230" s="48"/>
      <c r="E230" s="48"/>
      <c r="F230" s="48"/>
      <c r="G230" s="47"/>
      <c r="H230" s="47"/>
      <c r="I230" s="47"/>
      <c r="J230" s="47"/>
      <c r="K230" s="47"/>
      <c r="L230" s="47"/>
      <c r="M230" s="47"/>
      <c r="N230" s="47"/>
      <c r="O230" s="47"/>
      <c r="P230" s="47"/>
      <c r="Q230" s="47"/>
      <c r="R230" s="47"/>
      <c r="S230" s="50"/>
      <c r="T230" s="51"/>
      <c r="U230" s="51"/>
      <c r="V230" s="51"/>
      <c r="W230" s="51"/>
      <c r="X230" s="51"/>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52"/>
      <c r="BH230" s="48"/>
      <c r="BI230" s="48"/>
      <c r="BJ230" s="48"/>
      <c r="BK230" s="48"/>
      <c r="BL230" s="48"/>
      <c r="BM230" s="48"/>
      <c r="BN230" s="48"/>
      <c r="BO230" s="48"/>
      <c r="BP230" s="48"/>
      <c r="BQ230" s="48"/>
    </row>
    <row r="231" ht="23.25" customHeight="1">
      <c r="A231" s="47"/>
      <c r="B231" s="47"/>
      <c r="C231" s="48"/>
      <c r="D231" s="48"/>
      <c r="E231" s="48"/>
      <c r="F231" s="48"/>
      <c r="G231" s="47"/>
      <c r="H231" s="47"/>
      <c r="I231" s="47"/>
      <c r="J231" s="47"/>
      <c r="K231" s="47"/>
      <c r="L231" s="47"/>
      <c r="M231" s="47"/>
      <c r="N231" s="47"/>
      <c r="O231" s="47"/>
      <c r="P231" s="47"/>
      <c r="Q231" s="47"/>
      <c r="R231" s="47"/>
      <c r="S231" s="50"/>
      <c r="T231" s="51"/>
      <c r="U231" s="51"/>
      <c r="V231" s="51"/>
      <c r="W231" s="51"/>
      <c r="X231" s="51"/>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52"/>
      <c r="BH231" s="48"/>
      <c r="BI231" s="48"/>
      <c r="BJ231" s="48"/>
      <c r="BK231" s="48"/>
      <c r="BL231" s="48"/>
      <c r="BM231" s="48"/>
      <c r="BN231" s="48"/>
      <c r="BO231" s="48"/>
      <c r="BP231" s="48"/>
      <c r="BQ231" s="48"/>
    </row>
    <row r="232" ht="23.25" customHeight="1">
      <c r="A232" s="47"/>
      <c r="B232" s="47"/>
      <c r="C232" s="48"/>
      <c r="D232" s="48"/>
      <c r="E232" s="48"/>
      <c r="F232" s="48"/>
      <c r="G232" s="47"/>
      <c r="H232" s="47"/>
      <c r="I232" s="47"/>
      <c r="J232" s="47"/>
      <c r="K232" s="47"/>
      <c r="L232" s="47"/>
      <c r="M232" s="47"/>
      <c r="N232" s="47"/>
      <c r="O232" s="47"/>
      <c r="P232" s="47"/>
      <c r="Q232" s="47"/>
      <c r="R232" s="47"/>
      <c r="S232" s="50"/>
      <c r="T232" s="51"/>
      <c r="U232" s="51"/>
      <c r="V232" s="51"/>
      <c r="W232" s="51"/>
      <c r="X232" s="51"/>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52"/>
      <c r="BH232" s="48"/>
      <c r="BI232" s="48"/>
      <c r="BJ232" s="48"/>
      <c r="BK232" s="48"/>
      <c r="BL232" s="48"/>
      <c r="BM232" s="48"/>
      <c r="BN232" s="48"/>
      <c r="BO232" s="48"/>
      <c r="BP232" s="48"/>
      <c r="BQ232" s="48"/>
    </row>
    <row r="233" ht="23.25" customHeight="1">
      <c r="A233" s="47"/>
      <c r="B233" s="47"/>
      <c r="C233" s="48"/>
      <c r="D233" s="48"/>
      <c r="E233" s="48"/>
      <c r="F233" s="48"/>
      <c r="G233" s="47"/>
      <c r="H233" s="47"/>
      <c r="I233" s="47"/>
      <c r="J233" s="47"/>
      <c r="K233" s="47"/>
      <c r="L233" s="47"/>
      <c r="M233" s="47"/>
      <c r="N233" s="47"/>
      <c r="O233" s="47"/>
      <c r="P233" s="47"/>
      <c r="Q233" s="47"/>
      <c r="R233" s="47"/>
      <c r="S233" s="50"/>
      <c r="T233" s="51"/>
      <c r="U233" s="51"/>
      <c r="V233" s="51"/>
      <c r="W233" s="51"/>
      <c r="X233" s="51"/>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52"/>
      <c r="BH233" s="48"/>
      <c r="BI233" s="48"/>
      <c r="BJ233" s="48"/>
      <c r="BK233" s="48"/>
      <c r="BL233" s="48"/>
      <c r="BM233" s="48"/>
      <c r="BN233" s="48"/>
      <c r="BO233" s="48"/>
      <c r="BP233" s="48"/>
      <c r="BQ233" s="48"/>
    </row>
    <row r="234" ht="23.25" customHeight="1">
      <c r="A234" s="47"/>
      <c r="B234" s="47"/>
      <c r="C234" s="48"/>
      <c r="D234" s="48"/>
      <c r="E234" s="48"/>
      <c r="F234" s="48"/>
      <c r="G234" s="47"/>
      <c r="H234" s="47"/>
      <c r="I234" s="47"/>
      <c r="J234" s="47"/>
      <c r="K234" s="47"/>
      <c r="L234" s="47"/>
      <c r="M234" s="47"/>
      <c r="N234" s="47"/>
      <c r="O234" s="47"/>
      <c r="P234" s="47"/>
      <c r="Q234" s="47"/>
      <c r="R234" s="47"/>
      <c r="S234" s="50"/>
      <c r="T234" s="51"/>
      <c r="U234" s="51"/>
      <c r="V234" s="51"/>
      <c r="W234" s="51"/>
      <c r="X234" s="51"/>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52"/>
      <c r="BH234" s="48"/>
      <c r="BI234" s="48"/>
      <c r="BJ234" s="48"/>
      <c r="BK234" s="48"/>
      <c r="BL234" s="48"/>
      <c r="BM234" s="48"/>
      <c r="BN234" s="48"/>
      <c r="BO234" s="48"/>
      <c r="BP234" s="48"/>
      <c r="BQ234" s="48"/>
    </row>
    <row r="235" ht="23.25" customHeight="1">
      <c r="A235" s="47"/>
      <c r="B235" s="47"/>
      <c r="C235" s="48"/>
      <c r="D235" s="48"/>
      <c r="E235" s="48"/>
      <c r="F235" s="48"/>
      <c r="G235" s="47"/>
      <c r="H235" s="47"/>
      <c r="I235" s="47"/>
      <c r="J235" s="47"/>
      <c r="K235" s="47"/>
      <c r="L235" s="47"/>
      <c r="M235" s="47"/>
      <c r="N235" s="47"/>
      <c r="O235" s="47"/>
      <c r="P235" s="47"/>
      <c r="Q235" s="47"/>
      <c r="R235" s="47"/>
      <c r="S235" s="50"/>
      <c r="T235" s="51"/>
      <c r="U235" s="51"/>
      <c r="V235" s="51"/>
      <c r="W235" s="51"/>
      <c r="X235" s="51"/>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52"/>
      <c r="BH235" s="48"/>
      <c r="BI235" s="48"/>
      <c r="BJ235" s="48"/>
      <c r="BK235" s="48"/>
      <c r="BL235" s="48"/>
      <c r="BM235" s="48"/>
      <c r="BN235" s="48"/>
      <c r="BO235" s="48"/>
      <c r="BP235" s="48"/>
      <c r="BQ235" s="48"/>
    </row>
    <row r="236" ht="23.25" customHeight="1">
      <c r="A236" s="47"/>
      <c r="B236" s="47"/>
      <c r="C236" s="48"/>
      <c r="D236" s="48"/>
      <c r="E236" s="48"/>
      <c r="F236" s="48"/>
      <c r="G236" s="47"/>
      <c r="H236" s="47"/>
      <c r="I236" s="47"/>
      <c r="J236" s="47"/>
      <c r="K236" s="47"/>
      <c r="L236" s="47"/>
      <c r="M236" s="47"/>
      <c r="N236" s="47"/>
      <c r="O236" s="47"/>
      <c r="P236" s="47"/>
      <c r="Q236" s="47"/>
      <c r="R236" s="47"/>
      <c r="S236" s="50"/>
      <c r="T236" s="51"/>
      <c r="U236" s="51"/>
      <c r="V236" s="51"/>
      <c r="W236" s="51"/>
      <c r="X236" s="51"/>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52"/>
      <c r="BH236" s="48"/>
      <c r="BI236" s="48"/>
      <c r="BJ236" s="48"/>
      <c r="BK236" s="48"/>
      <c r="BL236" s="48"/>
      <c r="BM236" s="48"/>
      <c r="BN236" s="48"/>
      <c r="BO236" s="48"/>
      <c r="BP236" s="48"/>
      <c r="BQ236" s="48"/>
    </row>
    <row r="237" ht="23.25" customHeight="1">
      <c r="A237" s="47"/>
      <c r="B237" s="47"/>
      <c r="C237" s="48"/>
      <c r="D237" s="48"/>
      <c r="E237" s="48"/>
      <c r="F237" s="48"/>
      <c r="G237" s="47"/>
      <c r="H237" s="47"/>
      <c r="I237" s="47"/>
      <c r="J237" s="47"/>
      <c r="K237" s="47"/>
      <c r="L237" s="47"/>
      <c r="M237" s="47"/>
      <c r="N237" s="47"/>
      <c r="O237" s="47"/>
      <c r="P237" s="47"/>
      <c r="Q237" s="47"/>
      <c r="R237" s="47"/>
      <c r="S237" s="50"/>
      <c r="T237" s="51"/>
      <c r="U237" s="51"/>
      <c r="V237" s="51"/>
      <c r="W237" s="51"/>
      <c r="X237" s="51"/>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52"/>
      <c r="BH237" s="48"/>
      <c r="BI237" s="48"/>
      <c r="BJ237" s="48"/>
      <c r="BK237" s="48"/>
      <c r="BL237" s="48"/>
      <c r="BM237" s="48"/>
      <c r="BN237" s="48"/>
      <c r="BO237" s="48"/>
      <c r="BP237" s="48"/>
      <c r="BQ237" s="48"/>
    </row>
    <row r="238" ht="23.25" customHeight="1">
      <c r="A238" s="47"/>
      <c r="B238" s="47"/>
      <c r="C238" s="48"/>
      <c r="D238" s="48"/>
      <c r="E238" s="48"/>
      <c r="F238" s="48"/>
      <c r="G238" s="47"/>
      <c r="H238" s="47"/>
      <c r="I238" s="47"/>
      <c r="J238" s="47"/>
      <c r="K238" s="47"/>
      <c r="L238" s="47"/>
      <c r="M238" s="47"/>
      <c r="N238" s="47"/>
      <c r="O238" s="47"/>
      <c r="P238" s="47"/>
      <c r="Q238" s="47"/>
      <c r="R238" s="47"/>
      <c r="S238" s="50"/>
      <c r="T238" s="51"/>
      <c r="U238" s="51"/>
      <c r="V238" s="51"/>
      <c r="W238" s="51"/>
      <c r="X238" s="51"/>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52"/>
      <c r="BH238" s="48"/>
      <c r="BI238" s="48"/>
      <c r="BJ238" s="48"/>
      <c r="BK238" s="48"/>
      <c r="BL238" s="48"/>
      <c r="BM238" s="48"/>
      <c r="BN238" s="48"/>
      <c r="BO238" s="48"/>
      <c r="BP238" s="48"/>
      <c r="BQ238" s="48"/>
    </row>
    <row r="239" ht="23.25" customHeight="1">
      <c r="A239" s="47"/>
      <c r="B239" s="47"/>
      <c r="C239" s="48"/>
      <c r="D239" s="48"/>
      <c r="E239" s="48"/>
      <c r="F239" s="48"/>
      <c r="G239" s="47"/>
      <c r="H239" s="47"/>
      <c r="I239" s="47"/>
      <c r="J239" s="47"/>
      <c r="K239" s="47"/>
      <c r="L239" s="47"/>
      <c r="M239" s="47"/>
      <c r="N239" s="47"/>
      <c r="O239" s="47"/>
      <c r="P239" s="47"/>
      <c r="Q239" s="47"/>
      <c r="R239" s="47"/>
      <c r="S239" s="50"/>
      <c r="T239" s="51"/>
      <c r="U239" s="51"/>
      <c r="V239" s="51"/>
      <c r="W239" s="51"/>
      <c r="X239" s="51"/>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52"/>
      <c r="BH239" s="48"/>
      <c r="BI239" s="48"/>
      <c r="BJ239" s="48"/>
      <c r="BK239" s="48"/>
      <c r="BL239" s="48"/>
      <c r="BM239" s="48"/>
      <c r="BN239" s="48"/>
      <c r="BO239" s="48"/>
      <c r="BP239" s="48"/>
      <c r="BQ239" s="48"/>
    </row>
    <row r="240" ht="23.25" customHeight="1">
      <c r="A240" s="47"/>
      <c r="B240" s="47"/>
      <c r="C240" s="48"/>
      <c r="D240" s="48"/>
      <c r="E240" s="48"/>
      <c r="F240" s="48"/>
      <c r="G240" s="47"/>
      <c r="H240" s="47"/>
      <c r="I240" s="47"/>
      <c r="J240" s="47"/>
      <c r="K240" s="47"/>
      <c r="L240" s="47"/>
      <c r="M240" s="47"/>
      <c r="N240" s="47"/>
      <c r="O240" s="47"/>
      <c r="P240" s="47"/>
      <c r="Q240" s="47"/>
      <c r="R240" s="47"/>
      <c r="S240" s="50"/>
      <c r="T240" s="51"/>
      <c r="U240" s="51"/>
      <c r="V240" s="51"/>
      <c r="W240" s="51"/>
      <c r="X240" s="51"/>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52"/>
      <c r="BH240" s="48"/>
      <c r="BI240" s="48"/>
      <c r="BJ240" s="48"/>
      <c r="BK240" s="48"/>
      <c r="BL240" s="48"/>
      <c r="BM240" s="48"/>
      <c r="BN240" s="48"/>
      <c r="BO240" s="48"/>
      <c r="BP240" s="48"/>
      <c r="BQ240" s="48"/>
    </row>
    <row r="241" ht="23.25" customHeight="1">
      <c r="A241" s="47"/>
      <c r="B241" s="47"/>
      <c r="C241" s="48"/>
      <c r="D241" s="48"/>
      <c r="E241" s="48"/>
      <c r="F241" s="48"/>
      <c r="G241" s="47"/>
      <c r="H241" s="47"/>
      <c r="I241" s="47"/>
      <c r="J241" s="47"/>
      <c r="K241" s="47"/>
      <c r="L241" s="47"/>
      <c r="M241" s="47"/>
      <c r="N241" s="47"/>
      <c r="O241" s="47"/>
      <c r="P241" s="47"/>
      <c r="Q241" s="47"/>
      <c r="R241" s="47"/>
      <c r="S241" s="50"/>
      <c r="T241" s="51"/>
      <c r="U241" s="51"/>
      <c r="V241" s="51"/>
      <c r="W241" s="51"/>
      <c r="X241" s="51"/>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52"/>
      <c r="BH241" s="48"/>
      <c r="BI241" s="48"/>
      <c r="BJ241" s="48"/>
      <c r="BK241" s="48"/>
      <c r="BL241" s="48"/>
      <c r="BM241" s="48"/>
      <c r="BN241" s="48"/>
      <c r="BO241" s="48"/>
      <c r="BP241" s="48"/>
      <c r="BQ241" s="48"/>
    </row>
    <row r="242" ht="23.25" customHeight="1">
      <c r="A242" s="47"/>
      <c r="B242" s="47"/>
      <c r="C242" s="48"/>
      <c r="D242" s="48"/>
      <c r="E242" s="48"/>
      <c r="F242" s="48"/>
      <c r="G242" s="47"/>
      <c r="H242" s="47"/>
      <c r="I242" s="47"/>
      <c r="J242" s="47"/>
      <c r="K242" s="47"/>
      <c r="L242" s="47"/>
      <c r="M242" s="47"/>
      <c r="N242" s="47"/>
      <c r="O242" s="47"/>
      <c r="P242" s="47"/>
      <c r="Q242" s="47"/>
      <c r="R242" s="47"/>
      <c r="S242" s="50"/>
      <c r="T242" s="51"/>
      <c r="U242" s="51"/>
      <c r="V242" s="51"/>
      <c r="W242" s="51"/>
      <c r="X242" s="51"/>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52"/>
      <c r="BH242" s="48"/>
      <c r="BI242" s="48"/>
      <c r="BJ242" s="48"/>
      <c r="BK242" s="48"/>
      <c r="BL242" s="48"/>
      <c r="BM242" s="48"/>
      <c r="BN242" s="48"/>
      <c r="BO242" s="48"/>
      <c r="BP242" s="48"/>
      <c r="BQ242" s="48"/>
    </row>
    <row r="243" ht="23.25" customHeight="1">
      <c r="A243" s="47"/>
      <c r="B243" s="47"/>
      <c r="C243" s="48"/>
      <c r="D243" s="48"/>
      <c r="E243" s="48"/>
      <c r="F243" s="48"/>
      <c r="G243" s="47"/>
      <c r="H243" s="47"/>
      <c r="I243" s="47"/>
      <c r="J243" s="47"/>
      <c r="K243" s="47"/>
      <c r="L243" s="47"/>
      <c r="M243" s="47"/>
      <c r="N243" s="47"/>
      <c r="O243" s="47"/>
      <c r="P243" s="47"/>
      <c r="Q243" s="47"/>
      <c r="R243" s="47"/>
      <c r="S243" s="50"/>
      <c r="T243" s="51"/>
      <c r="U243" s="51"/>
      <c r="V243" s="51"/>
      <c r="W243" s="51"/>
      <c r="X243" s="51"/>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52"/>
      <c r="BH243" s="48"/>
      <c r="BI243" s="48"/>
      <c r="BJ243" s="48"/>
      <c r="BK243" s="48"/>
      <c r="BL243" s="48"/>
      <c r="BM243" s="48"/>
      <c r="BN243" s="48"/>
      <c r="BO243" s="48"/>
      <c r="BP243" s="48"/>
      <c r="BQ243" s="48"/>
    </row>
    <row r="244" ht="23.25" customHeight="1">
      <c r="A244" s="47"/>
      <c r="B244" s="47"/>
      <c r="C244" s="48"/>
      <c r="D244" s="48"/>
      <c r="E244" s="48"/>
      <c r="F244" s="48"/>
      <c r="G244" s="47"/>
      <c r="H244" s="47"/>
      <c r="I244" s="47"/>
      <c r="J244" s="47"/>
      <c r="K244" s="47"/>
      <c r="L244" s="47"/>
      <c r="M244" s="47"/>
      <c r="N244" s="47"/>
      <c r="O244" s="47"/>
      <c r="P244" s="47"/>
      <c r="Q244" s="47"/>
      <c r="R244" s="47"/>
      <c r="S244" s="50"/>
      <c r="T244" s="51"/>
      <c r="U244" s="51"/>
      <c r="V244" s="51"/>
      <c r="W244" s="51"/>
      <c r="X244" s="51"/>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52"/>
      <c r="BH244" s="48"/>
      <c r="BI244" s="48"/>
      <c r="BJ244" s="48"/>
      <c r="BK244" s="48"/>
      <c r="BL244" s="48"/>
      <c r="BM244" s="48"/>
      <c r="BN244" s="48"/>
      <c r="BO244" s="48"/>
      <c r="BP244" s="48"/>
      <c r="BQ244" s="48"/>
    </row>
    <row r="245" ht="23.25" customHeight="1">
      <c r="A245" s="47"/>
      <c r="B245" s="47"/>
      <c r="C245" s="48"/>
      <c r="D245" s="48"/>
      <c r="E245" s="48"/>
      <c r="F245" s="48"/>
      <c r="G245" s="47"/>
      <c r="H245" s="47"/>
      <c r="I245" s="47"/>
      <c r="J245" s="47"/>
      <c r="K245" s="47"/>
      <c r="L245" s="47"/>
      <c r="M245" s="47"/>
      <c r="N245" s="47"/>
      <c r="O245" s="47"/>
      <c r="P245" s="47"/>
      <c r="Q245" s="47"/>
      <c r="R245" s="47"/>
      <c r="S245" s="50"/>
      <c r="T245" s="51"/>
      <c r="U245" s="51"/>
      <c r="V245" s="51"/>
      <c r="W245" s="51"/>
      <c r="X245" s="51"/>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52"/>
      <c r="BH245" s="48"/>
      <c r="BI245" s="48"/>
      <c r="BJ245" s="48"/>
      <c r="BK245" s="48"/>
      <c r="BL245" s="48"/>
      <c r="BM245" s="48"/>
      <c r="BN245" s="48"/>
      <c r="BO245" s="48"/>
      <c r="BP245" s="48"/>
      <c r="BQ245" s="48"/>
    </row>
    <row r="246" ht="23.25" customHeight="1">
      <c r="A246" s="47"/>
      <c r="B246" s="47"/>
      <c r="C246" s="48"/>
      <c r="D246" s="48"/>
      <c r="E246" s="48"/>
      <c r="F246" s="48"/>
      <c r="G246" s="47"/>
      <c r="H246" s="47"/>
      <c r="I246" s="47"/>
      <c r="J246" s="47"/>
      <c r="K246" s="47"/>
      <c r="L246" s="47"/>
      <c r="M246" s="47"/>
      <c r="N246" s="47"/>
      <c r="O246" s="47"/>
      <c r="P246" s="47"/>
      <c r="Q246" s="47"/>
      <c r="R246" s="47"/>
      <c r="S246" s="50"/>
      <c r="T246" s="51"/>
      <c r="U246" s="51"/>
      <c r="V246" s="51"/>
      <c r="W246" s="51"/>
      <c r="X246" s="51"/>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52"/>
      <c r="BH246" s="48"/>
      <c r="BI246" s="48"/>
      <c r="BJ246" s="48"/>
      <c r="BK246" s="48"/>
      <c r="BL246" s="48"/>
      <c r="BM246" s="48"/>
      <c r="BN246" s="48"/>
      <c r="BO246" s="48"/>
      <c r="BP246" s="48"/>
      <c r="BQ246" s="48"/>
    </row>
    <row r="247" ht="23.25" customHeight="1">
      <c r="A247" s="47"/>
      <c r="B247" s="47"/>
      <c r="C247" s="48"/>
      <c r="D247" s="48"/>
      <c r="E247" s="48"/>
      <c r="F247" s="48"/>
      <c r="G247" s="47"/>
      <c r="H247" s="47"/>
      <c r="I247" s="47"/>
      <c r="J247" s="47"/>
      <c r="K247" s="47"/>
      <c r="L247" s="47"/>
      <c r="M247" s="47"/>
      <c r="N247" s="47"/>
      <c r="O247" s="47"/>
      <c r="P247" s="47"/>
      <c r="Q247" s="47"/>
      <c r="R247" s="47"/>
      <c r="S247" s="50"/>
      <c r="T247" s="51"/>
      <c r="U247" s="51"/>
      <c r="V247" s="51"/>
      <c r="W247" s="51"/>
      <c r="X247" s="51"/>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52"/>
      <c r="BH247" s="48"/>
      <c r="BI247" s="48"/>
      <c r="BJ247" s="48"/>
      <c r="BK247" s="48"/>
      <c r="BL247" s="48"/>
      <c r="BM247" s="48"/>
      <c r="BN247" s="48"/>
      <c r="BO247" s="48"/>
      <c r="BP247" s="48"/>
      <c r="BQ247" s="48"/>
    </row>
    <row r="248" ht="23.25" customHeight="1">
      <c r="A248" s="47"/>
      <c r="B248" s="47"/>
      <c r="C248" s="48"/>
      <c r="D248" s="48"/>
      <c r="E248" s="48"/>
      <c r="F248" s="48"/>
      <c r="G248" s="47"/>
      <c r="H248" s="47"/>
      <c r="I248" s="47"/>
      <c r="J248" s="47"/>
      <c r="K248" s="47"/>
      <c r="L248" s="47"/>
      <c r="M248" s="47"/>
      <c r="N248" s="47"/>
      <c r="O248" s="47"/>
      <c r="P248" s="47"/>
      <c r="Q248" s="47"/>
      <c r="R248" s="47"/>
      <c r="S248" s="50"/>
      <c r="T248" s="51"/>
      <c r="U248" s="51"/>
      <c r="V248" s="51"/>
      <c r="W248" s="51"/>
      <c r="X248" s="51"/>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52"/>
      <c r="BH248" s="48"/>
      <c r="BI248" s="48"/>
      <c r="BJ248" s="48"/>
      <c r="BK248" s="48"/>
      <c r="BL248" s="48"/>
      <c r="BM248" s="48"/>
      <c r="BN248" s="48"/>
      <c r="BO248" s="48"/>
      <c r="BP248" s="48"/>
      <c r="BQ248" s="48"/>
    </row>
    <row r="249" ht="23.25" customHeight="1">
      <c r="A249" s="47"/>
      <c r="B249" s="47"/>
      <c r="C249" s="48"/>
      <c r="D249" s="48"/>
      <c r="E249" s="48"/>
      <c r="F249" s="48"/>
      <c r="G249" s="47"/>
      <c r="H249" s="47"/>
      <c r="I249" s="47"/>
      <c r="J249" s="47"/>
      <c r="K249" s="47"/>
      <c r="L249" s="47"/>
      <c r="M249" s="47"/>
      <c r="N249" s="47"/>
      <c r="O249" s="47"/>
      <c r="P249" s="47"/>
      <c r="Q249" s="47"/>
      <c r="R249" s="47"/>
      <c r="S249" s="50"/>
      <c r="T249" s="51"/>
      <c r="U249" s="51"/>
      <c r="V249" s="51"/>
      <c r="W249" s="51"/>
      <c r="X249" s="51"/>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52"/>
      <c r="BH249" s="48"/>
      <c r="BI249" s="48"/>
      <c r="BJ249" s="48"/>
      <c r="BK249" s="48"/>
      <c r="BL249" s="48"/>
      <c r="BM249" s="48"/>
      <c r="BN249" s="48"/>
      <c r="BO249" s="48"/>
      <c r="BP249" s="48"/>
      <c r="BQ249" s="48"/>
    </row>
    <row r="250" ht="23.25" customHeight="1">
      <c r="A250" s="47"/>
      <c r="B250" s="47"/>
      <c r="C250" s="48"/>
      <c r="D250" s="48"/>
      <c r="E250" s="48"/>
      <c r="F250" s="48"/>
      <c r="G250" s="47"/>
      <c r="H250" s="47"/>
      <c r="I250" s="47"/>
      <c r="J250" s="47"/>
      <c r="K250" s="47"/>
      <c r="L250" s="47"/>
      <c r="M250" s="47"/>
      <c r="N250" s="47"/>
      <c r="O250" s="47"/>
      <c r="P250" s="47"/>
      <c r="Q250" s="47"/>
      <c r="R250" s="47"/>
      <c r="S250" s="50"/>
      <c r="T250" s="51"/>
      <c r="U250" s="51"/>
      <c r="V250" s="51"/>
      <c r="W250" s="51"/>
      <c r="X250" s="51"/>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52"/>
      <c r="BH250" s="48"/>
      <c r="BI250" s="48"/>
      <c r="BJ250" s="48"/>
      <c r="BK250" s="48"/>
      <c r="BL250" s="48"/>
      <c r="BM250" s="48"/>
      <c r="BN250" s="48"/>
      <c r="BO250" s="48"/>
      <c r="BP250" s="48"/>
      <c r="BQ250" s="48"/>
    </row>
    <row r="251" ht="23.25" customHeight="1">
      <c r="A251" s="47"/>
      <c r="B251" s="47"/>
      <c r="C251" s="48"/>
      <c r="D251" s="48"/>
      <c r="E251" s="48"/>
      <c r="F251" s="48"/>
      <c r="G251" s="47"/>
      <c r="H251" s="47"/>
      <c r="I251" s="47"/>
      <c r="J251" s="47"/>
      <c r="K251" s="47"/>
      <c r="L251" s="47"/>
      <c r="M251" s="47"/>
      <c r="N251" s="47"/>
      <c r="O251" s="47"/>
      <c r="P251" s="47"/>
      <c r="Q251" s="47"/>
      <c r="R251" s="47"/>
      <c r="S251" s="50"/>
      <c r="T251" s="51"/>
      <c r="U251" s="51"/>
      <c r="V251" s="51"/>
      <c r="W251" s="51"/>
      <c r="X251" s="51"/>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52"/>
      <c r="BH251" s="48"/>
      <c r="BI251" s="48"/>
      <c r="BJ251" s="48"/>
      <c r="BK251" s="48"/>
      <c r="BL251" s="48"/>
      <c r="BM251" s="48"/>
      <c r="BN251" s="48"/>
      <c r="BO251" s="48"/>
      <c r="BP251" s="48"/>
      <c r="BQ251" s="48"/>
    </row>
    <row r="252" ht="23.25" customHeight="1">
      <c r="A252" s="47"/>
      <c r="B252" s="47"/>
      <c r="C252" s="48"/>
      <c r="D252" s="48"/>
      <c r="E252" s="48"/>
      <c r="F252" s="48"/>
      <c r="G252" s="47"/>
      <c r="H252" s="47"/>
      <c r="I252" s="47"/>
      <c r="J252" s="47"/>
      <c r="K252" s="47"/>
      <c r="L252" s="47"/>
      <c r="M252" s="47"/>
      <c r="N252" s="47"/>
      <c r="O252" s="47"/>
      <c r="P252" s="47"/>
      <c r="Q252" s="47"/>
      <c r="R252" s="47"/>
      <c r="S252" s="50"/>
      <c r="T252" s="51"/>
      <c r="U252" s="51"/>
      <c r="V252" s="51"/>
      <c r="W252" s="51"/>
      <c r="X252" s="51"/>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52"/>
      <c r="BH252" s="48"/>
      <c r="BI252" s="48"/>
      <c r="BJ252" s="48"/>
      <c r="BK252" s="48"/>
      <c r="BL252" s="48"/>
      <c r="BM252" s="48"/>
      <c r="BN252" s="48"/>
      <c r="BO252" s="48"/>
      <c r="BP252" s="48"/>
      <c r="BQ252" s="48"/>
    </row>
    <row r="253" ht="23.25" customHeight="1">
      <c r="A253" s="47"/>
      <c r="B253" s="47"/>
      <c r="C253" s="48"/>
      <c r="D253" s="48"/>
      <c r="E253" s="48"/>
      <c r="F253" s="48"/>
      <c r="G253" s="47"/>
      <c r="H253" s="47"/>
      <c r="I253" s="47"/>
      <c r="J253" s="47"/>
      <c r="K253" s="47"/>
      <c r="L253" s="47"/>
      <c r="M253" s="47"/>
      <c r="N253" s="47"/>
      <c r="O253" s="47"/>
      <c r="P253" s="47"/>
      <c r="Q253" s="47"/>
      <c r="R253" s="47"/>
      <c r="S253" s="50"/>
      <c r="T253" s="51"/>
      <c r="U253" s="51"/>
      <c r="V253" s="51"/>
      <c r="W253" s="51"/>
      <c r="X253" s="51"/>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52"/>
      <c r="BH253" s="48"/>
      <c r="BI253" s="48"/>
      <c r="BJ253" s="48"/>
      <c r="BK253" s="48"/>
      <c r="BL253" s="48"/>
      <c r="BM253" s="48"/>
      <c r="BN253" s="48"/>
      <c r="BO253" s="48"/>
      <c r="BP253" s="48"/>
      <c r="BQ253" s="48"/>
    </row>
    <row r="254" ht="23.25" customHeight="1">
      <c r="A254" s="47"/>
      <c r="B254" s="47"/>
      <c r="C254" s="48"/>
      <c r="D254" s="48"/>
      <c r="E254" s="48"/>
      <c r="F254" s="48"/>
      <c r="G254" s="47"/>
      <c r="H254" s="47"/>
      <c r="I254" s="47"/>
      <c r="J254" s="47"/>
      <c r="K254" s="47"/>
      <c r="L254" s="47"/>
      <c r="M254" s="47"/>
      <c r="N254" s="47"/>
      <c r="O254" s="47"/>
      <c r="P254" s="47"/>
      <c r="Q254" s="47"/>
      <c r="R254" s="47"/>
      <c r="S254" s="50"/>
      <c r="T254" s="51"/>
      <c r="U254" s="51"/>
      <c r="V254" s="51"/>
      <c r="W254" s="51"/>
      <c r="X254" s="51"/>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52"/>
      <c r="BH254" s="48"/>
      <c r="BI254" s="48"/>
      <c r="BJ254" s="48"/>
      <c r="BK254" s="48"/>
      <c r="BL254" s="48"/>
      <c r="BM254" s="48"/>
      <c r="BN254" s="48"/>
      <c r="BO254" s="48"/>
      <c r="BP254" s="48"/>
      <c r="BQ254" s="48"/>
    </row>
    <row r="255" ht="23.25" customHeight="1">
      <c r="A255" s="47"/>
      <c r="B255" s="47"/>
      <c r="C255" s="48"/>
      <c r="D255" s="48"/>
      <c r="E255" s="48"/>
      <c r="F255" s="48"/>
      <c r="G255" s="47"/>
      <c r="H255" s="47"/>
      <c r="I255" s="47"/>
      <c r="J255" s="47"/>
      <c r="K255" s="47"/>
      <c r="L255" s="47"/>
      <c r="M255" s="47"/>
      <c r="N255" s="47"/>
      <c r="O255" s="47"/>
      <c r="P255" s="47"/>
      <c r="Q255" s="47"/>
      <c r="R255" s="47"/>
      <c r="S255" s="50"/>
      <c r="T255" s="51"/>
      <c r="U255" s="51"/>
      <c r="V255" s="51"/>
      <c r="W255" s="51"/>
      <c r="X255" s="51"/>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52"/>
      <c r="BH255" s="48"/>
      <c r="BI255" s="48"/>
      <c r="BJ255" s="48"/>
      <c r="BK255" s="48"/>
      <c r="BL255" s="48"/>
      <c r="BM255" s="48"/>
      <c r="BN255" s="48"/>
      <c r="BO255" s="48"/>
      <c r="BP255" s="48"/>
      <c r="BQ255" s="48"/>
    </row>
    <row r="256" ht="23.25" customHeight="1">
      <c r="A256" s="47"/>
      <c r="B256" s="47"/>
      <c r="C256" s="48"/>
      <c r="D256" s="48"/>
      <c r="E256" s="48"/>
      <c r="F256" s="48"/>
      <c r="G256" s="47"/>
      <c r="H256" s="47"/>
      <c r="I256" s="47"/>
      <c r="J256" s="47"/>
      <c r="K256" s="47"/>
      <c r="L256" s="47"/>
      <c r="M256" s="47"/>
      <c r="N256" s="47"/>
      <c r="O256" s="47"/>
      <c r="P256" s="47"/>
      <c r="Q256" s="47"/>
      <c r="R256" s="47"/>
      <c r="S256" s="50"/>
      <c r="T256" s="51"/>
      <c r="U256" s="51"/>
      <c r="V256" s="51"/>
      <c r="W256" s="51"/>
      <c r="X256" s="51"/>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52"/>
      <c r="BH256" s="48"/>
      <c r="BI256" s="48"/>
      <c r="BJ256" s="48"/>
      <c r="BK256" s="48"/>
      <c r="BL256" s="48"/>
      <c r="BM256" s="48"/>
      <c r="BN256" s="48"/>
      <c r="BO256" s="48"/>
      <c r="BP256" s="48"/>
      <c r="BQ256" s="48"/>
    </row>
    <row r="257" ht="23.25" customHeight="1">
      <c r="A257" s="47"/>
      <c r="B257" s="47"/>
      <c r="C257" s="48"/>
      <c r="D257" s="48"/>
      <c r="E257" s="48"/>
      <c r="F257" s="48"/>
      <c r="G257" s="47"/>
      <c r="H257" s="47"/>
      <c r="I257" s="47"/>
      <c r="J257" s="47"/>
      <c r="K257" s="47"/>
      <c r="L257" s="47"/>
      <c r="M257" s="47"/>
      <c r="N257" s="47"/>
      <c r="O257" s="47"/>
      <c r="P257" s="47"/>
      <c r="Q257" s="47"/>
      <c r="R257" s="47"/>
      <c r="S257" s="50"/>
      <c r="T257" s="51"/>
      <c r="U257" s="51"/>
      <c r="V257" s="51"/>
      <c r="W257" s="51"/>
      <c r="X257" s="51"/>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52"/>
      <c r="BH257" s="48"/>
      <c r="BI257" s="48"/>
      <c r="BJ257" s="48"/>
      <c r="BK257" s="48"/>
      <c r="BL257" s="48"/>
      <c r="BM257" s="48"/>
      <c r="BN257" s="48"/>
      <c r="BO257" s="48"/>
      <c r="BP257" s="48"/>
      <c r="BQ257" s="48"/>
    </row>
    <row r="258" ht="23.25" customHeight="1">
      <c r="A258" s="47"/>
      <c r="B258" s="47"/>
      <c r="C258" s="48"/>
      <c r="D258" s="48"/>
      <c r="E258" s="48"/>
      <c r="F258" s="48"/>
      <c r="G258" s="47"/>
      <c r="H258" s="47"/>
      <c r="I258" s="47"/>
      <c r="J258" s="47"/>
      <c r="K258" s="47"/>
      <c r="L258" s="47"/>
      <c r="M258" s="47"/>
      <c r="N258" s="47"/>
      <c r="O258" s="47"/>
      <c r="P258" s="47"/>
      <c r="Q258" s="47"/>
      <c r="R258" s="47"/>
      <c r="S258" s="50"/>
      <c r="T258" s="51"/>
      <c r="U258" s="51"/>
      <c r="V258" s="51"/>
      <c r="W258" s="51"/>
      <c r="X258" s="51"/>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52"/>
      <c r="BH258" s="48"/>
      <c r="BI258" s="48"/>
      <c r="BJ258" s="48"/>
      <c r="BK258" s="48"/>
      <c r="BL258" s="48"/>
      <c r="BM258" s="48"/>
      <c r="BN258" s="48"/>
      <c r="BO258" s="48"/>
      <c r="BP258" s="48"/>
      <c r="BQ258" s="48"/>
    </row>
    <row r="259" ht="23.25" customHeight="1">
      <c r="A259" s="47"/>
      <c r="B259" s="47"/>
      <c r="C259" s="48"/>
      <c r="D259" s="48"/>
      <c r="E259" s="48"/>
      <c r="F259" s="48"/>
      <c r="G259" s="47"/>
      <c r="H259" s="47"/>
      <c r="I259" s="47"/>
      <c r="J259" s="47"/>
      <c r="K259" s="47"/>
      <c r="L259" s="47"/>
      <c r="M259" s="47"/>
      <c r="N259" s="47"/>
      <c r="O259" s="47"/>
      <c r="P259" s="47"/>
      <c r="Q259" s="47"/>
      <c r="R259" s="47"/>
      <c r="S259" s="50"/>
      <c r="T259" s="51"/>
      <c r="U259" s="51"/>
      <c r="V259" s="51"/>
      <c r="W259" s="51"/>
      <c r="X259" s="51"/>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52"/>
      <c r="BH259" s="48"/>
      <c r="BI259" s="48"/>
      <c r="BJ259" s="48"/>
      <c r="BK259" s="48"/>
      <c r="BL259" s="48"/>
      <c r="BM259" s="48"/>
      <c r="BN259" s="48"/>
      <c r="BO259" s="48"/>
      <c r="BP259" s="48"/>
      <c r="BQ259" s="48"/>
    </row>
    <row r="260" ht="23.25" customHeight="1">
      <c r="A260" s="47"/>
      <c r="B260" s="47"/>
      <c r="C260" s="48"/>
      <c r="D260" s="48"/>
      <c r="E260" s="48"/>
      <c r="F260" s="48"/>
      <c r="G260" s="47"/>
      <c r="H260" s="47"/>
      <c r="I260" s="47"/>
      <c r="J260" s="47"/>
      <c r="K260" s="47"/>
      <c r="L260" s="47"/>
      <c r="M260" s="47"/>
      <c r="N260" s="47"/>
      <c r="O260" s="47"/>
      <c r="P260" s="47"/>
      <c r="Q260" s="47"/>
      <c r="R260" s="47"/>
      <c r="S260" s="50"/>
      <c r="T260" s="51"/>
      <c r="U260" s="51"/>
      <c r="V260" s="51"/>
      <c r="W260" s="51"/>
      <c r="X260" s="51"/>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52"/>
      <c r="BH260" s="48"/>
      <c r="BI260" s="48"/>
      <c r="BJ260" s="48"/>
      <c r="BK260" s="48"/>
      <c r="BL260" s="48"/>
      <c r="BM260" s="48"/>
      <c r="BN260" s="48"/>
      <c r="BO260" s="48"/>
      <c r="BP260" s="48"/>
      <c r="BQ260" s="48"/>
    </row>
    <row r="261" ht="23.25" customHeight="1">
      <c r="A261" s="47"/>
      <c r="B261" s="47"/>
      <c r="C261" s="48"/>
      <c r="D261" s="48"/>
      <c r="E261" s="48"/>
      <c r="F261" s="48"/>
      <c r="G261" s="47"/>
      <c r="H261" s="47"/>
      <c r="I261" s="47"/>
      <c r="J261" s="47"/>
      <c r="K261" s="47"/>
      <c r="L261" s="47"/>
      <c r="M261" s="47"/>
      <c r="N261" s="47"/>
      <c r="O261" s="47"/>
      <c r="P261" s="47"/>
      <c r="Q261" s="47"/>
      <c r="R261" s="47"/>
      <c r="S261" s="50"/>
      <c r="T261" s="51"/>
      <c r="U261" s="51"/>
      <c r="V261" s="51"/>
      <c r="W261" s="51"/>
      <c r="X261" s="51"/>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52"/>
      <c r="BH261" s="48"/>
      <c r="BI261" s="48"/>
      <c r="BJ261" s="48"/>
      <c r="BK261" s="48"/>
      <c r="BL261" s="48"/>
      <c r="BM261" s="48"/>
      <c r="BN261" s="48"/>
      <c r="BO261" s="48"/>
      <c r="BP261" s="48"/>
      <c r="BQ261" s="48"/>
    </row>
    <row r="262" ht="23.25" customHeight="1">
      <c r="A262" s="47"/>
      <c r="B262" s="47"/>
      <c r="C262" s="48"/>
      <c r="D262" s="48"/>
      <c r="E262" s="48"/>
      <c r="F262" s="48"/>
      <c r="G262" s="47"/>
      <c r="H262" s="47"/>
      <c r="I262" s="47"/>
      <c r="J262" s="47"/>
      <c r="K262" s="47"/>
      <c r="L262" s="47"/>
      <c r="M262" s="47"/>
      <c r="N262" s="47"/>
      <c r="O262" s="47"/>
      <c r="P262" s="47"/>
      <c r="Q262" s="47"/>
      <c r="R262" s="47"/>
      <c r="S262" s="50"/>
      <c r="T262" s="51"/>
      <c r="U262" s="51"/>
      <c r="V262" s="51"/>
      <c r="W262" s="51"/>
      <c r="X262" s="51"/>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52"/>
      <c r="BH262" s="48"/>
      <c r="BI262" s="48"/>
      <c r="BJ262" s="48"/>
      <c r="BK262" s="48"/>
      <c r="BL262" s="48"/>
      <c r="BM262" s="48"/>
      <c r="BN262" s="48"/>
      <c r="BO262" s="48"/>
      <c r="BP262" s="48"/>
      <c r="BQ262" s="48"/>
    </row>
    <row r="263" ht="23.25" customHeight="1">
      <c r="A263" s="47"/>
      <c r="B263" s="47"/>
      <c r="C263" s="48"/>
      <c r="D263" s="48"/>
      <c r="E263" s="48"/>
      <c r="F263" s="48"/>
      <c r="G263" s="47"/>
      <c r="H263" s="47"/>
      <c r="I263" s="47"/>
      <c r="J263" s="47"/>
      <c r="K263" s="47"/>
      <c r="L263" s="47"/>
      <c r="M263" s="47"/>
      <c r="N263" s="47"/>
      <c r="O263" s="47"/>
      <c r="P263" s="47"/>
      <c r="Q263" s="47"/>
      <c r="R263" s="47"/>
      <c r="S263" s="50"/>
      <c r="T263" s="51"/>
      <c r="U263" s="51"/>
      <c r="V263" s="51"/>
      <c r="W263" s="51"/>
      <c r="X263" s="51"/>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52"/>
      <c r="BH263" s="48"/>
      <c r="BI263" s="48"/>
      <c r="BJ263" s="48"/>
      <c r="BK263" s="48"/>
      <c r="BL263" s="48"/>
      <c r="BM263" s="48"/>
      <c r="BN263" s="48"/>
      <c r="BO263" s="48"/>
      <c r="BP263" s="48"/>
      <c r="BQ263" s="48"/>
    </row>
    <row r="264" ht="23.25" customHeight="1">
      <c r="A264" s="47"/>
      <c r="B264" s="47"/>
      <c r="C264" s="48"/>
      <c r="D264" s="48"/>
      <c r="E264" s="48"/>
      <c r="F264" s="48"/>
      <c r="G264" s="47"/>
      <c r="H264" s="47"/>
      <c r="I264" s="47"/>
      <c r="J264" s="47"/>
      <c r="K264" s="47"/>
      <c r="L264" s="47"/>
      <c r="M264" s="47"/>
      <c r="N264" s="47"/>
      <c r="O264" s="47"/>
      <c r="P264" s="47"/>
      <c r="Q264" s="47"/>
      <c r="R264" s="47"/>
      <c r="S264" s="50"/>
      <c r="T264" s="51"/>
      <c r="U264" s="51"/>
      <c r="V264" s="51"/>
      <c r="W264" s="51"/>
      <c r="X264" s="51"/>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52"/>
      <c r="BH264" s="48"/>
      <c r="BI264" s="48"/>
      <c r="BJ264" s="48"/>
      <c r="BK264" s="48"/>
      <c r="BL264" s="48"/>
      <c r="BM264" s="48"/>
      <c r="BN264" s="48"/>
      <c r="BO264" s="48"/>
      <c r="BP264" s="48"/>
      <c r="BQ264" s="48"/>
    </row>
    <row r="265" ht="23.25" customHeight="1">
      <c r="A265" s="47"/>
      <c r="B265" s="47"/>
      <c r="C265" s="48"/>
      <c r="D265" s="48"/>
      <c r="E265" s="48"/>
      <c r="F265" s="48"/>
      <c r="G265" s="47"/>
      <c r="H265" s="47"/>
      <c r="I265" s="47"/>
      <c r="J265" s="47"/>
      <c r="K265" s="47"/>
      <c r="L265" s="47"/>
      <c r="M265" s="47"/>
      <c r="N265" s="47"/>
      <c r="O265" s="47"/>
      <c r="P265" s="47"/>
      <c r="Q265" s="47"/>
      <c r="R265" s="47"/>
      <c r="S265" s="50"/>
      <c r="T265" s="51"/>
      <c r="U265" s="51"/>
      <c r="V265" s="51"/>
      <c r="W265" s="51"/>
      <c r="X265" s="51"/>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52"/>
      <c r="BH265" s="48"/>
      <c r="BI265" s="48"/>
      <c r="BJ265" s="48"/>
      <c r="BK265" s="48"/>
      <c r="BL265" s="48"/>
      <c r="BM265" s="48"/>
      <c r="BN265" s="48"/>
      <c r="BO265" s="48"/>
      <c r="BP265" s="48"/>
      <c r="BQ265" s="48"/>
    </row>
    <row r="266" ht="23.25" customHeight="1">
      <c r="A266" s="47"/>
      <c r="B266" s="47"/>
      <c r="C266" s="48"/>
      <c r="D266" s="48"/>
      <c r="E266" s="48"/>
      <c r="F266" s="48"/>
      <c r="G266" s="47"/>
      <c r="H266" s="47"/>
      <c r="I266" s="47"/>
      <c r="J266" s="47"/>
      <c r="K266" s="47"/>
      <c r="L266" s="47"/>
      <c r="M266" s="47"/>
      <c r="N266" s="47"/>
      <c r="O266" s="47"/>
      <c r="P266" s="47"/>
      <c r="Q266" s="47"/>
      <c r="R266" s="47"/>
      <c r="S266" s="50"/>
      <c r="T266" s="51"/>
      <c r="U266" s="51"/>
      <c r="V266" s="51"/>
      <c r="W266" s="51"/>
      <c r="X266" s="51"/>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52"/>
      <c r="BH266" s="48"/>
      <c r="BI266" s="48"/>
      <c r="BJ266" s="48"/>
      <c r="BK266" s="48"/>
      <c r="BL266" s="48"/>
      <c r="BM266" s="48"/>
      <c r="BN266" s="48"/>
      <c r="BO266" s="48"/>
      <c r="BP266" s="48"/>
      <c r="BQ266" s="48"/>
    </row>
    <row r="267" ht="23.25" customHeight="1">
      <c r="A267" s="47"/>
      <c r="B267" s="47"/>
      <c r="C267" s="48"/>
      <c r="D267" s="48"/>
      <c r="E267" s="48"/>
      <c r="F267" s="48"/>
      <c r="G267" s="47"/>
      <c r="H267" s="47"/>
      <c r="I267" s="47"/>
      <c r="J267" s="47"/>
      <c r="K267" s="47"/>
      <c r="L267" s="47"/>
      <c r="M267" s="47"/>
      <c r="N267" s="47"/>
      <c r="O267" s="47"/>
      <c r="P267" s="47"/>
      <c r="Q267" s="47"/>
      <c r="R267" s="47"/>
      <c r="S267" s="50"/>
      <c r="T267" s="51"/>
      <c r="U267" s="51"/>
      <c r="V267" s="51"/>
      <c r="W267" s="51"/>
      <c r="X267" s="51"/>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52"/>
      <c r="BH267" s="48"/>
      <c r="BI267" s="48"/>
      <c r="BJ267" s="48"/>
      <c r="BK267" s="48"/>
      <c r="BL267" s="48"/>
      <c r="BM267" s="48"/>
      <c r="BN267" s="48"/>
      <c r="BO267" s="48"/>
      <c r="BP267" s="48"/>
      <c r="BQ267" s="48"/>
    </row>
    <row r="268" ht="23.25" customHeight="1">
      <c r="A268" s="47"/>
      <c r="B268" s="47"/>
      <c r="C268" s="48"/>
      <c r="D268" s="48"/>
      <c r="E268" s="48"/>
      <c r="F268" s="48"/>
      <c r="G268" s="47"/>
      <c r="H268" s="47"/>
      <c r="I268" s="47"/>
      <c r="J268" s="47"/>
      <c r="K268" s="47"/>
      <c r="L268" s="47"/>
      <c r="M268" s="47"/>
      <c r="N268" s="47"/>
      <c r="O268" s="47"/>
      <c r="P268" s="47"/>
      <c r="Q268" s="47"/>
      <c r="R268" s="47"/>
      <c r="S268" s="50"/>
      <c r="T268" s="51"/>
      <c r="U268" s="51"/>
      <c r="V268" s="51"/>
      <c r="W268" s="51"/>
      <c r="X268" s="51"/>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52"/>
      <c r="BH268" s="48"/>
      <c r="BI268" s="48"/>
      <c r="BJ268" s="48"/>
      <c r="BK268" s="48"/>
      <c r="BL268" s="48"/>
      <c r="BM268" s="48"/>
      <c r="BN268" s="48"/>
      <c r="BO268" s="48"/>
      <c r="BP268" s="48"/>
      <c r="BQ268" s="48"/>
    </row>
    <row r="269" ht="23.25" customHeight="1">
      <c r="A269" s="47"/>
      <c r="B269" s="47"/>
      <c r="C269" s="48"/>
      <c r="D269" s="48"/>
      <c r="E269" s="48"/>
      <c r="F269" s="48"/>
      <c r="G269" s="47"/>
      <c r="H269" s="47"/>
      <c r="I269" s="47"/>
      <c r="J269" s="47"/>
      <c r="K269" s="47"/>
      <c r="L269" s="47"/>
      <c r="M269" s="47"/>
      <c r="N269" s="47"/>
      <c r="O269" s="47"/>
      <c r="P269" s="47"/>
      <c r="Q269" s="47"/>
      <c r="R269" s="47"/>
      <c r="S269" s="50"/>
      <c r="T269" s="51"/>
      <c r="U269" s="51"/>
      <c r="V269" s="51"/>
      <c r="W269" s="51"/>
      <c r="X269" s="51"/>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52"/>
      <c r="BH269" s="48"/>
      <c r="BI269" s="48"/>
      <c r="BJ269" s="48"/>
      <c r="BK269" s="48"/>
      <c r="BL269" s="48"/>
      <c r="BM269" s="48"/>
      <c r="BN269" s="48"/>
      <c r="BO269" s="48"/>
      <c r="BP269" s="48"/>
      <c r="BQ269" s="48"/>
    </row>
    <row r="270" ht="23.25" customHeight="1">
      <c r="A270" s="47"/>
      <c r="B270" s="47"/>
      <c r="C270" s="48"/>
      <c r="D270" s="48"/>
      <c r="E270" s="48"/>
      <c r="F270" s="48"/>
      <c r="G270" s="47"/>
      <c r="H270" s="47"/>
      <c r="I270" s="47"/>
      <c r="J270" s="47"/>
      <c r="K270" s="47"/>
      <c r="L270" s="47"/>
      <c r="M270" s="47"/>
      <c r="N270" s="47"/>
      <c r="O270" s="47"/>
      <c r="P270" s="47"/>
      <c r="Q270" s="47"/>
      <c r="R270" s="47"/>
      <c r="S270" s="50"/>
      <c r="T270" s="51"/>
      <c r="U270" s="51"/>
      <c r="V270" s="51"/>
      <c r="W270" s="51"/>
      <c r="X270" s="51"/>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52"/>
      <c r="BH270" s="48"/>
      <c r="BI270" s="48"/>
      <c r="BJ270" s="48"/>
      <c r="BK270" s="48"/>
      <c r="BL270" s="48"/>
      <c r="BM270" s="48"/>
      <c r="BN270" s="48"/>
      <c r="BO270" s="48"/>
      <c r="BP270" s="48"/>
      <c r="BQ270" s="48"/>
    </row>
    <row r="271" ht="23.25" customHeight="1">
      <c r="A271" s="47"/>
      <c r="B271" s="47"/>
      <c r="C271" s="48"/>
      <c r="D271" s="48"/>
      <c r="E271" s="48"/>
      <c r="F271" s="48"/>
      <c r="G271" s="47"/>
      <c r="H271" s="47"/>
      <c r="I271" s="47"/>
      <c r="J271" s="47"/>
      <c r="K271" s="47"/>
      <c r="L271" s="47"/>
      <c r="M271" s="47"/>
      <c r="N271" s="47"/>
      <c r="O271" s="47"/>
      <c r="P271" s="47"/>
      <c r="Q271" s="47"/>
      <c r="R271" s="47"/>
      <c r="S271" s="50"/>
      <c r="T271" s="51"/>
      <c r="U271" s="51"/>
      <c r="V271" s="51"/>
      <c r="W271" s="51"/>
      <c r="X271" s="51"/>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52"/>
      <c r="BH271" s="48"/>
      <c r="BI271" s="48"/>
      <c r="BJ271" s="48"/>
      <c r="BK271" s="48"/>
      <c r="BL271" s="48"/>
      <c r="BM271" s="48"/>
      <c r="BN271" s="48"/>
      <c r="BO271" s="48"/>
      <c r="BP271" s="48"/>
      <c r="BQ271" s="48"/>
    </row>
    <row r="272" ht="23.25" customHeight="1">
      <c r="A272" s="47"/>
      <c r="B272" s="47"/>
      <c r="C272" s="48"/>
      <c r="D272" s="48"/>
      <c r="E272" s="48"/>
      <c r="F272" s="48"/>
      <c r="G272" s="47"/>
      <c r="H272" s="47"/>
      <c r="I272" s="47"/>
      <c r="J272" s="47"/>
      <c r="K272" s="47"/>
      <c r="L272" s="47"/>
      <c r="M272" s="47"/>
      <c r="N272" s="47"/>
      <c r="O272" s="47"/>
      <c r="P272" s="47"/>
      <c r="Q272" s="47"/>
      <c r="R272" s="47"/>
      <c r="S272" s="50"/>
      <c r="T272" s="51"/>
      <c r="U272" s="51"/>
      <c r="V272" s="51"/>
      <c r="W272" s="51"/>
      <c r="X272" s="51"/>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52"/>
      <c r="BH272" s="48"/>
      <c r="BI272" s="48"/>
      <c r="BJ272" s="48"/>
      <c r="BK272" s="48"/>
      <c r="BL272" s="48"/>
      <c r="BM272" s="48"/>
      <c r="BN272" s="48"/>
      <c r="BO272" s="48"/>
      <c r="BP272" s="48"/>
      <c r="BQ272" s="48"/>
    </row>
    <row r="273" ht="23.25" customHeight="1">
      <c r="A273" s="47"/>
      <c r="B273" s="47"/>
      <c r="C273" s="48"/>
      <c r="D273" s="48"/>
      <c r="E273" s="48"/>
      <c r="F273" s="48"/>
      <c r="G273" s="47"/>
      <c r="H273" s="47"/>
      <c r="I273" s="47"/>
      <c r="J273" s="47"/>
      <c r="K273" s="47"/>
      <c r="L273" s="47"/>
      <c r="M273" s="47"/>
      <c r="N273" s="47"/>
      <c r="O273" s="47"/>
      <c r="P273" s="47"/>
      <c r="Q273" s="47"/>
      <c r="R273" s="47"/>
      <c r="S273" s="50"/>
      <c r="T273" s="51"/>
      <c r="U273" s="51"/>
      <c r="V273" s="51"/>
      <c r="W273" s="51"/>
      <c r="X273" s="51"/>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52"/>
      <c r="BH273" s="48"/>
      <c r="BI273" s="48"/>
      <c r="BJ273" s="48"/>
      <c r="BK273" s="48"/>
      <c r="BL273" s="48"/>
      <c r="BM273" s="48"/>
      <c r="BN273" s="48"/>
      <c r="BO273" s="48"/>
      <c r="BP273" s="48"/>
      <c r="BQ273" s="48"/>
    </row>
    <row r="274" ht="23.25" customHeight="1">
      <c r="A274" s="47"/>
      <c r="B274" s="47"/>
      <c r="C274" s="48"/>
      <c r="D274" s="48"/>
      <c r="E274" s="48"/>
      <c r="F274" s="48"/>
      <c r="G274" s="47"/>
      <c r="H274" s="47"/>
      <c r="I274" s="47"/>
      <c r="J274" s="47"/>
      <c r="K274" s="47"/>
      <c r="L274" s="47"/>
      <c r="M274" s="47"/>
      <c r="N274" s="47"/>
      <c r="O274" s="47"/>
      <c r="P274" s="47"/>
      <c r="Q274" s="47"/>
      <c r="R274" s="47"/>
      <c r="S274" s="50"/>
      <c r="T274" s="51"/>
      <c r="U274" s="51"/>
      <c r="V274" s="51"/>
      <c r="W274" s="51"/>
      <c r="X274" s="51"/>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52"/>
      <c r="BH274" s="48"/>
      <c r="BI274" s="48"/>
      <c r="BJ274" s="48"/>
      <c r="BK274" s="48"/>
      <c r="BL274" s="48"/>
      <c r="BM274" s="48"/>
      <c r="BN274" s="48"/>
      <c r="BO274" s="48"/>
      <c r="BP274" s="48"/>
      <c r="BQ274" s="48"/>
    </row>
    <row r="275" ht="23.25" customHeight="1">
      <c r="A275" s="47"/>
      <c r="B275" s="47"/>
      <c r="C275" s="48"/>
      <c r="D275" s="48"/>
      <c r="E275" s="48"/>
      <c r="F275" s="48"/>
      <c r="G275" s="47"/>
      <c r="H275" s="47"/>
      <c r="I275" s="47"/>
      <c r="J275" s="47"/>
      <c r="K275" s="47"/>
      <c r="L275" s="47"/>
      <c r="M275" s="47"/>
      <c r="N275" s="47"/>
      <c r="O275" s="47"/>
      <c r="P275" s="47"/>
      <c r="Q275" s="47"/>
      <c r="R275" s="47"/>
      <c r="S275" s="50"/>
      <c r="T275" s="51"/>
      <c r="U275" s="51"/>
      <c r="V275" s="51"/>
      <c r="W275" s="51"/>
      <c r="X275" s="51"/>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52"/>
      <c r="BH275" s="48"/>
      <c r="BI275" s="48"/>
      <c r="BJ275" s="48"/>
      <c r="BK275" s="48"/>
      <c r="BL275" s="48"/>
      <c r="BM275" s="48"/>
      <c r="BN275" s="48"/>
      <c r="BO275" s="48"/>
      <c r="BP275" s="48"/>
      <c r="BQ275" s="48"/>
    </row>
    <row r="276" ht="23.25" customHeight="1">
      <c r="A276" s="47"/>
      <c r="B276" s="47"/>
      <c r="C276" s="48"/>
      <c r="D276" s="48"/>
      <c r="E276" s="48"/>
      <c r="F276" s="48"/>
      <c r="G276" s="47"/>
      <c r="H276" s="47"/>
      <c r="I276" s="47"/>
      <c r="J276" s="47"/>
      <c r="K276" s="47"/>
      <c r="L276" s="47"/>
      <c r="M276" s="47"/>
      <c r="N276" s="47"/>
      <c r="O276" s="47"/>
      <c r="P276" s="47"/>
      <c r="Q276" s="47"/>
      <c r="R276" s="47"/>
      <c r="S276" s="50"/>
      <c r="T276" s="51"/>
      <c r="U276" s="51"/>
      <c r="V276" s="51"/>
      <c r="W276" s="51"/>
      <c r="X276" s="51"/>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52"/>
      <c r="BH276" s="48"/>
      <c r="BI276" s="48"/>
      <c r="BJ276" s="48"/>
      <c r="BK276" s="48"/>
      <c r="BL276" s="48"/>
      <c r="BM276" s="48"/>
      <c r="BN276" s="48"/>
      <c r="BO276" s="48"/>
      <c r="BP276" s="48"/>
      <c r="BQ276" s="48"/>
    </row>
    <row r="277" ht="23.25" customHeight="1">
      <c r="A277" s="47"/>
      <c r="B277" s="47"/>
      <c r="C277" s="48"/>
      <c r="D277" s="48"/>
      <c r="E277" s="48"/>
      <c r="F277" s="48"/>
      <c r="G277" s="47"/>
      <c r="H277" s="47"/>
      <c r="I277" s="47"/>
      <c r="J277" s="47"/>
      <c r="K277" s="47"/>
      <c r="L277" s="47"/>
      <c r="M277" s="47"/>
      <c r="N277" s="47"/>
      <c r="O277" s="47"/>
      <c r="P277" s="47"/>
      <c r="Q277" s="47"/>
      <c r="R277" s="47"/>
      <c r="S277" s="50"/>
      <c r="T277" s="51"/>
      <c r="U277" s="51"/>
      <c r="V277" s="51"/>
      <c r="W277" s="51"/>
      <c r="X277" s="51"/>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52"/>
      <c r="BH277" s="48"/>
      <c r="BI277" s="48"/>
      <c r="BJ277" s="48"/>
      <c r="BK277" s="48"/>
      <c r="BL277" s="48"/>
      <c r="BM277" s="48"/>
      <c r="BN277" s="48"/>
      <c r="BO277" s="48"/>
      <c r="BP277" s="48"/>
      <c r="BQ277" s="48"/>
    </row>
    <row r="278" ht="23.25" customHeight="1">
      <c r="A278" s="47"/>
      <c r="B278" s="47"/>
      <c r="C278" s="48"/>
      <c r="D278" s="48"/>
      <c r="E278" s="48"/>
      <c r="F278" s="48"/>
      <c r="G278" s="47"/>
      <c r="H278" s="47"/>
      <c r="I278" s="47"/>
      <c r="J278" s="47"/>
      <c r="K278" s="47"/>
      <c r="L278" s="47"/>
      <c r="M278" s="47"/>
      <c r="N278" s="47"/>
      <c r="O278" s="47"/>
      <c r="P278" s="47"/>
      <c r="Q278" s="47"/>
      <c r="R278" s="47"/>
      <c r="S278" s="50"/>
      <c r="T278" s="51"/>
      <c r="U278" s="51"/>
      <c r="V278" s="51"/>
      <c r="W278" s="51"/>
      <c r="X278" s="51"/>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52"/>
      <c r="BH278" s="48"/>
      <c r="BI278" s="48"/>
      <c r="BJ278" s="48"/>
      <c r="BK278" s="48"/>
      <c r="BL278" s="48"/>
      <c r="BM278" s="48"/>
      <c r="BN278" s="48"/>
      <c r="BO278" s="48"/>
      <c r="BP278" s="48"/>
      <c r="BQ278" s="48"/>
    </row>
    <row r="279" ht="23.25" customHeight="1">
      <c r="A279" s="47"/>
      <c r="B279" s="47"/>
      <c r="C279" s="48"/>
      <c r="D279" s="48"/>
      <c r="E279" s="48"/>
      <c r="F279" s="48"/>
      <c r="G279" s="47"/>
      <c r="H279" s="47"/>
      <c r="I279" s="47"/>
      <c r="J279" s="47"/>
      <c r="K279" s="47"/>
      <c r="L279" s="47"/>
      <c r="M279" s="47"/>
      <c r="N279" s="47"/>
      <c r="O279" s="47"/>
      <c r="P279" s="47"/>
      <c r="Q279" s="47"/>
      <c r="R279" s="47"/>
      <c r="S279" s="50"/>
      <c r="T279" s="51"/>
      <c r="U279" s="51"/>
      <c r="V279" s="51"/>
      <c r="W279" s="51"/>
      <c r="X279" s="51"/>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52"/>
      <c r="BH279" s="48"/>
      <c r="BI279" s="48"/>
      <c r="BJ279" s="48"/>
      <c r="BK279" s="48"/>
      <c r="BL279" s="48"/>
      <c r="BM279" s="48"/>
      <c r="BN279" s="48"/>
      <c r="BO279" s="48"/>
      <c r="BP279" s="48"/>
      <c r="BQ279" s="48"/>
    </row>
    <row r="280" ht="23.25" customHeight="1">
      <c r="A280" s="47"/>
      <c r="B280" s="47"/>
      <c r="C280" s="48"/>
      <c r="D280" s="48"/>
      <c r="E280" s="48"/>
      <c r="F280" s="48"/>
      <c r="G280" s="47"/>
      <c r="H280" s="47"/>
      <c r="I280" s="47"/>
      <c r="J280" s="47"/>
      <c r="K280" s="47"/>
      <c r="L280" s="47"/>
      <c r="M280" s="47"/>
      <c r="N280" s="47"/>
      <c r="O280" s="47"/>
      <c r="P280" s="47"/>
      <c r="Q280" s="47"/>
      <c r="R280" s="47"/>
      <c r="S280" s="50"/>
      <c r="T280" s="51"/>
      <c r="U280" s="51"/>
      <c r="V280" s="51"/>
      <c r="W280" s="51"/>
      <c r="X280" s="51"/>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52"/>
      <c r="BH280" s="48"/>
      <c r="BI280" s="48"/>
      <c r="BJ280" s="48"/>
      <c r="BK280" s="48"/>
      <c r="BL280" s="48"/>
      <c r="BM280" s="48"/>
      <c r="BN280" s="48"/>
      <c r="BO280" s="48"/>
      <c r="BP280" s="48"/>
      <c r="BQ280" s="48"/>
    </row>
    <row r="281" ht="23.25" customHeight="1">
      <c r="A281" s="47"/>
      <c r="B281" s="47"/>
      <c r="C281" s="48"/>
      <c r="D281" s="48"/>
      <c r="E281" s="48"/>
      <c r="F281" s="48"/>
      <c r="G281" s="47"/>
      <c r="H281" s="47"/>
      <c r="I281" s="47"/>
      <c r="J281" s="47"/>
      <c r="K281" s="47"/>
      <c r="L281" s="47"/>
      <c r="M281" s="47"/>
      <c r="N281" s="47"/>
      <c r="O281" s="47"/>
      <c r="P281" s="47"/>
      <c r="Q281" s="47"/>
      <c r="R281" s="47"/>
      <c r="S281" s="50"/>
      <c r="T281" s="51"/>
      <c r="U281" s="51"/>
      <c r="V281" s="51"/>
      <c r="W281" s="51"/>
      <c r="X281" s="51"/>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52"/>
      <c r="BH281" s="48"/>
      <c r="BI281" s="48"/>
      <c r="BJ281" s="48"/>
      <c r="BK281" s="48"/>
      <c r="BL281" s="48"/>
      <c r="BM281" s="48"/>
      <c r="BN281" s="48"/>
      <c r="BO281" s="48"/>
      <c r="BP281" s="48"/>
      <c r="BQ281" s="48"/>
    </row>
    <row r="282" ht="23.25" customHeight="1">
      <c r="A282" s="47"/>
      <c r="B282" s="47"/>
      <c r="C282" s="48"/>
      <c r="D282" s="48"/>
      <c r="E282" s="48"/>
      <c r="F282" s="48"/>
      <c r="G282" s="47"/>
      <c r="H282" s="47"/>
      <c r="I282" s="47"/>
      <c r="J282" s="47"/>
      <c r="K282" s="47"/>
      <c r="L282" s="47"/>
      <c r="M282" s="47"/>
      <c r="N282" s="47"/>
      <c r="O282" s="47"/>
      <c r="P282" s="47"/>
      <c r="Q282" s="47"/>
      <c r="R282" s="47"/>
      <c r="S282" s="50"/>
      <c r="T282" s="51"/>
      <c r="U282" s="51"/>
      <c r="V282" s="51"/>
      <c r="W282" s="51"/>
      <c r="X282" s="51"/>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52"/>
      <c r="BH282" s="48"/>
      <c r="BI282" s="48"/>
      <c r="BJ282" s="48"/>
      <c r="BK282" s="48"/>
      <c r="BL282" s="48"/>
      <c r="BM282" s="48"/>
      <c r="BN282" s="48"/>
      <c r="BO282" s="48"/>
      <c r="BP282" s="48"/>
      <c r="BQ282" s="48"/>
    </row>
    <row r="283" ht="23.25" customHeight="1">
      <c r="A283" s="47"/>
      <c r="B283" s="47"/>
      <c r="C283" s="48"/>
      <c r="D283" s="48"/>
      <c r="E283" s="48"/>
      <c r="F283" s="48"/>
      <c r="G283" s="47"/>
      <c r="H283" s="47"/>
      <c r="I283" s="47"/>
      <c r="J283" s="47"/>
      <c r="K283" s="47"/>
      <c r="L283" s="47"/>
      <c r="M283" s="47"/>
      <c r="N283" s="47"/>
      <c r="O283" s="47"/>
      <c r="P283" s="47"/>
      <c r="Q283" s="47"/>
      <c r="R283" s="47"/>
      <c r="S283" s="50"/>
      <c r="T283" s="51"/>
      <c r="U283" s="51"/>
      <c r="V283" s="51"/>
      <c r="W283" s="51"/>
      <c r="X283" s="51"/>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52"/>
      <c r="BH283" s="48"/>
      <c r="BI283" s="48"/>
      <c r="BJ283" s="48"/>
      <c r="BK283" s="48"/>
      <c r="BL283" s="48"/>
      <c r="BM283" s="48"/>
      <c r="BN283" s="48"/>
      <c r="BO283" s="48"/>
      <c r="BP283" s="48"/>
      <c r="BQ283" s="48"/>
    </row>
    <row r="284" ht="23.25" customHeight="1">
      <c r="A284" s="47"/>
      <c r="B284" s="47"/>
      <c r="C284" s="48"/>
      <c r="D284" s="48"/>
      <c r="E284" s="48"/>
      <c r="F284" s="48"/>
      <c r="G284" s="47"/>
      <c r="H284" s="47"/>
      <c r="I284" s="47"/>
      <c r="J284" s="47"/>
      <c r="K284" s="47"/>
      <c r="L284" s="47"/>
      <c r="M284" s="47"/>
      <c r="N284" s="47"/>
      <c r="O284" s="47"/>
      <c r="P284" s="47"/>
      <c r="Q284" s="47"/>
      <c r="R284" s="47"/>
      <c r="S284" s="50"/>
      <c r="T284" s="51"/>
      <c r="U284" s="51"/>
      <c r="V284" s="51"/>
      <c r="W284" s="51"/>
      <c r="X284" s="51"/>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52"/>
      <c r="BH284" s="48"/>
      <c r="BI284" s="48"/>
      <c r="BJ284" s="48"/>
      <c r="BK284" s="48"/>
      <c r="BL284" s="48"/>
      <c r="BM284" s="48"/>
      <c r="BN284" s="48"/>
      <c r="BO284" s="48"/>
      <c r="BP284" s="48"/>
      <c r="BQ284" s="48"/>
    </row>
    <row r="285" ht="23.25" customHeight="1">
      <c r="A285" s="47"/>
      <c r="B285" s="47"/>
      <c r="C285" s="48"/>
      <c r="D285" s="48"/>
      <c r="E285" s="48"/>
      <c r="F285" s="48"/>
      <c r="G285" s="47"/>
      <c r="H285" s="47"/>
      <c r="I285" s="47"/>
      <c r="J285" s="47"/>
      <c r="K285" s="47"/>
      <c r="L285" s="47"/>
      <c r="M285" s="47"/>
      <c r="N285" s="47"/>
      <c r="O285" s="47"/>
      <c r="P285" s="47"/>
      <c r="Q285" s="47"/>
      <c r="R285" s="47"/>
      <c r="S285" s="50"/>
      <c r="T285" s="51"/>
      <c r="U285" s="51"/>
      <c r="V285" s="51"/>
      <c r="W285" s="51"/>
      <c r="X285" s="51"/>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52"/>
      <c r="BH285" s="48"/>
      <c r="BI285" s="48"/>
      <c r="BJ285" s="48"/>
      <c r="BK285" s="48"/>
      <c r="BL285" s="48"/>
      <c r="BM285" s="48"/>
      <c r="BN285" s="48"/>
      <c r="BO285" s="48"/>
      <c r="BP285" s="48"/>
      <c r="BQ285" s="48"/>
    </row>
    <row r="286" ht="23.25" customHeight="1">
      <c r="A286" s="47"/>
      <c r="B286" s="47"/>
      <c r="C286" s="48"/>
      <c r="D286" s="48"/>
      <c r="E286" s="48"/>
      <c r="F286" s="48"/>
      <c r="G286" s="47"/>
      <c r="H286" s="47"/>
      <c r="I286" s="47"/>
      <c r="J286" s="47"/>
      <c r="K286" s="47"/>
      <c r="L286" s="47"/>
      <c r="M286" s="47"/>
      <c r="N286" s="47"/>
      <c r="O286" s="47"/>
      <c r="P286" s="47"/>
      <c r="Q286" s="47"/>
      <c r="R286" s="47"/>
      <c r="S286" s="50"/>
      <c r="T286" s="51"/>
      <c r="U286" s="51"/>
      <c r="V286" s="51"/>
      <c r="W286" s="51"/>
      <c r="X286" s="51"/>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52"/>
      <c r="BH286" s="48"/>
      <c r="BI286" s="48"/>
      <c r="BJ286" s="48"/>
      <c r="BK286" s="48"/>
      <c r="BL286" s="48"/>
      <c r="BM286" s="48"/>
      <c r="BN286" s="48"/>
      <c r="BO286" s="48"/>
      <c r="BP286" s="48"/>
      <c r="BQ286" s="48"/>
    </row>
    <row r="287" ht="23.25" customHeight="1">
      <c r="A287" s="47"/>
      <c r="B287" s="47"/>
      <c r="C287" s="48"/>
      <c r="D287" s="48"/>
      <c r="E287" s="48"/>
      <c r="F287" s="48"/>
      <c r="G287" s="47"/>
      <c r="H287" s="47"/>
      <c r="I287" s="47"/>
      <c r="J287" s="47"/>
      <c r="K287" s="47"/>
      <c r="L287" s="47"/>
      <c r="M287" s="47"/>
      <c r="N287" s="47"/>
      <c r="O287" s="47"/>
      <c r="P287" s="47"/>
      <c r="Q287" s="47"/>
      <c r="R287" s="47"/>
      <c r="S287" s="50"/>
      <c r="T287" s="51"/>
      <c r="U287" s="51"/>
      <c r="V287" s="51"/>
      <c r="W287" s="51"/>
      <c r="X287" s="51"/>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52"/>
      <c r="BH287" s="48"/>
      <c r="BI287" s="48"/>
      <c r="BJ287" s="48"/>
      <c r="BK287" s="48"/>
      <c r="BL287" s="48"/>
      <c r="BM287" s="48"/>
      <c r="BN287" s="48"/>
      <c r="BO287" s="48"/>
      <c r="BP287" s="48"/>
      <c r="BQ287" s="48"/>
    </row>
    <row r="288" ht="23.25" customHeight="1">
      <c r="A288" s="47"/>
      <c r="B288" s="47"/>
      <c r="C288" s="48"/>
      <c r="D288" s="48"/>
      <c r="E288" s="48"/>
      <c r="F288" s="48"/>
      <c r="G288" s="47"/>
      <c r="H288" s="47"/>
      <c r="I288" s="47"/>
      <c r="J288" s="47"/>
      <c r="K288" s="47"/>
      <c r="L288" s="47"/>
      <c r="M288" s="47"/>
      <c r="N288" s="47"/>
      <c r="O288" s="47"/>
      <c r="P288" s="47"/>
      <c r="Q288" s="47"/>
      <c r="R288" s="47"/>
      <c r="S288" s="50"/>
      <c r="T288" s="51"/>
      <c r="U288" s="51"/>
      <c r="V288" s="51"/>
      <c r="W288" s="51"/>
      <c r="X288" s="51"/>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52"/>
      <c r="BH288" s="48"/>
      <c r="BI288" s="48"/>
      <c r="BJ288" s="48"/>
      <c r="BK288" s="48"/>
      <c r="BL288" s="48"/>
      <c r="BM288" s="48"/>
      <c r="BN288" s="48"/>
      <c r="BO288" s="48"/>
      <c r="BP288" s="48"/>
      <c r="BQ288" s="48"/>
    </row>
    <row r="289" ht="23.25" customHeight="1">
      <c r="A289" s="47"/>
      <c r="B289" s="47"/>
      <c r="C289" s="48"/>
      <c r="D289" s="48"/>
      <c r="E289" s="48"/>
      <c r="F289" s="48"/>
      <c r="G289" s="47"/>
      <c r="H289" s="47"/>
      <c r="I289" s="47"/>
      <c r="J289" s="47"/>
      <c r="K289" s="47"/>
      <c r="L289" s="47"/>
      <c r="M289" s="47"/>
      <c r="N289" s="47"/>
      <c r="O289" s="47"/>
      <c r="P289" s="47"/>
      <c r="Q289" s="47"/>
      <c r="R289" s="47"/>
      <c r="S289" s="50"/>
      <c r="T289" s="51"/>
      <c r="U289" s="51"/>
      <c r="V289" s="51"/>
      <c r="W289" s="51"/>
      <c r="X289" s="51"/>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52"/>
      <c r="BH289" s="48"/>
      <c r="BI289" s="48"/>
      <c r="BJ289" s="48"/>
      <c r="BK289" s="48"/>
      <c r="BL289" s="48"/>
      <c r="BM289" s="48"/>
      <c r="BN289" s="48"/>
      <c r="BO289" s="48"/>
      <c r="BP289" s="48"/>
      <c r="BQ289" s="48"/>
    </row>
    <row r="290" ht="23.25" customHeight="1">
      <c r="A290" s="47"/>
      <c r="B290" s="47"/>
      <c r="C290" s="48"/>
      <c r="D290" s="48"/>
      <c r="E290" s="48"/>
      <c r="F290" s="48"/>
      <c r="G290" s="47"/>
      <c r="H290" s="47"/>
      <c r="I290" s="47"/>
      <c r="J290" s="47"/>
      <c r="K290" s="47"/>
      <c r="L290" s="47"/>
      <c r="M290" s="47"/>
      <c r="N290" s="47"/>
      <c r="O290" s="47"/>
      <c r="P290" s="47"/>
      <c r="Q290" s="47"/>
      <c r="R290" s="47"/>
      <c r="S290" s="50"/>
      <c r="T290" s="51"/>
      <c r="U290" s="51"/>
      <c r="V290" s="51"/>
      <c r="W290" s="51"/>
      <c r="X290" s="51"/>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52"/>
      <c r="BH290" s="48"/>
      <c r="BI290" s="48"/>
      <c r="BJ290" s="48"/>
      <c r="BK290" s="48"/>
      <c r="BL290" s="48"/>
      <c r="BM290" s="48"/>
      <c r="BN290" s="48"/>
      <c r="BO290" s="48"/>
      <c r="BP290" s="48"/>
      <c r="BQ290" s="48"/>
    </row>
    <row r="291" ht="23.25" customHeight="1">
      <c r="A291" s="47"/>
      <c r="B291" s="47"/>
      <c r="C291" s="48"/>
      <c r="D291" s="48"/>
      <c r="E291" s="48"/>
      <c r="F291" s="48"/>
      <c r="G291" s="47"/>
      <c r="H291" s="47"/>
      <c r="I291" s="47"/>
      <c r="J291" s="47"/>
      <c r="K291" s="47"/>
      <c r="L291" s="47"/>
      <c r="M291" s="47"/>
      <c r="N291" s="47"/>
      <c r="O291" s="47"/>
      <c r="P291" s="47"/>
      <c r="Q291" s="47"/>
      <c r="R291" s="47"/>
      <c r="S291" s="50"/>
      <c r="T291" s="51"/>
      <c r="U291" s="51"/>
      <c r="V291" s="51"/>
      <c r="W291" s="51"/>
      <c r="X291" s="51"/>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52"/>
      <c r="BH291" s="48"/>
      <c r="BI291" s="48"/>
      <c r="BJ291" s="48"/>
      <c r="BK291" s="48"/>
      <c r="BL291" s="48"/>
      <c r="BM291" s="48"/>
      <c r="BN291" s="48"/>
      <c r="BO291" s="48"/>
      <c r="BP291" s="48"/>
      <c r="BQ291" s="48"/>
    </row>
    <row r="292" ht="23.25" customHeight="1">
      <c r="A292" s="47"/>
      <c r="B292" s="47"/>
      <c r="C292" s="48"/>
      <c r="D292" s="48"/>
      <c r="E292" s="48"/>
      <c r="F292" s="48"/>
      <c r="G292" s="47"/>
      <c r="H292" s="47"/>
      <c r="I292" s="47"/>
      <c r="J292" s="47"/>
      <c r="K292" s="47"/>
      <c r="L292" s="47"/>
      <c r="M292" s="47"/>
      <c r="N292" s="47"/>
      <c r="O292" s="47"/>
      <c r="P292" s="47"/>
      <c r="Q292" s="47"/>
      <c r="R292" s="47"/>
      <c r="S292" s="50"/>
      <c r="T292" s="51"/>
      <c r="U292" s="51"/>
      <c r="V292" s="51"/>
      <c r="W292" s="51"/>
      <c r="X292" s="51"/>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52"/>
      <c r="BH292" s="48"/>
      <c r="BI292" s="48"/>
      <c r="BJ292" s="48"/>
      <c r="BK292" s="48"/>
      <c r="BL292" s="48"/>
      <c r="BM292" s="48"/>
      <c r="BN292" s="48"/>
      <c r="BO292" s="48"/>
      <c r="BP292" s="48"/>
      <c r="BQ292" s="48"/>
    </row>
    <row r="293" ht="23.25" customHeight="1">
      <c r="A293" s="47"/>
      <c r="B293" s="47"/>
      <c r="C293" s="48"/>
      <c r="D293" s="48"/>
      <c r="E293" s="48"/>
      <c r="F293" s="48"/>
      <c r="G293" s="47"/>
      <c r="H293" s="47"/>
      <c r="I293" s="47"/>
      <c r="J293" s="47"/>
      <c r="K293" s="47"/>
      <c r="L293" s="47"/>
      <c r="M293" s="47"/>
      <c r="N293" s="47"/>
      <c r="O293" s="47"/>
      <c r="P293" s="47"/>
      <c r="Q293" s="47"/>
      <c r="R293" s="47"/>
      <c r="S293" s="50"/>
      <c r="T293" s="51"/>
      <c r="U293" s="51"/>
      <c r="V293" s="51"/>
      <c r="W293" s="51"/>
      <c r="X293" s="51"/>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52"/>
      <c r="BH293" s="48"/>
      <c r="BI293" s="48"/>
      <c r="BJ293" s="48"/>
      <c r="BK293" s="48"/>
      <c r="BL293" s="48"/>
      <c r="BM293" s="48"/>
      <c r="BN293" s="48"/>
      <c r="BO293" s="48"/>
      <c r="BP293" s="48"/>
      <c r="BQ293" s="48"/>
    </row>
    <row r="294" ht="23.25" customHeight="1">
      <c r="A294" s="47"/>
      <c r="B294" s="47"/>
      <c r="C294" s="48"/>
      <c r="D294" s="48"/>
      <c r="E294" s="48"/>
      <c r="F294" s="48"/>
      <c r="G294" s="47"/>
      <c r="H294" s="47"/>
      <c r="I294" s="47"/>
      <c r="J294" s="47"/>
      <c r="K294" s="47"/>
      <c r="L294" s="47"/>
      <c r="M294" s="47"/>
      <c r="N294" s="47"/>
      <c r="O294" s="47"/>
      <c r="P294" s="47"/>
      <c r="Q294" s="47"/>
      <c r="R294" s="47"/>
      <c r="S294" s="50"/>
      <c r="T294" s="51"/>
      <c r="U294" s="51"/>
      <c r="V294" s="51"/>
      <c r="W294" s="51"/>
      <c r="X294" s="51"/>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52"/>
      <c r="BH294" s="48"/>
      <c r="BI294" s="48"/>
      <c r="BJ294" s="48"/>
      <c r="BK294" s="48"/>
      <c r="BL294" s="48"/>
      <c r="BM294" s="48"/>
      <c r="BN294" s="48"/>
      <c r="BO294" s="48"/>
      <c r="BP294" s="48"/>
      <c r="BQ294" s="48"/>
    </row>
    <row r="295" ht="23.25" customHeight="1">
      <c r="A295" s="47"/>
      <c r="B295" s="47"/>
      <c r="C295" s="48"/>
      <c r="D295" s="48"/>
      <c r="E295" s="48"/>
      <c r="F295" s="48"/>
      <c r="G295" s="47"/>
      <c r="H295" s="47"/>
      <c r="I295" s="47"/>
      <c r="J295" s="47"/>
      <c r="K295" s="47"/>
      <c r="L295" s="47"/>
      <c r="M295" s="47"/>
      <c r="N295" s="47"/>
      <c r="O295" s="47"/>
      <c r="P295" s="47"/>
      <c r="Q295" s="47"/>
      <c r="R295" s="47"/>
      <c r="S295" s="50"/>
      <c r="T295" s="51"/>
      <c r="U295" s="51"/>
      <c r="V295" s="51"/>
      <c r="W295" s="51"/>
      <c r="X295" s="51"/>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52"/>
      <c r="BH295" s="48"/>
      <c r="BI295" s="48"/>
      <c r="BJ295" s="48"/>
      <c r="BK295" s="48"/>
      <c r="BL295" s="48"/>
      <c r="BM295" s="48"/>
      <c r="BN295" s="48"/>
      <c r="BO295" s="48"/>
      <c r="BP295" s="48"/>
      <c r="BQ295" s="48"/>
    </row>
    <row r="296" ht="23.25" customHeight="1">
      <c r="A296" s="47"/>
      <c r="B296" s="47"/>
      <c r="C296" s="48"/>
      <c r="D296" s="48"/>
      <c r="E296" s="48"/>
      <c r="F296" s="48"/>
      <c r="G296" s="47"/>
      <c r="H296" s="47"/>
      <c r="I296" s="47"/>
      <c r="J296" s="47"/>
      <c r="K296" s="47"/>
      <c r="L296" s="47"/>
      <c r="M296" s="47"/>
      <c r="N296" s="47"/>
      <c r="O296" s="47"/>
      <c r="P296" s="47"/>
      <c r="Q296" s="47"/>
      <c r="R296" s="47"/>
      <c r="S296" s="50"/>
      <c r="T296" s="51"/>
      <c r="U296" s="51"/>
      <c r="V296" s="51"/>
      <c r="W296" s="51"/>
      <c r="X296" s="51"/>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52"/>
      <c r="BH296" s="48"/>
      <c r="BI296" s="48"/>
      <c r="BJ296" s="48"/>
      <c r="BK296" s="48"/>
      <c r="BL296" s="48"/>
      <c r="BM296" s="48"/>
      <c r="BN296" s="48"/>
      <c r="BO296" s="48"/>
      <c r="BP296" s="48"/>
      <c r="BQ296" s="48"/>
    </row>
    <row r="297" ht="23.25" customHeight="1">
      <c r="A297" s="47"/>
      <c r="B297" s="47"/>
      <c r="C297" s="48"/>
      <c r="D297" s="48"/>
      <c r="E297" s="48"/>
      <c r="F297" s="48"/>
      <c r="G297" s="47"/>
      <c r="H297" s="47"/>
      <c r="I297" s="47"/>
      <c r="J297" s="47"/>
      <c r="K297" s="47"/>
      <c r="L297" s="47"/>
      <c r="M297" s="47"/>
      <c r="N297" s="47"/>
      <c r="O297" s="47"/>
      <c r="P297" s="47"/>
      <c r="Q297" s="47"/>
      <c r="R297" s="47"/>
      <c r="S297" s="50"/>
      <c r="T297" s="51"/>
      <c r="U297" s="51"/>
      <c r="V297" s="51"/>
      <c r="W297" s="51"/>
      <c r="X297" s="51"/>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52"/>
      <c r="BH297" s="48"/>
      <c r="BI297" s="48"/>
      <c r="BJ297" s="48"/>
      <c r="BK297" s="48"/>
      <c r="BL297" s="48"/>
      <c r="BM297" s="48"/>
      <c r="BN297" s="48"/>
      <c r="BO297" s="48"/>
      <c r="BP297" s="48"/>
      <c r="BQ297" s="48"/>
    </row>
    <row r="298" ht="23.25" customHeight="1">
      <c r="A298" s="47"/>
      <c r="B298" s="47"/>
      <c r="C298" s="48"/>
      <c r="D298" s="48"/>
      <c r="E298" s="48"/>
      <c r="F298" s="48"/>
      <c r="G298" s="47"/>
      <c r="H298" s="47"/>
      <c r="I298" s="47"/>
      <c r="J298" s="47"/>
      <c r="K298" s="47"/>
      <c r="L298" s="47"/>
      <c r="M298" s="47"/>
      <c r="N298" s="47"/>
      <c r="O298" s="47"/>
      <c r="P298" s="47"/>
      <c r="Q298" s="47"/>
      <c r="R298" s="47"/>
      <c r="S298" s="50"/>
      <c r="T298" s="51"/>
      <c r="U298" s="51"/>
      <c r="V298" s="51"/>
      <c r="W298" s="51"/>
      <c r="X298" s="51"/>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52"/>
      <c r="BH298" s="48"/>
      <c r="BI298" s="48"/>
      <c r="BJ298" s="48"/>
      <c r="BK298" s="48"/>
      <c r="BL298" s="48"/>
      <c r="BM298" s="48"/>
      <c r="BN298" s="48"/>
      <c r="BO298" s="48"/>
      <c r="BP298" s="48"/>
      <c r="BQ298" s="48"/>
    </row>
    <row r="299" ht="23.25" customHeight="1">
      <c r="A299" s="47"/>
      <c r="B299" s="47"/>
      <c r="C299" s="48"/>
      <c r="D299" s="48"/>
      <c r="E299" s="48"/>
      <c r="F299" s="48"/>
      <c r="G299" s="47"/>
      <c r="H299" s="47"/>
      <c r="I299" s="47"/>
      <c r="J299" s="47"/>
      <c r="K299" s="47"/>
      <c r="L299" s="47"/>
      <c r="M299" s="47"/>
      <c r="N299" s="47"/>
      <c r="O299" s="47"/>
      <c r="P299" s="47"/>
      <c r="Q299" s="47"/>
      <c r="R299" s="47"/>
      <c r="S299" s="50"/>
      <c r="T299" s="51"/>
      <c r="U299" s="51"/>
      <c r="V299" s="51"/>
      <c r="W299" s="51"/>
      <c r="X299" s="51"/>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52"/>
      <c r="BH299" s="48"/>
      <c r="BI299" s="48"/>
      <c r="BJ299" s="48"/>
      <c r="BK299" s="48"/>
      <c r="BL299" s="48"/>
      <c r="BM299" s="48"/>
      <c r="BN299" s="48"/>
      <c r="BO299" s="48"/>
      <c r="BP299" s="48"/>
      <c r="BQ299" s="48"/>
    </row>
    <row r="300" ht="23.25" customHeight="1">
      <c r="A300" s="47"/>
      <c r="B300" s="47"/>
      <c r="C300" s="48"/>
      <c r="D300" s="48"/>
      <c r="E300" s="48"/>
      <c r="F300" s="48"/>
      <c r="G300" s="47"/>
      <c r="H300" s="47"/>
      <c r="I300" s="47"/>
      <c r="J300" s="47"/>
      <c r="K300" s="47"/>
      <c r="L300" s="47"/>
      <c r="M300" s="47"/>
      <c r="N300" s="47"/>
      <c r="O300" s="47"/>
      <c r="P300" s="47"/>
      <c r="Q300" s="47"/>
      <c r="R300" s="47"/>
      <c r="S300" s="50"/>
      <c r="T300" s="51"/>
      <c r="U300" s="51"/>
      <c r="V300" s="51"/>
      <c r="W300" s="51"/>
      <c r="X300" s="51"/>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52"/>
      <c r="BH300" s="48"/>
      <c r="BI300" s="48"/>
      <c r="BJ300" s="48"/>
      <c r="BK300" s="48"/>
      <c r="BL300" s="48"/>
      <c r="BM300" s="48"/>
      <c r="BN300" s="48"/>
      <c r="BO300" s="48"/>
      <c r="BP300" s="48"/>
      <c r="BQ300" s="48"/>
    </row>
    <row r="301" ht="23.25" customHeight="1">
      <c r="A301" s="47"/>
      <c r="B301" s="47"/>
      <c r="C301" s="48"/>
      <c r="D301" s="48"/>
      <c r="E301" s="48"/>
      <c r="F301" s="48"/>
      <c r="G301" s="47"/>
      <c r="H301" s="47"/>
      <c r="I301" s="47"/>
      <c r="J301" s="47"/>
      <c r="K301" s="47"/>
      <c r="L301" s="47"/>
      <c r="M301" s="47"/>
      <c r="N301" s="47"/>
      <c r="O301" s="47"/>
      <c r="P301" s="47"/>
      <c r="Q301" s="47"/>
      <c r="R301" s="47"/>
      <c r="S301" s="50"/>
      <c r="T301" s="51"/>
      <c r="U301" s="51"/>
      <c r="V301" s="51"/>
      <c r="W301" s="51"/>
      <c r="X301" s="51"/>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52"/>
      <c r="BH301" s="48"/>
      <c r="BI301" s="48"/>
      <c r="BJ301" s="48"/>
      <c r="BK301" s="48"/>
      <c r="BL301" s="48"/>
      <c r="BM301" s="48"/>
      <c r="BN301" s="48"/>
      <c r="BO301" s="48"/>
      <c r="BP301" s="48"/>
      <c r="BQ301" s="48"/>
    </row>
    <row r="302" ht="23.25" customHeight="1">
      <c r="A302" s="47"/>
      <c r="B302" s="47"/>
      <c r="C302" s="48"/>
      <c r="D302" s="48"/>
      <c r="E302" s="48"/>
      <c r="F302" s="48"/>
      <c r="G302" s="47"/>
      <c r="H302" s="47"/>
      <c r="I302" s="47"/>
      <c r="J302" s="47"/>
      <c r="K302" s="47"/>
      <c r="L302" s="47"/>
      <c r="M302" s="47"/>
      <c r="N302" s="47"/>
      <c r="O302" s="47"/>
      <c r="P302" s="47"/>
      <c r="Q302" s="47"/>
      <c r="R302" s="47"/>
      <c r="S302" s="50"/>
      <c r="T302" s="51"/>
      <c r="U302" s="51"/>
      <c r="V302" s="51"/>
      <c r="W302" s="51"/>
      <c r="X302" s="51"/>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52"/>
      <c r="BH302" s="48"/>
      <c r="BI302" s="48"/>
      <c r="BJ302" s="48"/>
      <c r="BK302" s="48"/>
      <c r="BL302" s="48"/>
      <c r="BM302" s="48"/>
      <c r="BN302" s="48"/>
      <c r="BO302" s="48"/>
      <c r="BP302" s="48"/>
      <c r="BQ302" s="48"/>
    </row>
    <row r="303" ht="23.25" customHeight="1">
      <c r="A303" s="47"/>
      <c r="B303" s="47"/>
      <c r="C303" s="48"/>
      <c r="D303" s="48"/>
      <c r="E303" s="48"/>
      <c r="F303" s="48"/>
      <c r="G303" s="47"/>
      <c r="H303" s="47"/>
      <c r="I303" s="47"/>
      <c r="J303" s="47"/>
      <c r="K303" s="47"/>
      <c r="L303" s="47"/>
      <c r="M303" s="47"/>
      <c r="N303" s="47"/>
      <c r="O303" s="47"/>
      <c r="P303" s="47"/>
      <c r="Q303" s="47"/>
      <c r="R303" s="47"/>
      <c r="S303" s="50"/>
      <c r="T303" s="51"/>
      <c r="U303" s="51"/>
      <c r="V303" s="51"/>
      <c r="W303" s="51"/>
      <c r="X303" s="51"/>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52"/>
      <c r="BH303" s="48"/>
      <c r="BI303" s="48"/>
      <c r="BJ303" s="48"/>
      <c r="BK303" s="48"/>
      <c r="BL303" s="48"/>
      <c r="BM303" s="48"/>
      <c r="BN303" s="48"/>
      <c r="BO303" s="48"/>
      <c r="BP303" s="48"/>
      <c r="BQ303" s="48"/>
    </row>
    <row r="304" ht="23.25" customHeight="1">
      <c r="A304" s="47"/>
      <c r="B304" s="47"/>
      <c r="C304" s="48"/>
      <c r="D304" s="48"/>
      <c r="E304" s="48"/>
      <c r="F304" s="48"/>
      <c r="G304" s="47"/>
      <c r="H304" s="47"/>
      <c r="I304" s="47"/>
      <c r="J304" s="47"/>
      <c r="K304" s="47"/>
      <c r="L304" s="47"/>
      <c r="M304" s="47"/>
      <c r="N304" s="47"/>
      <c r="O304" s="47"/>
      <c r="P304" s="47"/>
      <c r="Q304" s="47"/>
      <c r="R304" s="47"/>
      <c r="S304" s="50"/>
      <c r="T304" s="51"/>
      <c r="U304" s="51"/>
      <c r="V304" s="51"/>
      <c r="W304" s="51"/>
      <c r="X304" s="51"/>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52"/>
      <c r="BH304" s="48"/>
      <c r="BI304" s="48"/>
      <c r="BJ304" s="48"/>
      <c r="BK304" s="48"/>
      <c r="BL304" s="48"/>
      <c r="BM304" s="48"/>
      <c r="BN304" s="48"/>
      <c r="BO304" s="48"/>
      <c r="BP304" s="48"/>
      <c r="BQ304" s="48"/>
    </row>
    <row r="305" ht="23.25" customHeight="1">
      <c r="A305" s="47"/>
      <c r="B305" s="47"/>
      <c r="C305" s="48"/>
      <c r="D305" s="48"/>
      <c r="E305" s="48"/>
      <c r="F305" s="48"/>
      <c r="G305" s="47"/>
      <c r="H305" s="47"/>
      <c r="I305" s="47"/>
      <c r="J305" s="47"/>
      <c r="K305" s="47"/>
      <c r="L305" s="47"/>
      <c r="M305" s="47"/>
      <c r="N305" s="47"/>
      <c r="O305" s="47"/>
      <c r="P305" s="47"/>
      <c r="Q305" s="47"/>
      <c r="R305" s="47"/>
      <c r="S305" s="50"/>
      <c r="T305" s="51"/>
      <c r="U305" s="51"/>
      <c r="V305" s="51"/>
      <c r="W305" s="51"/>
      <c r="X305" s="51"/>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52"/>
      <c r="BH305" s="48"/>
      <c r="BI305" s="48"/>
      <c r="BJ305" s="48"/>
      <c r="BK305" s="48"/>
      <c r="BL305" s="48"/>
      <c r="BM305" s="48"/>
      <c r="BN305" s="48"/>
      <c r="BO305" s="48"/>
      <c r="BP305" s="48"/>
      <c r="BQ305" s="48"/>
    </row>
    <row r="306" ht="23.25" customHeight="1">
      <c r="A306" s="47"/>
      <c r="B306" s="47"/>
      <c r="C306" s="48"/>
      <c r="D306" s="48"/>
      <c r="E306" s="48"/>
      <c r="F306" s="48"/>
      <c r="G306" s="47"/>
      <c r="H306" s="47"/>
      <c r="I306" s="47"/>
      <c r="J306" s="47"/>
      <c r="K306" s="47"/>
      <c r="L306" s="47"/>
      <c r="M306" s="47"/>
      <c r="N306" s="47"/>
      <c r="O306" s="47"/>
      <c r="P306" s="47"/>
      <c r="Q306" s="47"/>
      <c r="R306" s="47"/>
      <c r="S306" s="50"/>
      <c r="T306" s="51"/>
      <c r="U306" s="51"/>
      <c r="V306" s="51"/>
      <c r="W306" s="51"/>
      <c r="X306" s="51"/>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52"/>
      <c r="BH306" s="48"/>
      <c r="BI306" s="48"/>
      <c r="BJ306" s="48"/>
      <c r="BK306" s="48"/>
      <c r="BL306" s="48"/>
      <c r="BM306" s="48"/>
      <c r="BN306" s="48"/>
      <c r="BO306" s="48"/>
      <c r="BP306" s="48"/>
      <c r="BQ306" s="48"/>
    </row>
    <row r="307" ht="23.25" customHeight="1">
      <c r="A307" s="47"/>
      <c r="B307" s="47"/>
      <c r="C307" s="48"/>
      <c r="D307" s="48"/>
      <c r="E307" s="48"/>
      <c r="F307" s="48"/>
      <c r="G307" s="47"/>
      <c r="H307" s="47"/>
      <c r="I307" s="47"/>
      <c r="J307" s="47"/>
      <c r="K307" s="47"/>
      <c r="L307" s="47"/>
      <c r="M307" s="47"/>
      <c r="N307" s="47"/>
      <c r="O307" s="47"/>
      <c r="P307" s="47"/>
      <c r="Q307" s="47"/>
      <c r="R307" s="47"/>
      <c r="S307" s="50"/>
      <c r="T307" s="51"/>
      <c r="U307" s="51"/>
      <c r="V307" s="51"/>
      <c r="W307" s="51"/>
      <c r="X307" s="51"/>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52"/>
      <c r="BH307" s="48"/>
      <c r="BI307" s="48"/>
      <c r="BJ307" s="48"/>
      <c r="BK307" s="48"/>
      <c r="BL307" s="48"/>
      <c r="BM307" s="48"/>
      <c r="BN307" s="48"/>
      <c r="BO307" s="48"/>
      <c r="BP307" s="48"/>
      <c r="BQ307" s="48"/>
    </row>
    <row r="308" ht="23.25" customHeight="1">
      <c r="A308" s="47"/>
      <c r="B308" s="47"/>
      <c r="C308" s="48"/>
      <c r="D308" s="48"/>
      <c r="E308" s="48"/>
      <c r="F308" s="48"/>
      <c r="G308" s="47"/>
      <c r="H308" s="47"/>
      <c r="I308" s="47"/>
      <c r="J308" s="47"/>
      <c r="K308" s="47"/>
      <c r="L308" s="47"/>
      <c r="M308" s="47"/>
      <c r="N308" s="47"/>
      <c r="O308" s="47"/>
      <c r="P308" s="47"/>
      <c r="Q308" s="47"/>
      <c r="R308" s="47"/>
      <c r="S308" s="50"/>
      <c r="T308" s="51"/>
      <c r="U308" s="51"/>
      <c r="V308" s="51"/>
      <c r="W308" s="51"/>
      <c r="X308" s="51"/>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52"/>
      <c r="BH308" s="48"/>
      <c r="BI308" s="48"/>
      <c r="BJ308" s="48"/>
      <c r="BK308" s="48"/>
      <c r="BL308" s="48"/>
      <c r="BM308" s="48"/>
      <c r="BN308" s="48"/>
      <c r="BO308" s="48"/>
      <c r="BP308" s="48"/>
      <c r="BQ308" s="48"/>
    </row>
    <row r="309" ht="23.25" customHeight="1">
      <c r="A309" s="47"/>
      <c r="B309" s="47"/>
      <c r="C309" s="48"/>
      <c r="D309" s="48"/>
      <c r="E309" s="48"/>
      <c r="F309" s="48"/>
      <c r="G309" s="47"/>
      <c r="H309" s="47"/>
      <c r="I309" s="47"/>
      <c r="J309" s="47"/>
      <c r="K309" s="47"/>
      <c r="L309" s="47"/>
      <c r="M309" s="47"/>
      <c r="N309" s="47"/>
      <c r="O309" s="47"/>
      <c r="P309" s="47"/>
      <c r="Q309" s="47"/>
      <c r="R309" s="47"/>
      <c r="S309" s="50"/>
      <c r="T309" s="51"/>
      <c r="U309" s="51"/>
      <c r="V309" s="51"/>
      <c r="W309" s="51"/>
      <c r="X309" s="51"/>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52"/>
      <c r="BH309" s="48"/>
      <c r="BI309" s="48"/>
      <c r="BJ309" s="48"/>
      <c r="BK309" s="48"/>
      <c r="BL309" s="48"/>
      <c r="BM309" s="48"/>
      <c r="BN309" s="48"/>
      <c r="BO309" s="48"/>
      <c r="BP309" s="48"/>
      <c r="BQ309" s="48"/>
    </row>
    <row r="310" ht="23.25" customHeight="1">
      <c r="A310" s="47"/>
      <c r="B310" s="47"/>
      <c r="C310" s="48"/>
      <c r="D310" s="48"/>
      <c r="E310" s="48"/>
      <c r="F310" s="48"/>
      <c r="G310" s="47"/>
      <c r="H310" s="47"/>
      <c r="I310" s="47"/>
      <c r="J310" s="47"/>
      <c r="K310" s="47"/>
      <c r="L310" s="47"/>
      <c r="M310" s="47"/>
      <c r="N310" s="47"/>
      <c r="O310" s="47"/>
      <c r="P310" s="47"/>
      <c r="Q310" s="47"/>
      <c r="R310" s="47"/>
      <c r="S310" s="50"/>
      <c r="T310" s="51"/>
      <c r="U310" s="51"/>
      <c r="V310" s="51"/>
      <c r="W310" s="51"/>
      <c r="X310" s="51"/>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52"/>
      <c r="BH310" s="48"/>
      <c r="BI310" s="48"/>
      <c r="BJ310" s="48"/>
      <c r="BK310" s="48"/>
      <c r="BL310" s="48"/>
      <c r="BM310" s="48"/>
      <c r="BN310" s="48"/>
      <c r="BO310" s="48"/>
      <c r="BP310" s="48"/>
      <c r="BQ310" s="48"/>
    </row>
    <row r="311" ht="23.25" customHeight="1">
      <c r="A311" s="47"/>
      <c r="B311" s="47"/>
      <c r="C311" s="48"/>
      <c r="D311" s="48"/>
      <c r="E311" s="48"/>
      <c r="F311" s="48"/>
      <c r="G311" s="47"/>
      <c r="H311" s="47"/>
      <c r="I311" s="47"/>
      <c r="J311" s="47"/>
      <c r="K311" s="47"/>
      <c r="L311" s="47"/>
      <c r="M311" s="47"/>
      <c r="N311" s="47"/>
      <c r="O311" s="47"/>
      <c r="P311" s="47"/>
      <c r="Q311" s="47"/>
      <c r="R311" s="47"/>
      <c r="S311" s="50"/>
      <c r="T311" s="51"/>
      <c r="U311" s="51"/>
      <c r="V311" s="51"/>
      <c r="W311" s="51"/>
      <c r="X311" s="51"/>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52"/>
      <c r="BH311" s="48"/>
      <c r="BI311" s="48"/>
      <c r="BJ311" s="48"/>
      <c r="BK311" s="48"/>
      <c r="BL311" s="48"/>
      <c r="BM311" s="48"/>
      <c r="BN311" s="48"/>
      <c r="BO311" s="48"/>
      <c r="BP311" s="48"/>
      <c r="BQ311" s="48"/>
    </row>
    <row r="312" ht="23.25" customHeight="1">
      <c r="A312" s="47"/>
      <c r="B312" s="47"/>
      <c r="C312" s="48"/>
      <c r="D312" s="48"/>
      <c r="E312" s="48"/>
      <c r="F312" s="48"/>
      <c r="G312" s="47"/>
      <c r="H312" s="47"/>
      <c r="I312" s="47"/>
      <c r="J312" s="47"/>
      <c r="K312" s="47"/>
      <c r="L312" s="47"/>
      <c r="M312" s="47"/>
      <c r="N312" s="47"/>
      <c r="O312" s="47"/>
      <c r="P312" s="47"/>
      <c r="Q312" s="47"/>
      <c r="R312" s="47"/>
      <c r="S312" s="50"/>
      <c r="T312" s="51"/>
      <c r="U312" s="51"/>
      <c r="V312" s="51"/>
      <c r="W312" s="51"/>
      <c r="X312" s="51"/>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52"/>
      <c r="BH312" s="48"/>
      <c r="BI312" s="48"/>
      <c r="BJ312" s="48"/>
      <c r="BK312" s="48"/>
      <c r="BL312" s="48"/>
      <c r="BM312" s="48"/>
      <c r="BN312" s="48"/>
      <c r="BO312" s="48"/>
      <c r="BP312" s="48"/>
      <c r="BQ312" s="48"/>
    </row>
    <row r="313" ht="23.25" customHeight="1">
      <c r="A313" s="47"/>
      <c r="B313" s="47"/>
      <c r="C313" s="48"/>
      <c r="D313" s="48"/>
      <c r="E313" s="48"/>
      <c r="F313" s="48"/>
      <c r="G313" s="47"/>
      <c r="H313" s="47"/>
      <c r="I313" s="47"/>
      <c r="J313" s="47"/>
      <c r="K313" s="47"/>
      <c r="L313" s="47"/>
      <c r="M313" s="47"/>
      <c r="N313" s="47"/>
      <c r="O313" s="47"/>
      <c r="P313" s="47"/>
      <c r="Q313" s="47"/>
      <c r="R313" s="47"/>
      <c r="S313" s="50"/>
      <c r="T313" s="51"/>
      <c r="U313" s="51"/>
      <c r="V313" s="51"/>
      <c r="W313" s="51"/>
      <c r="X313" s="51"/>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52"/>
      <c r="BH313" s="48"/>
      <c r="BI313" s="48"/>
      <c r="BJ313" s="48"/>
      <c r="BK313" s="48"/>
      <c r="BL313" s="48"/>
      <c r="BM313" s="48"/>
      <c r="BN313" s="48"/>
      <c r="BO313" s="48"/>
      <c r="BP313" s="48"/>
      <c r="BQ313" s="48"/>
    </row>
    <row r="314" ht="23.25" customHeight="1">
      <c r="A314" s="47"/>
      <c r="B314" s="47"/>
      <c r="C314" s="48"/>
      <c r="D314" s="48"/>
      <c r="E314" s="48"/>
      <c r="F314" s="48"/>
      <c r="G314" s="47"/>
      <c r="H314" s="47"/>
      <c r="I314" s="47"/>
      <c r="J314" s="47"/>
      <c r="K314" s="47"/>
      <c r="L314" s="47"/>
      <c r="M314" s="47"/>
      <c r="N314" s="47"/>
      <c r="O314" s="47"/>
      <c r="P314" s="47"/>
      <c r="Q314" s="47"/>
      <c r="R314" s="47"/>
      <c r="S314" s="50"/>
      <c r="T314" s="51"/>
      <c r="U314" s="51"/>
      <c r="V314" s="51"/>
      <c r="W314" s="51"/>
      <c r="X314" s="51"/>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52"/>
      <c r="BH314" s="48"/>
      <c r="BI314" s="48"/>
      <c r="BJ314" s="48"/>
      <c r="BK314" s="48"/>
      <c r="BL314" s="48"/>
      <c r="BM314" s="48"/>
      <c r="BN314" s="48"/>
      <c r="BO314" s="48"/>
      <c r="BP314" s="48"/>
      <c r="BQ314" s="48"/>
    </row>
    <row r="315" ht="23.25" customHeight="1">
      <c r="A315" s="47"/>
      <c r="B315" s="47"/>
      <c r="C315" s="48"/>
      <c r="D315" s="48"/>
      <c r="E315" s="48"/>
      <c r="F315" s="48"/>
      <c r="G315" s="47"/>
      <c r="H315" s="47"/>
      <c r="I315" s="47"/>
      <c r="J315" s="47"/>
      <c r="K315" s="47"/>
      <c r="L315" s="47"/>
      <c r="M315" s="47"/>
      <c r="N315" s="47"/>
      <c r="O315" s="47"/>
      <c r="P315" s="47"/>
      <c r="Q315" s="47"/>
      <c r="R315" s="47"/>
      <c r="S315" s="50"/>
      <c r="T315" s="51"/>
      <c r="U315" s="51"/>
      <c r="V315" s="51"/>
      <c r="W315" s="51"/>
      <c r="X315" s="51"/>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52"/>
      <c r="BH315" s="48"/>
      <c r="BI315" s="48"/>
      <c r="BJ315" s="48"/>
      <c r="BK315" s="48"/>
      <c r="BL315" s="48"/>
      <c r="BM315" s="48"/>
      <c r="BN315" s="48"/>
      <c r="BO315" s="48"/>
      <c r="BP315" s="48"/>
      <c r="BQ315" s="48"/>
    </row>
    <row r="316" ht="23.25" customHeight="1">
      <c r="A316" s="47"/>
      <c r="B316" s="47"/>
      <c r="C316" s="48"/>
      <c r="D316" s="48"/>
      <c r="E316" s="48"/>
      <c r="F316" s="48"/>
      <c r="G316" s="47"/>
      <c r="H316" s="47"/>
      <c r="I316" s="47"/>
      <c r="J316" s="47"/>
      <c r="K316" s="47"/>
      <c r="L316" s="47"/>
      <c r="M316" s="47"/>
      <c r="N316" s="47"/>
      <c r="O316" s="47"/>
      <c r="P316" s="47"/>
      <c r="Q316" s="47"/>
      <c r="R316" s="47"/>
      <c r="S316" s="50"/>
      <c r="T316" s="51"/>
      <c r="U316" s="51"/>
      <c r="V316" s="51"/>
      <c r="W316" s="51"/>
      <c r="X316" s="51"/>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52"/>
      <c r="BH316" s="48"/>
      <c r="BI316" s="48"/>
      <c r="BJ316" s="48"/>
      <c r="BK316" s="48"/>
      <c r="BL316" s="48"/>
      <c r="BM316" s="48"/>
      <c r="BN316" s="48"/>
      <c r="BO316" s="48"/>
      <c r="BP316" s="48"/>
      <c r="BQ316" s="48"/>
    </row>
    <row r="317" ht="23.25" customHeight="1">
      <c r="A317" s="47"/>
      <c r="B317" s="47"/>
      <c r="C317" s="48"/>
      <c r="D317" s="48"/>
      <c r="E317" s="48"/>
      <c r="F317" s="48"/>
      <c r="G317" s="47"/>
      <c r="H317" s="47"/>
      <c r="I317" s="47"/>
      <c r="J317" s="47"/>
      <c r="K317" s="47"/>
      <c r="L317" s="47"/>
      <c r="M317" s="47"/>
      <c r="N317" s="47"/>
      <c r="O317" s="47"/>
      <c r="P317" s="47"/>
      <c r="Q317" s="47"/>
      <c r="R317" s="47"/>
      <c r="S317" s="50"/>
      <c r="T317" s="51"/>
      <c r="U317" s="51"/>
      <c r="V317" s="51"/>
      <c r="W317" s="51"/>
      <c r="X317" s="51"/>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52"/>
      <c r="BH317" s="48"/>
      <c r="BI317" s="48"/>
      <c r="BJ317" s="48"/>
      <c r="BK317" s="48"/>
      <c r="BL317" s="48"/>
      <c r="BM317" s="48"/>
      <c r="BN317" s="48"/>
      <c r="BO317" s="48"/>
      <c r="BP317" s="48"/>
      <c r="BQ317" s="48"/>
    </row>
    <row r="318" ht="23.25" customHeight="1">
      <c r="A318" s="47"/>
      <c r="B318" s="47"/>
      <c r="C318" s="48"/>
      <c r="D318" s="48"/>
      <c r="E318" s="48"/>
      <c r="F318" s="48"/>
      <c r="G318" s="47"/>
      <c r="H318" s="47"/>
      <c r="I318" s="47"/>
      <c r="J318" s="47"/>
      <c r="K318" s="47"/>
      <c r="L318" s="47"/>
      <c r="M318" s="47"/>
      <c r="N318" s="47"/>
      <c r="O318" s="47"/>
      <c r="P318" s="47"/>
      <c r="Q318" s="47"/>
      <c r="R318" s="47"/>
      <c r="S318" s="50"/>
      <c r="T318" s="51"/>
      <c r="U318" s="51"/>
      <c r="V318" s="51"/>
      <c r="W318" s="51"/>
      <c r="X318" s="51"/>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52"/>
      <c r="BH318" s="48"/>
      <c r="BI318" s="48"/>
      <c r="BJ318" s="48"/>
      <c r="BK318" s="48"/>
      <c r="BL318" s="48"/>
      <c r="BM318" s="48"/>
      <c r="BN318" s="48"/>
      <c r="BO318" s="48"/>
      <c r="BP318" s="48"/>
      <c r="BQ318" s="48"/>
    </row>
    <row r="319" ht="23.25" customHeight="1">
      <c r="A319" s="47"/>
      <c r="B319" s="47"/>
      <c r="C319" s="48"/>
      <c r="D319" s="48"/>
      <c r="E319" s="48"/>
      <c r="F319" s="48"/>
      <c r="G319" s="47"/>
      <c r="H319" s="47"/>
      <c r="I319" s="47"/>
      <c r="J319" s="47"/>
      <c r="K319" s="47"/>
      <c r="L319" s="47"/>
      <c r="M319" s="47"/>
      <c r="N319" s="47"/>
      <c r="O319" s="47"/>
      <c r="P319" s="47"/>
      <c r="Q319" s="47"/>
      <c r="R319" s="47"/>
      <c r="S319" s="50"/>
      <c r="T319" s="51"/>
      <c r="U319" s="51"/>
      <c r="V319" s="51"/>
      <c r="W319" s="51"/>
      <c r="X319" s="51"/>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52"/>
      <c r="BH319" s="48"/>
      <c r="BI319" s="48"/>
      <c r="BJ319" s="48"/>
      <c r="BK319" s="48"/>
      <c r="BL319" s="48"/>
      <c r="BM319" s="48"/>
      <c r="BN319" s="48"/>
      <c r="BO319" s="48"/>
      <c r="BP319" s="48"/>
      <c r="BQ319" s="48"/>
    </row>
    <row r="320" ht="23.25" customHeight="1">
      <c r="A320" s="47"/>
      <c r="B320" s="47"/>
      <c r="C320" s="48"/>
      <c r="D320" s="48"/>
      <c r="E320" s="48"/>
      <c r="F320" s="48"/>
      <c r="G320" s="47"/>
      <c r="H320" s="47"/>
      <c r="I320" s="47"/>
      <c r="J320" s="47"/>
      <c r="K320" s="47"/>
      <c r="L320" s="47"/>
      <c r="M320" s="47"/>
      <c r="N320" s="47"/>
      <c r="O320" s="47"/>
      <c r="P320" s="47"/>
      <c r="Q320" s="47"/>
      <c r="R320" s="47"/>
      <c r="S320" s="50"/>
      <c r="T320" s="51"/>
      <c r="U320" s="51"/>
      <c r="V320" s="51"/>
      <c r="W320" s="51"/>
      <c r="X320" s="51"/>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52"/>
      <c r="BH320" s="48"/>
      <c r="BI320" s="48"/>
      <c r="BJ320" s="48"/>
      <c r="BK320" s="48"/>
      <c r="BL320" s="48"/>
      <c r="BM320" s="48"/>
      <c r="BN320" s="48"/>
      <c r="BO320" s="48"/>
      <c r="BP320" s="48"/>
      <c r="BQ320" s="48"/>
    </row>
    <row r="321" ht="23.25" customHeight="1">
      <c r="A321" s="47"/>
      <c r="B321" s="47"/>
      <c r="C321" s="48"/>
      <c r="D321" s="48"/>
      <c r="E321" s="48"/>
      <c r="F321" s="48"/>
      <c r="G321" s="47"/>
      <c r="H321" s="47"/>
      <c r="I321" s="47"/>
      <c r="J321" s="47"/>
      <c r="K321" s="47"/>
      <c r="L321" s="47"/>
      <c r="M321" s="47"/>
      <c r="N321" s="47"/>
      <c r="O321" s="47"/>
      <c r="P321" s="47"/>
      <c r="Q321" s="47"/>
      <c r="R321" s="47"/>
      <c r="S321" s="50"/>
      <c r="T321" s="51"/>
      <c r="U321" s="51"/>
      <c r="V321" s="51"/>
      <c r="W321" s="51"/>
      <c r="X321" s="51"/>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52"/>
      <c r="BH321" s="48"/>
      <c r="BI321" s="48"/>
      <c r="BJ321" s="48"/>
      <c r="BK321" s="48"/>
      <c r="BL321" s="48"/>
      <c r="BM321" s="48"/>
      <c r="BN321" s="48"/>
      <c r="BO321" s="48"/>
      <c r="BP321" s="48"/>
      <c r="BQ321" s="48"/>
    </row>
    <row r="322" ht="23.25" customHeight="1">
      <c r="A322" s="47"/>
      <c r="B322" s="47"/>
      <c r="C322" s="48"/>
      <c r="D322" s="48"/>
      <c r="E322" s="48"/>
      <c r="F322" s="48"/>
      <c r="G322" s="47"/>
      <c r="H322" s="47"/>
      <c r="I322" s="47"/>
      <c r="J322" s="47"/>
      <c r="K322" s="47"/>
      <c r="L322" s="47"/>
      <c r="M322" s="47"/>
      <c r="N322" s="47"/>
      <c r="O322" s="47"/>
      <c r="P322" s="47"/>
      <c r="Q322" s="47"/>
      <c r="R322" s="47"/>
      <c r="S322" s="50"/>
      <c r="T322" s="51"/>
      <c r="U322" s="51"/>
      <c r="V322" s="51"/>
      <c r="W322" s="51"/>
      <c r="X322" s="51"/>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52"/>
      <c r="BH322" s="48"/>
      <c r="BI322" s="48"/>
      <c r="BJ322" s="48"/>
      <c r="BK322" s="48"/>
      <c r="BL322" s="48"/>
      <c r="BM322" s="48"/>
      <c r="BN322" s="48"/>
      <c r="BO322" s="48"/>
      <c r="BP322" s="48"/>
      <c r="BQ322" s="48"/>
    </row>
    <row r="323" ht="23.25" customHeight="1">
      <c r="A323" s="47"/>
      <c r="B323" s="47"/>
      <c r="C323" s="48"/>
      <c r="D323" s="48"/>
      <c r="E323" s="48"/>
      <c r="F323" s="48"/>
      <c r="G323" s="47"/>
      <c r="H323" s="47"/>
      <c r="I323" s="47"/>
      <c r="J323" s="47"/>
      <c r="K323" s="47"/>
      <c r="L323" s="47"/>
      <c r="M323" s="47"/>
      <c r="N323" s="47"/>
      <c r="O323" s="47"/>
      <c r="P323" s="47"/>
      <c r="Q323" s="47"/>
      <c r="R323" s="47"/>
      <c r="S323" s="50"/>
      <c r="T323" s="51"/>
      <c r="U323" s="51"/>
      <c r="V323" s="51"/>
      <c r="W323" s="51"/>
      <c r="X323" s="51"/>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52"/>
      <c r="BH323" s="48"/>
      <c r="BI323" s="48"/>
      <c r="BJ323" s="48"/>
      <c r="BK323" s="48"/>
      <c r="BL323" s="48"/>
      <c r="BM323" s="48"/>
      <c r="BN323" s="48"/>
      <c r="BO323" s="48"/>
      <c r="BP323" s="48"/>
      <c r="BQ323" s="48"/>
    </row>
    <row r="324" ht="23.25" customHeight="1">
      <c r="A324" s="47"/>
      <c r="B324" s="47"/>
      <c r="C324" s="48"/>
      <c r="D324" s="48"/>
      <c r="E324" s="48"/>
      <c r="F324" s="48"/>
      <c r="G324" s="47"/>
      <c r="H324" s="47"/>
      <c r="I324" s="47"/>
      <c r="J324" s="47"/>
      <c r="K324" s="47"/>
      <c r="L324" s="47"/>
      <c r="M324" s="47"/>
      <c r="N324" s="47"/>
      <c r="O324" s="47"/>
      <c r="P324" s="47"/>
      <c r="Q324" s="47"/>
      <c r="R324" s="47"/>
      <c r="S324" s="50"/>
      <c r="T324" s="51"/>
      <c r="U324" s="51"/>
      <c r="V324" s="51"/>
      <c r="W324" s="51"/>
      <c r="X324" s="51"/>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52"/>
      <c r="BH324" s="48"/>
      <c r="BI324" s="48"/>
      <c r="BJ324" s="48"/>
      <c r="BK324" s="48"/>
      <c r="BL324" s="48"/>
      <c r="BM324" s="48"/>
      <c r="BN324" s="48"/>
      <c r="BO324" s="48"/>
      <c r="BP324" s="48"/>
      <c r="BQ324" s="48"/>
    </row>
    <row r="325" ht="23.25" customHeight="1">
      <c r="A325" s="47"/>
      <c r="B325" s="47"/>
      <c r="C325" s="48"/>
      <c r="D325" s="48"/>
      <c r="E325" s="48"/>
      <c r="F325" s="48"/>
      <c r="G325" s="47"/>
      <c r="H325" s="47"/>
      <c r="I325" s="47"/>
      <c r="J325" s="47"/>
      <c r="K325" s="47"/>
      <c r="L325" s="47"/>
      <c r="M325" s="47"/>
      <c r="N325" s="47"/>
      <c r="O325" s="47"/>
      <c r="P325" s="47"/>
      <c r="Q325" s="47"/>
      <c r="R325" s="47"/>
      <c r="S325" s="50"/>
      <c r="T325" s="51"/>
      <c r="U325" s="51"/>
      <c r="V325" s="51"/>
      <c r="W325" s="51"/>
      <c r="X325" s="51"/>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52"/>
      <c r="BH325" s="48"/>
      <c r="BI325" s="48"/>
      <c r="BJ325" s="48"/>
      <c r="BK325" s="48"/>
      <c r="BL325" s="48"/>
      <c r="BM325" s="48"/>
      <c r="BN325" s="48"/>
      <c r="BO325" s="48"/>
      <c r="BP325" s="48"/>
      <c r="BQ325" s="48"/>
    </row>
    <row r="326" ht="23.25" customHeight="1">
      <c r="A326" s="47"/>
      <c r="B326" s="47"/>
      <c r="C326" s="48"/>
      <c r="D326" s="48"/>
      <c r="E326" s="48"/>
      <c r="F326" s="48"/>
      <c r="G326" s="47"/>
      <c r="H326" s="47"/>
      <c r="I326" s="47"/>
      <c r="J326" s="47"/>
      <c r="K326" s="47"/>
      <c r="L326" s="47"/>
      <c r="M326" s="47"/>
      <c r="N326" s="47"/>
      <c r="O326" s="47"/>
      <c r="P326" s="47"/>
      <c r="Q326" s="47"/>
      <c r="R326" s="47"/>
      <c r="S326" s="50"/>
      <c r="T326" s="51"/>
      <c r="U326" s="51"/>
      <c r="V326" s="51"/>
      <c r="W326" s="51"/>
      <c r="X326" s="51"/>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52"/>
      <c r="BH326" s="48"/>
      <c r="BI326" s="48"/>
      <c r="BJ326" s="48"/>
      <c r="BK326" s="48"/>
      <c r="BL326" s="48"/>
      <c r="BM326" s="48"/>
      <c r="BN326" s="48"/>
      <c r="BO326" s="48"/>
      <c r="BP326" s="48"/>
      <c r="BQ326" s="48"/>
    </row>
    <row r="327" ht="23.25" customHeight="1">
      <c r="A327" s="47"/>
      <c r="B327" s="47"/>
      <c r="C327" s="48"/>
      <c r="D327" s="48"/>
      <c r="E327" s="48"/>
      <c r="F327" s="48"/>
      <c r="G327" s="47"/>
      <c r="H327" s="47"/>
      <c r="I327" s="47"/>
      <c r="J327" s="47"/>
      <c r="K327" s="47"/>
      <c r="L327" s="47"/>
      <c r="M327" s="47"/>
      <c r="N327" s="47"/>
      <c r="O327" s="47"/>
      <c r="P327" s="47"/>
      <c r="Q327" s="47"/>
      <c r="R327" s="47"/>
      <c r="S327" s="50"/>
      <c r="T327" s="51"/>
      <c r="U327" s="51"/>
      <c r="V327" s="51"/>
      <c r="W327" s="51"/>
      <c r="X327" s="51"/>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52"/>
      <c r="BH327" s="48"/>
      <c r="BI327" s="48"/>
      <c r="BJ327" s="48"/>
      <c r="BK327" s="48"/>
      <c r="BL327" s="48"/>
      <c r="BM327" s="48"/>
      <c r="BN327" s="48"/>
      <c r="BO327" s="48"/>
      <c r="BP327" s="48"/>
      <c r="BQ327" s="48"/>
    </row>
    <row r="328" ht="23.25" customHeight="1">
      <c r="A328" s="47"/>
      <c r="B328" s="47"/>
      <c r="C328" s="48"/>
      <c r="D328" s="48"/>
      <c r="E328" s="48"/>
      <c r="F328" s="48"/>
      <c r="G328" s="47"/>
      <c r="H328" s="47"/>
      <c r="I328" s="47"/>
      <c r="J328" s="47"/>
      <c r="K328" s="47"/>
      <c r="L328" s="47"/>
      <c r="M328" s="47"/>
      <c r="N328" s="47"/>
      <c r="O328" s="47"/>
      <c r="P328" s="47"/>
      <c r="Q328" s="47"/>
      <c r="R328" s="47"/>
      <c r="S328" s="50"/>
      <c r="T328" s="51"/>
      <c r="U328" s="51"/>
      <c r="V328" s="51"/>
      <c r="W328" s="51"/>
      <c r="X328" s="51"/>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52"/>
      <c r="BH328" s="48"/>
      <c r="BI328" s="48"/>
      <c r="BJ328" s="48"/>
      <c r="BK328" s="48"/>
      <c r="BL328" s="48"/>
      <c r="BM328" s="48"/>
      <c r="BN328" s="48"/>
      <c r="BO328" s="48"/>
      <c r="BP328" s="48"/>
      <c r="BQ328" s="48"/>
    </row>
    <row r="329" ht="23.25" customHeight="1">
      <c r="A329" s="47"/>
      <c r="B329" s="47"/>
      <c r="C329" s="48"/>
      <c r="D329" s="48"/>
      <c r="E329" s="48"/>
      <c r="F329" s="48"/>
      <c r="G329" s="47"/>
      <c r="H329" s="47"/>
      <c r="I329" s="47"/>
      <c r="J329" s="47"/>
      <c r="K329" s="47"/>
      <c r="L329" s="47"/>
      <c r="M329" s="47"/>
      <c r="N329" s="47"/>
      <c r="O329" s="47"/>
      <c r="P329" s="47"/>
      <c r="Q329" s="47"/>
      <c r="R329" s="47"/>
      <c r="S329" s="50"/>
      <c r="T329" s="51"/>
      <c r="U329" s="51"/>
      <c r="V329" s="51"/>
      <c r="W329" s="51"/>
      <c r="X329" s="51"/>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52"/>
      <c r="BH329" s="48"/>
      <c r="BI329" s="48"/>
      <c r="BJ329" s="48"/>
      <c r="BK329" s="48"/>
      <c r="BL329" s="48"/>
      <c r="BM329" s="48"/>
      <c r="BN329" s="48"/>
      <c r="BO329" s="48"/>
      <c r="BP329" s="48"/>
      <c r="BQ329" s="48"/>
    </row>
    <row r="330" ht="23.25" customHeight="1">
      <c r="A330" s="47"/>
      <c r="B330" s="47"/>
      <c r="C330" s="48"/>
      <c r="D330" s="48"/>
      <c r="E330" s="48"/>
      <c r="F330" s="48"/>
      <c r="G330" s="47"/>
      <c r="H330" s="47"/>
      <c r="I330" s="47"/>
      <c r="J330" s="47"/>
      <c r="K330" s="47"/>
      <c r="L330" s="47"/>
      <c r="M330" s="47"/>
      <c r="N330" s="47"/>
      <c r="O330" s="47"/>
      <c r="P330" s="47"/>
      <c r="Q330" s="47"/>
      <c r="R330" s="47"/>
      <c r="S330" s="50"/>
      <c r="T330" s="51"/>
      <c r="U330" s="51"/>
      <c r="V330" s="51"/>
      <c r="W330" s="51"/>
      <c r="X330" s="51"/>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52"/>
      <c r="BH330" s="48"/>
      <c r="BI330" s="48"/>
      <c r="BJ330" s="48"/>
      <c r="BK330" s="48"/>
      <c r="BL330" s="48"/>
      <c r="BM330" s="48"/>
      <c r="BN330" s="48"/>
      <c r="BO330" s="48"/>
      <c r="BP330" s="48"/>
      <c r="BQ330" s="48"/>
    </row>
    <row r="331" ht="23.25" customHeight="1">
      <c r="A331" s="47"/>
      <c r="B331" s="47"/>
      <c r="C331" s="48"/>
      <c r="D331" s="48"/>
      <c r="E331" s="48"/>
      <c r="F331" s="48"/>
      <c r="G331" s="47"/>
      <c r="H331" s="47"/>
      <c r="I331" s="47"/>
      <c r="J331" s="47"/>
      <c r="K331" s="47"/>
      <c r="L331" s="47"/>
      <c r="M331" s="47"/>
      <c r="N331" s="47"/>
      <c r="O331" s="47"/>
      <c r="P331" s="47"/>
      <c r="Q331" s="47"/>
      <c r="R331" s="47"/>
      <c r="S331" s="50"/>
      <c r="T331" s="51"/>
      <c r="U331" s="51"/>
      <c r="V331" s="51"/>
      <c r="W331" s="51"/>
      <c r="X331" s="51"/>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52"/>
      <c r="BH331" s="48"/>
      <c r="BI331" s="48"/>
      <c r="BJ331" s="48"/>
      <c r="BK331" s="48"/>
      <c r="BL331" s="48"/>
      <c r="BM331" s="48"/>
      <c r="BN331" s="48"/>
      <c r="BO331" s="48"/>
      <c r="BP331" s="48"/>
      <c r="BQ331" s="48"/>
    </row>
    <row r="332" ht="23.25" customHeight="1">
      <c r="A332" s="47"/>
      <c r="B332" s="47"/>
      <c r="C332" s="48"/>
      <c r="D332" s="48"/>
      <c r="E332" s="48"/>
      <c r="F332" s="48"/>
      <c r="G332" s="47"/>
      <c r="H332" s="47"/>
      <c r="I332" s="47"/>
      <c r="J332" s="47"/>
      <c r="K332" s="47"/>
      <c r="L332" s="47"/>
      <c r="M332" s="47"/>
      <c r="N332" s="47"/>
      <c r="O332" s="47"/>
      <c r="P332" s="47"/>
      <c r="Q332" s="47"/>
      <c r="R332" s="47"/>
      <c r="S332" s="50"/>
      <c r="T332" s="51"/>
      <c r="U332" s="51"/>
      <c r="V332" s="51"/>
      <c r="W332" s="51"/>
      <c r="X332" s="51"/>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52"/>
      <c r="BH332" s="48"/>
      <c r="BI332" s="48"/>
      <c r="BJ332" s="48"/>
      <c r="BK332" s="48"/>
      <c r="BL332" s="48"/>
      <c r="BM332" s="48"/>
      <c r="BN332" s="48"/>
      <c r="BO332" s="48"/>
      <c r="BP332" s="48"/>
      <c r="BQ332" s="48"/>
    </row>
    <row r="333" ht="23.25" customHeight="1">
      <c r="A333" s="47"/>
      <c r="B333" s="47"/>
      <c r="C333" s="48"/>
      <c r="D333" s="48"/>
      <c r="E333" s="48"/>
      <c r="F333" s="48"/>
      <c r="G333" s="47"/>
      <c r="H333" s="47"/>
      <c r="I333" s="47"/>
      <c r="J333" s="47"/>
      <c r="K333" s="47"/>
      <c r="L333" s="47"/>
      <c r="M333" s="47"/>
      <c r="N333" s="47"/>
      <c r="O333" s="47"/>
      <c r="P333" s="47"/>
      <c r="Q333" s="47"/>
      <c r="R333" s="47"/>
      <c r="S333" s="50"/>
      <c r="T333" s="51"/>
      <c r="U333" s="51"/>
      <c r="V333" s="51"/>
      <c r="W333" s="51"/>
      <c r="X333" s="51"/>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52"/>
      <c r="BH333" s="48"/>
      <c r="BI333" s="48"/>
      <c r="BJ333" s="48"/>
      <c r="BK333" s="48"/>
      <c r="BL333" s="48"/>
      <c r="BM333" s="48"/>
      <c r="BN333" s="48"/>
      <c r="BO333" s="48"/>
      <c r="BP333" s="48"/>
      <c r="BQ333" s="48"/>
    </row>
    <row r="334" ht="23.25" customHeight="1">
      <c r="A334" s="47"/>
      <c r="B334" s="47"/>
      <c r="C334" s="48"/>
      <c r="D334" s="48"/>
      <c r="E334" s="48"/>
      <c r="F334" s="48"/>
      <c r="G334" s="47"/>
      <c r="H334" s="47"/>
      <c r="I334" s="47"/>
      <c r="J334" s="47"/>
      <c r="K334" s="47"/>
      <c r="L334" s="47"/>
      <c r="M334" s="47"/>
      <c r="N334" s="47"/>
      <c r="O334" s="47"/>
      <c r="P334" s="47"/>
      <c r="Q334" s="47"/>
      <c r="R334" s="47"/>
      <c r="S334" s="50"/>
      <c r="T334" s="51"/>
      <c r="U334" s="51"/>
      <c r="V334" s="51"/>
      <c r="W334" s="51"/>
      <c r="X334" s="51"/>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52"/>
      <c r="BH334" s="48"/>
      <c r="BI334" s="48"/>
      <c r="BJ334" s="48"/>
      <c r="BK334" s="48"/>
      <c r="BL334" s="48"/>
      <c r="BM334" s="48"/>
      <c r="BN334" s="48"/>
      <c r="BO334" s="48"/>
      <c r="BP334" s="48"/>
      <c r="BQ334" s="48"/>
    </row>
    <row r="335" ht="23.25" customHeight="1">
      <c r="A335" s="47"/>
      <c r="B335" s="47"/>
      <c r="C335" s="48"/>
      <c r="D335" s="48"/>
      <c r="E335" s="48"/>
      <c r="F335" s="48"/>
      <c r="G335" s="47"/>
      <c r="H335" s="47"/>
      <c r="I335" s="47"/>
      <c r="J335" s="47"/>
      <c r="K335" s="47"/>
      <c r="L335" s="47"/>
      <c r="M335" s="47"/>
      <c r="N335" s="47"/>
      <c r="O335" s="47"/>
      <c r="P335" s="47"/>
      <c r="Q335" s="47"/>
      <c r="R335" s="47"/>
      <c r="S335" s="50"/>
      <c r="T335" s="51"/>
      <c r="U335" s="51"/>
      <c r="V335" s="51"/>
      <c r="W335" s="51"/>
      <c r="X335" s="51"/>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52"/>
      <c r="BH335" s="48"/>
      <c r="BI335" s="48"/>
      <c r="BJ335" s="48"/>
      <c r="BK335" s="48"/>
      <c r="BL335" s="48"/>
      <c r="BM335" s="48"/>
      <c r="BN335" s="48"/>
      <c r="BO335" s="48"/>
      <c r="BP335" s="48"/>
      <c r="BQ335" s="48"/>
    </row>
    <row r="336" ht="23.25" customHeight="1">
      <c r="A336" s="47"/>
      <c r="B336" s="47"/>
      <c r="C336" s="48"/>
      <c r="D336" s="48"/>
      <c r="E336" s="48"/>
      <c r="F336" s="48"/>
      <c r="G336" s="47"/>
      <c r="H336" s="47"/>
      <c r="I336" s="47"/>
      <c r="J336" s="47"/>
      <c r="K336" s="47"/>
      <c r="L336" s="47"/>
      <c r="M336" s="47"/>
      <c r="N336" s="47"/>
      <c r="O336" s="47"/>
      <c r="P336" s="47"/>
      <c r="Q336" s="47"/>
      <c r="R336" s="47"/>
      <c r="S336" s="50"/>
      <c r="T336" s="51"/>
      <c r="U336" s="51"/>
      <c r="V336" s="51"/>
      <c r="W336" s="51"/>
      <c r="X336" s="51"/>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52"/>
      <c r="BH336" s="48"/>
      <c r="BI336" s="48"/>
      <c r="BJ336" s="48"/>
      <c r="BK336" s="48"/>
      <c r="BL336" s="48"/>
      <c r="BM336" s="48"/>
      <c r="BN336" s="48"/>
      <c r="BO336" s="48"/>
      <c r="BP336" s="48"/>
      <c r="BQ336" s="48"/>
    </row>
    <row r="337" ht="23.25" customHeight="1">
      <c r="A337" s="47"/>
      <c r="B337" s="47"/>
      <c r="C337" s="48"/>
      <c r="D337" s="48"/>
      <c r="E337" s="48"/>
      <c r="F337" s="48"/>
      <c r="G337" s="47"/>
      <c r="H337" s="47"/>
      <c r="I337" s="47"/>
      <c r="J337" s="47"/>
      <c r="K337" s="47"/>
      <c r="L337" s="47"/>
      <c r="M337" s="47"/>
      <c r="N337" s="47"/>
      <c r="O337" s="47"/>
      <c r="P337" s="47"/>
      <c r="Q337" s="47"/>
      <c r="R337" s="47"/>
      <c r="S337" s="50"/>
      <c r="T337" s="51"/>
      <c r="U337" s="51"/>
      <c r="V337" s="51"/>
      <c r="W337" s="51"/>
      <c r="X337" s="51"/>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52"/>
      <c r="BH337" s="48"/>
      <c r="BI337" s="48"/>
      <c r="BJ337" s="48"/>
      <c r="BK337" s="48"/>
      <c r="BL337" s="48"/>
      <c r="BM337" s="48"/>
      <c r="BN337" s="48"/>
      <c r="BO337" s="48"/>
      <c r="BP337" s="48"/>
      <c r="BQ337" s="48"/>
    </row>
    <row r="338" ht="23.25" customHeight="1">
      <c r="A338" s="47"/>
      <c r="B338" s="47"/>
      <c r="C338" s="48"/>
      <c r="D338" s="48"/>
      <c r="E338" s="48"/>
      <c r="F338" s="48"/>
      <c r="G338" s="47"/>
      <c r="H338" s="47"/>
      <c r="I338" s="47"/>
      <c r="J338" s="47"/>
      <c r="K338" s="47"/>
      <c r="L338" s="47"/>
      <c r="M338" s="47"/>
      <c r="N338" s="47"/>
      <c r="O338" s="47"/>
      <c r="P338" s="47"/>
      <c r="Q338" s="47"/>
      <c r="R338" s="47"/>
      <c r="S338" s="50"/>
      <c r="T338" s="51"/>
      <c r="U338" s="51"/>
      <c r="V338" s="51"/>
      <c r="W338" s="51"/>
      <c r="X338" s="51"/>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52"/>
      <c r="BH338" s="48"/>
      <c r="BI338" s="48"/>
      <c r="BJ338" s="48"/>
      <c r="BK338" s="48"/>
      <c r="BL338" s="48"/>
      <c r="BM338" s="48"/>
      <c r="BN338" s="48"/>
      <c r="BO338" s="48"/>
      <c r="BP338" s="48"/>
      <c r="BQ338" s="48"/>
    </row>
    <row r="339" ht="23.25" customHeight="1">
      <c r="A339" s="47"/>
      <c r="B339" s="47"/>
      <c r="C339" s="48"/>
      <c r="D339" s="48"/>
      <c r="E339" s="48"/>
      <c r="F339" s="48"/>
      <c r="G339" s="47"/>
      <c r="H339" s="47"/>
      <c r="I339" s="47"/>
      <c r="J339" s="47"/>
      <c r="K339" s="47"/>
      <c r="L339" s="47"/>
      <c r="M339" s="47"/>
      <c r="N339" s="47"/>
      <c r="O339" s="47"/>
      <c r="P339" s="47"/>
      <c r="Q339" s="47"/>
      <c r="R339" s="47"/>
      <c r="S339" s="50"/>
      <c r="T339" s="51"/>
      <c r="U339" s="51"/>
      <c r="V339" s="51"/>
      <c r="W339" s="51"/>
      <c r="X339" s="51"/>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52"/>
      <c r="BH339" s="48"/>
      <c r="BI339" s="48"/>
      <c r="BJ339" s="48"/>
      <c r="BK339" s="48"/>
      <c r="BL339" s="48"/>
      <c r="BM339" s="48"/>
      <c r="BN339" s="48"/>
      <c r="BO339" s="48"/>
      <c r="BP339" s="48"/>
      <c r="BQ339" s="48"/>
    </row>
    <row r="340" ht="23.25" customHeight="1">
      <c r="A340" s="47"/>
      <c r="B340" s="47"/>
      <c r="C340" s="48"/>
      <c r="D340" s="48"/>
      <c r="E340" s="48"/>
      <c r="F340" s="48"/>
      <c r="G340" s="47"/>
      <c r="H340" s="47"/>
      <c r="I340" s="47"/>
      <c r="J340" s="47"/>
      <c r="K340" s="47"/>
      <c r="L340" s="47"/>
      <c r="M340" s="47"/>
      <c r="N340" s="47"/>
      <c r="O340" s="47"/>
      <c r="P340" s="47"/>
      <c r="Q340" s="47"/>
      <c r="R340" s="47"/>
      <c r="S340" s="50"/>
      <c r="T340" s="51"/>
      <c r="U340" s="51"/>
      <c r="V340" s="51"/>
      <c r="W340" s="51"/>
      <c r="X340" s="51"/>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52"/>
      <c r="BH340" s="48"/>
      <c r="BI340" s="48"/>
      <c r="BJ340" s="48"/>
      <c r="BK340" s="48"/>
      <c r="BL340" s="48"/>
      <c r="BM340" s="48"/>
      <c r="BN340" s="48"/>
      <c r="BO340" s="48"/>
      <c r="BP340" s="48"/>
      <c r="BQ340" s="48"/>
    </row>
    <row r="341" ht="23.25" customHeight="1">
      <c r="A341" s="47"/>
      <c r="B341" s="47"/>
      <c r="C341" s="48"/>
      <c r="D341" s="48"/>
      <c r="E341" s="48"/>
      <c r="F341" s="48"/>
      <c r="G341" s="47"/>
      <c r="H341" s="47"/>
      <c r="I341" s="47"/>
      <c r="J341" s="47"/>
      <c r="K341" s="47"/>
      <c r="L341" s="47"/>
      <c r="M341" s="47"/>
      <c r="N341" s="47"/>
      <c r="O341" s="47"/>
      <c r="P341" s="47"/>
      <c r="Q341" s="47"/>
      <c r="R341" s="47"/>
      <c r="S341" s="50"/>
      <c r="T341" s="51"/>
      <c r="U341" s="51"/>
      <c r="V341" s="51"/>
      <c r="W341" s="51"/>
      <c r="X341" s="51"/>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52"/>
      <c r="BH341" s="48"/>
      <c r="BI341" s="48"/>
      <c r="BJ341" s="48"/>
      <c r="BK341" s="48"/>
      <c r="BL341" s="48"/>
      <c r="BM341" s="48"/>
      <c r="BN341" s="48"/>
      <c r="BO341" s="48"/>
      <c r="BP341" s="48"/>
      <c r="BQ341" s="48"/>
    </row>
    <row r="342" ht="23.25" customHeight="1">
      <c r="A342" s="47"/>
      <c r="B342" s="47"/>
      <c r="C342" s="48"/>
      <c r="D342" s="48"/>
      <c r="E342" s="48"/>
      <c r="F342" s="48"/>
      <c r="G342" s="47"/>
      <c r="H342" s="47"/>
      <c r="I342" s="47"/>
      <c r="J342" s="47"/>
      <c r="K342" s="47"/>
      <c r="L342" s="47"/>
      <c r="M342" s="47"/>
      <c r="N342" s="47"/>
      <c r="O342" s="47"/>
      <c r="P342" s="47"/>
      <c r="Q342" s="47"/>
      <c r="R342" s="47"/>
      <c r="S342" s="50"/>
      <c r="T342" s="51"/>
      <c r="U342" s="51"/>
      <c r="V342" s="51"/>
      <c r="W342" s="51"/>
      <c r="X342" s="51"/>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52"/>
      <c r="BH342" s="48"/>
      <c r="BI342" s="48"/>
      <c r="BJ342" s="48"/>
      <c r="BK342" s="48"/>
      <c r="BL342" s="48"/>
      <c r="BM342" s="48"/>
      <c r="BN342" s="48"/>
      <c r="BO342" s="48"/>
      <c r="BP342" s="48"/>
      <c r="BQ342" s="48"/>
    </row>
    <row r="343" ht="23.25" customHeight="1">
      <c r="A343" s="47"/>
      <c r="B343" s="47"/>
      <c r="C343" s="48"/>
      <c r="D343" s="48"/>
      <c r="E343" s="48"/>
      <c r="F343" s="48"/>
      <c r="G343" s="47"/>
      <c r="H343" s="47"/>
      <c r="I343" s="47"/>
      <c r="J343" s="47"/>
      <c r="K343" s="47"/>
      <c r="L343" s="47"/>
      <c r="M343" s="47"/>
      <c r="N343" s="47"/>
      <c r="O343" s="47"/>
      <c r="P343" s="47"/>
      <c r="Q343" s="47"/>
      <c r="R343" s="47"/>
      <c r="S343" s="50"/>
      <c r="T343" s="51"/>
      <c r="U343" s="51"/>
      <c r="V343" s="51"/>
      <c r="W343" s="51"/>
      <c r="X343" s="51"/>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52"/>
      <c r="BH343" s="48"/>
      <c r="BI343" s="48"/>
      <c r="BJ343" s="48"/>
      <c r="BK343" s="48"/>
      <c r="BL343" s="48"/>
      <c r="BM343" s="48"/>
      <c r="BN343" s="48"/>
      <c r="BO343" s="48"/>
      <c r="BP343" s="48"/>
      <c r="BQ343" s="48"/>
    </row>
    <row r="344" ht="23.25" customHeight="1">
      <c r="A344" s="47"/>
      <c r="B344" s="47"/>
      <c r="C344" s="48"/>
      <c r="D344" s="48"/>
      <c r="E344" s="48"/>
      <c r="F344" s="48"/>
      <c r="G344" s="47"/>
      <c r="H344" s="47"/>
      <c r="I344" s="47"/>
      <c r="J344" s="47"/>
      <c r="K344" s="47"/>
      <c r="L344" s="47"/>
      <c r="M344" s="47"/>
      <c r="N344" s="47"/>
      <c r="O344" s="47"/>
      <c r="P344" s="47"/>
      <c r="Q344" s="47"/>
      <c r="R344" s="47"/>
      <c r="S344" s="50"/>
      <c r="T344" s="51"/>
      <c r="U344" s="51"/>
      <c r="V344" s="51"/>
      <c r="W344" s="51"/>
      <c r="X344" s="51"/>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52"/>
      <c r="BH344" s="48"/>
      <c r="BI344" s="48"/>
      <c r="BJ344" s="48"/>
      <c r="BK344" s="48"/>
      <c r="BL344" s="48"/>
      <c r="BM344" s="48"/>
      <c r="BN344" s="48"/>
      <c r="BO344" s="48"/>
      <c r="BP344" s="48"/>
      <c r="BQ344" s="48"/>
    </row>
    <row r="345" ht="23.25" customHeight="1">
      <c r="A345" s="47"/>
      <c r="B345" s="47"/>
      <c r="C345" s="48"/>
      <c r="D345" s="48"/>
      <c r="E345" s="48"/>
      <c r="F345" s="48"/>
      <c r="G345" s="47"/>
      <c r="H345" s="47"/>
      <c r="I345" s="47"/>
      <c r="J345" s="47"/>
      <c r="K345" s="47"/>
      <c r="L345" s="47"/>
      <c r="M345" s="47"/>
      <c r="N345" s="47"/>
      <c r="O345" s="47"/>
      <c r="P345" s="47"/>
      <c r="Q345" s="47"/>
      <c r="R345" s="47"/>
      <c r="S345" s="50"/>
      <c r="T345" s="51"/>
      <c r="U345" s="51"/>
      <c r="V345" s="51"/>
      <c r="W345" s="51"/>
      <c r="X345" s="51"/>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52"/>
      <c r="BH345" s="48"/>
      <c r="BI345" s="48"/>
      <c r="BJ345" s="48"/>
      <c r="BK345" s="48"/>
      <c r="BL345" s="48"/>
      <c r="BM345" s="48"/>
      <c r="BN345" s="48"/>
      <c r="BO345" s="48"/>
      <c r="BP345" s="48"/>
      <c r="BQ345" s="48"/>
    </row>
    <row r="346" ht="23.25" customHeight="1">
      <c r="A346" s="47"/>
      <c r="B346" s="47"/>
      <c r="C346" s="48"/>
      <c r="D346" s="48"/>
      <c r="E346" s="48"/>
      <c r="F346" s="48"/>
      <c r="G346" s="47"/>
      <c r="H346" s="47"/>
      <c r="I346" s="47"/>
      <c r="J346" s="47"/>
      <c r="K346" s="47"/>
      <c r="L346" s="47"/>
      <c r="M346" s="47"/>
      <c r="N346" s="47"/>
      <c r="O346" s="47"/>
      <c r="P346" s="47"/>
      <c r="Q346" s="47"/>
      <c r="R346" s="47"/>
      <c r="S346" s="50"/>
      <c r="T346" s="51"/>
      <c r="U346" s="51"/>
      <c r="V346" s="51"/>
      <c r="W346" s="51"/>
      <c r="X346" s="51"/>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52"/>
      <c r="BH346" s="48"/>
      <c r="BI346" s="48"/>
      <c r="BJ346" s="48"/>
      <c r="BK346" s="48"/>
      <c r="BL346" s="48"/>
      <c r="BM346" s="48"/>
      <c r="BN346" s="48"/>
      <c r="BO346" s="48"/>
      <c r="BP346" s="48"/>
      <c r="BQ346" s="48"/>
    </row>
    <row r="347" ht="23.25" customHeight="1">
      <c r="A347" s="47"/>
      <c r="B347" s="47"/>
      <c r="C347" s="48"/>
      <c r="D347" s="48"/>
      <c r="E347" s="48"/>
      <c r="F347" s="48"/>
      <c r="G347" s="47"/>
      <c r="H347" s="47"/>
      <c r="I347" s="47"/>
      <c r="J347" s="47"/>
      <c r="K347" s="47"/>
      <c r="L347" s="47"/>
      <c r="M347" s="47"/>
      <c r="N347" s="47"/>
      <c r="O347" s="47"/>
      <c r="P347" s="47"/>
      <c r="Q347" s="47"/>
      <c r="R347" s="47"/>
      <c r="S347" s="50"/>
      <c r="T347" s="51"/>
      <c r="U347" s="51"/>
      <c r="V347" s="51"/>
      <c r="W347" s="51"/>
      <c r="X347" s="51"/>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52"/>
      <c r="BH347" s="48"/>
      <c r="BI347" s="48"/>
      <c r="BJ347" s="48"/>
      <c r="BK347" s="48"/>
      <c r="BL347" s="48"/>
      <c r="BM347" s="48"/>
      <c r="BN347" s="48"/>
      <c r="BO347" s="48"/>
      <c r="BP347" s="48"/>
      <c r="BQ347" s="48"/>
    </row>
    <row r="348" ht="23.25" customHeight="1">
      <c r="A348" s="47"/>
      <c r="B348" s="47"/>
      <c r="C348" s="48"/>
      <c r="D348" s="48"/>
      <c r="E348" s="48"/>
      <c r="F348" s="48"/>
      <c r="G348" s="47"/>
      <c r="H348" s="47"/>
      <c r="I348" s="47"/>
      <c r="J348" s="47"/>
      <c r="K348" s="47"/>
      <c r="L348" s="47"/>
      <c r="M348" s="47"/>
      <c r="N348" s="47"/>
      <c r="O348" s="47"/>
      <c r="P348" s="47"/>
      <c r="Q348" s="47"/>
      <c r="R348" s="47"/>
      <c r="S348" s="50"/>
      <c r="T348" s="51"/>
      <c r="U348" s="51"/>
      <c r="V348" s="51"/>
      <c r="W348" s="51"/>
      <c r="X348" s="51"/>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52"/>
      <c r="BH348" s="48"/>
      <c r="BI348" s="48"/>
      <c r="BJ348" s="48"/>
      <c r="BK348" s="48"/>
      <c r="BL348" s="48"/>
      <c r="BM348" s="48"/>
      <c r="BN348" s="48"/>
      <c r="BO348" s="48"/>
      <c r="BP348" s="48"/>
      <c r="BQ348" s="48"/>
    </row>
    <row r="349" ht="23.25" customHeight="1">
      <c r="A349" s="47"/>
      <c r="B349" s="47"/>
      <c r="C349" s="48"/>
      <c r="D349" s="48"/>
      <c r="E349" s="48"/>
      <c r="F349" s="48"/>
      <c r="G349" s="47"/>
      <c r="H349" s="47"/>
      <c r="I349" s="47"/>
      <c r="J349" s="47"/>
      <c r="K349" s="47"/>
      <c r="L349" s="47"/>
      <c r="M349" s="47"/>
      <c r="N349" s="47"/>
      <c r="O349" s="47"/>
      <c r="P349" s="47"/>
      <c r="Q349" s="47"/>
      <c r="R349" s="47"/>
      <c r="S349" s="50"/>
      <c r="T349" s="51"/>
      <c r="U349" s="51"/>
      <c r="V349" s="51"/>
      <c r="W349" s="51"/>
      <c r="X349" s="51"/>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52"/>
      <c r="BH349" s="48"/>
      <c r="BI349" s="48"/>
      <c r="BJ349" s="48"/>
      <c r="BK349" s="48"/>
      <c r="BL349" s="48"/>
      <c r="BM349" s="48"/>
      <c r="BN349" s="48"/>
      <c r="BO349" s="48"/>
      <c r="BP349" s="48"/>
      <c r="BQ349" s="48"/>
    </row>
    <row r="350" ht="23.25" customHeight="1">
      <c r="A350" s="47"/>
      <c r="B350" s="47"/>
      <c r="C350" s="48"/>
      <c r="D350" s="48"/>
      <c r="E350" s="48"/>
      <c r="F350" s="48"/>
      <c r="G350" s="47"/>
      <c r="H350" s="47"/>
      <c r="I350" s="47"/>
      <c r="J350" s="47"/>
      <c r="K350" s="47"/>
      <c r="L350" s="47"/>
      <c r="M350" s="47"/>
      <c r="N350" s="47"/>
      <c r="O350" s="47"/>
      <c r="P350" s="47"/>
      <c r="Q350" s="47"/>
      <c r="R350" s="47"/>
      <c r="S350" s="50"/>
      <c r="T350" s="51"/>
      <c r="U350" s="51"/>
      <c r="V350" s="51"/>
      <c r="W350" s="51"/>
      <c r="X350" s="51"/>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52"/>
      <c r="BH350" s="48"/>
      <c r="BI350" s="48"/>
      <c r="BJ350" s="48"/>
      <c r="BK350" s="48"/>
      <c r="BL350" s="48"/>
      <c r="BM350" s="48"/>
      <c r="BN350" s="48"/>
      <c r="BO350" s="48"/>
      <c r="BP350" s="48"/>
      <c r="BQ350" s="48"/>
    </row>
    <row r="351" ht="23.25" customHeight="1">
      <c r="A351" s="47"/>
      <c r="B351" s="47"/>
      <c r="C351" s="48"/>
      <c r="D351" s="48"/>
      <c r="E351" s="48"/>
      <c r="F351" s="48"/>
      <c r="G351" s="47"/>
      <c r="H351" s="47"/>
      <c r="I351" s="47"/>
      <c r="J351" s="47"/>
      <c r="K351" s="47"/>
      <c r="L351" s="47"/>
      <c r="M351" s="47"/>
      <c r="N351" s="47"/>
      <c r="O351" s="47"/>
      <c r="P351" s="47"/>
      <c r="Q351" s="47"/>
      <c r="R351" s="47"/>
      <c r="S351" s="50"/>
      <c r="T351" s="51"/>
      <c r="U351" s="51"/>
      <c r="V351" s="51"/>
      <c r="W351" s="51"/>
      <c r="X351" s="51"/>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52"/>
      <c r="BH351" s="48"/>
      <c r="BI351" s="48"/>
      <c r="BJ351" s="48"/>
      <c r="BK351" s="48"/>
      <c r="BL351" s="48"/>
      <c r="BM351" s="48"/>
      <c r="BN351" s="48"/>
      <c r="BO351" s="48"/>
      <c r="BP351" s="48"/>
      <c r="BQ351" s="48"/>
    </row>
    <row r="352" ht="23.25" customHeight="1">
      <c r="A352" s="47"/>
      <c r="B352" s="47"/>
      <c r="C352" s="48"/>
      <c r="D352" s="48"/>
      <c r="E352" s="48"/>
      <c r="F352" s="48"/>
      <c r="G352" s="47"/>
      <c r="H352" s="47"/>
      <c r="I352" s="47"/>
      <c r="J352" s="47"/>
      <c r="K352" s="47"/>
      <c r="L352" s="47"/>
      <c r="M352" s="47"/>
      <c r="N352" s="47"/>
      <c r="O352" s="47"/>
      <c r="P352" s="47"/>
      <c r="Q352" s="47"/>
      <c r="R352" s="47"/>
      <c r="S352" s="50"/>
      <c r="T352" s="51"/>
      <c r="U352" s="51"/>
      <c r="V352" s="51"/>
      <c r="W352" s="51"/>
      <c r="X352" s="51"/>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52"/>
      <c r="BH352" s="48"/>
      <c r="BI352" s="48"/>
      <c r="BJ352" s="48"/>
      <c r="BK352" s="48"/>
      <c r="BL352" s="48"/>
      <c r="BM352" s="48"/>
      <c r="BN352" s="48"/>
      <c r="BO352" s="48"/>
      <c r="BP352" s="48"/>
      <c r="BQ352" s="48"/>
    </row>
    <row r="353" ht="23.25" customHeight="1">
      <c r="A353" s="47"/>
      <c r="B353" s="47"/>
      <c r="C353" s="48"/>
      <c r="D353" s="48"/>
      <c r="E353" s="48"/>
      <c r="F353" s="48"/>
      <c r="G353" s="47"/>
      <c r="H353" s="47"/>
      <c r="I353" s="47"/>
      <c r="J353" s="47"/>
      <c r="K353" s="47"/>
      <c r="L353" s="47"/>
      <c r="M353" s="47"/>
      <c r="N353" s="47"/>
      <c r="O353" s="47"/>
      <c r="P353" s="47"/>
      <c r="Q353" s="47"/>
      <c r="R353" s="47"/>
      <c r="S353" s="50"/>
      <c r="T353" s="51"/>
      <c r="U353" s="51"/>
      <c r="V353" s="51"/>
      <c r="W353" s="51"/>
      <c r="X353" s="51"/>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52"/>
      <c r="BH353" s="48"/>
      <c r="BI353" s="48"/>
      <c r="BJ353" s="48"/>
      <c r="BK353" s="48"/>
      <c r="BL353" s="48"/>
      <c r="BM353" s="48"/>
      <c r="BN353" s="48"/>
      <c r="BO353" s="48"/>
      <c r="BP353" s="48"/>
      <c r="BQ353" s="48"/>
    </row>
    <row r="354" ht="23.25" customHeight="1">
      <c r="A354" s="47"/>
      <c r="B354" s="47"/>
      <c r="C354" s="48"/>
      <c r="D354" s="48"/>
      <c r="E354" s="48"/>
      <c r="F354" s="48"/>
      <c r="G354" s="47"/>
      <c r="H354" s="47"/>
      <c r="I354" s="47"/>
      <c r="J354" s="47"/>
      <c r="K354" s="47"/>
      <c r="L354" s="47"/>
      <c r="M354" s="47"/>
      <c r="N354" s="47"/>
      <c r="O354" s="47"/>
      <c r="P354" s="47"/>
      <c r="Q354" s="47"/>
      <c r="R354" s="47"/>
      <c r="S354" s="50"/>
      <c r="T354" s="51"/>
      <c r="U354" s="51"/>
      <c r="V354" s="51"/>
      <c r="W354" s="51"/>
      <c r="X354" s="51"/>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52"/>
      <c r="BH354" s="48"/>
      <c r="BI354" s="48"/>
      <c r="BJ354" s="48"/>
      <c r="BK354" s="48"/>
      <c r="BL354" s="48"/>
      <c r="BM354" s="48"/>
      <c r="BN354" s="48"/>
      <c r="BO354" s="48"/>
      <c r="BP354" s="48"/>
      <c r="BQ354" s="48"/>
    </row>
    <row r="355" ht="23.25" customHeight="1">
      <c r="A355" s="47"/>
      <c r="B355" s="47"/>
      <c r="C355" s="48"/>
      <c r="D355" s="48"/>
      <c r="E355" s="48"/>
      <c r="F355" s="48"/>
      <c r="G355" s="47"/>
      <c r="H355" s="47"/>
      <c r="I355" s="47"/>
      <c r="J355" s="47"/>
      <c r="K355" s="47"/>
      <c r="L355" s="47"/>
      <c r="M355" s="47"/>
      <c r="N355" s="47"/>
      <c r="O355" s="47"/>
      <c r="P355" s="47"/>
      <c r="Q355" s="47"/>
      <c r="R355" s="47"/>
      <c r="S355" s="50"/>
      <c r="T355" s="51"/>
      <c r="U355" s="51"/>
      <c r="V355" s="51"/>
      <c r="W355" s="51"/>
      <c r="X355" s="51"/>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52"/>
      <c r="BH355" s="48"/>
      <c r="BI355" s="48"/>
      <c r="BJ355" s="48"/>
      <c r="BK355" s="48"/>
      <c r="BL355" s="48"/>
      <c r="BM355" s="48"/>
      <c r="BN355" s="48"/>
      <c r="BO355" s="48"/>
      <c r="BP355" s="48"/>
      <c r="BQ355" s="48"/>
    </row>
    <row r="356" ht="23.25" customHeight="1">
      <c r="A356" s="47"/>
      <c r="B356" s="47"/>
      <c r="C356" s="48"/>
      <c r="D356" s="48"/>
      <c r="E356" s="48"/>
      <c r="F356" s="48"/>
      <c r="G356" s="47"/>
      <c r="H356" s="47"/>
      <c r="I356" s="47"/>
      <c r="J356" s="47"/>
      <c r="K356" s="47"/>
      <c r="L356" s="47"/>
      <c r="M356" s="47"/>
      <c r="N356" s="47"/>
      <c r="O356" s="47"/>
      <c r="P356" s="47"/>
      <c r="Q356" s="47"/>
      <c r="R356" s="47"/>
      <c r="S356" s="50"/>
      <c r="T356" s="51"/>
      <c r="U356" s="51"/>
      <c r="V356" s="51"/>
      <c r="W356" s="51"/>
      <c r="X356" s="51"/>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52"/>
      <c r="BH356" s="48"/>
      <c r="BI356" s="48"/>
      <c r="BJ356" s="48"/>
      <c r="BK356" s="48"/>
      <c r="BL356" s="48"/>
      <c r="BM356" s="48"/>
      <c r="BN356" s="48"/>
      <c r="BO356" s="48"/>
      <c r="BP356" s="48"/>
      <c r="BQ356" s="48"/>
    </row>
    <row r="357" ht="23.25" customHeight="1">
      <c r="A357" s="47"/>
      <c r="B357" s="47"/>
      <c r="C357" s="48"/>
      <c r="D357" s="48"/>
      <c r="E357" s="48"/>
      <c r="F357" s="48"/>
      <c r="G357" s="47"/>
      <c r="H357" s="47"/>
      <c r="I357" s="47"/>
      <c r="J357" s="47"/>
      <c r="K357" s="47"/>
      <c r="L357" s="47"/>
      <c r="M357" s="47"/>
      <c r="N357" s="47"/>
      <c r="O357" s="47"/>
      <c r="P357" s="47"/>
      <c r="Q357" s="47"/>
      <c r="R357" s="47"/>
      <c r="S357" s="50"/>
      <c r="T357" s="51"/>
      <c r="U357" s="51"/>
      <c r="V357" s="51"/>
      <c r="W357" s="51"/>
      <c r="X357" s="51"/>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52"/>
      <c r="BH357" s="48"/>
      <c r="BI357" s="48"/>
      <c r="BJ357" s="48"/>
      <c r="BK357" s="48"/>
      <c r="BL357" s="48"/>
      <c r="BM357" s="48"/>
      <c r="BN357" s="48"/>
      <c r="BO357" s="48"/>
      <c r="BP357" s="48"/>
      <c r="BQ357" s="48"/>
    </row>
    <row r="358" ht="23.25" customHeight="1">
      <c r="A358" s="47"/>
      <c r="B358" s="47"/>
      <c r="C358" s="48"/>
      <c r="D358" s="48"/>
      <c r="E358" s="48"/>
      <c r="F358" s="48"/>
      <c r="G358" s="47"/>
      <c r="H358" s="47"/>
      <c r="I358" s="47"/>
      <c r="J358" s="47"/>
      <c r="K358" s="47"/>
      <c r="L358" s="47"/>
      <c r="M358" s="47"/>
      <c r="N358" s="47"/>
      <c r="O358" s="47"/>
      <c r="P358" s="47"/>
      <c r="Q358" s="47"/>
      <c r="R358" s="47"/>
      <c r="S358" s="50"/>
      <c r="T358" s="51"/>
      <c r="U358" s="51"/>
      <c r="V358" s="51"/>
      <c r="W358" s="51"/>
      <c r="X358" s="51"/>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52"/>
      <c r="BH358" s="48"/>
      <c r="BI358" s="48"/>
      <c r="BJ358" s="48"/>
      <c r="BK358" s="48"/>
      <c r="BL358" s="48"/>
      <c r="BM358" s="48"/>
      <c r="BN358" s="48"/>
      <c r="BO358" s="48"/>
      <c r="BP358" s="48"/>
      <c r="BQ358" s="48"/>
    </row>
    <row r="359" ht="23.25" customHeight="1">
      <c r="A359" s="47"/>
      <c r="B359" s="47"/>
      <c r="C359" s="48"/>
      <c r="D359" s="48"/>
      <c r="E359" s="48"/>
      <c r="F359" s="48"/>
      <c r="G359" s="47"/>
      <c r="H359" s="47"/>
      <c r="I359" s="47"/>
      <c r="J359" s="47"/>
      <c r="K359" s="47"/>
      <c r="L359" s="47"/>
      <c r="M359" s="47"/>
      <c r="N359" s="47"/>
      <c r="O359" s="47"/>
      <c r="P359" s="47"/>
      <c r="Q359" s="47"/>
      <c r="R359" s="47"/>
      <c r="S359" s="50"/>
      <c r="T359" s="51"/>
      <c r="U359" s="51"/>
      <c r="V359" s="51"/>
      <c r="W359" s="51"/>
      <c r="X359" s="51"/>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52"/>
      <c r="BH359" s="48"/>
      <c r="BI359" s="48"/>
      <c r="BJ359" s="48"/>
      <c r="BK359" s="48"/>
      <c r="BL359" s="48"/>
      <c r="BM359" s="48"/>
      <c r="BN359" s="48"/>
      <c r="BO359" s="48"/>
      <c r="BP359" s="48"/>
      <c r="BQ359" s="48"/>
    </row>
    <row r="360" ht="23.25" customHeight="1">
      <c r="A360" s="47"/>
      <c r="B360" s="47"/>
      <c r="C360" s="48"/>
      <c r="D360" s="48"/>
      <c r="E360" s="48"/>
      <c r="F360" s="48"/>
      <c r="G360" s="47"/>
      <c r="H360" s="47"/>
      <c r="I360" s="47"/>
      <c r="J360" s="47"/>
      <c r="K360" s="47"/>
      <c r="L360" s="47"/>
      <c r="M360" s="47"/>
      <c r="N360" s="47"/>
      <c r="O360" s="47"/>
      <c r="P360" s="47"/>
      <c r="Q360" s="47"/>
      <c r="R360" s="47"/>
      <c r="S360" s="50"/>
      <c r="T360" s="51"/>
      <c r="U360" s="51"/>
      <c r="V360" s="51"/>
      <c r="W360" s="51"/>
      <c r="X360" s="51"/>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52"/>
      <c r="BH360" s="48"/>
      <c r="BI360" s="48"/>
      <c r="BJ360" s="48"/>
      <c r="BK360" s="48"/>
      <c r="BL360" s="48"/>
      <c r="BM360" s="48"/>
      <c r="BN360" s="48"/>
      <c r="BO360" s="48"/>
      <c r="BP360" s="48"/>
      <c r="BQ360" s="48"/>
    </row>
    <row r="361" ht="23.25" customHeight="1">
      <c r="A361" s="47"/>
      <c r="B361" s="47"/>
      <c r="C361" s="48"/>
      <c r="D361" s="48"/>
      <c r="E361" s="48"/>
      <c r="F361" s="48"/>
      <c r="G361" s="47"/>
      <c r="H361" s="47"/>
      <c r="I361" s="47"/>
      <c r="J361" s="47"/>
      <c r="K361" s="47"/>
      <c r="L361" s="47"/>
      <c r="M361" s="47"/>
      <c r="N361" s="47"/>
      <c r="O361" s="47"/>
      <c r="P361" s="47"/>
      <c r="Q361" s="47"/>
      <c r="R361" s="47"/>
      <c r="S361" s="50"/>
      <c r="T361" s="51"/>
      <c r="U361" s="51"/>
      <c r="V361" s="51"/>
      <c r="W361" s="51"/>
      <c r="X361" s="51"/>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52"/>
      <c r="BH361" s="48"/>
      <c r="BI361" s="48"/>
      <c r="BJ361" s="48"/>
      <c r="BK361" s="48"/>
      <c r="BL361" s="48"/>
      <c r="BM361" s="48"/>
      <c r="BN361" s="48"/>
      <c r="BO361" s="48"/>
      <c r="BP361" s="48"/>
      <c r="BQ361" s="48"/>
    </row>
    <row r="362" ht="23.25" customHeight="1">
      <c r="A362" s="47"/>
      <c r="B362" s="47"/>
      <c r="C362" s="48"/>
      <c r="D362" s="48"/>
      <c r="E362" s="48"/>
      <c r="F362" s="48"/>
      <c r="G362" s="47"/>
      <c r="H362" s="47"/>
      <c r="I362" s="47"/>
      <c r="J362" s="47"/>
      <c r="K362" s="47"/>
      <c r="L362" s="47"/>
      <c r="M362" s="47"/>
      <c r="N362" s="47"/>
      <c r="O362" s="47"/>
      <c r="P362" s="47"/>
      <c r="Q362" s="47"/>
      <c r="R362" s="47"/>
      <c r="S362" s="50"/>
      <c r="T362" s="51"/>
      <c r="U362" s="51"/>
      <c r="V362" s="51"/>
      <c r="W362" s="51"/>
      <c r="X362" s="51"/>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52"/>
      <c r="BH362" s="48"/>
      <c r="BI362" s="48"/>
      <c r="BJ362" s="48"/>
      <c r="BK362" s="48"/>
      <c r="BL362" s="48"/>
      <c r="BM362" s="48"/>
      <c r="BN362" s="48"/>
      <c r="BO362" s="48"/>
      <c r="BP362" s="48"/>
      <c r="BQ362" s="48"/>
    </row>
    <row r="363" ht="23.25" customHeight="1">
      <c r="A363" s="47"/>
      <c r="B363" s="47"/>
      <c r="C363" s="48"/>
      <c r="D363" s="48"/>
      <c r="E363" s="48"/>
      <c r="F363" s="48"/>
      <c r="G363" s="47"/>
      <c r="H363" s="47"/>
      <c r="I363" s="47"/>
      <c r="J363" s="47"/>
      <c r="K363" s="47"/>
      <c r="L363" s="47"/>
      <c r="M363" s="47"/>
      <c r="N363" s="47"/>
      <c r="O363" s="47"/>
      <c r="P363" s="47"/>
      <c r="Q363" s="47"/>
      <c r="R363" s="47"/>
      <c r="S363" s="50"/>
      <c r="T363" s="51"/>
      <c r="U363" s="51"/>
      <c r="V363" s="51"/>
      <c r="W363" s="51"/>
      <c r="X363" s="51"/>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52"/>
      <c r="BH363" s="48"/>
      <c r="BI363" s="48"/>
      <c r="BJ363" s="48"/>
      <c r="BK363" s="48"/>
      <c r="BL363" s="48"/>
      <c r="BM363" s="48"/>
      <c r="BN363" s="48"/>
      <c r="BO363" s="48"/>
      <c r="BP363" s="48"/>
      <c r="BQ363" s="48"/>
    </row>
    <row r="364" ht="23.25" customHeight="1">
      <c r="A364" s="47"/>
      <c r="B364" s="47"/>
      <c r="C364" s="48"/>
      <c r="D364" s="48"/>
      <c r="E364" s="48"/>
      <c r="F364" s="48"/>
      <c r="G364" s="47"/>
      <c r="H364" s="47"/>
      <c r="I364" s="47"/>
      <c r="J364" s="47"/>
      <c r="K364" s="47"/>
      <c r="L364" s="47"/>
      <c r="M364" s="47"/>
      <c r="N364" s="47"/>
      <c r="O364" s="47"/>
      <c r="P364" s="47"/>
      <c r="Q364" s="47"/>
      <c r="R364" s="47"/>
      <c r="S364" s="50"/>
      <c r="T364" s="51"/>
      <c r="U364" s="51"/>
      <c r="V364" s="51"/>
      <c r="W364" s="51"/>
      <c r="X364" s="51"/>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52"/>
      <c r="BH364" s="48"/>
      <c r="BI364" s="48"/>
      <c r="BJ364" s="48"/>
      <c r="BK364" s="48"/>
      <c r="BL364" s="48"/>
      <c r="BM364" s="48"/>
      <c r="BN364" s="48"/>
      <c r="BO364" s="48"/>
      <c r="BP364" s="48"/>
      <c r="BQ364" s="48"/>
    </row>
    <row r="365" ht="23.25" customHeight="1">
      <c r="A365" s="47"/>
      <c r="B365" s="47"/>
      <c r="C365" s="48"/>
      <c r="D365" s="48"/>
      <c r="E365" s="48"/>
      <c r="F365" s="48"/>
      <c r="G365" s="47"/>
      <c r="H365" s="47"/>
      <c r="I365" s="47"/>
      <c r="J365" s="47"/>
      <c r="K365" s="47"/>
      <c r="L365" s="47"/>
      <c r="M365" s="47"/>
      <c r="N365" s="47"/>
      <c r="O365" s="47"/>
      <c r="P365" s="47"/>
      <c r="Q365" s="47"/>
      <c r="R365" s="47"/>
      <c r="S365" s="50"/>
      <c r="T365" s="51"/>
      <c r="U365" s="51"/>
      <c r="V365" s="51"/>
      <c r="W365" s="51"/>
      <c r="X365" s="51"/>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52"/>
      <c r="BH365" s="48"/>
      <c r="BI365" s="48"/>
      <c r="BJ365" s="48"/>
      <c r="BK365" s="48"/>
      <c r="BL365" s="48"/>
      <c r="BM365" s="48"/>
      <c r="BN365" s="48"/>
      <c r="BO365" s="48"/>
      <c r="BP365" s="48"/>
      <c r="BQ365" s="48"/>
    </row>
    <row r="366" ht="23.25" customHeight="1">
      <c r="A366" s="47"/>
      <c r="B366" s="47"/>
      <c r="C366" s="48"/>
      <c r="D366" s="48"/>
      <c r="E366" s="48"/>
      <c r="F366" s="48"/>
      <c r="G366" s="47"/>
      <c r="H366" s="47"/>
      <c r="I366" s="47"/>
      <c r="J366" s="47"/>
      <c r="K366" s="47"/>
      <c r="L366" s="47"/>
      <c r="M366" s="47"/>
      <c r="N366" s="47"/>
      <c r="O366" s="47"/>
      <c r="P366" s="47"/>
      <c r="Q366" s="47"/>
      <c r="R366" s="47"/>
      <c r="S366" s="50"/>
      <c r="T366" s="51"/>
      <c r="U366" s="51"/>
      <c r="V366" s="51"/>
      <c r="W366" s="51"/>
      <c r="X366" s="51"/>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52"/>
      <c r="BH366" s="48"/>
      <c r="BI366" s="48"/>
      <c r="BJ366" s="48"/>
      <c r="BK366" s="48"/>
      <c r="BL366" s="48"/>
      <c r="BM366" s="48"/>
      <c r="BN366" s="48"/>
      <c r="BO366" s="48"/>
      <c r="BP366" s="48"/>
      <c r="BQ366" s="48"/>
    </row>
    <row r="367" ht="23.25" customHeight="1">
      <c r="A367" s="47"/>
      <c r="B367" s="47"/>
      <c r="C367" s="48"/>
      <c r="D367" s="48"/>
      <c r="E367" s="48"/>
      <c r="F367" s="48"/>
      <c r="G367" s="47"/>
      <c r="H367" s="47"/>
      <c r="I367" s="47"/>
      <c r="J367" s="47"/>
      <c r="K367" s="47"/>
      <c r="L367" s="47"/>
      <c r="M367" s="47"/>
      <c r="N367" s="47"/>
      <c r="O367" s="47"/>
      <c r="P367" s="47"/>
      <c r="Q367" s="47"/>
      <c r="R367" s="47"/>
      <c r="S367" s="50"/>
      <c r="T367" s="51"/>
      <c r="U367" s="51"/>
      <c r="V367" s="51"/>
      <c r="W367" s="51"/>
      <c r="X367" s="51"/>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52"/>
      <c r="BH367" s="48"/>
      <c r="BI367" s="48"/>
      <c r="BJ367" s="48"/>
      <c r="BK367" s="48"/>
      <c r="BL367" s="48"/>
      <c r="BM367" s="48"/>
      <c r="BN367" s="48"/>
      <c r="BO367" s="48"/>
      <c r="BP367" s="48"/>
      <c r="BQ367" s="48"/>
    </row>
    <row r="368" ht="23.25" customHeight="1">
      <c r="A368" s="47"/>
      <c r="B368" s="47"/>
      <c r="C368" s="48"/>
      <c r="D368" s="48"/>
      <c r="E368" s="48"/>
      <c r="F368" s="48"/>
      <c r="G368" s="47"/>
      <c r="H368" s="47"/>
      <c r="I368" s="47"/>
      <c r="J368" s="47"/>
      <c r="K368" s="47"/>
      <c r="L368" s="47"/>
      <c r="M368" s="47"/>
      <c r="N368" s="47"/>
      <c r="O368" s="47"/>
      <c r="P368" s="47"/>
      <c r="Q368" s="47"/>
      <c r="R368" s="47"/>
      <c r="S368" s="50"/>
      <c r="T368" s="51"/>
      <c r="U368" s="51"/>
      <c r="V368" s="51"/>
      <c r="W368" s="51"/>
      <c r="X368" s="51"/>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52"/>
      <c r="BH368" s="48"/>
      <c r="BI368" s="48"/>
      <c r="BJ368" s="48"/>
      <c r="BK368" s="48"/>
      <c r="BL368" s="48"/>
      <c r="BM368" s="48"/>
      <c r="BN368" s="48"/>
      <c r="BO368" s="48"/>
      <c r="BP368" s="48"/>
      <c r="BQ368" s="48"/>
    </row>
    <row r="369" ht="23.25" customHeight="1">
      <c r="A369" s="47"/>
      <c r="B369" s="47"/>
      <c r="C369" s="48"/>
      <c r="D369" s="48"/>
      <c r="E369" s="48"/>
      <c r="F369" s="48"/>
      <c r="G369" s="47"/>
      <c r="H369" s="47"/>
      <c r="I369" s="47"/>
      <c r="J369" s="47"/>
      <c r="K369" s="47"/>
      <c r="L369" s="47"/>
      <c r="M369" s="47"/>
      <c r="N369" s="47"/>
      <c r="O369" s="47"/>
      <c r="P369" s="47"/>
      <c r="Q369" s="47"/>
      <c r="R369" s="47"/>
      <c r="S369" s="50"/>
      <c r="T369" s="51"/>
      <c r="U369" s="51"/>
      <c r="V369" s="51"/>
      <c r="W369" s="51"/>
      <c r="X369" s="51"/>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52"/>
      <c r="BH369" s="48"/>
      <c r="BI369" s="48"/>
      <c r="BJ369" s="48"/>
      <c r="BK369" s="48"/>
      <c r="BL369" s="48"/>
      <c r="BM369" s="48"/>
      <c r="BN369" s="48"/>
      <c r="BO369" s="48"/>
      <c r="BP369" s="48"/>
      <c r="BQ369" s="48"/>
    </row>
    <row r="370" ht="23.25" customHeight="1">
      <c r="A370" s="47"/>
      <c r="B370" s="47"/>
      <c r="C370" s="48"/>
      <c r="D370" s="48"/>
      <c r="E370" s="48"/>
      <c r="F370" s="48"/>
      <c r="G370" s="47"/>
      <c r="H370" s="47"/>
      <c r="I370" s="47"/>
      <c r="J370" s="47"/>
      <c r="K370" s="47"/>
      <c r="L370" s="47"/>
      <c r="M370" s="47"/>
      <c r="N370" s="47"/>
      <c r="O370" s="47"/>
      <c r="P370" s="47"/>
      <c r="Q370" s="47"/>
      <c r="R370" s="47"/>
      <c r="S370" s="50"/>
      <c r="T370" s="51"/>
      <c r="U370" s="51"/>
      <c r="V370" s="51"/>
      <c r="W370" s="51"/>
      <c r="X370" s="51"/>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52"/>
      <c r="BH370" s="48"/>
      <c r="BI370" s="48"/>
      <c r="BJ370" s="48"/>
      <c r="BK370" s="48"/>
      <c r="BL370" s="48"/>
      <c r="BM370" s="48"/>
      <c r="BN370" s="48"/>
      <c r="BO370" s="48"/>
      <c r="BP370" s="48"/>
      <c r="BQ370" s="48"/>
    </row>
    <row r="371" ht="23.25" customHeight="1">
      <c r="A371" s="47"/>
      <c r="B371" s="47"/>
      <c r="C371" s="48"/>
      <c r="D371" s="48"/>
      <c r="E371" s="48"/>
      <c r="F371" s="48"/>
      <c r="G371" s="47"/>
      <c r="H371" s="47"/>
      <c r="I371" s="47"/>
      <c r="J371" s="47"/>
      <c r="K371" s="47"/>
      <c r="L371" s="47"/>
      <c r="M371" s="47"/>
      <c r="N371" s="47"/>
      <c r="O371" s="47"/>
      <c r="P371" s="47"/>
      <c r="Q371" s="47"/>
      <c r="R371" s="47"/>
      <c r="S371" s="50"/>
      <c r="T371" s="51"/>
      <c r="U371" s="51"/>
      <c r="V371" s="51"/>
      <c r="W371" s="51"/>
      <c r="X371" s="51"/>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52"/>
      <c r="BH371" s="48"/>
      <c r="BI371" s="48"/>
      <c r="BJ371" s="48"/>
      <c r="BK371" s="48"/>
      <c r="BL371" s="48"/>
      <c r="BM371" s="48"/>
      <c r="BN371" s="48"/>
      <c r="BO371" s="48"/>
      <c r="BP371" s="48"/>
      <c r="BQ371" s="48"/>
    </row>
    <row r="372" ht="23.25" customHeight="1">
      <c r="A372" s="47"/>
      <c r="B372" s="47"/>
      <c r="C372" s="48"/>
      <c r="D372" s="48"/>
      <c r="E372" s="48"/>
      <c r="F372" s="48"/>
      <c r="G372" s="47"/>
      <c r="H372" s="47"/>
      <c r="I372" s="47"/>
      <c r="J372" s="47"/>
      <c r="K372" s="47"/>
      <c r="L372" s="47"/>
      <c r="M372" s="47"/>
      <c r="N372" s="47"/>
      <c r="O372" s="47"/>
      <c r="P372" s="47"/>
      <c r="Q372" s="47"/>
      <c r="R372" s="47"/>
      <c r="S372" s="50"/>
      <c r="T372" s="51"/>
      <c r="U372" s="51"/>
      <c r="V372" s="51"/>
      <c r="W372" s="51"/>
      <c r="X372" s="51"/>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52"/>
      <c r="BH372" s="48"/>
      <c r="BI372" s="48"/>
      <c r="BJ372" s="48"/>
      <c r="BK372" s="48"/>
      <c r="BL372" s="48"/>
      <c r="BM372" s="48"/>
      <c r="BN372" s="48"/>
      <c r="BO372" s="48"/>
      <c r="BP372" s="48"/>
      <c r="BQ372" s="48"/>
    </row>
    <row r="373" ht="23.25" customHeight="1">
      <c r="A373" s="47"/>
      <c r="B373" s="47"/>
      <c r="C373" s="48"/>
      <c r="D373" s="48"/>
      <c r="E373" s="48"/>
      <c r="F373" s="48"/>
      <c r="G373" s="47"/>
      <c r="H373" s="47"/>
      <c r="I373" s="47"/>
      <c r="J373" s="47"/>
      <c r="K373" s="47"/>
      <c r="L373" s="47"/>
      <c r="M373" s="47"/>
      <c r="N373" s="47"/>
      <c r="O373" s="47"/>
      <c r="P373" s="47"/>
      <c r="Q373" s="47"/>
      <c r="R373" s="47"/>
      <c r="S373" s="50"/>
      <c r="T373" s="51"/>
      <c r="U373" s="51"/>
      <c r="V373" s="51"/>
      <c r="W373" s="51"/>
      <c r="X373" s="51"/>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52"/>
      <c r="BH373" s="48"/>
      <c r="BI373" s="48"/>
      <c r="BJ373" s="48"/>
      <c r="BK373" s="48"/>
      <c r="BL373" s="48"/>
      <c r="BM373" s="48"/>
      <c r="BN373" s="48"/>
      <c r="BO373" s="48"/>
      <c r="BP373" s="48"/>
      <c r="BQ373" s="48"/>
    </row>
    <row r="374" ht="23.25" customHeight="1">
      <c r="A374" s="47"/>
      <c r="B374" s="47"/>
      <c r="C374" s="48"/>
      <c r="D374" s="48"/>
      <c r="E374" s="48"/>
      <c r="F374" s="48"/>
      <c r="G374" s="47"/>
      <c r="H374" s="47"/>
      <c r="I374" s="47"/>
      <c r="J374" s="47"/>
      <c r="K374" s="47"/>
      <c r="L374" s="47"/>
      <c r="M374" s="47"/>
      <c r="N374" s="47"/>
      <c r="O374" s="47"/>
      <c r="P374" s="47"/>
      <c r="Q374" s="47"/>
      <c r="R374" s="47"/>
      <c r="S374" s="50"/>
      <c r="T374" s="51"/>
      <c r="U374" s="51"/>
      <c r="V374" s="51"/>
      <c r="W374" s="51"/>
      <c r="X374" s="51"/>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52"/>
      <c r="BH374" s="48"/>
      <c r="BI374" s="48"/>
      <c r="BJ374" s="48"/>
      <c r="BK374" s="48"/>
      <c r="BL374" s="48"/>
      <c r="BM374" s="48"/>
      <c r="BN374" s="48"/>
      <c r="BO374" s="48"/>
      <c r="BP374" s="48"/>
      <c r="BQ374" s="48"/>
    </row>
    <row r="375" ht="23.25" customHeight="1">
      <c r="A375" s="47"/>
      <c r="B375" s="47"/>
      <c r="C375" s="48"/>
      <c r="D375" s="48"/>
      <c r="E375" s="48"/>
      <c r="F375" s="48"/>
      <c r="G375" s="47"/>
      <c r="H375" s="47"/>
      <c r="I375" s="47"/>
      <c r="J375" s="47"/>
      <c r="K375" s="47"/>
      <c r="L375" s="47"/>
      <c r="M375" s="47"/>
      <c r="N375" s="47"/>
      <c r="O375" s="47"/>
      <c r="P375" s="47"/>
      <c r="Q375" s="47"/>
      <c r="R375" s="47"/>
      <c r="S375" s="50"/>
      <c r="T375" s="51"/>
      <c r="U375" s="51"/>
      <c r="V375" s="51"/>
      <c r="W375" s="51"/>
      <c r="X375" s="51"/>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52"/>
      <c r="BH375" s="48"/>
      <c r="BI375" s="48"/>
      <c r="BJ375" s="48"/>
      <c r="BK375" s="48"/>
      <c r="BL375" s="48"/>
      <c r="BM375" s="48"/>
      <c r="BN375" s="48"/>
      <c r="BO375" s="48"/>
      <c r="BP375" s="48"/>
      <c r="BQ375" s="48"/>
    </row>
    <row r="376" ht="23.25" customHeight="1">
      <c r="A376" s="47"/>
      <c r="B376" s="47"/>
      <c r="C376" s="48"/>
      <c r="D376" s="48"/>
      <c r="E376" s="48"/>
      <c r="F376" s="48"/>
      <c r="G376" s="47"/>
      <c r="H376" s="47"/>
      <c r="I376" s="47"/>
      <c r="J376" s="47"/>
      <c r="K376" s="47"/>
      <c r="L376" s="47"/>
      <c r="M376" s="47"/>
      <c r="N376" s="47"/>
      <c r="O376" s="47"/>
      <c r="P376" s="47"/>
      <c r="Q376" s="47"/>
      <c r="R376" s="47"/>
      <c r="S376" s="50"/>
      <c r="T376" s="51"/>
      <c r="U376" s="51"/>
      <c r="V376" s="51"/>
      <c r="W376" s="51"/>
      <c r="X376" s="51"/>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52"/>
      <c r="BH376" s="48"/>
      <c r="BI376" s="48"/>
      <c r="BJ376" s="48"/>
      <c r="BK376" s="48"/>
      <c r="BL376" s="48"/>
      <c r="BM376" s="48"/>
      <c r="BN376" s="48"/>
      <c r="BO376" s="48"/>
      <c r="BP376" s="48"/>
      <c r="BQ376" s="48"/>
    </row>
    <row r="377" ht="23.25" customHeight="1">
      <c r="A377" s="47"/>
      <c r="B377" s="47"/>
      <c r="C377" s="48"/>
      <c r="D377" s="48"/>
      <c r="E377" s="48"/>
      <c r="F377" s="48"/>
      <c r="G377" s="47"/>
      <c r="H377" s="47"/>
      <c r="I377" s="47"/>
      <c r="J377" s="47"/>
      <c r="K377" s="47"/>
      <c r="L377" s="47"/>
      <c r="M377" s="47"/>
      <c r="N377" s="47"/>
      <c r="O377" s="47"/>
      <c r="P377" s="47"/>
      <c r="Q377" s="47"/>
      <c r="R377" s="47"/>
      <c r="S377" s="50"/>
      <c r="T377" s="51"/>
      <c r="U377" s="51"/>
      <c r="V377" s="51"/>
      <c r="W377" s="51"/>
      <c r="X377" s="51"/>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52"/>
      <c r="BH377" s="48"/>
      <c r="BI377" s="48"/>
      <c r="BJ377" s="48"/>
      <c r="BK377" s="48"/>
      <c r="BL377" s="48"/>
      <c r="BM377" s="48"/>
      <c r="BN377" s="48"/>
      <c r="BO377" s="48"/>
      <c r="BP377" s="48"/>
      <c r="BQ377" s="48"/>
    </row>
    <row r="378" ht="23.25" customHeight="1">
      <c r="A378" s="47"/>
      <c r="B378" s="47"/>
      <c r="C378" s="48"/>
      <c r="D378" s="48"/>
      <c r="E378" s="48"/>
      <c r="F378" s="48"/>
      <c r="G378" s="47"/>
      <c r="H378" s="47"/>
      <c r="I378" s="47"/>
      <c r="J378" s="47"/>
      <c r="K378" s="47"/>
      <c r="L378" s="47"/>
      <c r="M378" s="47"/>
      <c r="N378" s="47"/>
      <c r="O378" s="47"/>
      <c r="P378" s="47"/>
      <c r="Q378" s="47"/>
      <c r="R378" s="47"/>
      <c r="S378" s="50"/>
      <c r="T378" s="51"/>
      <c r="U378" s="51"/>
      <c r="V378" s="51"/>
      <c r="W378" s="51"/>
      <c r="X378" s="51"/>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52"/>
      <c r="BH378" s="48"/>
      <c r="BI378" s="48"/>
      <c r="BJ378" s="48"/>
      <c r="BK378" s="48"/>
      <c r="BL378" s="48"/>
      <c r="BM378" s="48"/>
      <c r="BN378" s="48"/>
      <c r="BO378" s="48"/>
      <c r="BP378" s="48"/>
      <c r="BQ378" s="48"/>
    </row>
    <row r="379" ht="23.25" customHeight="1">
      <c r="A379" s="47"/>
      <c r="B379" s="47"/>
      <c r="C379" s="48"/>
      <c r="D379" s="48"/>
      <c r="E379" s="48"/>
      <c r="F379" s="48"/>
      <c r="G379" s="47"/>
      <c r="H379" s="47"/>
      <c r="I379" s="47"/>
      <c r="J379" s="47"/>
      <c r="K379" s="47"/>
      <c r="L379" s="47"/>
      <c r="M379" s="47"/>
      <c r="N379" s="47"/>
      <c r="O379" s="47"/>
      <c r="P379" s="47"/>
      <c r="Q379" s="47"/>
      <c r="R379" s="47"/>
      <c r="S379" s="50"/>
      <c r="T379" s="51"/>
      <c r="U379" s="51"/>
      <c r="V379" s="51"/>
      <c r="W379" s="51"/>
      <c r="X379" s="51"/>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52"/>
      <c r="BH379" s="48"/>
      <c r="BI379" s="48"/>
      <c r="BJ379" s="48"/>
      <c r="BK379" s="48"/>
      <c r="BL379" s="48"/>
      <c r="BM379" s="48"/>
      <c r="BN379" s="48"/>
      <c r="BO379" s="48"/>
      <c r="BP379" s="48"/>
      <c r="BQ379" s="48"/>
    </row>
    <row r="380" ht="23.25" customHeight="1">
      <c r="A380" s="47"/>
      <c r="B380" s="47"/>
      <c r="C380" s="48"/>
      <c r="D380" s="48"/>
      <c r="E380" s="48"/>
      <c r="F380" s="48"/>
      <c r="G380" s="47"/>
      <c r="H380" s="47"/>
      <c r="I380" s="47"/>
      <c r="J380" s="47"/>
      <c r="K380" s="47"/>
      <c r="L380" s="47"/>
      <c r="M380" s="47"/>
      <c r="N380" s="47"/>
      <c r="O380" s="47"/>
      <c r="P380" s="47"/>
      <c r="Q380" s="47"/>
      <c r="R380" s="47"/>
      <c r="S380" s="50"/>
      <c r="T380" s="51"/>
      <c r="U380" s="51"/>
      <c r="V380" s="51"/>
      <c r="W380" s="51"/>
      <c r="X380" s="51"/>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52"/>
      <c r="BH380" s="48"/>
      <c r="BI380" s="48"/>
      <c r="BJ380" s="48"/>
      <c r="BK380" s="48"/>
      <c r="BL380" s="48"/>
      <c r="BM380" s="48"/>
      <c r="BN380" s="48"/>
      <c r="BO380" s="48"/>
      <c r="BP380" s="48"/>
      <c r="BQ380" s="48"/>
    </row>
    <row r="381" ht="23.25" customHeight="1">
      <c r="A381" s="47"/>
      <c r="B381" s="47"/>
      <c r="C381" s="48"/>
      <c r="D381" s="48"/>
      <c r="E381" s="48"/>
      <c r="F381" s="48"/>
      <c r="G381" s="47"/>
      <c r="H381" s="47"/>
      <c r="I381" s="47"/>
      <c r="J381" s="47"/>
      <c r="K381" s="47"/>
      <c r="L381" s="47"/>
      <c r="M381" s="47"/>
      <c r="N381" s="47"/>
      <c r="O381" s="47"/>
      <c r="P381" s="47"/>
      <c r="Q381" s="47"/>
      <c r="R381" s="47"/>
      <c r="S381" s="50"/>
      <c r="T381" s="51"/>
      <c r="U381" s="51"/>
      <c r="V381" s="51"/>
      <c r="W381" s="51"/>
      <c r="X381" s="51"/>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52"/>
      <c r="BH381" s="48"/>
      <c r="BI381" s="48"/>
      <c r="BJ381" s="48"/>
      <c r="BK381" s="48"/>
      <c r="BL381" s="48"/>
      <c r="BM381" s="48"/>
      <c r="BN381" s="48"/>
      <c r="BO381" s="48"/>
      <c r="BP381" s="48"/>
      <c r="BQ381" s="48"/>
    </row>
    <row r="382" ht="23.25" customHeight="1">
      <c r="A382" s="47"/>
      <c r="B382" s="47"/>
      <c r="C382" s="48"/>
      <c r="D382" s="48"/>
      <c r="E382" s="48"/>
      <c r="F382" s="48"/>
      <c r="G382" s="47"/>
      <c r="H382" s="47"/>
      <c r="I382" s="47"/>
      <c r="J382" s="47"/>
      <c r="K382" s="47"/>
      <c r="L382" s="47"/>
      <c r="M382" s="47"/>
      <c r="N382" s="47"/>
      <c r="O382" s="47"/>
      <c r="P382" s="47"/>
      <c r="Q382" s="47"/>
      <c r="R382" s="47"/>
      <c r="S382" s="50"/>
      <c r="T382" s="51"/>
      <c r="U382" s="51"/>
      <c r="V382" s="51"/>
      <c r="W382" s="51"/>
      <c r="X382" s="51"/>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52"/>
      <c r="BH382" s="48"/>
      <c r="BI382" s="48"/>
      <c r="BJ382" s="48"/>
      <c r="BK382" s="48"/>
      <c r="BL382" s="48"/>
      <c r="BM382" s="48"/>
      <c r="BN382" s="48"/>
      <c r="BO382" s="48"/>
      <c r="BP382" s="48"/>
      <c r="BQ382" s="48"/>
    </row>
    <row r="383" ht="23.25" customHeight="1">
      <c r="A383" s="47"/>
      <c r="B383" s="47"/>
      <c r="C383" s="48"/>
      <c r="D383" s="48"/>
      <c r="E383" s="48"/>
      <c r="F383" s="48"/>
      <c r="G383" s="47"/>
      <c r="H383" s="47"/>
      <c r="I383" s="47"/>
      <c r="J383" s="47"/>
      <c r="K383" s="47"/>
      <c r="L383" s="47"/>
      <c r="M383" s="47"/>
      <c r="N383" s="47"/>
      <c r="O383" s="47"/>
      <c r="P383" s="47"/>
      <c r="Q383" s="47"/>
      <c r="R383" s="47"/>
      <c r="S383" s="50"/>
      <c r="T383" s="51"/>
      <c r="U383" s="51"/>
      <c r="V383" s="51"/>
      <c r="W383" s="51"/>
      <c r="X383" s="51"/>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52"/>
      <c r="BH383" s="48"/>
      <c r="BI383" s="48"/>
      <c r="BJ383" s="48"/>
      <c r="BK383" s="48"/>
      <c r="BL383" s="48"/>
      <c r="BM383" s="48"/>
      <c r="BN383" s="48"/>
      <c r="BO383" s="48"/>
      <c r="BP383" s="48"/>
      <c r="BQ383" s="48"/>
    </row>
    <row r="384" ht="23.25" customHeight="1">
      <c r="A384" s="47"/>
      <c r="B384" s="47"/>
      <c r="C384" s="48"/>
      <c r="D384" s="48"/>
      <c r="E384" s="48"/>
      <c r="F384" s="48"/>
      <c r="G384" s="47"/>
      <c r="H384" s="47"/>
      <c r="I384" s="47"/>
      <c r="J384" s="47"/>
      <c r="K384" s="47"/>
      <c r="L384" s="47"/>
      <c r="M384" s="47"/>
      <c r="N384" s="47"/>
      <c r="O384" s="47"/>
      <c r="P384" s="47"/>
      <c r="Q384" s="47"/>
      <c r="R384" s="47"/>
      <c r="S384" s="50"/>
      <c r="T384" s="51"/>
      <c r="U384" s="51"/>
      <c r="V384" s="51"/>
      <c r="W384" s="51"/>
      <c r="X384" s="51"/>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52"/>
      <c r="BH384" s="48"/>
      <c r="BI384" s="48"/>
      <c r="BJ384" s="48"/>
      <c r="BK384" s="48"/>
      <c r="BL384" s="48"/>
      <c r="BM384" s="48"/>
      <c r="BN384" s="48"/>
      <c r="BO384" s="48"/>
      <c r="BP384" s="48"/>
      <c r="BQ384" s="48"/>
    </row>
    <row r="385" ht="23.25" customHeight="1">
      <c r="A385" s="47"/>
      <c r="B385" s="47"/>
      <c r="C385" s="48"/>
      <c r="D385" s="48"/>
      <c r="E385" s="48"/>
      <c r="F385" s="48"/>
      <c r="G385" s="47"/>
      <c r="H385" s="47"/>
      <c r="I385" s="47"/>
      <c r="J385" s="47"/>
      <c r="K385" s="47"/>
      <c r="L385" s="47"/>
      <c r="M385" s="47"/>
      <c r="N385" s="47"/>
      <c r="O385" s="47"/>
      <c r="P385" s="47"/>
      <c r="Q385" s="47"/>
      <c r="R385" s="47"/>
      <c r="S385" s="50"/>
      <c r="T385" s="51"/>
      <c r="U385" s="51"/>
      <c r="V385" s="51"/>
      <c r="W385" s="51"/>
      <c r="X385" s="51"/>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52"/>
      <c r="BH385" s="48"/>
      <c r="BI385" s="48"/>
      <c r="BJ385" s="48"/>
      <c r="BK385" s="48"/>
      <c r="BL385" s="48"/>
      <c r="BM385" s="48"/>
      <c r="BN385" s="48"/>
      <c r="BO385" s="48"/>
      <c r="BP385" s="48"/>
      <c r="BQ385" s="48"/>
    </row>
    <row r="386" ht="23.25" customHeight="1">
      <c r="A386" s="47"/>
      <c r="B386" s="47"/>
      <c r="C386" s="48"/>
      <c r="D386" s="48"/>
      <c r="E386" s="48"/>
      <c r="F386" s="48"/>
      <c r="G386" s="47"/>
      <c r="H386" s="47"/>
      <c r="I386" s="47"/>
      <c r="J386" s="47"/>
      <c r="K386" s="47"/>
      <c r="L386" s="47"/>
      <c r="M386" s="47"/>
      <c r="N386" s="47"/>
      <c r="O386" s="47"/>
      <c r="P386" s="47"/>
      <c r="Q386" s="47"/>
      <c r="R386" s="47"/>
      <c r="S386" s="50"/>
      <c r="T386" s="51"/>
      <c r="U386" s="51"/>
      <c r="V386" s="51"/>
      <c r="W386" s="51"/>
      <c r="X386" s="51"/>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52"/>
      <c r="BH386" s="48"/>
      <c r="BI386" s="48"/>
      <c r="BJ386" s="48"/>
      <c r="BK386" s="48"/>
      <c r="BL386" s="48"/>
      <c r="BM386" s="48"/>
      <c r="BN386" s="48"/>
      <c r="BO386" s="48"/>
      <c r="BP386" s="48"/>
      <c r="BQ386" s="48"/>
    </row>
    <row r="387" ht="23.25" customHeight="1">
      <c r="A387" s="47"/>
      <c r="B387" s="47"/>
      <c r="C387" s="48"/>
      <c r="D387" s="48"/>
      <c r="E387" s="48"/>
      <c r="F387" s="48"/>
      <c r="G387" s="47"/>
      <c r="H387" s="47"/>
      <c r="I387" s="47"/>
      <c r="J387" s="47"/>
      <c r="K387" s="47"/>
      <c r="L387" s="47"/>
      <c r="M387" s="47"/>
      <c r="N387" s="47"/>
      <c r="O387" s="47"/>
      <c r="P387" s="47"/>
      <c r="Q387" s="47"/>
      <c r="R387" s="47"/>
      <c r="S387" s="50"/>
      <c r="T387" s="51"/>
      <c r="U387" s="51"/>
      <c r="V387" s="51"/>
      <c r="W387" s="51"/>
      <c r="X387" s="51"/>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52"/>
      <c r="BH387" s="48"/>
      <c r="BI387" s="48"/>
      <c r="BJ387" s="48"/>
      <c r="BK387" s="48"/>
      <c r="BL387" s="48"/>
      <c r="BM387" s="48"/>
      <c r="BN387" s="48"/>
      <c r="BO387" s="48"/>
      <c r="BP387" s="48"/>
      <c r="BQ387" s="48"/>
    </row>
    <row r="388" ht="23.25" customHeight="1">
      <c r="A388" s="47"/>
      <c r="B388" s="47"/>
      <c r="C388" s="48"/>
      <c r="D388" s="48"/>
      <c r="E388" s="48"/>
      <c r="F388" s="48"/>
      <c r="G388" s="47"/>
      <c r="H388" s="47"/>
      <c r="I388" s="47"/>
      <c r="J388" s="47"/>
      <c r="K388" s="47"/>
      <c r="L388" s="47"/>
      <c r="M388" s="47"/>
      <c r="N388" s="47"/>
      <c r="O388" s="47"/>
      <c r="P388" s="47"/>
      <c r="Q388" s="47"/>
      <c r="R388" s="47"/>
      <c r="S388" s="50"/>
      <c r="T388" s="51"/>
      <c r="U388" s="51"/>
      <c r="V388" s="51"/>
      <c r="W388" s="51"/>
      <c r="X388" s="51"/>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52"/>
      <c r="BH388" s="48"/>
      <c r="BI388" s="48"/>
      <c r="BJ388" s="48"/>
      <c r="BK388" s="48"/>
      <c r="BL388" s="48"/>
      <c r="BM388" s="48"/>
      <c r="BN388" s="48"/>
      <c r="BO388" s="48"/>
      <c r="BP388" s="48"/>
      <c r="BQ388" s="48"/>
    </row>
    <row r="389" ht="23.25" customHeight="1">
      <c r="A389" s="47"/>
      <c r="B389" s="47"/>
      <c r="C389" s="48"/>
      <c r="D389" s="48"/>
      <c r="E389" s="48"/>
      <c r="F389" s="48"/>
      <c r="G389" s="47"/>
      <c r="H389" s="47"/>
      <c r="I389" s="47"/>
      <c r="J389" s="47"/>
      <c r="K389" s="47"/>
      <c r="L389" s="47"/>
      <c r="M389" s="47"/>
      <c r="N389" s="47"/>
      <c r="O389" s="47"/>
      <c r="P389" s="47"/>
      <c r="Q389" s="47"/>
      <c r="R389" s="47"/>
      <c r="S389" s="50"/>
      <c r="T389" s="51"/>
      <c r="U389" s="51"/>
      <c r="V389" s="51"/>
      <c r="W389" s="51"/>
      <c r="X389" s="51"/>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52"/>
      <c r="BH389" s="48"/>
      <c r="BI389" s="48"/>
      <c r="BJ389" s="48"/>
      <c r="BK389" s="48"/>
      <c r="BL389" s="48"/>
      <c r="BM389" s="48"/>
      <c r="BN389" s="48"/>
      <c r="BO389" s="48"/>
      <c r="BP389" s="48"/>
      <c r="BQ389" s="48"/>
    </row>
    <row r="390" ht="23.25" customHeight="1">
      <c r="A390" s="47"/>
      <c r="B390" s="47"/>
      <c r="C390" s="48"/>
      <c r="D390" s="48"/>
      <c r="E390" s="48"/>
      <c r="F390" s="48"/>
      <c r="G390" s="47"/>
      <c r="H390" s="47"/>
      <c r="I390" s="47"/>
      <c r="J390" s="47"/>
      <c r="K390" s="47"/>
      <c r="L390" s="47"/>
      <c r="M390" s="47"/>
      <c r="N390" s="47"/>
      <c r="O390" s="47"/>
      <c r="P390" s="47"/>
      <c r="Q390" s="47"/>
      <c r="R390" s="47"/>
      <c r="S390" s="50"/>
      <c r="T390" s="51"/>
      <c r="U390" s="51"/>
      <c r="V390" s="51"/>
      <c r="W390" s="51"/>
      <c r="X390" s="51"/>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52"/>
      <c r="BH390" s="48"/>
      <c r="BI390" s="48"/>
      <c r="BJ390" s="48"/>
      <c r="BK390" s="48"/>
      <c r="BL390" s="48"/>
      <c r="BM390" s="48"/>
      <c r="BN390" s="48"/>
      <c r="BO390" s="48"/>
      <c r="BP390" s="48"/>
      <c r="BQ390" s="48"/>
    </row>
    <row r="391" ht="23.25" customHeight="1">
      <c r="A391" s="47"/>
      <c r="B391" s="47"/>
      <c r="C391" s="48"/>
      <c r="D391" s="48"/>
      <c r="E391" s="48"/>
      <c r="F391" s="48"/>
      <c r="G391" s="47"/>
      <c r="H391" s="47"/>
      <c r="I391" s="47"/>
      <c r="J391" s="47"/>
      <c r="K391" s="47"/>
      <c r="L391" s="47"/>
      <c r="M391" s="47"/>
      <c r="N391" s="47"/>
      <c r="O391" s="47"/>
      <c r="P391" s="47"/>
      <c r="Q391" s="47"/>
      <c r="R391" s="47"/>
      <c r="S391" s="50"/>
      <c r="T391" s="51"/>
      <c r="U391" s="51"/>
      <c r="V391" s="51"/>
      <c r="W391" s="51"/>
      <c r="X391" s="51"/>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52"/>
      <c r="BH391" s="48"/>
      <c r="BI391" s="48"/>
      <c r="BJ391" s="48"/>
      <c r="BK391" s="48"/>
      <c r="BL391" s="48"/>
      <c r="BM391" s="48"/>
      <c r="BN391" s="48"/>
      <c r="BO391" s="48"/>
      <c r="BP391" s="48"/>
      <c r="BQ391" s="48"/>
    </row>
    <row r="392" ht="23.25" customHeight="1">
      <c r="A392" s="47"/>
      <c r="B392" s="47"/>
      <c r="C392" s="48"/>
      <c r="D392" s="48"/>
      <c r="E392" s="48"/>
      <c r="F392" s="48"/>
      <c r="G392" s="47"/>
      <c r="H392" s="47"/>
      <c r="I392" s="47"/>
      <c r="J392" s="47"/>
      <c r="K392" s="47"/>
      <c r="L392" s="47"/>
      <c r="M392" s="47"/>
      <c r="N392" s="47"/>
      <c r="O392" s="47"/>
      <c r="P392" s="47"/>
      <c r="Q392" s="47"/>
      <c r="R392" s="47"/>
      <c r="S392" s="50"/>
      <c r="T392" s="51"/>
      <c r="U392" s="51"/>
      <c r="V392" s="51"/>
      <c r="W392" s="51"/>
      <c r="X392" s="51"/>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52"/>
      <c r="BH392" s="48"/>
      <c r="BI392" s="48"/>
      <c r="BJ392" s="48"/>
      <c r="BK392" s="48"/>
      <c r="BL392" s="48"/>
      <c r="BM392" s="48"/>
      <c r="BN392" s="48"/>
      <c r="BO392" s="48"/>
      <c r="BP392" s="48"/>
      <c r="BQ392" s="48"/>
    </row>
    <row r="393" ht="23.25" customHeight="1">
      <c r="A393" s="47"/>
      <c r="B393" s="47"/>
      <c r="C393" s="48"/>
      <c r="D393" s="48"/>
      <c r="E393" s="48"/>
      <c r="F393" s="48"/>
      <c r="G393" s="47"/>
      <c r="H393" s="47"/>
      <c r="I393" s="47"/>
      <c r="J393" s="47"/>
      <c r="K393" s="47"/>
      <c r="L393" s="47"/>
      <c r="M393" s="47"/>
      <c r="N393" s="47"/>
      <c r="O393" s="47"/>
      <c r="P393" s="47"/>
      <c r="Q393" s="47"/>
      <c r="R393" s="47"/>
      <c r="S393" s="50"/>
      <c r="T393" s="51"/>
      <c r="U393" s="51"/>
      <c r="V393" s="51"/>
      <c r="W393" s="51"/>
      <c r="X393" s="51"/>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52"/>
      <c r="BH393" s="48"/>
      <c r="BI393" s="48"/>
      <c r="BJ393" s="48"/>
      <c r="BK393" s="48"/>
      <c r="BL393" s="48"/>
      <c r="BM393" s="48"/>
      <c r="BN393" s="48"/>
      <c r="BO393" s="48"/>
      <c r="BP393" s="48"/>
      <c r="BQ393" s="48"/>
    </row>
    <row r="394" ht="23.25" customHeight="1">
      <c r="A394" s="47"/>
      <c r="B394" s="47"/>
      <c r="C394" s="48"/>
      <c r="D394" s="48"/>
      <c r="E394" s="48"/>
      <c r="F394" s="48"/>
      <c r="G394" s="47"/>
      <c r="H394" s="47"/>
      <c r="I394" s="47"/>
      <c r="J394" s="47"/>
      <c r="K394" s="47"/>
      <c r="L394" s="47"/>
      <c r="M394" s="47"/>
      <c r="N394" s="47"/>
      <c r="O394" s="47"/>
      <c r="P394" s="47"/>
      <c r="Q394" s="47"/>
      <c r="R394" s="47"/>
      <c r="S394" s="50"/>
      <c r="T394" s="51"/>
      <c r="U394" s="51"/>
      <c r="V394" s="51"/>
      <c r="W394" s="51"/>
      <c r="X394" s="51"/>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52"/>
      <c r="BH394" s="48"/>
      <c r="BI394" s="48"/>
      <c r="BJ394" s="48"/>
      <c r="BK394" s="48"/>
      <c r="BL394" s="48"/>
      <c r="BM394" s="48"/>
      <c r="BN394" s="48"/>
      <c r="BO394" s="48"/>
      <c r="BP394" s="48"/>
      <c r="BQ394" s="48"/>
    </row>
    <row r="395" ht="23.25" customHeight="1">
      <c r="A395" s="47"/>
      <c r="B395" s="47"/>
      <c r="C395" s="48"/>
      <c r="D395" s="48"/>
      <c r="E395" s="48"/>
      <c r="F395" s="48"/>
      <c r="G395" s="47"/>
      <c r="H395" s="47"/>
      <c r="I395" s="47"/>
      <c r="J395" s="47"/>
      <c r="K395" s="47"/>
      <c r="L395" s="47"/>
      <c r="M395" s="47"/>
      <c r="N395" s="47"/>
      <c r="O395" s="47"/>
      <c r="P395" s="47"/>
      <c r="Q395" s="47"/>
      <c r="R395" s="47"/>
      <c r="S395" s="50"/>
      <c r="T395" s="51"/>
      <c r="U395" s="51"/>
      <c r="V395" s="51"/>
      <c r="W395" s="51"/>
      <c r="X395" s="51"/>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52"/>
      <c r="BH395" s="48"/>
      <c r="BI395" s="48"/>
      <c r="BJ395" s="48"/>
      <c r="BK395" s="48"/>
      <c r="BL395" s="48"/>
      <c r="BM395" s="48"/>
      <c r="BN395" s="48"/>
      <c r="BO395" s="48"/>
      <c r="BP395" s="48"/>
      <c r="BQ395" s="48"/>
    </row>
    <row r="396" ht="23.25" customHeight="1">
      <c r="A396" s="47"/>
      <c r="B396" s="47"/>
      <c r="C396" s="48"/>
      <c r="D396" s="48"/>
      <c r="E396" s="48"/>
      <c r="F396" s="48"/>
      <c r="G396" s="47"/>
      <c r="H396" s="47"/>
      <c r="I396" s="47"/>
      <c r="J396" s="47"/>
      <c r="K396" s="47"/>
      <c r="L396" s="47"/>
      <c r="M396" s="47"/>
      <c r="N396" s="47"/>
      <c r="O396" s="47"/>
      <c r="P396" s="47"/>
      <c r="Q396" s="47"/>
      <c r="R396" s="47"/>
      <c r="S396" s="50"/>
      <c r="T396" s="51"/>
      <c r="U396" s="51"/>
      <c r="V396" s="51"/>
      <c r="W396" s="51"/>
      <c r="X396" s="51"/>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52"/>
      <c r="BH396" s="48"/>
      <c r="BI396" s="48"/>
      <c r="BJ396" s="48"/>
      <c r="BK396" s="48"/>
      <c r="BL396" s="48"/>
      <c r="BM396" s="48"/>
      <c r="BN396" s="48"/>
      <c r="BO396" s="48"/>
      <c r="BP396" s="48"/>
      <c r="BQ396" s="48"/>
    </row>
    <row r="397" ht="23.25" customHeight="1">
      <c r="A397" s="47"/>
      <c r="B397" s="47"/>
      <c r="C397" s="48"/>
      <c r="D397" s="48"/>
      <c r="E397" s="48"/>
      <c r="F397" s="48"/>
      <c r="G397" s="47"/>
      <c r="H397" s="47"/>
      <c r="I397" s="47"/>
      <c r="J397" s="47"/>
      <c r="K397" s="47"/>
      <c r="L397" s="47"/>
      <c r="M397" s="47"/>
      <c r="N397" s="47"/>
      <c r="O397" s="47"/>
      <c r="P397" s="47"/>
      <c r="Q397" s="47"/>
      <c r="R397" s="47"/>
      <c r="S397" s="50"/>
      <c r="T397" s="51"/>
      <c r="U397" s="51"/>
      <c r="V397" s="51"/>
      <c r="W397" s="51"/>
      <c r="X397" s="51"/>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52"/>
      <c r="BH397" s="48"/>
      <c r="BI397" s="48"/>
      <c r="BJ397" s="48"/>
      <c r="BK397" s="48"/>
      <c r="BL397" s="48"/>
      <c r="BM397" s="48"/>
      <c r="BN397" s="48"/>
      <c r="BO397" s="48"/>
      <c r="BP397" s="48"/>
      <c r="BQ397" s="48"/>
    </row>
    <row r="398" ht="23.25" customHeight="1">
      <c r="A398" s="47"/>
      <c r="B398" s="47"/>
      <c r="C398" s="48"/>
      <c r="D398" s="48"/>
      <c r="E398" s="48"/>
      <c r="F398" s="48"/>
      <c r="G398" s="47"/>
      <c r="H398" s="47"/>
      <c r="I398" s="47"/>
      <c r="J398" s="47"/>
      <c r="K398" s="47"/>
      <c r="L398" s="47"/>
      <c r="M398" s="47"/>
      <c r="N398" s="47"/>
      <c r="O398" s="47"/>
      <c r="P398" s="47"/>
      <c r="Q398" s="47"/>
      <c r="R398" s="47"/>
      <c r="S398" s="50"/>
      <c r="T398" s="51"/>
      <c r="U398" s="51"/>
      <c r="V398" s="51"/>
      <c r="W398" s="51"/>
      <c r="X398" s="51"/>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52"/>
      <c r="BH398" s="48"/>
      <c r="BI398" s="48"/>
      <c r="BJ398" s="48"/>
      <c r="BK398" s="48"/>
      <c r="BL398" s="48"/>
      <c r="BM398" s="48"/>
      <c r="BN398" s="48"/>
      <c r="BO398" s="48"/>
      <c r="BP398" s="48"/>
      <c r="BQ398" s="48"/>
    </row>
    <row r="399" ht="23.25" customHeight="1">
      <c r="A399" s="47"/>
      <c r="B399" s="47"/>
      <c r="C399" s="48"/>
      <c r="D399" s="48"/>
      <c r="E399" s="48"/>
      <c r="F399" s="48"/>
      <c r="G399" s="47"/>
      <c r="H399" s="47"/>
      <c r="I399" s="47"/>
      <c r="J399" s="47"/>
      <c r="K399" s="47"/>
      <c r="L399" s="47"/>
      <c r="M399" s="47"/>
      <c r="N399" s="47"/>
      <c r="O399" s="47"/>
      <c r="P399" s="47"/>
      <c r="Q399" s="47"/>
      <c r="R399" s="47"/>
      <c r="S399" s="50"/>
      <c r="T399" s="51"/>
      <c r="U399" s="51"/>
      <c r="V399" s="51"/>
      <c r="W399" s="51"/>
      <c r="X399" s="51"/>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52"/>
      <c r="BH399" s="48"/>
      <c r="BI399" s="48"/>
      <c r="BJ399" s="48"/>
      <c r="BK399" s="48"/>
      <c r="BL399" s="48"/>
      <c r="BM399" s="48"/>
      <c r="BN399" s="48"/>
      <c r="BO399" s="48"/>
      <c r="BP399" s="48"/>
      <c r="BQ399" s="48"/>
    </row>
    <row r="400" ht="23.25" customHeight="1">
      <c r="A400" s="47"/>
      <c r="B400" s="47"/>
      <c r="C400" s="48"/>
      <c r="D400" s="48"/>
      <c r="E400" s="48"/>
      <c r="F400" s="48"/>
      <c r="G400" s="47"/>
      <c r="H400" s="47"/>
      <c r="I400" s="47"/>
      <c r="J400" s="47"/>
      <c r="K400" s="47"/>
      <c r="L400" s="47"/>
      <c r="M400" s="47"/>
      <c r="N400" s="47"/>
      <c r="O400" s="47"/>
      <c r="P400" s="47"/>
      <c r="Q400" s="47"/>
      <c r="R400" s="47"/>
      <c r="S400" s="50"/>
      <c r="T400" s="51"/>
      <c r="U400" s="51"/>
      <c r="V400" s="51"/>
      <c r="W400" s="51"/>
      <c r="X400" s="51"/>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52"/>
      <c r="BH400" s="48"/>
      <c r="BI400" s="48"/>
      <c r="BJ400" s="48"/>
      <c r="BK400" s="48"/>
      <c r="BL400" s="48"/>
      <c r="BM400" s="48"/>
      <c r="BN400" s="48"/>
      <c r="BO400" s="48"/>
      <c r="BP400" s="48"/>
      <c r="BQ400" s="48"/>
    </row>
    <row r="401" ht="23.25" customHeight="1">
      <c r="A401" s="47"/>
      <c r="B401" s="47"/>
      <c r="C401" s="48"/>
      <c r="D401" s="48"/>
      <c r="E401" s="48"/>
      <c r="F401" s="48"/>
      <c r="G401" s="47"/>
      <c r="H401" s="47"/>
      <c r="I401" s="47"/>
      <c r="J401" s="47"/>
      <c r="K401" s="47"/>
      <c r="L401" s="47"/>
      <c r="M401" s="47"/>
      <c r="N401" s="47"/>
      <c r="O401" s="47"/>
      <c r="P401" s="47"/>
      <c r="Q401" s="47"/>
      <c r="R401" s="47"/>
      <c r="S401" s="50"/>
      <c r="T401" s="51"/>
      <c r="U401" s="51"/>
      <c r="V401" s="51"/>
      <c r="W401" s="51"/>
      <c r="X401" s="51"/>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52"/>
      <c r="BH401" s="48"/>
      <c r="BI401" s="48"/>
      <c r="BJ401" s="48"/>
      <c r="BK401" s="48"/>
      <c r="BL401" s="48"/>
      <c r="BM401" s="48"/>
      <c r="BN401" s="48"/>
      <c r="BO401" s="48"/>
      <c r="BP401" s="48"/>
      <c r="BQ401" s="48"/>
    </row>
    <row r="402" ht="23.25" customHeight="1">
      <c r="A402" s="47"/>
      <c r="B402" s="47"/>
      <c r="C402" s="48"/>
      <c r="D402" s="48"/>
      <c r="E402" s="48"/>
      <c r="F402" s="48"/>
      <c r="G402" s="47"/>
      <c r="H402" s="47"/>
      <c r="I402" s="47"/>
      <c r="J402" s="47"/>
      <c r="K402" s="47"/>
      <c r="L402" s="47"/>
      <c r="M402" s="47"/>
      <c r="N402" s="47"/>
      <c r="O402" s="47"/>
      <c r="P402" s="47"/>
      <c r="Q402" s="47"/>
      <c r="R402" s="47"/>
      <c r="S402" s="50"/>
      <c r="T402" s="51"/>
      <c r="U402" s="51"/>
      <c r="V402" s="51"/>
      <c r="W402" s="51"/>
      <c r="X402" s="51"/>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52"/>
      <c r="BH402" s="48"/>
      <c r="BI402" s="48"/>
      <c r="BJ402" s="48"/>
      <c r="BK402" s="48"/>
      <c r="BL402" s="48"/>
      <c r="BM402" s="48"/>
      <c r="BN402" s="48"/>
      <c r="BO402" s="48"/>
      <c r="BP402" s="48"/>
      <c r="BQ402" s="48"/>
    </row>
    <row r="403" ht="23.25" customHeight="1">
      <c r="A403" s="47"/>
      <c r="B403" s="47"/>
      <c r="C403" s="48"/>
      <c r="D403" s="48"/>
      <c r="E403" s="48"/>
      <c r="F403" s="48"/>
      <c r="G403" s="47"/>
      <c r="H403" s="47"/>
      <c r="I403" s="47"/>
      <c r="J403" s="47"/>
      <c r="K403" s="47"/>
      <c r="L403" s="47"/>
      <c r="M403" s="47"/>
      <c r="N403" s="47"/>
      <c r="O403" s="47"/>
      <c r="P403" s="47"/>
      <c r="Q403" s="47"/>
      <c r="R403" s="47"/>
      <c r="S403" s="50"/>
      <c r="T403" s="51"/>
      <c r="U403" s="51"/>
      <c r="V403" s="51"/>
      <c r="W403" s="51"/>
      <c r="X403" s="51"/>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52"/>
      <c r="BH403" s="48"/>
      <c r="BI403" s="48"/>
      <c r="BJ403" s="48"/>
      <c r="BK403" s="48"/>
      <c r="BL403" s="48"/>
      <c r="BM403" s="48"/>
      <c r="BN403" s="48"/>
      <c r="BO403" s="48"/>
      <c r="BP403" s="48"/>
      <c r="BQ403" s="48"/>
    </row>
    <row r="404" ht="23.25" customHeight="1">
      <c r="A404" s="47"/>
      <c r="B404" s="47"/>
      <c r="C404" s="48"/>
      <c r="D404" s="48"/>
      <c r="E404" s="48"/>
      <c r="F404" s="48"/>
      <c r="G404" s="47"/>
      <c r="H404" s="47"/>
      <c r="I404" s="47"/>
      <c r="J404" s="47"/>
      <c r="K404" s="47"/>
      <c r="L404" s="47"/>
      <c r="M404" s="47"/>
      <c r="N404" s="47"/>
      <c r="O404" s="47"/>
      <c r="P404" s="47"/>
      <c r="Q404" s="47"/>
      <c r="R404" s="47"/>
      <c r="S404" s="50"/>
      <c r="T404" s="51"/>
      <c r="U404" s="51"/>
      <c r="V404" s="51"/>
      <c r="W404" s="51"/>
      <c r="X404" s="51"/>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52"/>
      <c r="BH404" s="48"/>
      <c r="BI404" s="48"/>
      <c r="BJ404" s="48"/>
      <c r="BK404" s="48"/>
      <c r="BL404" s="48"/>
      <c r="BM404" s="48"/>
      <c r="BN404" s="48"/>
      <c r="BO404" s="48"/>
      <c r="BP404" s="48"/>
      <c r="BQ404" s="48"/>
    </row>
    <row r="405" ht="23.25" customHeight="1">
      <c r="A405" s="47"/>
      <c r="B405" s="47"/>
      <c r="C405" s="48"/>
      <c r="D405" s="48"/>
      <c r="E405" s="48"/>
      <c r="F405" s="48"/>
      <c r="G405" s="47"/>
      <c r="H405" s="47"/>
      <c r="I405" s="47"/>
      <c r="J405" s="47"/>
      <c r="K405" s="47"/>
      <c r="L405" s="47"/>
      <c r="M405" s="47"/>
      <c r="N405" s="47"/>
      <c r="O405" s="47"/>
      <c r="P405" s="47"/>
      <c r="Q405" s="47"/>
      <c r="R405" s="47"/>
      <c r="S405" s="50"/>
      <c r="T405" s="51"/>
      <c r="U405" s="51"/>
      <c r="V405" s="51"/>
      <c r="W405" s="51"/>
      <c r="X405" s="51"/>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52"/>
      <c r="BH405" s="48"/>
      <c r="BI405" s="48"/>
      <c r="BJ405" s="48"/>
      <c r="BK405" s="48"/>
      <c r="BL405" s="48"/>
      <c r="BM405" s="48"/>
      <c r="BN405" s="48"/>
      <c r="BO405" s="48"/>
      <c r="BP405" s="48"/>
      <c r="BQ405" s="48"/>
    </row>
    <row r="406" ht="23.25" customHeight="1">
      <c r="A406" s="47"/>
      <c r="B406" s="47"/>
      <c r="C406" s="48"/>
      <c r="D406" s="48"/>
      <c r="E406" s="48"/>
      <c r="F406" s="48"/>
      <c r="G406" s="47"/>
      <c r="H406" s="47"/>
      <c r="I406" s="47"/>
      <c r="J406" s="47"/>
      <c r="K406" s="47"/>
      <c r="L406" s="47"/>
      <c r="M406" s="47"/>
      <c r="N406" s="47"/>
      <c r="O406" s="47"/>
      <c r="P406" s="47"/>
      <c r="Q406" s="47"/>
      <c r="R406" s="47"/>
      <c r="S406" s="50"/>
      <c r="T406" s="51"/>
      <c r="U406" s="51"/>
      <c r="V406" s="51"/>
      <c r="W406" s="51"/>
      <c r="X406" s="51"/>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52"/>
      <c r="BH406" s="48"/>
      <c r="BI406" s="48"/>
      <c r="BJ406" s="48"/>
      <c r="BK406" s="48"/>
      <c r="BL406" s="48"/>
      <c r="BM406" s="48"/>
      <c r="BN406" s="48"/>
      <c r="BO406" s="48"/>
      <c r="BP406" s="48"/>
      <c r="BQ406" s="48"/>
    </row>
    <row r="407" ht="23.25" customHeight="1">
      <c r="A407" s="47"/>
      <c r="B407" s="47"/>
      <c r="C407" s="48"/>
      <c r="D407" s="48"/>
      <c r="E407" s="48"/>
      <c r="F407" s="48"/>
      <c r="G407" s="47"/>
      <c r="H407" s="47"/>
      <c r="I407" s="47"/>
      <c r="J407" s="47"/>
      <c r="K407" s="47"/>
      <c r="L407" s="47"/>
      <c r="M407" s="47"/>
      <c r="N407" s="47"/>
      <c r="O407" s="47"/>
      <c r="P407" s="47"/>
      <c r="Q407" s="47"/>
      <c r="R407" s="47"/>
      <c r="S407" s="50"/>
      <c r="T407" s="51"/>
      <c r="U407" s="51"/>
      <c r="V407" s="51"/>
      <c r="W407" s="51"/>
      <c r="X407" s="51"/>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52"/>
      <c r="BH407" s="48"/>
      <c r="BI407" s="48"/>
      <c r="BJ407" s="48"/>
      <c r="BK407" s="48"/>
      <c r="BL407" s="48"/>
      <c r="BM407" s="48"/>
      <c r="BN407" s="48"/>
      <c r="BO407" s="48"/>
      <c r="BP407" s="48"/>
      <c r="BQ407" s="48"/>
    </row>
    <row r="408" ht="23.25" customHeight="1">
      <c r="A408" s="47"/>
      <c r="B408" s="47"/>
      <c r="C408" s="48"/>
      <c r="D408" s="48"/>
      <c r="E408" s="48"/>
      <c r="F408" s="48"/>
      <c r="G408" s="47"/>
      <c r="H408" s="47"/>
      <c r="I408" s="47"/>
      <c r="J408" s="47"/>
      <c r="K408" s="47"/>
      <c r="L408" s="47"/>
      <c r="M408" s="47"/>
      <c r="N408" s="47"/>
      <c r="O408" s="47"/>
      <c r="P408" s="47"/>
      <c r="Q408" s="47"/>
      <c r="R408" s="47"/>
      <c r="S408" s="50"/>
      <c r="T408" s="51"/>
      <c r="U408" s="51"/>
      <c r="V408" s="51"/>
      <c r="W408" s="51"/>
      <c r="X408" s="51"/>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52"/>
      <c r="BH408" s="48"/>
      <c r="BI408" s="48"/>
      <c r="BJ408" s="48"/>
      <c r="BK408" s="48"/>
      <c r="BL408" s="48"/>
      <c r="BM408" s="48"/>
      <c r="BN408" s="48"/>
      <c r="BO408" s="48"/>
      <c r="BP408" s="48"/>
      <c r="BQ408" s="48"/>
    </row>
    <row r="409" ht="23.25" customHeight="1">
      <c r="A409" s="47"/>
      <c r="B409" s="47"/>
      <c r="C409" s="48"/>
      <c r="D409" s="48"/>
      <c r="E409" s="48"/>
      <c r="F409" s="48"/>
      <c r="G409" s="47"/>
      <c r="H409" s="47"/>
      <c r="I409" s="47"/>
      <c r="J409" s="47"/>
      <c r="K409" s="47"/>
      <c r="L409" s="47"/>
      <c r="M409" s="47"/>
      <c r="N409" s="47"/>
      <c r="O409" s="47"/>
      <c r="P409" s="47"/>
      <c r="Q409" s="47"/>
      <c r="R409" s="47"/>
      <c r="S409" s="50"/>
      <c r="T409" s="51"/>
      <c r="U409" s="51"/>
      <c r="V409" s="51"/>
      <c r="W409" s="51"/>
      <c r="X409" s="51"/>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52"/>
      <c r="BH409" s="48"/>
      <c r="BI409" s="48"/>
      <c r="BJ409" s="48"/>
      <c r="BK409" s="48"/>
      <c r="BL409" s="48"/>
      <c r="BM409" s="48"/>
      <c r="BN409" s="48"/>
      <c r="BO409" s="48"/>
      <c r="BP409" s="48"/>
      <c r="BQ409" s="48"/>
    </row>
    <row r="410" ht="23.25" customHeight="1">
      <c r="A410" s="47"/>
      <c r="B410" s="47"/>
      <c r="C410" s="48"/>
      <c r="D410" s="48"/>
      <c r="E410" s="48"/>
      <c r="F410" s="48"/>
      <c r="G410" s="47"/>
      <c r="H410" s="47"/>
      <c r="I410" s="47"/>
      <c r="J410" s="47"/>
      <c r="K410" s="47"/>
      <c r="L410" s="47"/>
      <c r="M410" s="47"/>
      <c r="N410" s="47"/>
      <c r="O410" s="47"/>
      <c r="P410" s="47"/>
      <c r="Q410" s="47"/>
      <c r="R410" s="47"/>
      <c r="S410" s="50"/>
      <c r="T410" s="51"/>
      <c r="U410" s="51"/>
      <c r="V410" s="51"/>
      <c r="W410" s="51"/>
      <c r="X410" s="51"/>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52"/>
      <c r="BH410" s="48"/>
      <c r="BI410" s="48"/>
      <c r="BJ410" s="48"/>
      <c r="BK410" s="48"/>
      <c r="BL410" s="48"/>
      <c r="BM410" s="48"/>
      <c r="BN410" s="48"/>
      <c r="BO410" s="48"/>
      <c r="BP410" s="48"/>
      <c r="BQ410" s="48"/>
    </row>
    <row r="411" ht="23.25" customHeight="1">
      <c r="A411" s="47"/>
      <c r="B411" s="47"/>
      <c r="C411" s="48"/>
      <c r="D411" s="48"/>
      <c r="E411" s="48"/>
      <c r="F411" s="48"/>
      <c r="G411" s="47"/>
      <c r="H411" s="47"/>
      <c r="I411" s="47"/>
      <c r="J411" s="47"/>
      <c r="K411" s="47"/>
      <c r="L411" s="47"/>
      <c r="M411" s="47"/>
      <c r="N411" s="47"/>
      <c r="O411" s="47"/>
      <c r="P411" s="47"/>
      <c r="Q411" s="47"/>
      <c r="R411" s="47"/>
      <c r="S411" s="50"/>
      <c r="T411" s="51"/>
      <c r="U411" s="51"/>
      <c r="V411" s="51"/>
      <c r="W411" s="51"/>
      <c r="X411" s="51"/>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52"/>
      <c r="BH411" s="48"/>
      <c r="BI411" s="48"/>
      <c r="BJ411" s="48"/>
      <c r="BK411" s="48"/>
      <c r="BL411" s="48"/>
      <c r="BM411" s="48"/>
      <c r="BN411" s="48"/>
      <c r="BO411" s="48"/>
      <c r="BP411" s="48"/>
      <c r="BQ411" s="48"/>
    </row>
    <row r="412" ht="23.25" customHeight="1">
      <c r="A412" s="47"/>
      <c r="B412" s="47"/>
      <c r="C412" s="48"/>
      <c r="D412" s="48"/>
      <c r="E412" s="48"/>
      <c r="F412" s="48"/>
      <c r="G412" s="47"/>
      <c r="H412" s="47"/>
      <c r="I412" s="47"/>
      <c r="J412" s="47"/>
      <c r="K412" s="47"/>
      <c r="L412" s="47"/>
      <c r="M412" s="47"/>
      <c r="N412" s="47"/>
      <c r="O412" s="47"/>
      <c r="P412" s="47"/>
      <c r="Q412" s="47"/>
      <c r="R412" s="47"/>
      <c r="S412" s="50"/>
      <c r="T412" s="51"/>
      <c r="U412" s="51"/>
      <c r="V412" s="51"/>
      <c r="W412" s="51"/>
      <c r="X412" s="51"/>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52"/>
      <c r="BH412" s="48"/>
      <c r="BI412" s="48"/>
      <c r="BJ412" s="48"/>
      <c r="BK412" s="48"/>
      <c r="BL412" s="48"/>
      <c r="BM412" s="48"/>
      <c r="BN412" s="48"/>
      <c r="BO412" s="48"/>
      <c r="BP412" s="48"/>
      <c r="BQ412" s="48"/>
    </row>
    <row r="413" ht="23.25" customHeight="1">
      <c r="A413" s="47"/>
      <c r="B413" s="47"/>
      <c r="C413" s="48"/>
      <c r="D413" s="48"/>
      <c r="E413" s="48"/>
      <c r="F413" s="48"/>
      <c r="G413" s="47"/>
      <c r="H413" s="47"/>
      <c r="I413" s="47"/>
      <c r="J413" s="47"/>
      <c r="K413" s="47"/>
      <c r="L413" s="47"/>
      <c r="M413" s="47"/>
      <c r="N413" s="47"/>
      <c r="O413" s="47"/>
      <c r="P413" s="47"/>
      <c r="Q413" s="47"/>
      <c r="R413" s="47"/>
      <c r="S413" s="50"/>
      <c r="T413" s="51"/>
      <c r="U413" s="51"/>
      <c r="V413" s="51"/>
      <c r="W413" s="51"/>
      <c r="X413" s="51"/>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52"/>
      <c r="BH413" s="48"/>
      <c r="BI413" s="48"/>
      <c r="BJ413" s="48"/>
      <c r="BK413" s="48"/>
      <c r="BL413" s="48"/>
      <c r="BM413" s="48"/>
      <c r="BN413" s="48"/>
      <c r="BO413" s="48"/>
      <c r="BP413" s="48"/>
      <c r="BQ413" s="48"/>
    </row>
    <row r="414" ht="23.25" customHeight="1">
      <c r="A414" s="47"/>
      <c r="B414" s="47"/>
      <c r="C414" s="48"/>
      <c r="D414" s="48"/>
      <c r="E414" s="48"/>
      <c r="F414" s="48"/>
      <c r="G414" s="47"/>
      <c r="H414" s="47"/>
      <c r="I414" s="47"/>
      <c r="J414" s="47"/>
      <c r="K414" s="47"/>
      <c r="L414" s="47"/>
      <c r="M414" s="47"/>
      <c r="N414" s="47"/>
      <c r="O414" s="47"/>
      <c r="P414" s="47"/>
      <c r="Q414" s="47"/>
      <c r="R414" s="47"/>
      <c r="S414" s="50"/>
      <c r="T414" s="51"/>
      <c r="U414" s="51"/>
      <c r="V414" s="51"/>
      <c r="W414" s="51"/>
      <c r="X414" s="51"/>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52"/>
      <c r="BH414" s="48"/>
      <c r="BI414" s="48"/>
      <c r="BJ414" s="48"/>
      <c r="BK414" s="48"/>
      <c r="BL414" s="48"/>
      <c r="BM414" s="48"/>
      <c r="BN414" s="48"/>
      <c r="BO414" s="48"/>
      <c r="BP414" s="48"/>
      <c r="BQ414" s="48"/>
    </row>
    <row r="415" ht="23.25" customHeight="1">
      <c r="A415" s="47"/>
      <c r="B415" s="47"/>
      <c r="C415" s="48"/>
      <c r="D415" s="48"/>
      <c r="E415" s="48"/>
      <c r="F415" s="48"/>
      <c r="G415" s="47"/>
      <c r="H415" s="47"/>
      <c r="I415" s="47"/>
      <c r="J415" s="47"/>
      <c r="K415" s="47"/>
      <c r="L415" s="47"/>
      <c r="M415" s="47"/>
      <c r="N415" s="47"/>
      <c r="O415" s="47"/>
      <c r="P415" s="47"/>
      <c r="Q415" s="47"/>
      <c r="R415" s="47"/>
      <c r="S415" s="50"/>
      <c r="T415" s="51"/>
      <c r="U415" s="51"/>
      <c r="V415" s="51"/>
      <c r="W415" s="51"/>
      <c r="X415" s="51"/>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52"/>
      <c r="BH415" s="48"/>
      <c r="BI415" s="48"/>
      <c r="BJ415" s="48"/>
      <c r="BK415" s="48"/>
      <c r="BL415" s="48"/>
      <c r="BM415" s="48"/>
      <c r="BN415" s="48"/>
      <c r="BO415" s="48"/>
      <c r="BP415" s="48"/>
      <c r="BQ415" s="48"/>
    </row>
    <row r="416" ht="23.25" customHeight="1">
      <c r="A416" s="47"/>
      <c r="B416" s="47"/>
      <c r="C416" s="48"/>
      <c r="D416" s="48"/>
      <c r="E416" s="48"/>
      <c r="F416" s="48"/>
      <c r="G416" s="47"/>
      <c r="H416" s="47"/>
      <c r="I416" s="47"/>
      <c r="J416" s="47"/>
      <c r="K416" s="47"/>
      <c r="L416" s="47"/>
      <c r="M416" s="47"/>
      <c r="N416" s="47"/>
      <c r="O416" s="47"/>
      <c r="P416" s="47"/>
      <c r="Q416" s="47"/>
      <c r="R416" s="47"/>
      <c r="S416" s="50"/>
      <c r="T416" s="51"/>
      <c r="U416" s="51"/>
      <c r="V416" s="51"/>
      <c r="W416" s="51"/>
      <c r="X416" s="51"/>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52"/>
      <c r="BH416" s="48"/>
      <c r="BI416" s="48"/>
      <c r="BJ416" s="48"/>
      <c r="BK416" s="48"/>
      <c r="BL416" s="48"/>
      <c r="BM416" s="48"/>
      <c r="BN416" s="48"/>
      <c r="BO416" s="48"/>
      <c r="BP416" s="48"/>
      <c r="BQ416" s="48"/>
    </row>
    <row r="417" ht="23.25" customHeight="1">
      <c r="A417" s="47"/>
      <c r="B417" s="47"/>
      <c r="C417" s="48"/>
      <c r="D417" s="48"/>
      <c r="E417" s="48"/>
      <c r="F417" s="48"/>
      <c r="G417" s="47"/>
      <c r="H417" s="47"/>
      <c r="I417" s="47"/>
      <c r="J417" s="47"/>
      <c r="K417" s="47"/>
      <c r="L417" s="47"/>
      <c r="M417" s="47"/>
      <c r="N417" s="47"/>
      <c r="O417" s="47"/>
      <c r="P417" s="47"/>
      <c r="Q417" s="47"/>
      <c r="R417" s="47"/>
      <c r="S417" s="50"/>
      <c r="T417" s="51"/>
      <c r="U417" s="51"/>
      <c r="V417" s="51"/>
      <c r="W417" s="51"/>
      <c r="X417" s="51"/>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52"/>
      <c r="BH417" s="48"/>
      <c r="BI417" s="48"/>
      <c r="BJ417" s="48"/>
      <c r="BK417" s="48"/>
      <c r="BL417" s="48"/>
      <c r="BM417" s="48"/>
      <c r="BN417" s="48"/>
      <c r="BO417" s="48"/>
      <c r="BP417" s="48"/>
      <c r="BQ417" s="48"/>
    </row>
    <row r="418" ht="23.25" customHeight="1">
      <c r="A418" s="47"/>
      <c r="B418" s="47"/>
      <c r="C418" s="48"/>
      <c r="D418" s="48"/>
      <c r="E418" s="48"/>
      <c r="F418" s="48"/>
      <c r="G418" s="47"/>
      <c r="H418" s="47"/>
      <c r="I418" s="47"/>
      <c r="J418" s="47"/>
      <c r="K418" s="47"/>
      <c r="L418" s="47"/>
      <c r="M418" s="47"/>
      <c r="N418" s="47"/>
      <c r="O418" s="47"/>
      <c r="P418" s="47"/>
      <c r="Q418" s="47"/>
      <c r="R418" s="47"/>
      <c r="S418" s="50"/>
      <c r="T418" s="51"/>
      <c r="U418" s="51"/>
      <c r="V418" s="51"/>
      <c r="W418" s="51"/>
      <c r="X418" s="51"/>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52"/>
      <c r="BH418" s="48"/>
      <c r="BI418" s="48"/>
      <c r="BJ418" s="48"/>
      <c r="BK418" s="48"/>
      <c r="BL418" s="48"/>
      <c r="BM418" s="48"/>
      <c r="BN418" s="48"/>
      <c r="BO418" s="48"/>
      <c r="BP418" s="48"/>
      <c r="BQ418" s="48"/>
    </row>
    <row r="419" ht="23.25" customHeight="1">
      <c r="A419" s="47"/>
      <c r="B419" s="47"/>
      <c r="C419" s="48"/>
      <c r="D419" s="48"/>
      <c r="E419" s="48"/>
      <c r="F419" s="48"/>
      <c r="G419" s="47"/>
      <c r="H419" s="47"/>
      <c r="I419" s="47"/>
      <c r="J419" s="47"/>
      <c r="K419" s="47"/>
      <c r="L419" s="47"/>
      <c r="M419" s="47"/>
      <c r="N419" s="47"/>
      <c r="O419" s="47"/>
      <c r="P419" s="47"/>
      <c r="Q419" s="47"/>
      <c r="R419" s="47"/>
      <c r="S419" s="50"/>
      <c r="T419" s="51"/>
      <c r="U419" s="51"/>
      <c r="V419" s="51"/>
      <c r="W419" s="51"/>
      <c r="X419" s="51"/>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52"/>
      <c r="BH419" s="48"/>
      <c r="BI419" s="48"/>
      <c r="BJ419" s="48"/>
      <c r="BK419" s="48"/>
      <c r="BL419" s="48"/>
      <c r="BM419" s="48"/>
      <c r="BN419" s="48"/>
      <c r="BO419" s="48"/>
      <c r="BP419" s="48"/>
      <c r="BQ419" s="48"/>
    </row>
    <row r="420" ht="23.25" customHeight="1">
      <c r="A420" s="47"/>
      <c r="B420" s="47"/>
      <c r="C420" s="48"/>
      <c r="D420" s="48"/>
      <c r="E420" s="48"/>
      <c r="F420" s="48"/>
      <c r="G420" s="47"/>
      <c r="H420" s="47"/>
      <c r="I420" s="47"/>
      <c r="J420" s="47"/>
      <c r="K420" s="47"/>
      <c r="L420" s="47"/>
      <c r="M420" s="47"/>
      <c r="N420" s="47"/>
      <c r="O420" s="47"/>
      <c r="P420" s="47"/>
      <c r="Q420" s="47"/>
      <c r="R420" s="47"/>
      <c r="S420" s="50"/>
      <c r="T420" s="51"/>
      <c r="U420" s="51"/>
      <c r="V420" s="51"/>
      <c r="W420" s="51"/>
      <c r="X420" s="51"/>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52"/>
      <c r="BH420" s="48"/>
      <c r="BI420" s="48"/>
      <c r="BJ420" s="48"/>
      <c r="BK420" s="48"/>
      <c r="BL420" s="48"/>
      <c r="BM420" s="48"/>
      <c r="BN420" s="48"/>
      <c r="BO420" s="48"/>
      <c r="BP420" s="48"/>
      <c r="BQ420" s="48"/>
    </row>
    <row r="421" ht="23.25" customHeight="1">
      <c r="A421" s="47"/>
      <c r="B421" s="47"/>
      <c r="C421" s="48"/>
      <c r="D421" s="48"/>
      <c r="E421" s="48"/>
      <c r="F421" s="48"/>
      <c r="G421" s="47"/>
      <c r="H421" s="47"/>
      <c r="I421" s="47"/>
      <c r="J421" s="47"/>
      <c r="K421" s="47"/>
      <c r="L421" s="47"/>
      <c r="M421" s="47"/>
      <c r="N421" s="47"/>
      <c r="O421" s="47"/>
      <c r="P421" s="47"/>
      <c r="Q421" s="47"/>
      <c r="R421" s="47"/>
      <c r="S421" s="50"/>
      <c r="T421" s="51"/>
      <c r="U421" s="51"/>
      <c r="V421" s="51"/>
      <c r="W421" s="51"/>
      <c r="X421" s="51"/>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52"/>
      <c r="BH421" s="48"/>
      <c r="BI421" s="48"/>
      <c r="BJ421" s="48"/>
      <c r="BK421" s="48"/>
      <c r="BL421" s="48"/>
      <c r="BM421" s="48"/>
      <c r="BN421" s="48"/>
      <c r="BO421" s="48"/>
      <c r="BP421" s="48"/>
      <c r="BQ421" s="48"/>
    </row>
    <row r="422" ht="23.25" customHeight="1">
      <c r="A422" s="47"/>
      <c r="B422" s="47"/>
      <c r="C422" s="48"/>
      <c r="D422" s="48"/>
      <c r="E422" s="48"/>
      <c r="F422" s="48"/>
      <c r="G422" s="47"/>
      <c r="H422" s="47"/>
      <c r="I422" s="47"/>
      <c r="J422" s="47"/>
      <c r="K422" s="47"/>
      <c r="L422" s="47"/>
      <c r="M422" s="47"/>
      <c r="N422" s="47"/>
      <c r="O422" s="47"/>
      <c r="P422" s="47"/>
      <c r="Q422" s="47"/>
      <c r="R422" s="47"/>
      <c r="S422" s="50"/>
      <c r="T422" s="51"/>
      <c r="U422" s="51"/>
      <c r="V422" s="51"/>
      <c r="W422" s="51"/>
      <c r="X422" s="51"/>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52"/>
      <c r="BH422" s="48"/>
      <c r="BI422" s="48"/>
      <c r="BJ422" s="48"/>
      <c r="BK422" s="48"/>
      <c r="BL422" s="48"/>
      <c r="BM422" s="48"/>
      <c r="BN422" s="48"/>
      <c r="BO422" s="48"/>
      <c r="BP422" s="48"/>
      <c r="BQ422" s="48"/>
    </row>
    <row r="423" ht="23.25" customHeight="1">
      <c r="A423" s="47"/>
      <c r="B423" s="47"/>
      <c r="C423" s="48"/>
      <c r="D423" s="48"/>
      <c r="E423" s="48"/>
      <c r="F423" s="48"/>
      <c r="G423" s="47"/>
      <c r="H423" s="47"/>
      <c r="I423" s="47"/>
      <c r="J423" s="47"/>
      <c r="K423" s="47"/>
      <c r="L423" s="47"/>
      <c r="M423" s="47"/>
      <c r="N423" s="47"/>
      <c r="O423" s="47"/>
      <c r="P423" s="47"/>
      <c r="Q423" s="47"/>
      <c r="R423" s="47"/>
      <c r="S423" s="50"/>
      <c r="T423" s="51"/>
      <c r="U423" s="51"/>
      <c r="V423" s="51"/>
      <c r="W423" s="51"/>
      <c r="X423" s="51"/>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52"/>
      <c r="BH423" s="48"/>
      <c r="BI423" s="48"/>
      <c r="BJ423" s="48"/>
      <c r="BK423" s="48"/>
      <c r="BL423" s="48"/>
      <c r="BM423" s="48"/>
      <c r="BN423" s="48"/>
      <c r="BO423" s="48"/>
      <c r="BP423" s="48"/>
      <c r="BQ423" s="48"/>
    </row>
    <row r="424" ht="23.25" customHeight="1">
      <c r="A424" s="47"/>
      <c r="B424" s="47"/>
      <c r="C424" s="48"/>
      <c r="D424" s="48"/>
      <c r="E424" s="48"/>
      <c r="F424" s="48"/>
      <c r="G424" s="47"/>
      <c r="H424" s="47"/>
      <c r="I424" s="47"/>
      <c r="J424" s="47"/>
      <c r="K424" s="47"/>
      <c r="L424" s="47"/>
      <c r="M424" s="47"/>
      <c r="N424" s="47"/>
      <c r="O424" s="47"/>
      <c r="P424" s="47"/>
      <c r="Q424" s="47"/>
      <c r="R424" s="47"/>
      <c r="S424" s="50"/>
      <c r="T424" s="51"/>
      <c r="U424" s="51"/>
      <c r="V424" s="51"/>
      <c r="W424" s="51"/>
      <c r="X424" s="51"/>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52"/>
      <c r="BH424" s="48"/>
      <c r="BI424" s="48"/>
      <c r="BJ424" s="48"/>
      <c r="BK424" s="48"/>
      <c r="BL424" s="48"/>
      <c r="BM424" s="48"/>
      <c r="BN424" s="48"/>
      <c r="BO424" s="48"/>
      <c r="BP424" s="48"/>
      <c r="BQ424" s="48"/>
    </row>
    <row r="425" ht="23.25" customHeight="1">
      <c r="A425" s="47"/>
      <c r="B425" s="47"/>
      <c r="C425" s="48"/>
      <c r="D425" s="48"/>
      <c r="E425" s="48"/>
      <c r="F425" s="48"/>
      <c r="G425" s="47"/>
      <c r="H425" s="47"/>
      <c r="I425" s="47"/>
      <c r="J425" s="47"/>
      <c r="K425" s="47"/>
      <c r="L425" s="47"/>
      <c r="M425" s="47"/>
      <c r="N425" s="47"/>
      <c r="O425" s="47"/>
      <c r="P425" s="47"/>
      <c r="Q425" s="47"/>
      <c r="R425" s="47"/>
      <c r="S425" s="50"/>
      <c r="T425" s="51"/>
      <c r="U425" s="51"/>
      <c r="V425" s="51"/>
      <c r="W425" s="51"/>
      <c r="X425" s="51"/>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52"/>
      <c r="BH425" s="48"/>
      <c r="BI425" s="48"/>
      <c r="BJ425" s="48"/>
      <c r="BK425" s="48"/>
      <c r="BL425" s="48"/>
      <c r="BM425" s="48"/>
      <c r="BN425" s="48"/>
      <c r="BO425" s="48"/>
      <c r="BP425" s="48"/>
      <c r="BQ425" s="48"/>
    </row>
    <row r="426" ht="23.25" customHeight="1">
      <c r="A426" s="47"/>
      <c r="B426" s="47"/>
      <c r="C426" s="48"/>
      <c r="D426" s="48"/>
      <c r="E426" s="48"/>
      <c r="F426" s="48"/>
      <c r="G426" s="47"/>
      <c r="H426" s="47"/>
      <c r="I426" s="47"/>
      <c r="J426" s="47"/>
      <c r="K426" s="47"/>
      <c r="L426" s="47"/>
      <c r="M426" s="47"/>
      <c r="N426" s="47"/>
      <c r="O426" s="47"/>
      <c r="P426" s="47"/>
      <c r="Q426" s="47"/>
      <c r="R426" s="47"/>
      <c r="S426" s="50"/>
      <c r="T426" s="51"/>
      <c r="U426" s="51"/>
      <c r="V426" s="51"/>
      <c r="W426" s="51"/>
      <c r="X426" s="51"/>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52"/>
      <c r="BH426" s="48"/>
      <c r="BI426" s="48"/>
      <c r="BJ426" s="48"/>
      <c r="BK426" s="48"/>
      <c r="BL426" s="48"/>
      <c r="BM426" s="48"/>
      <c r="BN426" s="48"/>
      <c r="BO426" s="48"/>
      <c r="BP426" s="48"/>
      <c r="BQ426" s="48"/>
    </row>
    <row r="427" ht="23.25" customHeight="1">
      <c r="A427" s="47"/>
      <c r="B427" s="47"/>
      <c r="C427" s="48"/>
      <c r="D427" s="48"/>
      <c r="E427" s="48"/>
      <c r="F427" s="48"/>
      <c r="G427" s="47"/>
      <c r="H427" s="47"/>
      <c r="I427" s="47"/>
      <c r="J427" s="47"/>
      <c r="K427" s="47"/>
      <c r="L427" s="47"/>
      <c r="M427" s="47"/>
      <c r="N427" s="47"/>
      <c r="O427" s="47"/>
      <c r="P427" s="47"/>
      <c r="Q427" s="47"/>
      <c r="R427" s="47"/>
      <c r="S427" s="50"/>
      <c r="T427" s="51"/>
      <c r="U427" s="51"/>
      <c r="V427" s="51"/>
      <c r="W427" s="51"/>
      <c r="X427" s="51"/>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52"/>
      <c r="BH427" s="48"/>
      <c r="BI427" s="48"/>
      <c r="BJ427" s="48"/>
      <c r="BK427" s="48"/>
      <c r="BL427" s="48"/>
      <c r="BM427" s="48"/>
      <c r="BN427" s="48"/>
      <c r="BO427" s="48"/>
      <c r="BP427" s="48"/>
      <c r="BQ427" s="48"/>
    </row>
    <row r="428" ht="23.25" customHeight="1">
      <c r="A428" s="47"/>
      <c r="B428" s="47"/>
      <c r="C428" s="48"/>
      <c r="D428" s="48"/>
      <c r="E428" s="48"/>
      <c r="F428" s="48"/>
      <c r="G428" s="47"/>
      <c r="H428" s="47"/>
      <c r="I428" s="47"/>
      <c r="J428" s="47"/>
      <c r="K428" s="47"/>
      <c r="L428" s="47"/>
      <c r="M428" s="47"/>
      <c r="N428" s="47"/>
      <c r="O428" s="47"/>
      <c r="P428" s="47"/>
      <c r="Q428" s="47"/>
      <c r="R428" s="47"/>
      <c r="S428" s="50"/>
      <c r="T428" s="51"/>
      <c r="U428" s="51"/>
      <c r="V428" s="51"/>
      <c r="W428" s="51"/>
      <c r="X428" s="51"/>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52"/>
      <c r="BH428" s="48"/>
      <c r="BI428" s="48"/>
      <c r="BJ428" s="48"/>
      <c r="BK428" s="48"/>
      <c r="BL428" s="48"/>
      <c r="BM428" s="48"/>
      <c r="BN428" s="48"/>
      <c r="BO428" s="48"/>
      <c r="BP428" s="48"/>
      <c r="BQ428" s="48"/>
    </row>
    <row r="429" ht="23.25" customHeight="1">
      <c r="A429" s="47"/>
      <c r="B429" s="47"/>
      <c r="C429" s="48"/>
      <c r="D429" s="48"/>
      <c r="E429" s="48"/>
      <c r="F429" s="48"/>
      <c r="G429" s="47"/>
      <c r="H429" s="47"/>
      <c r="I429" s="47"/>
      <c r="J429" s="47"/>
      <c r="K429" s="47"/>
      <c r="L429" s="47"/>
      <c r="M429" s="47"/>
      <c r="N429" s="47"/>
      <c r="O429" s="47"/>
      <c r="P429" s="47"/>
      <c r="Q429" s="47"/>
      <c r="R429" s="47"/>
      <c r="S429" s="50"/>
      <c r="T429" s="51"/>
      <c r="U429" s="51"/>
      <c r="V429" s="51"/>
      <c r="W429" s="51"/>
      <c r="X429" s="51"/>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52"/>
      <c r="BH429" s="48"/>
      <c r="BI429" s="48"/>
      <c r="BJ429" s="48"/>
      <c r="BK429" s="48"/>
      <c r="BL429" s="48"/>
      <c r="BM429" s="48"/>
      <c r="BN429" s="48"/>
      <c r="BO429" s="48"/>
      <c r="BP429" s="48"/>
      <c r="BQ429" s="48"/>
    </row>
    <row r="430" ht="23.25" customHeight="1">
      <c r="A430" s="47"/>
      <c r="B430" s="47"/>
      <c r="C430" s="48"/>
      <c r="D430" s="48"/>
      <c r="E430" s="48"/>
      <c r="F430" s="48"/>
      <c r="G430" s="47"/>
      <c r="H430" s="47"/>
      <c r="I430" s="47"/>
      <c r="J430" s="47"/>
      <c r="K430" s="47"/>
      <c r="L430" s="47"/>
      <c r="M430" s="47"/>
      <c r="N430" s="47"/>
      <c r="O430" s="47"/>
      <c r="P430" s="47"/>
      <c r="Q430" s="47"/>
      <c r="R430" s="47"/>
      <c r="S430" s="50"/>
      <c r="T430" s="51"/>
      <c r="U430" s="51"/>
      <c r="V430" s="51"/>
      <c r="W430" s="51"/>
      <c r="X430" s="51"/>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52"/>
      <c r="BH430" s="48"/>
      <c r="BI430" s="48"/>
      <c r="BJ430" s="48"/>
      <c r="BK430" s="48"/>
      <c r="BL430" s="48"/>
      <c r="BM430" s="48"/>
      <c r="BN430" s="48"/>
      <c r="BO430" s="48"/>
      <c r="BP430" s="48"/>
      <c r="BQ430" s="48"/>
    </row>
    <row r="431" ht="23.25" customHeight="1">
      <c r="A431" s="47"/>
      <c r="B431" s="47"/>
      <c r="C431" s="48"/>
      <c r="D431" s="48"/>
      <c r="E431" s="48"/>
      <c r="F431" s="48"/>
      <c r="G431" s="47"/>
      <c r="H431" s="47"/>
      <c r="I431" s="47"/>
      <c r="J431" s="47"/>
      <c r="K431" s="47"/>
      <c r="L431" s="47"/>
      <c r="M431" s="47"/>
      <c r="N431" s="47"/>
      <c r="O431" s="47"/>
      <c r="P431" s="47"/>
      <c r="Q431" s="47"/>
      <c r="R431" s="47"/>
      <c r="S431" s="50"/>
      <c r="T431" s="51"/>
      <c r="U431" s="51"/>
      <c r="V431" s="51"/>
      <c r="W431" s="51"/>
      <c r="X431" s="51"/>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52"/>
      <c r="BH431" s="48"/>
      <c r="BI431" s="48"/>
      <c r="BJ431" s="48"/>
      <c r="BK431" s="48"/>
      <c r="BL431" s="48"/>
      <c r="BM431" s="48"/>
      <c r="BN431" s="48"/>
      <c r="BO431" s="48"/>
      <c r="BP431" s="48"/>
      <c r="BQ431" s="48"/>
    </row>
    <row r="432" ht="23.25" customHeight="1">
      <c r="A432" s="47"/>
      <c r="B432" s="47"/>
      <c r="C432" s="48"/>
      <c r="D432" s="48"/>
      <c r="E432" s="48"/>
      <c r="F432" s="48"/>
      <c r="G432" s="47"/>
      <c r="H432" s="47"/>
      <c r="I432" s="47"/>
      <c r="J432" s="47"/>
      <c r="K432" s="47"/>
      <c r="L432" s="47"/>
      <c r="M432" s="47"/>
      <c r="N432" s="47"/>
      <c r="O432" s="47"/>
      <c r="P432" s="47"/>
      <c r="Q432" s="47"/>
      <c r="R432" s="47"/>
      <c r="S432" s="50"/>
      <c r="T432" s="51"/>
      <c r="U432" s="51"/>
      <c r="V432" s="51"/>
      <c r="W432" s="51"/>
      <c r="X432" s="51"/>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52"/>
      <c r="BH432" s="48"/>
      <c r="BI432" s="48"/>
      <c r="BJ432" s="48"/>
      <c r="BK432" s="48"/>
      <c r="BL432" s="48"/>
      <c r="BM432" s="48"/>
      <c r="BN432" s="48"/>
      <c r="BO432" s="48"/>
      <c r="BP432" s="48"/>
      <c r="BQ432" s="48"/>
    </row>
    <row r="433" ht="23.25" customHeight="1">
      <c r="A433" s="47"/>
      <c r="B433" s="47"/>
      <c r="C433" s="48"/>
      <c r="D433" s="48"/>
      <c r="E433" s="48"/>
      <c r="F433" s="48"/>
      <c r="G433" s="47"/>
      <c r="H433" s="47"/>
      <c r="I433" s="47"/>
      <c r="J433" s="47"/>
      <c r="K433" s="47"/>
      <c r="L433" s="47"/>
      <c r="M433" s="47"/>
      <c r="N433" s="47"/>
      <c r="O433" s="47"/>
      <c r="P433" s="47"/>
      <c r="Q433" s="47"/>
      <c r="R433" s="47"/>
      <c r="S433" s="50"/>
      <c r="T433" s="51"/>
      <c r="U433" s="51"/>
      <c r="V433" s="51"/>
      <c r="W433" s="51"/>
      <c r="X433" s="51"/>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52"/>
      <c r="BH433" s="48"/>
      <c r="BI433" s="48"/>
      <c r="BJ433" s="48"/>
      <c r="BK433" s="48"/>
      <c r="BL433" s="48"/>
      <c r="BM433" s="48"/>
      <c r="BN433" s="48"/>
      <c r="BO433" s="48"/>
      <c r="BP433" s="48"/>
      <c r="BQ433" s="48"/>
    </row>
    <row r="434" ht="23.25" customHeight="1">
      <c r="A434" s="47"/>
      <c r="B434" s="47"/>
      <c r="C434" s="48"/>
      <c r="D434" s="48"/>
      <c r="E434" s="48"/>
      <c r="F434" s="48"/>
      <c r="G434" s="47"/>
      <c r="H434" s="47"/>
      <c r="I434" s="47"/>
      <c r="J434" s="47"/>
      <c r="K434" s="47"/>
      <c r="L434" s="47"/>
      <c r="M434" s="47"/>
      <c r="N434" s="47"/>
      <c r="O434" s="47"/>
      <c r="P434" s="47"/>
      <c r="Q434" s="47"/>
      <c r="R434" s="47"/>
      <c r="S434" s="50"/>
      <c r="T434" s="51"/>
      <c r="U434" s="51"/>
      <c r="V434" s="51"/>
      <c r="W434" s="51"/>
      <c r="X434" s="51"/>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52"/>
      <c r="BH434" s="48"/>
      <c r="BI434" s="48"/>
      <c r="BJ434" s="48"/>
      <c r="BK434" s="48"/>
      <c r="BL434" s="48"/>
      <c r="BM434" s="48"/>
      <c r="BN434" s="48"/>
      <c r="BO434" s="48"/>
      <c r="BP434" s="48"/>
      <c r="BQ434" s="48"/>
    </row>
    <row r="435" ht="23.25" customHeight="1">
      <c r="A435" s="47"/>
      <c r="B435" s="47"/>
      <c r="C435" s="48"/>
      <c r="D435" s="48"/>
      <c r="E435" s="48"/>
      <c r="F435" s="48"/>
      <c r="G435" s="47"/>
      <c r="H435" s="47"/>
      <c r="I435" s="47"/>
      <c r="J435" s="47"/>
      <c r="K435" s="47"/>
      <c r="L435" s="47"/>
      <c r="M435" s="47"/>
      <c r="N435" s="47"/>
      <c r="O435" s="47"/>
      <c r="P435" s="47"/>
      <c r="Q435" s="47"/>
      <c r="R435" s="47"/>
      <c r="S435" s="50"/>
      <c r="T435" s="51"/>
      <c r="U435" s="51"/>
      <c r="V435" s="51"/>
      <c r="W435" s="51"/>
      <c r="X435" s="51"/>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52"/>
      <c r="BH435" s="48"/>
      <c r="BI435" s="48"/>
      <c r="BJ435" s="48"/>
      <c r="BK435" s="48"/>
      <c r="BL435" s="48"/>
      <c r="BM435" s="48"/>
      <c r="BN435" s="48"/>
      <c r="BO435" s="48"/>
      <c r="BP435" s="48"/>
      <c r="BQ435" s="48"/>
    </row>
    <row r="436" ht="23.25" customHeight="1">
      <c r="A436" s="47"/>
      <c r="B436" s="47"/>
      <c r="C436" s="48"/>
      <c r="D436" s="48"/>
      <c r="E436" s="48"/>
      <c r="F436" s="48"/>
      <c r="G436" s="47"/>
      <c r="H436" s="47"/>
      <c r="I436" s="47"/>
      <c r="J436" s="47"/>
      <c r="K436" s="47"/>
      <c r="L436" s="47"/>
      <c r="M436" s="47"/>
      <c r="N436" s="47"/>
      <c r="O436" s="47"/>
      <c r="P436" s="47"/>
      <c r="Q436" s="47"/>
      <c r="R436" s="47"/>
      <c r="S436" s="50"/>
      <c r="T436" s="51"/>
      <c r="U436" s="51"/>
      <c r="V436" s="51"/>
      <c r="W436" s="51"/>
      <c r="X436" s="51"/>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52"/>
      <c r="BH436" s="48"/>
      <c r="BI436" s="48"/>
      <c r="BJ436" s="48"/>
      <c r="BK436" s="48"/>
      <c r="BL436" s="48"/>
      <c r="BM436" s="48"/>
      <c r="BN436" s="48"/>
      <c r="BO436" s="48"/>
      <c r="BP436" s="48"/>
      <c r="BQ436" s="48"/>
    </row>
    <row r="437" ht="23.25" customHeight="1">
      <c r="A437" s="47"/>
      <c r="B437" s="47"/>
      <c r="C437" s="48"/>
      <c r="D437" s="48"/>
      <c r="E437" s="48"/>
      <c r="F437" s="48"/>
      <c r="G437" s="47"/>
      <c r="H437" s="47"/>
      <c r="I437" s="47"/>
      <c r="J437" s="47"/>
      <c r="K437" s="47"/>
      <c r="L437" s="47"/>
      <c r="M437" s="47"/>
      <c r="N437" s="47"/>
      <c r="O437" s="47"/>
      <c r="P437" s="47"/>
      <c r="Q437" s="47"/>
      <c r="R437" s="47"/>
      <c r="S437" s="50"/>
      <c r="T437" s="51"/>
      <c r="U437" s="51"/>
      <c r="V437" s="51"/>
      <c r="W437" s="51"/>
      <c r="X437" s="51"/>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52"/>
      <c r="BH437" s="48"/>
      <c r="BI437" s="48"/>
      <c r="BJ437" s="48"/>
      <c r="BK437" s="48"/>
      <c r="BL437" s="48"/>
      <c r="BM437" s="48"/>
      <c r="BN437" s="48"/>
      <c r="BO437" s="48"/>
      <c r="BP437" s="48"/>
      <c r="BQ437" s="48"/>
    </row>
    <row r="438" ht="23.25" customHeight="1">
      <c r="A438" s="47"/>
      <c r="B438" s="47"/>
      <c r="C438" s="48"/>
      <c r="D438" s="48"/>
      <c r="E438" s="48"/>
      <c r="F438" s="48"/>
      <c r="G438" s="47"/>
      <c r="H438" s="47"/>
      <c r="I438" s="47"/>
      <c r="J438" s="47"/>
      <c r="K438" s="47"/>
      <c r="L438" s="47"/>
      <c r="M438" s="47"/>
      <c r="N438" s="47"/>
      <c r="O438" s="47"/>
      <c r="P438" s="47"/>
      <c r="Q438" s="47"/>
      <c r="R438" s="47"/>
      <c r="S438" s="50"/>
      <c r="T438" s="51"/>
      <c r="U438" s="51"/>
      <c r="V438" s="51"/>
      <c r="W438" s="51"/>
      <c r="X438" s="51"/>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52"/>
      <c r="BH438" s="48"/>
      <c r="BI438" s="48"/>
      <c r="BJ438" s="48"/>
      <c r="BK438" s="48"/>
      <c r="BL438" s="48"/>
      <c r="BM438" s="48"/>
      <c r="BN438" s="48"/>
      <c r="BO438" s="48"/>
      <c r="BP438" s="48"/>
      <c r="BQ438" s="48"/>
    </row>
    <row r="439" ht="23.25" customHeight="1">
      <c r="A439" s="47"/>
      <c r="B439" s="47"/>
      <c r="C439" s="48"/>
      <c r="D439" s="48"/>
      <c r="E439" s="48"/>
      <c r="F439" s="48"/>
      <c r="G439" s="47"/>
      <c r="H439" s="47"/>
      <c r="I439" s="47"/>
      <c r="J439" s="47"/>
      <c r="K439" s="47"/>
      <c r="L439" s="47"/>
      <c r="M439" s="47"/>
      <c r="N439" s="47"/>
      <c r="O439" s="47"/>
      <c r="P439" s="47"/>
      <c r="Q439" s="47"/>
      <c r="R439" s="47"/>
      <c r="S439" s="50"/>
      <c r="T439" s="51"/>
      <c r="U439" s="51"/>
      <c r="V439" s="51"/>
      <c r="W439" s="51"/>
      <c r="X439" s="51"/>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52"/>
      <c r="BH439" s="48"/>
      <c r="BI439" s="48"/>
      <c r="BJ439" s="48"/>
      <c r="BK439" s="48"/>
      <c r="BL439" s="48"/>
      <c r="BM439" s="48"/>
      <c r="BN439" s="48"/>
      <c r="BO439" s="48"/>
      <c r="BP439" s="48"/>
      <c r="BQ439" s="48"/>
    </row>
    <row r="440" ht="23.25" customHeight="1">
      <c r="A440" s="47"/>
      <c r="B440" s="47"/>
      <c r="C440" s="48"/>
      <c r="D440" s="48"/>
      <c r="E440" s="48"/>
      <c r="F440" s="48"/>
      <c r="G440" s="47"/>
      <c r="H440" s="47"/>
      <c r="I440" s="47"/>
      <c r="J440" s="47"/>
      <c r="K440" s="47"/>
      <c r="L440" s="47"/>
      <c r="M440" s="47"/>
      <c r="N440" s="47"/>
      <c r="O440" s="47"/>
      <c r="P440" s="47"/>
      <c r="Q440" s="47"/>
      <c r="R440" s="47"/>
      <c r="S440" s="50"/>
      <c r="T440" s="51"/>
      <c r="U440" s="51"/>
      <c r="V440" s="51"/>
      <c r="W440" s="51"/>
      <c r="X440" s="51"/>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52"/>
      <c r="BH440" s="48"/>
      <c r="BI440" s="48"/>
      <c r="BJ440" s="48"/>
      <c r="BK440" s="48"/>
      <c r="BL440" s="48"/>
      <c r="BM440" s="48"/>
      <c r="BN440" s="48"/>
      <c r="BO440" s="48"/>
      <c r="BP440" s="48"/>
      <c r="BQ440" s="48"/>
    </row>
    <row r="441" ht="23.25" customHeight="1">
      <c r="A441" s="47"/>
      <c r="B441" s="47"/>
      <c r="C441" s="48"/>
      <c r="D441" s="48"/>
      <c r="E441" s="48"/>
      <c r="F441" s="48"/>
      <c r="G441" s="47"/>
      <c r="H441" s="47"/>
      <c r="I441" s="47"/>
      <c r="J441" s="47"/>
      <c r="K441" s="47"/>
      <c r="L441" s="47"/>
      <c r="M441" s="47"/>
      <c r="N441" s="47"/>
      <c r="O441" s="47"/>
      <c r="P441" s="47"/>
      <c r="Q441" s="47"/>
      <c r="R441" s="47"/>
      <c r="S441" s="50"/>
      <c r="T441" s="51"/>
      <c r="U441" s="51"/>
      <c r="V441" s="51"/>
      <c r="W441" s="51"/>
      <c r="X441" s="51"/>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52"/>
      <c r="BH441" s="48"/>
      <c r="BI441" s="48"/>
      <c r="BJ441" s="48"/>
      <c r="BK441" s="48"/>
      <c r="BL441" s="48"/>
      <c r="BM441" s="48"/>
      <c r="BN441" s="48"/>
      <c r="BO441" s="48"/>
      <c r="BP441" s="48"/>
      <c r="BQ441" s="48"/>
    </row>
    <row r="442" ht="23.25" customHeight="1">
      <c r="A442" s="47"/>
      <c r="B442" s="47"/>
      <c r="C442" s="48"/>
      <c r="D442" s="48"/>
      <c r="E442" s="48"/>
      <c r="F442" s="48"/>
      <c r="G442" s="47"/>
      <c r="H442" s="47"/>
      <c r="I442" s="47"/>
      <c r="J442" s="47"/>
      <c r="K442" s="47"/>
      <c r="L442" s="47"/>
      <c r="M442" s="47"/>
      <c r="N442" s="47"/>
      <c r="O442" s="47"/>
      <c r="P442" s="47"/>
      <c r="Q442" s="47"/>
      <c r="R442" s="47"/>
      <c r="S442" s="50"/>
      <c r="T442" s="51"/>
      <c r="U442" s="51"/>
      <c r="V442" s="51"/>
      <c r="W442" s="51"/>
      <c r="X442" s="51"/>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52"/>
      <c r="BH442" s="48"/>
      <c r="BI442" s="48"/>
      <c r="BJ442" s="48"/>
      <c r="BK442" s="48"/>
      <c r="BL442" s="48"/>
      <c r="BM442" s="48"/>
      <c r="BN442" s="48"/>
      <c r="BO442" s="48"/>
      <c r="BP442" s="48"/>
      <c r="BQ442" s="48"/>
    </row>
    <row r="443" ht="23.25" customHeight="1">
      <c r="A443" s="47"/>
      <c r="B443" s="47"/>
      <c r="C443" s="48"/>
      <c r="D443" s="48"/>
      <c r="E443" s="48"/>
      <c r="F443" s="48"/>
      <c r="G443" s="47"/>
      <c r="H443" s="47"/>
      <c r="I443" s="47"/>
      <c r="J443" s="47"/>
      <c r="K443" s="47"/>
      <c r="L443" s="47"/>
      <c r="M443" s="47"/>
      <c r="N443" s="47"/>
      <c r="O443" s="47"/>
      <c r="P443" s="47"/>
      <c r="Q443" s="47"/>
      <c r="R443" s="47"/>
      <c r="S443" s="50"/>
      <c r="T443" s="51"/>
      <c r="U443" s="51"/>
      <c r="V443" s="51"/>
      <c r="W443" s="51"/>
      <c r="X443" s="51"/>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52"/>
      <c r="BH443" s="48"/>
      <c r="BI443" s="48"/>
      <c r="BJ443" s="48"/>
      <c r="BK443" s="48"/>
      <c r="BL443" s="48"/>
      <c r="BM443" s="48"/>
      <c r="BN443" s="48"/>
      <c r="BO443" s="48"/>
      <c r="BP443" s="48"/>
      <c r="BQ443" s="48"/>
    </row>
    <row r="444" ht="23.25" customHeight="1">
      <c r="A444" s="47"/>
      <c r="B444" s="47"/>
      <c r="C444" s="48"/>
      <c r="D444" s="48"/>
      <c r="E444" s="48"/>
      <c r="F444" s="48"/>
      <c r="G444" s="47"/>
      <c r="H444" s="47"/>
      <c r="I444" s="47"/>
      <c r="J444" s="47"/>
      <c r="K444" s="47"/>
      <c r="L444" s="47"/>
      <c r="M444" s="47"/>
      <c r="N444" s="47"/>
      <c r="O444" s="47"/>
      <c r="P444" s="47"/>
      <c r="Q444" s="47"/>
      <c r="R444" s="47"/>
      <c r="S444" s="50"/>
      <c r="T444" s="51"/>
      <c r="U444" s="51"/>
      <c r="V444" s="51"/>
      <c r="W444" s="51"/>
      <c r="X444" s="51"/>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52"/>
      <c r="BH444" s="48"/>
      <c r="BI444" s="48"/>
      <c r="BJ444" s="48"/>
      <c r="BK444" s="48"/>
      <c r="BL444" s="48"/>
      <c r="BM444" s="48"/>
      <c r="BN444" s="48"/>
      <c r="BO444" s="48"/>
      <c r="BP444" s="48"/>
      <c r="BQ444" s="48"/>
    </row>
    <row r="445" ht="23.25" customHeight="1">
      <c r="A445" s="47"/>
      <c r="B445" s="47"/>
      <c r="C445" s="48"/>
      <c r="D445" s="48"/>
      <c r="E445" s="48"/>
      <c r="F445" s="48"/>
      <c r="G445" s="47"/>
      <c r="H445" s="47"/>
      <c r="I445" s="47"/>
      <c r="J445" s="47"/>
      <c r="K445" s="47"/>
      <c r="L445" s="47"/>
      <c r="M445" s="47"/>
      <c r="N445" s="47"/>
      <c r="O445" s="47"/>
      <c r="P445" s="47"/>
      <c r="Q445" s="47"/>
      <c r="R445" s="47"/>
      <c r="S445" s="50"/>
      <c r="T445" s="51"/>
      <c r="U445" s="51"/>
      <c r="V445" s="51"/>
      <c r="W445" s="51"/>
      <c r="X445" s="51"/>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52"/>
      <c r="BH445" s="48"/>
      <c r="BI445" s="48"/>
      <c r="BJ445" s="48"/>
      <c r="BK445" s="48"/>
      <c r="BL445" s="48"/>
      <c r="BM445" s="48"/>
      <c r="BN445" s="48"/>
      <c r="BO445" s="48"/>
      <c r="BP445" s="48"/>
      <c r="BQ445" s="48"/>
    </row>
    <row r="446" ht="23.25" customHeight="1">
      <c r="A446" s="47"/>
      <c r="B446" s="47"/>
      <c r="C446" s="48"/>
      <c r="D446" s="48"/>
      <c r="E446" s="48"/>
      <c r="F446" s="48"/>
      <c r="G446" s="47"/>
      <c r="H446" s="47"/>
      <c r="I446" s="47"/>
      <c r="J446" s="47"/>
      <c r="K446" s="47"/>
      <c r="L446" s="47"/>
      <c r="M446" s="47"/>
      <c r="N446" s="47"/>
      <c r="O446" s="47"/>
      <c r="P446" s="47"/>
      <c r="Q446" s="47"/>
      <c r="R446" s="47"/>
      <c r="S446" s="50"/>
      <c r="T446" s="51"/>
      <c r="U446" s="51"/>
      <c r="V446" s="51"/>
      <c r="W446" s="51"/>
      <c r="X446" s="51"/>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52"/>
      <c r="BH446" s="48"/>
      <c r="BI446" s="48"/>
      <c r="BJ446" s="48"/>
      <c r="BK446" s="48"/>
      <c r="BL446" s="48"/>
      <c r="BM446" s="48"/>
      <c r="BN446" s="48"/>
      <c r="BO446" s="48"/>
      <c r="BP446" s="48"/>
      <c r="BQ446" s="48"/>
    </row>
    <row r="447" ht="23.25" customHeight="1">
      <c r="A447" s="47"/>
      <c r="B447" s="47"/>
      <c r="C447" s="48"/>
      <c r="D447" s="48"/>
      <c r="E447" s="48"/>
      <c r="F447" s="48"/>
      <c r="G447" s="47"/>
      <c r="H447" s="47"/>
      <c r="I447" s="47"/>
      <c r="J447" s="47"/>
      <c r="K447" s="47"/>
      <c r="L447" s="47"/>
      <c r="M447" s="47"/>
      <c r="N447" s="47"/>
      <c r="O447" s="47"/>
      <c r="P447" s="47"/>
      <c r="Q447" s="47"/>
      <c r="R447" s="47"/>
      <c r="S447" s="50"/>
      <c r="T447" s="51"/>
      <c r="U447" s="51"/>
      <c r="V447" s="51"/>
      <c r="W447" s="51"/>
      <c r="X447" s="51"/>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52"/>
      <c r="BH447" s="48"/>
      <c r="BI447" s="48"/>
      <c r="BJ447" s="48"/>
      <c r="BK447" s="48"/>
      <c r="BL447" s="48"/>
      <c r="BM447" s="48"/>
      <c r="BN447" s="48"/>
      <c r="BO447" s="48"/>
      <c r="BP447" s="48"/>
      <c r="BQ447" s="48"/>
    </row>
    <row r="448" ht="23.25" customHeight="1">
      <c r="A448" s="47"/>
      <c r="B448" s="47"/>
      <c r="C448" s="48"/>
      <c r="D448" s="48"/>
      <c r="E448" s="48"/>
      <c r="F448" s="48"/>
      <c r="G448" s="47"/>
      <c r="H448" s="47"/>
      <c r="I448" s="47"/>
      <c r="J448" s="47"/>
      <c r="K448" s="47"/>
      <c r="L448" s="47"/>
      <c r="M448" s="47"/>
      <c r="N448" s="47"/>
      <c r="O448" s="47"/>
      <c r="P448" s="47"/>
      <c r="Q448" s="47"/>
      <c r="R448" s="47"/>
      <c r="S448" s="50"/>
      <c r="T448" s="51"/>
      <c r="U448" s="51"/>
      <c r="V448" s="51"/>
      <c r="W448" s="51"/>
      <c r="X448" s="51"/>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52"/>
      <c r="BH448" s="48"/>
      <c r="BI448" s="48"/>
      <c r="BJ448" s="48"/>
      <c r="BK448" s="48"/>
      <c r="BL448" s="48"/>
      <c r="BM448" s="48"/>
      <c r="BN448" s="48"/>
      <c r="BO448" s="48"/>
      <c r="BP448" s="48"/>
      <c r="BQ448" s="48"/>
    </row>
    <row r="449" ht="23.25" customHeight="1">
      <c r="A449" s="47"/>
      <c r="B449" s="47"/>
      <c r="C449" s="48"/>
      <c r="D449" s="48"/>
      <c r="E449" s="48"/>
      <c r="F449" s="48"/>
      <c r="G449" s="47"/>
      <c r="H449" s="47"/>
      <c r="I449" s="47"/>
      <c r="J449" s="47"/>
      <c r="K449" s="47"/>
      <c r="L449" s="47"/>
      <c r="M449" s="47"/>
      <c r="N449" s="47"/>
      <c r="O449" s="47"/>
      <c r="P449" s="47"/>
      <c r="Q449" s="47"/>
      <c r="R449" s="47"/>
      <c r="S449" s="50"/>
      <c r="T449" s="51"/>
      <c r="U449" s="51"/>
      <c r="V449" s="51"/>
      <c r="W449" s="51"/>
      <c r="X449" s="51"/>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52"/>
      <c r="BH449" s="48"/>
      <c r="BI449" s="48"/>
      <c r="BJ449" s="48"/>
      <c r="BK449" s="48"/>
      <c r="BL449" s="48"/>
      <c r="BM449" s="48"/>
      <c r="BN449" s="48"/>
      <c r="BO449" s="48"/>
      <c r="BP449" s="48"/>
      <c r="BQ449" s="48"/>
    </row>
    <row r="450" ht="23.25" customHeight="1">
      <c r="A450" s="47"/>
      <c r="B450" s="47"/>
      <c r="C450" s="48"/>
      <c r="D450" s="48"/>
      <c r="E450" s="48"/>
      <c r="F450" s="48"/>
      <c r="G450" s="47"/>
      <c r="H450" s="47"/>
      <c r="I450" s="47"/>
      <c r="J450" s="47"/>
      <c r="K450" s="47"/>
      <c r="L450" s="47"/>
      <c r="M450" s="47"/>
      <c r="N450" s="47"/>
      <c r="O450" s="47"/>
      <c r="P450" s="47"/>
      <c r="Q450" s="47"/>
      <c r="R450" s="47"/>
      <c r="S450" s="50"/>
      <c r="T450" s="51"/>
      <c r="U450" s="51"/>
      <c r="V450" s="51"/>
      <c r="W450" s="51"/>
      <c r="X450" s="51"/>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52"/>
      <c r="BH450" s="48"/>
      <c r="BI450" s="48"/>
      <c r="BJ450" s="48"/>
      <c r="BK450" s="48"/>
      <c r="BL450" s="48"/>
      <c r="BM450" s="48"/>
      <c r="BN450" s="48"/>
      <c r="BO450" s="48"/>
      <c r="BP450" s="48"/>
      <c r="BQ450" s="48"/>
    </row>
    <row r="451" ht="23.25" customHeight="1">
      <c r="A451" s="47"/>
      <c r="B451" s="47"/>
      <c r="C451" s="48"/>
      <c r="D451" s="48"/>
      <c r="E451" s="48"/>
      <c r="F451" s="48"/>
      <c r="G451" s="47"/>
      <c r="H451" s="47"/>
      <c r="I451" s="47"/>
      <c r="J451" s="47"/>
      <c r="K451" s="47"/>
      <c r="L451" s="47"/>
      <c r="M451" s="47"/>
      <c r="N451" s="47"/>
      <c r="O451" s="47"/>
      <c r="P451" s="47"/>
      <c r="Q451" s="47"/>
      <c r="R451" s="47"/>
      <c r="S451" s="50"/>
      <c r="T451" s="51"/>
      <c r="U451" s="51"/>
      <c r="V451" s="51"/>
      <c r="W451" s="51"/>
      <c r="X451" s="51"/>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52"/>
      <c r="BH451" s="48"/>
      <c r="BI451" s="48"/>
      <c r="BJ451" s="48"/>
      <c r="BK451" s="48"/>
      <c r="BL451" s="48"/>
      <c r="BM451" s="48"/>
      <c r="BN451" s="48"/>
      <c r="BO451" s="48"/>
      <c r="BP451" s="48"/>
      <c r="BQ451" s="48"/>
    </row>
    <row r="452" ht="23.25" customHeight="1">
      <c r="A452" s="47"/>
      <c r="B452" s="47"/>
      <c r="C452" s="48"/>
      <c r="D452" s="48"/>
      <c r="E452" s="48"/>
      <c r="F452" s="48"/>
      <c r="G452" s="47"/>
      <c r="H452" s="47"/>
      <c r="I452" s="47"/>
      <c r="J452" s="47"/>
      <c r="K452" s="47"/>
      <c r="L452" s="47"/>
      <c r="M452" s="47"/>
      <c r="N452" s="47"/>
      <c r="O452" s="47"/>
      <c r="P452" s="47"/>
      <c r="Q452" s="47"/>
      <c r="R452" s="47"/>
      <c r="S452" s="50"/>
      <c r="T452" s="51"/>
      <c r="U452" s="51"/>
      <c r="V452" s="51"/>
      <c r="W452" s="51"/>
      <c r="X452" s="51"/>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52"/>
      <c r="BH452" s="48"/>
      <c r="BI452" s="48"/>
      <c r="BJ452" s="48"/>
      <c r="BK452" s="48"/>
      <c r="BL452" s="48"/>
      <c r="BM452" s="48"/>
      <c r="BN452" s="48"/>
      <c r="BO452" s="48"/>
      <c r="BP452" s="48"/>
      <c r="BQ452" s="48"/>
    </row>
    <row r="453" ht="23.25" customHeight="1">
      <c r="A453" s="47"/>
      <c r="B453" s="47"/>
      <c r="C453" s="48"/>
      <c r="D453" s="48"/>
      <c r="E453" s="48"/>
      <c r="F453" s="48"/>
      <c r="G453" s="47"/>
      <c r="H453" s="47"/>
      <c r="I453" s="47"/>
      <c r="J453" s="47"/>
      <c r="K453" s="47"/>
      <c r="L453" s="47"/>
      <c r="M453" s="47"/>
      <c r="N453" s="47"/>
      <c r="O453" s="47"/>
      <c r="P453" s="47"/>
      <c r="Q453" s="47"/>
      <c r="R453" s="47"/>
      <c r="S453" s="50"/>
      <c r="T453" s="51"/>
      <c r="U453" s="51"/>
      <c r="V453" s="51"/>
      <c r="W453" s="51"/>
      <c r="X453" s="51"/>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52"/>
      <c r="BH453" s="48"/>
      <c r="BI453" s="48"/>
      <c r="BJ453" s="48"/>
      <c r="BK453" s="48"/>
      <c r="BL453" s="48"/>
      <c r="BM453" s="48"/>
      <c r="BN453" s="48"/>
      <c r="BO453" s="48"/>
      <c r="BP453" s="48"/>
      <c r="BQ453" s="48"/>
    </row>
    <row r="454" ht="23.25" customHeight="1">
      <c r="A454" s="47"/>
      <c r="B454" s="47"/>
      <c r="C454" s="48"/>
      <c r="D454" s="48"/>
      <c r="E454" s="48"/>
      <c r="F454" s="48"/>
      <c r="G454" s="47"/>
      <c r="H454" s="47"/>
      <c r="I454" s="47"/>
      <c r="J454" s="47"/>
      <c r="K454" s="47"/>
      <c r="L454" s="47"/>
      <c r="M454" s="47"/>
      <c r="N454" s="47"/>
      <c r="O454" s="47"/>
      <c r="P454" s="47"/>
      <c r="Q454" s="47"/>
      <c r="R454" s="47"/>
      <c r="S454" s="50"/>
      <c r="T454" s="51"/>
      <c r="U454" s="51"/>
      <c r="V454" s="51"/>
      <c r="W454" s="51"/>
      <c r="X454" s="51"/>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52"/>
      <c r="BH454" s="48"/>
      <c r="BI454" s="48"/>
      <c r="BJ454" s="48"/>
      <c r="BK454" s="48"/>
      <c r="BL454" s="48"/>
      <c r="BM454" s="48"/>
      <c r="BN454" s="48"/>
      <c r="BO454" s="48"/>
      <c r="BP454" s="48"/>
      <c r="BQ454" s="48"/>
    </row>
    <row r="455" ht="23.25" customHeight="1">
      <c r="A455" s="47"/>
      <c r="B455" s="47"/>
      <c r="C455" s="48"/>
      <c r="D455" s="48"/>
      <c r="E455" s="48"/>
      <c r="F455" s="48"/>
      <c r="G455" s="47"/>
      <c r="H455" s="47"/>
      <c r="I455" s="47"/>
      <c r="J455" s="47"/>
      <c r="K455" s="47"/>
      <c r="L455" s="47"/>
      <c r="M455" s="47"/>
      <c r="N455" s="47"/>
      <c r="O455" s="47"/>
      <c r="P455" s="47"/>
      <c r="Q455" s="47"/>
      <c r="R455" s="47"/>
      <c r="S455" s="50"/>
      <c r="T455" s="51"/>
      <c r="U455" s="51"/>
      <c r="V455" s="51"/>
      <c r="W455" s="51"/>
      <c r="X455" s="51"/>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52"/>
      <c r="BH455" s="48"/>
      <c r="BI455" s="48"/>
      <c r="BJ455" s="48"/>
      <c r="BK455" s="48"/>
      <c r="BL455" s="48"/>
      <c r="BM455" s="48"/>
      <c r="BN455" s="48"/>
      <c r="BO455" s="48"/>
      <c r="BP455" s="48"/>
      <c r="BQ455" s="48"/>
    </row>
    <row r="456" ht="23.25" customHeight="1">
      <c r="A456" s="47"/>
      <c r="B456" s="47"/>
      <c r="C456" s="48"/>
      <c r="D456" s="48"/>
      <c r="E456" s="48"/>
      <c r="F456" s="48"/>
      <c r="G456" s="47"/>
      <c r="H456" s="47"/>
      <c r="I456" s="47"/>
      <c r="J456" s="47"/>
      <c r="K456" s="47"/>
      <c r="L456" s="47"/>
      <c r="M456" s="47"/>
      <c r="N456" s="47"/>
      <c r="O456" s="47"/>
      <c r="P456" s="47"/>
      <c r="Q456" s="47"/>
      <c r="R456" s="47"/>
      <c r="S456" s="50"/>
      <c r="T456" s="51"/>
      <c r="U456" s="51"/>
      <c r="V456" s="51"/>
      <c r="W456" s="51"/>
      <c r="X456" s="51"/>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52"/>
      <c r="BH456" s="48"/>
      <c r="BI456" s="48"/>
      <c r="BJ456" s="48"/>
      <c r="BK456" s="48"/>
      <c r="BL456" s="48"/>
      <c r="BM456" s="48"/>
      <c r="BN456" s="48"/>
      <c r="BO456" s="48"/>
      <c r="BP456" s="48"/>
      <c r="BQ456" s="48"/>
    </row>
    <row r="457" ht="23.25" customHeight="1">
      <c r="A457" s="47"/>
      <c r="B457" s="47"/>
      <c r="C457" s="48"/>
      <c r="D457" s="48"/>
      <c r="E457" s="48"/>
      <c r="F457" s="48"/>
      <c r="G457" s="47"/>
      <c r="H457" s="47"/>
      <c r="I457" s="47"/>
      <c r="J457" s="47"/>
      <c r="K457" s="47"/>
      <c r="L457" s="47"/>
      <c r="M457" s="47"/>
      <c r="N457" s="47"/>
      <c r="O457" s="47"/>
      <c r="P457" s="47"/>
      <c r="Q457" s="47"/>
      <c r="R457" s="47"/>
      <c r="S457" s="50"/>
      <c r="T457" s="51"/>
      <c r="U457" s="51"/>
      <c r="V457" s="51"/>
      <c r="W457" s="51"/>
      <c r="X457" s="51"/>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52"/>
      <c r="BH457" s="48"/>
      <c r="BI457" s="48"/>
      <c r="BJ457" s="48"/>
      <c r="BK457" s="48"/>
      <c r="BL457" s="48"/>
      <c r="BM457" s="48"/>
      <c r="BN457" s="48"/>
      <c r="BO457" s="48"/>
      <c r="BP457" s="48"/>
      <c r="BQ457" s="48"/>
    </row>
    <row r="458" ht="23.25" customHeight="1">
      <c r="A458" s="47"/>
      <c r="B458" s="47"/>
      <c r="C458" s="48"/>
      <c r="D458" s="48"/>
      <c r="E458" s="48"/>
      <c r="F458" s="48"/>
      <c r="G458" s="47"/>
      <c r="H458" s="47"/>
      <c r="I458" s="47"/>
      <c r="J458" s="47"/>
      <c r="K458" s="47"/>
      <c r="L458" s="47"/>
      <c r="M458" s="47"/>
      <c r="N458" s="47"/>
      <c r="O458" s="47"/>
      <c r="P458" s="47"/>
      <c r="Q458" s="47"/>
      <c r="R458" s="47"/>
      <c r="S458" s="50"/>
      <c r="T458" s="51"/>
      <c r="U458" s="51"/>
      <c r="V458" s="51"/>
      <c r="W458" s="51"/>
      <c r="X458" s="51"/>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52"/>
      <c r="BH458" s="48"/>
      <c r="BI458" s="48"/>
      <c r="BJ458" s="48"/>
      <c r="BK458" s="48"/>
      <c r="BL458" s="48"/>
      <c r="BM458" s="48"/>
      <c r="BN458" s="48"/>
      <c r="BO458" s="48"/>
      <c r="BP458" s="48"/>
      <c r="BQ458" s="48"/>
    </row>
    <row r="459" ht="23.25" customHeight="1">
      <c r="A459" s="47"/>
      <c r="B459" s="47"/>
      <c r="C459" s="48"/>
      <c r="D459" s="48"/>
      <c r="E459" s="48"/>
      <c r="F459" s="48"/>
      <c r="G459" s="47"/>
      <c r="H459" s="47"/>
      <c r="I459" s="47"/>
      <c r="J459" s="47"/>
      <c r="K459" s="47"/>
      <c r="L459" s="47"/>
      <c r="M459" s="47"/>
      <c r="N459" s="47"/>
      <c r="O459" s="47"/>
      <c r="P459" s="47"/>
      <c r="Q459" s="47"/>
      <c r="R459" s="47"/>
      <c r="S459" s="50"/>
      <c r="T459" s="51"/>
      <c r="U459" s="51"/>
      <c r="V459" s="51"/>
      <c r="W459" s="51"/>
      <c r="X459" s="51"/>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52"/>
      <c r="BH459" s="48"/>
      <c r="BI459" s="48"/>
      <c r="BJ459" s="48"/>
      <c r="BK459" s="48"/>
      <c r="BL459" s="48"/>
      <c r="BM459" s="48"/>
      <c r="BN459" s="48"/>
      <c r="BO459" s="48"/>
      <c r="BP459" s="48"/>
      <c r="BQ459" s="48"/>
    </row>
    <row r="460" ht="23.25" customHeight="1">
      <c r="A460" s="47"/>
      <c r="B460" s="47"/>
      <c r="C460" s="48"/>
      <c r="D460" s="48"/>
      <c r="E460" s="48"/>
      <c r="F460" s="48"/>
      <c r="G460" s="47"/>
      <c r="H460" s="47"/>
      <c r="I460" s="47"/>
      <c r="J460" s="47"/>
      <c r="K460" s="47"/>
      <c r="L460" s="47"/>
      <c r="M460" s="47"/>
      <c r="N460" s="47"/>
      <c r="O460" s="47"/>
      <c r="P460" s="47"/>
      <c r="Q460" s="47"/>
      <c r="R460" s="47"/>
      <c r="S460" s="50"/>
      <c r="T460" s="51"/>
      <c r="U460" s="51"/>
      <c r="V460" s="51"/>
      <c r="W460" s="51"/>
      <c r="X460" s="51"/>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52"/>
      <c r="BH460" s="48"/>
      <c r="BI460" s="48"/>
      <c r="BJ460" s="48"/>
      <c r="BK460" s="48"/>
      <c r="BL460" s="48"/>
      <c r="BM460" s="48"/>
      <c r="BN460" s="48"/>
      <c r="BO460" s="48"/>
      <c r="BP460" s="48"/>
      <c r="BQ460" s="48"/>
    </row>
    <row r="461" ht="23.25" customHeight="1">
      <c r="A461" s="47"/>
      <c r="B461" s="47"/>
      <c r="C461" s="48"/>
      <c r="D461" s="48"/>
      <c r="E461" s="48"/>
      <c r="F461" s="48"/>
      <c r="G461" s="47"/>
      <c r="H461" s="47"/>
      <c r="I461" s="47"/>
      <c r="J461" s="47"/>
      <c r="K461" s="47"/>
      <c r="L461" s="47"/>
      <c r="M461" s="47"/>
      <c r="N461" s="47"/>
      <c r="O461" s="47"/>
      <c r="P461" s="47"/>
      <c r="Q461" s="47"/>
      <c r="R461" s="47"/>
      <c r="S461" s="50"/>
      <c r="T461" s="51"/>
      <c r="U461" s="51"/>
      <c r="V461" s="51"/>
      <c r="W461" s="51"/>
      <c r="X461" s="51"/>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52"/>
      <c r="BH461" s="48"/>
      <c r="BI461" s="48"/>
      <c r="BJ461" s="48"/>
      <c r="BK461" s="48"/>
      <c r="BL461" s="48"/>
      <c r="BM461" s="48"/>
      <c r="BN461" s="48"/>
      <c r="BO461" s="48"/>
      <c r="BP461" s="48"/>
      <c r="BQ461" s="48"/>
    </row>
    <row r="462" ht="23.25" customHeight="1">
      <c r="A462" s="47"/>
      <c r="B462" s="47"/>
      <c r="C462" s="48"/>
      <c r="D462" s="48"/>
      <c r="E462" s="48"/>
      <c r="F462" s="48"/>
      <c r="G462" s="47"/>
      <c r="H462" s="47"/>
      <c r="I462" s="47"/>
      <c r="J462" s="47"/>
      <c r="K462" s="47"/>
      <c r="L462" s="47"/>
      <c r="M462" s="47"/>
      <c r="N462" s="47"/>
      <c r="O462" s="47"/>
      <c r="P462" s="47"/>
      <c r="Q462" s="47"/>
      <c r="R462" s="47"/>
      <c r="S462" s="50"/>
      <c r="T462" s="51"/>
      <c r="U462" s="51"/>
      <c r="V462" s="51"/>
      <c r="W462" s="51"/>
      <c r="X462" s="51"/>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52"/>
      <c r="BH462" s="48"/>
      <c r="BI462" s="48"/>
      <c r="BJ462" s="48"/>
      <c r="BK462" s="48"/>
      <c r="BL462" s="48"/>
      <c r="BM462" s="48"/>
      <c r="BN462" s="48"/>
      <c r="BO462" s="48"/>
      <c r="BP462" s="48"/>
      <c r="BQ462" s="48"/>
    </row>
    <row r="463" ht="23.25" customHeight="1">
      <c r="A463" s="47"/>
      <c r="B463" s="47"/>
      <c r="C463" s="48"/>
      <c r="D463" s="48"/>
      <c r="E463" s="48"/>
      <c r="F463" s="48"/>
      <c r="G463" s="47"/>
      <c r="H463" s="47"/>
      <c r="I463" s="47"/>
      <c r="J463" s="47"/>
      <c r="K463" s="47"/>
      <c r="L463" s="47"/>
      <c r="M463" s="47"/>
      <c r="N463" s="47"/>
      <c r="O463" s="47"/>
      <c r="P463" s="47"/>
      <c r="Q463" s="47"/>
      <c r="R463" s="47"/>
      <c r="S463" s="50"/>
      <c r="T463" s="51"/>
      <c r="U463" s="51"/>
      <c r="V463" s="51"/>
      <c r="W463" s="51"/>
      <c r="X463" s="51"/>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52"/>
      <c r="BH463" s="48"/>
      <c r="BI463" s="48"/>
      <c r="BJ463" s="48"/>
      <c r="BK463" s="48"/>
      <c r="BL463" s="48"/>
      <c r="BM463" s="48"/>
      <c r="BN463" s="48"/>
      <c r="BO463" s="48"/>
      <c r="BP463" s="48"/>
      <c r="BQ463" s="48"/>
    </row>
    <row r="464" ht="23.25" customHeight="1">
      <c r="A464" s="47"/>
      <c r="B464" s="47"/>
      <c r="C464" s="48"/>
      <c r="D464" s="48"/>
      <c r="E464" s="48"/>
      <c r="F464" s="48"/>
      <c r="G464" s="47"/>
      <c r="H464" s="47"/>
      <c r="I464" s="47"/>
      <c r="J464" s="47"/>
      <c r="K464" s="47"/>
      <c r="L464" s="47"/>
      <c r="M464" s="47"/>
      <c r="N464" s="47"/>
      <c r="O464" s="47"/>
      <c r="P464" s="47"/>
      <c r="Q464" s="47"/>
      <c r="R464" s="47"/>
      <c r="S464" s="50"/>
      <c r="T464" s="51"/>
      <c r="U464" s="51"/>
      <c r="V464" s="51"/>
      <c r="W464" s="51"/>
      <c r="X464" s="51"/>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52"/>
      <c r="BH464" s="48"/>
      <c r="BI464" s="48"/>
      <c r="BJ464" s="48"/>
      <c r="BK464" s="48"/>
      <c r="BL464" s="48"/>
      <c r="BM464" s="48"/>
      <c r="BN464" s="48"/>
      <c r="BO464" s="48"/>
      <c r="BP464" s="48"/>
      <c r="BQ464" s="48"/>
    </row>
    <row r="465" ht="23.25" customHeight="1">
      <c r="A465" s="47"/>
      <c r="B465" s="47"/>
      <c r="C465" s="48"/>
      <c r="D465" s="48"/>
      <c r="E465" s="48"/>
      <c r="F465" s="48"/>
      <c r="G465" s="47"/>
      <c r="H465" s="47"/>
      <c r="I465" s="47"/>
      <c r="J465" s="47"/>
      <c r="K465" s="47"/>
      <c r="L465" s="47"/>
      <c r="M465" s="47"/>
      <c r="N465" s="47"/>
      <c r="O465" s="47"/>
      <c r="P465" s="47"/>
      <c r="Q465" s="47"/>
      <c r="R465" s="47"/>
      <c r="S465" s="50"/>
      <c r="T465" s="51"/>
      <c r="U465" s="51"/>
      <c r="V465" s="51"/>
      <c r="W465" s="51"/>
      <c r="X465" s="51"/>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52"/>
      <c r="BH465" s="48"/>
      <c r="BI465" s="48"/>
      <c r="BJ465" s="48"/>
      <c r="BK465" s="48"/>
      <c r="BL465" s="48"/>
      <c r="BM465" s="48"/>
      <c r="BN465" s="48"/>
      <c r="BO465" s="48"/>
      <c r="BP465" s="48"/>
      <c r="BQ465" s="48"/>
    </row>
    <row r="466" ht="23.25" customHeight="1">
      <c r="A466" s="47"/>
      <c r="B466" s="47"/>
      <c r="C466" s="48"/>
      <c r="D466" s="48"/>
      <c r="E466" s="48"/>
      <c r="F466" s="48"/>
      <c r="G466" s="47"/>
      <c r="H466" s="47"/>
      <c r="I466" s="47"/>
      <c r="J466" s="47"/>
      <c r="K466" s="47"/>
      <c r="L466" s="47"/>
      <c r="M466" s="47"/>
      <c r="N466" s="47"/>
      <c r="O466" s="47"/>
      <c r="P466" s="47"/>
      <c r="Q466" s="47"/>
      <c r="R466" s="47"/>
      <c r="S466" s="50"/>
      <c r="T466" s="51"/>
      <c r="U466" s="51"/>
      <c r="V466" s="51"/>
      <c r="W466" s="51"/>
      <c r="X466" s="51"/>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52"/>
      <c r="BH466" s="48"/>
      <c r="BI466" s="48"/>
      <c r="BJ466" s="48"/>
      <c r="BK466" s="48"/>
      <c r="BL466" s="48"/>
      <c r="BM466" s="48"/>
      <c r="BN466" s="48"/>
      <c r="BO466" s="48"/>
      <c r="BP466" s="48"/>
      <c r="BQ466" s="48"/>
    </row>
    <row r="467" ht="23.25" customHeight="1">
      <c r="A467" s="47"/>
      <c r="B467" s="47"/>
      <c r="C467" s="48"/>
      <c r="D467" s="48"/>
      <c r="E467" s="48"/>
      <c r="F467" s="48"/>
      <c r="G467" s="47"/>
      <c r="H467" s="47"/>
      <c r="I467" s="47"/>
      <c r="J467" s="47"/>
      <c r="K467" s="47"/>
      <c r="L467" s="47"/>
      <c r="M467" s="47"/>
      <c r="N467" s="47"/>
      <c r="O467" s="47"/>
      <c r="P467" s="47"/>
      <c r="Q467" s="47"/>
      <c r="R467" s="47"/>
      <c r="S467" s="50"/>
      <c r="T467" s="51"/>
      <c r="U467" s="51"/>
      <c r="V467" s="51"/>
      <c r="W467" s="51"/>
      <c r="X467" s="51"/>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52"/>
      <c r="BH467" s="48"/>
      <c r="BI467" s="48"/>
      <c r="BJ467" s="48"/>
      <c r="BK467" s="48"/>
      <c r="BL467" s="48"/>
      <c r="BM467" s="48"/>
      <c r="BN467" s="48"/>
      <c r="BO467" s="48"/>
      <c r="BP467" s="48"/>
      <c r="BQ467" s="48"/>
    </row>
    <row r="468" ht="23.25" customHeight="1">
      <c r="A468" s="47"/>
      <c r="B468" s="47"/>
      <c r="C468" s="48"/>
      <c r="D468" s="48"/>
      <c r="E468" s="48"/>
      <c r="F468" s="48"/>
      <c r="G468" s="47"/>
      <c r="H468" s="47"/>
      <c r="I468" s="47"/>
      <c r="J468" s="47"/>
      <c r="K468" s="47"/>
      <c r="L468" s="47"/>
      <c r="M468" s="47"/>
      <c r="N468" s="47"/>
      <c r="O468" s="47"/>
      <c r="P468" s="47"/>
      <c r="Q468" s="47"/>
      <c r="R468" s="47"/>
      <c r="S468" s="50"/>
      <c r="T468" s="51"/>
      <c r="U468" s="51"/>
      <c r="V468" s="51"/>
      <c r="W468" s="51"/>
      <c r="X468" s="51"/>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52"/>
      <c r="BH468" s="48"/>
      <c r="BI468" s="48"/>
      <c r="BJ468" s="48"/>
      <c r="BK468" s="48"/>
      <c r="BL468" s="48"/>
      <c r="BM468" s="48"/>
      <c r="BN468" s="48"/>
      <c r="BO468" s="48"/>
      <c r="BP468" s="48"/>
      <c r="BQ468" s="48"/>
    </row>
    <row r="469" ht="23.25" customHeight="1">
      <c r="A469" s="47"/>
      <c r="B469" s="47"/>
      <c r="C469" s="48"/>
      <c r="D469" s="48"/>
      <c r="E469" s="48"/>
      <c r="F469" s="48"/>
      <c r="G469" s="47"/>
      <c r="H469" s="47"/>
      <c r="I469" s="47"/>
      <c r="J469" s="47"/>
      <c r="K469" s="47"/>
      <c r="L469" s="47"/>
      <c r="M469" s="47"/>
      <c r="N469" s="47"/>
      <c r="O469" s="47"/>
      <c r="P469" s="47"/>
      <c r="Q469" s="47"/>
      <c r="R469" s="47"/>
      <c r="S469" s="50"/>
      <c r="T469" s="51"/>
      <c r="U469" s="51"/>
      <c r="V469" s="51"/>
      <c r="W469" s="51"/>
      <c r="X469" s="51"/>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52"/>
      <c r="BH469" s="48"/>
      <c r="BI469" s="48"/>
      <c r="BJ469" s="48"/>
      <c r="BK469" s="48"/>
      <c r="BL469" s="48"/>
      <c r="BM469" s="48"/>
      <c r="BN469" s="48"/>
      <c r="BO469" s="48"/>
      <c r="BP469" s="48"/>
      <c r="BQ469" s="48"/>
    </row>
    <row r="470" ht="23.25" customHeight="1">
      <c r="A470" s="47"/>
      <c r="B470" s="47"/>
      <c r="C470" s="48"/>
      <c r="D470" s="48"/>
      <c r="E470" s="48"/>
      <c r="F470" s="48"/>
      <c r="G470" s="47"/>
      <c r="H470" s="47"/>
      <c r="I470" s="47"/>
      <c r="J470" s="47"/>
      <c r="K470" s="47"/>
      <c r="L470" s="47"/>
      <c r="M470" s="47"/>
      <c r="N470" s="47"/>
      <c r="O470" s="47"/>
      <c r="P470" s="47"/>
      <c r="Q470" s="47"/>
      <c r="R470" s="47"/>
      <c r="S470" s="50"/>
      <c r="T470" s="51"/>
      <c r="U470" s="51"/>
      <c r="V470" s="51"/>
      <c r="W470" s="51"/>
      <c r="X470" s="51"/>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52"/>
      <c r="BH470" s="48"/>
      <c r="BI470" s="48"/>
      <c r="BJ470" s="48"/>
      <c r="BK470" s="48"/>
      <c r="BL470" s="48"/>
      <c r="BM470" s="48"/>
      <c r="BN470" s="48"/>
      <c r="BO470" s="48"/>
      <c r="BP470" s="48"/>
      <c r="BQ470" s="48"/>
    </row>
    <row r="471" ht="23.25" customHeight="1">
      <c r="A471" s="47"/>
      <c r="B471" s="47"/>
      <c r="C471" s="48"/>
      <c r="D471" s="48"/>
      <c r="E471" s="48"/>
      <c r="F471" s="48"/>
      <c r="G471" s="47"/>
      <c r="H471" s="47"/>
      <c r="I471" s="47"/>
      <c r="J471" s="47"/>
      <c r="K471" s="47"/>
      <c r="L471" s="47"/>
      <c r="M471" s="47"/>
      <c r="N471" s="47"/>
      <c r="O471" s="47"/>
      <c r="P471" s="47"/>
      <c r="Q471" s="47"/>
      <c r="R471" s="47"/>
      <c r="S471" s="50"/>
      <c r="T471" s="51"/>
      <c r="U471" s="51"/>
      <c r="V471" s="51"/>
      <c r="W471" s="51"/>
      <c r="X471" s="51"/>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52"/>
      <c r="BH471" s="48"/>
      <c r="BI471" s="48"/>
      <c r="BJ471" s="48"/>
      <c r="BK471" s="48"/>
      <c r="BL471" s="48"/>
      <c r="BM471" s="48"/>
      <c r="BN471" s="48"/>
      <c r="BO471" s="48"/>
      <c r="BP471" s="48"/>
      <c r="BQ471" s="48"/>
    </row>
    <row r="472" ht="23.25" customHeight="1">
      <c r="A472" s="47"/>
      <c r="B472" s="47"/>
      <c r="C472" s="48"/>
      <c r="D472" s="48"/>
      <c r="E472" s="48"/>
      <c r="F472" s="48"/>
      <c r="G472" s="47"/>
      <c r="H472" s="47"/>
      <c r="I472" s="47"/>
      <c r="J472" s="47"/>
      <c r="K472" s="47"/>
      <c r="L472" s="47"/>
      <c r="M472" s="47"/>
      <c r="N472" s="47"/>
      <c r="O472" s="47"/>
      <c r="P472" s="47"/>
      <c r="Q472" s="47"/>
      <c r="R472" s="47"/>
      <c r="S472" s="50"/>
      <c r="T472" s="51"/>
      <c r="U472" s="51"/>
      <c r="V472" s="51"/>
      <c r="W472" s="51"/>
      <c r="X472" s="51"/>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52"/>
      <c r="BH472" s="48"/>
      <c r="BI472" s="48"/>
      <c r="BJ472" s="48"/>
      <c r="BK472" s="48"/>
      <c r="BL472" s="48"/>
      <c r="BM472" s="48"/>
      <c r="BN472" s="48"/>
      <c r="BO472" s="48"/>
      <c r="BP472" s="48"/>
      <c r="BQ472" s="48"/>
    </row>
    <row r="473" ht="23.25" customHeight="1">
      <c r="A473" s="47"/>
      <c r="B473" s="47"/>
      <c r="C473" s="48"/>
      <c r="D473" s="48"/>
      <c r="E473" s="48"/>
      <c r="F473" s="48"/>
      <c r="G473" s="47"/>
      <c r="H473" s="47"/>
      <c r="I473" s="47"/>
      <c r="J473" s="47"/>
      <c r="K473" s="47"/>
      <c r="L473" s="47"/>
      <c r="M473" s="47"/>
      <c r="N473" s="47"/>
      <c r="O473" s="47"/>
      <c r="P473" s="47"/>
      <c r="Q473" s="47"/>
      <c r="R473" s="47"/>
      <c r="S473" s="50"/>
      <c r="T473" s="51"/>
      <c r="U473" s="51"/>
      <c r="V473" s="51"/>
      <c r="W473" s="51"/>
      <c r="X473" s="51"/>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52"/>
      <c r="BH473" s="48"/>
      <c r="BI473" s="48"/>
      <c r="BJ473" s="48"/>
      <c r="BK473" s="48"/>
      <c r="BL473" s="48"/>
      <c r="BM473" s="48"/>
      <c r="BN473" s="48"/>
      <c r="BO473" s="48"/>
      <c r="BP473" s="48"/>
      <c r="BQ473" s="48"/>
    </row>
    <row r="474" ht="23.25" customHeight="1">
      <c r="A474" s="47"/>
      <c r="B474" s="47"/>
      <c r="C474" s="48"/>
      <c r="D474" s="48"/>
      <c r="E474" s="48"/>
      <c r="F474" s="48"/>
      <c r="G474" s="47"/>
      <c r="H474" s="47"/>
      <c r="I474" s="47"/>
      <c r="J474" s="47"/>
      <c r="K474" s="47"/>
      <c r="L474" s="47"/>
      <c r="M474" s="47"/>
      <c r="N474" s="47"/>
      <c r="O474" s="47"/>
      <c r="P474" s="47"/>
      <c r="Q474" s="47"/>
      <c r="R474" s="47"/>
      <c r="S474" s="50"/>
      <c r="T474" s="51"/>
      <c r="U474" s="51"/>
      <c r="V474" s="51"/>
      <c r="W474" s="51"/>
      <c r="X474" s="51"/>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52"/>
      <c r="BH474" s="48"/>
      <c r="BI474" s="48"/>
      <c r="BJ474" s="48"/>
      <c r="BK474" s="48"/>
      <c r="BL474" s="48"/>
      <c r="BM474" s="48"/>
      <c r="BN474" s="48"/>
      <c r="BO474" s="48"/>
      <c r="BP474" s="48"/>
      <c r="BQ474" s="48"/>
    </row>
    <row r="475" ht="23.25" customHeight="1">
      <c r="A475" s="47"/>
      <c r="B475" s="47"/>
      <c r="C475" s="48"/>
      <c r="D475" s="48"/>
      <c r="E475" s="48"/>
      <c r="F475" s="48"/>
      <c r="G475" s="47"/>
      <c r="H475" s="47"/>
      <c r="I475" s="47"/>
      <c r="J475" s="47"/>
      <c r="K475" s="47"/>
      <c r="L475" s="47"/>
      <c r="M475" s="47"/>
      <c r="N475" s="47"/>
      <c r="O475" s="47"/>
      <c r="P475" s="47"/>
      <c r="Q475" s="47"/>
      <c r="R475" s="47"/>
      <c r="S475" s="50"/>
      <c r="T475" s="51"/>
      <c r="U475" s="51"/>
      <c r="V475" s="51"/>
      <c r="W475" s="51"/>
      <c r="X475" s="51"/>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52"/>
      <c r="BH475" s="48"/>
      <c r="BI475" s="48"/>
      <c r="BJ475" s="48"/>
      <c r="BK475" s="48"/>
      <c r="BL475" s="48"/>
      <c r="BM475" s="48"/>
      <c r="BN475" s="48"/>
      <c r="BO475" s="48"/>
      <c r="BP475" s="48"/>
      <c r="BQ475" s="48"/>
    </row>
    <row r="476" ht="23.25" customHeight="1">
      <c r="A476" s="47"/>
      <c r="B476" s="47"/>
      <c r="C476" s="48"/>
      <c r="D476" s="48"/>
      <c r="E476" s="48"/>
      <c r="F476" s="48"/>
      <c r="G476" s="47"/>
      <c r="H476" s="47"/>
      <c r="I476" s="47"/>
      <c r="J476" s="47"/>
      <c r="K476" s="47"/>
      <c r="L476" s="47"/>
      <c r="M476" s="47"/>
      <c r="N476" s="47"/>
      <c r="O476" s="47"/>
      <c r="P476" s="47"/>
      <c r="Q476" s="47"/>
      <c r="R476" s="47"/>
      <c r="S476" s="50"/>
      <c r="T476" s="51"/>
      <c r="U476" s="51"/>
      <c r="V476" s="51"/>
      <c r="W476" s="51"/>
      <c r="X476" s="51"/>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52"/>
      <c r="BH476" s="48"/>
      <c r="BI476" s="48"/>
      <c r="BJ476" s="48"/>
      <c r="BK476" s="48"/>
      <c r="BL476" s="48"/>
      <c r="BM476" s="48"/>
      <c r="BN476" s="48"/>
      <c r="BO476" s="48"/>
      <c r="BP476" s="48"/>
      <c r="BQ476" s="48"/>
    </row>
    <row r="477" ht="23.25" customHeight="1">
      <c r="A477" s="47"/>
      <c r="B477" s="47"/>
      <c r="C477" s="48"/>
      <c r="D477" s="48"/>
      <c r="E477" s="48"/>
      <c r="F477" s="48"/>
      <c r="G477" s="47"/>
      <c r="H477" s="47"/>
      <c r="I477" s="47"/>
      <c r="J477" s="47"/>
      <c r="K477" s="47"/>
      <c r="L477" s="47"/>
      <c r="M477" s="47"/>
      <c r="N477" s="47"/>
      <c r="O477" s="47"/>
      <c r="P477" s="47"/>
      <c r="Q477" s="47"/>
      <c r="R477" s="47"/>
      <c r="S477" s="50"/>
      <c r="T477" s="51"/>
      <c r="U477" s="51"/>
      <c r="V477" s="51"/>
      <c r="W477" s="51"/>
      <c r="X477" s="51"/>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52"/>
      <c r="BH477" s="48"/>
      <c r="BI477" s="48"/>
      <c r="BJ477" s="48"/>
      <c r="BK477" s="48"/>
      <c r="BL477" s="48"/>
      <c r="BM477" s="48"/>
      <c r="BN477" s="48"/>
      <c r="BO477" s="48"/>
      <c r="BP477" s="48"/>
      <c r="BQ477" s="48"/>
    </row>
    <row r="478" ht="23.25" customHeight="1">
      <c r="A478" s="47"/>
      <c r="B478" s="47"/>
      <c r="C478" s="48"/>
      <c r="D478" s="48"/>
      <c r="E478" s="48"/>
      <c r="F478" s="48"/>
      <c r="G478" s="47"/>
      <c r="H478" s="47"/>
      <c r="I478" s="47"/>
      <c r="J478" s="47"/>
      <c r="K478" s="47"/>
      <c r="L478" s="47"/>
      <c r="M478" s="47"/>
      <c r="N478" s="47"/>
      <c r="O478" s="47"/>
      <c r="P478" s="47"/>
      <c r="Q478" s="47"/>
      <c r="R478" s="47"/>
      <c r="S478" s="50"/>
      <c r="T478" s="51"/>
      <c r="U478" s="51"/>
      <c r="V478" s="51"/>
      <c r="W478" s="51"/>
      <c r="X478" s="51"/>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52"/>
      <c r="BH478" s="48"/>
      <c r="BI478" s="48"/>
      <c r="BJ478" s="48"/>
      <c r="BK478" s="48"/>
      <c r="BL478" s="48"/>
      <c r="BM478" s="48"/>
      <c r="BN478" s="48"/>
      <c r="BO478" s="48"/>
      <c r="BP478" s="48"/>
      <c r="BQ478" s="48"/>
    </row>
    <row r="479" ht="23.25" customHeight="1">
      <c r="A479" s="47"/>
      <c r="B479" s="47"/>
      <c r="C479" s="48"/>
      <c r="D479" s="48"/>
      <c r="E479" s="48"/>
      <c r="F479" s="48"/>
      <c r="G479" s="47"/>
      <c r="H479" s="47"/>
      <c r="I479" s="47"/>
      <c r="J479" s="47"/>
      <c r="K479" s="47"/>
      <c r="L479" s="47"/>
      <c r="M479" s="47"/>
      <c r="N479" s="47"/>
      <c r="O479" s="47"/>
      <c r="P479" s="47"/>
      <c r="Q479" s="47"/>
      <c r="R479" s="47"/>
      <c r="S479" s="50"/>
      <c r="T479" s="51"/>
      <c r="U479" s="51"/>
      <c r="V479" s="51"/>
      <c r="W479" s="51"/>
      <c r="X479" s="51"/>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52"/>
      <c r="BH479" s="48"/>
      <c r="BI479" s="48"/>
      <c r="BJ479" s="48"/>
      <c r="BK479" s="48"/>
      <c r="BL479" s="48"/>
      <c r="BM479" s="48"/>
      <c r="BN479" s="48"/>
      <c r="BO479" s="48"/>
      <c r="BP479" s="48"/>
      <c r="BQ479" s="48"/>
    </row>
    <row r="480" ht="23.25" customHeight="1">
      <c r="A480" s="47"/>
      <c r="B480" s="47"/>
      <c r="C480" s="48"/>
      <c r="D480" s="48"/>
      <c r="E480" s="48"/>
      <c r="F480" s="48"/>
      <c r="G480" s="47"/>
      <c r="H480" s="47"/>
      <c r="I480" s="47"/>
      <c r="J480" s="47"/>
      <c r="K480" s="47"/>
      <c r="L480" s="47"/>
      <c r="M480" s="47"/>
      <c r="N480" s="47"/>
      <c r="O480" s="47"/>
      <c r="P480" s="47"/>
      <c r="Q480" s="47"/>
      <c r="R480" s="47"/>
      <c r="S480" s="50"/>
      <c r="T480" s="51"/>
      <c r="U480" s="51"/>
      <c r="V480" s="51"/>
      <c r="W480" s="51"/>
      <c r="X480" s="51"/>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52"/>
      <c r="BH480" s="48"/>
      <c r="BI480" s="48"/>
      <c r="BJ480" s="48"/>
      <c r="BK480" s="48"/>
      <c r="BL480" s="48"/>
      <c r="BM480" s="48"/>
      <c r="BN480" s="48"/>
      <c r="BO480" s="48"/>
      <c r="BP480" s="48"/>
      <c r="BQ480" s="48"/>
    </row>
    <row r="481" ht="23.25" customHeight="1">
      <c r="A481" s="47"/>
      <c r="B481" s="47"/>
      <c r="C481" s="48"/>
      <c r="D481" s="48"/>
      <c r="E481" s="48"/>
      <c r="F481" s="48"/>
      <c r="G481" s="47"/>
      <c r="H481" s="47"/>
      <c r="I481" s="47"/>
      <c r="J481" s="47"/>
      <c r="K481" s="47"/>
      <c r="L481" s="47"/>
      <c r="M481" s="47"/>
      <c r="N481" s="47"/>
      <c r="O481" s="47"/>
      <c r="P481" s="47"/>
      <c r="Q481" s="47"/>
      <c r="R481" s="47"/>
      <c r="S481" s="50"/>
      <c r="T481" s="51"/>
      <c r="U481" s="51"/>
      <c r="V481" s="51"/>
      <c r="W481" s="51"/>
      <c r="X481" s="51"/>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52"/>
      <c r="BH481" s="48"/>
      <c r="BI481" s="48"/>
      <c r="BJ481" s="48"/>
      <c r="BK481" s="48"/>
      <c r="BL481" s="48"/>
      <c r="BM481" s="48"/>
      <c r="BN481" s="48"/>
      <c r="BO481" s="48"/>
      <c r="BP481" s="48"/>
      <c r="BQ481" s="48"/>
    </row>
    <row r="482" ht="23.25" customHeight="1">
      <c r="A482" s="47"/>
      <c r="B482" s="47"/>
      <c r="C482" s="48"/>
      <c r="D482" s="48"/>
      <c r="E482" s="48"/>
      <c r="F482" s="48"/>
      <c r="G482" s="47"/>
      <c r="H482" s="47"/>
      <c r="I482" s="47"/>
      <c r="J482" s="47"/>
      <c r="K482" s="47"/>
      <c r="L482" s="47"/>
      <c r="M482" s="47"/>
      <c r="N482" s="47"/>
      <c r="O482" s="47"/>
      <c r="P482" s="47"/>
      <c r="Q482" s="47"/>
      <c r="R482" s="47"/>
      <c r="S482" s="50"/>
      <c r="T482" s="51"/>
      <c r="U482" s="51"/>
      <c r="V482" s="51"/>
      <c r="W482" s="51"/>
      <c r="X482" s="51"/>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52"/>
      <c r="BH482" s="48"/>
      <c r="BI482" s="48"/>
      <c r="BJ482" s="48"/>
      <c r="BK482" s="48"/>
      <c r="BL482" s="48"/>
      <c r="BM482" s="48"/>
      <c r="BN482" s="48"/>
      <c r="BO482" s="48"/>
      <c r="BP482" s="48"/>
      <c r="BQ482" s="48"/>
    </row>
    <row r="483" ht="23.25" customHeight="1">
      <c r="A483" s="47"/>
      <c r="B483" s="47"/>
      <c r="C483" s="48"/>
      <c r="D483" s="48"/>
      <c r="E483" s="48"/>
      <c r="F483" s="48"/>
      <c r="G483" s="47"/>
      <c r="H483" s="47"/>
      <c r="I483" s="47"/>
      <c r="J483" s="47"/>
      <c r="K483" s="47"/>
      <c r="L483" s="47"/>
      <c r="M483" s="47"/>
      <c r="N483" s="47"/>
      <c r="O483" s="47"/>
      <c r="P483" s="47"/>
      <c r="Q483" s="47"/>
      <c r="R483" s="47"/>
      <c r="S483" s="50"/>
      <c r="T483" s="51"/>
      <c r="U483" s="51"/>
      <c r="V483" s="51"/>
      <c r="W483" s="51"/>
      <c r="X483" s="51"/>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52"/>
      <c r="BH483" s="48"/>
      <c r="BI483" s="48"/>
      <c r="BJ483" s="48"/>
      <c r="BK483" s="48"/>
      <c r="BL483" s="48"/>
      <c r="BM483" s="48"/>
      <c r="BN483" s="48"/>
      <c r="BO483" s="48"/>
      <c r="BP483" s="48"/>
      <c r="BQ483" s="48"/>
    </row>
    <row r="484" ht="23.25" customHeight="1">
      <c r="A484" s="47"/>
      <c r="B484" s="47"/>
      <c r="C484" s="48"/>
      <c r="D484" s="48"/>
      <c r="E484" s="48"/>
      <c r="F484" s="48"/>
      <c r="G484" s="47"/>
      <c r="H484" s="47"/>
      <c r="I484" s="47"/>
      <c r="J484" s="47"/>
      <c r="K484" s="47"/>
      <c r="L484" s="47"/>
      <c r="M484" s="47"/>
      <c r="N484" s="47"/>
      <c r="O484" s="47"/>
      <c r="P484" s="47"/>
      <c r="Q484" s="47"/>
      <c r="R484" s="47"/>
      <c r="S484" s="50"/>
      <c r="T484" s="51"/>
      <c r="U484" s="51"/>
      <c r="V484" s="51"/>
      <c r="W484" s="51"/>
      <c r="X484" s="51"/>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52"/>
      <c r="BH484" s="48"/>
      <c r="BI484" s="48"/>
      <c r="BJ484" s="48"/>
      <c r="BK484" s="48"/>
      <c r="BL484" s="48"/>
      <c r="BM484" s="48"/>
      <c r="BN484" s="48"/>
      <c r="BO484" s="48"/>
      <c r="BP484" s="48"/>
      <c r="BQ484" s="48"/>
    </row>
    <row r="485" ht="23.25" customHeight="1">
      <c r="A485" s="47"/>
      <c r="B485" s="47"/>
      <c r="C485" s="48"/>
      <c r="D485" s="48"/>
      <c r="E485" s="48"/>
      <c r="F485" s="48"/>
      <c r="G485" s="47"/>
      <c r="H485" s="47"/>
      <c r="I485" s="47"/>
      <c r="J485" s="47"/>
      <c r="K485" s="47"/>
      <c r="L485" s="47"/>
      <c r="M485" s="47"/>
      <c r="N485" s="47"/>
      <c r="O485" s="47"/>
      <c r="P485" s="47"/>
      <c r="Q485" s="47"/>
      <c r="R485" s="47"/>
      <c r="S485" s="50"/>
      <c r="T485" s="51"/>
      <c r="U485" s="51"/>
      <c r="V485" s="51"/>
      <c r="W485" s="51"/>
      <c r="X485" s="51"/>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52"/>
      <c r="BH485" s="48"/>
      <c r="BI485" s="48"/>
      <c r="BJ485" s="48"/>
      <c r="BK485" s="48"/>
      <c r="BL485" s="48"/>
      <c r="BM485" s="48"/>
      <c r="BN485" s="48"/>
      <c r="BO485" s="48"/>
      <c r="BP485" s="48"/>
      <c r="BQ485" s="48"/>
    </row>
    <row r="486" ht="23.25" customHeight="1">
      <c r="A486" s="47"/>
      <c r="B486" s="47"/>
      <c r="C486" s="48"/>
      <c r="D486" s="48"/>
      <c r="E486" s="48"/>
      <c r="F486" s="48"/>
      <c r="G486" s="47"/>
      <c r="H486" s="47"/>
      <c r="I486" s="47"/>
      <c r="J486" s="47"/>
      <c r="K486" s="47"/>
      <c r="L486" s="47"/>
      <c r="M486" s="47"/>
      <c r="N486" s="47"/>
      <c r="O486" s="47"/>
      <c r="P486" s="47"/>
      <c r="Q486" s="47"/>
      <c r="R486" s="47"/>
      <c r="S486" s="50"/>
      <c r="T486" s="51"/>
      <c r="U486" s="51"/>
      <c r="V486" s="51"/>
      <c r="W486" s="51"/>
      <c r="X486" s="51"/>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52"/>
      <c r="BH486" s="48"/>
      <c r="BI486" s="48"/>
      <c r="BJ486" s="48"/>
      <c r="BK486" s="48"/>
      <c r="BL486" s="48"/>
      <c r="BM486" s="48"/>
      <c r="BN486" s="48"/>
      <c r="BO486" s="48"/>
      <c r="BP486" s="48"/>
      <c r="BQ486" s="48"/>
    </row>
    <row r="487" ht="23.25" customHeight="1">
      <c r="A487" s="47"/>
      <c r="B487" s="47"/>
      <c r="C487" s="48"/>
      <c r="D487" s="48"/>
      <c r="E487" s="48"/>
      <c r="F487" s="48"/>
      <c r="G487" s="47"/>
      <c r="H487" s="47"/>
      <c r="I487" s="47"/>
      <c r="J487" s="47"/>
      <c r="K487" s="47"/>
      <c r="L487" s="47"/>
      <c r="M487" s="47"/>
      <c r="N487" s="47"/>
      <c r="O487" s="47"/>
      <c r="P487" s="47"/>
      <c r="Q487" s="47"/>
      <c r="R487" s="47"/>
      <c r="S487" s="50"/>
      <c r="T487" s="51"/>
      <c r="U487" s="51"/>
      <c r="V487" s="51"/>
      <c r="W487" s="51"/>
      <c r="X487" s="51"/>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52"/>
      <c r="BH487" s="48"/>
      <c r="BI487" s="48"/>
      <c r="BJ487" s="48"/>
      <c r="BK487" s="48"/>
      <c r="BL487" s="48"/>
      <c r="BM487" s="48"/>
      <c r="BN487" s="48"/>
      <c r="BO487" s="48"/>
      <c r="BP487" s="48"/>
      <c r="BQ487" s="48"/>
    </row>
    <row r="488" ht="23.25" customHeight="1">
      <c r="A488" s="47"/>
      <c r="B488" s="47"/>
      <c r="C488" s="48"/>
      <c r="D488" s="48"/>
      <c r="E488" s="48"/>
      <c r="F488" s="48"/>
      <c r="G488" s="47"/>
      <c r="H488" s="47"/>
      <c r="I488" s="47"/>
      <c r="J488" s="47"/>
      <c r="K488" s="47"/>
      <c r="L488" s="47"/>
      <c r="M488" s="47"/>
      <c r="N488" s="47"/>
      <c r="O488" s="47"/>
      <c r="P488" s="47"/>
      <c r="Q488" s="47"/>
      <c r="R488" s="47"/>
      <c r="S488" s="50"/>
      <c r="T488" s="51"/>
      <c r="U488" s="51"/>
      <c r="V488" s="51"/>
      <c r="W488" s="51"/>
      <c r="X488" s="51"/>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52"/>
      <c r="BH488" s="48"/>
      <c r="BI488" s="48"/>
      <c r="BJ488" s="48"/>
      <c r="BK488" s="48"/>
      <c r="BL488" s="48"/>
      <c r="BM488" s="48"/>
      <c r="BN488" s="48"/>
      <c r="BO488" s="48"/>
      <c r="BP488" s="48"/>
      <c r="BQ488" s="48"/>
    </row>
    <row r="489" ht="23.25" customHeight="1">
      <c r="A489" s="47"/>
      <c r="B489" s="47"/>
      <c r="C489" s="48"/>
      <c r="D489" s="48"/>
      <c r="E489" s="48"/>
      <c r="F489" s="48"/>
      <c r="G489" s="47"/>
      <c r="H489" s="47"/>
      <c r="I489" s="47"/>
      <c r="J489" s="47"/>
      <c r="K489" s="47"/>
      <c r="L489" s="47"/>
      <c r="M489" s="47"/>
      <c r="N489" s="47"/>
      <c r="O489" s="47"/>
      <c r="P489" s="47"/>
      <c r="Q489" s="47"/>
      <c r="R489" s="47"/>
      <c r="S489" s="50"/>
      <c r="T489" s="51"/>
      <c r="U489" s="51"/>
      <c r="V489" s="51"/>
      <c r="W489" s="51"/>
      <c r="X489" s="51"/>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52"/>
      <c r="BH489" s="48"/>
      <c r="BI489" s="48"/>
      <c r="BJ489" s="48"/>
      <c r="BK489" s="48"/>
      <c r="BL489" s="48"/>
      <c r="BM489" s="48"/>
      <c r="BN489" s="48"/>
      <c r="BO489" s="48"/>
      <c r="BP489" s="48"/>
      <c r="BQ489" s="48"/>
    </row>
    <row r="490" ht="23.25" customHeight="1">
      <c r="A490" s="47"/>
      <c r="B490" s="47"/>
      <c r="C490" s="48"/>
      <c r="D490" s="48"/>
      <c r="E490" s="48"/>
      <c r="F490" s="48"/>
      <c r="G490" s="47"/>
      <c r="H490" s="47"/>
      <c r="I490" s="47"/>
      <c r="J490" s="47"/>
      <c r="K490" s="47"/>
      <c r="L490" s="47"/>
      <c r="M490" s="47"/>
      <c r="N490" s="47"/>
      <c r="O490" s="47"/>
      <c r="P490" s="47"/>
      <c r="Q490" s="47"/>
      <c r="R490" s="47"/>
      <c r="S490" s="50"/>
      <c r="T490" s="51"/>
      <c r="U490" s="51"/>
      <c r="V490" s="51"/>
      <c r="W490" s="51"/>
      <c r="X490" s="51"/>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52"/>
      <c r="BH490" s="48"/>
      <c r="BI490" s="48"/>
      <c r="BJ490" s="48"/>
      <c r="BK490" s="48"/>
      <c r="BL490" s="48"/>
      <c r="BM490" s="48"/>
      <c r="BN490" s="48"/>
      <c r="BO490" s="48"/>
      <c r="BP490" s="48"/>
      <c r="BQ490" s="48"/>
    </row>
    <row r="491" ht="23.25" customHeight="1">
      <c r="A491" s="47"/>
      <c r="B491" s="47"/>
      <c r="C491" s="48"/>
      <c r="D491" s="48"/>
      <c r="E491" s="48"/>
      <c r="F491" s="48"/>
      <c r="G491" s="47"/>
      <c r="H491" s="47"/>
      <c r="I491" s="47"/>
      <c r="J491" s="47"/>
      <c r="K491" s="47"/>
      <c r="L491" s="47"/>
      <c r="M491" s="47"/>
      <c r="N491" s="47"/>
      <c r="O491" s="47"/>
      <c r="P491" s="47"/>
      <c r="Q491" s="47"/>
      <c r="R491" s="47"/>
      <c r="S491" s="50"/>
      <c r="T491" s="51"/>
      <c r="U491" s="51"/>
      <c r="V491" s="51"/>
      <c r="W491" s="51"/>
      <c r="X491" s="51"/>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52"/>
      <c r="BH491" s="48"/>
      <c r="BI491" s="48"/>
      <c r="BJ491" s="48"/>
      <c r="BK491" s="48"/>
      <c r="BL491" s="48"/>
      <c r="BM491" s="48"/>
      <c r="BN491" s="48"/>
      <c r="BO491" s="48"/>
      <c r="BP491" s="48"/>
      <c r="BQ491" s="48"/>
    </row>
    <row r="492" ht="23.25" customHeight="1">
      <c r="A492" s="47"/>
      <c r="B492" s="47"/>
      <c r="C492" s="48"/>
      <c r="D492" s="48"/>
      <c r="E492" s="48"/>
      <c r="F492" s="48"/>
      <c r="G492" s="47"/>
      <c r="H492" s="47"/>
      <c r="I492" s="47"/>
      <c r="J492" s="47"/>
      <c r="K492" s="47"/>
      <c r="L492" s="47"/>
      <c r="M492" s="47"/>
      <c r="N492" s="47"/>
      <c r="O492" s="47"/>
      <c r="P492" s="47"/>
      <c r="Q492" s="47"/>
      <c r="R492" s="47"/>
      <c r="S492" s="50"/>
      <c r="T492" s="51"/>
      <c r="U492" s="51"/>
      <c r="V492" s="51"/>
      <c r="W492" s="51"/>
      <c r="X492" s="51"/>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52"/>
      <c r="BH492" s="48"/>
      <c r="BI492" s="48"/>
      <c r="BJ492" s="48"/>
      <c r="BK492" s="48"/>
      <c r="BL492" s="48"/>
      <c r="BM492" s="48"/>
      <c r="BN492" s="48"/>
      <c r="BO492" s="48"/>
      <c r="BP492" s="48"/>
      <c r="BQ492" s="48"/>
    </row>
    <row r="493" ht="23.25" customHeight="1">
      <c r="A493" s="47"/>
      <c r="B493" s="47"/>
      <c r="C493" s="48"/>
      <c r="D493" s="48"/>
      <c r="E493" s="48"/>
      <c r="F493" s="48"/>
      <c r="G493" s="47"/>
      <c r="H493" s="47"/>
      <c r="I493" s="47"/>
      <c r="J493" s="47"/>
      <c r="K493" s="47"/>
      <c r="L493" s="47"/>
      <c r="M493" s="47"/>
      <c r="N493" s="47"/>
      <c r="O493" s="47"/>
      <c r="P493" s="47"/>
      <c r="Q493" s="47"/>
      <c r="R493" s="47"/>
      <c r="S493" s="50"/>
      <c r="T493" s="51"/>
      <c r="U493" s="51"/>
      <c r="V493" s="51"/>
      <c r="W493" s="51"/>
      <c r="X493" s="51"/>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52"/>
      <c r="BH493" s="48"/>
      <c r="BI493" s="48"/>
      <c r="BJ493" s="48"/>
      <c r="BK493" s="48"/>
      <c r="BL493" s="48"/>
      <c r="BM493" s="48"/>
      <c r="BN493" s="48"/>
      <c r="BO493" s="48"/>
      <c r="BP493" s="48"/>
      <c r="BQ493" s="48"/>
    </row>
    <row r="494" ht="23.25" customHeight="1">
      <c r="A494" s="47"/>
      <c r="B494" s="47"/>
      <c r="C494" s="48"/>
      <c r="D494" s="48"/>
      <c r="E494" s="48"/>
      <c r="F494" s="48"/>
      <c r="G494" s="47"/>
      <c r="H494" s="47"/>
      <c r="I494" s="47"/>
      <c r="J494" s="47"/>
      <c r="K494" s="47"/>
      <c r="L494" s="47"/>
      <c r="M494" s="47"/>
      <c r="N494" s="47"/>
      <c r="O494" s="47"/>
      <c r="P494" s="47"/>
      <c r="Q494" s="47"/>
      <c r="R494" s="47"/>
      <c r="S494" s="50"/>
      <c r="T494" s="51"/>
      <c r="U494" s="51"/>
      <c r="V494" s="51"/>
      <c r="W494" s="51"/>
      <c r="X494" s="51"/>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52"/>
      <c r="BH494" s="48"/>
      <c r="BI494" s="48"/>
      <c r="BJ494" s="48"/>
      <c r="BK494" s="48"/>
      <c r="BL494" s="48"/>
      <c r="BM494" s="48"/>
      <c r="BN494" s="48"/>
      <c r="BO494" s="48"/>
      <c r="BP494" s="48"/>
      <c r="BQ494" s="48"/>
    </row>
    <row r="495" ht="23.25" customHeight="1">
      <c r="A495" s="47"/>
      <c r="B495" s="47"/>
      <c r="C495" s="48"/>
      <c r="D495" s="48"/>
      <c r="E495" s="48"/>
      <c r="F495" s="48"/>
      <c r="G495" s="47"/>
      <c r="H495" s="47"/>
      <c r="I495" s="47"/>
      <c r="J495" s="47"/>
      <c r="K495" s="47"/>
      <c r="L495" s="47"/>
      <c r="M495" s="47"/>
      <c r="N495" s="47"/>
      <c r="O495" s="47"/>
      <c r="P495" s="47"/>
      <c r="Q495" s="47"/>
      <c r="R495" s="47"/>
      <c r="S495" s="50"/>
      <c r="T495" s="51"/>
      <c r="U495" s="51"/>
      <c r="V495" s="51"/>
      <c r="W495" s="51"/>
      <c r="X495" s="51"/>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52"/>
      <c r="BH495" s="48"/>
      <c r="BI495" s="48"/>
      <c r="BJ495" s="48"/>
      <c r="BK495" s="48"/>
      <c r="BL495" s="48"/>
      <c r="BM495" s="48"/>
      <c r="BN495" s="48"/>
      <c r="BO495" s="48"/>
      <c r="BP495" s="48"/>
      <c r="BQ495" s="48"/>
    </row>
    <row r="496" ht="23.25" customHeight="1">
      <c r="A496" s="47"/>
      <c r="B496" s="47"/>
      <c r="C496" s="48"/>
      <c r="D496" s="48"/>
      <c r="E496" s="48"/>
      <c r="F496" s="48"/>
      <c r="G496" s="47"/>
      <c r="H496" s="47"/>
      <c r="I496" s="47"/>
      <c r="J496" s="47"/>
      <c r="K496" s="47"/>
      <c r="L496" s="47"/>
      <c r="M496" s="47"/>
      <c r="N496" s="47"/>
      <c r="O496" s="47"/>
      <c r="P496" s="47"/>
      <c r="Q496" s="47"/>
      <c r="R496" s="47"/>
      <c r="S496" s="50"/>
      <c r="T496" s="51"/>
      <c r="U496" s="51"/>
      <c r="V496" s="51"/>
      <c r="W496" s="51"/>
      <c r="X496" s="51"/>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52"/>
      <c r="BH496" s="48"/>
      <c r="BI496" s="48"/>
      <c r="BJ496" s="48"/>
      <c r="BK496" s="48"/>
      <c r="BL496" s="48"/>
      <c r="BM496" s="48"/>
      <c r="BN496" s="48"/>
      <c r="BO496" s="48"/>
      <c r="BP496" s="48"/>
      <c r="BQ496" s="48"/>
    </row>
    <row r="497" ht="23.25" customHeight="1">
      <c r="A497" s="47"/>
      <c r="B497" s="47"/>
      <c r="C497" s="48"/>
      <c r="D497" s="48"/>
      <c r="E497" s="48"/>
      <c r="F497" s="48"/>
      <c r="G497" s="47"/>
      <c r="H497" s="47"/>
      <c r="I497" s="47"/>
      <c r="J497" s="47"/>
      <c r="K497" s="47"/>
      <c r="L497" s="47"/>
      <c r="M497" s="47"/>
      <c r="N497" s="47"/>
      <c r="O497" s="47"/>
      <c r="P497" s="47"/>
      <c r="Q497" s="47"/>
      <c r="R497" s="47"/>
      <c r="S497" s="50"/>
      <c r="T497" s="51"/>
      <c r="U497" s="51"/>
      <c r="V497" s="51"/>
      <c r="W497" s="51"/>
      <c r="X497" s="51"/>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52"/>
      <c r="BH497" s="48"/>
      <c r="BI497" s="48"/>
      <c r="BJ497" s="48"/>
      <c r="BK497" s="48"/>
      <c r="BL497" s="48"/>
      <c r="BM497" s="48"/>
      <c r="BN497" s="48"/>
      <c r="BO497" s="48"/>
      <c r="BP497" s="48"/>
      <c r="BQ497" s="48"/>
    </row>
    <row r="498" ht="23.25" customHeight="1">
      <c r="A498" s="47"/>
      <c r="B498" s="47"/>
      <c r="C498" s="48"/>
      <c r="D498" s="48"/>
      <c r="E498" s="48"/>
      <c r="F498" s="48"/>
      <c r="G498" s="47"/>
      <c r="H498" s="47"/>
      <c r="I498" s="47"/>
      <c r="J498" s="47"/>
      <c r="K498" s="47"/>
      <c r="L498" s="47"/>
      <c r="M498" s="47"/>
      <c r="N498" s="47"/>
      <c r="O498" s="47"/>
      <c r="P498" s="47"/>
      <c r="Q498" s="47"/>
      <c r="R498" s="47"/>
      <c r="S498" s="50"/>
      <c r="T498" s="51"/>
      <c r="U498" s="51"/>
      <c r="V498" s="51"/>
      <c r="W498" s="51"/>
      <c r="X498" s="51"/>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52"/>
      <c r="BH498" s="48"/>
      <c r="BI498" s="48"/>
      <c r="BJ498" s="48"/>
      <c r="BK498" s="48"/>
      <c r="BL498" s="48"/>
      <c r="BM498" s="48"/>
      <c r="BN498" s="48"/>
      <c r="BO498" s="48"/>
      <c r="BP498" s="48"/>
      <c r="BQ498" s="48"/>
    </row>
    <row r="499" ht="23.25" customHeight="1">
      <c r="A499" s="47"/>
      <c r="B499" s="47"/>
      <c r="C499" s="48"/>
      <c r="D499" s="48"/>
      <c r="E499" s="48"/>
      <c r="F499" s="48"/>
      <c r="G499" s="47"/>
      <c r="H499" s="47"/>
      <c r="I499" s="47"/>
      <c r="J499" s="47"/>
      <c r="K499" s="47"/>
      <c r="L499" s="47"/>
      <c r="M499" s="47"/>
      <c r="N499" s="47"/>
      <c r="O499" s="47"/>
      <c r="P499" s="47"/>
      <c r="Q499" s="47"/>
      <c r="R499" s="47"/>
      <c r="S499" s="50"/>
      <c r="T499" s="51"/>
      <c r="U499" s="51"/>
      <c r="V499" s="51"/>
      <c r="W499" s="51"/>
      <c r="X499" s="51"/>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52"/>
      <c r="BH499" s="48"/>
      <c r="BI499" s="48"/>
      <c r="BJ499" s="48"/>
      <c r="BK499" s="48"/>
      <c r="BL499" s="48"/>
      <c r="BM499" s="48"/>
      <c r="BN499" s="48"/>
      <c r="BO499" s="48"/>
      <c r="BP499" s="48"/>
      <c r="BQ499" s="48"/>
    </row>
    <row r="500" ht="23.25" customHeight="1">
      <c r="A500" s="47"/>
      <c r="B500" s="47"/>
      <c r="C500" s="48"/>
      <c r="D500" s="48"/>
      <c r="E500" s="48"/>
      <c r="F500" s="48"/>
      <c r="G500" s="47"/>
      <c r="H500" s="47"/>
      <c r="I500" s="47"/>
      <c r="J500" s="47"/>
      <c r="K500" s="47"/>
      <c r="L500" s="47"/>
      <c r="M500" s="47"/>
      <c r="N500" s="47"/>
      <c r="O500" s="47"/>
      <c r="P500" s="47"/>
      <c r="Q500" s="47"/>
      <c r="R500" s="47"/>
      <c r="S500" s="50"/>
      <c r="T500" s="51"/>
      <c r="U500" s="51"/>
      <c r="V500" s="51"/>
      <c r="W500" s="51"/>
      <c r="X500" s="51"/>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52"/>
      <c r="BH500" s="48"/>
      <c r="BI500" s="48"/>
      <c r="BJ500" s="48"/>
      <c r="BK500" s="48"/>
      <c r="BL500" s="48"/>
      <c r="BM500" s="48"/>
      <c r="BN500" s="48"/>
      <c r="BO500" s="48"/>
      <c r="BP500" s="48"/>
      <c r="BQ500" s="48"/>
    </row>
    <row r="501" ht="23.25" customHeight="1">
      <c r="A501" s="47"/>
      <c r="B501" s="47"/>
      <c r="C501" s="48"/>
      <c r="D501" s="48"/>
      <c r="E501" s="48"/>
      <c r="F501" s="48"/>
      <c r="G501" s="47"/>
      <c r="H501" s="47"/>
      <c r="I501" s="47"/>
      <c r="J501" s="47"/>
      <c r="K501" s="47"/>
      <c r="L501" s="47"/>
      <c r="M501" s="47"/>
      <c r="N501" s="47"/>
      <c r="O501" s="47"/>
      <c r="P501" s="47"/>
      <c r="Q501" s="47"/>
      <c r="R501" s="47"/>
      <c r="S501" s="50"/>
      <c r="T501" s="51"/>
      <c r="U501" s="51"/>
      <c r="V501" s="51"/>
      <c r="W501" s="51"/>
      <c r="X501" s="51"/>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52"/>
      <c r="BH501" s="48"/>
      <c r="BI501" s="48"/>
      <c r="BJ501" s="48"/>
      <c r="BK501" s="48"/>
      <c r="BL501" s="48"/>
      <c r="BM501" s="48"/>
      <c r="BN501" s="48"/>
      <c r="BO501" s="48"/>
      <c r="BP501" s="48"/>
      <c r="BQ501" s="48"/>
    </row>
    <row r="502" ht="23.25" customHeight="1">
      <c r="A502" s="47"/>
      <c r="B502" s="47"/>
      <c r="C502" s="48"/>
      <c r="D502" s="48"/>
      <c r="E502" s="48"/>
      <c r="F502" s="48"/>
      <c r="G502" s="47"/>
      <c r="H502" s="47"/>
      <c r="I502" s="47"/>
      <c r="J502" s="47"/>
      <c r="K502" s="47"/>
      <c r="L502" s="47"/>
      <c r="M502" s="47"/>
      <c r="N502" s="47"/>
      <c r="O502" s="47"/>
      <c r="P502" s="47"/>
      <c r="Q502" s="47"/>
      <c r="R502" s="47"/>
      <c r="S502" s="50"/>
      <c r="T502" s="51"/>
      <c r="U502" s="51"/>
      <c r="V502" s="51"/>
      <c r="W502" s="51"/>
      <c r="X502" s="51"/>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52"/>
      <c r="BH502" s="48"/>
      <c r="BI502" s="48"/>
      <c r="BJ502" s="48"/>
      <c r="BK502" s="48"/>
      <c r="BL502" s="48"/>
      <c r="BM502" s="48"/>
      <c r="BN502" s="48"/>
      <c r="BO502" s="48"/>
      <c r="BP502" s="48"/>
      <c r="BQ502" s="48"/>
    </row>
    <row r="503" ht="23.25" customHeight="1">
      <c r="A503" s="47"/>
      <c r="B503" s="47"/>
      <c r="C503" s="48"/>
      <c r="D503" s="48"/>
      <c r="E503" s="48"/>
      <c r="F503" s="48"/>
      <c r="G503" s="47"/>
      <c r="H503" s="47"/>
      <c r="I503" s="47"/>
      <c r="J503" s="47"/>
      <c r="K503" s="47"/>
      <c r="L503" s="47"/>
      <c r="M503" s="47"/>
      <c r="N503" s="47"/>
      <c r="O503" s="47"/>
      <c r="P503" s="47"/>
      <c r="Q503" s="47"/>
      <c r="R503" s="47"/>
      <c r="S503" s="50"/>
      <c r="T503" s="51"/>
      <c r="U503" s="51"/>
      <c r="V503" s="51"/>
      <c r="W503" s="51"/>
      <c r="X503" s="51"/>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52"/>
      <c r="BH503" s="48"/>
      <c r="BI503" s="48"/>
      <c r="BJ503" s="48"/>
      <c r="BK503" s="48"/>
      <c r="BL503" s="48"/>
      <c r="BM503" s="48"/>
      <c r="BN503" s="48"/>
      <c r="BO503" s="48"/>
      <c r="BP503" s="48"/>
      <c r="BQ503" s="48"/>
    </row>
    <row r="504" ht="23.25" customHeight="1">
      <c r="A504" s="47"/>
      <c r="B504" s="47"/>
      <c r="C504" s="48"/>
      <c r="D504" s="48"/>
      <c r="E504" s="48"/>
      <c r="F504" s="48"/>
      <c r="G504" s="47"/>
      <c r="H504" s="47"/>
      <c r="I504" s="47"/>
      <c r="J504" s="47"/>
      <c r="K504" s="47"/>
      <c r="L504" s="47"/>
      <c r="M504" s="47"/>
      <c r="N504" s="47"/>
      <c r="O504" s="47"/>
      <c r="P504" s="47"/>
      <c r="Q504" s="47"/>
      <c r="R504" s="47"/>
      <c r="S504" s="50"/>
      <c r="T504" s="51"/>
      <c r="U504" s="51"/>
      <c r="V504" s="51"/>
      <c r="W504" s="51"/>
      <c r="X504" s="51"/>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52"/>
      <c r="BH504" s="48"/>
      <c r="BI504" s="48"/>
      <c r="BJ504" s="48"/>
      <c r="BK504" s="48"/>
      <c r="BL504" s="48"/>
      <c r="BM504" s="48"/>
      <c r="BN504" s="48"/>
      <c r="BO504" s="48"/>
      <c r="BP504" s="48"/>
      <c r="BQ504" s="48"/>
    </row>
    <row r="505" ht="23.25" customHeight="1">
      <c r="A505" s="47"/>
      <c r="B505" s="47"/>
      <c r="C505" s="48"/>
      <c r="D505" s="48"/>
      <c r="E505" s="48"/>
      <c r="F505" s="48"/>
      <c r="G505" s="47"/>
      <c r="H505" s="47"/>
      <c r="I505" s="47"/>
      <c r="J505" s="47"/>
      <c r="K505" s="47"/>
      <c r="L505" s="47"/>
      <c r="M505" s="47"/>
      <c r="N505" s="47"/>
      <c r="O505" s="47"/>
      <c r="P505" s="47"/>
      <c r="Q505" s="47"/>
      <c r="R505" s="47"/>
      <c r="S505" s="50"/>
      <c r="T505" s="51"/>
      <c r="U505" s="51"/>
      <c r="V505" s="51"/>
      <c r="W505" s="51"/>
      <c r="X505" s="51"/>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52"/>
      <c r="BH505" s="48"/>
      <c r="BI505" s="48"/>
      <c r="BJ505" s="48"/>
      <c r="BK505" s="48"/>
      <c r="BL505" s="48"/>
      <c r="BM505" s="48"/>
      <c r="BN505" s="48"/>
      <c r="BO505" s="48"/>
      <c r="BP505" s="48"/>
      <c r="BQ505" s="48"/>
    </row>
    <row r="506" ht="23.25" customHeight="1">
      <c r="A506" s="47"/>
      <c r="B506" s="47"/>
      <c r="C506" s="48"/>
      <c r="D506" s="48"/>
      <c r="E506" s="48"/>
      <c r="F506" s="48"/>
      <c r="G506" s="47"/>
      <c r="H506" s="47"/>
      <c r="I506" s="47"/>
      <c r="J506" s="47"/>
      <c r="K506" s="47"/>
      <c r="L506" s="47"/>
      <c r="M506" s="47"/>
      <c r="N506" s="47"/>
      <c r="O506" s="47"/>
      <c r="P506" s="47"/>
      <c r="Q506" s="47"/>
      <c r="R506" s="47"/>
      <c r="S506" s="50"/>
      <c r="T506" s="51"/>
      <c r="U506" s="51"/>
      <c r="V506" s="51"/>
      <c r="W506" s="51"/>
      <c r="X506" s="51"/>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52"/>
      <c r="BH506" s="48"/>
      <c r="BI506" s="48"/>
      <c r="BJ506" s="48"/>
      <c r="BK506" s="48"/>
      <c r="BL506" s="48"/>
      <c r="BM506" s="48"/>
      <c r="BN506" s="48"/>
      <c r="BO506" s="48"/>
      <c r="BP506" s="48"/>
      <c r="BQ506" s="48"/>
    </row>
    <row r="507" ht="23.25" customHeight="1">
      <c r="A507" s="47"/>
      <c r="B507" s="47"/>
      <c r="C507" s="48"/>
      <c r="D507" s="48"/>
      <c r="E507" s="48"/>
      <c r="F507" s="48"/>
      <c r="G507" s="47"/>
      <c r="H507" s="47"/>
      <c r="I507" s="47"/>
      <c r="J507" s="47"/>
      <c r="K507" s="47"/>
      <c r="L507" s="47"/>
      <c r="M507" s="47"/>
      <c r="N507" s="47"/>
      <c r="O507" s="47"/>
      <c r="P507" s="47"/>
      <c r="Q507" s="47"/>
      <c r="R507" s="47"/>
      <c r="S507" s="50"/>
      <c r="T507" s="51"/>
      <c r="U507" s="51"/>
      <c r="V507" s="51"/>
      <c r="W507" s="51"/>
      <c r="X507" s="51"/>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52"/>
      <c r="BH507" s="48"/>
      <c r="BI507" s="48"/>
      <c r="BJ507" s="48"/>
      <c r="BK507" s="48"/>
      <c r="BL507" s="48"/>
      <c r="BM507" s="48"/>
      <c r="BN507" s="48"/>
      <c r="BO507" s="48"/>
      <c r="BP507" s="48"/>
      <c r="BQ507" s="48"/>
    </row>
    <row r="508" ht="23.25" customHeight="1">
      <c r="A508" s="47"/>
      <c r="B508" s="47"/>
      <c r="C508" s="48"/>
      <c r="D508" s="48"/>
      <c r="E508" s="48"/>
      <c r="F508" s="48"/>
      <c r="G508" s="47"/>
      <c r="H508" s="47"/>
      <c r="I508" s="47"/>
      <c r="J508" s="47"/>
      <c r="K508" s="47"/>
      <c r="L508" s="47"/>
      <c r="M508" s="47"/>
      <c r="N508" s="47"/>
      <c r="O508" s="47"/>
      <c r="P508" s="47"/>
      <c r="Q508" s="47"/>
      <c r="R508" s="47"/>
      <c r="S508" s="50"/>
      <c r="T508" s="51"/>
      <c r="U508" s="51"/>
      <c r="V508" s="51"/>
      <c r="W508" s="51"/>
      <c r="X508" s="51"/>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52"/>
      <c r="BH508" s="48"/>
      <c r="BI508" s="48"/>
      <c r="BJ508" s="48"/>
      <c r="BK508" s="48"/>
      <c r="BL508" s="48"/>
      <c r="BM508" s="48"/>
      <c r="BN508" s="48"/>
      <c r="BO508" s="48"/>
      <c r="BP508" s="48"/>
      <c r="BQ508" s="48"/>
    </row>
    <row r="509" ht="23.25" customHeight="1">
      <c r="A509" s="47"/>
      <c r="B509" s="47"/>
      <c r="C509" s="48"/>
      <c r="D509" s="48"/>
      <c r="E509" s="48"/>
      <c r="F509" s="48"/>
      <c r="G509" s="47"/>
      <c r="H509" s="47"/>
      <c r="I509" s="47"/>
      <c r="J509" s="47"/>
      <c r="K509" s="47"/>
      <c r="L509" s="47"/>
      <c r="M509" s="47"/>
      <c r="N509" s="47"/>
      <c r="O509" s="47"/>
      <c r="P509" s="47"/>
      <c r="Q509" s="47"/>
      <c r="R509" s="47"/>
      <c r="S509" s="50"/>
      <c r="T509" s="51"/>
      <c r="U509" s="51"/>
      <c r="V509" s="51"/>
      <c r="W509" s="51"/>
      <c r="X509" s="51"/>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52"/>
      <c r="BH509" s="48"/>
      <c r="BI509" s="48"/>
      <c r="BJ509" s="48"/>
      <c r="BK509" s="48"/>
      <c r="BL509" s="48"/>
      <c r="BM509" s="48"/>
      <c r="BN509" s="48"/>
      <c r="BO509" s="48"/>
      <c r="BP509" s="48"/>
      <c r="BQ509" s="48"/>
    </row>
    <row r="510" ht="23.25" customHeight="1">
      <c r="A510" s="47"/>
      <c r="B510" s="47"/>
      <c r="C510" s="48"/>
      <c r="D510" s="48"/>
      <c r="E510" s="48"/>
      <c r="F510" s="48"/>
      <c r="G510" s="47"/>
      <c r="H510" s="47"/>
      <c r="I510" s="47"/>
      <c r="J510" s="47"/>
      <c r="K510" s="47"/>
      <c r="L510" s="47"/>
      <c r="M510" s="47"/>
      <c r="N510" s="47"/>
      <c r="O510" s="47"/>
      <c r="P510" s="47"/>
      <c r="Q510" s="47"/>
      <c r="R510" s="47"/>
      <c r="S510" s="50"/>
      <c r="T510" s="51"/>
      <c r="U510" s="51"/>
      <c r="V510" s="51"/>
      <c r="W510" s="51"/>
      <c r="X510" s="51"/>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52"/>
      <c r="BH510" s="48"/>
      <c r="BI510" s="48"/>
      <c r="BJ510" s="48"/>
      <c r="BK510" s="48"/>
      <c r="BL510" s="48"/>
      <c r="BM510" s="48"/>
      <c r="BN510" s="48"/>
      <c r="BO510" s="48"/>
      <c r="BP510" s="48"/>
      <c r="BQ510" s="48"/>
    </row>
    <row r="511" ht="23.25" customHeight="1">
      <c r="A511" s="47"/>
      <c r="B511" s="47"/>
      <c r="C511" s="48"/>
      <c r="D511" s="48"/>
      <c r="E511" s="48"/>
      <c r="F511" s="48"/>
      <c r="G511" s="47"/>
      <c r="H511" s="47"/>
      <c r="I511" s="47"/>
      <c r="J511" s="47"/>
      <c r="K511" s="47"/>
      <c r="L511" s="47"/>
      <c r="M511" s="47"/>
      <c r="N511" s="47"/>
      <c r="O511" s="47"/>
      <c r="P511" s="47"/>
      <c r="Q511" s="47"/>
      <c r="R511" s="47"/>
      <c r="S511" s="50"/>
      <c r="T511" s="51"/>
      <c r="U511" s="51"/>
      <c r="V511" s="51"/>
      <c r="W511" s="51"/>
      <c r="X511" s="51"/>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52"/>
      <c r="BH511" s="48"/>
      <c r="BI511" s="48"/>
      <c r="BJ511" s="48"/>
      <c r="BK511" s="48"/>
      <c r="BL511" s="48"/>
      <c r="BM511" s="48"/>
      <c r="BN511" s="48"/>
      <c r="BO511" s="48"/>
      <c r="BP511" s="48"/>
      <c r="BQ511" s="48"/>
    </row>
    <row r="512" ht="23.25" customHeight="1">
      <c r="A512" s="47"/>
      <c r="B512" s="47"/>
      <c r="C512" s="48"/>
      <c r="D512" s="48"/>
      <c r="E512" s="48"/>
      <c r="F512" s="48"/>
      <c r="G512" s="47"/>
      <c r="H512" s="47"/>
      <c r="I512" s="47"/>
      <c r="J512" s="47"/>
      <c r="K512" s="47"/>
      <c r="L512" s="47"/>
      <c r="M512" s="47"/>
      <c r="N512" s="47"/>
      <c r="O512" s="47"/>
      <c r="P512" s="47"/>
      <c r="Q512" s="47"/>
      <c r="R512" s="47"/>
      <c r="S512" s="50"/>
      <c r="T512" s="51"/>
      <c r="U512" s="51"/>
      <c r="V512" s="51"/>
      <c r="W512" s="51"/>
      <c r="X512" s="51"/>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52"/>
      <c r="BH512" s="48"/>
      <c r="BI512" s="48"/>
      <c r="BJ512" s="48"/>
      <c r="BK512" s="48"/>
      <c r="BL512" s="48"/>
      <c r="BM512" s="48"/>
      <c r="BN512" s="48"/>
      <c r="BO512" s="48"/>
      <c r="BP512" s="48"/>
      <c r="BQ512" s="48"/>
    </row>
    <row r="513" ht="23.25" customHeight="1">
      <c r="A513" s="47"/>
      <c r="B513" s="47"/>
      <c r="C513" s="48"/>
      <c r="D513" s="48"/>
      <c r="E513" s="48"/>
      <c r="F513" s="48"/>
      <c r="G513" s="47"/>
      <c r="H513" s="47"/>
      <c r="I513" s="47"/>
      <c r="J513" s="47"/>
      <c r="K513" s="47"/>
      <c r="L513" s="47"/>
      <c r="M513" s="47"/>
      <c r="N513" s="47"/>
      <c r="O513" s="47"/>
      <c r="P513" s="47"/>
      <c r="Q513" s="47"/>
      <c r="R513" s="47"/>
      <c r="S513" s="50"/>
      <c r="T513" s="51"/>
      <c r="U513" s="51"/>
      <c r="V513" s="51"/>
      <c r="W513" s="51"/>
      <c r="X513" s="51"/>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52"/>
      <c r="BH513" s="48"/>
      <c r="BI513" s="48"/>
      <c r="BJ513" s="48"/>
      <c r="BK513" s="48"/>
      <c r="BL513" s="48"/>
      <c r="BM513" s="48"/>
      <c r="BN513" s="48"/>
      <c r="BO513" s="48"/>
      <c r="BP513" s="48"/>
      <c r="BQ513" s="48"/>
    </row>
    <row r="514" ht="23.25" customHeight="1">
      <c r="A514" s="47"/>
      <c r="B514" s="47"/>
      <c r="C514" s="48"/>
      <c r="D514" s="48"/>
      <c r="E514" s="48"/>
      <c r="F514" s="48"/>
      <c r="G514" s="47"/>
      <c r="H514" s="47"/>
      <c r="I514" s="47"/>
      <c r="J514" s="47"/>
      <c r="K514" s="47"/>
      <c r="L514" s="47"/>
      <c r="M514" s="47"/>
      <c r="N514" s="47"/>
      <c r="O514" s="47"/>
      <c r="P514" s="47"/>
      <c r="Q514" s="47"/>
      <c r="R514" s="47"/>
      <c r="S514" s="50"/>
      <c r="T514" s="51"/>
      <c r="U514" s="51"/>
      <c r="V514" s="51"/>
      <c r="W514" s="51"/>
      <c r="X514" s="51"/>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52"/>
      <c r="BH514" s="48"/>
      <c r="BI514" s="48"/>
      <c r="BJ514" s="48"/>
      <c r="BK514" s="48"/>
      <c r="BL514" s="48"/>
      <c r="BM514" s="48"/>
      <c r="BN514" s="48"/>
      <c r="BO514" s="48"/>
      <c r="BP514" s="48"/>
      <c r="BQ514" s="48"/>
    </row>
    <row r="515" ht="23.25" customHeight="1">
      <c r="A515" s="47"/>
      <c r="B515" s="47"/>
      <c r="C515" s="48"/>
      <c r="D515" s="48"/>
      <c r="E515" s="48"/>
      <c r="F515" s="48"/>
      <c r="G515" s="47"/>
      <c r="H515" s="47"/>
      <c r="I515" s="47"/>
      <c r="J515" s="47"/>
      <c r="K515" s="47"/>
      <c r="L515" s="47"/>
      <c r="M515" s="47"/>
      <c r="N515" s="47"/>
      <c r="O515" s="47"/>
      <c r="P515" s="47"/>
      <c r="Q515" s="47"/>
      <c r="R515" s="47"/>
      <c r="S515" s="50"/>
      <c r="T515" s="51"/>
      <c r="U515" s="51"/>
      <c r="V515" s="51"/>
      <c r="W515" s="51"/>
      <c r="X515" s="51"/>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52"/>
      <c r="BH515" s="48"/>
      <c r="BI515" s="48"/>
      <c r="BJ515" s="48"/>
      <c r="BK515" s="48"/>
      <c r="BL515" s="48"/>
      <c r="BM515" s="48"/>
      <c r="BN515" s="48"/>
      <c r="BO515" s="48"/>
      <c r="BP515" s="48"/>
      <c r="BQ515" s="48"/>
    </row>
    <row r="516" ht="23.25" customHeight="1">
      <c r="A516" s="47"/>
      <c r="B516" s="47"/>
      <c r="C516" s="48"/>
      <c r="D516" s="48"/>
      <c r="E516" s="48"/>
      <c r="F516" s="48"/>
      <c r="G516" s="47"/>
      <c r="H516" s="47"/>
      <c r="I516" s="47"/>
      <c r="J516" s="47"/>
      <c r="K516" s="47"/>
      <c r="L516" s="47"/>
      <c r="M516" s="47"/>
      <c r="N516" s="47"/>
      <c r="O516" s="47"/>
      <c r="P516" s="47"/>
      <c r="Q516" s="47"/>
      <c r="R516" s="47"/>
      <c r="S516" s="50"/>
      <c r="T516" s="51"/>
      <c r="U516" s="51"/>
      <c r="V516" s="51"/>
      <c r="W516" s="51"/>
      <c r="X516" s="51"/>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52"/>
      <c r="BH516" s="48"/>
      <c r="BI516" s="48"/>
      <c r="BJ516" s="48"/>
      <c r="BK516" s="48"/>
      <c r="BL516" s="48"/>
      <c r="BM516" s="48"/>
      <c r="BN516" s="48"/>
      <c r="BO516" s="48"/>
      <c r="BP516" s="48"/>
      <c r="BQ516" s="48"/>
    </row>
    <row r="517" ht="23.25" customHeight="1">
      <c r="A517" s="47"/>
      <c r="B517" s="47"/>
      <c r="C517" s="48"/>
      <c r="D517" s="48"/>
      <c r="E517" s="48"/>
      <c r="F517" s="48"/>
      <c r="G517" s="47"/>
      <c r="H517" s="47"/>
      <c r="I517" s="47"/>
      <c r="J517" s="47"/>
      <c r="K517" s="47"/>
      <c r="L517" s="47"/>
      <c r="M517" s="47"/>
      <c r="N517" s="47"/>
      <c r="O517" s="47"/>
      <c r="P517" s="47"/>
      <c r="Q517" s="47"/>
      <c r="R517" s="47"/>
      <c r="S517" s="50"/>
      <c r="T517" s="51"/>
      <c r="U517" s="51"/>
      <c r="V517" s="51"/>
      <c r="W517" s="51"/>
      <c r="X517" s="51"/>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52"/>
      <c r="BH517" s="48"/>
      <c r="BI517" s="48"/>
      <c r="BJ517" s="48"/>
      <c r="BK517" s="48"/>
      <c r="BL517" s="48"/>
      <c r="BM517" s="48"/>
      <c r="BN517" s="48"/>
      <c r="BO517" s="48"/>
      <c r="BP517" s="48"/>
      <c r="BQ517" s="48"/>
    </row>
    <row r="518" ht="23.25" customHeight="1">
      <c r="A518" s="47"/>
      <c r="B518" s="47"/>
      <c r="C518" s="48"/>
      <c r="D518" s="48"/>
      <c r="E518" s="48"/>
      <c r="F518" s="48"/>
      <c r="G518" s="47"/>
      <c r="H518" s="47"/>
      <c r="I518" s="47"/>
      <c r="J518" s="47"/>
      <c r="K518" s="47"/>
      <c r="L518" s="47"/>
      <c r="M518" s="47"/>
      <c r="N518" s="47"/>
      <c r="O518" s="47"/>
      <c r="P518" s="47"/>
      <c r="Q518" s="47"/>
      <c r="R518" s="47"/>
      <c r="S518" s="50"/>
      <c r="T518" s="51"/>
      <c r="U518" s="51"/>
      <c r="V518" s="51"/>
      <c r="W518" s="51"/>
      <c r="X518" s="51"/>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52"/>
      <c r="BH518" s="48"/>
      <c r="BI518" s="48"/>
      <c r="BJ518" s="48"/>
      <c r="BK518" s="48"/>
      <c r="BL518" s="48"/>
      <c r="BM518" s="48"/>
      <c r="BN518" s="48"/>
      <c r="BO518" s="48"/>
      <c r="BP518" s="48"/>
      <c r="BQ518" s="48"/>
    </row>
    <row r="519" ht="23.25" customHeight="1">
      <c r="A519" s="47"/>
      <c r="B519" s="47"/>
      <c r="C519" s="48"/>
      <c r="D519" s="48"/>
      <c r="E519" s="48"/>
      <c r="F519" s="48"/>
      <c r="G519" s="47"/>
      <c r="H519" s="47"/>
      <c r="I519" s="47"/>
      <c r="J519" s="47"/>
      <c r="K519" s="47"/>
      <c r="L519" s="47"/>
      <c r="M519" s="47"/>
      <c r="N519" s="47"/>
      <c r="O519" s="47"/>
      <c r="P519" s="47"/>
      <c r="Q519" s="47"/>
      <c r="R519" s="47"/>
      <c r="S519" s="50"/>
      <c r="T519" s="51"/>
      <c r="U519" s="51"/>
      <c r="V519" s="51"/>
      <c r="W519" s="51"/>
      <c r="X519" s="51"/>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52"/>
      <c r="BH519" s="48"/>
      <c r="BI519" s="48"/>
      <c r="BJ519" s="48"/>
      <c r="BK519" s="48"/>
      <c r="BL519" s="48"/>
      <c r="BM519" s="48"/>
      <c r="BN519" s="48"/>
      <c r="BO519" s="48"/>
      <c r="BP519" s="48"/>
      <c r="BQ519" s="48"/>
    </row>
    <row r="520" ht="23.25" customHeight="1">
      <c r="A520" s="47"/>
      <c r="B520" s="47"/>
      <c r="C520" s="48"/>
      <c r="D520" s="48"/>
      <c r="E520" s="48"/>
      <c r="F520" s="48"/>
      <c r="G520" s="47"/>
      <c r="H520" s="47"/>
      <c r="I520" s="47"/>
      <c r="J520" s="47"/>
      <c r="K520" s="47"/>
      <c r="L520" s="47"/>
      <c r="M520" s="47"/>
      <c r="N520" s="47"/>
      <c r="O520" s="47"/>
      <c r="P520" s="47"/>
      <c r="Q520" s="47"/>
      <c r="R520" s="47"/>
      <c r="S520" s="50"/>
      <c r="T520" s="51"/>
      <c r="U520" s="51"/>
      <c r="V520" s="51"/>
      <c r="W520" s="51"/>
      <c r="X520" s="51"/>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52"/>
      <c r="BH520" s="48"/>
      <c r="BI520" s="48"/>
      <c r="BJ520" s="48"/>
      <c r="BK520" s="48"/>
      <c r="BL520" s="48"/>
      <c r="BM520" s="48"/>
      <c r="BN520" s="48"/>
      <c r="BO520" s="48"/>
      <c r="BP520" s="48"/>
      <c r="BQ520" s="48"/>
    </row>
    <row r="521" ht="23.25" customHeight="1">
      <c r="A521" s="47"/>
      <c r="B521" s="47"/>
      <c r="C521" s="48"/>
      <c r="D521" s="48"/>
      <c r="E521" s="48"/>
      <c r="F521" s="48"/>
      <c r="G521" s="47"/>
      <c r="H521" s="47"/>
      <c r="I521" s="47"/>
      <c r="J521" s="47"/>
      <c r="K521" s="47"/>
      <c r="L521" s="47"/>
      <c r="M521" s="47"/>
      <c r="N521" s="47"/>
      <c r="O521" s="47"/>
      <c r="P521" s="47"/>
      <c r="Q521" s="47"/>
      <c r="R521" s="47"/>
      <c r="S521" s="50"/>
      <c r="T521" s="51"/>
      <c r="U521" s="51"/>
      <c r="V521" s="51"/>
      <c r="W521" s="51"/>
      <c r="X521" s="51"/>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52"/>
      <c r="BH521" s="48"/>
      <c r="BI521" s="48"/>
      <c r="BJ521" s="48"/>
      <c r="BK521" s="48"/>
      <c r="BL521" s="48"/>
      <c r="BM521" s="48"/>
      <c r="BN521" s="48"/>
      <c r="BO521" s="48"/>
      <c r="BP521" s="48"/>
      <c r="BQ521" s="48"/>
    </row>
    <row r="522" ht="23.25" customHeight="1">
      <c r="A522" s="47"/>
      <c r="B522" s="47"/>
      <c r="C522" s="48"/>
      <c r="D522" s="48"/>
      <c r="E522" s="48"/>
      <c r="F522" s="48"/>
      <c r="G522" s="47"/>
      <c r="H522" s="47"/>
      <c r="I522" s="47"/>
      <c r="J522" s="47"/>
      <c r="K522" s="47"/>
      <c r="L522" s="47"/>
      <c r="M522" s="47"/>
      <c r="N522" s="47"/>
      <c r="O522" s="47"/>
      <c r="P522" s="47"/>
      <c r="Q522" s="47"/>
      <c r="R522" s="47"/>
      <c r="S522" s="50"/>
      <c r="T522" s="51"/>
      <c r="U522" s="51"/>
      <c r="V522" s="51"/>
      <c r="W522" s="51"/>
      <c r="X522" s="51"/>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52"/>
      <c r="BH522" s="48"/>
      <c r="BI522" s="48"/>
      <c r="BJ522" s="48"/>
      <c r="BK522" s="48"/>
      <c r="BL522" s="48"/>
      <c r="BM522" s="48"/>
      <c r="BN522" s="48"/>
      <c r="BO522" s="48"/>
      <c r="BP522" s="48"/>
      <c r="BQ522" s="48"/>
    </row>
    <row r="523" ht="23.25" customHeight="1">
      <c r="A523" s="47"/>
      <c r="B523" s="47"/>
      <c r="C523" s="48"/>
      <c r="D523" s="48"/>
      <c r="E523" s="48"/>
      <c r="F523" s="48"/>
      <c r="G523" s="47"/>
      <c r="H523" s="47"/>
      <c r="I523" s="47"/>
      <c r="J523" s="47"/>
      <c r="K523" s="47"/>
      <c r="L523" s="47"/>
      <c r="M523" s="47"/>
      <c r="N523" s="47"/>
      <c r="O523" s="47"/>
      <c r="P523" s="47"/>
      <c r="Q523" s="47"/>
      <c r="R523" s="47"/>
      <c r="S523" s="50"/>
      <c r="T523" s="51"/>
      <c r="U523" s="51"/>
      <c r="V523" s="51"/>
      <c r="W523" s="51"/>
      <c r="X523" s="51"/>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52"/>
      <c r="BH523" s="48"/>
      <c r="BI523" s="48"/>
      <c r="BJ523" s="48"/>
      <c r="BK523" s="48"/>
      <c r="BL523" s="48"/>
      <c r="BM523" s="48"/>
      <c r="BN523" s="48"/>
      <c r="BO523" s="48"/>
      <c r="BP523" s="48"/>
      <c r="BQ523" s="48"/>
    </row>
    <row r="524" ht="23.25" customHeight="1">
      <c r="A524" s="47"/>
      <c r="B524" s="47"/>
      <c r="C524" s="48"/>
      <c r="D524" s="48"/>
      <c r="E524" s="48"/>
      <c r="F524" s="48"/>
      <c r="G524" s="47"/>
      <c r="H524" s="47"/>
      <c r="I524" s="47"/>
      <c r="J524" s="47"/>
      <c r="K524" s="47"/>
      <c r="L524" s="47"/>
      <c r="M524" s="47"/>
      <c r="N524" s="47"/>
      <c r="O524" s="47"/>
      <c r="P524" s="47"/>
      <c r="Q524" s="47"/>
      <c r="R524" s="47"/>
      <c r="S524" s="50"/>
      <c r="T524" s="51"/>
      <c r="U524" s="51"/>
      <c r="V524" s="51"/>
      <c r="W524" s="51"/>
      <c r="X524" s="51"/>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52"/>
      <c r="BH524" s="48"/>
      <c r="BI524" s="48"/>
      <c r="BJ524" s="48"/>
      <c r="BK524" s="48"/>
      <c r="BL524" s="48"/>
      <c r="BM524" s="48"/>
      <c r="BN524" s="48"/>
      <c r="BO524" s="48"/>
      <c r="BP524" s="48"/>
      <c r="BQ524" s="48"/>
    </row>
    <row r="525" ht="23.25" customHeight="1">
      <c r="A525" s="47"/>
      <c r="B525" s="47"/>
      <c r="C525" s="48"/>
      <c r="D525" s="48"/>
      <c r="E525" s="48"/>
      <c r="F525" s="48"/>
      <c r="G525" s="47"/>
      <c r="H525" s="47"/>
      <c r="I525" s="47"/>
      <c r="J525" s="47"/>
      <c r="K525" s="47"/>
      <c r="L525" s="47"/>
      <c r="M525" s="47"/>
      <c r="N525" s="47"/>
      <c r="O525" s="47"/>
      <c r="P525" s="47"/>
      <c r="Q525" s="47"/>
      <c r="R525" s="47"/>
      <c r="S525" s="50"/>
      <c r="T525" s="51"/>
      <c r="U525" s="51"/>
      <c r="V525" s="51"/>
      <c r="W525" s="51"/>
      <c r="X525" s="51"/>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52"/>
      <c r="BH525" s="48"/>
      <c r="BI525" s="48"/>
      <c r="BJ525" s="48"/>
      <c r="BK525" s="48"/>
      <c r="BL525" s="48"/>
      <c r="BM525" s="48"/>
      <c r="BN525" s="48"/>
      <c r="BO525" s="48"/>
      <c r="BP525" s="48"/>
      <c r="BQ525" s="48"/>
    </row>
    <row r="526" ht="23.25" customHeight="1">
      <c r="A526" s="47"/>
      <c r="B526" s="47"/>
      <c r="C526" s="48"/>
      <c r="D526" s="48"/>
      <c r="E526" s="48"/>
      <c r="F526" s="48"/>
      <c r="G526" s="47"/>
      <c r="H526" s="47"/>
      <c r="I526" s="47"/>
      <c r="J526" s="47"/>
      <c r="K526" s="47"/>
      <c r="L526" s="47"/>
      <c r="M526" s="47"/>
      <c r="N526" s="47"/>
      <c r="O526" s="47"/>
      <c r="P526" s="47"/>
      <c r="Q526" s="47"/>
      <c r="R526" s="47"/>
      <c r="S526" s="50"/>
      <c r="T526" s="51"/>
      <c r="U526" s="51"/>
      <c r="V526" s="51"/>
      <c r="W526" s="51"/>
      <c r="X526" s="51"/>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52"/>
      <c r="BH526" s="48"/>
      <c r="BI526" s="48"/>
      <c r="BJ526" s="48"/>
      <c r="BK526" s="48"/>
      <c r="BL526" s="48"/>
      <c r="BM526" s="48"/>
      <c r="BN526" s="48"/>
      <c r="BO526" s="48"/>
      <c r="BP526" s="48"/>
      <c r="BQ526" s="48"/>
    </row>
    <row r="527" ht="23.25" customHeight="1">
      <c r="A527" s="47"/>
      <c r="B527" s="47"/>
      <c r="C527" s="48"/>
      <c r="D527" s="48"/>
      <c r="E527" s="48"/>
      <c r="F527" s="48"/>
      <c r="G527" s="47"/>
      <c r="H527" s="47"/>
      <c r="I527" s="47"/>
      <c r="J527" s="47"/>
      <c r="K527" s="47"/>
      <c r="L527" s="47"/>
      <c r="M527" s="47"/>
      <c r="N527" s="47"/>
      <c r="O527" s="47"/>
      <c r="P527" s="47"/>
      <c r="Q527" s="47"/>
      <c r="R527" s="47"/>
      <c r="S527" s="50"/>
      <c r="T527" s="51"/>
      <c r="U527" s="51"/>
      <c r="V527" s="51"/>
      <c r="W527" s="51"/>
      <c r="X527" s="51"/>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52"/>
      <c r="BH527" s="48"/>
      <c r="BI527" s="48"/>
      <c r="BJ527" s="48"/>
      <c r="BK527" s="48"/>
      <c r="BL527" s="48"/>
      <c r="BM527" s="48"/>
      <c r="BN527" s="48"/>
      <c r="BO527" s="48"/>
      <c r="BP527" s="48"/>
      <c r="BQ527" s="48"/>
    </row>
    <row r="528" ht="23.25" customHeight="1">
      <c r="A528" s="47"/>
      <c r="B528" s="47"/>
      <c r="C528" s="48"/>
      <c r="D528" s="48"/>
      <c r="E528" s="48"/>
      <c r="F528" s="48"/>
      <c r="G528" s="47"/>
      <c r="H528" s="47"/>
      <c r="I528" s="47"/>
      <c r="J528" s="47"/>
      <c r="K528" s="47"/>
      <c r="L528" s="47"/>
      <c r="M528" s="47"/>
      <c r="N528" s="47"/>
      <c r="O528" s="47"/>
      <c r="P528" s="47"/>
      <c r="Q528" s="47"/>
      <c r="R528" s="47"/>
      <c r="S528" s="50"/>
      <c r="T528" s="51"/>
      <c r="U528" s="51"/>
      <c r="V528" s="51"/>
      <c r="W528" s="51"/>
      <c r="X528" s="51"/>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52"/>
      <c r="BH528" s="48"/>
      <c r="BI528" s="48"/>
      <c r="BJ528" s="48"/>
      <c r="BK528" s="48"/>
      <c r="BL528" s="48"/>
      <c r="BM528" s="48"/>
      <c r="BN528" s="48"/>
      <c r="BO528" s="48"/>
      <c r="BP528" s="48"/>
      <c r="BQ528" s="48"/>
    </row>
    <row r="529" ht="23.25" customHeight="1">
      <c r="A529" s="47"/>
      <c r="B529" s="47"/>
      <c r="C529" s="48"/>
      <c r="D529" s="48"/>
      <c r="E529" s="48"/>
      <c r="F529" s="48"/>
      <c r="G529" s="47"/>
      <c r="H529" s="47"/>
      <c r="I529" s="47"/>
      <c r="J529" s="47"/>
      <c r="K529" s="47"/>
      <c r="L529" s="47"/>
      <c r="M529" s="47"/>
      <c r="N529" s="47"/>
      <c r="O529" s="47"/>
      <c r="P529" s="47"/>
      <c r="Q529" s="47"/>
      <c r="R529" s="47"/>
      <c r="S529" s="50"/>
      <c r="T529" s="51"/>
      <c r="U529" s="51"/>
      <c r="V529" s="51"/>
      <c r="W529" s="51"/>
      <c r="X529" s="51"/>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52"/>
      <c r="BH529" s="48"/>
      <c r="BI529" s="48"/>
      <c r="BJ529" s="48"/>
      <c r="BK529" s="48"/>
      <c r="BL529" s="48"/>
      <c r="BM529" s="48"/>
      <c r="BN529" s="48"/>
      <c r="BO529" s="48"/>
      <c r="BP529" s="48"/>
      <c r="BQ529" s="48"/>
    </row>
    <row r="530" ht="23.25" customHeight="1">
      <c r="A530" s="47"/>
      <c r="B530" s="47"/>
      <c r="C530" s="48"/>
      <c r="D530" s="48"/>
      <c r="E530" s="48"/>
      <c r="F530" s="48"/>
      <c r="G530" s="47"/>
      <c r="H530" s="47"/>
      <c r="I530" s="47"/>
      <c r="J530" s="47"/>
      <c r="K530" s="47"/>
      <c r="L530" s="47"/>
      <c r="M530" s="47"/>
      <c r="N530" s="47"/>
      <c r="O530" s="47"/>
      <c r="P530" s="47"/>
      <c r="Q530" s="47"/>
      <c r="R530" s="47"/>
      <c r="S530" s="50"/>
      <c r="T530" s="51"/>
      <c r="U530" s="51"/>
      <c r="V530" s="51"/>
      <c r="W530" s="51"/>
      <c r="X530" s="51"/>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52"/>
      <c r="BH530" s="48"/>
      <c r="BI530" s="48"/>
      <c r="BJ530" s="48"/>
      <c r="BK530" s="48"/>
      <c r="BL530" s="48"/>
      <c r="BM530" s="48"/>
      <c r="BN530" s="48"/>
      <c r="BO530" s="48"/>
      <c r="BP530" s="48"/>
      <c r="BQ530" s="48"/>
    </row>
    <row r="531" ht="23.25" customHeight="1">
      <c r="A531" s="47"/>
      <c r="B531" s="47"/>
      <c r="C531" s="48"/>
      <c r="D531" s="48"/>
      <c r="E531" s="48"/>
      <c r="F531" s="48"/>
      <c r="G531" s="47"/>
      <c r="H531" s="47"/>
      <c r="I531" s="47"/>
      <c r="J531" s="47"/>
      <c r="K531" s="47"/>
      <c r="L531" s="47"/>
      <c r="M531" s="47"/>
      <c r="N531" s="47"/>
      <c r="O531" s="47"/>
      <c r="P531" s="47"/>
      <c r="Q531" s="47"/>
      <c r="R531" s="47"/>
      <c r="S531" s="50"/>
      <c r="T531" s="51"/>
      <c r="U531" s="51"/>
      <c r="V531" s="51"/>
      <c r="W531" s="51"/>
      <c r="X531" s="51"/>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52"/>
      <c r="BH531" s="48"/>
      <c r="BI531" s="48"/>
      <c r="BJ531" s="48"/>
      <c r="BK531" s="48"/>
      <c r="BL531" s="48"/>
      <c r="BM531" s="48"/>
      <c r="BN531" s="48"/>
      <c r="BO531" s="48"/>
      <c r="BP531" s="48"/>
      <c r="BQ531" s="48"/>
    </row>
    <row r="532" ht="23.25" customHeight="1">
      <c r="A532" s="47"/>
      <c r="B532" s="47"/>
      <c r="C532" s="48"/>
      <c r="D532" s="48"/>
      <c r="E532" s="48"/>
      <c r="F532" s="48"/>
      <c r="G532" s="47"/>
      <c r="H532" s="47"/>
      <c r="I532" s="47"/>
      <c r="J532" s="47"/>
      <c r="K532" s="47"/>
      <c r="L532" s="47"/>
      <c r="M532" s="47"/>
      <c r="N532" s="47"/>
      <c r="O532" s="47"/>
      <c r="P532" s="47"/>
      <c r="Q532" s="47"/>
      <c r="R532" s="47"/>
      <c r="S532" s="50"/>
      <c r="T532" s="51"/>
      <c r="U532" s="51"/>
      <c r="V532" s="51"/>
      <c r="W532" s="51"/>
      <c r="X532" s="51"/>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52"/>
      <c r="BH532" s="48"/>
      <c r="BI532" s="48"/>
      <c r="BJ532" s="48"/>
      <c r="BK532" s="48"/>
      <c r="BL532" s="48"/>
      <c r="BM532" s="48"/>
      <c r="BN532" s="48"/>
      <c r="BO532" s="48"/>
      <c r="BP532" s="48"/>
      <c r="BQ532" s="48"/>
    </row>
    <row r="533" ht="23.25" customHeight="1">
      <c r="A533" s="47"/>
      <c r="B533" s="47"/>
      <c r="C533" s="48"/>
      <c r="D533" s="48"/>
      <c r="E533" s="48"/>
      <c r="F533" s="48"/>
      <c r="G533" s="47"/>
      <c r="H533" s="47"/>
      <c r="I533" s="47"/>
      <c r="J533" s="47"/>
      <c r="K533" s="47"/>
      <c r="L533" s="47"/>
      <c r="M533" s="47"/>
      <c r="N533" s="47"/>
      <c r="O533" s="47"/>
      <c r="P533" s="47"/>
      <c r="Q533" s="47"/>
      <c r="R533" s="47"/>
      <c r="S533" s="50"/>
      <c r="T533" s="51"/>
      <c r="U533" s="51"/>
      <c r="V533" s="51"/>
      <c r="W533" s="51"/>
      <c r="X533" s="51"/>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52"/>
      <c r="BH533" s="48"/>
      <c r="BI533" s="48"/>
      <c r="BJ533" s="48"/>
      <c r="BK533" s="48"/>
      <c r="BL533" s="48"/>
      <c r="BM533" s="48"/>
      <c r="BN533" s="48"/>
      <c r="BO533" s="48"/>
      <c r="BP533" s="48"/>
      <c r="BQ533" s="48"/>
    </row>
    <row r="534" ht="23.25" customHeight="1">
      <c r="A534" s="47"/>
      <c r="B534" s="47"/>
      <c r="C534" s="48"/>
      <c r="D534" s="48"/>
      <c r="E534" s="48"/>
      <c r="F534" s="48"/>
      <c r="G534" s="47"/>
      <c r="H534" s="47"/>
      <c r="I534" s="47"/>
      <c r="J534" s="47"/>
      <c r="K534" s="47"/>
      <c r="L534" s="47"/>
      <c r="M534" s="47"/>
      <c r="N534" s="47"/>
      <c r="O534" s="47"/>
      <c r="P534" s="47"/>
      <c r="Q534" s="47"/>
      <c r="R534" s="47"/>
      <c r="S534" s="50"/>
      <c r="T534" s="51"/>
      <c r="U534" s="51"/>
      <c r="V534" s="51"/>
      <c r="W534" s="51"/>
      <c r="X534" s="51"/>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52"/>
      <c r="BH534" s="48"/>
      <c r="BI534" s="48"/>
      <c r="BJ534" s="48"/>
      <c r="BK534" s="48"/>
      <c r="BL534" s="48"/>
      <c r="BM534" s="48"/>
      <c r="BN534" s="48"/>
      <c r="BO534" s="48"/>
      <c r="BP534" s="48"/>
      <c r="BQ534" s="48"/>
    </row>
    <row r="535" ht="23.25" customHeight="1">
      <c r="A535" s="47"/>
      <c r="B535" s="47"/>
      <c r="C535" s="48"/>
      <c r="D535" s="48"/>
      <c r="E535" s="48"/>
      <c r="F535" s="48"/>
      <c r="G535" s="47"/>
      <c r="H535" s="47"/>
      <c r="I535" s="47"/>
      <c r="J535" s="47"/>
      <c r="K535" s="47"/>
      <c r="L535" s="47"/>
      <c r="M535" s="47"/>
      <c r="N535" s="47"/>
      <c r="O535" s="47"/>
      <c r="P535" s="47"/>
      <c r="Q535" s="47"/>
      <c r="R535" s="47"/>
      <c r="S535" s="50"/>
      <c r="T535" s="51"/>
      <c r="U535" s="51"/>
      <c r="V535" s="51"/>
      <c r="W535" s="51"/>
      <c r="X535" s="51"/>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52"/>
      <c r="BH535" s="48"/>
      <c r="BI535" s="48"/>
      <c r="BJ535" s="48"/>
      <c r="BK535" s="48"/>
      <c r="BL535" s="48"/>
      <c r="BM535" s="48"/>
      <c r="BN535" s="48"/>
      <c r="BO535" s="48"/>
      <c r="BP535" s="48"/>
      <c r="BQ535" s="48"/>
    </row>
    <row r="536" ht="23.25" customHeight="1">
      <c r="A536" s="47"/>
      <c r="B536" s="47"/>
      <c r="C536" s="48"/>
      <c r="D536" s="48"/>
      <c r="E536" s="48"/>
      <c r="F536" s="48"/>
      <c r="G536" s="47"/>
      <c r="H536" s="47"/>
      <c r="I536" s="47"/>
      <c r="J536" s="47"/>
      <c r="K536" s="47"/>
      <c r="L536" s="47"/>
      <c r="M536" s="47"/>
      <c r="N536" s="47"/>
      <c r="O536" s="47"/>
      <c r="P536" s="47"/>
      <c r="Q536" s="47"/>
      <c r="R536" s="47"/>
      <c r="S536" s="50"/>
      <c r="T536" s="51"/>
      <c r="U536" s="51"/>
      <c r="V536" s="51"/>
      <c r="W536" s="51"/>
      <c r="X536" s="51"/>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52"/>
      <c r="BH536" s="48"/>
      <c r="BI536" s="48"/>
      <c r="BJ536" s="48"/>
      <c r="BK536" s="48"/>
      <c r="BL536" s="48"/>
      <c r="BM536" s="48"/>
      <c r="BN536" s="48"/>
      <c r="BO536" s="48"/>
      <c r="BP536" s="48"/>
      <c r="BQ536" s="48"/>
    </row>
    <row r="537" ht="23.25" customHeight="1">
      <c r="A537" s="47"/>
      <c r="B537" s="47"/>
      <c r="C537" s="48"/>
      <c r="D537" s="48"/>
      <c r="E537" s="48"/>
      <c r="F537" s="48"/>
      <c r="G537" s="47"/>
      <c r="H537" s="47"/>
      <c r="I537" s="47"/>
      <c r="J537" s="47"/>
      <c r="K537" s="47"/>
      <c r="L537" s="47"/>
      <c r="M537" s="47"/>
      <c r="N537" s="47"/>
      <c r="O537" s="47"/>
      <c r="P537" s="47"/>
      <c r="Q537" s="47"/>
      <c r="R537" s="47"/>
      <c r="S537" s="50"/>
      <c r="T537" s="51"/>
      <c r="U537" s="51"/>
      <c r="V537" s="51"/>
      <c r="W537" s="51"/>
      <c r="X537" s="51"/>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52"/>
      <c r="BH537" s="48"/>
      <c r="BI537" s="48"/>
      <c r="BJ537" s="48"/>
      <c r="BK537" s="48"/>
      <c r="BL537" s="48"/>
      <c r="BM537" s="48"/>
      <c r="BN537" s="48"/>
      <c r="BO537" s="48"/>
      <c r="BP537" s="48"/>
      <c r="BQ537" s="48"/>
    </row>
    <row r="538" ht="23.25" customHeight="1">
      <c r="A538" s="47"/>
      <c r="B538" s="47"/>
      <c r="C538" s="48"/>
      <c r="D538" s="48"/>
      <c r="E538" s="48"/>
      <c r="F538" s="48"/>
      <c r="G538" s="47"/>
      <c r="H538" s="47"/>
      <c r="I538" s="47"/>
      <c r="J538" s="47"/>
      <c r="K538" s="47"/>
      <c r="L538" s="47"/>
      <c r="M538" s="47"/>
      <c r="N538" s="47"/>
      <c r="O538" s="47"/>
      <c r="P538" s="47"/>
      <c r="Q538" s="47"/>
      <c r="R538" s="47"/>
      <c r="S538" s="50"/>
      <c r="T538" s="51"/>
      <c r="U538" s="51"/>
      <c r="V538" s="51"/>
      <c r="W538" s="51"/>
      <c r="X538" s="51"/>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52"/>
      <c r="BH538" s="48"/>
      <c r="BI538" s="48"/>
      <c r="BJ538" s="48"/>
      <c r="BK538" s="48"/>
      <c r="BL538" s="48"/>
      <c r="BM538" s="48"/>
      <c r="BN538" s="48"/>
      <c r="BO538" s="48"/>
      <c r="BP538" s="48"/>
      <c r="BQ538" s="48"/>
    </row>
    <row r="539" ht="23.25" customHeight="1">
      <c r="A539" s="47"/>
      <c r="B539" s="47"/>
      <c r="C539" s="48"/>
      <c r="D539" s="48"/>
      <c r="E539" s="48"/>
      <c r="F539" s="48"/>
      <c r="G539" s="47"/>
      <c r="H539" s="47"/>
      <c r="I539" s="47"/>
      <c r="J539" s="47"/>
      <c r="K539" s="47"/>
      <c r="L539" s="47"/>
      <c r="M539" s="47"/>
      <c r="N539" s="47"/>
      <c r="O539" s="47"/>
      <c r="P539" s="47"/>
      <c r="Q539" s="47"/>
      <c r="R539" s="47"/>
      <c r="S539" s="50"/>
      <c r="T539" s="51"/>
      <c r="U539" s="51"/>
      <c r="V539" s="51"/>
      <c r="W539" s="51"/>
      <c r="X539" s="51"/>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52"/>
      <c r="BH539" s="48"/>
      <c r="BI539" s="48"/>
      <c r="BJ539" s="48"/>
      <c r="BK539" s="48"/>
      <c r="BL539" s="48"/>
      <c r="BM539" s="48"/>
      <c r="BN539" s="48"/>
      <c r="BO539" s="48"/>
      <c r="BP539" s="48"/>
      <c r="BQ539" s="48"/>
    </row>
    <row r="540" ht="23.25" customHeight="1">
      <c r="A540" s="47"/>
      <c r="B540" s="47"/>
      <c r="C540" s="48"/>
      <c r="D540" s="48"/>
      <c r="E540" s="48"/>
      <c r="F540" s="48"/>
      <c r="G540" s="47"/>
      <c r="H540" s="47"/>
      <c r="I540" s="47"/>
      <c r="J540" s="47"/>
      <c r="K540" s="47"/>
      <c r="L540" s="47"/>
      <c r="M540" s="47"/>
      <c r="N540" s="47"/>
      <c r="O540" s="47"/>
      <c r="P540" s="47"/>
      <c r="Q540" s="47"/>
      <c r="R540" s="47"/>
      <c r="S540" s="50"/>
      <c r="T540" s="51"/>
      <c r="U540" s="51"/>
      <c r="V540" s="51"/>
      <c r="W540" s="51"/>
      <c r="X540" s="51"/>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52"/>
      <c r="BH540" s="48"/>
      <c r="BI540" s="48"/>
      <c r="BJ540" s="48"/>
      <c r="BK540" s="48"/>
      <c r="BL540" s="48"/>
      <c r="BM540" s="48"/>
      <c r="BN540" s="48"/>
      <c r="BO540" s="48"/>
      <c r="BP540" s="48"/>
      <c r="BQ540" s="48"/>
    </row>
    <row r="541" ht="23.25" customHeight="1">
      <c r="A541" s="47"/>
      <c r="B541" s="47"/>
      <c r="C541" s="48"/>
      <c r="D541" s="48"/>
      <c r="E541" s="48"/>
      <c r="F541" s="48"/>
      <c r="G541" s="47"/>
      <c r="H541" s="47"/>
      <c r="I541" s="47"/>
      <c r="J541" s="47"/>
      <c r="K541" s="47"/>
      <c r="L541" s="47"/>
      <c r="M541" s="47"/>
      <c r="N541" s="47"/>
      <c r="O541" s="47"/>
      <c r="P541" s="47"/>
      <c r="Q541" s="47"/>
      <c r="R541" s="47"/>
      <c r="S541" s="50"/>
      <c r="T541" s="51"/>
      <c r="U541" s="51"/>
      <c r="V541" s="51"/>
      <c r="W541" s="51"/>
      <c r="X541" s="51"/>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52"/>
      <c r="BH541" s="48"/>
      <c r="BI541" s="48"/>
      <c r="BJ541" s="48"/>
      <c r="BK541" s="48"/>
      <c r="BL541" s="48"/>
      <c r="BM541" s="48"/>
      <c r="BN541" s="48"/>
      <c r="BO541" s="48"/>
      <c r="BP541" s="48"/>
      <c r="BQ541" s="48"/>
    </row>
    <row r="542" ht="23.25" customHeight="1">
      <c r="A542" s="47"/>
      <c r="B542" s="47"/>
      <c r="C542" s="48"/>
      <c r="D542" s="48"/>
      <c r="E542" s="48"/>
      <c r="F542" s="48"/>
      <c r="G542" s="47"/>
      <c r="H542" s="47"/>
      <c r="I542" s="47"/>
      <c r="J542" s="47"/>
      <c r="K542" s="47"/>
      <c r="L542" s="47"/>
      <c r="M542" s="47"/>
      <c r="N542" s="47"/>
      <c r="O542" s="47"/>
      <c r="P542" s="47"/>
      <c r="Q542" s="47"/>
      <c r="R542" s="47"/>
      <c r="S542" s="50"/>
      <c r="T542" s="51"/>
      <c r="U542" s="51"/>
      <c r="V542" s="51"/>
      <c r="W542" s="51"/>
      <c r="X542" s="51"/>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52"/>
      <c r="BH542" s="48"/>
      <c r="BI542" s="48"/>
      <c r="BJ542" s="48"/>
      <c r="BK542" s="48"/>
      <c r="BL542" s="48"/>
      <c r="BM542" s="48"/>
      <c r="BN542" s="48"/>
      <c r="BO542" s="48"/>
      <c r="BP542" s="48"/>
      <c r="BQ542" s="48"/>
    </row>
    <row r="543" ht="23.25" customHeight="1">
      <c r="A543" s="47"/>
      <c r="B543" s="47"/>
      <c r="C543" s="48"/>
      <c r="D543" s="48"/>
      <c r="E543" s="48"/>
      <c r="F543" s="48"/>
      <c r="G543" s="47"/>
      <c r="H543" s="47"/>
      <c r="I543" s="47"/>
      <c r="J543" s="47"/>
      <c r="K543" s="47"/>
      <c r="L543" s="47"/>
      <c r="M543" s="47"/>
      <c r="N543" s="47"/>
      <c r="O543" s="47"/>
      <c r="P543" s="47"/>
      <c r="Q543" s="47"/>
      <c r="R543" s="47"/>
      <c r="S543" s="50"/>
      <c r="T543" s="51"/>
      <c r="U543" s="51"/>
      <c r="V543" s="51"/>
      <c r="W543" s="51"/>
      <c r="X543" s="51"/>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52"/>
      <c r="BH543" s="48"/>
      <c r="BI543" s="48"/>
      <c r="BJ543" s="48"/>
      <c r="BK543" s="48"/>
      <c r="BL543" s="48"/>
      <c r="BM543" s="48"/>
      <c r="BN543" s="48"/>
      <c r="BO543" s="48"/>
      <c r="BP543" s="48"/>
      <c r="BQ543" s="48"/>
    </row>
    <row r="544" ht="23.25" customHeight="1">
      <c r="A544" s="47"/>
      <c r="B544" s="47"/>
      <c r="C544" s="48"/>
      <c r="D544" s="48"/>
      <c r="E544" s="48"/>
      <c r="F544" s="48"/>
      <c r="G544" s="47"/>
      <c r="H544" s="47"/>
      <c r="I544" s="47"/>
      <c r="J544" s="47"/>
      <c r="K544" s="47"/>
      <c r="L544" s="47"/>
      <c r="M544" s="47"/>
      <c r="N544" s="47"/>
      <c r="O544" s="47"/>
      <c r="P544" s="47"/>
      <c r="Q544" s="47"/>
      <c r="R544" s="47"/>
      <c r="S544" s="50"/>
      <c r="T544" s="51"/>
      <c r="U544" s="51"/>
      <c r="V544" s="51"/>
      <c r="W544" s="51"/>
      <c r="X544" s="51"/>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52"/>
      <c r="BH544" s="48"/>
      <c r="BI544" s="48"/>
      <c r="BJ544" s="48"/>
      <c r="BK544" s="48"/>
      <c r="BL544" s="48"/>
      <c r="BM544" s="48"/>
      <c r="BN544" s="48"/>
      <c r="BO544" s="48"/>
      <c r="BP544" s="48"/>
      <c r="BQ544" s="48"/>
    </row>
    <row r="545" ht="23.25" customHeight="1">
      <c r="A545" s="47"/>
      <c r="B545" s="47"/>
      <c r="C545" s="48"/>
      <c r="D545" s="48"/>
      <c r="E545" s="48"/>
      <c r="F545" s="48"/>
      <c r="G545" s="47"/>
      <c r="H545" s="47"/>
      <c r="I545" s="47"/>
      <c r="J545" s="47"/>
      <c r="K545" s="47"/>
      <c r="L545" s="47"/>
      <c r="M545" s="47"/>
      <c r="N545" s="47"/>
      <c r="O545" s="47"/>
      <c r="P545" s="47"/>
      <c r="Q545" s="47"/>
      <c r="R545" s="47"/>
      <c r="S545" s="50"/>
      <c r="T545" s="51"/>
      <c r="U545" s="51"/>
      <c r="V545" s="51"/>
      <c r="W545" s="51"/>
      <c r="X545" s="51"/>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52"/>
      <c r="BH545" s="48"/>
      <c r="BI545" s="48"/>
      <c r="BJ545" s="48"/>
      <c r="BK545" s="48"/>
      <c r="BL545" s="48"/>
      <c r="BM545" s="48"/>
      <c r="BN545" s="48"/>
      <c r="BO545" s="48"/>
      <c r="BP545" s="48"/>
      <c r="BQ545" s="48"/>
    </row>
    <row r="546" ht="23.25" customHeight="1">
      <c r="A546" s="47"/>
      <c r="B546" s="47"/>
      <c r="C546" s="48"/>
      <c r="D546" s="48"/>
      <c r="E546" s="48"/>
      <c r="F546" s="48"/>
      <c r="G546" s="47"/>
      <c r="H546" s="47"/>
      <c r="I546" s="47"/>
      <c r="J546" s="47"/>
      <c r="K546" s="47"/>
      <c r="L546" s="47"/>
      <c r="M546" s="47"/>
      <c r="N546" s="47"/>
      <c r="O546" s="47"/>
      <c r="P546" s="47"/>
      <c r="Q546" s="47"/>
      <c r="R546" s="47"/>
      <c r="S546" s="50"/>
      <c r="T546" s="51"/>
      <c r="U546" s="51"/>
      <c r="V546" s="51"/>
      <c r="W546" s="51"/>
      <c r="X546" s="51"/>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52"/>
      <c r="BH546" s="48"/>
      <c r="BI546" s="48"/>
      <c r="BJ546" s="48"/>
      <c r="BK546" s="48"/>
      <c r="BL546" s="48"/>
      <c r="BM546" s="48"/>
      <c r="BN546" s="48"/>
      <c r="BO546" s="48"/>
      <c r="BP546" s="48"/>
      <c r="BQ546" s="48"/>
    </row>
    <row r="547" ht="23.25" customHeight="1">
      <c r="A547" s="47"/>
      <c r="B547" s="47"/>
      <c r="C547" s="48"/>
      <c r="D547" s="48"/>
      <c r="E547" s="48"/>
      <c r="F547" s="48"/>
      <c r="G547" s="47"/>
      <c r="H547" s="47"/>
      <c r="I547" s="47"/>
      <c r="J547" s="47"/>
      <c r="K547" s="47"/>
      <c r="L547" s="47"/>
      <c r="M547" s="47"/>
      <c r="N547" s="47"/>
      <c r="O547" s="47"/>
      <c r="P547" s="47"/>
      <c r="Q547" s="47"/>
      <c r="R547" s="47"/>
      <c r="S547" s="50"/>
      <c r="T547" s="51"/>
      <c r="U547" s="51"/>
      <c r="V547" s="51"/>
      <c r="W547" s="51"/>
      <c r="X547" s="51"/>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52"/>
      <c r="BH547" s="48"/>
      <c r="BI547" s="48"/>
      <c r="BJ547" s="48"/>
      <c r="BK547" s="48"/>
      <c r="BL547" s="48"/>
      <c r="BM547" s="48"/>
      <c r="BN547" s="48"/>
      <c r="BO547" s="48"/>
      <c r="BP547" s="48"/>
      <c r="BQ547" s="48"/>
    </row>
    <row r="548" ht="23.25" customHeight="1">
      <c r="A548" s="47"/>
      <c r="B548" s="47"/>
      <c r="C548" s="48"/>
      <c r="D548" s="48"/>
      <c r="E548" s="48"/>
      <c r="F548" s="48"/>
      <c r="G548" s="47"/>
      <c r="H548" s="47"/>
      <c r="I548" s="47"/>
      <c r="J548" s="47"/>
      <c r="K548" s="47"/>
      <c r="L548" s="47"/>
      <c r="M548" s="47"/>
      <c r="N548" s="47"/>
      <c r="O548" s="47"/>
      <c r="P548" s="47"/>
      <c r="Q548" s="47"/>
      <c r="R548" s="47"/>
      <c r="S548" s="50"/>
      <c r="T548" s="51"/>
      <c r="U548" s="51"/>
      <c r="V548" s="51"/>
      <c r="W548" s="51"/>
      <c r="X548" s="51"/>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52"/>
      <c r="BH548" s="48"/>
      <c r="BI548" s="48"/>
      <c r="BJ548" s="48"/>
      <c r="BK548" s="48"/>
      <c r="BL548" s="48"/>
      <c r="BM548" s="48"/>
      <c r="BN548" s="48"/>
      <c r="BO548" s="48"/>
      <c r="BP548" s="48"/>
      <c r="BQ548" s="48"/>
    </row>
    <row r="549" ht="23.25" customHeight="1">
      <c r="A549" s="47"/>
      <c r="B549" s="47"/>
      <c r="C549" s="48"/>
      <c r="D549" s="48"/>
      <c r="E549" s="48"/>
      <c r="F549" s="48"/>
      <c r="G549" s="47"/>
      <c r="H549" s="47"/>
      <c r="I549" s="47"/>
      <c r="J549" s="47"/>
      <c r="K549" s="47"/>
      <c r="L549" s="47"/>
      <c r="M549" s="47"/>
      <c r="N549" s="47"/>
      <c r="O549" s="47"/>
      <c r="P549" s="47"/>
      <c r="Q549" s="47"/>
      <c r="R549" s="47"/>
      <c r="S549" s="50"/>
      <c r="T549" s="51"/>
      <c r="U549" s="51"/>
      <c r="V549" s="51"/>
      <c r="W549" s="51"/>
      <c r="X549" s="51"/>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52"/>
      <c r="BH549" s="48"/>
      <c r="BI549" s="48"/>
      <c r="BJ549" s="48"/>
      <c r="BK549" s="48"/>
      <c r="BL549" s="48"/>
      <c r="BM549" s="48"/>
      <c r="BN549" s="48"/>
      <c r="BO549" s="48"/>
      <c r="BP549" s="48"/>
      <c r="BQ549" s="48"/>
    </row>
    <row r="550" ht="23.25" customHeight="1">
      <c r="A550" s="47"/>
      <c r="B550" s="47"/>
      <c r="C550" s="48"/>
      <c r="D550" s="48"/>
      <c r="E550" s="48"/>
      <c r="F550" s="48"/>
      <c r="G550" s="47"/>
      <c r="H550" s="47"/>
      <c r="I550" s="47"/>
      <c r="J550" s="47"/>
      <c r="K550" s="47"/>
      <c r="L550" s="47"/>
      <c r="M550" s="47"/>
      <c r="N550" s="47"/>
      <c r="O550" s="47"/>
      <c r="P550" s="47"/>
      <c r="Q550" s="47"/>
      <c r="R550" s="47"/>
      <c r="S550" s="50"/>
      <c r="T550" s="51"/>
      <c r="U550" s="51"/>
      <c r="V550" s="51"/>
      <c r="W550" s="51"/>
      <c r="X550" s="51"/>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52"/>
      <c r="BH550" s="48"/>
      <c r="BI550" s="48"/>
      <c r="BJ550" s="48"/>
      <c r="BK550" s="48"/>
      <c r="BL550" s="48"/>
      <c r="BM550" s="48"/>
      <c r="BN550" s="48"/>
      <c r="BO550" s="48"/>
      <c r="BP550" s="48"/>
      <c r="BQ550" s="48"/>
    </row>
    <row r="551" ht="23.25" customHeight="1">
      <c r="A551" s="47"/>
      <c r="B551" s="47"/>
      <c r="C551" s="48"/>
      <c r="D551" s="48"/>
      <c r="E551" s="48"/>
      <c r="F551" s="48"/>
      <c r="G551" s="47"/>
      <c r="H551" s="47"/>
      <c r="I551" s="47"/>
      <c r="J551" s="47"/>
      <c r="K551" s="47"/>
      <c r="L551" s="47"/>
      <c r="M551" s="47"/>
      <c r="N551" s="47"/>
      <c r="O551" s="47"/>
      <c r="P551" s="47"/>
      <c r="Q551" s="47"/>
      <c r="R551" s="47"/>
      <c r="S551" s="50"/>
      <c r="T551" s="51"/>
      <c r="U551" s="51"/>
      <c r="V551" s="51"/>
      <c r="W551" s="51"/>
      <c r="X551" s="51"/>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52"/>
      <c r="BH551" s="48"/>
      <c r="BI551" s="48"/>
      <c r="BJ551" s="48"/>
      <c r="BK551" s="48"/>
      <c r="BL551" s="48"/>
      <c r="BM551" s="48"/>
      <c r="BN551" s="48"/>
      <c r="BO551" s="48"/>
      <c r="BP551" s="48"/>
      <c r="BQ551" s="48"/>
    </row>
    <row r="552" ht="23.25" customHeight="1">
      <c r="A552" s="47"/>
      <c r="B552" s="47"/>
      <c r="C552" s="48"/>
      <c r="D552" s="48"/>
      <c r="E552" s="48"/>
      <c r="F552" s="48"/>
      <c r="G552" s="47"/>
      <c r="H552" s="47"/>
      <c r="I552" s="47"/>
      <c r="J552" s="47"/>
      <c r="K552" s="47"/>
      <c r="L552" s="47"/>
      <c r="M552" s="47"/>
      <c r="N552" s="47"/>
      <c r="O552" s="47"/>
      <c r="P552" s="47"/>
      <c r="Q552" s="47"/>
      <c r="R552" s="47"/>
      <c r="S552" s="50"/>
      <c r="T552" s="51"/>
      <c r="U552" s="51"/>
      <c r="V552" s="51"/>
      <c r="W552" s="51"/>
      <c r="X552" s="51"/>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52"/>
      <c r="BH552" s="48"/>
      <c r="BI552" s="48"/>
      <c r="BJ552" s="48"/>
      <c r="BK552" s="48"/>
      <c r="BL552" s="48"/>
      <c r="BM552" s="48"/>
      <c r="BN552" s="48"/>
      <c r="BO552" s="48"/>
      <c r="BP552" s="48"/>
      <c r="BQ552" s="48"/>
    </row>
    <row r="553" ht="23.25" customHeight="1">
      <c r="A553" s="47"/>
      <c r="B553" s="47"/>
      <c r="C553" s="48"/>
      <c r="D553" s="48"/>
      <c r="E553" s="48"/>
      <c r="F553" s="48"/>
      <c r="G553" s="47"/>
      <c r="H553" s="47"/>
      <c r="I553" s="47"/>
      <c r="J553" s="47"/>
      <c r="K553" s="47"/>
      <c r="L553" s="47"/>
      <c r="M553" s="47"/>
      <c r="N553" s="47"/>
      <c r="O553" s="47"/>
      <c r="P553" s="47"/>
      <c r="Q553" s="47"/>
      <c r="R553" s="47"/>
      <c r="S553" s="50"/>
      <c r="T553" s="51"/>
      <c r="U553" s="51"/>
      <c r="V553" s="51"/>
      <c r="W553" s="51"/>
      <c r="X553" s="51"/>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52"/>
      <c r="BH553" s="48"/>
      <c r="BI553" s="48"/>
      <c r="BJ553" s="48"/>
      <c r="BK553" s="48"/>
      <c r="BL553" s="48"/>
      <c r="BM553" s="48"/>
      <c r="BN553" s="48"/>
      <c r="BO553" s="48"/>
      <c r="BP553" s="48"/>
      <c r="BQ553" s="48"/>
    </row>
    <row r="554" ht="23.25" customHeight="1">
      <c r="A554" s="47"/>
      <c r="B554" s="47"/>
      <c r="C554" s="48"/>
      <c r="D554" s="48"/>
      <c r="E554" s="48"/>
      <c r="F554" s="48"/>
      <c r="G554" s="47"/>
      <c r="H554" s="47"/>
      <c r="I554" s="47"/>
      <c r="J554" s="47"/>
      <c r="K554" s="47"/>
      <c r="L554" s="47"/>
      <c r="M554" s="47"/>
      <c r="N554" s="47"/>
      <c r="O554" s="47"/>
      <c r="P554" s="47"/>
      <c r="Q554" s="47"/>
      <c r="R554" s="47"/>
      <c r="S554" s="50"/>
      <c r="T554" s="51"/>
      <c r="U554" s="51"/>
      <c r="V554" s="51"/>
      <c r="W554" s="51"/>
      <c r="X554" s="51"/>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52"/>
      <c r="BH554" s="48"/>
      <c r="BI554" s="48"/>
      <c r="BJ554" s="48"/>
      <c r="BK554" s="48"/>
      <c r="BL554" s="48"/>
      <c r="BM554" s="48"/>
      <c r="BN554" s="48"/>
      <c r="BO554" s="48"/>
      <c r="BP554" s="48"/>
      <c r="BQ554" s="48"/>
    </row>
    <row r="555" ht="23.25" customHeight="1">
      <c r="A555" s="47"/>
      <c r="B555" s="47"/>
      <c r="C555" s="48"/>
      <c r="D555" s="48"/>
      <c r="E555" s="48"/>
      <c r="F555" s="48"/>
      <c r="G555" s="47"/>
      <c r="H555" s="47"/>
      <c r="I555" s="47"/>
      <c r="J555" s="47"/>
      <c r="K555" s="47"/>
      <c r="L555" s="47"/>
      <c r="M555" s="47"/>
      <c r="N555" s="47"/>
      <c r="O555" s="47"/>
      <c r="P555" s="47"/>
      <c r="Q555" s="47"/>
      <c r="R555" s="47"/>
      <c r="S555" s="50"/>
      <c r="T555" s="51"/>
      <c r="U555" s="51"/>
      <c r="V555" s="51"/>
      <c r="W555" s="51"/>
      <c r="X555" s="51"/>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52"/>
      <c r="BH555" s="48"/>
      <c r="BI555" s="48"/>
      <c r="BJ555" s="48"/>
      <c r="BK555" s="48"/>
      <c r="BL555" s="48"/>
      <c r="BM555" s="48"/>
      <c r="BN555" s="48"/>
      <c r="BO555" s="48"/>
      <c r="BP555" s="48"/>
      <c r="BQ555" s="48"/>
    </row>
    <row r="556" ht="23.25" customHeight="1">
      <c r="A556" s="47"/>
      <c r="B556" s="47"/>
      <c r="C556" s="48"/>
      <c r="D556" s="48"/>
      <c r="E556" s="48"/>
      <c r="F556" s="48"/>
      <c r="G556" s="47"/>
      <c r="H556" s="47"/>
      <c r="I556" s="47"/>
      <c r="J556" s="47"/>
      <c r="K556" s="47"/>
      <c r="L556" s="47"/>
      <c r="M556" s="47"/>
      <c r="N556" s="47"/>
      <c r="O556" s="47"/>
      <c r="P556" s="47"/>
      <c r="Q556" s="47"/>
      <c r="R556" s="47"/>
      <c r="S556" s="50"/>
      <c r="T556" s="51"/>
      <c r="U556" s="51"/>
      <c r="V556" s="51"/>
      <c r="W556" s="51"/>
      <c r="X556" s="51"/>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52"/>
      <c r="BH556" s="48"/>
      <c r="BI556" s="48"/>
      <c r="BJ556" s="48"/>
      <c r="BK556" s="48"/>
      <c r="BL556" s="48"/>
      <c r="BM556" s="48"/>
      <c r="BN556" s="48"/>
      <c r="BO556" s="48"/>
      <c r="BP556" s="48"/>
      <c r="BQ556" s="48"/>
    </row>
    <row r="557" ht="23.25" customHeight="1">
      <c r="A557" s="47"/>
      <c r="B557" s="47"/>
      <c r="C557" s="48"/>
      <c r="D557" s="48"/>
      <c r="E557" s="48"/>
      <c r="F557" s="48"/>
      <c r="G557" s="47"/>
      <c r="H557" s="47"/>
      <c r="I557" s="47"/>
      <c r="J557" s="47"/>
      <c r="K557" s="47"/>
      <c r="L557" s="47"/>
      <c r="M557" s="47"/>
      <c r="N557" s="47"/>
      <c r="O557" s="47"/>
      <c r="P557" s="47"/>
      <c r="Q557" s="47"/>
      <c r="R557" s="47"/>
      <c r="S557" s="50"/>
      <c r="T557" s="51"/>
      <c r="U557" s="51"/>
      <c r="V557" s="51"/>
      <c r="W557" s="51"/>
      <c r="X557" s="51"/>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52"/>
      <c r="BH557" s="48"/>
      <c r="BI557" s="48"/>
      <c r="BJ557" s="48"/>
      <c r="BK557" s="48"/>
      <c r="BL557" s="48"/>
      <c r="BM557" s="48"/>
      <c r="BN557" s="48"/>
      <c r="BO557" s="48"/>
      <c r="BP557" s="48"/>
      <c r="BQ557" s="48"/>
    </row>
    <row r="558" ht="23.25" customHeight="1">
      <c r="A558" s="47"/>
      <c r="B558" s="47"/>
      <c r="C558" s="48"/>
      <c r="D558" s="48"/>
      <c r="E558" s="48"/>
      <c r="F558" s="48"/>
      <c r="G558" s="47"/>
      <c r="H558" s="47"/>
      <c r="I558" s="47"/>
      <c r="J558" s="47"/>
      <c r="K558" s="47"/>
      <c r="L558" s="47"/>
      <c r="M558" s="47"/>
      <c r="N558" s="47"/>
      <c r="O558" s="47"/>
      <c r="P558" s="47"/>
      <c r="Q558" s="47"/>
      <c r="R558" s="47"/>
      <c r="S558" s="50"/>
      <c r="T558" s="51"/>
      <c r="U558" s="51"/>
      <c r="V558" s="51"/>
      <c r="W558" s="51"/>
      <c r="X558" s="51"/>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52"/>
      <c r="BH558" s="48"/>
      <c r="BI558" s="48"/>
      <c r="BJ558" s="48"/>
      <c r="BK558" s="48"/>
      <c r="BL558" s="48"/>
      <c r="BM558" s="48"/>
      <c r="BN558" s="48"/>
      <c r="BO558" s="48"/>
      <c r="BP558" s="48"/>
      <c r="BQ558" s="48"/>
    </row>
    <row r="559" ht="23.25" customHeight="1">
      <c r="A559" s="47"/>
      <c r="B559" s="47"/>
      <c r="C559" s="48"/>
      <c r="D559" s="48"/>
      <c r="E559" s="48"/>
      <c r="F559" s="48"/>
      <c r="G559" s="47"/>
      <c r="H559" s="47"/>
      <c r="I559" s="47"/>
      <c r="J559" s="47"/>
      <c r="K559" s="47"/>
      <c r="L559" s="47"/>
      <c r="M559" s="47"/>
      <c r="N559" s="47"/>
      <c r="O559" s="47"/>
      <c r="P559" s="47"/>
      <c r="Q559" s="47"/>
      <c r="R559" s="47"/>
      <c r="S559" s="50"/>
      <c r="T559" s="51"/>
      <c r="U559" s="51"/>
      <c r="V559" s="51"/>
      <c r="W559" s="51"/>
      <c r="X559" s="51"/>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52"/>
      <c r="BH559" s="48"/>
      <c r="BI559" s="48"/>
      <c r="BJ559" s="48"/>
      <c r="BK559" s="48"/>
      <c r="BL559" s="48"/>
      <c r="BM559" s="48"/>
      <c r="BN559" s="48"/>
      <c r="BO559" s="48"/>
      <c r="BP559" s="48"/>
      <c r="BQ559" s="48"/>
    </row>
    <row r="560" ht="23.25" customHeight="1">
      <c r="A560" s="47"/>
      <c r="B560" s="47"/>
      <c r="C560" s="48"/>
      <c r="D560" s="48"/>
      <c r="E560" s="48"/>
      <c r="F560" s="48"/>
      <c r="G560" s="47"/>
      <c r="H560" s="47"/>
      <c r="I560" s="47"/>
      <c r="J560" s="47"/>
      <c r="K560" s="47"/>
      <c r="L560" s="47"/>
      <c r="M560" s="47"/>
      <c r="N560" s="47"/>
      <c r="O560" s="47"/>
      <c r="P560" s="47"/>
      <c r="Q560" s="47"/>
      <c r="R560" s="47"/>
      <c r="S560" s="50"/>
      <c r="T560" s="51"/>
      <c r="U560" s="51"/>
      <c r="V560" s="51"/>
      <c r="W560" s="51"/>
      <c r="X560" s="51"/>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52"/>
      <c r="BH560" s="48"/>
      <c r="BI560" s="48"/>
      <c r="BJ560" s="48"/>
      <c r="BK560" s="48"/>
      <c r="BL560" s="48"/>
      <c r="BM560" s="48"/>
      <c r="BN560" s="48"/>
      <c r="BO560" s="48"/>
      <c r="BP560" s="48"/>
      <c r="BQ560" s="48"/>
    </row>
    <row r="561" ht="23.25" customHeight="1">
      <c r="A561" s="47"/>
      <c r="B561" s="47"/>
      <c r="C561" s="48"/>
      <c r="D561" s="48"/>
      <c r="E561" s="48"/>
      <c r="F561" s="48"/>
      <c r="G561" s="47"/>
      <c r="H561" s="47"/>
      <c r="I561" s="47"/>
      <c r="J561" s="47"/>
      <c r="K561" s="47"/>
      <c r="L561" s="47"/>
      <c r="M561" s="47"/>
      <c r="N561" s="47"/>
      <c r="O561" s="47"/>
      <c r="P561" s="47"/>
      <c r="Q561" s="47"/>
      <c r="R561" s="47"/>
      <c r="S561" s="50"/>
      <c r="T561" s="51"/>
      <c r="U561" s="51"/>
      <c r="V561" s="51"/>
      <c r="W561" s="51"/>
      <c r="X561" s="51"/>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52"/>
      <c r="BH561" s="48"/>
      <c r="BI561" s="48"/>
      <c r="BJ561" s="48"/>
      <c r="BK561" s="48"/>
      <c r="BL561" s="48"/>
      <c r="BM561" s="48"/>
      <c r="BN561" s="48"/>
      <c r="BO561" s="48"/>
      <c r="BP561" s="48"/>
      <c r="BQ561" s="48"/>
    </row>
    <row r="562" ht="23.25" customHeight="1">
      <c r="A562" s="47"/>
      <c r="B562" s="47"/>
      <c r="C562" s="48"/>
      <c r="D562" s="48"/>
      <c r="E562" s="48"/>
      <c r="F562" s="48"/>
      <c r="G562" s="47"/>
      <c r="H562" s="47"/>
      <c r="I562" s="47"/>
      <c r="J562" s="47"/>
      <c r="K562" s="47"/>
      <c r="L562" s="47"/>
      <c r="M562" s="47"/>
      <c r="N562" s="47"/>
      <c r="O562" s="47"/>
      <c r="P562" s="47"/>
      <c r="Q562" s="47"/>
      <c r="R562" s="47"/>
      <c r="S562" s="50"/>
      <c r="T562" s="51"/>
      <c r="U562" s="51"/>
      <c r="V562" s="51"/>
      <c r="W562" s="51"/>
      <c r="X562" s="51"/>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52"/>
      <c r="BH562" s="48"/>
      <c r="BI562" s="48"/>
      <c r="BJ562" s="48"/>
      <c r="BK562" s="48"/>
      <c r="BL562" s="48"/>
      <c r="BM562" s="48"/>
      <c r="BN562" s="48"/>
      <c r="BO562" s="48"/>
      <c r="BP562" s="48"/>
      <c r="BQ562" s="48"/>
    </row>
    <row r="563" ht="23.25" customHeight="1">
      <c r="A563" s="47"/>
      <c r="B563" s="47"/>
      <c r="C563" s="48"/>
      <c r="D563" s="48"/>
      <c r="E563" s="48"/>
      <c r="F563" s="48"/>
      <c r="G563" s="47"/>
      <c r="H563" s="47"/>
      <c r="I563" s="47"/>
      <c r="J563" s="47"/>
      <c r="K563" s="47"/>
      <c r="L563" s="47"/>
      <c r="M563" s="47"/>
      <c r="N563" s="47"/>
      <c r="O563" s="47"/>
      <c r="P563" s="47"/>
      <c r="Q563" s="47"/>
      <c r="R563" s="47"/>
      <c r="S563" s="50"/>
      <c r="T563" s="51"/>
      <c r="U563" s="51"/>
      <c r="V563" s="51"/>
      <c r="W563" s="51"/>
      <c r="X563" s="51"/>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52"/>
      <c r="BH563" s="48"/>
      <c r="BI563" s="48"/>
      <c r="BJ563" s="48"/>
      <c r="BK563" s="48"/>
      <c r="BL563" s="48"/>
      <c r="BM563" s="48"/>
      <c r="BN563" s="48"/>
      <c r="BO563" s="48"/>
      <c r="BP563" s="48"/>
      <c r="BQ563" s="48"/>
    </row>
    <row r="564" ht="23.25" customHeight="1">
      <c r="A564" s="47"/>
      <c r="B564" s="47"/>
      <c r="C564" s="48"/>
      <c r="D564" s="48"/>
      <c r="E564" s="48"/>
      <c r="F564" s="48"/>
      <c r="G564" s="47"/>
      <c r="H564" s="47"/>
      <c r="I564" s="47"/>
      <c r="J564" s="47"/>
      <c r="K564" s="47"/>
      <c r="L564" s="47"/>
      <c r="M564" s="47"/>
      <c r="N564" s="47"/>
      <c r="O564" s="47"/>
      <c r="P564" s="47"/>
      <c r="Q564" s="47"/>
      <c r="R564" s="47"/>
      <c r="S564" s="50"/>
      <c r="T564" s="51"/>
      <c r="U564" s="51"/>
      <c r="V564" s="51"/>
      <c r="W564" s="51"/>
      <c r="X564" s="51"/>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52"/>
      <c r="BH564" s="48"/>
      <c r="BI564" s="48"/>
      <c r="BJ564" s="48"/>
      <c r="BK564" s="48"/>
      <c r="BL564" s="48"/>
      <c r="BM564" s="48"/>
      <c r="BN564" s="48"/>
      <c r="BO564" s="48"/>
      <c r="BP564" s="48"/>
      <c r="BQ564" s="48"/>
    </row>
    <row r="565" ht="23.25" customHeight="1">
      <c r="A565" s="47"/>
      <c r="B565" s="47"/>
      <c r="C565" s="48"/>
      <c r="D565" s="48"/>
      <c r="E565" s="48"/>
      <c r="F565" s="48"/>
      <c r="G565" s="47"/>
      <c r="H565" s="47"/>
      <c r="I565" s="47"/>
      <c r="J565" s="47"/>
      <c r="K565" s="47"/>
      <c r="L565" s="47"/>
      <c r="M565" s="47"/>
      <c r="N565" s="47"/>
      <c r="O565" s="47"/>
      <c r="P565" s="47"/>
      <c r="Q565" s="47"/>
      <c r="R565" s="47"/>
      <c r="S565" s="50"/>
      <c r="T565" s="51"/>
      <c r="U565" s="51"/>
      <c r="V565" s="51"/>
      <c r="W565" s="51"/>
      <c r="X565" s="51"/>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52"/>
      <c r="BH565" s="48"/>
      <c r="BI565" s="48"/>
      <c r="BJ565" s="48"/>
      <c r="BK565" s="48"/>
      <c r="BL565" s="48"/>
      <c r="BM565" s="48"/>
      <c r="BN565" s="48"/>
      <c r="BO565" s="48"/>
      <c r="BP565" s="48"/>
      <c r="BQ565" s="48"/>
    </row>
    <row r="566" ht="23.25" customHeight="1">
      <c r="A566" s="47"/>
      <c r="B566" s="47"/>
      <c r="C566" s="48"/>
      <c r="D566" s="48"/>
      <c r="E566" s="48"/>
      <c r="F566" s="48"/>
      <c r="G566" s="47"/>
      <c r="H566" s="47"/>
      <c r="I566" s="47"/>
      <c r="J566" s="47"/>
      <c r="K566" s="47"/>
      <c r="L566" s="47"/>
      <c r="M566" s="47"/>
      <c r="N566" s="47"/>
      <c r="O566" s="47"/>
      <c r="P566" s="47"/>
      <c r="Q566" s="47"/>
      <c r="R566" s="47"/>
      <c r="S566" s="50"/>
      <c r="T566" s="51"/>
      <c r="U566" s="51"/>
      <c r="V566" s="51"/>
      <c r="W566" s="51"/>
      <c r="X566" s="51"/>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52"/>
      <c r="BH566" s="48"/>
      <c r="BI566" s="48"/>
      <c r="BJ566" s="48"/>
      <c r="BK566" s="48"/>
      <c r="BL566" s="48"/>
      <c r="BM566" s="48"/>
      <c r="BN566" s="48"/>
      <c r="BO566" s="48"/>
      <c r="BP566" s="48"/>
      <c r="BQ566" s="48"/>
    </row>
    <row r="567" ht="23.25" customHeight="1">
      <c r="A567" s="47"/>
      <c r="B567" s="47"/>
      <c r="C567" s="48"/>
      <c r="D567" s="48"/>
      <c r="E567" s="48"/>
      <c r="F567" s="48"/>
      <c r="G567" s="47"/>
      <c r="H567" s="47"/>
      <c r="I567" s="47"/>
      <c r="J567" s="47"/>
      <c r="K567" s="47"/>
      <c r="L567" s="47"/>
      <c r="M567" s="47"/>
      <c r="N567" s="47"/>
      <c r="O567" s="47"/>
      <c r="P567" s="47"/>
      <c r="Q567" s="47"/>
      <c r="R567" s="47"/>
      <c r="S567" s="50"/>
      <c r="T567" s="51"/>
      <c r="U567" s="51"/>
      <c r="V567" s="51"/>
      <c r="W567" s="51"/>
      <c r="X567" s="51"/>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52"/>
      <c r="BH567" s="48"/>
      <c r="BI567" s="48"/>
      <c r="BJ567" s="48"/>
      <c r="BK567" s="48"/>
      <c r="BL567" s="48"/>
      <c r="BM567" s="48"/>
      <c r="BN567" s="48"/>
      <c r="BO567" s="48"/>
      <c r="BP567" s="48"/>
      <c r="BQ567" s="48"/>
    </row>
    <row r="568" ht="23.25" customHeight="1">
      <c r="A568" s="47"/>
      <c r="B568" s="47"/>
      <c r="C568" s="48"/>
      <c r="D568" s="48"/>
      <c r="E568" s="48"/>
      <c r="F568" s="48"/>
      <c r="G568" s="47"/>
      <c r="H568" s="47"/>
      <c r="I568" s="47"/>
      <c r="J568" s="47"/>
      <c r="K568" s="47"/>
      <c r="L568" s="47"/>
      <c r="M568" s="47"/>
      <c r="N568" s="47"/>
      <c r="O568" s="47"/>
      <c r="P568" s="47"/>
      <c r="Q568" s="47"/>
      <c r="R568" s="47"/>
      <c r="S568" s="50"/>
      <c r="T568" s="51"/>
      <c r="U568" s="51"/>
      <c r="V568" s="51"/>
      <c r="W568" s="51"/>
      <c r="X568" s="51"/>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52"/>
      <c r="BH568" s="48"/>
      <c r="BI568" s="48"/>
      <c r="BJ568" s="48"/>
      <c r="BK568" s="48"/>
      <c r="BL568" s="48"/>
      <c r="BM568" s="48"/>
      <c r="BN568" s="48"/>
      <c r="BO568" s="48"/>
      <c r="BP568" s="48"/>
      <c r="BQ568" s="48"/>
    </row>
    <row r="569" ht="23.25" customHeight="1">
      <c r="A569" s="47"/>
      <c r="B569" s="47"/>
      <c r="C569" s="48"/>
      <c r="D569" s="48"/>
      <c r="E569" s="48"/>
      <c r="F569" s="48"/>
      <c r="G569" s="47"/>
      <c r="H569" s="47"/>
      <c r="I569" s="47"/>
      <c r="J569" s="47"/>
      <c r="K569" s="47"/>
      <c r="L569" s="47"/>
      <c r="M569" s="47"/>
      <c r="N569" s="47"/>
      <c r="O569" s="47"/>
      <c r="P569" s="47"/>
      <c r="Q569" s="47"/>
      <c r="R569" s="47"/>
      <c r="S569" s="50"/>
      <c r="T569" s="51"/>
      <c r="U569" s="51"/>
      <c r="V569" s="51"/>
      <c r="W569" s="51"/>
      <c r="X569" s="51"/>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52"/>
      <c r="BH569" s="48"/>
      <c r="BI569" s="48"/>
      <c r="BJ569" s="48"/>
      <c r="BK569" s="48"/>
      <c r="BL569" s="48"/>
      <c r="BM569" s="48"/>
      <c r="BN569" s="48"/>
      <c r="BO569" s="48"/>
      <c r="BP569" s="48"/>
      <c r="BQ569" s="48"/>
    </row>
    <row r="570" ht="23.25" customHeight="1">
      <c r="A570" s="47"/>
      <c r="B570" s="47"/>
      <c r="C570" s="48"/>
      <c r="D570" s="48"/>
      <c r="E570" s="48"/>
      <c r="F570" s="48"/>
      <c r="G570" s="47"/>
      <c r="H570" s="47"/>
      <c r="I570" s="47"/>
      <c r="J570" s="47"/>
      <c r="K570" s="47"/>
      <c r="L570" s="47"/>
      <c r="M570" s="47"/>
      <c r="N570" s="47"/>
      <c r="O570" s="47"/>
      <c r="P570" s="47"/>
      <c r="Q570" s="47"/>
      <c r="R570" s="47"/>
      <c r="S570" s="50"/>
      <c r="T570" s="51"/>
      <c r="U570" s="51"/>
      <c r="V570" s="51"/>
      <c r="W570" s="51"/>
      <c r="X570" s="51"/>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52"/>
      <c r="BH570" s="48"/>
      <c r="BI570" s="48"/>
      <c r="BJ570" s="48"/>
      <c r="BK570" s="48"/>
      <c r="BL570" s="48"/>
      <c r="BM570" s="48"/>
      <c r="BN570" s="48"/>
      <c r="BO570" s="48"/>
      <c r="BP570" s="48"/>
      <c r="BQ570" s="48"/>
    </row>
    <row r="571" ht="23.25" customHeight="1">
      <c r="A571" s="47"/>
      <c r="B571" s="47"/>
      <c r="C571" s="48"/>
      <c r="D571" s="48"/>
      <c r="E571" s="48"/>
      <c r="F571" s="48"/>
      <c r="G571" s="47"/>
      <c r="H571" s="47"/>
      <c r="I571" s="47"/>
      <c r="J571" s="47"/>
      <c r="K571" s="47"/>
      <c r="L571" s="47"/>
      <c r="M571" s="47"/>
      <c r="N571" s="47"/>
      <c r="O571" s="47"/>
      <c r="P571" s="47"/>
      <c r="Q571" s="47"/>
      <c r="R571" s="47"/>
      <c r="S571" s="50"/>
      <c r="T571" s="51"/>
      <c r="U571" s="51"/>
      <c r="V571" s="51"/>
      <c r="W571" s="51"/>
      <c r="X571" s="51"/>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52"/>
      <c r="BH571" s="48"/>
      <c r="BI571" s="48"/>
      <c r="BJ571" s="48"/>
      <c r="BK571" s="48"/>
      <c r="BL571" s="48"/>
      <c r="BM571" s="48"/>
      <c r="BN571" s="48"/>
      <c r="BO571" s="48"/>
      <c r="BP571" s="48"/>
      <c r="BQ571" s="48"/>
    </row>
    <row r="572" ht="23.25" customHeight="1">
      <c r="A572" s="47"/>
      <c r="B572" s="47"/>
      <c r="C572" s="48"/>
      <c r="D572" s="48"/>
      <c r="E572" s="48"/>
      <c r="F572" s="48"/>
      <c r="G572" s="47"/>
      <c r="H572" s="47"/>
      <c r="I572" s="47"/>
      <c r="J572" s="47"/>
      <c r="K572" s="47"/>
      <c r="L572" s="47"/>
      <c r="M572" s="47"/>
      <c r="N572" s="47"/>
      <c r="O572" s="47"/>
      <c r="P572" s="47"/>
      <c r="Q572" s="47"/>
      <c r="R572" s="47"/>
      <c r="S572" s="50"/>
      <c r="T572" s="51"/>
      <c r="U572" s="51"/>
      <c r="V572" s="51"/>
      <c r="W572" s="51"/>
      <c r="X572" s="51"/>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52"/>
      <c r="BH572" s="48"/>
      <c r="BI572" s="48"/>
      <c r="BJ572" s="48"/>
      <c r="BK572" s="48"/>
      <c r="BL572" s="48"/>
      <c r="BM572" s="48"/>
      <c r="BN572" s="48"/>
      <c r="BO572" s="48"/>
      <c r="BP572" s="48"/>
      <c r="BQ572" s="48"/>
    </row>
    <row r="573" ht="23.25" customHeight="1">
      <c r="A573" s="47"/>
      <c r="B573" s="47"/>
      <c r="C573" s="48"/>
      <c r="D573" s="48"/>
      <c r="E573" s="48"/>
      <c r="F573" s="48"/>
      <c r="G573" s="47"/>
      <c r="H573" s="47"/>
      <c r="I573" s="47"/>
      <c r="J573" s="47"/>
      <c r="K573" s="47"/>
      <c r="L573" s="47"/>
      <c r="M573" s="47"/>
      <c r="N573" s="47"/>
      <c r="O573" s="47"/>
      <c r="P573" s="47"/>
      <c r="Q573" s="47"/>
      <c r="R573" s="47"/>
      <c r="S573" s="50"/>
      <c r="T573" s="51"/>
      <c r="U573" s="51"/>
      <c r="V573" s="51"/>
      <c r="W573" s="51"/>
      <c r="X573" s="51"/>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52"/>
      <c r="BH573" s="48"/>
      <c r="BI573" s="48"/>
      <c r="BJ573" s="48"/>
      <c r="BK573" s="48"/>
      <c r="BL573" s="48"/>
      <c r="BM573" s="48"/>
      <c r="BN573" s="48"/>
      <c r="BO573" s="48"/>
      <c r="BP573" s="48"/>
      <c r="BQ573" s="48"/>
    </row>
    <row r="574" ht="23.25" customHeight="1">
      <c r="A574" s="47"/>
      <c r="B574" s="47"/>
      <c r="C574" s="48"/>
      <c r="D574" s="48"/>
      <c r="E574" s="48"/>
      <c r="F574" s="48"/>
      <c r="G574" s="47"/>
      <c r="H574" s="47"/>
      <c r="I574" s="47"/>
      <c r="J574" s="47"/>
      <c r="K574" s="47"/>
      <c r="L574" s="47"/>
      <c r="M574" s="47"/>
      <c r="N574" s="47"/>
      <c r="O574" s="47"/>
      <c r="P574" s="47"/>
      <c r="Q574" s="47"/>
      <c r="R574" s="47"/>
      <c r="S574" s="50"/>
      <c r="T574" s="51"/>
      <c r="U574" s="51"/>
      <c r="V574" s="51"/>
      <c r="W574" s="51"/>
      <c r="X574" s="51"/>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52"/>
      <c r="BH574" s="48"/>
      <c r="BI574" s="48"/>
      <c r="BJ574" s="48"/>
      <c r="BK574" s="48"/>
      <c r="BL574" s="48"/>
      <c r="BM574" s="48"/>
      <c r="BN574" s="48"/>
      <c r="BO574" s="48"/>
      <c r="BP574" s="48"/>
      <c r="BQ574" s="48"/>
    </row>
    <row r="575" ht="23.25" customHeight="1">
      <c r="A575" s="47"/>
      <c r="B575" s="47"/>
      <c r="C575" s="48"/>
      <c r="D575" s="48"/>
      <c r="E575" s="48"/>
      <c r="F575" s="48"/>
      <c r="G575" s="47"/>
      <c r="H575" s="47"/>
      <c r="I575" s="47"/>
      <c r="J575" s="47"/>
      <c r="K575" s="47"/>
      <c r="L575" s="47"/>
      <c r="M575" s="47"/>
      <c r="N575" s="47"/>
      <c r="O575" s="47"/>
      <c r="P575" s="47"/>
      <c r="Q575" s="47"/>
      <c r="R575" s="47"/>
      <c r="S575" s="50"/>
      <c r="T575" s="51"/>
      <c r="U575" s="51"/>
      <c r="V575" s="51"/>
      <c r="W575" s="51"/>
      <c r="X575" s="51"/>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52"/>
      <c r="BH575" s="48"/>
      <c r="BI575" s="48"/>
      <c r="BJ575" s="48"/>
      <c r="BK575" s="48"/>
      <c r="BL575" s="48"/>
      <c r="BM575" s="48"/>
      <c r="BN575" s="48"/>
      <c r="BO575" s="48"/>
      <c r="BP575" s="48"/>
      <c r="BQ575" s="48"/>
    </row>
    <row r="576" ht="23.25" customHeight="1">
      <c r="A576" s="47"/>
      <c r="B576" s="47"/>
      <c r="C576" s="48"/>
      <c r="D576" s="48"/>
      <c r="E576" s="48"/>
      <c r="F576" s="48"/>
      <c r="G576" s="47"/>
      <c r="H576" s="47"/>
      <c r="I576" s="47"/>
      <c r="J576" s="47"/>
      <c r="K576" s="47"/>
      <c r="L576" s="47"/>
      <c r="M576" s="47"/>
      <c r="N576" s="47"/>
      <c r="O576" s="47"/>
      <c r="P576" s="47"/>
      <c r="Q576" s="47"/>
      <c r="R576" s="47"/>
      <c r="S576" s="50"/>
      <c r="T576" s="51"/>
      <c r="U576" s="51"/>
      <c r="V576" s="51"/>
      <c r="W576" s="51"/>
      <c r="X576" s="51"/>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52"/>
      <c r="BH576" s="48"/>
      <c r="BI576" s="48"/>
      <c r="BJ576" s="48"/>
      <c r="BK576" s="48"/>
      <c r="BL576" s="48"/>
      <c r="BM576" s="48"/>
      <c r="BN576" s="48"/>
      <c r="BO576" s="48"/>
      <c r="BP576" s="48"/>
      <c r="BQ576" s="48"/>
    </row>
    <row r="577" ht="23.25" customHeight="1">
      <c r="A577" s="47"/>
      <c r="B577" s="47"/>
      <c r="C577" s="48"/>
      <c r="D577" s="48"/>
      <c r="E577" s="48"/>
      <c r="F577" s="48"/>
      <c r="G577" s="47"/>
      <c r="H577" s="47"/>
      <c r="I577" s="47"/>
      <c r="J577" s="47"/>
      <c r="K577" s="47"/>
      <c r="L577" s="47"/>
      <c r="M577" s="47"/>
      <c r="N577" s="47"/>
      <c r="O577" s="47"/>
      <c r="P577" s="47"/>
      <c r="Q577" s="47"/>
      <c r="R577" s="47"/>
      <c r="S577" s="50"/>
      <c r="T577" s="51"/>
      <c r="U577" s="51"/>
      <c r="V577" s="51"/>
      <c r="W577" s="51"/>
      <c r="X577" s="51"/>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52"/>
      <c r="BH577" s="48"/>
      <c r="BI577" s="48"/>
      <c r="BJ577" s="48"/>
      <c r="BK577" s="48"/>
      <c r="BL577" s="48"/>
      <c r="BM577" s="48"/>
      <c r="BN577" s="48"/>
      <c r="BO577" s="48"/>
      <c r="BP577" s="48"/>
      <c r="BQ577" s="48"/>
    </row>
    <row r="578" ht="23.25" customHeight="1">
      <c r="A578" s="47"/>
      <c r="B578" s="47"/>
      <c r="C578" s="48"/>
      <c r="D578" s="48"/>
      <c r="E578" s="48"/>
      <c r="F578" s="48"/>
      <c r="G578" s="47"/>
      <c r="H578" s="47"/>
      <c r="I578" s="47"/>
      <c r="J578" s="47"/>
      <c r="K578" s="47"/>
      <c r="L578" s="47"/>
      <c r="M578" s="47"/>
      <c r="N578" s="47"/>
      <c r="O578" s="47"/>
      <c r="P578" s="47"/>
      <c r="Q578" s="47"/>
      <c r="R578" s="47"/>
      <c r="S578" s="50"/>
      <c r="T578" s="51"/>
      <c r="U578" s="51"/>
      <c r="V578" s="51"/>
      <c r="W578" s="51"/>
      <c r="X578" s="51"/>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52"/>
      <c r="BH578" s="48"/>
      <c r="BI578" s="48"/>
      <c r="BJ578" s="48"/>
      <c r="BK578" s="48"/>
      <c r="BL578" s="48"/>
      <c r="BM578" s="48"/>
      <c r="BN578" s="48"/>
      <c r="BO578" s="48"/>
      <c r="BP578" s="48"/>
      <c r="BQ578" s="48"/>
    </row>
    <row r="579" ht="23.25" customHeight="1">
      <c r="A579" s="47"/>
      <c r="B579" s="47"/>
      <c r="C579" s="48"/>
      <c r="D579" s="48"/>
      <c r="E579" s="48"/>
      <c r="F579" s="48"/>
      <c r="G579" s="47"/>
      <c r="H579" s="47"/>
      <c r="I579" s="47"/>
      <c r="J579" s="47"/>
      <c r="K579" s="47"/>
      <c r="L579" s="47"/>
      <c r="M579" s="47"/>
      <c r="N579" s="47"/>
      <c r="O579" s="47"/>
      <c r="P579" s="47"/>
      <c r="Q579" s="47"/>
      <c r="R579" s="47"/>
      <c r="S579" s="50"/>
      <c r="T579" s="51"/>
      <c r="U579" s="51"/>
      <c r="V579" s="51"/>
      <c r="W579" s="51"/>
      <c r="X579" s="51"/>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52"/>
      <c r="BH579" s="48"/>
      <c r="BI579" s="48"/>
      <c r="BJ579" s="48"/>
      <c r="BK579" s="48"/>
      <c r="BL579" s="48"/>
      <c r="BM579" s="48"/>
      <c r="BN579" s="48"/>
      <c r="BO579" s="48"/>
      <c r="BP579" s="48"/>
      <c r="BQ579" s="48"/>
    </row>
    <row r="580" ht="23.25" customHeight="1">
      <c r="A580" s="47"/>
      <c r="B580" s="47"/>
      <c r="C580" s="48"/>
      <c r="D580" s="48"/>
      <c r="E580" s="48"/>
      <c r="F580" s="48"/>
      <c r="G580" s="47"/>
      <c r="H580" s="47"/>
      <c r="I580" s="47"/>
      <c r="J580" s="47"/>
      <c r="K580" s="47"/>
      <c r="L580" s="47"/>
      <c r="M580" s="47"/>
      <c r="N580" s="47"/>
      <c r="O580" s="47"/>
      <c r="P580" s="47"/>
      <c r="Q580" s="47"/>
      <c r="R580" s="47"/>
      <c r="S580" s="50"/>
      <c r="T580" s="51"/>
      <c r="U580" s="51"/>
      <c r="V580" s="51"/>
      <c r="W580" s="51"/>
      <c r="X580" s="51"/>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52"/>
      <c r="BH580" s="48"/>
      <c r="BI580" s="48"/>
      <c r="BJ580" s="48"/>
      <c r="BK580" s="48"/>
      <c r="BL580" s="48"/>
      <c r="BM580" s="48"/>
      <c r="BN580" s="48"/>
      <c r="BO580" s="48"/>
      <c r="BP580" s="48"/>
      <c r="BQ580" s="48"/>
    </row>
    <row r="581" ht="23.25" customHeight="1">
      <c r="A581" s="47"/>
      <c r="B581" s="47"/>
      <c r="C581" s="48"/>
      <c r="D581" s="48"/>
      <c r="E581" s="48"/>
      <c r="F581" s="48"/>
      <c r="G581" s="47"/>
      <c r="H581" s="47"/>
      <c r="I581" s="47"/>
      <c r="J581" s="47"/>
      <c r="K581" s="47"/>
      <c r="L581" s="47"/>
      <c r="M581" s="47"/>
      <c r="N581" s="47"/>
      <c r="O581" s="47"/>
      <c r="P581" s="47"/>
      <c r="Q581" s="47"/>
      <c r="R581" s="47"/>
      <c r="S581" s="50"/>
      <c r="T581" s="51"/>
      <c r="U581" s="51"/>
      <c r="V581" s="51"/>
      <c r="W581" s="51"/>
      <c r="X581" s="51"/>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52"/>
      <c r="BH581" s="48"/>
      <c r="BI581" s="48"/>
      <c r="BJ581" s="48"/>
      <c r="BK581" s="48"/>
      <c r="BL581" s="48"/>
      <c r="BM581" s="48"/>
      <c r="BN581" s="48"/>
      <c r="BO581" s="48"/>
      <c r="BP581" s="48"/>
      <c r="BQ581" s="48"/>
    </row>
    <row r="582" ht="23.25" customHeight="1">
      <c r="A582" s="47"/>
      <c r="B582" s="47"/>
      <c r="C582" s="48"/>
      <c r="D582" s="48"/>
      <c r="E582" s="48"/>
      <c r="F582" s="48"/>
      <c r="G582" s="47"/>
      <c r="H582" s="47"/>
      <c r="I582" s="47"/>
      <c r="J582" s="47"/>
      <c r="K582" s="47"/>
      <c r="L582" s="47"/>
      <c r="M582" s="47"/>
      <c r="N582" s="47"/>
      <c r="O582" s="47"/>
      <c r="P582" s="47"/>
      <c r="Q582" s="47"/>
      <c r="R582" s="47"/>
      <c r="S582" s="50"/>
      <c r="T582" s="51"/>
      <c r="U582" s="51"/>
      <c r="V582" s="51"/>
      <c r="W582" s="51"/>
      <c r="X582" s="51"/>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52"/>
      <c r="BH582" s="48"/>
      <c r="BI582" s="48"/>
      <c r="BJ582" s="48"/>
      <c r="BK582" s="48"/>
      <c r="BL582" s="48"/>
      <c r="BM582" s="48"/>
      <c r="BN582" s="48"/>
      <c r="BO582" s="48"/>
      <c r="BP582" s="48"/>
      <c r="BQ582" s="48"/>
    </row>
    <row r="583" ht="23.25" customHeight="1">
      <c r="A583" s="47"/>
      <c r="B583" s="47"/>
      <c r="C583" s="48"/>
      <c r="D583" s="48"/>
      <c r="E583" s="48"/>
      <c r="F583" s="48"/>
      <c r="G583" s="47"/>
      <c r="H583" s="47"/>
      <c r="I583" s="47"/>
      <c r="J583" s="47"/>
      <c r="K583" s="47"/>
      <c r="L583" s="47"/>
      <c r="M583" s="47"/>
      <c r="N583" s="47"/>
      <c r="O583" s="47"/>
      <c r="P583" s="47"/>
      <c r="Q583" s="47"/>
      <c r="R583" s="47"/>
      <c r="S583" s="50"/>
      <c r="T583" s="51"/>
      <c r="U583" s="51"/>
      <c r="V583" s="51"/>
      <c r="W583" s="51"/>
      <c r="X583" s="51"/>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52"/>
      <c r="BH583" s="48"/>
      <c r="BI583" s="48"/>
      <c r="BJ583" s="48"/>
      <c r="BK583" s="48"/>
      <c r="BL583" s="48"/>
      <c r="BM583" s="48"/>
      <c r="BN583" s="48"/>
      <c r="BO583" s="48"/>
      <c r="BP583" s="48"/>
      <c r="BQ583" s="48"/>
    </row>
    <row r="584" ht="23.25" customHeight="1">
      <c r="A584" s="47"/>
      <c r="B584" s="47"/>
      <c r="C584" s="48"/>
      <c r="D584" s="48"/>
      <c r="E584" s="48"/>
      <c r="F584" s="48"/>
      <c r="G584" s="47"/>
      <c r="H584" s="47"/>
      <c r="I584" s="47"/>
      <c r="J584" s="47"/>
      <c r="K584" s="47"/>
      <c r="L584" s="47"/>
      <c r="M584" s="47"/>
      <c r="N584" s="47"/>
      <c r="O584" s="47"/>
      <c r="P584" s="47"/>
      <c r="Q584" s="47"/>
      <c r="R584" s="47"/>
      <c r="S584" s="50"/>
      <c r="T584" s="51"/>
      <c r="U584" s="51"/>
      <c r="V584" s="51"/>
      <c r="W584" s="51"/>
      <c r="X584" s="51"/>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52"/>
      <c r="BH584" s="48"/>
      <c r="BI584" s="48"/>
      <c r="BJ584" s="48"/>
      <c r="BK584" s="48"/>
      <c r="BL584" s="48"/>
      <c r="BM584" s="48"/>
      <c r="BN584" s="48"/>
      <c r="BO584" s="48"/>
      <c r="BP584" s="48"/>
      <c r="BQ584" s="48"/>
    </row>
    <row r="585" ht="23.25" customHeight="1">
      <c r="A585" s="47"/>
      <c r="B585" s="47"/>
      <c r="C585" s="48"/>
      <c r="D585" s="48"/>
      <c r="E585" s="48"/>
      <c r="F585" s="48"/>
      <c r="G585" s="47"/>
      <c r="H585" s="47"/>
      <c r="I585" s="47"/>
      <c r="J585" s="47"/>
      <c r="K585" s="47"/>
      <c r="L585" s="47"/>
      <c r="M585" s="47"/>
      <c r="N585" s="47"/>
      <c r="O585" s="47"/>
      <c r="P585" s="47"/>
      <c r="Q585" s="47"/>
      <c r="R585" s="47"/>
      <c r="S585" s="50"/>
      <c r="T585" s="51"/>
      <c r="U585" s="51"/>
      <c r="V585" s="51"/>
      <c r="W585" s="51"/>
      <c r="X585" s="51"/>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52"/>
      <c r="BH585" s="48"/>
      <c r="BI585" s="48"/>
      <c r="BJ585" s="48"/>
      <c r="BK585" s="48"/>
      <c r="BL585" s="48"/>
      <c r="BM585" s="48"/>
      <c r="BN585" s="48"/>
      <c r="BO585" s="48"/>
      <c r="BP585" s="48"/>
      <c r="BQ585" s="48"/>
    </row>
    <row r="586" ht="23.25" customHeight="1">
      <c r="A586" s="47"/>
      <c r="B586" s="47"/>
      <c r="C586" s="48"/>
      <c r="D586" s="48"/>
      <c r="E586" s="48"/>
      <c r="F586" s="48"/>
      <c r="G586" s="47"/>
      <c r="H586" s="47"/>
      <c r="I586" s="47"/>
      <c r="J586" s="47"/>
      <c r="K586" s="47"/>
      <c r="L586" s="47"/>
      <c r="M586" s="47"/>
      <c r="N586" s="47"/>
      <c r="O586" s="47"/>
      <c r="P586" s="47"/>
      <c r="Q586" s="47"/>
      <c r="R586" s="47"/>
      <c r="S586" s="50"/>
      <c r="T586" s="51"/>
      <c r="U586" s="51"/>
      <c r="V586" s="51"/>
      <c r="W586" s="51"/>
      <c r="X586" s="51"/>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52"/>
      <c r="BH586" s="48"/>
      <c r="BI586" s="48"/>
      <c r="BJ586" s="48"/>
      <c r="BK586" s="48"/>
      <c r="BL586" s="48"/>
      <c r="BM586" s="48"/>
      <c r="BN586" s="48"/>
      <c r="BO586" s="48"/>
      <c r="BP586" s="48"/>
      <c r="BQ586" s="48"/>
    </row>
    <row r="587" ht="23.25" customHeight="1">
      <c r="A587" s="47"/>
      <c r="B587" s="47"/>
      <c r="C587" s="48"/>
      <c r="D587" s="48"/>
      <c r="E587" s="48"/>
      <c r="F587" s="48"/>
      <c r="G587" s="47"/>
      <c r="H587" s="47"/>
      <c r="I587" s="47"/>
      <c r="J587" s="47"/>
      <c r="K587" s="47"/>
      <c r="L587" s="47"/>
      <c r="M587" s="47"/>
      <c r="N587" s="47"/>
      <c r="O587" s="47"/>
      <c r="P587" s="47"/>
      <c r="Q587" s="47"/>
      <c r="R587" s="47"/>
      <c r="S587" s="50"/>
      <c r="T587" s="51"/>
      <c r="U587" s="51"/>
      <c r="V587" s="51"/>
      <c r="W587" s="51"/>
      <c r="X587" s="51"/>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52"/>
      <c r="BH587" s="48"/>
      <c r="BI587" s="48"/>
      <c r="BJ587" s="48"/>
      <c r="BK587" s="48"/>
      <c r="BL587" s="48"/>
      <c r="BM587" s="48"/>
      <c r="BN587" s="48"/>
      <c r="BO587" s="48"/>
      <c r="BP587" s="48"/>
      <c r="BQ587" s="48"/>
    </row>
    <row r="588" ht="23.25" customHeight="1">
      <c r="A588" s="47"/>
      <c r="B588" s="47"/>
      <c r="C588" s="48"/>
      <c r="D588" s="48"/>
      <c r="E588" s="48"/>
      <c r="F588" s="48"/>
      <c r="G588" s="47"/>
      <c r="H588" s="47"/>
      <c r="I588" s="47"/>
      <c r="J588" s="47"/>
      <c r="K588" s="47"/>
      <c r="L588" s="47"/>
      <c r="M588" s="47"/>
      <c r="N588" s="47"/>
      <c r="O588" s="47"/>
      <c r="P588" s="47"/>
      <c r="Q588" s="47"/>
      <c r="R588" s="47"/>
      <c r="S588" s="50"/>
      <c r="T588" s="51"/>
      <c r="U588" s="51"/>
      <c r="V588" s="51"/>
      <c r="W588" s="51"/>
      <c r="X588" s="51"/>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52"/>
      <c r="BH588" s="48"/>
      <c r="BI588" s="48"/>
      <c r="BJ588" s="48"/>
      <c r="BK588" s="48"/>
      <c r="BL588" s="48"/>
      <c r="BM588" s="48"/>
      <c r="BN588" s="48"/>
      <c r="BO588" s="48"/>
      <c r="BP588" s="48"/>
      <c r="BQ588" s="48"/>
    </row>
    <row r="589" ht="23.25" customHeight="1">
      <c r="A589" s="47"/>
      <c r="B589" s="47"/>
      <c r="C589" s="48"/>
      <c r="D589" s="48"/>
      <c r="E589" s="48"/>
      <c r="F589" s="48"/>
      <c r="G589" s="47"/>
      <c r="H589" s="47"/>
      <c r="I589" s="47"/>
      <c r="J589" s="47"/>
      <c r="K589" s="47"/>
      <c r="L589" s="47"/>
      <c r="M589" s="47"/>
      <c r="N589" s="47"/>
      <c r="O589" s="47"/>
      <c r="P589" s="47"/>
      <c r="Q589" s="47"/>
      <c r="R589" s="47"/>
      <c r="S589" s="50"/>
      <c r="T589" s="51"/>
      <c r="U589" s="51"/>
      <c r="V589" s="51"/>
      <c r="W589" s="51"/>
      <c r="X589" s="51"/>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52"/>
      <c r="BH589" s="48"/>
      <c r="BI589" s="48"/>
      <c r="BJ589" s="48"/>
      <c r="BK589" s="48"/>
      <c r="BL589" s="48"/>
      <c r="BM589" s="48"/>
      <c r="BN589" s="48"/>
      <c r="BO589" s="48"/>
      <c r="BP589" s="48"/>
      <c r="BQ589" s="48"/>
    </row>
    <row r="590" ht="23.25" customHeight="1">
      <c r="A590" s="47"/>
      <c r="B590" s="47"/>
      <c r="C590" s="48"/>
      <c r="D590" s="48"/>
      <c r="E590" s="48"/>
      <c r="F590" s="48"/>
      <c r="G590" s="47"/>
      <c r="H590" s="47"/>
      <c r="I590" s="47"/>
      <c r="J590" s="47"/>
      <c r="K590" s="47"/>
      <c r="L590" s="47"/>
      <c r="M590" s="47"/>
      <c r="N590" s="47"/>
      <c r="O590" s="47"/>
      <c r="P590" s="47"/>
      <c r="Q590" s="47"/>
      <c r="R590" s="47"/>
      <c r="S590" s="50"/>
      <c r="T590" s="51"/>
      <c r="U590" s="51"/>
      <c r="V590" s="51"/>
      <c r="W590" s="51"/>
      <c r="X590" s="51"/>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52"/>
      <c r="BH590" s="48"/>
      <c r="BI590" s="48"/>
      <c r="BJ590" s="48"/>
      <c r="BK590" s="48"/>
      <c r="BL590" s="48"/>
      <c r="BM590" s="48"/>
      <c r="BN590" s="48"/>
      <c r="BO590" s="48"/>
      <c r="BP590" s="48"/>
      <c r="BQ590" s="48"/>
    </row>
    <row r="591" ht="23.25" customHeight="1">
      <c r="A591" s="47"/>
      <c r="B591" s="47"/>
      <c r="C591" s="48"/>
      <c r="D591" s="48"/>
      <c r="E591" s="48"/>
      <c r="F591" s="48"/>
      <c r="G591" s="47"/>
      <c r="H591" s="47"/>
      <c r="I591" s="47"/>
      <c r="J591" s="47"/>
      <c r="K591" s="47"/>
      <c r="L591" s="47"/>
      <c r="M591" s="47"/>
      <c r="N591" s="47"/>
      <c r="O591" s="47"/>
      <c r="P591" s="47"/>
      <c r="Q591" s="47"/>
      <c r="R591" s="47"/>
      <c r="S591" s="50"/>
      <c r="T591" s="51"/>
      <c r="U591" s="51"/>
      <c r="V591" s="51"/>
      <c r="W591" s="51"/>
      <c r="X591" s="51"/>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52"/>
      <c r="BH591" s="48"/>
      <c r="BI591" s="48"/>
      <c r="BJ591" s="48"/>
      <c r="BK591" s="48"/>
      <c r="BL591" s="48"/>
      <c r="BM591" s="48"/>
      <c r="BN591" s="48"/>
      <c r="BO591" s="48"/>
      <c r="BP591" s="48"/>
      <c r="BQ591" s="48"/>
    </row>
    <row r="592" ht="23.25" customHeight="1">
      <c r="A592" s="47"/>
      <c r="B592" s="47"/>
      <c r="C592" s="48"/>
      <c r="D592" s="48"/>
      <c r="E592" s="48"/>
      <c r="F592" s="48"/>
      <c r="G592" s="47"/>
      <c r="H592" s="47"/>
      <c r="I592" s="47"/>
      <c r="J592" s="47"/>
      <c r="K592" s="47"/>
      <c r="L592" s="47"/>
      <c r="M592" s="47"/>
      <c r="N592" s="47"/>
      <c r="O592" s="47"/>
      <c r="P592" s="47"/>
      <c r="Q592" s="47"/>
      <c r="R592" s="47"/>
      <c r="S592" s="50"/>
      <c r="T592" s="51"/>
      <c r="U592" s="51"/>
      <c r="V592" s="51"/>
      <c r="W592" s="51"/>
      <c r="X592" s="51"/>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52"/>
      <c r="BH592" s="48"/>
      <c r="BI592" s="48"/>
      <c r="BJ592" s="48"/>
      <c r="BK592" s="48"/>
      <c r="BL592" s="48"/>
      <c r="BM592" s="48"/>
      <c r="BN592" s="48"/>
      <c r="BO592" s="48"/>
      <c r="BP592" s="48"/>
      <c r="BQ592" s="48"/>
    </row>
    <row r="593" ht="23.25" customHeight="1">
      <c r="A593" s="47"/>
      <c r="B593" s="47"/>
      <c r="C593" s="48"/>
      <c r="D593" s="48"/>
      <c r="E593" s="48"/>
      <c r="F593" s="48"/>
      <c r="G593" s="47"/>
      <c r="H593" s="47"/>
      <c r="I593" s="47"/>
      <c r="J593" s="47"/>
      <c r="K593" s="47"/>
      <c r="L593" s="47"/>
      <c r="M593" s="47"/>
      <c r="N593" s="47"/>
      <c r="O593" s="47"/>
      <c r="P593" s="47"/>
      <c r="Q593" s="47"/>
      <c r="R593" s="47"/>
      <c r="S593" s="50"/>
      <c r="T593" s="51"/>
      <c r="U593" s="51"/>
      <c r="V593" s="51"/>
      <c r="W593" s="51"/>
      <c r="X593" s="51"/>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52"/>
      <c r="BH593" s="48"/>
      <c r="BI593" s="48"/>
      <c r="BJ593" s="48"/>
      <c r="BK593" s="48"/>
      <c r="BL593" s="48"/>
      <c r="BM593" s="48"/>
      <c r="BN593" s="48"/>
      <c r="BO593" s="48"/>
      <c r="BP593" s="48"/>
      <c r="BQ593" s="48"/>
    </row>
    <row r="594" ht="23.25" customHeight="1">
      <c r="A594" s="47"/>
      <c r="B594" s="47"/>
      <c r="C594" s="48"/>
      <c r="D594" s="48"/>
      <c r="E594" s="48"/>
      <c r="F594" s="48"/>
      <c r="G594" s="47"/>
      <c r="H594" s="47"/>
      <c r="I594" s="47"/>
      <c r="J594" s="47"/>
      <c r="K594" s="47"/>
      <c r="L594" s="47"/>
      <c r="M594" s="47"/>
      <c r="N594" s="47"/>
      <c r="O594" s="47"/>
      <c r="P594" s="47"/>
      <c r="Q594" s="47"/>
      <c r="R594" s="47"/>
      <c r="S594" s="50"/>
      <c r="T594" s="51"/>
      <c r="U594" s="51"/>
      <c r="V594" s="51"/>
      <c r="W594" s="51"/>
      <c r="X594" s="51"/>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52"/>
      <c r="BH594" s="48"/>
      <c r="BI594" s="48"/>
      <c r="BJ594" s="48"/>
      <c r="BK594" s="48"/>
      <c r="BL594" s="48"/>
      <c r="BM594" s="48"/>
      <c r="BN594" s="48"/>
      <c r="BO594" s="48"/>
      <c r="BP594" s="48"/>
      <c r="BQ594" s="48"/>
    </row>
    <row r="595" ht="23.25" customHeight="1">
      <c r="A595" s="47"/>
      <c r="B595" s="47"/>
      <c r="C595" s="48"/>
      <c r="D595" s="48"/>
      <c r="E595" s="48"/>
      <c r="F595" s="48"/>
      <c r="G595" s="47"/>
      <c r="H595" s="47"/>
      <c r="I595" s="47"/>
      <c r="J595" s="47"/>
      <c r="K595" s="47"/>
      <c r="L595" s="47"/>
      <c r="M595" s="47"/>
      <c r="N595" s="47"/>
      <c r="O595" s="47"/>
      <c r="P595" s="47"/>
      <c r="Q595" s="47"/>
      <c r="R595" s="47"/>
      <c r="S595" s="50"/>
      <c r="T595" s="51"/>
      <c r="U595" s="51"/>
      <c r="V595" s="51"/>
      <c r="W595" s="51"/>
      <c r="X595" s="51"/>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52"/>
      <c r="BH595" s="48"/>
      <c r="BI595" s="48"/>
      <c r="BJ595" s="48"/>
      <c r="BK595" s="48"/>
      <c r="BL595" s="48"/>
      <c r="BM595" s="48"/>
      <c r="BN595" s="48"/>
      <c r="BO595" s="48"/>
      <c r="BP595" s="48"/>
      <c r="BQ595" s="48"/>
    </row>
    <row r="596" ht="23.25" customHeight="1">
      <c r="A596" s="47"/>
      <c r="B596" s="47"/>
      <c r="C596" s="48"/>
      <c r="D596" s="48"/>
      <c r="E596" s="48"/>
      <c r="F596" s="48"/>
      <c r="G596" s="47"/>
      <c r="H596" s="47"/>
      <c r="I596" s="47"/>
      <c r="J596" s="47"/>
      <c r="K596" s="47"/>
      <c r="L596" s="47"/>
      <c r="M596" s="47"/>
      <c r="N596" s="47"/>
      <c r="O596" s="47"/>
      <c r="P596" s="47"/>
      <c r="Q596" s="47"/>
      <c r="R596" s="47"/>
      <c r="S596" s="50"/>
      <c r="T596" s="51"/>
      <c r="U596" s="51"/>
      <c r="V596" s="51"/>
      <c r="W596" s="51"/>
      <c r="X596" s="51"/>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52"/>
      <c r="BH596" s="48"/>
      <c r="BI596" s="48"/>
      <c r="BJ596" s="48"/>
      <c r="BK596" s="48"/>
      <c r="BL596" s="48"/>
      <c r="BM596" s="48"/>
      <c r="BN596" s="48"/>
      <c r="BO596" s="48"/>
      <c r="BP596" s="48"/>
      <c r="BQ596" s="48"/>
    </row>
    <row r="597" ht="23.25" customHeight="1">
      <c r="A597" s="47"/>
      <c r="B597" s="47"/>
      <c r="C597" s="48"/>
      <c r="D597" s="48"/>
      <c r="E597" s="48"/>
      <c r="F597" s="48"/>
      <c r="G597" s="47"/>
      <c r="H597" s="47"/>
      <c r="I597" s="47"/>
      <c r="J597" s="47"/>
      <c r="K597" s="47"/>
      <c r="L597" s="47"/>
      <c r="M597" s="47"/>
      <c r="N597" s="47"/>
      <c r="O597" s="47"/>
      <c r="P597" s="47"/>
      <c r="Q597" s="47"/>
      <c r="R597" s="47"/>
      <c r="S597" s="50"/>
      <c r="T597" s="51"/>
      <c r="U597" s="51"/>
      <c r="V597" s="51"/>
      <c r="W597" s="51"/>
      <c r="X597" s="51"/>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52"/>
      <c r="BH597" s="48"/>
      <c r="BI597" s="48"/>
      <c r="BJ597" s="48"/>
      <c r="BK597" s="48"/>
      <c r="BL597" s="48"/>
      <c r="BM597" s="48"/>
      <c r="BN597" s="48"/>
      <c r="BO597" s="48"/>
      <c r="BP597" s="48"/>
      <c r="BQ597" s="48"/>
    </row>
    <row r="598" ht="23.25" customHeight="1">
      <c r="A598" s="47"/>
      <c r="B598" s="47"/>
      <c r="C598" s="48"/>
      <c r="D598" s="48"/>
      <c r="E598" s="48"/>
      <c r="F598" s="48"/>
      <c r="G598" s="47"/>
      <c r="H598" s="47"/>
      <c r="I598" s="47"/>
      <c r="J598" s="47"/>
      <c r="K598" s="47"/>
      <c r="L598" s="47"/>
      <c r="M598" s="47"/>
      <c r="N598" s="47"/>
      <c r="O598" s="47"/>
      <c r="P598" s="47"/>
      <c r="Q598" s="47"/>
      <c r="R598" s="47"/>
      <c r="S598" s="50"/>
      <c r="T598" s="51"/>
      <c r="U598" s="51"/>
      <c r="V598" s="51"/>
      <c r="W598" s="51"/>
      <c r="X598" s="51"/>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52"/>
      <c r="BH598" s="48"/>
      <c r="BI598" s="48"/>
      <c r="BJ598" s="48"/>
      <c r="BK598" s="48"/>
      <c r="BL598" s="48"/>
      <c r="BM598" s="48"/>
      <c r="BN598" s="48"/>
      <c r="BO598" s="48"/>
      <c r="BP598" s="48"/>
      <c r="BQ598" s="48"/>
    </row>
    <row r="599" ht="23.25" customHeight="1">
      <c r="A599" s="47"/>
      <c r="B599" s="47"/>
      <c r="C599" s="48"/>
      <c r="D599" s="48"/>
      <c r="E599" s="48"/>
      <c r="F599" s="48"/>
      <c r="G599" s="47"/>
      <c r="H599" s="47"/>
      <c r="I599" s="47"/>
      <c r="J599" s="47"/>
      <c r="K599" s="47"/>
      <c r="L599" s="47"/>
      <c r="M599" s="47"/>
      <c r="N599" s="47"/>
      <c r="O599" s="47"/>
      <c r="P599" s="47"/>
      <c r="Q599" s="47"/>
      <c r="R599" s="47"/>
      <c r="S599" s="50"/>
      <c r="T599" s="51"/>
      <c r="U599" s="51"/>
      <c r="V599" s="51"/>
      <c r="W599" s="51"/>
      <c r="X599" s="51"/>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52"/>
      <c r="BH599" s="48"/>
      <c r="BI599" s="48"/>
      <c r="BJ599" s="48"/>
      <c r="BK599" s="48"/>
      <c r="BL599" s="48"/>
      <c r="BM599" s="48"/>
      <c r="BN599" s="48"/>
      <c r="BO599" s="48"/>
      <c r="BP599" s="48"/>
      <c r="BQ599" s="48"/>
    </row>
    <row r="600" ht="23.25" customHeight="1">
      <c r="A600" s="47"/>
      <c r="B600" s="47"/>
      <c r="C600" s="48"/>
      <c r="D600" s="48"/>
      <c r="E600" s="48"/>
      <c r="F600" s="48"/>
      <c r="G600" s="47"/>
      <c r="H600" s="47"/>
      <c r="I600" s="47"/>
      <c r="J600" s="47"/>
      <c r="K600" s="47"/>
      <c r="L600" s="47"/>
      <c r="M600" s="47"/>
      <c r="N600" s="47"/>
      <c r="O600" s="47"/>
      <c r="P600" s="47"/>
      <c r="Q600" s="47"/>
      <c r="R600" s="47"/>
      <c r="S600" s="50"/>
      <c r="T600" s="51"/>
      <c r="U600" s="51"/>
      <c r="V600" s="51"/>
      <c r="W600" s="51"/>
      <c r="X600" s="51"/>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52"/>
      <c r="BH600" s="48"/>
      <c r="BI600" s="48"/>
      <c r="BJ600" s="48"/>
      <c r="BK600" s="48"/>
      <c r="BL600" s="48"/>
      <c r="BM600" s="48"/>
      <c r="BN600" s="48"/>
      <c r="BO600" s="48"/>
      <c r="BP600" s="48"/>
      <c r="BQ600" s="48"/>
    </row>
    <row r="601" ht="23.25" customHeight="1">
      <c r="A601" s="47"/>
      <c r="B601" s="47"/>
      <c r="C601" s="48"/>
      <c r="D601" s="48"/>
      <c r="E601" s="48"/>
      <c r="F601" s="48"/>
      <c r="G601" s="47"/>
      <c r="H601" s="47"/>
      <c r="I601" s="47"/>
      <c r="J601" s="47"/>
      <c r="K601" s="47"/>
      <c r="L601" s="47"/>
      <c r="M601" s="47"/>
      <c r="N601" s="47"/>
      <c r="O601" s="47"/>
      <c r="P601" s="47"/>
      <c r="Q601" s="47"/>
      <c r="R601" s="47"/>
      <c r="S601" s="50"/>
      <c r="T601" s="51"/>
      <c r="U601" s="51"/>
      <c r="V601" s="51"/>
      <c r="W601" s="51"/>
      <c r="X601" s="51"/>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52"/>
      <c r="BH601" s="48"/>
      <c r="BI601" s="48"/>
      <c r="BJ601" s="48"/>
      <c r="BK601" s="48"/>
      <c r="BL601" s="48"/>
      <c r="BM601" s="48"/>
      <c r="BN601" s="48"/>
      <c r="BO601" s="48"/>
      <c r="BP601" s="48"/>
      <c r="BQ601" s="48"/>
    </row>
    <row r="602" ht="23.25" customHeight="1">
      <c r="A602" s="47"/>
      <c r="B602" s="47"/>
      <c r="C602" s="48"/>
      <c r="D602" s="48"/>
      <c r="E602" s="48"/>
      <c r="F602" s="48"/>
      <c r="G602" s="47"/>
      <c r="H602" s="47"/>
      <c r="I602" s="47"/>
      <c r="J602" s="47"/>
      <c r="K602" s="47"/>
      <c r="L602" s="47"/>
      <c r="M602" s="47"/>
      <c r="N602" s="47"/>
      <c r="O602" s="47"/>
      <c r="P602" s="47"/>
      <c r="Q602" s="47"/>
      <c r="R602" s="47"/>
      <c r="S602" s="50"/>
      <c r="T602" s="51"/>
      <c r="U602" s="51"/>
      <c r="V602" s="51"/>
      <c r="W602" s="51"/>
      <c r="X602" s="51"/>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52"/>
      <c r="BH602" s="48"/>
      <c r="BI602" s="48"/>
      <c r="BJ602" s="48"/>
      <c r="BK602" s="48"/>
      <c r="BL602" s="48"/>
      <c r="BM602" s="48"/>
      <c r="BN602" s="48"/>
      <c r="BO602" s="48"/>
      <c r="BP602" s="48"/>
      <c r="BQ602" s="48"/>
    </row>
    <row r="603" ht="23.25" customHeight="1">
      <c r="A603" s="47"/>
      <c r="B603" s="47"/>
      <c r="C603" s="48"/>
      <c r="D603" s="48"/>
      <c r="E603" s="48"/>
      <c r="F603" s="48"/>
      <c r="G603" s="47"/>
      <c r="H603" s="47"/>
      <c r="I603" s="47"/>
      <c r="J603" s="47"/>
      <c r="K603" s="47"/>
      <c r="L603" s="47"/>
      <c r="M603" s="47"/>
      <c r="N603" s="47"/>
      <c r="O603" s="47"/>
      <c r="P603" s="47"/>
      <c r="Q603" s="47"/>
      <c r="R603" s="47"/>
      <c r="S603" s="50"/>
      <c r="T603" s="51"/>
      <c r="U603" s="51"/>
      <c r="V603" s="51"/>
      <c r="W603" s="51"/>
      <c r="X603" s="51"/>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52"/>
      <c r="BH603" s="48"/>
      <c r="BI603" s="48"/>
      <c r="BJ603" s="48"/>
      <c r="BK603" s="48"/>
      <c r="BL603" s="48"/>
      <c r="BM603" s="48"/>
      <c r="BN603" s="48"/>
      <c r="BO603" s="48"/>
      <c r="BP603" s="48"/>
      <c r="BQ603" s="48"/>
    </row>
    <row r="604" ht="23.25" customHeight="1">
      <c r="A604" s="47"/>
      <c r="B604" s="47"/>
      <c r="C604" s="48"/>
      <c r="D604" s="48"/>
      <c r="E604" s="48"/>
      <c r="F604" s="48"/>
      <c r="G604" s="47"/>
      <c r="H604" s="47"/>
      <c r="I604" s="47"/>
      <c r="J604" s="47"/>
      <c r="K604" s="47"/>
      <c r="L604" s="47"/>
      <c r="M604" s="47"/>
      <c r="N604" s="47"/>
      <c r="O604" s="47"/>
      <c r="P604" s="47"/>
      <c r="Q604" s="47"/>
      <c r="R604" s="47"/>
      <c r="S604" s="50"/>
      <c r="T604" s="51"/>
      <c r="U604" s="51"/>
      <c r="V604" s="51"/>
      <c r="W604" s="51"/>
      <c r="X604" s="51"/>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52"/>
      <c r="BH604" s="48"/>
      <c r="BI604" s="48"/>
      <c r="BJ604" s="48"/>
      <c r="BK604" s="48"/>
      <c r="BL604" s="48"/>
      <c r="BM604" s="48"/>
      <c r="BN604" s="48"/>
      <c r="BO604" s="48"/>
      <c r="BP604" s="48"/>
      <c r="BQ604" s="48"/>
    </row>
    <row r="605" ht="23.25" customHeight="1">
      <c r="A605" s="47"/>
      <c r="B605" s="47"/>
      <c r="C605" s="48"/>
      <c r="D605" s="48"/>
      <c r="E605" s="48"/>
      <c r="F605" s="48"/>
      <c r="G605" s="47"/>
      <c r="H605" s="47"/>
      <c r="I605" s="47"/>
      <c r="J605" s="47"/>
      <c r="K605" s="47"/>
      <c r="L605" s="47"/>
      <c r="M605" s="47"/>
      <c r="N605" s="47"/>
      <c r="O605" s="47"/>
      <c r="P605" s="47"/>
      <c r="Q605" s="47"/>
      <c r="R605" s="47"/>
      <c r="S605" s="50"/>
      <c r="T605" s="51"/>
      <c r="U605" s="51"/>
      <c r="V605" s="51"/>
      <c r="W605" s="51"/>
      <c r="X605" s="51"/>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52"/>
      <c r="BH605" s="48"/>
      <c r="BI605" s="48"/>
      <c r="BJ605" s="48"/>
      <c r="BK605" s="48"/>
      <c r="BL605" s="48"/>
      <c r="BM605" s="48"/>
      <c r="BN605" s="48"/>
      <c r="BO605" s="48"/>
      <c r="BP605" s="48"/>
      <c r="BQ605" s="48"/>
    </row>
    <row r="606" ht="23.25" customHeight="1">
      <c r="A606" s="47"/>
      <c r="B606" s="47"/>
      <c r="C606" s="48"/>
      <c r="D606" s="48"/>
      <c r="E606" s="48"/>
      <c r="F606" s="48"/>
      <c r="G606" s="47"/>
      <c r="H606" s="47"/>
      <c r="I606" s="47"/>
      <c r="J606" s="47"/>
      <c r="K606" s="47"/>
      <c r="L606" s="47"/>
      <c r="M606" s="47"/>
      <c r="N606" s="47"/>
      <c r="O606" s="47"/>
      <c r="P606" s="47"/>
      <c r="Q606" s="47"/>
      <c r="R606" s="47"/>
      <c r="S606" s="50"/>
      <c r="T606" s="51"/>
      <c r="U606" s="51"/>
      <c r="V606" s="51"/>
      <c r="W606" s="51"/>
      <c r="X606" s="51"/>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52"/>
      <c r="BH606" s="48"/>
      <c r="BI606" s="48"/>
      <c r="BJ606" s="48"/>
      <c r="BK606" s="48"/>
      <c r="BL606" s="48"/>
      <c r="BM606" s="48"/>
      <c r="BN606" s="48"/>
      <c r="BO606" s="48"/>
      <c r="BP606" s="48"/>
      <c r="BQ606" s="48"/>
    </row>
    <row r="607" ht="23.25" customHeight="1">
      <c r="A607" s="47"/>
      <c r="B607" s="47"/>
      <c r="C607" s="48"/>
      <c r="D607" s="48"/>
      <c r="E607" s="48"/>
      <c r="F607" s="48"/>
      <c r="G607" s="47"/>
      <c r="H607" s="47"/>
      <c r="I607" s="47"/>
      <c r="J607" s="47"/>
      <c r="K607" s="47"/>
      <c r="L607" s="47"/>
      <c r="M607" s="47"/>
      <c r="N607" s="47"/>
      <c r="O607" s="47"/>
      <c r="P607" s="47"/>
      <c r="Q607" s="47"/>
      <c r="R607" s="47"/>
      <c r="S607" s="50"/>
      <c r="T607" s="51"/>
      <c r="U607" s="51"/>
      <c r="V607" s="51"/>
      <c r="W607" s="51"/>
      <c r="X607" s="51"/>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52"/>
      <c r="BH607" s="48"/>
      <c r="BI607" s="48"/>
      <c r="BJ607" s="48"/>
      <c r="BK607" s="48"/>
      <c r="BL607" s="48"/>
      <c r="BM607" s="48"/>
      <c r="BN607" s="48"/>
      <c r="BO607" s="48"/>
      <c r="BP607" s="48"/>
      <c r="BQ607" s="48"/>
    </row>
    <row r="608" ht="23.25" customHeight="1">
      <c r="A608" s="47"/>
      <c r="B608" s="47"/>
      <c r="C608" s="48"/>
      <c r="D608" s="48"/>
      <c r="E608" s="48"/>
      <c r="F608" s="48"/>
      <c r="G608" s="47"/>
      <c r="H608" s="47"/>
      <c r="I608" s="47"/>
      <c r="J608" s="47"/>
      <c r="K608" s="47"/>
      <c r="L608" s="47"/>
      <c r="M608" s="47"/>
      <c r="N608" s="47"/>
      <c r="O608" s="47"/>
      <c r="P608" s="47"/>
      <c r="Q608" s="47"/>
      <c r="R608" s="47"/>
      <c r="S608" s="50"/>
      <c r="T608" s="51"/>
      <c r="U608" s="51"/>
      <c r="V608" s="51"/>
      <c r="W608" s="51"/>
      <c r="X608" s="51"/>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52"/>
      <c r="BH608" s="48"/>
      <c r="BI608" s="48"/>
      <c r="BJ608" s="48"/>
      <c r="BK608" s="48"/>
      <c r="BL608" s="48"/>
      <c r="BM608" s="48"/>
      <c r="BN608" s="48"/>
      <c r="BO608" s="48"/>
      <c r="BP608" s="48"/>
      <c r="BQ608" s="48"/>
    </row>
    <row r="609" ht="23.25" customHeight="1">
      <c r="A609" s="47"/>
      <c r="B609" s="47"/>
      <c r="C609" s="48"/>
      <c r="D609" s="48"/>
      <c r="E609" s="48"/>
      <c r="F609" s="48"/>
      <c r="G609" s="47"/>
      <c r="H609" s="47"/>
      <c r="I609" s="47"/>
      <c r="J609" s="47"/>
      <c r="K609" s="47"/>
      <c r="L609" s="47"/>
      <c r="M609" s="47"/>
      <c r="N609" s="47"/>
      <c r="O609" s="47"/>
      <c r="P609" s="47"/>
      <c r="Q609" s="47"/>
      <c r="R609" s="47"/>
      <c r="S609" s="50"/>
      <c r="T609" s="51"/>
      <c r="U609" s="51"/>
      <c r="V609" s="51"/>
      <c r="W609" s="51"/>
      <c r="X609" s="51"/>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52"/>
      <c r="BH609" s="48"/>
      <c r="BI609" s="48"/>
      <c r="BJ609" s="48"/>
      <c r="BK609" s="48"/>
      <c r="BL609" s="48"/>
      <c r="BM609" s="48"/>
      <c r="BN609" s="48"/>
      <c r="BO609" s="48"/>
      <c r="BP609" s="48"/>
      <c r="BQ609" s="48"/>
    </row>
    <row r="610" ht="23.25" customHeight="1">
      <c r="A610" s="47"/>
      <c r="B610" s="47"/>
      <c r="C610" s="48"/>
      <c r="D610" s="48"/>
      <c r="E610" s="48"/>
      <c r="F610" s="48"/>
      <c r="G610" s="47"/>
      <c r="H610" s="47"/>
      <c r="I610" s="47"/>
      <c r="J610" s="47"/>
      <c r="K610" s="47"/>
      <c r="L610" s="47"/>
      <c r="M610" s="47"/>
      <c r="N610" s="47"/>
      <c r="O610" s="47"/>
      <c r="P610" s="47"/>
      <c r="Q610" s="47"/>
      <c r="R610" s="47"/>
      <c r="S610" s="50"/>
      <c r="T610" s="51"/>
      <c r="U610" s="51"/>
      <c r="V610" s="51"/>
      <c r="W610" s="51"/>
      <c r="X610" s="51"/>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52"/>
      <c r="BH610" s="48"/>
      <c r="BI610" s="48"/>
      <c r="BJ610" s="48"/>
      <c r="BK610" s="48"/>
      <c r="BL610" s="48"/>
      <c r="BM610" s="48"/>
      <c r="BN610" s="48"/>
      <c r="BO610" s="48"/>
      <c r="BP610" s="48"/>
      <c r="BQ610" s="48"/>
    </row>
    <row r="611" ht="23.25" customHeight="1">
      <c r="A611" s="47"/>
      <c r="B611" s="47"/>
      <c r="C611" s="48"/>
      <c r="D611" s="48"/>
      <c r="E611" s="48"/>
      <c r="F611" s="48"/>
      <c r="G611" s="47"/>
      <c r="H611" s="47"/>
      <c r="I611" s="47"/>
      <c r="J611" s="47"/>
      <c r="K611" s="47"/>
      <c r="L611" s="47"/>
      <c r="M611" s="47"/>
      <c r="N611" s="47"/>
      <c r="O611" s="47"/>
      <c r="P611" s="47"/>
      <c r="Q611" s="47"/>
      <c r="R611" s="47"/>
      <c r="S611" s="50"/>
      <c r="T611" s="51"/>
      <c r="U611" s="51"/>
      <c r="V611" s="51"/>
      <c r="W611" s="51"/>
      <c r="X611" s="51"/>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52"/>
      <c r="BH611" s="48"/>
      <c r="BI611" s="48"/>
      <c r="BJ611" s="48"/>
      <c r="BK611" s="48"/>
      <c r="BL611" s="48"/>
      <c r="BM611" s="48"/>
      <c r="BN611" s="48"/>
      <c r="BO611" s="48"/>
      <c r="BP611" s="48"/>
      <c r="BQ611" s="48"/>
    </row>
    <row r="612" ht="23.25" customHeight="1">
      <c r="A612" s="47"/>
      <c r="B612" s="47"/>
      <c r="C612" s="48"/>
      <c r="D612" s="48"/>
      <c r="E612" s="48"/>
      <c r="F612" s="48"/>
      <c r="G612" s="47"/>
      <c r="H612" s="47"/>
      <c r="I612" s="47"/>
      <c r="J612" s="47"/>
      <c r="K612" s="47"/>
      <c r="L612" s="47"/>
      <c r="M612" s="47"/>
      <c r="N612" s="47"/>
      <c r="O612" s="47"/>
      <c r="P612" s="47"/>
      <c r="Q612" s="47"/>
      <c r="R612" s="47"/>
      <c r="S612" s="50"/>
      <c r="T612" s="51"/>
      <c r="U612" s="51"/>
      <c r="V612" s="51"/>
      <c r="W612" s="51"/>
      <c r="X612" s="51"/>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52"/>
      <c r="BH612" s="48"/>
      <c r="BI612" s="48"/>
      <c r="BJ612" s="48"/>
      <c r="BK612" s="48"/>
      <c r="BL612" s="48"/>
      <c r="BM612" s="48"/>
      <c r="BN612" s="48"/>
      <c r="BO612" s="48"/>
      <c r="BP612" s="48"/>
      <c r="BQ612" s="48"/>
    </row>
    <row r="613" ht="23.25" customHeight="1">
      <c r="A613" s="47"/>
      <c r="B613" s="47"/>
      <c r="C613" s="48"/>
      <c r="D613" s="48"/>
      <c r="E613" s="48"/>
      <c r="F613" s="48"/>
      <c r="G613" s="47"/>
      <c r="H613" s="47"/>
      <c r="I613" s="47"/>
      <c r="J613" s="47"/>
      <c r="K613" s="47"/>
      <c r="L613" s="47"/>
      <c r="M613" s="47"/>
      <c r="N613" s="47"/>
      <c r="O613" s="47"/>
      <c r="P613" s="47"/>
      <c r="Q613" s="47"/>
      <c r="R613" s="47"/>
      <c r="S613" s="50"/>
      <c r="T613" s="51"/>
      <c r="U613" s="51"/>
      <c r="V613" s="51"/>
      <c r="W613" s="51"/>
      <c r="X613" s="51"/>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52"/>
      <c r="BH613" s="48"/>
      <c r="BI613" s="48"/>
      <c r="BJ613" s="48"/>
      <c r="BK613" s="48"/>
      <c r="BL613" s="48"/>
      <c r="BM613" s="48"/>
      <c r="BN613" s="48"/>
      <c r="BO613" s="48"/>
      <c r="BP613" s="48"/>
      <c r="BQ613" s="48"/>
    </row>
    <row r="614" ht="23.25" customHeight="1">
      <c r="A614" s="47"/>
      <c r="B614" s="47"/>
      <c r="C614" s="48"/>
      <c r="D614" s="48"/>
      <c r="E614" s="48"/>
      <c r="F614" s="48"/>
      <c r="G614" s="47"/>
      <c r="H614" s="47"/>
      <c r="I614" s="47"/>
      <c r="J614" s="47"/>
      <c r="K614" s="47"/>
      <c r="L614" s="47"/>
      <c r="M614" s="47"/>
      <c r="N614" s="47"/>
      <c r="O614" s="47"/>
      <c r="P614" s="47"/>
      <c r="Q614" s="47"/>
      <c r="R614" s="47"/>
      <c r="S614" s="50"/>
      <c r="T614" s="51"/>
      <c r="U614" s="51"/>
      <c r="V614" s="51"/>
      <c r="W614" s="51"/>
      <c r="X614" s="51"/>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52"/>
      <c r="BH614" s="48"/>
      <c r="BI614" s="48"/>
      <c r="BJ614" s="48"/>
      <c r="BK614" s="48"/>
      <c r="BL614" s="48"/>
      <c r="BM614" s="48"/>
      <c r="BN614" s="48"/>
      <c r="BO614" s="48"/>
      <c r="BP614" s="48"/>
      <c r="BQ614" s="48"/>
    </row>
    <row r="615" ht="23.25" customHeight="1">
      <c r="A615" s="47"/>
      <c r="B615" s="47"/>
      <c r="C615" s="48"/>
      <c r="D615" s="48"/>
      <c r="E615" s="48"/>
      <c r="F615" s="48"/>
      <c r="G615" s="47"/>
      <c r="H615" s="47"/>
      <c r="I615" s="47"/>
      <c r="J615" s="47"/>
      <c r="K615" s="47"/>
      <c r="L615" s="47"/>
      <c r="M615" s="47"/>
      <c r="N615" s="47"/>
      <c r="O615" s="47"/>
      <c r="P615" s="47"/>
      <c r="Q615" s="47"/>
      <c r="R615" s="47"/>
      <c r="S615" s="50"/>
      <c r="T615" s="51"/>
      <c r="U615" s="51"/>
      <c r="V615" s="51"/>
      <c r="W615" s="51"/>
      <c r="X615" s="51"/>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52"/>
      <c r="BH615" s="48"/>
      <c r="BI615" s="48"/>
      <c r="BJ615" s="48"/>
      <c r="BK615" s="48"/>
      <c r="BL615" s="48"/>
      <c r="BM615" s="48"/>
      <c r="BN615" s="48"/>
      <c r="BO615" s="48"/>
      <c r="BP615" s="48"/>
      <c r="BQ615" s="48"/>
    </row>
    <row r="616" ht="23.25" customHeight="1">
      <c r="A616" s="47"/>
      <c r="B616" s="47"/>
      <c r="C616" s="48"/>
      <c r="D616" s="48"/>
      <c r="E616" s="48"/>
      <c r="F616" s="48"/>
      <c r="G616" s="47"/>
      <c r="H616" s="47"/>
      <c r="I616" s="47"/>
      <c r="J616" s="47"/>
      <c r="K616" s="47"/>
      <c r="L616" s="47"/>
      <c r="M616" s="47"/>
      <c r="N616" s="47"/>
      <c r="O616" s="47"/>
      <c r="P616" s="47"/>
      <c r="Q616" s="47"/>
      <c r="R616" s="47"/>
      <c r="S616" s="50"/>
      <c r="T616" s="51"/>
      <c r="U616" s="51"/>
      <c r="V616" s="51"/>
      <c r="W616" s="51"/>
      <c r="X616" s="51"/>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52"/>
      <c r="BH616" s="48"/>
      <c r="BI616" s="48"/>
      <c r="BJ616" s="48"/>
      <c r="BK616" s="48"/>
      <c r="BL616" s="48"/>
      <c r="BM616" s="48"/>
      <c r="BN616" s="48"/>
      <c r="BO616" s="48"/>
      <c r="BP616" s="48"/>
      <c r="BQ616" s="48"/>
    </row>
    <row r="617" ht="23.25" customHeight="1">
      <c r="A617" s="47"/>
      <c r="B617" s="47"/>
      <c r="C617" s="48"/>
      <c r="D617" s="48"/>
      <c r="E617" s="48"/>
      <c r="F617" s="48"/>
      <c r="G617" s="47"/>
      <c r="H617" s="47"/>
      <c r="I617" s="47"/>
      <c r="J617" s="47"/>
      <c r="K617" s="47"/>
      <c r="L617" s="47"/>
      <c r="M617" s="47"/>
      <c r="N617" s="47"/>
      <c r="O617" s="47"/>
      <c r="P617" s="47"/>
      <c r="Q617" s="47"/>
      <c r="R617" s="47"/>
      <c r="S617" s="50"/>
      <c r="T617" s="51"/>
      <c r="U617" s="51"/>
      <c r="V617" s="51"/>
      <c r="W617" s="51"/>
      <c r="X617" s="51"/>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52"/>
      <c r="BH617" s="48"/>
      <c r="BI617" s="48"/>
      <c r="BJ617" s="48"/>
      <c r="BK617" s="48"/>
      <c r="BL617" s="48"/>
      <c r="BM617" s="48"/>
      <c r="BN617" s="48"/>
      <c r="BO617" s="48"/>
      <c r="BP617" s="48"/>
      <c r="BQ617" s="48"/>
    </row>
    <row r="618" ht="23.25" customHeight="1">
      <c r="A618" s="47"/>
      <c r="B618" s="47"/>
      <c r="C618" s="48"/>
      <c r="D618" s="48"/>
      <c r="E618" s="48"/>
      <c r="F618" s="48"/>
      <c r="G618" s="47"/>
      <c r="H618" s="47"/>
      <c r="I618" s="47"/>
      <c r="J618" s="47"/>
      <c r="K618" s="47"/>
      <c r="L618" s="47"/>
      <c r="M618" s="47"/>
      <c r="N618" s="47"/>
      <c r="O618" s="47"/>
      <c r="P618" s="47"/>
      <c r="Q618" s="47"/>
      <c r="R618" s="47"/>
      <c r="S618" s="50"/>
      <c r="T618" s="51"/>
      <c r="U618" s="51"/>
      <c r="V618" s="51"/>
      <c r="W618" s="51"/>
      <c r="X618" s="51"/>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52"/>
      <c r="BH618" s="48"/>
      <c r="BI618" s="48"/>
      <c r="BJ618" s="48"/>
      <c r="BK618" s="48"/>
      <c r="BL618" s="48"/>
      <c r="BM618" s="48"/>
      <c r="BN618" s="48"/>
      <c r="BO618" s="48"/>
      <c r="BP618" s="48"/>
      <c r="BQ618" s="48"/>
    </row>
    <row r="619" ht="23.25" customHeight="1">
      <c r="A619" s="47"/>
      <c r="B619" s="47"/>
      <c r="C619" s="48"/>
      <c r="D619" s="48"/>
      <c r="E619" s="48"/>
      <c r="F619" s="48"/>
      <c r="G619" s="47"/>
      <c r="H619" s="47"/>
      <c r="I619" s="47"/>
      <c r="J619" s="47"/>
      <c r="K619" s="47"/>
      <c r="L619" s="47"/>
      <c r="M619" s="47"/>
      <c r="N619" s="47"/>
      <c r="O619" s="47"/>
      <c r="P619" s="47"/>
      <c r="Q619" s="47"/>
      <c r="R619" s="47"/>
      <c r="S619" s="50"/>
      <c r="T619" s="51"/>
      <c r="U619" s="51"/>
      <c r="V619" s="51"/>
      <c r="W619" s="51"/>
      <c r="X619" s="51"/>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52"/>
      <c r="BH619" s="48"/>
      <c r="BI619" s="48"/>
      <c r="BJ619" s="48"/>
      <c r="BK619" s="48"/>
      <c r="BL619" s="48"/>
      <c r="BM619" s="48"/>
      <c r="BN619" s="48"/>
      <c r="BO619" s="48"/>
      <c r="BP619" s="48"/>
      <c r="BQ619" s="48"/>
    </row>
    <row r="620" ht="23.25" customHeight="1">
      <c r="A620" s="47"/>
      <c r="B620" s="47"/>
      <c r="C620" s="48"/>
      <c r="D620" s="48"/>
      <c r="E620" s="48"/>
      <c r="F620" s="48"/>
      <c r="G620" s="47"/>
      <c r="H620" s="47"/>
      <c r="I620" s="47"/>
      <c r="J620" s="47"/>
      <c r="K620" s="47"/>
      <c r="L620" s="47"/>
      <c r="M620" s="47"/>
      <c r="N620" s="47"/>
      <c r="O620" s="47"/>
      <c r="P620" s="47"/>
      <c r="Q620" s="47"/>
      <c r="R620" s="47"/>
      <c r="S620" s="50"/>
      <c r="T620" s="51"/>
      <c r="U620" s="51"/>
      <c r="V620" s="51"/>
      <c r="W620" s="51"/>
      <c r="X620" s="51"/>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52"/>
      <c r="BH620" s="48"/>
      <c r="BI620" s="48"/>
      <c r="BJ620" s="48"/>
      <c r="BK620" s="48"/>
      <c r="BL620" s="48"/>
      <c r="BM620" s="48"/>
      <c r="BN620" s="48"/>
      <c r="BO620" s="48"/>
      <c r="BP620" s="48"/>
      <c r="BQ620" s="48"/>
    </row>
    <row r="621" ht="23.25" customHeight="1">
      <c r="A621" s="47"/>
      <c r="B621" s="47"/>
      <c r="C621" s="48"/>
      <c r="D621" s="48"/>
      <c r="E621" s="48"/>
      <c r="F621" s="48"/>
      <c r="G621" s="47"/>
      <c r="H621" s="47"/>
      <c r="I621" s="47"/>
      <c r="J621" s="47"/>
      <c r="K621" s="47"/>
      <c r="L621" s="47"/>
      <c r="M621" s="47"/>
      <c r="N621" s="47"/>
      <c r="O621" s="47"/>
      <c r="P621" s="47"/>
      <c r="Q621" s="47"/>
      <c r="R621" s="47"/>
      <c r="S621" s="50"/>
      <c r="T621" s="51"/>
      <c r="U621" s="51"/>
      <c r="V621" s="51"/>
      <c r="W621" s="51"/>
      <c r="X621" s="51"/>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52"/>
      <c r="BH621" s="48"/>
      <c r="BI621" s="48"/>
      <c r="BJ621" s="48"/>
      <c r="BK621" s="48"/>
      <c r="BL621" s="48"/>
      <c r="BM621" s="48"/>
      <c r="BN621" s="48"/>
      <c r="BO621" s="48"/>
      <c r="BP621" s="48"/>
      <c r="BQ621" s="48"/>
    </row>
    <row r="622" ht="23.25" customHeight="1">
      <c r="A622" s="47"/>
      <c r="B622" s="47"/>
      <c r="C622" s="48"/>
      <c r="D622" s="48"/>
      <c r="E622" s="48"/>
      <c r="F622" s="48"/>
      <c r="G622" s="47"/>
      <c r="H622" s="47"/>
      <c r="I622" s="47"/>
      <c r="J622" s="47"/>
      <c r="K622" s="47"/>
      <c r="L622" s="47"/>
      <c r="M622" s="47"/>
      <c r="N622" s="47"/>
      <c r="O622" s="47"/>
      <c r="P622" s="47"/>
      <c r="Q622" s="47"/>
      <c r="R622" s="47"/>
      <c r="S622" s="50"/>
      <c r="T622" s="51"/>
      <c r="U622" s="51"/>
      <c r="V622" s="51"/>
      <c r="W622" s="51"/>
      <c r="X622" s="51"/>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52"/>
      <c r="BH622" s="48"/>
      <c r="BI622" s="48"/>
      <c r="BJ622" s="48"/>
      <c r="BK622" s="48"/>
      <c r="BL622" s="48"/>
      <c r="BM622" s="48"/>
      <c r="BN622" s="48"/>
      <c r="BO622" s="48"/>
      <c r="BP622" s="48"/>
      <c r="BQ622" s="48"/>
    </row>
    <row r="623" ht="23.25" customHeight="1">
      <c r="A623" s="47"/>
      <c r="B623" s="47"/>
      <c r="C623" s="48"/>
      <c r="D623" s="48"/>
      <c r="E623" s="48"/>
      <c r="F623" s="48"/>
      <c r="G623" s="47"/>
      <c r="H623" s="47"/>
      <c r="I623" s="47"/>
      <c r="J623" s="47"/>
      <c r="K623" s="47"/>
      <c r="L623" s="47"/>
      <c r="M623" s="47"/>
      <c r="N623" s="47"/>
      <c r="O623" s="47"/>
      <c r="P623" s="47"/>
      <c r="Q623" s="47"/>
      <c r="R623" s="47"/>
      <c r="S623" s="50"/>
      <c r="T623" s="51"/>
      <c r="U623" s="51"/>
      <c r="V623" s="51"/>
      <c r="W623" s="51"/>
      <c r="X623" s="51"/>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52"/>
      <c r="BH623" s="48"/>
      <c r="BI623" s="48"/>
      <c r="BJ623" s="48"/>
      <c r="BK623" s="48"/>
      <c r="BL623" s="48"/>
      <c r="BM623" s="48"/>
      <c r="BN623" s="48"/>
      <c r="BO623" s="48"/>
      <c r="BP623" s="48"/>
      <c r="BQ623" s="48"/>
    </row>
    <row r="624" ht="23.25" customHeight="1">
      <c r="A624" s="47"/>
      <c r="B624" s="47"/>
      <c r="C624" s="48"/>
      <c r="D624" s="48"/>
      <c r="E624" s="48"/>
      <c r="F624" s="48"/>
      <c r="G624" s="47"/>
      <c r="H624" s="47"/>
      <c r="I624" s="47"/>
      <c r="J624" s="47"/>
      <c r="K624" s="47"/>
      <c r="L624" s="47"/>
      <c r="M624" s="47"/>
      <c r="N624" s="47"/>
      <c r="O624" s="47"/>
      <c r="P624" s="47"/>
      <c r="Q624" s="47"/>
      <c r="R624" s="47"/>
      <c r="S624" s="50"/>
      <c r="T624" s="51"/>
      <c r="U624" s="51"/>
      <c r="V624" s="51"/>
      <c r="W624" s="51"/>
      <c r="X624" s="51"/>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52"/>
      <c r="BH624" s="48"/>
      <c r="BI624" s="48"/>
      <c r="BJ624" s="48"/>
      <c r="BK624" s="48"/>
      <c r="BL624" s="48"/>
      <c r="BM624" s="48"/>
      <c r="BN624" s="48"/>
      <c r="BO624" s="48"/>
      <c r="BP624" s="48"/>
      <c r="BQ624" s="48"/>
    </row>
    <row r="625" ht="23.25" customHeight="1">
      <c r="A625" s="47"/>
      <c r="B625" s="47"/>
      <c r="C625" s="48"/>
      <c r="D625" s="48"/>
      <c r="E625" s="48"/>
      <c r="F625" s="48"/>
      <c r="G625" s="47"/>
      <c r="H625" s="47"/>
      <c r="I625" s="47"/>
      <c r="J625" s="47"/>
      <c r="K625" s="47"/>
      <c r="L625" s="47"/>
      <c r="M625" s="47"/>
      <c r="N625" s="47"/>
      <c r="O625" s="47"/>
      <c r="P625" s="47"/>
      <c r="Q625" s="47"/>
      <c r="R625" s="47"/>
      <c r="S625" s="50"/>
      <c r="T625" s="51"/>
      <c r="U625" s="51"/>
      <c r="V625" s="51"/>
      <c r="W625" s="51"/>
      <c r="X625" s="51"/>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52"/>
      <c r="BH625" s="48"/>
      <c r="BI625" s="48"/>
      <c r="BJ625" s="48"/>
      <c r="BK625" s="48"/>
      <c r="BL625" s="48"/>
      <c r="BM625" s="48"/>
      <c r="BN625" s="48"/>
      <c r="BO625" s="48"/>
      <c r="BP625" s="48"/>
      <c r="BQ625" s="48"/>
    </row>
    <row r="626" ht="23.25" customHeight="1">
      <c r="A626" s="47"/>
      <c r="B626" s="47"/>
      <c r="C626" s="48"/>
      <c r="D626" s="48"/>
      <c r="E626" s="48"/>
      <c r="F626" s="48"/>
      <c r="G626" s="47"/>
      <c r="H626" s="47"/>
      <c r="I626" s="47"/>
      <c r="J626" s="47"/>
      <c r="K626" s="47"/>
      <c r="L626" s="47"/>
      <c r="M626" s="47"/>
      <c r="N626" s="47"/>
      <c r="O626" s="47"/>
      <c r="P626" s="47"/>
      <c r="Q626" s="47"/>
      <c r="R626" s="47"/>
      <c r="S626" s="50"/>
      <c r="T626" s="51"/>
      <c r="U626" s="51"/>
      <c r="V626" s="51"/>
      <c r="W626" s="51"/>
      <c r="X626" s="51"/>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52"/>
      <c r="BH626" s="48"/>
      <c r="BI626" s="48"/>
      <c r="BJ626" s="48"/>
      <c r="BK626" s="48"/>
      <c r="BL626" s="48"/>
      <c r="BM626" s="48"/>
      <c r="BN626" s="48"/>
      <c r="BO626" s="48"/>
      <c r="BP626" s="48"/>
      <c r="BQ626" s="48"/>
    </row>
    <row r="627" ht="23.25" customHeight="1">
      <c r="A627" s="47"/>
      <c r="B627" s="47"/>
      <c r="C627" s="48"/>
      <c r="D627" s="48"/>
      <c r="E627" s="48"/>
      <c r="F627" s="48"/>
      <c r="G627" s="47"/>
      <c r="H627" s="47"/>
      <c r="I627" s="47"/>
      <c r="J627" s="47"/>
      <c r="K627" s="47"/>
      <c r="L627" s="47"/>
      <c r="M627" s="47"/>
      <c r="N627" s="47"/>
      <c r="O627" s="47"/>
      <c r="P627" s="47"/>
      <c r="Q627" s="47"/>
      <c r="R627" s="47"/>
      <c r="S627" s="50"/>
      <c r="T627" s="51"/>
      <c r="U627" s="51"/>
      <c r="V627" s="51"/>
      <c r="W627" s="51"/>
      <c r="X627" s="51"/>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52"/>
      <c r="BH627" s="48"/>
      <c r="BI627" s="48"/>
      <c r="BJ627" s="48"/>
      <c r="BK627" s="48"/>
      <c r="BL627" s="48"/>
      <c r="BM627" s="48"/>
      <c r="BN627" s="48"/>
      <c r="BO627" s="48"/>
      <c r="BP627" s="48"/>
      <c r="BQ627" s="48"/>
    </row>
    <row r="628" ht="23.25" customHeight="1">
      <c r="A628" s="47"/>
      <c r="B628" s="47"/>
      <c r="C628" s="48"/>
      <c r="D628" s="48"/>
      <c r="E628" s="48"/>
      <c r="F628" s="48"/>
      <c r="G628" s="47"/>
      <c r="H628" s="47"/>
      <c r="I628" s="47"/>
      <c r="J628" s="47"/>
      <c r="K628" s="47"/>
      <c r="L628" s="47"/>
      <c r="M628" s="47"/>
      <c r="N628" s="47"/>
      <c r="O628" s="47"/>
      <c r="P628" s="47"/>
      <c r="Q628" s="47"/>
      <c r="R628" s="47"/>
      <c r="S628" s="50"/>
      <c r="T628" s="51"/>
      <c r="U628" s="51"/>
      <c r="V628" s="51"/>
      <c r="W628" s="51"/>
      <c r="X628" s="51"/>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52"/>
      <c r="BH628" s="48"/>
      <c r="BI628" s="48"/>
      <c r="BJ628" s="48"/>
      <c r="BK628" s="48"/>
      <c r="BL628" s="48"/>
      <c r="BM628" s="48"/>
      <c r="BN628" s="48"/>
      <c r="BO628" s="48"/>
      <c r="BP628" s="48"/>
      <c r="BQ628" s="48"/>
    </row>
    <row r="629" ht="23.25" customHeight="1">
      <c r="A629" s="47"/>
      <c r="B629" s="47"/>
      <c r="C629" s="48"/>
      <c r="D629" s="48"/>
      <c r="E629" s="48"/>
      <c r="F629" s="48"/>
      <c r="G629" s="47"/>
      <c r="H629" s="47"/>
      <c r="I629" s="47"/>
      <c r="J629" s="47"/>
      <c r="K629" s="47"/>
      <c r="L629" s="47"/>
      <c r="M629" s="47"/>
      <c r="N629" s="47"/>
      <c r="O629" s="47"/>
      <c r="P629" s="47"/>
      <c r="Q629" s="47"/>
      <c r="R629" s="47"/>
      <c r="S629" s="50"/>
      <c r="T629" s="51"/>
      <c r="U629" s="51"/>
      <c r="V629" s="51"/>
      <c r="W629" s="51"/>
      <c r="X629" s="51"/>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52"/>
      <c r="BH629" s="48"/>
      <c r="BI629" s="48"/>
      <c r="BJ629" s="48"/>
      <c r="BK629" s="48"/>
      <c r="BL629" s="48"/>
      <c r="BM629" s="48"/>
      <c r="BN629" s="48"/>
      <c r="BO629" s="48"/>
      <c r="BP629" s="48"/>
      <c r="BQ629" s="48"/>
    </row>
    <row r="630" ht="23.25" customHeight="1">
      <c r="A630" s="47"/>
      <c r="B630" s="47"/>
      <c r="C630" s="48"/>
      <c r="D630" s="48"/>
      <c r="E630" s="48"/>
      <c r="F630" s="48"/>
      <c r="G630" s="47"/>
      <c r="H630" s="47"/>
      <c r="I630" s="47"/>
      <c r="J630" s="47"/>
      <c r="K630" s="47"/>
      <c r="L630" s="47"/>
      <c r="M630" s="47"/>
      <c r="N630" s="47"/>
      <c r="O630" s="47"/>
      <c r="P630" s="47"/>
      <c r="Q630" s="47"/>
      <c r="R630" s="47"/>
      <c r="S630" s="50"/>
      <c r="T630" s="51"/>
      <c r="U630" s="51"/>
      <c r="V630" s="51"/>
      <c r="W630" s="51"/>
      <c r="X630" s="51"/>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52"/>
      <c r="BH630" s="48"/>
      <c r="BI630" s="48"/>
      <c r="BJ630" s="48"/>
      <c r="BK630" s="48"/>
      <c r="BL630" s="48"/>
      <c r="BM630" s="48"/>
      <c r="BN630" s="48"/>
      <c r="BO630" s="48"/>
      <c r="BP630" s="48"/>
      <c r="BQ630" s="48"/>
    </row>
    <row r="631" ht="23.25" customHeight="1">
      <c r="A631" s="47"/>
      <c r="B631" s="47"/>
      <c r="C631" s="48"/>
      <c r="D631" s="48"/>
      <c r="E631" s="48"/>
      <c r="F631" s="48"/>
      <c r="G631" s="47"/>
      <c r="H631" s="47"/>
      <c r="I631" s="47"/>
      <c r="J631" s="47"/>
      <c r="K631" s="47"/>
      <c r="L631" s="47"/>
      <c r="M631" s="47"/>
      <c r="N631" s="47"/>
      <c r="O631" s="47"/>
      <c r="P631" s="47"/>
      <c r="Q631" s="47"/>
      <c r="R631" s="47"/>
      <c r="S631" s="50"/>
      <c r="T631" s="51"/>
      <c r="U631" s="51"/>
      <c r="V631" s="51"/>
      <c r="W631" s="51"/>
      <c r="X631" s="51"/>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52"/>
      <c r="BH631" s="48"/>
      <c r="BI631" s="48"/>
      <c r="BJ631" s="48"/>
      <c r="BK631" s="48"/>
      <c r="BL631" s="48"/>
      <c r="BM631" s="48"/>
      <c r="BN631" s="48"/>
      <c r="BO631" s="48"/>
      <c r="BP631" s="48"/>
      <c r="BQ631" s="48"/>
    </row>
    <row r="632" ht="23.25" customHeight="1">
      <c r="A632" s="47"/>
      <c r="B632" s="47"/>
      <c r="C632" s="48"/>
      <c r="D632" s="48"/>
      <c r="E632" s="48"/>
      <c r="F632" s="48"/>
      <c r="G632" s="47"/>
      <c r="H632" s="47"/>
      <c r="I632" s="47"/>
      <c r="J632" s="47"/>
      <c r="K632" s="47"/>
      <c r="L632" s="47"/>
      <c r="M632" s="47"/>
      <c r="N632" s="47"/>
      <c r="O632" s="47"/>
      <c r="P632" s="47"/>
      <c r="Q632" s="47"/>
      <c r="R632" s="47"/>
      <c r="S632" s="50"/>
      <c r="T632" s="51"/>
      <c r="U632" s="51"/>
      <c r="V632" s="51"/>
      <c r="W632" s="51"/>
      <c r="X632" s="51"/>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52"/>
      <c r="BH632" s="48"/>
      <c r="BI632" s="48"/>
      <c r="BJ632" s="48"/>
      <c r="BK632" s="48"/>
      <c r="BL632" s="48"/>
      <c r="BM632" s="48"/>
      <c r="BN632" s="48"/>
      <c r="BO632" s="48"/>
      <c r="BP632" s="48"/>
      <c r="BQ632" s="48"/>
    </row>
    <row r="633" ht="23.25" customHeight="1">
      <c r="A633" s="47"/>
      <c r="B633" s="47"/>
      <c r="C633" s="48"/>
      <c r="D633" s="48"/>
      <c r="E633" s="48"/>
      <c r="F633" s="48"/>
      <c r="G633" s="47"/>
      <c r="H633" s="47"/>
      <c r="I633" s="47"/>
      <c r="J633" s="47"/>
      <c r="K633" s="47"/>
      <c r="L633" s="47"/>
      <c r="M633" s="47"/>
      <c r="N633" s="47"/>
      <c r="O633" s="47"/>
      <c r="P633" s="47"/>
      <c r="Q633" s="47"/>
      <c r="R633" s="47"/>
      <c r="S633" s="50"/>
      <c r="T633" s="51"/>
      <c r="U633" s="51"/>
      <c r="V633" s="51"/>
      <c r="W633" s="51"/>
      <c r="X633" s="51"/>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52"/>
      <c r="BH633" s="48"/>
      <c r="BI633" s="48"/>
      <c r="BJ633" s="48"/>
      <c r="BK633" s="48"/>
      <c r="BL633" s="48"/>
      <c r="BM633" s="48"/>
      <c r="BN633" s="48"/>
      <c r="BO633" s="48"/>
      <c r="BP633" s="48"/>
      <c r="BQ633" s="48"/>
    </row>
    <row r="634" ht="23.25" customHeight="1">
      <c r="A634" s="47"/>
      <c r="B634" s="47"/>
      <c r="C634" s="48"/>
      <c r="D634" s="48"/>
      <c r="E634" s="48"/>
      <c r="F634" s="48"/>
      <c r="G634" s="47"/>
      <c r="H634" s="47"/>
      <c r="I634" s="47"/>
      <c r="J634" s="47"/>
      <c r="K634" s="47"/>
      <c r="L634" s="47"/>
      <c r="M634" s="47"/>
      <c r="N634" s="47"/>
      <c r="O634" s="47"/>
      <c r="P634" s="47"/>
      <c r="Q634" s="47"/>
      <c r="R634" s="47"/>
      <c r="S634" s="50"/>
      <c r="T634" s="51"/>
      <c r="U634" s="51"/>
      <c r="V634" s="51"/>
      <c r="W634" s="51"/>
      <c r="X634" s="51"/>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52"/>
      <c r="BH634" s="48"/>
      <c r="BI634" s="48"/>
      <c r="BJ634" s="48"/>
      <c r="BK634" s="48"/>
      <c r="BL634" s="48"/>
      <c r="BM634" s="48"/>
      <c r="BN634" s="48"/>
      <c r="BO634" s="48"/>
      <c r="BP634" s="48"/>
      <c r="BQ634" s="48"/>
    </row>
    <row r="635" ht="23.25" customHeight="1">
      <c r="A635" s="47"/>
      <c r="B635" s="47"/>
      <c r="C635" s="48"/>
      <c r="D635" s="48"/>
      <c r="E635" s="48"/>
      <c r="F635" s="48"/>
      <c r="G635" s="47"/>
      <c r="H635" s="47"/>
      <c r="I635" s="47"/>
      <c r="J635" s="47"/>
      <c r="K635" s="47"/>
      <c r="L635" s="47"/>
      <c r="M635" s="47"/>
      <c r="N635" s="47"/>
      <c r="O635" s="47"/>
      <c r="P635" s="47"/>
      <c r="Q635" s="47"/>
      <c r="R635" s="47"/>
      <c r="S635" s="50"/>
      <c r="T635" s="51"/>
      <c r="U635" s="51"/>
      <c r="V635" s="51"/>
      <c r="W635" s="51"/>
      <c r="X635" s="51"/>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52"/>
      <c r="BH635" s="48"/>
      <c r="BI635" s="48"/>
      <c r="BJ635" s="48"/>
      <c r="BK635" s="48"/>
      <c r="BL635" s="48"/>
      <c r="BM635" s="48"/>
      <c r="BN635" s="48"/>
      <c r="BO635" s="48"/>
      <c r="BP635" s="48"/>
      <c r="BQ635" s="48"/>
    </row>
    <row r="636" ht="23.25" customHeight="1">
      <c r="A636" s="47"/>
      <c r="B636" s="47"/>
      <c r="C636" s="48"/>
      <c r="D636" s="48"/>
      <c r="E636" s="48"/>
      <c r="F636" s="48"/>
      <c r="G636" s="47"/>
      <c r="H636" s="47"/>
      <c r="I636" s="47"/>
      <c r="J636" s="47"/>
      <c r="K636" s="47"/>
      <c r="L636" s="47"/>
      <c r="M636" s="47"/>
      <c r="N636" s="47"/>
      <c r="O636" s="47"/>
      <c r="P636" s="47"/>
      <c r="Q636" s="47"/>
      <c r="R636" s="47"/>
      <c r="S636" s="50"/>
      <c r="T636" s="51"/>
      <c r="U636" s="51"/>
      <c r="V636" s="51"/>
      <c r="W636" s="51"/>
      <c r="X636" s="51"/>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52"/>
      <c r="BH636" s="48"/>
      <c r="BI636" s="48"/>
      <c r="BJ636" s="48"/>
      <c r="BK636" s="48"/>
      <c r="BL636" s="48"/>
      <c r="BM636" s="48"/>
      <c r="BN636" s="48"/>
      <c r="BO636" s="48"/>
      <c r="BP636" s="48"/>
      <c r="BQ636" s="48"/>
    </row>
    <row r="637" ht="23.25" customHeight="1">
      <c r="A637" s="47"/>
      <c r="B637" s="47"/>
      <c r="C637" s="48"/>
      <c r="D637" s="48"/>
      <c r="E637" s="48"/>
      <c r="F637" s="48"/>
      <c r="G637" s="47"/>
      <c r="H637" s="47"/>
      <c r="I637" s="47"/>
      <c r="J637" s="47"/>
      <c r="K637" s="47"/>
      <c r="L637" s="47"/>
      <c r="M637" s="47"/>
      <c r="N637" s="47"/>
      <c r="O637" s="47"/>
      <c r="P637" s="47"/>
      <c r="Q637" s="47"/>
      <c r="R637" s="47"/>
      <c r="S637" s="50"/>
      <c r="T637" s="51"/>
      <c r="U637" s="51"/>
      <c r="V637" s="51"/>
      <c r="W637" s="51"/>
      <c r="X637" s="51"/>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52"/>
      <c r="BH637" s="48"/>
      <c r="BI637" s="48"/>
      <c r="BJ637" s="48"/>
      <c r="BK637" s="48"/>
      <c r="BL637" s="48"/>
      <c r="BM637" s="48"/>
      <c r="BN637" s="48"/>
      <c r="BO637" s="48"/>
      <c r="BP637" s="48"/>
      <c r="BQ637" s="48"/>
    </row>
    <row r="638" ht="23.25" customHeight="1">
      <c r="A638" s="47"/>
      <c r="B638" s="47"/>
      <c r="C638" s="48"/>
      <c r="D638" s="48"/>
      <c r="E638" s="48"/>
      <c r="F638" s="48"/>
      <c r="G638" s="47"/>
      <c r="H638" s="47"/>
      <c r="I638" s="47"/>
      <c r="J638" s="47"/>
      <c r="K638" s="47"/>
      <c r="L638" s="47"/>
      <c r="M638" s="47"/>
      <c r="N638" s="47"/>
      <c r="O638" s="47"/>
      <c r="P638" s="47"/>
      <c r="Q638" s="47"/>
      <c r="R638" s="47"/>
      <c r="S638" s="50"/>
      <c r="T638" s="51"/>
      <c r="U638" s="51"/>
      <c r="V638" s="51"/>
      <c r="W638" s="51"/>
      <c r="X638" s="51"/>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52"/>
      <c r="BH638" s="48"/>
      <c r="BI638" s="48"/>
      <c r="BJ638" s="48"/>
      <c r="BK638" s="48"/>
      <c r="BL638" s="48"/>
      <c r="BM638" s="48"/>
      <c r="BN638" s="48"/>
      <c r="BO638" s="48"/>
      <c r="BP638" s="48"/>
      <c r="BQ638" s="48"/>
    </row>
    <row r="639" ht="23.25" customHeight="1">
      <c r="A639" s="47"/>
      <c r="B639" s="47"/>
      <c r="C639" s="48"/>
      <c r="D639" s="48"/>
      <c r="E639" s="48"/>
      <c r="F639" s="48"/>
      <c r="G639" s="47"/>
      <c r="H639" s="47"/>
      <c r="I639" s="47"/>
      <c r="J639" s="47"/>
      <c r="K639" s="47"/>
      <c r="L639" s="47"/>
      <c r="M639" s="47"/>
      <c r="N639" s="47"/>
      <c r="O639" s="47"/>
      <c r="P639" s="47"/>
      <c r="Q639" s="47"/>
      <c r="R639" s="47"/>
      <c r="S639" s="50"/>
      <c r="T639" s="51"/>
      <c r="U639" s="51"/>
      <c r="V639" s="51"/>
      <c r="W639" s="51"/>
      <c r="X639" s="51"/>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52"/>
      <c r="BH639" s="48"/>
      <c r="BI639" s="48"/>
      <c r="BJ639" s="48"/>
      <c r="BK639" s="48"/>
      <c r="BL639" s="48"/>
      <c r="BM639" s="48"/>
      <c r="BN639" s="48"/>
      <c r="BO639" s="48"/>
      <c r="BP639" s="48"/>
      <c r="BQ639" s="48"/>
    </row>
    <row r="640" ht="23.25" customHeight="1">
      <c r="A640" s="47"/>
      <c r="B640" s="47"/>
      <c r="C640" s="48"/>
      <c r="D640" s="48"/>
      <c r="E640" s="48"/>
      <c r="F640" s="48"/>
      <c r="G640" s="47"/>
      <c r="H640" s="47"/>
      <c r="I640" s="47"/>
      <c r="J640" s="47"/>
      <c r="K640" s="47"/>
      <c r="L640" s="47"/>
      <c r="M640" s="47"/>
      <c r="N640" s="47"/>
      <c r="O640" s="47"/>
      <c r="P640" s="47"/>
      <c r="Q640" s="47"/>
      <c r="R640" s="47"/>
      <c r="S640" s="50"/>
      <c r="T640" s="51"/>
      <c r="U640" s="51"/>
      <c r="V640" s="51"/>
      <c r="W640" s="51"/>
      <c r="X640" s="51"/>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52"/>
      <c r="BH640" s="48"/>
      <c r="BI640" s="48"/>
      <c r="BJ640" s="48"/>
      <c r="BK640" s="48"/>
      <c r="BL640" s="48"/>
      <c r="BM640" s="48"/>
      <c r="BN640" s="48"/>
      <c r="BO640" s="48"/>
      <c r="BP640" s="48"/>
      <c r="BQ640" s="48"/>
    </row>
    <row r="641" ht="23.25" customHeight="1">
      <c r="A641" s="47"/>
      <c r="B641" s="47"/>
      <c r="C641" s="48"/>
      <c r="D641" s="48"/>
      <c r="E641" s="48"/>
      <c r="F641" s="48"/>
      <c r="G641" s="47"/>
      <c r="H641" s="47"/>
      <c r="I641" s="47"/>
      <c r="J641" s="47"/>
      <c r="K641" s="47"/>
      <c r="L641" s="47"/>
      <c r="M641" s="47"/>
      <c r="N641" s="47"/>
      <c r="O641" s="47"/>
      <c r="P641" s="47"/>
      <c r="Q641" s="47"/>
      <c r="R641" s="47"/>
      <c r="S641" s="50"/>
      <c r="T641" s="51"/>
      <c r="U641" s="51"/>
      <c r="V641" s="51"/>
      <c r="W641" s="51"/>
      <c r="X641" s="51"/>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52"/>
      <c r="BH641" s="48"/>
      <c r="BI641" s="48"/>
      <c r="BJ641" s="48"/>
      <c r="BK641" s="48"/>
      <c r="BL641" s="48"/>
      <c r="BM641" s="48"/>
      <c r="BN641" s="48"/>
      <c r="BO641" s="48"/>
      <c r="BP641" s="48"/>
      <c r="BQ641" s="48"/>
    </row>
    <row r="642" ht="23.25" customHeight="1">
      <c r="A642" s="47"/>
      <c r="B642" s="47"/>
      <c r="C642" s="48"/>
      <c r="D642" s="48"/>
      <c r="E642" s="48"/>
      <c r="F642" s="48"/>
      <c r="G642" s="47"/>
      <c r="H642" s="47"/>
      <c r="I642" s="47"/>
      <c r="J642" s="47"/>
      <c r="K642" s="47"/>
      <c r="L642" s="47"/>
      <c r="M642" s="47"/>
      <c r="N642" s="47"/>
      <c r="O642" s="47"/>
      <c r="P642" s="47"/>
      <c r="Q642" s="47"/>
      <c r="R642" s="47"/>
      <c r="S642" s="50"/>
      <c r="T642" s="51"/>
      <c r="U642" s="51"/>
      <c r="V642" s="51"/>
      <c r="W642" s="51"/>
      <c r="X642" s="51"/>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52"/>
      <c r="BH642" s="48"/>
      <c r="BI642" s="48"/>
      <c r="BJ642" s="48"/>
      <c r="BK642" s="48"/>
      <c r="BL642" s="48"/>
      <c r="BM642" s="48"/>
      <c r="BN642" s="48"/>
      <c r="BO642" s="48"/>
      <c r="BP642" s="48"/>
      <c r="BQ642" s="48"/>
    </row>
    <row r="643" ht="23.25" customHeight="1">
      <c r="A643" s="47"/>
      <c r="B643" s="47"/>
      <c r="C643" s="48"/>
      <c r="D643" s="48"/>
      <c r="E643" s="48"/>
      <c r="F643" s="48"/>
      <c r="G643" s="47"/>
      <c r="H643" s="47"/>
      <c r="I643" s="47"/>
      <c r="J643" s="47"/>
      <c r="K643" s="47"/>
      <c r="L643" s="47"/>
      <c r="M643" s="47"/>
      <c r="N643" s="47"/>
      <c r="O643" s="47"/>
      <c r="P643" s="47"/>
      <c r="Q643" s="47"/>
      <c r="R643" s="47"/>
      <c r="S643" s="50"/>
      <c r="T643" s="51"/>
      <c r="U643" s="51"/>
      <c r="V643" s="51"/>
      <c r="W643" s="51"/>
      <c r="X643" s="51"/>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52"/>
      <c r="BH643" s="48"/>
      <c r="BI643" s="48"/>
      <c r="BJ643" s="48"/>
      <c r="BK643" s="48"/>
      <c r="BL643" s="48"/>
      <c r="BM643" s="48"/>
      <c r="BN643" s="48"/>
      <c r="BO643" s="48"/>
      <c r="BP643" s="48"/>
      <c r="BQ643" s="48"/>
    </row>
    <row r="644" ht="23.25" customHeight="1">
      <c r="A644" s="47"/>
      <c r="B644" s="47"/>
      <c r="C644" s="48"/>
      <c r="D644" s="48"/>
      <c r="E644" s="48"/>
      <c r="F644" s="48"/>
      <c r="G644" s="47"/>
      <c r="H644" s="47"/>
      <c r="I644" s="47"/>
      <c r="J644" s="47"/>
      <c r="K644" s="47"/>
      <c r="L644" s="47"/>
      <c r="M644" s="47"/>
      <c r="N644" s="47"/>
      <c r="O644" s="47"/>
      <c r="P644" s="47"/>
      <c r="Q644" s="47"/>
      <c r="R644" s="47"/>
      <c r="S644" s="50"/>
      <c r="T644" s="51"/>
      <c r="U644" s="51"/>
      <c r="V644" s="51"/>
      <c r="W644" s="51"/>
      <c r="X644" s="51"/>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52"/>
      <c r="BH644" s="48"/>
      <c r="BI644" s="48"/>
      <c r="BJ644" s="48"/>
      <c r="BK644" s="48"/>
      <c r="BL644" s="48"/>
      <c r="BM644" s="48"/>
      <c r="BN644" s="48"/>
      <c r="BO644" s="48"/>
      <c r="BP644" s="48"/>
      <c r="BQ644" s="48"/>
    </row>
    <row r="645" ht="23.25" customHeight="1">
      <c r="A645" s="47"/>
      <c r="B645" s="47"/>
      <c r="C645" s="48"/>
      <c r="D645" s="48"/>
      <c r="E645" s="48"/>
      <c r="F645" s="48"/>
      <c r="G645" s="47"/>
      <c r="H645" s="47"/>
      <c r="I645" s="47"/>
      <c r="J645" s="47"/>
      <c r="K645" s="47"/>
      <c r="L645" s="47"/>
      <c r="M645" s="47"/>
      <c r="N645" s="47"/>
      <c r="O645" s="47"/>
      <c r="P645" s="47"/>
      <c r="Q645" s="47"/>
      <c r="R645" s="47"/>
      <c r="S645" s="50"/>
      <c r="T645" s="51"/>
      <c r="U645" s="51"/>
      <c r="V645" s="51"/>
      <c r="W645" s="51"/>
      <c r="X645" s="51"/>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52"/>
      <c r="BH645" s="48"/>
      <c r="BI645" s="48"/>
      <c r="BJ645" s="48"/>
      <c r="BK645" s="48"/>
      <c r="BL645" s="48"/>
      <c r="BM645" s="48"/>
      <c r="BN645" s="48"/>
      <c r="BO645" s="48"/>
      <c r="BP645" s="48"/>
      <c r="BQ645" s="48"/>
    </row>
    <row r="646" ht="23.25" customHeight="1">
      <c r="A646" s="47"/>
      <c r="B646" s="47"/>
      <c r="C646" s="48"/>
      <c r="D646" s="48"/>
      <c r="E646" s="48"/>
      <c r="F646" s="48"/>
      <c r="G646" s="47"/>
      <c r="H646" s="47"/>
      <c r="I646" s="47"/>
      <c r="J646" s="47"/>
      <c r="K646" s="47"/>
      <c r="L646" s="47"/>
      <c r="M646" s="47"/>
      <c r="N646" s="47"/>
      <c r="O646" s="47"/>
      <c r="P646" s="47"/>
      <c r="Q646" s="47"/>
      <c r="R646" s="47"/>
      <c r="S646" s="50"/>
      <c r="T646" s="51"/>
      <c r="U646" s="51"/>
      <c r="V646" s="51"/>
      <c r="W646" s="51"/>
      <c r="X646" s="51"/>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52"/>
      <c r="BH646" s="48"/>
      <c r="BI646" s="48"/>
      <c r="BJ646" s="48"/>
      <c r="BK646" s="48"/>
      <c r="BL646" s="48"/>
      <c r="BM646" s="48"/>
      <c r="BN646" s="48"/>
      <c r="BO646" s="48"/>
      <c r="BP646" s="48"/>
      <c r="BQ646" s="48"/>
    </row>
    <row r="647" ht="23.25" customHeight="1">
      <c r="A647" s="47"/>
      <c r="B647" s="47"/>
      <c r="C647" s="48"/>
      <c r="D647" s="48"/>
      <c r="E647" s="48"/>
      <c r="F647" s="48"/>
      <c r="G647" s="47"/>
      <c r="H647" s="47"/>
      <c r="I647" s="47"/>
      <c r="J647" s="47"/>
      <c r="K647" s="47"/>
      <c r="L647" s="47"/>
      <c r="M647" s="47"/>
      <c r="N647" s="47"/>
      <c r="O647" s="47"/>
      <c r="P647" s="47"/>
      <c r="Q647" s="47"/>
      <c r="R647" s="47"/>
      <c r="S647" s="50"/>
      <c r="T647" s="51"/>
      <c r="U647" s="51"/>
      <c r="V647" s="51"/>
      <c r="W647" s="51"/>
      <c r="X647" s="51"/>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52"/>
      <c r="BH647" s="48"/>
      <c r="BI647" s="48"/>
      <c r="BJ647" s="48"/>
      <c r="BK647" s="48"/>
      <c r="BL647" s="48"/>
      <c r="BM647" s="48"/>
      <c r="BN647" s="48"/>
      <c r="BO647" s="48"/>
      <c r="BP647" s="48"/>
      <c r="BQ647" s="48"/>
    </row>
    <row r="648" ht="23.25" customHeight="1">
      <c r="A648" s="47"/>
      <c r="B648" s="47"/>
      <c r="C648" s="48"/>
      <c r="D648" s="48"/>
      <c r="E648" s="48"/>
      <c r="F648" s="48"/>
      <c r="G648" s="47"/>
      <c r="H648" s="47"/>
      <c r="I648" s="47"/>
      <c r="J648" s="47"/>
      <c r="K648" s="47"/>
      <c r="L648" s="47"/>
      <c r="M648" s="47"/>
      <c r="N648" s="47"/>
      <c r="O648" s="47"/>
      <c r="P648" s="47"/>
      <c r="Q648" s="47"/>
      <c r="R648" s="47"/>
      <c r="S648" s="50"/>
      <c r="T648" s="51"/>
      <c r="U648" s="51"/>
      <c r="V648" s="51"/>
      <c r="W648" s="51"/>
      <c r="X648" s="51"/>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52"/>
      <c r="BH648" s="48"/>
      <c r="BI648" s="48"/>
      <c r="BJ648" s="48"/>
      <c r="BK648" s="48"/>
      <c r="BL648" s="48"/>
      <c r="BM648" s="48"/>
      <c r="BN648" s="48"/>
      <c r="BO648" s="48"/>
      <c r="BP648" s="48"/>
      <c r="BQ648" s="48"/>
    </row>
    <row r="649" ht="23.25" customHeight="1">
      <c r="A649" s="47"/>
      <c r="B649" s="47"/>
      <c r="C649" s="48"/>
      <c r="D649" s="48"/>
      <c r="E649" s="48"/>
      <c r="F649" s="48"/>
      <c r="G649" s="47"/>
      <c r="H649" s="47"/>
      <c r="I649" s="47"/>
      <c r="J649" s="47"/>
      <c r="K649" s="47"/>
      <c r="L649" s="47"/>
      <c r="M649" s="47"/>
      <c r="N649" s="47"/>
      <c r="O649" s="47"/>
      <c r="P649" s="47"/>
      <c r="Q649" s="47"/>
      <c r="R649" s="47"/>
      <c r="S649" s="50"/>
      <c r="T649" s="51"/>
      <c r="U649" s="51"/>
      <c r="V649" s="51"/>
      <c r="W649" s="51"/>
      <c r="X649" s="51"/>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52"/>
      <c r="BH649" s="48"/>
      <c r="BI649" s="48"/>
      <c r="BJ649" s="48"/>
      <c r="BK649" s="48"/>
      <c r="BL649" s="48"/>
      <c r="BM649" s="48"/>
      <c r="BN649" s="48"/>
      <c r="BO649" s="48"/>
      <c r="BP649" s="48"/>
      <c r="BQ649" s="48"/>
    </row>
    <row r="650" ht="23.25" customHeight="1">
      <c r="A650" s="47"/>
      <c r="B650" s="47"/>
      <c r="C650" s="48"/>
      <c r="D650" s="48"/>
      <c r="E650" s="48"/>
      <c r="F650" s="48"/>
      <c r="G650" s="47"/>
      <c r="H650" s="47"/>
      <c r="I650" s="47"/>
      <c r="J650" s="47"/>
      <c r="K650" s="47"/>
      <c r="L650" s="47"/>
      <c r="M650" s="47"/>
      <c r="N650" s="47"/>
      <c r="O650" s="47"/>
      <c r="P650" s="47"/>
      <c r="Q650" s="47"/>
      <c r="R650" s="47"/>
      <c r="S650" s="50"/>
      <c r="T650" s="51"/>
      <c r="U650" s="51"/>
      <c r="V650" s="51"/>
      <c r="W650" s="51"/>
      <c r="X650" s="51"/>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52"/>
      <c r="BH650" s="48"/>
      <c r="BI650" s="48"/>
      <c r="BJ650" s="48"/>
      <c r="BK650" s="48"/>
      <c r="BL650" s="48"/>
      <c r="BM650" s="48"/>
      <c r="BN650" s="48"/>
      <c r="BO650" s="48"/>
      <c r="BP650" s="48"/>
      <c r="BQ650" s="48"/>
    </row>
    <row r="651" ht="23.25" customHeight="1">
      <c r="A651" s="47"/>
      <c r="B651" s="47"/>
      <c r="C651" s="48"/>
      <c r="D651" s="48"/>
      <c r="E651" s="48"/>
      <c r="F651" s="48"/>
      <c r="G651" s="47"/>
      <c r="H651" s="47"/>
      <c r="I651" s="47"/>
      <c r="J651" s="47"/>
      <c r="K651" s="47"/>
      <c r="L651" s="47"/>
      <c r="M651" s="47"/>
      <c r="N651" s="47"/>
      <c r="O651" s="47"/>
      <c r="P651" s="47"/>
      <c r="Q651" s="47"/>
      <c r="R651" s="47"/>
      <c r="S651" s="50"/>
      <c r="T651" s="51"/>
      <c r="U651" s="51"/>
      <c r="V651" s="51"/>
      <c r="W651" s="51"/>
      <c r="X651" s="51"/>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52"/>
      <c r="BH651" s="48"/>
      <c r="BI651" s="48"/>
      <c r="BJ651" s="48"/>
      <c r="BK651" s="48"/>
      <c r="BL651" s="48"/>
      <c r="BM651" s="48"/>
      <c r="BN651" s="48"/>
      <c r="BO651" s="48"/>
      <c r="BP651" s="48"/>
      <c r="BQ651" s="48"/>
    </row>
    <row r="652" ht="23.25" customHeight="1">
      <c r="A652" s="47"/>
      <c r="B652" s="47"/>
      <c r="C652" s="48"/>
      <c r="D652" s="48"/>
      <c r="E652" s="48"/>
      <c r="F652" s="48"/>
      <c r="G652" s="47"/>
      <c r="H652" s="47"/>
      <c r="I652" s="47"/>
      <c r="J652" s="47"/>
      <c r="K652" s="47"/>
      <c r="L652" s="47"/>
      <c r="M652" s="47"/>
      <c r="N652" s="47"/>
      <c r="O652" s="47"/>
      <c r="P652" s="47"/>
      <c r="Q652" s="47"/>
      <c r="R652" s="47"/>
      <c r="S652" s="50"/>
      <c r="T652" s="51"/>
      <c r="U652" s="51"/>
      <c r="V652" s="51"/>
      <c r="W652" s="51"/>
      <c r="X652" s="51"/>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52"/>
      <c r="BH652" s="48"/>
      <c r="BI652" s="48"/>
      <c r="BJ652" s="48"/>
      <c r="BK652" s="48"/>
      <c r="BL652" s="48"/>
      <c r="BM652" s="48"/>
      <c r="BN652" s="48"/>
      <c r="BO652" s="48"/>
      <c r="BP652" s="48"/>
      <c r="BQ652" s="48"/>
    </row>
    <row r="653" ht="23.25" customHeight="1">
      <c r="A653" s="47"/>
      <c r="B653" s="47"/>
      <c r="C653" s="48"/>
      <c r="D653" s="48"/>
      <c r="E653" s="48"/>
      <c r="F653" s="48"/>
      <c r="G653" s="47"/>
      <c r="H653" s="47"/>
      <c r="I653" s="47"/>
      <c r="J653" s="47"/>
      <c r="K653" s="47"/>
      <c r="L653" s="47"/>
      <c r="M653" s="47"/>
      <c r="N653" s="47"/>
      <c r="O653" s="47"/>
      <c r="P653" s="47"/>
      <c r="Q653" s="47"/>
      <c r="R653" s="47"/>
      <c r="S653" s="50"/>
      <c r="T653" s="51"/>
      <c r="U653" s="51"/>
      <c r="V653" s="51"/>
      <c r="W653" s="51"/>
      <c r="X653" s="51"/>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52"/>
      <c r="BH653" s="48"/>
      <c r="BI653" s="48"/>
      <c r="BJ653" s="48"/>
      <c r="BK653" s="48"/>
      <c r="BL653" s="48"/>
      <c r="BM653" s="48"/>
      <c r="BN653" s="48"/>
      <c r="BO653" s="48"/>
      <c r="BP653" s="48"/>
      <c r="BQ653" s="48"/>
    </row>
    <row r="654" ht="23.25" customHeight="1">
      <c r="A654" s="47"/>
      <c r="B654" s="47"/>
      <c r="C654" s="48"/>
      <c r="D654" s="48"/>
      <c r="E654" s="48"/>
      <c r="F654" s="48"/>
      <c r="G654" s="47"/>
      <c r="H654" s="47"/>
      <c r="I654" s="47"/>
      <c r="J654" s="47"/>
      <c r="K654" s="47"/>
      <c r="L654" s="47"/>
      <c r="M654" s="47"/>
      <c r="N654" s="47"/>
      <c r="O654" s="47"/>
      <c r="P654" s="47"/>
      <c r="Q654" s="47"/>
      <c r="R654" s="47"/>
      <c r="S654" s="50"/>
      <c r="T654" s="51"/>
      <c r="U654" s="51"/>
      <c r="V654" s="51"/>
      <c r="W654" s="51"/>
      <c r="X654" s="51"/>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52"/>
      <c r="BH654" s="48"/>
      <c r="BI654" s="48"/>
      <c r="BJ654" s="48"/>
      <c r="BK654" s="48"/>
      <c r="BL654" s="48"/>
      <c r="BM654" s="48"/>
      <c r="BN654" s="48"/>
      <c r="BO654" s="48"/>
      <c r="BP654" s="48"/>
      <c r="BQ654" s="48"/>
    </row>
    <row r="655" ht="23.25" customHeight="1">
      <c r="A655" s="47"/>
      <c r="B655" s="47"/>
      <c r="C655" s="48"/>
      <c r="D655" s="48"/>
      <c r="E655" s="48"/>
      <c r="F655" s="48"/>
      <c r="G655" s="47"/>
      <c r="H655" s="47"/>
      <c r="I655" s="47"/>
      <c r="J655" s="47"/>
      <c r="K655" s="47"/>
      <c r="L655" s="47"/>
      <c r="M655" s="47"/>
      <c r="N655" s="47"/>
      <c r="O655" s="47"/>
      <c r="P655" s="47"/>
      <c r="Q655" s="47"/>
      <c r="R655" s="47"/>
      <c r="S655" s="50"/>
      <c r="T655" s="51"/>
      <c r="U655" s="51"/>
      <c r="V655" s="51"/>
      <c r="W655" s="51"/>
      <c r="X655" s="51"/>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52"/>
      <c r="BH655" s="48"/>
      <c r="BI655" s="48"/>
      <c r="BJ655" s="48"/>
      <c r="BK655" s="48"/>
      <c r="BL655" s="48"/>
      <c r="BM655" s="48"/>
      <c r="BN655" s="48"/>
      <c r="BO655" s="48"/>
      <c r="BP655" s="48"/>
      <c r="BQ655" s="48"/>
    </row>
    <row r="656" ht="23.25" customHeight="1">
      <c r="A656" s="47"/>
      <c r="B656" s="47"/>
      <c r="C656" s="48"/>
      <c r="D656" s="48"/>
      <c r="E656" s="48"/>
      <c r="F656" s="48"/>
      <c r="G656" s="47"/>
      <c r="H656" s="47"/>
      <c r="I656" s="47"/>
      <c r="J656" s="47"/>
      <c r="K656" s="47"/>
      <c r="L656" s="47"/>
      <c r="M656" s="47"/>
      <c r="N656" s="47"/>
      <c r="O656" s="47"/>
      <c r="P656" s="47"/>
      <c r="Q656" s="47"/>
      <c r="R656" s="47"/>
      <c r="S656" s="50"/>
      <c r="T656" s="51"/>
      <c r="U656" s="51"/>
      <c r="V656" s="51"/>
      <c r="W656" s="51"/>
      <c r="X656" s="51"/>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52"/>
      <c r="BH656" s="48"/>
      <c r="BI656" s="48"/>
      <c r="BJ656" s="48"/>
      <c r="BK656" s="48"/>
      <c r="BL656" s="48"/>
      <c r="BM656" s="48"/>
      <c r="BN656" s="48"/>
      <c r="BO656" s="48"/>
      <c r="BP656" s="48"/>
      <c r="BQ656" s="48"/>
    </row>
    <row r="657" ht="23.25" customHeight="1">
      <c r="A657" s="47"/>
      <c r="B657" s="47"/>
      <c r="C657" s="48"/>
      <c r="D657" s="48"/>
      <c r="E657" s="48"/>
      <c r="F657" s="48"/>
      <c r="G657" s="47"/>
      <c r="H657" s="47"/>
      <c r="I657" s="47"/>
      <c r="J657" s="47"/>
      <c r="K657" s="47"/>
      <c r="L657" s="47"/>
      <c r="M657" s="47"/>
      <c r="N657" s="47"/>
      <c r="O657" s="47"/>
      <c r="P657" s="47"/>
      <c r="Q657" s="47"/>
      <c r="R657" s="47"/>
      <c r="S657" s="50"/>
      <c r="T657" s="51"/>
      <c r="U657" s="51"/>
      <c r="V657" s="51"/>
      <c r="W657" s="51"/>
      <c r="X657" s="51"/>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52"/>
      <c r="BH657" s="48"/>
      <c r="BI657" s="48"/>
      <c r="BJ657" s="48"/>
      <c r="BK657" s="48"/>
      <c r="BL657" s="48"/>
      <c r="BM657" s="48"/>
      <c r="BN657" s="48"/>
      <c r="BO657" s="48"/>
      <c r="BP657" s="48"/>
      <c r="BQ657" s="48"/>
    </row>
    <row r="658" ht="23.25" customHeight="1">
      <c r="A658" s="47"/>
      <c r="B658" s="47"/>
      <c r="C658" s="48"/>
      <c r="D658" s="48"/>
      <c r="E658" s="48"/>
      <c r="F658" s="48"/>
      <c r="G658" s="47"/>
      <c r="H658" s="47"/>
      <c r="I658" s="47"/>
      <c r="J658" s="47"/>
      <c r="K658" s="47"/>
      <c r="L658" s="47"/>
      <c r="M658" s="47"/>
      <c r="N658" s="47"/>
      <c r="O658" s="47"/>
      <c r="P658" s="47"/>
      <c r="Q658" s="47"/>
      <c r="R658" s="47"/>
      <c r="S658" s="50"/>
      <c r="T658" s="51"/>
      <c r="U658" s="51"/>
      <c r="V658" s="51"/>
      <c r="W658" s="51"/>
      <c r="X658" s="51"/>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52"/>
      <c r="BH658" s="48"/>
      <c r="BI658" s="48"/>
      <c r="BJ658" s="48"/>
      <c r="BK658" s="48"/>
      <c r="BL658" s="48"/>
      <c r="BM658" s="48"/>
      <c r="BN658" s="48"/>
      <c r="BO658" s="48"/>
      <c r="BP658" s="48"/>
      <c r="BQ658" s="48"/>
    </row>
    <row r="659" ht="23.25" customHeight="1">
      <c r="A659" s="47"/>
      <c r="B659" s="47"/>
      <c r="C659" s="48"/>
      <c r="D659" s="48"/>
      <c r="E659" s="48"/>
      <c r="F659" s="48"/>
      <c r="G659" s="47"/>
      <c r="H659" s="47"/>
      <c r="I659" s="47"/>
      <c r="J659" s="47"/>
      <c r="K659" s="47"/>
      <c r="L659" s="47"/>
      <c r="M659" s="47"/>
      <c r="N659" s="47"/>
      <c r="O659" s="47"/>
      <c r="P659" s="47"/>
      <c r="Q659" s="47"/>
      <c r="R659" s="47"/>
      <c r="S659" s="50"/>
      <c r="T659" s="51"/>
      <c r="U659" s="51"/>
      <c r="V659" s="51"/>
      <c r="W659" s="51"/>
      <c r="X659" s="51"/>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52"/>
      <c r="BH659" s="48"/>
      <c r="BI659" s="48"/>
      <c r="BJ659" s="48"/>
      <c r="BK659" s="48"/>
      <c r="BL659" s="48"/>
      <c r="BM659" s="48"/>
      <c r="BN659" s="48"/>
      <c r="BO659" s="48"/>
      <c r="BP659" s="48"/>
      <c r="BQ659" s="48"/>
    </row>
    <row r="660" ht="23.25" customHeight="1">
      <c r="A660" s="47"/>
      <c r="B660" s="47"/>
      <c r="C660" s="48"/>
      <c r="D660" s="48"/>
      <c r="E660" s="48"/>
      <c r="F660" s="48"/>
      <c r="G660" s="47"/>
      <c r="H660" s="47"/>
      <c r="I660" s="47"/>
      <c r="J660" s="47"/>
      <c r="K660" s="47"/>
      <c r="L660" s="47"/>
      <c r="M660" s="47"/>
      <c r="N660" s="47"/>
      <c r="O660" s="47"/>
      <c r="P660" s="47"/>
      <c r="Q660" s="47"/>
      <c r="R660" s="47"/>
      <c r="S660" s="50"/>
      <c r="T660" s="51"/>
      <c r="U660" s="51"/>
      <c r="V660" s="51"/>
      <c r="W660" s="51"/>
      <c r="X660" s="51"/>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52"/>
      <c r="BH660" s="48"/>
      <c r="BI660" s="48"/>
      <c r="BJ660" s="48"/>
      <c r="BK660" s="48"/>
      <c r="BL660" s="48"/>
      <c r="BM660" s="48"/>
      <c r="BN660" s="48"/>
      <c r="BO660" s="48"/>
      <c r="BP660" s="48"/>
      <c r="BQ660" s="48"/>
    </row>
    <row r="661" ht="23.25" customHeight="1">
      <c r="A661" s="47"/>
      <c r="B661" s="47"/>
      <c r="C661" s="48"/>
      <c r="D661" s="48"/>
      <c r="E661" s="48"/>
      <c r="F661" s="48"/>
      <c r="G661" s="47"/>
      <c r="H661" s="47"/>
      <c r="I661" s="47"/>
      <c r="J661" s="47"/>
      <c r="K661" s="47"/>
      <c r="L661" s="47"/>
      <c r="M661" s="47"/>
      <c r="N661" s="47"/>
      <c r="O661" s="47"/>
      <c r="P661" s="47"/>
      <c r="Q661" s="47"/>
      <c r="R661" s="47"/>
      <c r="S661" s="50"/>
      <c r="T661" s="51"/>
      <c r="U661" s="51"/>
      <c r="V661" s="51"/>
      <c r="W661" s="51"/>
      <c r="X661" s="51"/>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52"/>
      <c r="BH661" s="48"/>
      <c r="BI661" s="48"/>
      <c r="BJ661" s="48"/>
      <c r="BK661" s="48"/>
      <c r="BL661" s="48"/>
      <c r="BM661" s="48"/>
      <c r="BN661" s="48"/>
      <c r="BO661" s="48"/>
      <c r="BP661" s="48"/>
      <c r="BQ661" s="48"/>
    </row>
    <row r="662" ht="23.25" customHeight="1">
      <c r="A662" s="47"/>
      <c r="B662" s="47"/>
      <c r="C662" s="48"/>
      <c r="D662" s="48"/>
      <c r="E662" s="48"/>
      <c r="F662" s="48"/>
      <c r="G662" s="47"/>
      <c r="H662" s="47"/>
      <c r="I662" s="47"/>
      <c r="J662" s="47"/>
      <c r="K662" s="47"/>
      <c r="L662" s="47"/>
      <c r="M662" s="47"/>
      <c r="N662" s="47"/>
      <c r="O662" s="47"/>
      <c r="P662" s="47"/>
      <c r="Q662" s="47"/>
      <c r="R662" s="47"/>
      <c r="S662" s="50"/>
      <c r="T662" s="51"/>
      <c r="U662" s="51"/>
      <c r="V662" s="51"/>
      <c r="W662" s="51"/>
      <c r="X662" s="51"/>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52"/>
      <c r="BH662" s="48"/>
      <c r="BI662" s="48"/>
      <c r="BJ662" s="48"/>
      <c r="BK662" s="48"/>
      <c r="BL662" s="48"/>
      <c r="BM662" s="48"/>
      <c r="BN662" s="48"/>
      <c r="BO662" s="48"/>
      <c r="BP662" s="48"/>
      <c r="BQ662" s="48"/>
    </row>
    <row r="663" ht="23.25" customHeight="1">
      <c r="A663" s="47"/>
      <c r="B663" s="47"/>
      <c r="C663" s="48"/>
      <c r="D663" s="48"/>
      <c r="E663" s="48"/>
      <c r="F663" s="48"/>
      <c r="G663" s="47"/>
      <c r="H663" s="47"/>
      <c r="I663" s="47"/>
      <c r="J663" s="47"/>
      <c r="K663" s="47"/>
      <c r="L663" s="47"/>
      <c r="M663" s="47"/>
      <c r="N663" s="47"/>
      <c r="O663" s="47"/>
      <c r="P663" s="47"/>
      <c r="Q663" s="47"/>
      <c r="R663" s="47"/>
      <c r="S663" s="50"/>
      <c r="T663" s="51"/>
      <c r="U663" s="51"/>
      <c r="V663" s="51"/>
      <c r="W663" s="51"/>
      <c r="X663" s="51"/>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52"/>
      <c r="BH663" s="48"/>
      <c r="BI663" s="48"/>
      <c r="BJ663" s="48"/>
      <c r="BK663" s="48"/>
      <c r="BL663" s="48"/>
      <c r="BM663" s="48"/>
      <c r="BN663" s="48"/>
      <c r="BO663" s="48"/>
      <c r="BP663" s="48"/>
      <c r="BQ663" s="48"/>
    </row>
    <row r="664" ht="23.25" customHeight="1">
      <c r="A664" s="47"/>
      <c r="B664" s="47"/>
      <c r="C664" s="48"/>
      <c r="D664" s="48"/>
      <c r="E664" s="48"/>
      <c r="F664" s="48"/>
      <c r="G664" s="47"/>
      <c r="H664" s="47"/>
      <c r="I664" s="47"/>
      <c r="J664" s="47"/>
      <c r="K664" s="47"/>
      <c r="L664" s="47"/>
      <c r="M664" s="47"/>
      <c r="N664" s="47"/>
      <c r="O664" s="47"/>
      <c r="P664" s="47"/>
      <c r="Q664" s="47"/>
      <c r="R664" s="47"/>
      <c r="S664" s="50"/>
      <c r="T664" s="51"/>
      <c r="U664" s="51"/>
      <c r="V664" s="51"/>
      <c r="W664" s="51"/>
      <c r="X664" s="51"/>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52"/>
      <c r="BH664" s="48"/>
      <c r="BI664" s="48"/>
      <c r="BJ664" s="48"/>
      <c r="BK664" s="48"/>
      <c r="BL664" s="48"/>
      <c r="BM664" s="48"/>
      <c r="BN664" s="48"/>
      <c r="BO664" s="48"/>
      <c r="BP664" s="48"/>
      <c r="BQ664" s="48"/>
    </row>
    <row r="665" ht="23.25" customHeight="1">
      <c r="A665" s="47"/>
      <c r="B665" s="47"/>
      <c r="C665" s="48"/>
      <c r="D665" s="48"/>
      <c r="E665" s="48"/>
      <c r="F665" s="48"/>
      <c r="G665" s="47"/>
      <c r="H665" s="47"/>
      <c r="I665" s="47"/>
      <c r="J665" s="47"/>
      <c r="K665" s="47"/>
      <c r="L665" s="47"/>
      <c r="M665" s="47"/>
      <c r="N665" s="47"/>
      <c r="O665" s="47"/>
      <c r="P665" s="47"/>
      <c r="Q665" s="47"/>
      <c r="R665" s="47"/>
      <c r="S665" s="50"/>
      <c r="T665" s="51"/>
      <c r="U665" s="51"/>
      <c r="V665" s="51"/>
      <c r="W665" s="51"/>
      <c r="X665" s="51"/>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52"/>
      <c r="BH665" s="48"/>
      <c r="BI665" s="48"/>
      <c r="BJ665" s="48"/>
      <c r="BK665" s="48"/>
      <c r="BL665" s="48"/>
      <c r="BM665" s="48"/>
      <c r="BN665" s="48"/>
      <c r="BO665" s="48"/>
      <c r="BP665" s="48"/>
      <c r="BQ665" s="48"/>
    </row>
    <row r="666" ht="23.25" customHeight="1">
      <c r="A666" s="47"/>
      <c r="B666" s="47"/>
      <c r="C666" s="48"/>
      <c r="D666" s="48"/>
      <c r="E666" s="48"/>
      <c r="F666" s="48"/>
      <c r="G666" s="47"/>
      <c r="H666" s="47"/>
      <c r="I666" s="47"/>
      <c r="J666" s="47"/>
      <c r="K666" s="47"/>
      <c r="L666" s="47"/>
      <c r="M666" s="47"/>
      <c r="N666" s="47"/>
      <c r="O666" s="47"/>
      <c r="P666" s="47"/>
      <c r="Q666" s="47"/>
      <c r="R666" s="47"/>
      <c r="S666" s="50"/>
      <c r="T666" s="51"/>
      <c r="U666" s="51"/>
      <c r="V666" s="51"/>
      <c r="W666" s="51"/>
      <c r="X666" s="51"/>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52"/>
      <c r="BH666" s="48"/>
      <c r="BI666" s="48"/>
      <c r="BJ666" s="48"/>
      <c r="BK666" s="48"/>
      <c r="BL666" s="48"/>
      <c r="BM666" s="48"/>
      <c r="BN666" s="48"/>
      <c r="BO666" s="48"/>
      <c r="BP666" s="48"/>
      <c r="BQ666" s="48"/>
    </row>
    <row r="667" ht="23.25" customHeight="1">
      <c r="A667" s="47"/>
      <c r="B667" s="47"/>
      <c r="C667" s="48"/>
      <c r="D667" s="48"/>
      <c r="E667" s="48"/>
      <c r="F667" s="48"/>
      <c r="G667" s="47"/>
      <c r="H667" s="47"/>
      <c r="I667" s="47"/>
      <c r="J667" s="47"/>
      <c r="K667" s="47"/>
      <c r="L667" s="47"/>
      <c r="M667" s="47"/>
      <c r="N667" s="47"/>
      <c r="O667" s="47"/>
      <c r="P667" s="47"/>
      <c r="Q667" s="47"/>
      <c r="R667" s="47"/>
      <c r="S667" s="50"/>
      <c r="T667" s="51"/>
      <c r="U667" s="51"/>
      <c r="V667" s="51"/>
      <c r="W667" s="51"/>
      <c r="X667" s="51"/>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52"/>
      <c r="BH667" s="48"/>
      <c r="BI667" s="48"/>
      <c r="BJ667" s="48"/>
      <c r="BK667" s="48"/>
      <c r="BL667" s="48"/>
      <c r="BM667" s="48"/>
      <c r="BN667" s="48"/>
      <c r="BO667" s="48"/>
      <c r="BP667" s="48"/>
      <c r="BQ667" s="48"/>
    </row>
    <row r="668" ht="23.25" customHeight="1">
      <c r="A668" s="47"/>
      <c r="B668" s="47"/>
      <c r="C668" s="48"/>
      <c r="D668" s="48"/>
      <c r="E668" s="48"/>
      <c r="F668" s="48"/>
      <c r="G668" s="47"/>
      <c r="H668" s="47"/>
      <c r="I668" s="47"/>
      <c r="J668" s="47"/>
      <c r="K668" s="47"/>
      <c r="L668" s="47"/>
      <c r="M668" s="47"/>
      <c r="N668" s="47"/>
      <c r="O668" s="47"/>
      <c r="P668" s="47"/>
      <c r="Q668" s="47"/>
      <c r="R668" s="47"/>
      <c r="S668" s="50"/>
      <c r="T668" s="51"/>
      <c r="U668" s="51"/>
      <c r="V668" s="51"/>
      <c r="W668" s="51"/>
      <c r="X668" s="51"/>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52"/>
      <c r="BH668" s="48"/>
      <c r="BI668" s="48"/>
      <c r="BJ668" s="48"/>
      <c r="BK668" s="48"/>
      <c r="BL668" s="48"/>
      <c r="BM668" s="48"/>
      <c r="BN668" s="48"/>
      <c r="BO668" s="48"/>
      <c r="BP668" s="48"/>
      <c r="BQ668" s="48"/>
    </row>
    <row r="669" ht="23.25" customHeight="1">
      <c r="A669" s="47"/>
      <c r="B669" s="47"/>
      <c r="C669" s="48"/>
      <c r="D669" s="48"/>
      <c r="E669" s="48"/>
      <c r="F669" s="48"/>
      <c r="G669" s="47"/>
      <c r="H669" s="47"/>
      <c r="I669" s="47"/>
      <c r="J669" s="47"/>
      <c r="K669" s="47"/>
      <c r="L669" s="47"/>
      <c r="M669" s="47"/>
      <c r="N669" s="47"/>
      <c r="O669" s="47"/>
      <c r="P669" s="47"/>
      <c r="Q669" s="47"/>
      <c r="R669" s="47"/>
      <c r="S669" s="50"/>
      <c r="T669" s="51"/>
      <c r="U669" s="51"/>
      <c r="V669" s="51"/>
      <c r="W669" s="51"/>
      <c r="X669" s="51"/>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52"/>
      <c r="BH669" s="48"/>
      <c r="BI669" s="48"/>
      <c r="BJ669" s="48"/>
      <c r="BK669" s="48"/>
      <c r="BL669" s="48"/>
      <c r="BM669" s="48"/>
      <c r="BN669" s="48"/>
      <c r="BO669" s="48"/>
      <c r="BP669" s="48"/>
      <c r="BQ669" s="48"/>
    </row>
    <row r="670" ht="23.25" customHeight="1">
      <c r="A670" s="47"/>
      <c r="B670" s="47"/>
      <c r="C670" s="48"/>
      <c r="D670" s="48"/>
      <c r="E670" s="48"/>
      <c r="F670" s="48"/>
      <c r="G670" s="47"/>
      <c r="H670" s="47"/>
      <c r="I670" s="47"/>
      <c r="J670" s="47"/>
      <c r="K670" s="47"/>
      <c r="L670" s="47"/>
      <c r="M670" s="47"/>
      <c r="N670" s="47"/>
      <c r="O670" s="47"/>
      <c r="P670" s="47"/>
      <c r="Q670" s="47"/>
      <c r="R670" s="47"/>
      <c r="S670" s="50"/>
      <c r="T670" s="51"/>
      <c r="U670" s="51"/>
      <c r="V670" s="51"/>
      <c r="W670" s="51"/>
      <c r="X670" s="51"/>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52"/>
      <c r="BH670" s="48"/>
      <c r="BI670" s="48"/>
      <c r="BJ670" s="48"/>
      <c r="BK670" s="48"/>
      <c r="BL670" s="48"/>
      <c r="BM670" s="48"/>
      <c r="BN670" s="48"/>
      <c r="BO670" s="48"/>
      <c r="BP670" s="48"/>
      <c r="BQ670" s="48"/>
    </row>
    <row r="671" ht="23.25" customHeight="1">
      <c r="A671" s="47"/>
      <c r="B671" s="47"/>
      <c r="C671" s="48"/>
      <c r="D671" s="48"/>
      <c r="E671" s="48"/>
      <c r="F671" s="48"/>
      <c r="G671" s="47"/>
      <c r="H671" s="47"/>
      <c r="I671" s="47"/>
      <c r="J671" s="47"/>
      <c r="K671" s="47"/>
      <c r="L671" s="47"/>
      <c r="M671" s="47"/>
      <c r="N671" s="47"/>
      <c r="O671" s="47"/>
      <c r="P671" s="47"/>
      <c r="Q671" s="47"/>
      <c r="R671" s="47"/>
      <c r="S671" s="50"/>
      <c r="T671" s="51"/>
      <c r="U671" s="51"/>
      <c r="V671" s="51"/>
      <c r="W671" s="51"/>
      <c r="X671" s="51"/>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52"/>
      <c r="BH671" s="48"/>
      <c r="BI671" s="48"/>
      <c r="BJ671" s="48"/>
      <c r="BK671" s="48"/>
      <c r="BL671" s="48"/>
      <c r="BM671" s="48"/>
      <c r="BN671" s="48"/>
      <c r="BO671" s="48"/>
      <c r="BP671" s="48"/>
      <c r="BQ671" s="48"/>
    </row>
    <row r="672" ht="23.25" customHeight="1">
      <c r="A672" s="47"/>
      <c r="B672" s="47"/>
      <c r="C672" s="48"/>
      <c r="D672" s="48"/>
      <c r="E672" s="48"/>
      <c r="F672" s="48"/>
      <c r="G672" s="47"/>
      <c r="H672" s="47"/>
      <c r="I672" s="47"/>
      <c r="J672" s="47"/>
      <c r="K672" s="47"/>
      <c r="L672" s="47"/>
      <c r="M672" s="47"/>
      <c r="N672" s="47"/>
      <c r="O672" s="47"/>
      <c r="P672" s="47"/>
      <c r="Q672" s="47"/>
      <c r="R672" s="47"/>
      <c r="S672" s="50"/>
      <c r="T672" s="51"/>
      <c r="U672" s="51"/>
      <c r="V672" s="51"/>
      <c r="W672" s="51"/>
      <c r="X672" s="51"/>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52"/>
      <c r="BH672" s="48"/>
      <c r="BI672" s="48"/>
      <c r="BJ672" s="48"/>
      <c r="BK672" s="48"/>
      <c r="BL672" s="48"/>
      <c r="BM672" s="48"/>
      <c r="BN672" s="48"/>
      <c r="BO672" s="48"/>
      <c r="BP672" s="48"/>
      <c r="BQ672" s="48"/>
    </row>
    <row r="673" ht="23.25" customHeight="1">
      <c r="A673" s="47"/>
      <c r="B673" s="47"/>
      <c r="C673" s="48"/>
      <c r="D673" s="48"/>
      <c r="E673" s="48"/>
      <c r="F673" s="48"/>
      <c r="G673" s="47"/>
      <c r="H673" s="47"/>
      <c r="I673" s="47"/>
      <c r="J673" s="47"/>
      <c r="K673" s="47"/>
      <c r="L673" s="47"/>
      <c r="M673" s="47"/>
      <c r="N673" s="47"/>
      <c r="O673" s="47"/>
      <c r="P673" s="47"/>
      <c r="Q673" s="47"/>
      <c r="R673" s="47"/>
      <c r="S673" s="50"/>
      <c r="T673" s="51"/>
      <c r="U673" s="51"/>
      <c r="V673" s="51"/>
      <c r="W673" s="51"/>
      <c r="X673" s="51"/>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52"/>
      <c r="BH673" s="48"/>
      <c r="BI673" s="48"/>
      <c r="BJ673" s="48"/>
      <c r="BK673" s="48"/>
      <c r="BL673" s="48"/>
      <c r="BM673" s="48"/>
      <c r="BN673" s="48"/>
      <c r="BO673" s="48"/>
      <c r="BP673" s="48"/>
      <c r="BQ673" s="48"/>
    </row>
    <row r="674" ht="23.25" customHeight="1">
      <c r="A674" s="47"/>
      <c r="B674" s="47"/>
      <c r="C674" s="48"/>
      <c r="D674" s="48"/>
      <c r="E674" s="48"/>
      <c r="F674" s="48"/>
      <c r="G674" s="47"/>
      <c r="H674" s="47"/>
      <c r="I674" s="47"/>
      <c r="J674" s="47"/>
      <c r="K674" s="47"/>
      <c r="L674" s="47"/>
      <c r="M674" s="47"/>
      <c r="N674" s="47"/>
      <c r="O674" s="47"/>
      <c r="P674" s="47"/>
      <c r="Q674" s="47"/>
      <c r="R674" s="47"/>
      <c r="S674" s="50"/>
      <c r="T674" s="51"/>
      <c r="U674" s="51"/>
      <c r="V674" s="51"/>
      <c r="W674" s="51"/>
      <c r="X674" s="51"/>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52"/>
      <c r="BH674" s="48"/>
      <c r="BI674" s="48"/>
      <c r="BJ674" s="48"/>
      <c r="BK674" s="48"/>
      <c r="BL674" s="48"/>
      <c r="BM674" s="48"/>
      <c r="BN674" s="48"/>
      <c r="BO674" s="48"/>
      <c r="BP674" s="48"/>
      <c r="BQ674" s="48"/>
    </row>
    <row r="675" ht="23.25" customHeight="1">
      <c r="A675" s="47"/>
      <c r="B675" s="47"/>
      <c r="C675" s="48"/>
      <c r="D675" s="48"/>
      <c r="E675" s="48"/>
      <c r="F675" s="48"/>
      <c r="G675" s="47"/>
      <c r="H675" s="47"/>
      <c r="I675" s="47"/>
      <c r="J675" s="47"/>
      <c r="K675" s="47"/>
      <c r="L675" s="47"/>
      <c r="M675" s="47"/>
      <c r="N675" s="47"/>
      <c r="O675" s="47"/>
      <c r="P675" s="47"/>
      <c r="Q675" s="47"/>
      <c r="R675" s="47"/>
      <c r="S675" s="50"/>
      <c r="T675" s="51"/>
      <c r="U675" s="51"/>
      <c r="V675" s="51"/>
      <c r="W675" s="51"/>
      <c r="X675" s="51"/>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52"/>
      <c r="BH675" s="48"/>
      <c r="BI675" s="48"/>
      <c r="BJ675" s="48"/>
      <c r="BK675" s="48"/>
      <c r="BL675" s="48"/>
      <c r="BM675" s="48"/>
      <c r="BN675" s="48"/>
      <c r="BO675" s="48"/>
      <c r="BP675" s="48"/>
      <c r="BQ675" s="48"/>
    </row>
    <row r="676" ht="23.25" customHeight="1">
      <c r="A676" s="47"/>
      <c r="B676" s="47"/>
      <c r="C676" s="48"/>
      <c r="D676" s="48"/>
      <c r="E676" s="48"/>
      <c r="F676" s="48"/>
      <c r="G676" s="47"/>
      <c r="H676" s="47"/>
      <c r="I676" s="47"/>
      <c r="J676" s="47"/>
      <c r="K676" s="47"/>
      <c r="L676" s="47"/>
      <c r="M676" s="47"/>
      <c r="N676" s="47"/>
      <c r="O676" s="47"/>
      <c r="P676" s="47"/>
      <c r="Q676" s="47"/>
      <c r="R676" s="47"/>
      <c r="S676" s="50"/>
      <c r="T676" s="51"/>
      <c r="U676" s="51"/>
      <c r="V676" s="51"/>
      <c r="W676" s="51"/>
      <c r="X676" s="51"/>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52"/>
      <c r="BH676" s="48"/>
      <c r="BI676" s="48"/>
      <c r="BJ676" s="48"/>
      <c r="BK676" s="48"/>
      <c r="BL676" s="48"/>
      <c r="BM676" s="48"/>
      <c r="BN676" s="48"/>
      <c r="BO676" s="48"/>
      <c r="BP676" s="48"/>
      <c r="BQ676" s="48"/>
    </row>
    <row r="677" ht="23.25" customHeight="1">
      <c r="A677" s="47"/>
      <c r="B677" s="47"/>
      <c r="C677" s="48"/>
      <c r="D677" s="48"/>
      <c r="E677" s="48"/>
      <c r="F677" s="48"/>
      <c r="G677" s="47"/>
      <c r="H677" s="47"/>
      <c r="I677" s="47"/>
      <c r="J677" s="47"/>
      <c r="K677" s="47"/>
      <c r="L677" s="47"/>
      <c r="M677" s="47"/>
      <c r="N677" s="47"/>
      <c r="O677" s="47"/>
      <c r="P677" s="47"/>
      <c r="Q677" s="47"/>
      <c r="R677" s="47"/>
      <c r="S677" s="50"/>
      <c r="T677" s="51"/>
      <c r="U677" s="51"/>
      <c r="V677" s="51"/>
      <c r="W677" s="51"/>
      <c r="X677" s="51"/>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52"/>
      <c r="BH677" s="48"/>
      <c r="BI677" s="48"/>
      <c r="BJ677" s="48"/>
      <c r="BK677" s="48"/>
      <c r="BL677" s="48"/>
      <c r="BM677" s="48"/>
      <c r="BN677" s="48"/>
      <c r="BO677" s="48"/>
      <c r="BP677" s="48"/>
      <c r="BQ677" s="48"/>
    </row>
    <row r="678" ht="23.25" customHeight="1">
      <c r="A678" s="47"/>
      <c r="B678" s="47"/>
      <c r="C678" s="48"/>
      <c r="D678" s="48"/>
      <c r="E678" s="48"/>
      <c r="F678" s="48"/>
      <c r="G678" s="47"/>
      <c r="H678" s="47"/>
      <c r="I678" s="47"/>
      <c r="J678" s="47"/>
      <c r="K678" s="47"/>
      <c r="L678" s="47"/>
      <c r="M678" s="47"/>
      <c r="N678" s="47"/>
      <c r="O678" s="47"/>
      <c r="P678" s="47"/>
      <c r="Q678" s="47"/>
      <c r="R678" s="47"/>
      <c r="S678" s="50"/>
      <c r="T678" s="51"/>
      <c r="U678" s="51"/>
      <c r="V678" s="51"/>
      <c r="W678" s="51"/>
      <c r="X678" s="51"/>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52"/>
      <c r="BH678" s="48"/>
      <c r="BI678" s="48"/>
      <c r="BJ678" s="48"/>
      <c r="BK678" s="48"/>
      <c r="BL678" s="48"/>
      <c r="BM678" s="48"/>
      <c r="BN678" s="48"/>
      <c r="BO678" s="48"/>
      <c r="BP678" s="48"/>
      <c r="BQ678" s="48"/>
    </row>
    <row r="679" ht="23.25" customHeight="1">
      <c r="A679" s="47"/>
      <c r="B679" s="47"/>
      <c r="C679" s="48"/>
      <c r="D679" s="48"/>
      <c r="E679" s="48"/>
      <c r="F679" s="48"/>
      <c r="G679" s="47"/>
      <c r="H679" s="47"/>
      <c r="I679" s="47"/>
      <c r="J679" s="47"/>
      <c r="K679" s="47"/>
      <c r="L679" s="47"/>
      <c r="M679" s="47"/>
      <c r="N679" s="47"/>
      <c r="O679" s="47"/>
      <c r="P679" s="47"/>
      <c r="Q679" s="47"/>
      <c r="R679" s="47"/>
      <c r="S679" s="50"/>
      <c r="T679" s="51"/>
      <c r="U679" s="51"/>
      <c r="V679" s="51"/>
      <c r="W679" s="51"/>
      <c r="X679" s="51"/>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52"/>
      <c r="BH679" s="48"/>
      <c r="BI679" s="48"/>
      <c r="BJ679" s="48"/>
      <c r="BK679" s="48"/>
      <c r="BL679" s="48"/>
      <c r="BM679" s="48"/>
      <c r="BN679" s="48"/>
      <c r="BO679" s="48"/>
      <c r="BP679" s="48"/>
      <c r="BQ679" s="48"/>
    </row>
    <row r="680" ht="23.25" customHeight="1">
      <c r="A680" s="47"/>
      <c r="B680" s="47"/>
      <c r="C680" s="48"/>
      <c r="D680" s="48"/>
      <c r="E680" s="48"/>
      <c r="F680" s="48"/>
      <c r="G680" s="47"/>
      <c r="H680" s="47"/>
      <c r="I680" s="47"/>
      <c r="J680" s="47"/>
      <c r="K680" s="47"/>
      <c r="L680" s="47"/>
      <c r="M680" s="47"/>
      <c r="N680" s="47"/>
      <c r="O680" s="47"/>
      <c r="P680" s="47"/>
      <c r="Q680" s="47"/>
      <c r="R680" s="47"/>
      <c r="S680" s="50"/>
      <c r="T680" s="51"/>
      <c r="U680" s="51"/>
      <c r="V680" s="51"/>
      <c r="W680" s="51"/>
      <c r="X680" s="51"/>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52"/>
      <c r="BH680" s="48"/>
      <c r="BI680" s="48"/>
      <c r="BJ680" s="48"/>
      <c r="BK680" s="48"/>
      <c r="BL680" s="48"/>
      <c r="BM680" s="48"/>
      <c r="BN680" s="48"/>
      <c r="BO680" s="48"/>
      <c r="BP680" s="48"/>
      <c r="BQ680" s="48"/>
    </row>
    <row r="681" ht="23.25" customHeight="1">
      <c r="A681" s="47"/>
      <c r="B681" s="47"/>
      <c r="C681" s="48"/>
      <c r="D681" s="48"/>
      <c r="E681" s="48"/>
      <c r="F681" s="48"/>
      <c r="G681" s="47"/>
      <c r="H681" s="47"/>
      <c r="I681" s="47"/>
      <c r="J681" s="47"/>
      <c r="K681" s="47"/>
      <c r="L681" s="47"/>
      <c r="M681" s="47"/>
      <c r="N681" s="47"/>
      <c r="O681" s="47"/>
      <c r="P681" s="47"/>
      <c r="Q681" s="47"/>
      <c r="R681" s="47"/>
      <c r="S681" s="50"/>
      <c r="T681" s="51"/>
      <c r="U681" s="51"/>
      <c r="V681" s="51"/>
      <c r="W681" s="51"/>
      <c r="X681" s="51"/>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52"/>
      <c r="BH681" s="48"/>
      <c r="BI681" s="48"/>
      <c r="BJ681" s="48"/>
      <c r="BK681" s="48"/>
      <c r="BL681" s="48"/>
      <c r="BM681" s="48"/>
      <c r="BN681" s="48"/>
      <c r="BO681" s="48"/>
      <c r="BP681" s="48"/>
      <c r="BQ681" s="48"/>
    </row>
    <row r="682" ht="23.25" customHeight="1">
      <c r="A682" s="47"/>
      <c r="B682" s="47"/>
      <c r="C682" s="48"/>
      <c r="D682" s="48"/>
      <c r="E682" s="48"/>
      <c r="F682" s="48"/>
      <c r="G682" s="47"/>
      <c r="H682" s="47"/>
      <c r="I682" s="47"/>
      <c r="J682" s="47"/>
      <c r="K682" s="47"/>
      <c r="L682" s="47"/>
      <c r="M682" s="47"/>
      <c r="N682" s="47"/>
      <c r="O682" s="47"/>
      <c r="P682" s="47"/>
      <c r="Q682" s="47"/>
      <c r="R682" s="47"/>
      <c r="S682" s="50"/>
      <c r="T682" s="51"/>
      <c r="U682" s="51"/>
      <c r="V682" s="51"/>
      <c r="W682" s="51"/>
      <c r="X682" s="51"/>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52"/>
      <c r="BH682" s="48"/>
      <c r="BI682" s="48"/>
      <c r="BJ682" s="48"/>
      <c r="BK682" s="48"/>
      <c r="BL682" s="48"/>
      <c r="BM682" s="48"/>
      <c r="BN682" s="48"/>
      <c r="BO682" s="48"/>
      <c r="BP682" s="48"/>
      <c r="BQ682" s="48"/>
    </row>
    <row r="683" ht="23.25" customHeight="1">
      <c r="A683" s="47"/>
      <c r="B683" s="47"/>
      <c r="C683" s="48"/>
      <c r="D683" s="48"/>
      <c r="E683" s="48"/>
      <c r="F683" s="48"/>
      <c r="G683" s="47"/>
      <c r="H683" s="47"/>
      <c r="I683" s="47"/>
      <c r="J683" s="47"/>
      <c r="K683" s="47"/>
      <c r="L683" s="47"/>
      <c r="M683" s="47"/>
      <c r="N683" s="47"/>
      <c r="O683" s="47"/>
      <c r="P683" s="47"/>
      <c r="Q683" s="47"/>
      <c r="R683" s="47"/>
      <c r="S683" s="50"/>
      <c r="T683" s="51"/>
      <c r="U683" s="51"/>
      <c r="V683" s="51"/>
      <c r="W683" s="51"/>
      <c r="X683" s="51"/>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52"/>
      <c r="BH683" s="48"/>
      <c r="BI683" s="48"/>
      <c r="BJ683" s="48"/>
      <c r="BK683" s="48"/>
      <c r="BL683" s="48"/>
      <c r="BM683" s="48"/>
      <c r="BN683" s="48"/>
      <c r="BO683" s="48"/>
      <c r="BP683" s="48"/>
      <c r="BQ683" s="48"/>
    </row>
    <row r="684" ht="23.25" customHeight="1">
      <c r="A684" s="47"/>
      <c r="B684" s="47"/>
      <c r="C684" s="48"/>
      <c r="D684" s="48"/>
      <c r="E684" s="48"/>
      <c r="F684" s="48"/>
      <c r="G684" s="47"/>
      <c r="H684" s="47"/>
      <c r="I684" s="47"/>
      <c r="J684" s="47"/>
      <c r="K684" s="47"/>
      <c r="L684" s="47"/>
      <c r="M684" s="47"/>
      <c r="N684" s="47"/>
      <c r="O684" s="47"/>
      <c r="P684" s="47"/>
      <c r="Q684" s="47"/>
      <c r="R684" s="47"/>
      <c r="S684" s="50"/>
      <c r="T684" s="51"/>
      <c r="U684" s="51"/>
      <c r="V684" s="51"/>
      <c r="W684" s="51"/>
      <c r="X684" s="51"/>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52"/>
      <c r="BH684" s="48"/>
      <c r="BI684" s="48"/>
      <c r="BJ684" s="48"/>
      <c r="BK684" s="48"/>
      <c r="BL684" s="48"/>
      <c r="BM684" s="48"/>
      <c r="BN684" s="48"/>
      <c r="BO684" s="48"/>
      <c r="BP684" s="48"/>
      <c r="BQ684" s="48"/>
    </row>
    <row r="685" ht="23.25" customHeight="1">
      <c r="A685" s="47"/>
      <c r="B685" s="47"/>
      <c r="C685" s="48"/>
      <c r="D685" s="48"/>
      <c r="E685" s="48"/>
      <c r="F685" s="48"/>
      <c r="G685" s="47"/>
      <c r="H685" s="47"/>
      <c r="I685" s="47"/>
      <c r="J685" s="47"/>
      <c r="K685" s="47"/>
      <c r="L685" s="47"/>
      <c r="M685" s="47"/>
      <c r="N685" s="47"/>
      <c r="O685" s="47"/>
      <c r="P685" s="47"/>
      <c r="Q685" s="47"/>
      <c r="R685" s="47"/>
      <c r="S685" s="50"/>
      <c r="T685" s="51"/>
      <c r="U685" s="51"/>
      <c r="V685" s="51"/>
      <c r="W685" s="51"/>
      <c r="X685" s="51"/>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52"/>
      <c r="BH685" s="48"/>
      <c r="BI685" s="48"/>
      <c r="BJ685" s="48"/>
      <c r="BK685" s="48"/>
      <c r="BL685" s="48"/>
      <c r="BM685" s="48"/>
      <c r="BN685" s="48"/>
      <c r="BO685" s="48"/>
      <c r="BP685" s="48"/>
      <c r="BQ685" s="48"/>
    </row>
    <row r="686" ht="23.25" customHeight="1">
      <c r="A686" s="47"/>
      <c r="B686" s="47"/>
      <c r="C686" s="48"/>
      <c r="D686" s="48"/>
      <c r="E686" s="48"/>
      <c r="F686" s="48"/>
      <c r="G686" s="47"/>
      <c r="H686" s="47"/>
      <c r="I686" s="47"/>
      <c r="J686" s="47"/>
      <c r="K686" s="47"/>
      <c r="L686" s="47"/>
      <c r="M686" s="47"/>
      <c r="N686" s="47"/>
      <c r="O686" s="47"/>
      <c r="P686" s="47"/>
      <c r="Q686" s="47"/>
      <c r="R686" s="47"/>
      <c r="S686" s="50"/>
      <c r="T686" s="51"/>
      <c r="U686" s="51"/>
      <c r="V686" s="51"/>
      <c r="W686" s="51"/>
      <c r="X686" s="51"/>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52"/>
      <c r="BH686" s="48"/>
      <c r="BI686" s="48"/>
      <c r="BJ686" s="48"/>
      <c r="BK686" s="48"/>
      <c r="BL686" s="48"/>
      <c r="BM686" s="48"/>
      <c r="BN686" s="48"/>
      <c r="BO686" s="48"/>
      <c r="BP686" s="48"/>
      <c r="BQ686" s="48"/>
    </row>
    <row r="687" ht="23.25" customHeight="1">
      <c r="A687" s="47"/>
      <c r="B687" s="47"/>
      <c r="C687" s="48"/>
      <c r="D687" s="48"/>
      <c r="E687" s="48"/>
      <c r="F687" s="48"/>
      <c r="G687" s="47"/>
      <c r="H687" s="47"/>
      <c r="I687" s="47"/>
      <c r="J687" s="47"/>
      <c r="K687" s="47"/>
      <c r="L687" s="47"/>
      <c r="M687" s="47"/>
      <c r="N687" s="47"/>
      <c r="O687" s="47"/>
      <c r="P687" s="47"/>
      <c r="Q687" s="47"/>
      <c r="R687" s="47"/>
      <c r="S687" s="50"/>
      <c r="T687" s="51"/>
      <c r="U687" s="51"/>
      <c r="V687" s="51"/>
      <c r="W687" s="51"/>
      <c r="X687" s="51"/>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52"/>
      <c r="BH687" s="48"/>
      <c r="BI687" s="48"/>
      <c r="BJ687" s="48"/>
      <c r="BK687" s="48"/>
      <c r="BL687" s="48"/>
      <c r="BM687" s="48"/>
      <c r="BN687" s="48"/>
      <c r="BO687" s="48"/>
      <c r="BP687" s="48"/>
      <c r="BQ687" s="48"/>
    </row>
    <row r="688" ht="23.25" customHeight="1">
      <c r="A688" s="47"/>
      <c r="B688" s="47"/>
      <c r="C688" s="48"/>
      <c r="D688" s="48"/>
      <c r="E688" s="48"/>
      <c r="F688" s="48"/>
      <c r="G688" s="47"/>
      <c r="H688" s="47"/>
      <c r="I688" s="47"/>
      <c r="J688" s="47"/>
      <c r="K688" s="47"/>
      <c r="L688" s="47"/>
      <c r="M688" s="47"/>
      <c r="N688" s="47"/>
      <c r="O688" s="47"/>
      <c r="P688" s="47"/>
      <c r="Q688" s="47"/>
      <c r="R688" s="47"/>
      <c r="S688" s="50"/>
      <c r="T688" s="51"/>
      <c r="U688" s="51"/>
      <c r="V688" s="51"/>
      <c r="W688" s="51"/>
      <c r="X688" s="51"/>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52"/>
      <c r="BH688" s="48"/>
      <c r="BI688" s="48"/>
      <c r="BJ688" s="48"/>
      <c r="BK688" s="48"/>
      <c r="BL688" s="48"/>
      <c r="BM688" s="48"/>
      <c r="BN688" s="48"/>
      <c r="BO688" s="48"/>
      <c r="BP688" s="48"/>
      <c r="BQ688" s="48"/>
    </row>
    <row r="689" ht="23.25" customHeight="1">
      <c r="A689" s="47"/>
      <c r="B689" s="47"/>
      <c r="C689" s="48"/>
      <c r="D689" s="48"/>
      <c r="E689" s="48"/>
      <c r="F689" s="48"/>
      <c r="G689" s="47"/>
      <c r="H689" s="47"/>
      <c r="I689" s="47"/>
      <c r="J689" s="47"/>
      <c r="K689" s="47"/>
      <c r="L689" s="47"/>
      <c r="M689" s="47"/>
      <c r="N689" s="47"/>
      <c r="O689" s="47"/>
      <c r="P689" s="47"/>
      <c r="Q689" s="47"/>
      <c r="R689" s="47"/>
      <c r="S689" s="50"/>
      <c r="T689" s="51"/>
      <c r="U689" s="51"/>
      <c r="V689" s="51"/>
      <c r="W689" s="51"/>
      <c r="X689" s="51"/>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52"/>
      <c r="BH689" s="48"/>
      <c r="BI689" s="48"/>
      <c r="BJ689" s="48"/>
      <c r="BK689" s="48"/>
      <c r="BL689" s="48"/>
      <c r="BM689" s="48"/>
      <c r="BN689" s="48"/>
      <c r="BO689" s="48"/>
      <c r="BP689" s="48"/>
      <c r="BQ689" s="48"/>
    </row>
    <row r="690" ht="23.25" customHeight="1">
      <c r="A690" s="47"/>
      <c r="B690" s="47"/>
      <c r="C690" s="48"/>
      <c r="D690" s="48"/>
      <c r="E690" s="48"/>
      <c r="F690" s="48"/>
      <c r="G690" s="47"/>
      <c r="H690" s="47"/>
      <c r="I690" s="47"/>
      <c r="J690" s="47"/>
      <c r="K690" s="47"/>
      <c r="L690" s="47"/>
      <c r="M690" s="47"/>
      <c r="N690" s="47"/>
      <c r="O690" s="47"/>
      <c r="P690" s="47"/>
      <c r="Q690" s="47"/>
      <c r="R690" s="47"/>
      <c r="S690" s="50"/>
      <c r="T690" s="51"/>
      <c r="U690" s="51"/>
      <c r="V690" s="51"/>
      <c r="W690" s="51"/>
      <c r="X690" s="51"/>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52"/>
      <c r="BH690" s="48"/>
      <c r="BI690" s="48"/>
      <c r="BJ690" s="48"/>
      <c r="BK690" s="48"/>
      <c r="BL690" s="48"/>
      <c r="BM690" s="48"/>
      <c r="BN690" s="48"/>
      <c r="BO690" s="48"/>
      <c r="BP690" s="48"/>
      <c r="BQ690" s="48"/>
    </row>
    <row r="691" ht="23.25" customHeight="1">
      <c r="A691" s="47"/>
      <c r="B691" s="47"/>
      <c r="C691" s="48"/>
      <c r="D691" s="48"/>
      <c r="E691" s="48"/>
      <c r="F691" s="48"/>
      <c r="G691" s="47"/>
      <c r="H691" s="47"/>
      <c r="I691" s="47"/>
      <c r="J691" s="47"/>
      <c r="K691" s="47"/>
      <c r="L691" s="47"/>
      <c r="M691" s="47"/>
      <c r="N691" s="47"/>
      <c r="O691" s="47"/>
      <c r="P691" s="47"/>
      <c r="Q691" s="47"/>
      <c r="R691" s="47"/>
      <c r="S691" s="50"/>
      <c r="T691" s="51"/>
      <c r="U691" s="51"/>
      <c r="V691" s="51"/>
      <c r="W691" s="51"/>
      <c r="X691" s="51"/>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52"/>
      <c r="BH691" s="48"/>
      <c r="BI691" s="48"/>
      <c r="BJ691" s="48"/>
      <c r="BK691" s="48"/>
      <c r="BL691" s="48"/>
      <c r="BM691" s="48"/>
      <c r="BN691" s="48"/>
      <c r="BO691" s="48"/>
      <c r="BP691" s="48"/>
      <c r="BQ691" s="48"/>
    </row>
    <row r="692" ht="23.25" customHeight="1">
      <c r="A692" s="47"/>
      <c r="B692" s="47"/>
      <c r="C692" s="48"/>
      <c r="D692" s="48"/>
      <c r="E692" s="48"/>
      <c r="F692" s="48"/>
      <c r="G692" s="47"/>
      <c r="H692" s="47"/>
      <c r="I692" s="47"/>
      <c r="J692" s="47"/>
      <c r="K692" s="47"/>
      <c r="L692" s="47"/>
      <c r="M692" s="47"/>
      <c r="N692" s="47"/>
      <c r="O692" s="47"/>
      <c r="P692" s="47"/>
      <c r="Q692" s="47"/>
      <c r="R692" s="47"/>
      <c r="S692" s="50"/>
      <c r="T692" s="51"/>
      <c r="U692" s="51"/>
      <c r="V692" s="51"/>
      <c r="W692" s="51"/>
      <c r="X692" s="51"/>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52"/>
      <c r="BH692" s="48"/>
      <c r="BI692" s="48"/>
      <c r="BJ692" s="48"/>
      <c r="BK692" s="48"/>
      <c r="BL692" s="48"/>
      <c r="BM692" s="48"/>
      <c r="BN692" s="48"/>
      <c r="BO692" s="48"/>
      <c r="BP692" s="48"/>
      <c r="BQ692" s="48"/>
    </row>
    <row r="693" ht="23.25" customHeight="1">
      <c r="A693" s="47"/>
      <c r="B693" s="47"/>
      <c r="C693" s="48"/>
      <c r="D693" s="48"/>
      <c r="E693" s="48"/>
      <c r="F693" s="48"/>
      <c r="G693" s="47"/>
      <c r="H693" s="47"/>
      <c r="I693" s="47"/>
      <c r="J693" s="47"/>
      <c r="K693" s="47"/>
      <c r="L693" s="47"/>
      <c r="M693" s="47"/>
      <c r="N693" s="47"/>
      <c r="O693" s="47"/>
      <c r="P693" s="47"/>
      <c r="Q693" s="47"/>
      <c r="R693" s="47"/>
      <c r="S693" s="50"/>
      <c r="T693" s="51"/>
      <c r="U693" s="51"/>
      <c r="V693" s="51"/>
      <c r="W693" s="51"/>
      <c r="X693" s="51"/>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52"/>
      <c r="BH693" s="48"/>
      <c r="BI693" s="48"/>
      <c r="BJ693" s="48"/>
      <c r="BK693" s="48"/>
      <c r="BL693" s="48"/>
      <c r="BM693" s="48"/>
      <c r="BN693" s="48"/>
      <c r="BO693" s="48"/>
      <c r="BP693" s="48"/>
      <c r="BQ693" s="48"/>
    </row>
    <row r="694" ht="23.25" customHeight="1">
      <c r="A694" s="47"/>
      <c r="B694" s="47"/>
      <c r="C694" s="48"/>
      <c r="D694" s="48"/>
      <c r="E694" s="48"/>
      <c r="F694" s="48"/>
      <c r="G694" s="47"/>
      <c r="H694" s="47"/>
      <c r="I694" s="47"/>
      <c r="J694" s="47"/>
      <c r="K694" s="47"/>
      <c r="L694" s="47"/>
      <c r="M694" s="47"/>
      <c r="N694" s="47"/>
      <c r="O694" s="47"/>
      <c r="P694" s="47"/>
      <c r="Q694" s="47"/>
      <c r="R694" s="47"/>
      <c r="S694" s="50"/>
      <c r="T694" s="51"/>
      <c r="U694" s="51"/>
      <c r="V694" s="51"/>
      <c r="W694" s="51"/>
      <c r="X694" s="51"/>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52"/>
      <c r="BH694" s="48"/>
      <c r="BI694" s="48"/>
      <c r="BJ694" s="48"/>
      <c r="BK694" s="48"/>
      <c r="BL694" s="48"/>
      <c r="BM694" s="48"/>
      <c r="BN694" s="48"/>
      <c r="BO694" s="48"/>
      <c r="BP694" s="48"/>
      <c r="BQ694" s="48"/>
    </row>
    <row r="695" ht="23.25" customHeight="1">
      <c r="A695" s="47"/>
      <c r="B695" s="47"/>
      <c r="C695" s="48"/>
      <c r="D695" s="48"/>
      <c r="E695" s="48"/>
      <c r="F695" s="48"/>
      <c r="G695" s="47"/>
      <c r="H695" s="47"/>
      <c r="I695" s="47"/>
      <c r="J695" s="47"/>
      <c r="K695" s="47"/>
      <c r="L695" s="47"/>
      <c r="M695" s="47"/>
      <c r="N695" s="47"/>
      <c r="O695" s="47"/>
      <c r="P695" s="47"/>
      <c r="Q695" s="47"/>
      <c r="R695" s="47"/>
      <c r="S695" s="50"/>
      <c r="T695" s="51"/>
      <c r="U695" s="51"/>
      <c r="V695" s="51"/>
      <c r="W695" s="51"/>
      <c r="X695" s="51"/>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52"/>
      <c r="BH695" s="48"/>
      <c r="BI695" s="48"/>
      <c r="BJ695" s="48"/>
      <c r="BK695" s="48"/>
      <c r="BL695" s="48"/>
      <c r="BM695" s="48"/>
      <c r="BN695" s="48"/>
      <c r="BO695" s="48"/>
      <c r="BP695" s="48"/>
      <c r="BQ695" s="48"/>
    </row>
    <row r="696" ht="23.25" customHeight="1">
      <c r="A696" s="47"/>
      <c r="B696" s="47"/>
      <c r="C696" s="48"/>
      <c r="D696" s="48"/>
      <c r="E696" s="48"/>
      <c r="F696" s="48"/>
      <c r="G696" s="47"/>
      <c r="H696" s="47"/>
      <c r="I696" s="47"/>
      <c r="J696" s="47"/>
      <c r="K696" s="47"/>
      <c r="L696" s="47"/>
      <c r="M696" s="47"/>
      <c r="N696" s="47"/>
      <c r="O696" s="47"/>
      <c r="P696" s="47"/>
      <c r="Q696" s="47"/>
      <c r="R696" s="47"/>
      <c r="S696" s="50"/>
      <c r="T696" s="51"/>
      <c r="U696" s="51"/>
      <c r="V696" s="51"/>
      <c r="W696" s="51"/>
      <c r="X696" s="51"/>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52"/>
      <c r="BH696" s="48"/>
      <c r="BI696" s="48"/>
      <c r="BJ696" s="48"/>
      <c r="BK696" s="48"/>
      <c r="BL696" s="48"/>
      <c r="BM696" s="48"/>
      <c r="BN696" s="48"/>
      <c r="BO696" s="48"/>
      <c r="BP696" s="48"/>
      <c r="BQ696" s="48"/>
    </row>
    <row r="697" ht="23.25" customHeight="1">
      <c r="A697" s="47"/>
      <c r="B697" s="47"/>
      <c r="C697" s="48"/>
      <c r="D697" s="48"/>
      <c r="E697" s="48"/>
      <c r="F697" s="48"/>
      <c r="G697" s="47"/>
      <c r="H697" s="47"/>
      <c r="I697" s="47"/>
      <c r="J697" s="47"/>
      <c r="K697" s="47"/>
      <c r="L697" s="47"/>
      <c r="M697" s="47"/>
      <c r="N697" s="47"/>
      <c r="O697" s="47"/>
      <c r="P697" s="47"/>
      <c r="Q697" s="47"/>
      <c r="R697" s="47"/>
      <c r="S697" s="50"/>
      <c r="T697" s="51"/>
      <c r="U697" s="51"/>
      <c r="V697" s="51"/>
      <c r="W697" s="51"/>
      <c r="X697" s="51"/>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52"/>
      <c r="BH697" s="48"/>
      <c r="BI697" s="48"/>
      <c r="BJ697" s="48"/>
      <c r="BK697" s="48"/>
      <c r="BL697" s="48"/>
      <c r="BM697" s="48"/>
      <c r="BN697" s="48"/>
      <c r="BO697" s="48"/>
      <c r="BP697" s="48"/>
      <c r="BQ697" s="48"/>
    </row>
    <row r="698" ht="23.25" customHeight="1">
      <c r="A698" s="47"/>
      <c r="B698" s="47"/>
      <c r="C698" s="48"/>
      <c r="D698" s="48"/>
      <c r="E698" s="48"/>
      <c r="F698" s="48"/>
      <c r="G698" s="47"/>
      <c r="H698" s="47"/>
      <c r="I698" s="47"/>
      <c r="J698" s="47"/>
      <c r="K698" s="47"/>
      <c r="L698" s="47"/>
      <c r="M698" s="47"/>
      <c r="N698" s="47"/>
      <c r="O698" s="47"/>
      <c r="P698" s="47"/>
      <c r="Q698" s="47"/>
      <c r="R698" s="47"/>
      <c r="S698" s="50"/>
      <c r="T698" s="51"/>
      <c r="U698" s="51"/>
      <c r="V698" s="51"/>
      <c r="W698" s="51"/>
      <c r="X698" s="51"/>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52"/>
      <c r="BH698" s="48"/>
      <c r="BI698" s="48"/>
      <c r="BJ698" s="48"/>
      <c r="BK698" s="48"/>
      <c r="BL698" s="48"/>
      <c r="BM698" s="48"/>
      <c r="BN698" s="48"/>
      <c r="BO698" s="48"/>
      <c r="BP698" s="48"/>
      <c r="BQ698" s="48"/>
    </row>
    <row r="699" ht="23.25" customHeight="1">
      <c r="A699" s="47"/>
      <c r="B699" s="47"/>
      <c r="C699" s="48"/>
      <c r="D699" s="48"/>
      <c r="E699" s="48"/>
      <c r="F699" s="48"/>
      <c r="G699" s="47"/>
      <c r="H699" s="47"/>
      <c r="I699" s="47"/>
      <c r="J699" s="47"/>
      <c r="K699" s="47"/>
      <c r="L699" s="47"/>
      <c r="M699" s="47"/>
      <c r="N699" s="47"/>
      <c r="O699" s="47"/>
      <c r="P699" s="47"/>
      <c r="Q699" s="47"/>
      <c r="R699" s="47"/>
      <c r="S699" s="50"/>
      <c r="T699" s="51"/>
      <c r="U699" s="51"/>
      <c r="V699" s="51"/>
      <c r="W699" s="51"/>
      <c r="X699" s="51"/>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52"/>
      <c r="BH699" s="48"/>
      <c r="BI699" s="48"/>
      <c r="BJ699" s="48"/>
      <c r="BK699" s="48"/>
      <c r="BL699" s="48"/>
      <c r="BM699" s="48"/>
      <c r="BN699" s="48"/>
      <c r="BO699" s="48"/>
      <c r="BP699" s="48"/>
      <c r="BQ699" s="48"/>
    </row>
    <row r="700" ht="23.25" customHeight="1">
      <c r="A700" s="47"/>
      <c r="B700" s="47"/>
      <c r="C700" s="48"/>
      <c r="D700" s="48"/>
      <c r="E700" s="48"/>
      <c r="F700" s="48"/>
      <c r="G700" s="47"/>
      <c r="H700" s="47"/>
      <c r="I700" s="47"/>
      <c r="J700" s="47"/>
      <c r="K700" s="47"/>
      <c r="L700" s="47"/>
      <c r="M700" s="47"/>
      <c r="N700" s="47"/>
      <c r="O700" s="47"/>
      <c r="P700" s="47"/>
      <c r="Q700" s="47"/>
      <c r="R700" s="47"/>
      <c r="S700" s="50"/>
      <c r="T700" s="51"/>
      <c r="U700" s="51"/>
      <c r="V700" s="51"/>
      <c r="W700" s="51"/>
      <c r="X700" s="51"/>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52"/>
      <c r="BH700" s="48"/>
      <c r="BI700" s="48"/>
      <c r="BJ700" s="48"/>
      <c r="BK700" s="48"/>
      <c r="BL700" s="48"/>
      <c r="BM700" s="48"/>
      <c r="BN700" s="48"/>
      <c r="BO700" s="48"/>
      <c r="BP700" s="48"/>
      <c r="BQ700" s="48"/>
    </row>
    <row r="701" ht="23.25" customHeight="1">
      <c r="A701" s="47"/>
      <c r="B701" s="47"/>
      <c r="C701" s="48"/>
      <c r="D701" s="48"/>
      <c r="E701" s="48"/>
      <c r="F701" s="48"/>
      <c r="G701" s="47"/>
      <c r="H701" s="47"/>
      <c r="I701" s="47"/>
      <c r="J701" s="47"/>
      <c r="K701" s="47"/>
      <c r="L701" s="47"/>
      <c r="M701" s="47"/>
      <c r="N701" s="47"/>
      <c r="O701" s="47"/>
      <c r="P701" s="47"/>
      <c r="Q701" s="47"/>
      <c r="R701" s="47"/>
      <c r="S701" s="50"/>
      <c r="T701" s="51"/>
      <c r="U701" s="51"/>
      <c r="V701" s="51"/>
      <c r="W701" s="51"/>
      <c r="X701" s="51"/>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52"/>
      <c r="BH701" s="48"/>
      <c r="BI701" s="48"/>
      <c r="BJ701" s="48"/>
      <c r="BK701" s="48"/>
      <c r="BL701" s="48"/>
      <c r="BM701" s="48"/>
      <c r="BN701" s="48"/>
      <c r="BO701" s="48"/>
      <c r="BP701" s="48"/>
      <c r="BQ701" s="48"/>
    </row>
    <row r="702" ht="23.25" customHeight="1">
      <c r="A702" s="47"/>
      <c r="B702" s="47"/>
      <c r="C702" s="48"/>
      <c r="D702" s="48"/>
      <c r="E702" s="48"/>
      <c r="F702" s="48"/>
      <c r="G702" s="47"/>
      <c r="H702" s="47"/>
      <c r="I702" s="47"/>
      <c r="J702" s="47"/>
      <c r="K702" s="47"/>
      <c r="L702" s="47"/>
      <c r="M702" s="47"/>
      <c r="N702" s="47"/>
      <c r="O702" s="47"/>
      <c r="P702" s="47"/>
      <c r="Q702" s="47"/>
      <c r="R702" s="47"/>
      <c r="S702" s="50"/>
      <c r="T702" s="51"/>
      <c r="U702" s="51"/>
      <c r="V702" s="51"/>
      <c r="W702" s="51"/>
      <c r="X702" s="51"/>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52"/>
      <c r="BH702" s="48"/>
      <c r="BI702" s="48"/>
      <c r="BJ702" s="48"/>
      <c r="BK702" s="48"/>
      <c r="BL702" s="48"/>
      <c r="BM702" s="48"/>
      <c r="BN702" s="48"/>
      <c r="BO702" s="48"/>
      <c r="BP702" s="48"/>
      <c r="BQ702" s="48"/>
    </row>
    <row r="703" ht="23.25" customHeight="1">
      <c r="A703" s="47"/>
      <c r="B703" s="47"/>
      <c r="C703" s="48"/>
      <c r="D703" s="48"/>
      <c r="E703" s="48"/>
      <c r="F703" s="48"/>
      <c r="G703" s="47"/>
      <c r="H703" s="47"/>
      <c r="I703" s="47"/>
      <c r="J703" s="47"/>
      <c r="K703" s="47"/>
      <c r="L703" s="47"/>
      <c r="M703" s="47"/>
      <c r="N703" s="47"/>
      <c r="O703" s="47"/>
      <c r="P703" s="47"/>
      <c r="Q703" s="47"/>
      <c r="R703" s="47"/>
      <c r="S703" s="50"/>
      <c r="T703" s="51"/>
      <c r="U703" s="51"/>
      <c r="V703" s="51"/>
      <c r="W703" s="51"/>
      <c r="X703" s="51"/>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52"/>
      <c r="BH703" s="48"/>
      <c r="BI703" s="48"/>
      <c r="BJ703" s="48"/>
      <c r="BK703" s="48"/>
      <c r="BL703" s="48"/>
      <c r="BM703" s="48"/>
      <c r="BN703" s="48"/>
      <c r="BO703" s="48"/>
      <c r="BP703" s="48"/>
      <c r="BQ703" s="48"/>
    </row>
    <row r="704" ht="23.25" customHeight="1">
      <c r="A704" s="47"/>
      <c r="B704" s="47"/>
      <c r="C704" s="48"/>
      <c r="D704" s="48"/>
      <c r="E704" s="48"/>
      <c r="F704" s="48"/>
      <c r="G704" s="47"/>
      <c r="H704" s="47"/>
      <c r="I704" s="47"/>
      <c r="J704" s="47"/>
      <c r="K704" s="47"/>
      <c r="L704" s="47"/>
      <c r="M704" s="47"/>
      <c r="N704" s="47"/>
      <c r="O704" s="47"/>
      <c r="P704" s="47"/>
      <c r="Q704" s="47"/>
      <c r="R704" s="47"/>
      <c r="S704" s="50"/>
      <c r="T704" s="51"/>
      <c r="U704" s="51"/>
      <c r="V704" s="51"/>
      <c r="W704" s="51"/>
      <c r="X704" s="51"/>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52"/>
      <c r="BH704" s="48"/>
      <c r="BI704" s="48"/>
      <c r="BJ704" s="48"/>
      <c r="BK704" s="48"/>
      <c r="BL704" s="48"/>
      <c r="BM704" s="48"/>
      <c r="BN704" s="48"/>
      <c r="BO704" s="48"/>
      <c r="BP704" s="48"/>
      <c r="BQ704" s="48"/>
    </row>
    <row r="705" ht="23.25" customHeight="1">
      <c r="A705" s="47"/>
      <c r="B705" s="47"/>
      <c r="C705" s="48"/>
      <c r="D705" s="48"/>
      <c r="E705" s="48"/>
      <c r="F705" s="48"/>
      <c r="G705" s="47"/>
      <c r="H705" s="47"/>
      <c r="I705" s="47"/>
      <c r="J705" s="47"/>
      <c r="K705" s="47"/>
      <c r="L705" s="47"/>
      <c r="M705" s="47"/>
      <c r="N705" s="47"/>
      <c r="O705" s="47"/>
      <c r="P705" s="47"/>
      <c r="Q705" s="47"/>
      <c r="R705" s="47"/>
      <c r="S705" s="50"/>
      <c r="T705" s="51"/>
      <c r="U705" s="51"/>
      <c r="V705" s="51"/>
      <c r="W705" s="51"/>
      <c r="X705" s="51"/>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52"/>
      <c r="BH705" s="48"/>
      <c r="BI705" s="48"/>
      <c r="BJ705" s="48"/>
      <c r="BK705" s="48"/>
      <c r="BL705" s="48"/>
      <c r="BM705" s="48"/>
      <c r="BN705" s="48"/>
      <c r="BO705" s="48"/>
      <c r="BP705" s="48"/>
      <c r="BQ705" s="48"/>
    </row>
    <row r="706" ht="23.25" customHeight="1">
      <c r="A706" s="47"/>
      <c r="B706" s="47"/>
      <c r="C706" s="48"/>
      <c r="D706" s="48"/>
      <c r="E706" s="48"/>
      <c r="F706" s="48"/>
      <c r="G706" s="47"/>
      <c r="H706" s="47"/>
      <c r="I706" s="47"/>
      <c r="J706" s="47"/>
      <c r="K706" s="47"/>
      <c r="L706" s="47"/>
      <c r="M706" s="47"/>
      <c r="N706" s="47"/>
      <c r="O706" s="47"/>
      <c r="P706" s="47"/>
      <c r="Q706" s="47"/>
      <c r="R706" s="47"/>
      <c r="S706" s="50"/>
      <c r="T706" s="51"/>
      <c r="U706" s="51"/>
      <c r="V706" s="51"/>
      <c r="W706" s="51"/>
      <c r="X706" s="51"/>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52"/>
      <c r="BH706" s="48"/>
      <c r="BI706" s="48"/>
      <c r="BJ706" s="48"/>
      <c r="BK706" s="48"/>
      <c r="BL706" s="48"/>
      <c r="BM706" s="48"/>
      <c r="BN706" s="48"/>
      <c r="BO706" s="48"/>
      <c r="BP706" s="48"/>
      <c r="BQ706" s="48"/>
    </row>
    <row r="707" ht="23.25" customHeight="1">
      <c r="A707" s="47"/>
      <c r="B707" s="47"/>
      <c r="C707" s="48"/>
      <c r="D707" s="48"/>
      <c r="E707" s="48"/>
      <c r="F707" s="48"/>
      <c r="G707" s="47"/>
      <c r="H707" s="47"/>
      <c r="I707" s="47"/>
      <c r="J707" s="47"/>
      <c r="K707" s="47"/>
      <c r="L707" s="47"/>
      <c r="M707" s="47"/>
      <c r="N707" s="47"/>
      <c r="O707" s="47"/>
      <c r="P707" s="47"/>
      <c r="Q707" s="47"/>
      <c r="R707" s="47"/>
      <c r="S707" s="50"/>
      <c r="T707" s="51"/>
      <c r="U707" s="51"/>
      <c r="V707" s="51"/>
      <c r="W707" s="51"/>
      <c r="X707" s="51"/>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52"/>
      <c r="BH707" s="48"/>
      <c r="BI707" s="48"/>
      <c r="BJ707" s="48"/>
      <c r="BK707" s="48"/>
      <c r="BL707" s="48"/>
      <c r="BM707" s="48"/>
      <c r="BN707" s="48"/>
      <c r="BO707" s="48"/>
      <c r="BP707" s="48"/>
      <c r="BQ707" s="48"/>
    </row>
    <row r="708" ht="23.25" customHeight="1">
      <c r="A708" s="47"/>
      <c r="B708" s="47"/>
      <c r="C708" s="48"/>
      <c r="D708" s="48"/>
      <c r="E708" s="48"/>
      <c r="F708" s="48"/>
      <c r="G708" s="47"/>
      <c r="H708" s="47"/>
      <c r="I708" s="47"/>
      <c r="J708" s="47"/>
      <c r="K708" s="47"/>
      <c r="L708" s="47"/>
      <c r="M708" s="47"/>
      <c r="N708" s="47"/>
      <c r="O708" s="47"/>
      <c r="P708" s="47"/>
      <c r="Q708" s="47"/>
      <c r="R708" s="47"/>
      <c r="S708" s="50"/>
      <c r="T708" s="51"/>
      <c r="U708" s="51"/>
      <c r="V708" s="51"/>
      <c r="W708" s="51"/>
      <c r="X708" s="51"/>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52"/>
      <c r="BH708" s="48"/>
      <c r="BI708" s="48"/>
      <c r="BJ708" s="48"/>
      <c r="BK708" s="48"/>
      <c r="BL708" s="48"/>
      <c r="BM708" s="48"/>
      <c r="BN708" s="48"/>
      <c r="BO708" s="48"/>
      <c r="BP708" s="48"/>
      <c r="BQ708" s="48"/>
    </row>
    <row r="709" ht="23.25" customHeight="1">
      <c r="A709" s="47"/>
      <c r="B709" s="47"/>
      <c r="C709" s="48"/>
      <c r="D709" s="48"/>
      <c r="E709" s="48"/>
      <c r="F709" s="48"/>
      <c r="G709" s="47"/>
      <c r="H709" s="47"/>
      <c r="I709" s="47"/>
      <c r="J709" s="47"/>
      <c r="K709" s="47"/>
      <c r="L709" s="47"/>
      <c r="M709" s="47"/>
      <c r="N709" s="47"/>
      <c r="O709" s="47"/>
      <c r="P709" s="47"/>
      <c r="Q709" s="47"/>
      <c r="R709" s="47"/>
      <c r="S709" s="50"/>
      <c r="T709" s="51"/>
      <c r="U709" s="51"/>
      <c r="V709" s="51"/>
      <c r="W709" s="51"/>
      <c r="X709" s="51"/>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52"/>
      <c r="BH709" s="48"/>
      <c r="BI709" s="48"/>
      <c r="BJ709" s="48"/>
      <c r="BK709" s="48"/>
      <c r="BL709" s="48"/>
      <c r="BM709" s="48"/>
      <c r="BN709" s="48"/>
      <c r="BO709" s="48"/>
      <c r="BP709" s="48"/>
      <c r="BQ709" s="48"/>
    </row>
    <row r="710" ht="23.25" customHeight="1">
      <c r="A710" s="47"/>
      <c r="B710" s="47"/>
      <c r="C710" s="48"/>
      <c r="D710" s="48"/>
      <c r="E710" s="48"/>
      <c r="F710" s="48"/>
      <c r="G710" s="47"/>
      <c r="H710" s="47"/>
      <c r="I710" s="47"/>
      <c r="J710" s="47"/>
      <c r="K710" s="47"/>
      <c r="L710" s="47"/>
      <c r="M710" s="47"/>
      <c r="N710" s="47"/>
      <c r="O710" s="47"/>
      <c r="P710" s="47"/>
      <c r="Q710" s="47"/>
      <c r="R710" s="47"/>
      <c r="S710" s="50"/>
      <c r="T710" s="51"/>
      <c r="U710" s="51"/>
      <c r="V710" s="51"/>
      <c r="W710" s="51"/>
      <c r="X710" s="51"/>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52"/>
      <c r="BH710" s="48"/>
      <c r="BI710" s="48"/>
      <c r="BJ710" s="48"/>
      <c r="BK710" s="48"/>
      <c r="BL710" s="48"/>
      <c r="BM710" s="48"/>
      <c r="BN710" s="48"/>
      <c r="BO710" s="48"/>
      <c r="BP710" s="48"/>
      <c r="BQ710" s="48"/>
    </row>
    <row r="711" ht="23.25" customHeight="1">
      <c r="A711" s="47"/>
      <c r="B711" s="47"/>
      <c r="C711" s="48"/>
      <c r="D711" s="48"/>
      <c r="E711" s="48"/>
      <c r="F711" s="48"/>
      <c r="G711" s="47"/>
      <c r="H711" s="47"/>
      <c r="I711" s="47"/>
      <c r="J711" s="47"/>
      <c r="K711" s="47"/>
      <c r="L711" s="47"/>
      <c r="M711" s="47"/>
      <c r="N711" s="47"/>
      <c r="O711" s="47"/>
      <c r="P711" s="47"/>
      <c r="Q711" s="47"/>
      <c r="R711" s="47"/>
      <c r="S711" s="50"/>
      <c r="T711" s="51"/>
      <c r="U711" s="51"/>
      <c r="V711" s="51"/>
      <c r="W711" s="51"/>
      <c r="X711" s="51"/>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52"/>
      <c r="BH711" s="48"/>
      <c r="BI711" s="48"/>
      <c r="BJ711" s="48"/>
      <c r="BK711" s="48"/>
      <c r="BL711" s="48"/>
      <c r="BM711" s="48"/>
      <c r="BN711" s="48"/>
      <c r="BO711" s="48"/>
      <c r="BP711" s="48"/>
      <c r="BQ711" s="48"/>
    </row>
    <row r="712" ht="23.25" customHeight="1">
      <c r="A712" s="47"/>
      <c r="B712" s="47"/>
      <c r="C712" s="48"/>
      <c r="D712" s="48"/>
      <c r="E712" s="48"/>
      <c r="F712" s="48"/>
      <c r="G712" s="47"/>
      <c r="H712" s="47"/>
      <c r="I712" s="47"/>
      <c r="J712" s="47"/>
      <c r="K712" s="47"/>
      <c r="L712" s="47"/>
      <c r="M712" s="47"/>
      <c r="N712" s="47"/>
      <c r="O712" s="47"/>
      <c r="P712" s="47"/>
      <c r="Q712" s="47"/>
      <c r="R712" s="47"/>
      <c r="S712" s="50"/>
      <c r="T712" s="51"/>
      <c r="U712" s="51"/>
      <c r="V712" s="51"/>
      <c r="W712" s="51"/>
      <c r="X712" s="51"/>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52"/>
      <c r="BH712" s="48"/>
      <c r="BI712" s="48"/>
      <c r="BJ712" s="48"/>
      <c r="BK712" s="48"/>
      <c r="BL712" s="48"/>
      <c r="BM712" s="48"/>
      <c r="BN712" s="48"/>
      <c r="BO712" s="48"/>
      <c r="BP712" s="48"/>
      <c r="BQ712" s="48"/>
    </row>
    <row r="713" ht="23.25" customHeight="1">
      <c r="A713" s="47"/>
      <c r="B713" s="47"/>
      <c r="C713" s="48"/>
      <c r="D713" s="48"/>
      <c r="E713" s="48"/>
      <c r="F713" s="48"/>
      <c r="G713" s="47"/>
      <c r="H713" s="47"/>
      <c r="I713" s="47"/>
      <c r="J713" s="47"/>
      <c r="K713" s="47"/>
      <c r="L713" s="47"/>
      <c r="M713" s="47"/>
      <c r="N713" s="47"/>
      <c r="O713" s="47"/>
      <c r="P713" s="47"/>
      <c r="Q713" s="47"/>
      <c r="R713" s="47"/>
      <c r="S713" s="50"/>
      <c r="T713" s="51"/>
      <c r="U713" s="51"/>
      <c r="V713" s="51"/>
      <c r="W713" s="51"/>
      <c r="X713" s="51"/>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52"/>
      <c r="BH713" s="48"/>
      <c r="BI713" s="48"/>
      <c r="BJ713" s="48"/>
      <c r="BK713" s="48"/>
      <c r="BL713" s="48"/>
      <c r="BM713" s="48"/>
      <c r="BN713" s="48"/>
      <c r="BO713" s="48"/>
      <c r="BP713" s="48"/>
      <c r="BQ713" s="48"/>
    </row>
    <row r="714" ht="23.25" customHeight="1">
      <c r="A714" s="47"/>
      <c r="B714" s="47"/>
      <c r="C714" s="48"/>
      <c r="D714" s="48"/>
      <c r="E714" s="48"/>
      <c r="F714" s="48"/>
      <c r="G714" s="47"/>
      <c r="H714" s="47"/>
      <c r="I714" s="47"/>
      <c r="J714" s="47"/>
      <c r="K714" s="47"/>
      <c r="L714" s="47"/>
      <c r="M714" s="47"/>
      <c r="N714" s="47"/>
      <c r="O714" s="47"/>
      <c r="P714" s="47"/>
      <c r="Q714" s="47"/>
      <c r="R714" s="47"/>
      <c r="S714" s="50"/>
      <c r="T714" s="51"/>
      <c r="U714" s="51"/>
      <c r="V714" s="51"/>
      <c r="W714" s="51"/>
      <c r="X714" s="51"/>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52"/>
      <c r="BH714" s="48"/>
      <c r="BI714" s="48"/>
      <c r="BJ714" s="48"/>
      <c r="BK714" s="48"/>
      <c r="BL714" s="48"/>
      <c r="BM714" s="48"/>
      <c r="BN714" s="48"/>
      <c r="BO714" s="48"/>
      <c r="BP714" s="48"/>
      <c r="BQ714" s="48"/>
    </row>
    <row r="715" ht="23.25" customHeight="1">
      <c r="A715" s="47"/>
      <c r="B715" s="47"/>
      <c r="C715" s="48"/>
      <c r="D715" s="48"/>
      <c r="E715" s="48"/>
      <c r="F715" s="48"/>
      <c r="G715" s="47"/>
      <c r="H715" s="47"/>
      <c r="I715" s="47"/>
      <c r="J715" s="47"/>
      <c r="K715" s="47"/>
      <c r="L715" s="47"/>
      <c r="M715" s="47"/>
      <c r="N715" s="47"/>
      <c r="O715" s="47"/>
      <c r="P715" s="47"/>
      <c r="Q715" s="47"/>
      <c r="R715" s="47"/>
      <c r="S715" s="50"/>
      <c r="T715" s="51"/>
      <c r="U715" s="51"/>
      <c r="V715" s="51"/>
      <c r="W715" s="51"/>
      <c r="X715" s="51"/>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52"/>
      <c r="BH715" s="48"/>
      <c r="BI715" s="48"/>
      <c r="BJ715" s="48"/>
      <c r="BK715" s="48"/>
      <c r="BL715" s="48"/>
      <c r="BM715" s="48"/>
      <c r="BN715" s="48"/>
      <c r="BO715" s="48"/>
      <c r="BP715" s="48"/>
      <c r="BQ715" s="48"/>
    </row>
    <row r="716" ht="23.25" customHeight="1">
      <c r="A716" s="47"/>
      <c r="B716" s="47"/>
      <c r="C716" s="48"/>
      <c r="D716" s="48"/>
      <c r="E716" s="48"/>
      <c r="F716" s="48"/>
      <c r="G716" s="47"/>
      <c r="H716" s="47"/>
      <c r="I716" s="47"/>
      <c r="J716" s="47"/>
      <c r="K716" s="47"/>
      <c r="L716" s="47"/>
      <c r="M716" s="47"/>
      <c r="N716" s="47"/>
      <c r="O716" s="47"/>
      <c r="P716" s="47"/>
      <c r="Q716" s="47"/>
      <c r="R716" s="47"/>
      <c r="S716" s="50"/>
      <c r="T716" s="51"/>
      <c r="U716" s="51"/>
      <c r="V716" s="51"/>
      <c r="W716" s="51"/>
      <c r="X716" s="51"/>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52"/>
      <c r="BH716" s="48"/>
      <c r="BI716" s="48"/>
      <c r="BJ716" s="48"/>
      <c r="BK716" s="48"/>
      <c r="BL716" s="48"/>
      <c r="BM716" s="48"/>
      <c r="BN716" s="48"/>
      <c r="BO716" s="48"/>
      <c r="BP716" s="48"/>
      <c r="BQ716" s="48"/>
    </row>
    <row r="717" ht="23.25" customHeight="1">
      <c r="A717" s="47"/>
      <c r="B717" s="47"/>
      <c r="C717" s="48"/>
      <c r="D717" s="48"/>
      <c r="E717" s="48"/>
      <c r="F717" s="48"/>
      <c r="G717" s="47"/>
      <c r="H717" s="47"/>
      <c r="I717" s="47"/>
      <c r="J717" s="47"/>
      <c r="K717" s="47"/>
      <c r="L717" s="47"/>
      <c r="M717" s="47"/>
      <c r="N717" s="47"/>
      <c r="O717" s="47"/>
      <c r="P717" s="47"/>
      <c r="Q717" s="47"/>
      <c r="R717" s="47"/>
      <c r="S717" s="50"/>
      <c r="T717" s="51"/>
      <c r="U717" s="51"/>
      <c r="V717" s="51"/>
      <c r="W717" s="51"/>
      <c r="X717" s="51"/>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52"/>
      <c r="BH717" s="48"/>
      <c r="BI717" s="48"/>
      <c r="BJ717" s="48"/>
      <c r="BK717" s="48"/>
      <c r="BL717" s="48"/>
      <c r="BM717" s="48"/>
      <c r="BN717" s="48"/>
      <c r="BO717" s="48"/>
      <c r="BP717" s="48"/>
      <c r="BQ717" s="48"/>
    </row>
    <row r="718" ht="23.25" customHeight="1">
      <c r="A718" s="47"/>
      <c r="B718" s="47"/>
      <c r="C718" s="48"/>
      <c r="D718" s="48"/>
      <c r="E718" s="48"/>
      <c r="F718" s="48"/>
      <c r="G718" s="47"/>
      <c r="H718" s="47"/>
      <c r="I718" s="47"/>
      <c r="J718" s="47"/>
      <c r="K718" s="47"/>
      <c r="L718" s="47"/>
      <c r="M718" s="47"/>
      <c r="N718" s="47"/>
      <c r="O718" s="47"/>
      <c r="P718" s="47"/>
      <c r="Q718" s="47"/>
      <c r="R718" s="47"/>
      <c r="S718" s="50"/>
      <c r="T718" s="51"/>
      <c r="U718" s="51"/>
      <c r="V718" s="51"/>
      <c r="W718" s="51"/>
      <c r="X718" s="51"/>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52"/>
      <c r="BH718" s="48"/>
      <c r="BI718" s="48"/>
      <c r="BJ718" s="48"/>
      <c r="BK718" s="48"/>
      <c r="BL718" s="48"/>
      <c r="BM718" s="48"/>
      <c r="BN718" s="48"/>
      <c r="BO718" s="48"/>
      <c r="BP718" s="48"/>
      <c r="BQ718" s="48"/>
    </row>
    <row r="719" ht="23.25" customHeight="1">
      <c r="A719" s="47"/>
      <c r="B719" s="47"/>
      <c r="C719" s="48"/>
      <c r="D719" s="48"/>
      <c r="E719" s="48"/>
      <c r="F719" s="48"/>
      <c r="G719" s="47"/>
      <c r="H719" s="47"/>
      <c r="I719" s="47"/>
      <c r="J719" s="47"/>
      <c r="K719" s="47"/>
      <c r="L719" s="47"/>
      <c r="M719" s="47"/>
      <c r="N719" s="47"/>
      <c r="O719" s="47"/>
      <c r="P719" s="47"/>
      <c r="Q719" s="47"/>
      <c r="R719" s="47"/>
      <c r="S719" s="50"/>
      <c r="T719" s="51"/>
      <c r="U719" s="51"/>
      <c r="V719" s="51"/>
      <c r="W719" s="51"/>
      <c r="X719" s="51"/>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52"/>
      <c r="BH719" s="48"/>
      <c r="BI719" s="48"/>
      <c r="BJ719" s="48"/>
      <c r="BK719" s="48"/>
      <c r="BL719" s="48"/>
      <c r="BM719" s="48"/>
      <c r="BN719" s="48"/>
      <c r="BO719" s="48"/>
      <c r="BP719" s="48"/>
      <c r="BQ719" s="48"/>
    </row>
    <row r="720" ht="23.25" customHeight="1">
      <c r="A720" s="47"/>
      <c r="B720" s="47"/>
      <c r="C720" s="48"/>
      <c r="D720" s="48"/>
      <c r="E720" s="48"/>
      <c r="F720" s="48"/>
      <c r="G720" s="47"/>
      <c r="H720" s="47"/>
      <c r="I720" s="47"/>
      <c r="J720" s="47"/>
      <c r="K720" s="47"/>
      <c r="L720" s="47"/>
      <c r="M720" s="47"/>
      <c r="N720" s="47"/>
      <c r="O720" s="47"/>
      <c r="P720" s="47"/>
      <c r="Q720" s="47"/>
      <c r="R720" s="47"/>
      <c r="S720" s="50"/>
      <c r="T720" s="51"/>
      <c r="U720" s="51"/>
      <c r="V720" s="51"/>
      <c r="W720" s="51"/>
      <c r="X720" s="51"/>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52"/>
      <c r="BH720" s="48"/>
      <c r="BI720" s="48"/>
      <c r="BJ720" s="48"/>
      <c r="BK720" s="48"/>
      <c r="BL720" s="48"/>
      <c r="BM720" s="48"/>
      <c r="BN720" s="48"/>
      <c r="BO720" s="48"/>
      <c r="BP720" s="48"/>
      <c r="BQ720" s="48"/>
    </row>
    <row r="721" ht="23.25" customHeight="1">
      <c r="A721" s="47"/>
      <c r="B721" s="47"/>
      <c r="C721" s="48"/>
      <c r="D721" s="48"/>
      <c r="E721" s="48"/>
      <c r="F721" s="48"/>
      <c r="G721" s="47"/>
      <c r="H721" s="47"/>
      <c r="I721" s="47"/>
      <c r="J721" s="47"/>
      <c r="K721" s="47"/>
      <c r="L721" s="47"/>
      <c r="M721" s="47"/>
      <c r="N721" s="47"/>
      <c r="O721" s="47"/>
      <c r="P721" s="47"/>
      <c r="Q721" s="47"/>
      <c r="R721" s="47"/>
      <c r="S721" s="50"/>
      <c r="T721" s="51"/>
      <c r="U721" s="51"/>
      <c r="V721" s="51"/>
      <c r="W721" s="51"/>
      <c r="X721" s="51"/>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52"/>
      <c r="BH721" s="48"/>
      <c r="BI721" s="48"/>
      <c r="BJ721" s="48"/>
      <c r="BK721" s="48"/>
      <c r="BL721" s="48"/>
      <c r="BM721" s="48"/>
      <c r="BN721" s="48"/>
      <c r="BO721" s="48"/>
      <c r="BP721" s="48"/>
      <c r="BQ721" s="48"/>
    </row>
    <row r="722" ht="23.25" customHeight="1">
      <c r="A722" s="47"/>
      <c r="B722" s="47"/>
      <c r="C722" s="48"/>
      <c r="D722" s="48"/>
      <c r="E722" s="48"/>
      <c r="F722" s="48"/>
      <c r="G722" s="47"/>
      <c r="H722" s="47"/>
      <c r="I722" s="47"/>
      <c r="J722" s="47"/>
      <c r="K722" s="47"/>
      <c r="L722" s="47"/>
      <c r="M722" s="47"/>
      <c r="N722" s="47"/>
      <c r="O722" s="47"/>
      <c r="P722" s="47"/>
      <c r="Q722" s="47"/>
      <c r="R722" s="47"/>
      <c r="S722" s="50"/>
      <c r="T722" s="51"/>
      <c r="U722" s="51"/>
      <c r="V722" s="51"/>
      <c r="W722" s="51"/>
      <c r="X722" s="51"/>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52"/>
      <c r="BH722" s="48"/>
      <c r="BI722" s="48"/>
      <c r="BJ722" s="48"/>
      <c r="BK722" s="48"/>
      <c r="BL722" s="48"/>
      <c r="BM722" s="48"/>
      <c r="BN722" s="48"/>
      <c r="BO722" s="48"/>
      <c r="BP722" s="48"/>
      <c r="BQ722" s="48"/>
    </row>
    <row r="723" ht="23.25" customHeight="1">
      <c r="A723" s="47"/>
      <c r="B723" s="47"/>
      <c r="C723" s="48"/>
      <c r="D723" s="48"/>
      <c r="E723" s="48"/>
      <c r="F723" s="48"/>
      <c r="G723" s="47"/>
      <c r="H723" s="47"/>
      <c r="I723" s="47"/>
      <c r="J723" s="47"/>
      <c r="K723" s="47"/>
      <c r="L723" s="47"/>
      <c r="M723" s="47"/>
      <c r="N723" s="47"/>
      <c r="O723" s="47"/>
      <c r="P723" s="47"/>
      <c r="Q723" s="47"/>
      <c r="R723" s="47"/>
      <c r="S723" s="50"/>
      <c r="T723" s="51"/>
      <c r="U723" s="51"/>
      <c r="V723" s="51"/>
      <c r="W723" s="51"/>
      <c r="X723" s="51"/>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52"/>
      <c r="BH723" s="48"/>
      <c r="BI723" s="48"/>
      <c r="BJ723" s="48"/>
      <c r="BK723" s="48"/>
      <c r="BL723" s="48"/>
      <c r="BM723" s="48"/>
      <c r="BN723" s="48"/>
      <c r="BO723" s="48"/>
      <c r="BP723" s="48"/>
      <c r="BQ723" s="48"/>
    </row>
    <row r="724" ht="23.25" customHeight="1">
      <c r="A724" s="47"/>
      <c r="B724" s="47"/>
      <c r="C724" s="48"/>
      <c r="D724" s="48"/>
      <c r="E724" s="48"/>
      <c r="F724" s="48"/>
      <c r="G724" s="47"/>
      <c r="H724" s="47"/>
      <c r="I724" s="47"/>
      <c r="J724" s="47"/>
      <c r="K724" s="47"/>
      <c r="L724" s="47"/>
      <c r="M724" s="47"/>
      <c r="N724" s="47"/>
      <c r="O724" s="47"/>
      <c r="P724" s="47"/>
      <c r="Q724" s="47"/>
      <c r="R724" s="47"/>
      <c r="S724" s="50"/>
      <c r="T724" s="51"/>
      <c r="U724" s="51"/>
      <c r="V724" s="51"/>
      <c r="W724" s="51"/>
      <c r="X724" s="51"/>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52"/>
      <c r="BH724" s="48"/>
      <c r="BI724" s="48"/>
      <c r="BJ724" s="48"/>
      <c r="BK724" s="48"/>
      <c r="BL724" s="48"/>
      <c r="BM724" s="48"/>
      <c r="BN724" s="48"/>
      <c r="BO724" s="48"/>
      <c r="BP724" s="48"/>
      <c r="BQ724" s="48"/>
    </row>
    <row r="725" ht="23.25" customHeight="1">
      <c r="A725" s="47"/>
      <c r="B725" s="47"/>
      <c r="C725" s="48"/>
      <c r="D725" s="48"/>
      <c r="E725" s="48"/>
      <c r="F725" s="48"/>
      <c r="G725" s="47"/>
      <c r="H725" s="47"/>
      <c r="I725" s="47"/>
      <c r="J725" s="47"/>
      <c r="K725" s="47"/>
      <c r="L725" s="47"/>
      <c r="M725" s="47"/>
      <c r="N725" s="47"/>
      <c r="O725" s="47"/>
      <c r="P725" s="47"/>
      <c r="Q725" s="47"/>
      <c r="R725" s="47"/>
      <c r="S725" s="50"/>
      <c r="T725" s="51"/>
      <c r="U725" s="51"/>
      <c r="V725" s="51"/>
      <c r="W725" s="51"/>
      <c r="X725" s="51"/>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52"/>
      <c r="BH725" s="48"/>
      <c r="BI725" s="48"/>
      <c r="BJ725" s="48"/>
      <c r="BK725" s="48"/>
      <c r="BL725" s="48"/>
      <c r="BM725" s="48"/>
      <c r="BN725" s="48"/>
      <c r="BO725" s="48"/>
      <c r="BP725" s="48"/>
      <c r="BQ725" s="48"/>
    </row>
    <row r="726" ht="23.25" customHeight="1">
      <c r="A726" s="47"/>
      <c r="B726" s="47"/>
      <c r="C726" s="48"/>
      <c r="D726" s="48"/>
      <c r="E726" s="48"/>
      <c r="F726" s="48"/>
      <c r="G726" s="47"/>
      <c r="H726" s="47"/>
      <c r="I726" s="47"/>
      <c r="J726" s="47"/>
      <c r="K726" s="47"/>
      <c r="L726" s="47"/>
      <c r="M726" s="47"/>
      <c r="N726" s="47"/>
      <c r="O726" s="47"/>
      <c r="P726" s="47"/>
      <c r="Q726" s="47"/>
      <c r="R726" s="47"/>
      <c r="S726" s="50"/>
      <c r="T726" s="51"/>
      <c r="U726" s="51"/>
      <c r="V726" s="51"/>
      <c r="W726" s="51"/>
      <c r="X726" s="51"/>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52"/>
      <c r="BH726" s="48"/>
      <c r="BI726" s="48"/>
      <c r="BJ726" s="48"/>
      <c r="BK726" s="48"/>
      <c r="BL726" s="48"/>
      <c r="BM726" s="48"/>
      <c r="BN726" s="48"/>
      <c r="BO726" s="48"/>
      <c r="BP726" s="48"/>
      <c r="BQ726" s="48"/>
    </row>
    <row r="727" ht="23.25" customHeight="1">
      <c r="A727" s="47"/>
      <c r="B727" s="47"/>
      <c r="C727" s="48"/>
      <c r="D727" s="48"/>
      <c r="E727" s="48"/>
      <c r="F727" s="48"/>
      <c r="G727" s="47"/>
      <c r="H727" s="47"/>
      <c r="I727" s="47"/>
      <c r="J727" s="47"/>
      <c r="K727" s="47"/>
      <c r="L727" s="47"/>
      <c r="M727" s="47"/>
      <c r="N727" s="47"/>
      <c r="O727" s="47"/>
      <c r="P727" s="47"/>
      <c r="Q727" s="47"/>
      <c r="R727" s="47"/>
      <c r="S727" s="50"/>
      <c r="T727" s="51"/>
      <c r="U727" s="51"/>
      <c r="V727" s="51"/>
      <c r="W727" s="51"/>
      <c r="X727" s="51"/>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52"/>
      <c r="BH727" s="48"/>
      <c r="BI727" s="48"/>
      <c r="BJ727" s="48"/>
      <c r="BK727" s="48"/>
      <c r="BL727" s="48"/>
      <c r="BM727" s="48"/>
      <c r="BN727" s="48"/>
      <c r="BO727" s="48"/>
      <c r="BP727" s="48"/>
      <c r="BQ727" s="48"/>
    </row>
    <row r="728" ht="23.25" customHeight="1">
      <c r="A728" s="47"/>
      <c r="B728" s="47"/>
      <c r="C728" s="48"/>
      <c r="D728" s="48"/>
      <c r="E728" s="48"/>
      <c r="F728" s="48"/>
      <c r="G728" s="47"/>
      <c r="H728" s="47"/>
      <c r="I728" s="47"/>
      <c r="J728" s="47"/>
      <c r="K728" s="47"/>
      <c r="L728" s="47"/>
      <c r="M728" s="47"/>
      <c r="N728" s="47"/>
      <c r="O728" s="47"/>
      <c r="P728" s="47"/>
      <c r="Q728" s="47"/>
      <c r="R728" s="47"/>
      <c r="S728" s="50"/>
      <c r="T728" s="51"/>
      <c r="U728" s="51"/>
      <c r="V728" s="51"/>
      <c r="W728" s="51"/>
      <c r="X728" s="51"/>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52"/>
      <c r="BH728" s="48"/>
      <c r="BI728" s="48"/>
      <c r="BJ728" s="48"/>
      <c r="BK728" s="48"/>
      <c r="BL728" s="48"/>
      <c r="BM728" s="48"/>
      <c r="BN728" s="48"/>
      <c r="BO728" s="48"/>
      <c r="BP728" s="48"/>
      <c r="BQ728" s="48"/>
    </row>
    <row r="729" ht="23.25" customHeight="1">
      <c r="A729" s="47"/>
      <c r="B729" s="47"/>
      <c r="C729" s="48"/>
      <c r="D729" s="48"/>
      <c r="E729" s="48"/>
      <c r="F729" s="48"/>
      <c r="G729" s="47"/>
      <c r="H729" s="47"/>
      <c r="I729" s="47"/>
      <c r="J729" s="47"/>
      <c r="K729" s="47"/>
      <c r="L729" s="47"/>
      <c r="M729" s="47"/>
      <c r="N729" s="47"/>
      <c r="O729" s="47"/>
      <c r="P729" s="47"/>
      <c r="Q729" s="47"/>
      <c r="R729" s="47"/>
      <c r="S729" s="50"/>
      <c r="T729" s="51"/>
      <c r="U729" s="51"/>
      <c r="V729" s="51"/>
      <c r="W729" s="51"/>
      <c r="X729" s="51"/>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52"/>
      <c r="BH729" s="48"/>
      <c r="BI729" s="48"/>
      <c r="BJ729" s="48"/>
      <c r="BK729" s="48"/>
      <c r="BL729" s="48"/>
      <c r="BM729" s="48"/>
      <c r="BN729" s="48"/>
      <c r="BO729" s="48"/>
      <c r="BP729" s="48"/>
      <c r="BQ729" s="48"/>
    </row>
    <row r="730" ht="23.25" customHeight="1">
      <c r="A730" s="47"/>
      <c r="B730" s="47"/>
      <c r="C730" s="48"/>
      <c r="D730" s="48"/>
      <c r="E730" s="48"/>
      <c r="F730" s="48"/>
      <c r="G730" s="47"/>
      <c r="H730" s="47"/>
      <c r="I730" s="47"/>
      <c r="J730" s="47"/>
      <c r="K730" s="47"/>
      <c r="L730" s="47"/>
      <c r="M730" s="47"/>
      <c r="N730" s="47"/>
      <c r="O730" s="47"/>
      <c r="P730" s="47"/>
      <c r="Q730" s="47"/>
      <c r="R730" s="47"/>
      <c r="S730" s="50"/>
      <c r="T730" s="51"/>
      <c r="U730" s="51"/>
      <c r="V730" s="51"/>
      <c r="W730" s="51"/>
      <c r="X730" s="51"/>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52"/>
      <c r="BH730" s="48"/>
      <c r="BI730" s="48"/>
      <c r="BJ730" s="48"/>
      <c r="BK730" s="48"/>
      <c r="BL730" s="48"/>
      <c r="BM730" s="48"/>
      <c r="BN730" s="48"/>
      <c r="BO730" s="48"/>
      <c r="BP730" s="48"/>
      <c r="BQ730" s="48"/>
    </row>
    <row r="731" ht="23.25" customHeight="1">
      <c r="A731" s="47"/>
      <c r="B731" s="47"/>
      <c r="C731" s="48"/>
      <c r="D731" s="48"/>
      <c r="E731" s="48"/>
      <c r="F731" s="48"/>
      <c r="G731" s="47"/>
      <c r="H731" s="47"/>
      <c r="I731" s="47"/>
      <c r="J731" s="47"/>
      <c r="K731" s="47"/>
      <c r="L731" s="47"/>
      <c r="M731" s="47"/>
      <c r="N731" s="47"/>
      <c r="O731" s="47"/>
      <c r="P731" s="47"/>
      <c r="Q731" s="47"/>
      <c r="R731" s="47"/>
      <c r="S731" s="50"/>
      <c r="T731" s="51"/>
      <c r="U731" s="51"/>
      <c r="V731" s="51"/>
      <c r="W731" s="51"/>
      <c r="X731" s="51"/>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52"/>
      <c r="BH731" s="48"/>
      <c r="BI731" s="48"/>
      <c r="BJ731" s="48"/>
      <c r="BK731" s="48"/>
      <c r="BL731" s="48"/>
      <c r="BM731" s="48"/>
      <c r="BN731" s="48"/>
      <c r="BO731" s="48"/>
      <c r="BP731" s="48"/>
      <c r="BQ731" s="48"/>
    </row>
    <row r="732" ht="23.25" customHeight="1">
      <c r="A732" s="47"/>
      <c r="B732" s="47"/>
      <c r="C732" s="48"/>
      <c r="D732" s="48"/>
      <c r="E732" s="48"/>
      <c r="F732" s="48"/>
      <c r="G732" s="47"/>
      <c r="H732" s="47"/>
      <c r="I732" s="47"/>
      <c r="J732" s="47"/>
      <c r="K732" s="47"/>
      <c r="L732" s="47"/>
      <c r="M732" s="47"/>
      <c r="N732" s="47"/>
      <c r="O732" s="47"/>
      <c r="P732" s="47"/>
      <c r="Q732" s="47"/>
      <c r="R732" s="47"/>
      <c r="S732" s="50"/>
      <c r="T732" s="51"/>
      <c r="U732" s="51"/>
      <c r="V732" s="51"/>
      <c r="W732" s="51"/>
      <c r="X732" s="51"/>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52"/>
      <c r="BH732" s="48"/>
      <c r="BI732" s="48"/>
      <c r="BJ732" s="48"/>
      <c r="BK732" s="48"/>
      <c r="BL732" s="48"/>
      <c r="BM732" s="48"/>
      <c r="BN732" s="48"/>
      <c r="BO732" s="48"/>
      <c r="BP732" s="48"/>
      <c r="BQ732" s="48"/>
    </row>
    <row r="733" ht="23.25" customHeight="1">
      <c r="A733" s="47"/>
      <c r="B733" s="47"/>
      <c r="C733" s="48"/>
      <c r="D733" s="48"/>
      <c r="E733" s="48"/>
      <c r="F733" s="48"/>
      <c r="G733" s="47"/>
      <c r="H733" s="47"/>
      <c r="I733" s="47"/>
      <c r="J733" s="47"/>
      <c r="K733" s="47"/>
      <c r="L733" s="47"/>
      <c r="M733" s="47"/>
      <c r="N733" s="47"/>
      <c r="O733" s="47"/>
      <c r="P733" s="47"/>
      <c r="Q733" s="47"/>
      <c r="R733" s="47"/>
      <c r="S733" s="50"/>
      <c r="T733" s="51"/>
      <c r="U733" s="51"/>
      <c r="V733" s="51"/>
      <c r="W733" s="51"/>
      <c r="X733" s="51"/>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52"/>
      <c r="BH733" s="48"/>
      <c r="BI733" s="48"/>
      <c r="BJ733" s="48"/>
      <c r="BK733" s="48"/>
      <c r="BL733" s="48"/>
      <c r="BM733" s="48"/>
      <c r="BN733" s="48"/>
      <c r="BO733" s="48"/>
      <c r="BP733" s="48"/>
      <c r="BQ733" s="48"/>
    </row>
    <row r="734" ht="23.25" customHeight="1">
      <c r="A734" s="47"/>
      <c r="B734" s="47"/>
      <c r="C734" s="48"/>
      <c r="D734" s="48"/>
      <c r="E734" s="48"/>
      <c r="F734" s="48"/>
      <c r="G734" s="47"/>
      <c r="H734" s="47"/>
      <c r="I734" s="47"/>
      <c r="J734" s="47"/>
      <c r="K734" s="47"/>
      <c r="L734" s="47"/>
      <c r="M734" s="47"/>
      <c r="N734" s="47"/>
      <c r="O734" s="47"/>
      <c r="P734" s="47"/>
      <c r="Q734" s="47"/>
      <c r="R734" s="47"/>
      <c r="S734" s="50"/>
      <c r="T734" s="51"/>
      <c r="U734" s="51"/>
      <c r="V734" s="51"/>
      <c r="W734" s="51"/>
      <c r="X734" s="51"/>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52"/>
      <c r="BH734" s="48"/>
      <c r="BI734" s="48"/>
      <c r="BJ734" s="48"/>
      <c r="BK734" s="48"/>
      <c r="BL734" s="48"/>
      <c r="BM734" s="48"/>
      <c r="BN734" s="48"/>
      <c r="BO734" s="48"/>
      <c r="BP734" s="48"/>
      <c r="BQ734" s="48"/>
    </row>
    <row r="735" ht="23.25" customHeight="1">
      <c r="A735" s="47"/>
      <c r="B735" s="47"/>
      <c r="C735" s="48"/>
      <c r="D735" s="48"/>
      <c r="E735" s="48"/>
      <c r="F735" s="48"/>
      <c r="G735" s="47"/>
      <c r="H735" s="47"/>
      <c r="I735" s="47"/>
      <c r="J735" s="47"/>
      <c r="K735" s="47"/>
      <c r="L735" s="47"/>
      <c r="M735" s="47"/>
      <c r="N735" s="47"/>
      <c r="O735" s="47"/>
      <c r="P735" s="47"/>
      <c r="Q735" s="47"/>
      <c r="R735" s="47"/>
      <c r="S735" s="50"/>
      <c r="T735" s="51"/>
      <c r="U735" s="51"/>
      <c r="V735" s="51"/>
      <c r="W735" s="51"/>
      <c r="X735" s="51"/>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52"/>
      <c r="BH735" s="48"/>
      <c r="BI735" s="48"/>
      <c r="BJ735" s="48"/>
      <c r="BK735" s="48"/>
      <c r="BL735" s="48"/>
      <c r="BM735" s="48"/>
      <c r="BN735" s="48"/>
      <c r="BO735" s="48"/>
      <c r="BP735" s="48"/>
      <c r="BQ735" s="48"/>
    </row>
    <row r="736" ht="23.25" customHeight="1">
      <c r="A736" s="47"/>
      <c r="B736" s="47"/>
      <c r="C736" s="48"/>
      <c r="D736" s="48"/>
      <c r="E736" s="48"/>
      <c r="F736" s="48"/>
      <c r="G736" s="47"/>
      <c r="H736" s="47"/>
      <c r="I736" s="47"/>
      <c r="J736" s="47"/>
      <c r="K736" s="47"/>
      <c r="L736" s="47"/>
      <c r="M736" s="47"/>
      <c r="N736" s="47"/>
      <c r="O736" s="47"/>
      <c r="P736" s="47"/>
      <c r="Q736" s="47"/>
      <c r="R736" s="47"/>
      <c r="S736" s="50"/>
      <c r="T736" s="51"/>
      <c r="U736" s="51"/>
      <c r="V736" s="51"/>
      <c r="W736" s="51"/>
      <c r="X736" s="51"/>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52"/>
      <c r="BH736" s="48"/>
      <c r="BI736" s="48"/>
      <c r="BJ736" s="48"/>
      <c r="BK736" s="48"/>
      <c r="BL736" s="48"/>
      <c r="BM736" s="48"/>
      <c r="BN736" s="48"/>
      <c r="BO736" s="48"/>
      <c r="BP736" s="48"/>
      <c r="BQ736" s="48"/>
    </row>
    <row r="737" ht="23.25" customHeight="1">
      <c r="A737" s="47"/>
      <c r="B737" s="47"/>
      <c r="C737" s="48"/>
      <c r="D737" s="48"/>
      <c r="E737" s="48"/>
      <c r="F737" s="48"/>
      <c r="G737" s="47"/>
      <c r="H737" s="47"/>
      <c r="I737" s="47"/>
      <c r="J737" s="47"/>
      <c r="K737" s="47"/>
      <c r="L737" s="47"/>
      <c r="M737" s="47"/>
      <c r="N737" s="47"/>
      <c r="O737" s="47"/>
      <c r="P737" s="47"/>
      <c r="Q737" s="47"/>
      <c r="R737" s="47"/>
      <c r="S737" s="50"/>
      <c r="T737" s="51"/>
      <c r="U737" s="51"/>
      <c r="V737" s="51"/>
      <c r="W737" s="51"/>
      <c r="X737" s="51"/>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52"/>
      <c r="BH737" s="48"/>
      <c r="BI737" s="48"/>
      <c r="BJ737" s="48"/>
      <c r="BK737" s="48"/>
      <c r="BL737" s="48"/>
      <c r="BM737" s="48"/>
      <c r="BN737" s="48"/>
      <c r="BO737" s="48"/>
      <c r="BP737" s="48"/>
      <c r="BQ737" s="48"/>
    </row>
    <row r="738" ht="23.25" customHeight="1">
      <c r="A738" s="47"/>
      <c r="B738" s="47"/>
      <c r="C738" s="48"/>
      <c r="D738" s="48"/>
      <c r="E738" s="48"/>
      <c r="F738" s="48"/>
      <c r="G738" s="47"/>
      <c r="H738" s="47"/>
      <c r="I738" s="47"/>
      <c r="J738" s="47"/>
      <c r="K738" s="47"/>
      <c r="L738" s="47"/>
      <c r="M738" s="47"/>
      <c r="N738" s="47"/>
      <c r="O738" s="47"/>
      <c r="P738" s="47"/>
      <c r="Q738" s="47"/>
      <c r="R738" s="47"/>
      <c r="S738" s="50"/>
      <c r="T738" s="51"/>
      <c r="U738" s="51"/>
      <c r="V738" s="51"/>
      <c r="W738" s="51"/>
      <c r="X738" s="51"/>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52"/>
      <c r="BH738" s="48"/>
      <c r="BI738" s="48"/>
      <c r="BJ738" s="48"/>
      <c r="BK738" s="48"/>
      <c r="BL738" s="48"/>
      <c r="BM738" s="48"/>
      <c r="BN738" s="48"/>
      <c r="BO738" s="48"/>
      <c r="BP738" s="48"/>
      <c r="BQ738" s="48"/>
    </row>
    <row r="739" ht="23.25" customHeight="1">
      <c r="A739" s="47"/>
      <c r="B739" s="47"/>
      <c r="C739" s="48"/>
      <c r="D739" s="48"/>
      <c r="E739" s="48"/>
      <c r="F739" s="48"/>
      <c r="G739" s="47"/>
      <c r="H739" s="47"/>
      <c r="I739" s="47"/>
      <c r="J739" s="47"/>
      <c r="K739" s="47"/>
      <c r="L739" s="47"/>
      <c r="M739" s="47"/>
      <c r="N739" s="47"/>
      <c r="O739" s="47"/>
      <c r="P739" s="47"/>
      <c r="Q739" s="47"/>
      <c r="R739" s="47"/>
      <c r="S739" s="50"/>
      <c r="T739" s="51"/>
      <c r="U739" s="51"/>
      <c r="V739" s="51"/>
      <c r="W739" s="51"/>
      <c r="X739" s="51"/>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52"/>
      <c r="BH739" s="48"/>
      <c r="BI739" s="48"/>
      <c r="BJ739" s="48"/>
      <c r="BK739" s="48"/>
      <c r="BL739" s="48"/>
      <c r="BM739" s="48"/>
      <c r="BN739" s="48"/>
      <c r="BO739" s="48"/>
      <c r="BP739" s="48"/>
      <c r="BQ739" s="48"/>
    </row>
    <row r="740" ht="23.25" customHeight="1">
      <c r="A740" s="47"/>
      <c r="B740" s="47"/>
      <c r="C740" s="48"/>
      <c r="D740" s="48"/>
      <c r="E740" s="48"/>
      <c r="F740" s="48"/>
      <c r="G740" s="47"/>
      <c r="H740" s="47"/>
      <c r="I740" s="47"/>
      <c r="J740" s="47"/>
      <c r="K740" s="47"/>
      <c r="L740" s="47"/>
      <c r="M740" s="47"/>
      <c r="N740" s="47"/>
      <c r="O740" s="47"/>
      <c r="P740" s="47"/>
      <c r="Q740" s="47"/>
      <c r="R740" s="47"/>
      <c r="S740" s="50"/>
      <c r="T740" s="51"/>
      <c r="U740" s="51"/>
      <c r="V740" s="51"/>
      <c r="W740" s="51"/>
      <c r="X740" s="51"/>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52"/>
      <c r="BH740" s="48"/>
      <c r="BI740" s="48"/>
      <c r="BJ740" s="48"/>
      <c r="BK740" s="48"/>
      <c r="BL740" s="48"/>
      <c r="BM740" s="48"/>
      <c r="BN740" s="48"/>
      <c r="BO740" s="48"/>
      <c r="BP740" s="48"/>
      <c r="BQ740" s="48"/>
    </row>
    <row r="741" ht="23.25" customHeight="1">
      <c r="A741" s="47"/>
      <c r="B741" s="47"/>
      <c r="C741" s="48"/>
      <c r="D741" s="48"/>
      <c r="E741" s="48"/>
      <c r="F741" s="48"/>
      <c r="G741" s="47"/>
      <c r="H741" s="47"/>
      <c r="I741" s="47"/>
      <c r="J741" s="47"/>
      <c r="K741" s="47"/>
      <c r="L741" s="47"/>
      <c r="M741" s="47"/>
      <c r="N741" s="47"/>
      <c r="O741" s="47"/>
      <c r="P741" s="47"/>
      <c r="Q741" s="47"/>
      <c r="R741" s="47"/>
      <c r="S741" s="50"/>
      <c r="T741" s="51"/>
      <c r="U741" s="51"/>
      <c r="V741" s="51"/>
      <c r="W741" s="51"/>
      <c r="X741" s="51"/>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52"/>
      <c r="BH741" s="48"/>
      <c r="BI741" s="48"/>
      <c r="BJ741" s="48"/>
      <c r="BK741" s="48"/>
      <c r="BL741" s="48"/>
      <c r="BM741" s="48"/>
      <c r="BN741" s="48"/>
      <c r="BO741" s="48"/>
      <c r="BP741" s="48"/>
      <c r="BQ741" s="48"/>
    </row>
    <row r="742" ht="23.25" customHeight="1">
      <c r="A742" s="47"/>
      <c r="B742" s="47"/>
      <c r="C742" s="48"/>
      <c r="D742" s="48"/>
      <c r="E742" s="48"/>
      <c r="F742" s="48"/>
      <c r="G742" s="47"/>
      <c r="H742" s="47"/>
      <c r="I742" s="47"/>
      <c r="J742" s="47"/>
      <c r="K742" s="47"/>
      <c r="L742" s="47"/>
      <c r="M742" s="47"/>
      <c r="N742" s="47"/>
      <c r="O742" s="47"/>
      <c r="P742" s="47"/>
      <c r="Q742" s="47"/>
      <c r="R742" s="47"/>
      <c r="S742" s="50"/>
      <c r="T742" s="51"/>
      <c r="U742" s="51"/>
      <c r="V742" s="51"/>
      <c r="W742" s="51"/>
      <c r="X742" s="51"/>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52"/>
      <c r="BH742" s="48"/>
      <c r="BI742" s="48"/>
      <c r="BJ742" s="48"/>
      <c r="BK742" s="48"/>
      <c r="BL742" s="48"/>
      <c r="BM742" s="48"/>
      <c r="BN742" s="48"/>
      <c r="BO742" s="48"/>
      <c r="BP742" s="48"/>
      <c r="BQ742" s="48"/>
    </row>
    <row r="743" ht="23.25" customHeight="1">
      <c r="A743" s="47"/>
      <c r="B743" s="47"/>
      <c r="C743" s="48"/>
      <c r="D743" s="48"/>
      <c r="E743" s="48"/>
      <c r="F743" s="48"/>
      <c r="G743" s="47"/>
      <c r="H743" s="47"/>
      <c r="I743" s="47"/>
      <c r="J743" s="47"/>
      <c r="K743" s="47"/>
      <c r="L743" s="47"/>
      <c r="M743" s="47"/>
      <c r="N743" s="47"/>
      <c r="O743" s="47"/>
      <c r="P743" s="47"/>
      <c r="Q743" s="47"/>
      <c r="R743" s="47"/>
      <c r="S743" s="50"/>
      <c r="T743" s="51"/>
      <c r="U743" s="51"/>
      <c r="V743" s="51"/>
      <c r="W743" s="51"/>
      <c r="X743" s="51"/>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52"/>
      <c r="BH743" s="48"/>
      <c r="BI743" s="48"/>
      <c r="BJ743" s="48"/>
      <c r="BK743" s="48"/>
      <c r="BL743" s="48"/>
      <c r="BM743" s="48"/>
      <c r="BN743" s="48"/>
      <c r="BO743" s="48"/>
      <c r="BP743" s="48"/>
      <c r="BQ743" s="48"/>
    </row>
    <row r="744" ht="23.25" customHeight="1">
      <c r="A744" s="47"/>
      <c r="B744" s="47"/>
      <c r="C744" s="48"/>
      <c r="D744" s="48"/>
      <c r="E744" s="48"/>
      <c r="F744" s="48"/>
      <c r="G744" s="47"/>
      <c r="H744" s="47"/>
      <c r="I744" s="47"/>
      <c r="J744" s="47"/>
      <c r="K744" s="47"/>
      <c r="L744" s="47"/>
      <c r="M744" s="47"/>
      <c r="N744" s="47"/>
      <c r="O744" s="47"/>
      <c r="P744" s="47"/>
      <c r="Q744" s="47"/>
      <c r="R744" s="47"/>
      <c r="S744" s="50"/>
      <c r="T744" s="51"/>
      <c r="U744" s="51"/>
      <c r="V744" s="51"/>
      <c r="W744" s="51"/>
      <c r="X744" s="51"/>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52"/>
      <c r="BH744" s="48"/>
      <c r="BI744" s="48"/>
      <c r="BJ744" s="48"/>
      <c r="BK744" s="48"/>
      <c r="BL744" s="48"/>
      <c r="BM744" s="48"/>
      <c r="BN744" s="48"/>
      <c r="BO744" s="48"/>
      <c r="BP744" s="48"/>
      <c r="BQ744" s="48"/>
    </row>
    <row r="745" ht="23.25" customHeight="1">
      <c r="A745" s="47"/>
      <c r="B745" s="47"/>
      <c r="C745" s="48"/>
      <c r="D745" s="48"/>
      <c r="E745" s="48"/>
      <c r="F745" s="48"/>
      <c r="G745" s="47"/>
      <c r="H745" s="47"/>
      <c r="I745" s="47"/>
      <c r="J745" s="47"/>
      <c r="K745" s="47"/>
      <c r="L745" s="47"/>
      <c r="M745" s="47"/>
      <c r="N745" s="47"/>
      <c r="O745" s="47"/>
      <c r="P745" s="47"/>
      <c r="Q745" s="47"/>
      <c r="R745" s="47"/>
      <c r="S745" s="50"/>
      <c r="T745" s="51"/>
      <c r="U745" s="51"/>
      <c r="V745" s="51"/>
      <c r="W745" s="51"/>
      <c r="X745" s="51"/>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52"/>
      <c r="BH745" s="48"/>
      <c r="BI745" s="48"/>
      <c r="BJ745" s="48"/>
      <c r="BK745" s="48"/>
      <c r="BL745" s="48"/>
      <c r="BM745" s="48"/>
      <c r="BN745" s="48"/>
      <c r="BO745" s="48"/>
      <c r="BP745" s="48"/>
      <c r="BQ745" s="48"/>
    </row>
    <row r="746" ht="23.25" customHeight="1">
      <c r="A746" s="47"/>
      <c r="B746" s="47"/>
      <c r="C746" s="48"/>
      <c r="D746" s="48"/>
      <c r="E746" s="48"/>
      <c r="F746" s="48"/>
      <c r="G746" s="47"/>
      <c r="H746" s="47"/>
      <c r="I746" s="47"/>
      <c r="J746" s="47"/>
      <c r="K746" s="47"/>
      <c r="L746" s="47"/>
      <c r="M746" s="47"/>
      <c r="N746" s="47"/>
      <c r="O746" s="47"/>
      <c r="P746" s="47"/>
      <c r="Q746" s="47"/>
      <c r="R746" s="47"/>
      <c r="S746" s="50"/>
      <c r="T746" s="51"/>
      <c r="U746" s="51"/>
      <c r="V746" s="51"/>
      <c r="W746" s="51"/>
      <c r="X746" s="51"/>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52"/>
      <c r="BH746" s="48"/>
      <c r="BI746" s="48"/>
      <c r="BJ746" s="48"/>
      <c r="BK746" s="48"/>
      <c r="BL746" s="48"/>
      <c r="BM746" s="48"/>
      <c r="BN746" s="48"/>
      <c r="BO746" s="48"/>
      <c r="BP746" s="48"/>
      <c r="BQ746" s="48"/>
    </row>
    <row r="747" ht="23.25" customHeight="1">
      <c r="A747" s="47"/>
      <c r="B747" s="47"/>
      <c r="C747" s="48"/>
      <c r="D747" s="48"/>
      <c r="E747" s="48"/>
      <c r="F747" s="48"/>
      <c r="G747" s="47"/>
      <c r="H747" s="47"/>
      <c r="I747" s="47"/>
      <c r="J747" s="47"/>
      <c r="K747" s="47"/>
      <c r="L747" s="47"/>
      <c r="M747" s="47"/>
      <c r="N747" s="47"/>
      <c r="O747" s="47"/>
      <c r="P747" s="47"/>
      <c r="Q747" s="47"/>
      <c r="R747" s="47"/>
      <c r="S747" s="50"/>
      <c r="T747" s="51"/>
      <c r="U747" s="51"/>
      <c r="V747" s="51"/>
      <c r="W747" s="51"/>
      <c r="X747" s="51"/>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52"/>
      <c r="BH747" s="48"/>
      <c r="BI747" s="48"/>
      <c r="BJ747" s="48"/>
      <c r="BK747" s="48"/>
      <c r="BL747" s="48"/>
      <c r="BM747" s="48"/>
      <c r="BN747" s="48"/>
      <c r="BO747" s="48"/>
      <c r="BP747" s="48"/>
      <c r="BQ747" s="48"/>
    </row>
    <row r="748" ht="23.25" customHeight="1">
      <c r="A748" s="47"/>
      <c r="B748" s="47"/>
      <c r="C748" s="48"/>
      <c r="D748" s="48"/>
      <c r="E748" s="48"/>
      <c r="F748" s="48"/>
      <c r="G748" s="47"/>
      <c r="H748" s="47"/>
      <c r="I748" s="47"/>
      <c r="J748" s="47"/>
      <c r="K748" s="47"/>
      <c r="L748" s="47"/>
      <c r="M748" s="47"/>
      <c r="N748" s="47"/>
      <c r="O748" s="47"/>
      <c r="P748" s="47"/>
      <c r="Q748" s="47"/>
      <c r="R748" s="47"/>
      <c r="S748" s="50"/>
      <c r="T748" s="51"/>
      <c r="U748" s="51"/>
      <c r="V748" s="51"/>
      <c r="W748" s="51"/>
      <c r="X748" s="51"/>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52"/>
      <c r="BH748" s="48"/>
      <c r="BI748" s="48"/>
      <c r="BJ748" s="48"/>
      <c r="BK748" s="48"/>
      <c r="BL748" s="48"/>
      <c r="BM748" s="48"/>
      <c r="BN748" s="48"/>
      <c r="BO748" s="48"/>
      <c r="BP748" s="48"/>
      <c r="BQ748" s="48"/>
    </row>
    <row r="749" ht="23.25" customHeight="1">
      <c r="A749" s="47"/>
      <c r="B749" s="47"/>
      <c r="C749" s="48"/>
      <c r="D749" s="48"/>
      <c r="E749" s="48"/>
      <c r="F749" s="48"/>
      <c r="G749" s="47"/>
      <c r="H749" s="47"/>
      <c r="I749" s="47"/>
      <c r="J749" s="47"/>
      <c r="K749" s="47"/>
      <c r="L749" s="47"/>
      <c r="M749" s="47"/>
      <c r="N749" s="47"/>
      <c r="O749" s="47"/>
      <c r="P749" s="47"/>
      <c r="Q749" s="47"/>
      <c r="R749" s="47"/>
      <c r="S749" s="50"/>
      <c r="T749" s="51"/>
      <c r="U749" s="51"/>
      <c r="V749" s="51"/>
      <c r="W749" s="51"/>
      <c r="X749" s="51"/>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52"/>
      <c r="BH749" s="48"/>
      <c r="BI749" s="48"/>
      <c r="BJ749" s="48"/>
      <c r="BK749" s="48"/>
      <c r="BL749" s="48"/>
      <c r="BM749" s="48"/>
      <c r="BN749" s="48"/>
      <c r="BO749" s="48"/>
      <c r="BP749" s="48"/>
      <c r="BQ749" s="48"/>
    </row>
    <row r="750" ht="23.25" customHeight="1">
      <c r="A750" s="47"/>
      <c r="B750" s="47"/>
      <c r="C750" s="48"/>
      <c r="D750" s="48"/>
      <c r="E750" s="48"/>
      <c r="F750" s="48"/>
      <c r="G750" s="47"/>
      <c r="H750" s="47"/>
      <c r="I750" s="47"/>
      <c r="J750" s="47"/>
      <c r="K750" s="47"/>
      <c r="L750" s="47"/>
      <c r="M750" s="47"/>
      <c r="N750" s="47"/>
      <c r="O750" s="47"/>
      <c r="P750" s="47"/>
      <c r="Q750" s="47"/>
      <c r="R750" s="47"/>
      <c r="S750" s="50"/>
      <c r="T750" s="51"/>
      <c r="U750" s="51"/>
      <c r="V750" s="51"/>
      <c r="W750" s="51"/>
      <c r="X750" s="51"/>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52"/>
      <c r="BH750" s="48"/>
      <c r="BI750" s="48"/>
      <c r="BJ750" s="48"/>
      <c r="BK750" s="48"/>
      <c r="BL750" s="48"/>
      <c r="BM750" s="48"/>
      <c r="BN750" s="48"/>
      <c r="BO750" s="48"/>
      <c r="BP750" s="48"/>
      <c r="BQ750" s="48"/>
    </row>
    <row r="751" ht="23.25" customHeight="1">
      <c r="A751" s="47"/>
      <c r="B751" s="47"/>
      <c r="C751" s="48"/>
      <c r="D751" s="48"/>
      <c r="E751" s="48"/>
      <c r="F751" s="48"/>
      <c r="G751" s="47"/>
      <c r="H751" s="47"/>
      <c r="I751" s="47"/>
      <c r="J751" s="47"/>
      <c r="K751" s="47"/>
      <c r="L751" s="47"/>
      <c r="M751" s="47"/>
      <c r="N751" s="47"/>
      <c r="O751" s="47"/>
      <c r="P751" s="47"/>
      <c r="Q751" s="47"/>
      <c r="R751" s="47"/>
      <c r="S751" s="50"/>
      <c r="T751" s="51"/>
      <c r="U751" s="51"/>
      <c r="V751" s="51"/>
      <c r="W751" s="51"/>
      <c r="X751" s="51"/>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52"/>
      <c r="BH751" s="48"/>
      <c r="BI751" s="48"/>
      <c r="BJ751" s="48"/>
      <c r="BK751" s="48"/>
      <c r="BL751" s="48"/>
      <c r="BM751" s="48"/>
      <c r="BN751" s="48"/>
      <c r="BO751" s="48"/>
      <c r="BP751" s="48"/>
      <c r="BQ751" s="48"/>
    </row>
    <row r="752" ht="23.25" customHeight="1">
      <c r="A752" s="47"/>
      <c r="B752" s="47"/>
      <c r="C752" s="48"/>
      <c r="D752" s="48"/>
      <c r="E752" s="48"/>
      <c r="F752" s="48"/>
      <c r="G752" s="47"/>
      <c r="H752" s="47"/>
      <c r="I752" s="47"/>
      <c r="J752" s="47"/>
      <c r="K752" s="47"/>
      <c r="L752" s="47"/>
      <c r="M752" s="47"/>
      <c r="N752" s="47"/>
      <c r="O752" s="47"/>
      <c r="P752" s="47"/>
      <c r="Q752" s="47"/>
      <c r="R752" s="47"/>
      <c r="S752" s="50"/>
      <c r="T752" s="51"/>
      <c r="U752" s="51"/>
      <c r="V752" s="51"/>
      <c r="W752" s="51"/>
      <c r="X752" s="51"/>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52"/>
      <c r="BH752" s="48"/>
      <c r="BI752" s="48"/>
      <c r="BJ752" s="48"/>
      <c r="BK752" s="48"/>
      <c r="BL752" s="48"/>
      <c r="BM752" s="48"/>
      <c r="BN752" s="48"/>
      <c r="BO752" s="48"/>
      <c r="BP752" s="48"/>
      <c r="BQ752" s="48"/>
    </row>
    <row r="753" ht="23.25" customHeight="1">
      <c r="A753" s="47"/>
      <c r="B753" s="47"/>
      <c r="C753" s="48"/>
      <c r="D753" s="48"/>
      <c r="E753" s="48"/>
      <c r="F753" s="48"/>
      <c r="G753" s="47"/>
      <c r="H753" s="47"/>
      <c r="I753" s="47"/>
      <c r="J753" s="47"/>
      <c r="K753" s="47"/>
      <c r="L753" s="47"/>
      <c r="M753" s="47"/>
      <c r="N753" s="47"/>
      <c r="O753" s="47"/>
      <c r="P753" s="47"/>
      <c r="Q753" s="47"/>
      <c r="R753" s="47"/>
      <c r="S753" s="50"/>
      <c r="T753" s="51"/>
      <c r="U753" s="51"/>
      <c r="V753" s="51"/>
      <c r="W753" s="51"/>
      <c r="X753" s="51"/>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52"/>
      <c r="BH753" s="48"/>
      <c r="BI753" s="48"/>
      <c r="BJ753" s="48"/>
      <c r="BK753" s="48"/>
      <c r="BL753" s="48"/>
      <c r="BM753" s="48"/>
      <c r="BN753" s="48"/>
      <c r="BO753" s="48"/>
      <c r="BP753" s="48"/>
      <c r="BQ753" s="48"/>
    </row>
    <row r="754" ht="23.25" customHeight="1">
      <c r="A754" s="47"/>
      <c r="B754" s="47"/>
      <c r="C754" s="48"/>
      <c r="D754" s="48"/>
      <c r="E754" s="48"/>
      <c r="F754" s="48"/>
      <c r="G754" s="47"/>
      <c r="H754" s="47"/>
      <c r="I754" s="47"/>
      <c r="J754" s="47"/>
      <c r="K754" s="47"/>
      <c r="L754" s="47"/>
      <c r="M754" s="47"/>
      <c r="N754" s="47"/>
      <c r="O754" s="47"/>
      <c r="P754" s="47"/>
      <c r="Q754" s="47"/>
      <c r="R754" s="47"/>
      <c r="S754" s="50"/>
      <c r="T754" s="51"/>
      <c r="U754" s="51"/>
      <c r="V754" s="51"/>
      <c r="W754" s="51"/>
      <c r="X754" s="51"/>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52"/>
      <c r="BH754" s="48"/>
      <c r="BI754" s="48"/>
      <c r="BJ754" s="48"/>
      <c r="BK754" s="48"/>
      <c r="BL754" s="48"/>
      <c r="BM754" s="48"/>
      <c r="BN754" s="48"/>
      <c r="BO754" s="48"/>
      <c r="BP754" s="48"/>
      <c r="BQ754" s="48"/>
    </row>
    <row r="755" ht="23.25" customHeight="1">
      <c r="A755" s="47"/>
      <c r="B755" s="47"/>
      <c r="C755" s="48"/>
      <c r="D755" s="48"/>
      <c r="E755" s="48"/>
      <c r="F755" s="48"/>
      <c r="G755" s="47"/>
      <c r="H755" s="47"/>
      <c r="I755" s="47"/>
      <c r="J755" s="47"/>
      <c r="K755" s="47"/>
      <c r="L755" s="47"/>
      <c r="M755" s="47"/>
      <c r="N755" s="47"/>
      <c r="O755" s="47"/>
      <c r="P755" s="47"/>
      <c r="Q755" s="47"/>
      <c r="R755" s="47"/>
      <c r="S755" s="50"/>
      <c r="T755" s="51"/>
      <c r="U755" s="51"/>
      <c r="V755" s="51"/>
      <c r="W755" s="51"/>
      <c r="X755" s="51"/>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52"/>
      <c r="BH755" s="48"/>
      <c r="BI755" s="48"/>
      <c r="BJ755" s="48"/>
      <c r="BK755" s="48"/>
      <c r="BL755" s="48"/>
      <c r="BM755" s="48"/>
      <c r="BN755" s="48"/>
      <c r="BO755" s="48"/>
      <c r="BP755" s="48"/>
      <c r="BQ755" s="48"/>
    </row>
    <row r="756" ht="23.25" customHeight="1">
      <c r="A756" s="47"/>
      <c r="B756" s="47"/>
      <c r="C756" s="48"/>
      <c r="D756" s="48"/>
      <c r="E756" s="48"/>
      <c r="F756" s="48"/>
      <c r="G756" s="47"/>
      <c r="H756" s="47"/>
      <c r="I756" s="47"/>
      <c r="J756" s="47"/>
      <c r="K756" s="47"/>
      <c r="L756" s="47"/>
      <c r="M756" s="47"/>
      <c r="N756" s="47"/>
      <c r="O756" s="47"/>
      <c r="P756" s="47"/>
      <c r="Q756" s="47"/>
      <c r="R756" s="47"/>
      <c r="S756" s="50"/>
      <c r="T756" s="51"/>
      <c r="U756" s="51"/>
      <c r="V756" s="51"/>
      <c r="W756" s="51"/>
      <c r="X756" s="51"/>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52"/>
      <c r="BH756" s="48"/>
      <c r="BI756" s="48"/>
      <c r="BJ756" s="48"/>
      <c r="BK756" s="48"/>
      <c r="BL756" s="48"/>
      <c r="BM756" s="48"/>
      <c r="BN756" s="48"/>
      <c r="BO756" s="48"/>
      <c r="BP756" s="48"/>
      <c r="BQ756" s="48"/>
    </row>
    <row r="757" ht="23.25" customHeight="1">
      <c r="A757" s="47"/>
      <c r="B757" s="47"/>
      <c r="C757" s="48"/>
      <c r="D757" s="48"/>
      <c r="E757" s="48"/>
      <c r="F757" s="48"/>
      <c r="G757" s="47"/>
      <c r="H757" s="47"/>
      <c r="I757" s="47"/>
      <c r="J757" s="47"/>
      <c r="K757" s="47"/>
      <c r="L757" s="47"/>
      <c r="M757" s="47"/>
      <c r="N757" s="47"/>
      <c r="O757" s="47"/>
      <c r="P757" s="47"/>
      <c r="Q757" s="47"/>
      <c r="R757" s="47"/>
      <c r="S757" s="50"/>
      <c r="T757" s="51"/>
      <c r="U757" s="51"/>
      <c r="V757" s="51"/>
      <c r="W757" s="51"/>
      <c r="X757" s="51"/>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52"/>
      <c r="BH757" s="48"/>
      <c r="BI757" s="48"/>
      <c r="BJ757" s="48"/>
      <c r="BK757" s="48"/>
      <c r="BL757" s="48"/>
      <c r="BM757" s="48"/>
      <c r="BN757" s="48"/>
      <c r="BO757" s="48"/>
      <c r="BP757" s="48"/>
      <c r="BQ757" s="48"/>
    </row>
    <row r="758" ht="23.25" customHeight="1">
      <c r="A758" s="47"/>
      <c r="B758" s="47"/>
      <c r="C758" s="48"/>
      <c r="D758" s="48"/>
      <c r="E758" s="48"/>
      <c r="F758" s="48"/>
      <c r="G758" s="47"/>
      <c r="H758" s="47"/>
      <c r="I758" s="47"/>
      <c r="J758" s="47"/>
      <c r="K758" s="47"/>
      <c r="L758" s="47"/>
      <c r="M758" s="47"/>
      <c r="N758" s="47"/>
      <c r="O758" s="47"/>
      <c r="P758" s="47"/>
      <c r="Q758" s="47"/>
      <c r="R758" s="47"/>
      <c r="S758" s="50"/>
      <c r="T758" s="51"/>
      <c r="U758" s="51"/>
      <c r="V758" s="51"/>
      <c r="W758" s="51"/>
      <c r="X758" s="51"/>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52"/>
      <c r="BH758" s="48"/>
      <c r="BI758" s="48"/>
      <c r="BJ758" s="48"/>
      <c r="BK758" s="48"/>
      <c r="BL758" s="48"/>
      <c r="BM758" s="48"/>
      <c r="BN758" s="48"/>
      <c r="BO758" s="48"/>
      <c r="BP758" s="48"/>
      <c r="BQ758" s="48"/>
    </row>
    <row r="759" ht="23.25" customHeight="1">
      <c r="A759" s="47"/>
      <c r="B759" s="47"/>
      <c r="C759" s="48"/>
      <c r="D759" s="48"/>
      <c r="E759" s="48"/>
      <c r="F759" s="48"/>
      <c r="G759" s="47"/>
      <c r="H759" s="47"/>
      <c r="I759" s="47"/>
      <c r="J759" s="47"/>
      <c r="K759" s="47"/>
      <c r="L759" s="47"/>
      <c r="M759" s="47"/>
      <c r="N759" s="47"/>
      <c r="O759" s="47"/>
      <c r="P759" s="47"/>
      <c r="Q759" s="47"/>
      <c r="R759" s="47"/>
      <c r="S759" s="50"/>
      <c r="T759" s="51"/>
      <c r="U759" s="51"/>
      <c r="V759" s="51"/>
      <c r="W759" s="51"/>
      <c r="X759" s="51"/>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52"/>
      <c r="BH759" s="48"/>
      <c r="BI759" s="48"/>
      <c r="BJ759" s="48"/>
      <c r="BK759" s="48"/>
      <c r="BL759" s="48"/>
      <c r="BM759" s="48"/>
      <c r="BN759" s="48"/>
      <c r="BO759" s="48"/>
      <c r="BP759" s="48"/>
      <c r="BQ759" s="48"/>
    </row>
    <row r="760" ht="23.25" customHeight="1">
      <c r="A760" s="47"/>
      <c r="B760" s="47"/>
      <c r="C760" s="48"/>
      <c r="D760" s="48"/>
      <c r="E760" s="48"/>
      <c r="F760" s="48"/>
      <c r="G760" s="47"/>
      <c r="H760" s="47"/>
      <c r="I760" s="47"/>
      <c r="J760" s="47"/>
      <c r="K760" s="47"/>
      <c r="L760" s="47"/>
      <c r="M760" s="47"/>
      <c r="N760" s="47"/>
      <c r="O760" s="47"/>
      <c r="P760" s="47"/>
      <c r="Q760" s="47"/>
      <c r="R760" s="47"/>
      <c r="S760" s="50"/>
      <c r="T760" s="51"/>
      <c r="U760" s="51"/>
      <c r="V760" s="51"/>
      <c r="W760" s="51"/>
      <c r="X760" s="51"/>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52"/>
      <c r="BH760" s="48"/>
      <c r="BI760" s="48"/>
      <c r="BJ760" s="48"/>
      <c r="BK760" s="48"/>
      <c r="BL760" s="48"/>
      <c r="BM760" s="48"/>
      <c r="BN760" s="48"/>
      <c r="BO760" s="48"/>
      <c r="BP760" s="48"/>
      <c r="BQ760" s="48"/>
    </row>
    <row r="761" ht="23.25" customHeight="1">
      <c r="A761" s="47"/>
      <c r="B761" s="47"/>
      <c r="C761" s="48"/>
      <c r="D761" s="48"/>
      <c r="E761" s="48"/>
      <c r="F761" s="48"/>
      <c r="G761" s="47"/>
      <c r="H761" s="47"/>
      <c r="I761" s="47"/>
      <c r="J761" s="47"/>
      <c r="K761" s="47"/>
      <c r="L761" s="47"/>
      <c r="M761" s="47"/>
      <c r="N761" s="47"/>
      <c r="O761" s="47"/>
      <c r="P761" s="47"/>
      <c r="Q761" s="47"/>
      <c r="R761" s="47"/>
      <c r="S761" s="50"/>
      <c r="T761" s="51"/>
      <c r="U761" s="51"/>
      <c r="V761" s="51"/>
      <c r="W761" s="51"/>
      <c r="X761" s="51"/>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52"/>
      <c r="BH761" s="48"/>
      <c r="BI761" s="48"/>
      <c r="BJ761" s="48"/>
      <c r="BK761" s="48"/>
      <c r="BL761" s="48"/>
      <c r="BM761" s="48"/>
      <c r="BN761" s="48"/>
      <c r="BO761" s="48"/>
      <c r="BP761" s="48"/>
      <c r="BQ761" s="48"/>
    </row>
    <row r="762" ht="23.25" customHeight="1">
      <c r="A762" s="47"/>
      <c r="B762" s="47"/>
      <c r="C762" s="48"/>
      <c r="D762" s="48"/>
      <c r="E762" s="48"/>
      <c r="F762" s="48"/>
      <c r="G762" s="47"/>
      <c r="H762" s="47"/>
      <c r="I762" s="47"/>
      <c r="J762" s="47"/>
      <c r="K762" s="47"/>
      <c r="L762" s="47"/>
      <c r="M762" s="47"/>
      <c r="N762" s="47"/>
      <c r="O762" s="47"/>
      <c r="P762" s="47"/>
      <c r="Q762" s="47"/>
      <c r="R762" s="47"/>
      <c r="S762" s="50"/>
      <c r="T762" s="51"/>
      <c r="U762" s="51"/>
      <c r="V762" s="51"/>
      <c r="W762" s="51"/>
      <c r="X762" s="51"/>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52"/>
      <c r="BH762" s="48"/>
      <c r="BI762" s="48"/>
      <c r="BJ762" s="48"/>
      <c r="BK762" s="48"/>
      <c r="BL762" s="48"/>
      <c r="BM762" s="48"/>
      <c r="BN762" s="48"/>
      <c r="BO762" s="48"/>
      <c r="BP762" s="48"/>
      <c r="BQ762" s="48"/>
    </row>
    <row r="763" ht="23.25" customHeight="1">
      <c r="A763" s="47"/>
      <c r="B763" s="47"/>
      <c r="C763" s="48"/>
      <c r="D763" s="48"/>
      <c r="E763" s="48"/>
      <c r="F763" s="48"/>
      <c r="G763" s="47"/>
      <c r="H763" s="47"/>
      <c r="I763" s="47"/>
      <c r="J763" s="47"/>
      <c r="K763" s="47"/>
      <c r="L763" s="47"/>
      <c r="M763" s="47"/>
      <c r="N763" s="47"/>
      <c r="O763" s="47"/>
      <c r="P763" s="47"/>
      <c r="Q763" s="47"/>
      <c r="R763" s="47"/>
      <c r="S763" s="50"/>
      <c r="T763" s="51"/>
      <c r="U763" s="51"/>
      <c r="V763" s="51"/>
      <c r="W763" s="51"/>
      <c r="X763" s="51"/>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52"/>
      <c r="BH763" s="48"/>
      <c r="BI763" s="48"/>
      <c r="BJ763" s="48"/>
      <c r="BK763" s="48"/>
      <c r="BL763" s="48"/>
      <c r="BM763" s="48"/>
      <c r="BN763" s="48"/>
      <c r="BO763" s="48"/>
      <c r="BP763" s="48"/>
      <c r="BQ763" s="48"/>
    </row>
    <row r="764" ht="23.25" customHeight="1">
      <c r="A764" s="47"/>
      <c r="B764" s="47"/>
      <c r="C764" s="48"/>
      <c r="D764" s="48"/>
      <c r="E764" s="48"/>
      <c r="F764" s="48"/>
      <c r="G764" s="47"/>
      <c r="H764" s="47"/>
      <c r="I764" s="47"/>
      <c r="J764" s="47"/>
      <c r="K764" s="47"/>
      <c r="L764" s="47"/>
      <c r="M764" s="47"/>
      <c r="N764" s="47"/>
      <c r="O764" s="47"/>
      <c r="P764" s="47"/>
      <c r="Q764" s="47"/>
      <c r="R764" s="47"/>
      <c r="S764" s="50"/>
      <c r="T764" s="51"/>
      <c r="U764" s="51"/>
      <c r="V764" s="51"/>
      <c r="W764" s="51"/>
      <c r="X764" s="51"/>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52"/>
      <c r="BH764" s="48"/>
      <c r="BI764" s="48"/>
      <c r="BJ764" s="48"/>
      <c r="BK764" s="48"/>
      <c r="BL764" s="48"/>
      <c r="BM764" s="48"/>
      <c r="BN764" s="48"/>
      <c r="BO764" s="48"/>
      <c r="BP764" s="48"/>
      <c r="BQ764" s="48"/>
    </row>
    <row r="765" ht="23.25" customHeight="1">
      <c r="A765" s="47"/>
      <c r="B765" s="47"/>
      <c r="C765" s="48"/>
      <c r="D765" s="48"/>
      <c r="E765" s="48"/>
      <c r="F765" s="48"/>
      <c r="G765" s="47"/>
      <c r="H765" s="47"/>
      <c r="I765" s="47"/>
      <c r="J765" s="47"/>
      <c r="K765" s="47"/>
      <c r="L765" s="47"/>
      <c r="M765" s="47"/>
      <c r="N765" s="47"/>
      <c r="O765" s="47"/>
      <c r="P765" s="47"/>
      <c r="Q765" s="47"/>
      <c r="R765" s="47"/>
      <c r="S765" s="50"/>
      <c r="T765" s="51"/>
      <c r="U765" s="51"/>
      <c r="V765" s="51"/>
      <c r="W765" s="51"/>
      <c r="X765" s="51"/>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52"/>
      <c r="BH765" s="48"/>
      <c r="BI765" s="48"/>
      <c r="BJ765" s="48"/>
      <c r="BK765" s="48"/>
      <c r="BL765" s="48"/>
      <c r="BM765" s="48"/>
      <c r="BN765" s="48"/>
      <c r="BO765" s="48"/>
      <c r="BP765" s="48"/>
      <c r="BQ765" s="48"/>
    </row>
    <row r="766" ht="23.25" customHeight="1">
      <c r="A766" s="47"/>
      <c r="B766" s="47"/>
      <c r="C766" s="48"/>
      <c r="D766" s="48"/>
      <c r="E766" s="48"/>
      <c r="F766" s="48"/>
      <c r="G766" s="47"/>
      <c r="H766" s="47"/>
      <c r="I766" s="47"/>
      <c r="J766" s="47"/>
      <c r="K766" s="47"/>
      <c r="L766" s="47"/>
      <c r="M766" s="47"/>
      <c r="N766" s="47"/>
      <c r="O766" s="47"/>
      <c r="P766" s="47"/>
      <c r="Q766" s="47"/>
      <c r="R766" s="47"/>
      <c r="S766" s="50"/>
      <c r="T766" s="51"/>
      <c r="U766" s="51"/>
      <c r="V766" s="51"/>
      <c r="W766" s="51"/>
      <c r="X766" s="51"/>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52"/>
      <c r="BH766" s="48"/>
      <c r="BI766" s="48"/>
      <c r="BJ766" s="48"/>
      <c r="BK766" s="48"/>
      <c r="BL766" s="48"/>
      <c r="BM766" s="48"/>
      <c r="BN766" s="48"/>
      <c r="BO766" s="48"/>
      <c r="BP766" s="48"/>
      <c r="BQ766" s="48"/>
    </row>
    <row r="767" ht="23.25" customHeight="1">
      <c r="A767" s="47"/>
      <c r="B767" s="47"/>
      <c r="C767" s="48"/>
      <c r="D767" s="48"/>
      <c r="E767" s="48"/>
      <c r="F767" s="48"/>
      <c r="G767" s="47"/>
      <c r="H767" s="47"/>
      <c r="I767" s="47"/>
      <c r="J767" s="47"/>
      <c r="K767" s="47"/>
      <c r="L767" s="47"/>
      <c r="M767" s="47"/>
      <c r="N767" s="47"/>
      <c r="O767" s="47"/>
      <c r="P767" s="47"/>
      <c r="Q767" s="47"/>
      <c r="R767" s="47"/>
      <c r="S767" s="50"/>
      <c r="T767" s="51"/>
      <c r="U767" s="51"/>
      <c r="V767" s="51"/>
      <c r="W767" s="51"/>
      <c r="X767" s="51"/>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52"/>
      <c r="BH767" s="48"/>
      <c r="BI767" s="48"/>
      <c r="BJ767" s="48"/>
      <c r="BK767" s="48"/>
      <c r="BL767" s="48"/>
      <c r="BM767" s="48"/>
      <c r="BN767" s="48"/>
      <c r="BO767" s="48"/>
      <c r="BP767" s="48"/>
      <c r="BQ767" s="48"/>
    </row>
    <row r="768" ht="23.25" customHeight="1">
      <c r="A768" s="47"/>
      <c r="B768" s="47"/>
      <c r="C768" s="48"/>
      <c r="D768" s="48"/>
      <c r="E768" s="48"/>
      <c r="F768" s="48"/>
      <c r="G768" s="47"/>
      <c r="H768" s="47"/>
      <c r="I768" s="47"/>
      <c r="J768" s="47"/>
      <c r="K768" s="47"/>
      <c r="L768" s="47"/>
      <c r="M768" s="47"/>
      <c r="N768" s="47"/>
      <c r="O768" s="47"/>
      <c r="P768" s="47"/>
      <c r="Q768" s="47"/>
      <c r="R768" s="47"/>
      <c r="S768" s="50"/>
      <c r="T768" s="51"/>
      <c r="U768" s="51"/>
      <c r="V768" s="51"/>
      <c r="W768" s="51"/>
      <c r="X768" s="51"/>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52"/>
      <c r="BH768" s="48"/>
      <c r="BI768" s="48"/>
      <c r="BJ768" s="48"/>
      <c r="BK768" s="48"/>
      <c r="BL768" s="48"/>
      <c r="BM768" s="48"/>
      <c r="BN768" s="48"/>
      <c r="BO768" s="48"/>
      <c r="BP768" s="48"/>
      <c r="BQ768" s="48"/>
    </row>
    <row r="769" ht="23.25" customHeight="1">
      <c r="A769" s="47"/>
      <c r="B769" s="47"/>
      <c r="C769" s="48"/>
      <c r="D769" s="48"/>
      <c r="E769" s="48"/>
      <c r="F769" s="48"/>
      <c r="G769" s="47"/>
      <c r="H769" s="47"/>
      <c r="I769" s="47"/>
      <c r="J769" s="47"/>
      <c r="K769" s="47"/>
      <c r="L769" s="47"/>
      <c r="M769" s="47"/>
      <c r="N769" s="47"/>
      <c r="O769" s="47"/>
      <c r="P769" s="47"/>
      <c r="Q769" s="47"/>
      <c r="R769" s="47"/>
      <c r="S769" s="50"/>
      <c r="T769" s="51"/>
      <c r="U769" s="51"/>
      <c r="V769" s="51"/>
      <c r="W769" s="51"/>
      <c r="X769" s="51"/>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52"/>
      <c r="BH769" s="48"/>
      <c r="BI769" s="48"/>
      <c r="BJ769" s="48"/>
      <c r="BK769" s="48"/>
      <c r="BL769" s="48"/>
      <c r="BM769" s="48"/>
      <c r="BN769" s="48"/>
      <c r="BO769" s="48"/>
      <c r="BP769" s="48"/>
      <c r="BQ769" s="48"/>
    </row>
    <row r="770" ht="23.25" customHeight="1">
      <c r="A770" s="47"/>
      <c r="B770" s="47"/>
      <c r="C770" s="48"/>
      <c r="D770" s="48"/>
      <c r="E770" s="48"/>
      <c r="F770" s="48"/>
      <c r="G770" s="47"/>
      <c r="H770" s="47"/>
      <c r="I770" s="47"/>
      <c r="J770" s="47"/>
      <c r="K770" s="47"/>
      <c r="L770" s="47"/>
      <c r="M770" s="47"/>
      <c r="N770" s="47"/>
      <c r="O770" s="47"/>
      <c r="P770" s="47"/>
      <c r="Q770" s="47"/>
      <c r="R770" s="47"/>
      <c r="S770" s="50"/>
      <c r="T770" s="51"/>
      <c r="U770" s="51"/>
      <c r="V770" s="51"/>
      <c r="W770" s="51"/>
      <c r="X770" s="51"/>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52"/>
      <c r="BH770" s="48"/>
      <c r="BI770" s="48"/>
      <c r="BJ770" s="48"/>
      <c r="BK770" s="48"/>
      <c r="BL770" s="48"/>
      <c r="BM770" s="48"/>
      <c r="BN770" s="48"/>
      <c r="BO770" s="48"/>
      <c r="BP770" s="48"/>
      <c r="BQ770" s="48"/>
    </row>
    <row r="771" ht="23.25" customHeight="1">
      <c r="A771" s="47"/>
      <c r="B771" s="47"/>
      <c r="C771" s="48"/>
      <c r="D771" s="48"/>
      <c r="E771" s="48"/>
      <c r="F771" s="48"/>
      <c r="G771" s="47"/>
      <c r="H771" s="47"/>
      <c r="I771" s="47"/>
      <c r="J771" s="47"/>
      <c r="K771" s="47"/>
      <c r="L771" s="47"/>
      <c r="M771" s="47"/>
      <c r="N771" s="47"/>
      <c r="O771" s="47"/>
      <c r="P771" s="47"/>
      <c r="Q771" s="47"/>
      <c r="R771" s="47"/>
      <c r="S771" s="50"/>
      <c r="T771" s="51"/>
      <c r="U771" s="51"/>
      <c r="V771" s="51"/>
      <c r="W771" s="51"/>
      <c r="X771" s="51"/>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52"/>
      <c r="BH771" s="48"/>
      <c r="BI771" s="48"/>
      <c r="BJ771" s="48"/>
      <c r="BK771" s="48"/>
      <c r="BL771" s="48"/>
      <c r="BM771" s="48"/>
      <c r="BN771" s="48"/>
      <c r="BO771" s="48"/>
      <c r="BP771" s="48"/>
      <c r="BQ771" s="48"/>
    </row>
    <row r="772" ht="23.25" customHeight="1">
      <c r="A772" s="47"/>
      <c r="B772" s="47"/>
      <c r="C772" s="48"/>
      <c r="D772" s="48"/>
      <c r="E772" s="48"/>
      <c r="F772" s="48"/>
      <c r="G772" s="47"/>
      <c r="H772" s="47"/>
      <c r="I772" s="47"/>
      <c r="J772" s="47"/>
      <c r="K772" s="47"/>
      <c r="L772" s="47"/>
      <c r="M772" s="47"/>
      <c r="N772" s="47"/>
      <c r="O772" s="47"/>
      <c r="P772" s="47"/>
      <c r="Q772" s="47"/>
      <c r="R772" s="47"/>
      <c r="S772" s="50"/>
      <c r="T772" s="51"/>
      <c r="U772" s="51"/>
      <c r="V772" s="51"/>
      <c r="W772" s="51"/>
      <c r="X772" s="51"/>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52"/>
      <c r="BH772" s="48"/>
      <c r="BI772" s="48"/>
      <c r="BJ772" s="48"/>
      <c r="BK772" s="48"/>
      <c r="BL772" s="48"/>
      <c r="BM772" s="48"/>
      <c r="BN772" s="48"/>
      <c r="BO772" s="48"/>
      <c r="BP772" s="48"/>
      <c r="BQ772" s="48"/>
    </row>
    <row r="773" ht="23.25" customHeight="1">
      <c r="A773" s="47"/>
      <c r="B773" s="47"/>
      <c r="C773" s="48"/>
      <c r="D773" s="48"/>
      <c r="E773" s="48"/>
      <c r="F773" s="48"/>
      <c r="G773" s="47"/>
      <c r="H773" s="47"/>
      <c r="I773" s="47"/>
      <c r="J773" s="47"/>
      <c r="K773" s="47"/>
      <c r="L773" s="47"/>
      <c r="M773" s="47"/>
      <c r="N773" s="47"/>
      <c r="O773" s="47"/>
      <c r="P773" s="47"/>
      <c r="Q773" s="47"/>
      <c r="R773" s="47"/>
      <c r="S773" s="50"/>
      <c r="T773" s="51"/>
      <c r="U773" s="51"/>
      <c r="V773" s="51"/>
      <c r="W773" s="51"/>
      <c r="X773" s="51"/>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52"/>
      <c r="BH773" s="48"/>
      <c r="BI773" s="48"/>
      <c r="BJ773" s="48"/>
      <c r="BK773" s="48"/>
      <c r="BL773" s="48"/>
      <c r="BM773" s="48"/>
      <c r="BN773" s="48"/>
      <c r="BO773" s="48"/>
      <c r="BP773" s="48"/>
      <c r="BQ773" s="48"/>
    </row>
    <row r="774" ht="23.25" customHeight="1">
      <c r="A774" s="47"/>
      <c r="B774" s="47"/>
      <c r="C774" s="48"/>
      <c r="D774" s="48"/>
      <c r="E774" s="48"/>
      <c r="F774" s="48"/>
      <c r="G774" s="47"/>
      <c r="H774" s="47"/>
      <c r="I774" s="47"/>
      <c r="J774" s="47"/>
      <c r="K774" s="47"/>
      <c r="L774" s="47"/>
      <c r="M774" s="47"/>
      <c r="N774" s="47"/>
      <c r="O774" s="47"/>
      <c r="P774" s="47"/>
      <c r="Q774" s="47"/>
      <c r="R774" s="47"/>
      <c r="S774" s="50"/>
      <c r="T774" s="51"/>
      <c r="U774" s="51"/>
      <c r="V774" s="51"/>
      <c r="W774" s="51"/>
      <c r="X774" s="51"/>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52"/>
      <c r="BH774" s="48"/>
      <c r="BI774" s="48"/>
      <c r="BJ774" s="48"/>
      <c r="BK774" s="48"/>
      <c r="BL774" s="48"/>
      <c r="BM774" s="48"/>
      <c r="BN774" s="48"/>
      <c r="BO774" s="48"/>
      <c r="BP774" s="48"/>
      <c r="BQ774" s="48"/>
    </row>
    <row r="775" ht="23.25" customHeight="1">
      <c r="A775" s="47"/>
      <c r="B775" s="47"/>
      <c r="C775" s="48"/>
      <c r="D775" s="48"/>
      <c r="E775" s="48"/>
      <c r="F775" s="48"/>
      <c r="G775" s="47"/>
      <c r="H775" s="47"/>
      <c r="I775" s="47"/>
      <c r="J775" s="47"/>
      <c r="K775" s="47"/>
      <c r="L775" s="47"/>
      <c r="M775" s="47"/>
      <c r="N775" s="47"/>
      <c r="O775" s="47"/>
      <c r="P775" s="47"/>
      <c r="Q775" s="47"/>
      <c r="R775" s="47"/>
      <c r="S775" s="50"/>
      <c r="T775" s="51"/>
      <c r="U775" s="51"/>
      <c r="V775" s="51"/>
      <c r="W775" s="51"/>
      <c r="X775" s="51"/>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52"/>
      <c r="BH775" s="48"/>
      <c r="BI775" s="48"/>
      <c r="BJ775" s="48"/>
      <c r="BK775" s="48"/>
      <c r="BL775" s="48"/>
      <c r="BM775" s="48"/>
      <c r="BN775" s="48"/>
      <c r="BO775" s="48"/>
      <c r="BP775" s="48"/>
      <c r="BQ775" s="48"/>
    </row>
    <row r="776" ht="23.25" customHeight="1">
      <c r="A776" s="47"/>
      <c r="B776" s="47"/>
      <c r="C776" s="48"/>
      <c r="D776" s="48"/>
      <c r="E776" s="48"/>
      <c r="F776" s="48"/>
      <c r="G776" s="47"/>
      <c r="H776" s="47"/>
      <c r="I776" s="47"/>
      <c r="J776" s="47"/>
      <c r="K776" s="47"/>
      <c r="L776" s="47"/>
      <c r="M776" s="47"/>
      <c r="N776" s="47"/>
      <c r="O776" s="47"/>
      <c r="P776" s="47"/>
      <c r="Q776" s="47"/>
      <c r="R776" s="47"/>
      <c r="S776" s="50"/>
      <c r="T776" s="51"/>
      <c r="U776" s="51"/>
      <c r="V776" s="51"/>
      <c r="W776" s="51"/>
      <c r="X776" s="51"/>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52"/>
      <c r="BH776" s="48"/>
      <c r="BI776" s="48"/>
      <c r="BJ776" s="48"/>
      <c r="BK776" s="48"/>
      <c r="BL776" s="48"/>
      <c r="BM776" s="48"/>
      <c r="BN776" s="48"/>
      <c r="BO776" s="48"/>
      <c r="BP776" s="48"/>
      <c r="BQ776" s="48"/>
    </row>
    <row r="777" ht="23.25" customHeight="1">
      <c r="A777" s="47"/>
      <c r="B777" s="47"/>
      <c r="C777" s="48"/>
      <c r="D777" s="48"/>
      <c r="E777" s="48"/>
      <c r="F777" s="48"/>
      <c r="G777" s="47"/>
      <c r="H777" s="47"/>
      <c r="I777" s="47"/>
      <c r="J777" s="47"/>
      <c r="K777" s="47"/>
      <c r="L777" s="47"/>
      <c r="M777" s="47"/>
      <c r="N777" s="47"/>
      <c r="O777" s="47"/>
      <c r="P777" s="47"/>
      <c r="Q777" s="47"/>
      <c r="R777" s="47"/>
      <c r="S777" s="50"/>
      <c r="T777" s="51"/>
      <c r="U777" s="51"/>
      <c r="V777" s="51"/>
      <c r="W777" s="51"/>
      <c r="X777" s="51"/>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52"/>
      <c r="BH777" s="48"/>
      <c r="BI777" s="48"/>
      <c r="BJ777" s="48"/>
      <c r="BK777" s="48"/>
      <c r="BL777" s="48"/>
      <c r="BM777" s="48"/>
      <c r="BN777" s="48"/>
      <c r="BO777" s="48"/>
      <c r="BP777" s="48"/>
      <c r="BQ777" s="48"/>
    </row>
    <row r="778" ht="23.25" customHeight="1">
      <c r="A778" s="47"/>
      <c r="B778" s="47"/>
      <c r="C778" s="48"/>
      <c r="D778" s="48"/>
      <c r="E778" s="48"/>
      <c r="F778" s="48"/>
      <c r="G778" s="47"/>
      <c r="H778" s="47"/>
      <c r="I778" s="47"/>
      <c r="J778" s="47"/>
      <c r="K778" s="47"/>
      <c r="L778" s="47"/>
      <c r="M778" s="47"/>
      <c r="N778" s="47"/>
      <c r="O778" s="47"/>
      <c r="P778" s="47"/>
      <c r="Q778" s="47"/>
      <c r="R778" s="47"/>
      <c r="S778" s="50"/>
      <c r="T778" s="51"/>
      <c r="U778" s="51"/>
      <c r="V778" s="51"/>
      <c r="W778" s="51"/>
      <c r="X778" s="51"/>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52"/>
      <c r="BH778" s="48"/>
      <c r="BI778" s="48"/>
      <c r="BJ778" s="48"/>
      <c r="BK778" s="48"/>
      <c r="BL778" s="48"/>
      <c r="BM778" s="48"/>
      <c r="BN778" s="48"/>
      <c r="BO778" s="48"/>
      <c r="BP778" s="48"/>
      <c r="BQ778" s="48"/>
    </row>
    <row r="779" ht="23.25" customHeight="1">
      <c r="A779" s="47"/>
      <c r="B779" s="47"/>
      <c r="C779" s="48"/>
      <c r="D779" s="48"/>
      <c r="E779" s="48"/>
      <c r="F779" s="48"/>
      <c r="G779" s="47"/>
      <c r="H779" s="47"/>
      <c r="I779" s="47"/>
      <c r="J779" s="47"/>
      <c r="K779" s="47"/>
      <c r="L779" s="47"/>
      <c r="M779" s="47"/>
      <c r="N779" s="47"/>
      <c r="O779" s="47"/>
      <c r="P779" s="47"/>
      <c r="Q779" s="47"/>
      <c r="R779" s="47"/>
      <c r="S779" s="50"/>
      <c r="T779" s="51"/>
      <c r="U779" s="51"/>
      <c r="V779" s="51"/>
      <c r="W779" s="51"/>
      <c r="X779" s="51"/>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52"/>
      <c r="BH779" s="48"/>
      <c r="BI779" s="48"/>
      <c r="BJ779" s="48"/>
      <c r="BK779" s="48"/>
      <c r="BL779" s="48"/>
      <c r="BM779" s="48"/>
      <c r="BN779" s="48"/>
      <c r="BO779" s="48"/>
      <c r="BP779" s="48"/>
      <c r="BQ779" s="48"/>
    </row>
    <row r="780" ht="23.25" customHeight="1">
      <c r="A780" s="47"/>
      <c r="B780" s="47"/>
      <c r="C780" s="48"/>
      <c r="D780" s="48"/>
      <c r="E780" s="48"/>
      <c r="F780" s="48"/>
      <c r="G780" s="47"/>
      <c r="H780" s="47"/>
      <c r="I780" s="47"/>
      <c r="J780" s="47"/>
      <c r="K780" s="47"/>
      <c r="L780" s="47"/>
      <c r="M780" s="47"/>
      <c r="N780" s="47"/>
      <c r="O780" s="47"/>
      <c r="P780" s="47"/>
      <c r="Q780" s="47"/>
      <c r="R780" s="47"/>
      <c r="S780" s="50"/>
      <c r="T780" s="51"/>
      <c r="U780" s="51"/>
      <c r="V780" s="51"/>
      <c r="W780" s="51"/>
      <c r="X780" s="51"/>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52"/>
      <c r="BH780" s="48"/>
      <c r="BI780" s="48"/>
      <c r="BJ780" s="48"/>
      <c r="BK780" s="48"/>
      <c r="BL780" s="48"/>
      <c r="BM780" s="48"/>
      <c r="BN780" s="48"/>
      <c r="BO780" s="48"/>
      <c r="BP780" s="48"/>
      <c r="BQ780" s="48"/>
    </row>
    <row r="781" ht="23.25" customHeight="1">
      <c r="A781" s="47"/>
      <c r="B781" s="47"/>
      <c r="C781" s="48"/>
      <c r="D781" s="48"/>
      <c r="E781" s="48"/>
      <c r="F781" s="48"/>
      <c r="G781" s="47"/>
      <c r="H781" s="47"/>
      <c r="I781" s="47"/>
      <c r="J781" s="47"/>
      <c r="K781" s="47"/>
      <c r="L781" s="47"/>
      <c r="M781" s="47"/>
      <c r="N781" s="47"/>
      <c r="O781" s="47"/>
      <c r="P781" s="47"/>
      <c r="Q781" s="47"/>
      <c r="R781" s="47"/>
      <c r="S781" s="50"/>
      <c r="T781" s="51"/>
      <c r="U781" s="51"/>
      <c r="V781" s="51"/>
      <c r="W781" s="51"/>
      <c r="X781" s="51"/>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52"/>
      <c r="BH781" s="48"/>
      <c r="BI781" s="48"/>
      <c r="BJ781" s="48"/>
      <c r="BK781" s="48"/>
      <c r="BL781" s="48"/>
      <c r="BM781" s="48"/>
      <c r="BN781" s="48"/>
      <c r="BO781" s="48"/>
      <c r="BP781" s="48"/>
      <c r="BQ781" s="48"/>
    </row>
    <row r="782" ht="23.25" customHeight="1">
      <c r="A782" s="47"/>
      <c r="B782" s="47"/>
      <c r="C782" s="48"/>
      <c r="D782" s="48"/>
      <c r="E782" s="48"/>
      <c r="F782" s="48"/>
      <c r="G782" s="47"/>
      <c r="H782" s="47"/>
      <c r="I782" s="47"/>
      <c r="J782" s="47"/>
      <c r="K782" s="47"/>
      <c r="L782" s="47"/>
      <c r="M782" s="47"/>
      <c r="N782" s="47"/>
      <c r="O782" s="47"/>
      <c r="P782" s="47"/>
      <c r="Q782" s="47"/>
      <c r="R782" s="47"/>
      <c r="S782" s="50"/>
      <c r="T782" s="51"/>
      <c r="U782" s="51"/>
      <c r="V782" s="51"/>
      <c r="W782" s="51"/>
      <c r="X782" s="51"/>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52"/>
      <c r="BH782" s="48"/>
      <c r="BI782" s="48"/>
      <c r="BJ782" s="48"/>
      <c r="BK782" s="48"/>
      <c r="BL782" s="48"/>
      <c r="BM782" s="48"/>
      <c r="BN782" s="48"/>
      <c r="BO782" s="48"/>
      <c r="BP782" s="48"/>
      <c r="BQ782" s="48"/>
    </row>
    <row r="783" ht="23.25" customHeight="1">
      <c r="A783" s="47"/>
      <c r="B783" s="47"/>
      <c r="C783" s="48"/>
      <c r="D783" s="48"/>
      <c r="E783" s="48"/>
      <c r="F783" s="48"/>
      <c r="G783" s="47"/>
      <c r="H783" s="47"/>
      <c r="I783" s="47"/>
      <c r="J783" s="47"/>
      <c r="K783" s="47"/>
      <c r="L783" s="47"/>
      <c r="M783" s="47"/>
      <c r="N783" s="47"/>
      <c r="O783" s="47"/>
      <c r="P783" s="47"/>
      <c r="Q783" s="47"/>
      <c r="R783" s="47"/>
      <c r="S783" s="50"/>
      <c r="T783" s="51"/>
      <c r="U783" s="51"/>
      <c r="V783" s="51"/>
      <c r="W783" s="51"/>
      <c r="X783" s="51"/>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52"/>
      <c r="BH783" s="48"/>
      <c r="BI783" s="48"/>
      <c r="BJ783" s="48"/>
      <c r="BK783" s="48"/>
      <c r="BL783" s="48"/>
      <c r="BM783" s="48"/>
      <c r="BN783" s="48"/>
      <c r="BO783" s="48"/>
      <c r="BP783" s="48"/>
      <c r="BQ783" s="48"/>
    </row>
    <row r="784" ht="23.25" customHeight="1">
      <c r="A784" s="47"/>
      <c r="B784" s="47"/>
      <c r="C784" s="48"/>
      <c r="D784" s="48"/>
      <c r="E784" s="48"/>
      <c r="F784" s="48"/>
      <c r="G784" s="47"/>
      <c r="H784" s="47"/>
      <c r="I784" s="47"/>
      <c r="J784" s="47"/>
      <c r="K784" s="47"/>
      <c r="L784" s="47"/>
      <c r="M784" s="47"/>
      <c r="N784" s="47"/>
      <c r="O784" s="47"/>
      <c r="P784" s="47"/>
      <c r="Q784" s="47"/>
      <c r="R784" s="47"/>
      <c r="S784" s="50"/>
      <c r="T784" s="51"/>
      <c r="U784" s="51"/>
      <c r="V784" s="51"/>
      <c r="W784" s="51"/>
      <c r="X784" s="51"/>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52"/>
      <c r="BH784" s="48"/>
      <c r="BI784" s="48"/>
      <c r="BJ784" s="48"/>
      <c r="BK784" s="48"/>
      <c r="BL784" s="48"/>
      <c r="BM784" s="48"/>
      <c r="BN784" s="48"/>
      <c r="BO784" s="48"/>
      <c r="BP784" s="48"/>
      <c r="BQ784" s="48"/>
    </row>
    <row r="785" ht="23.25" customHeight="1">
      <c r="A785" s="47"/>
      <c r="B785" s="47"/>
      <c r="C785" s="48"/>
      <c r="D785" s="48"/>
      <c r="E785" s="48"/>
      <c r="F785" s="48"/>
      <c r="G785" s="47"/>
      <c r="H785" s="47"/>
      <c r="I785" s="47"/>
      <c r="J785" s="47"/>
      <c r="K785" s="47"/>
      <c r="L785" s="47"/>
      <c r="M785" s="47"/>
      <c r="N785" s="47"/>
      <c r="O785" s="47"/>
      <c r="P785" s="47"/>
      <c r="Q785" s="47"/>
      <c r="R785" s="47"/>
      <c r="S785" s="50"/>
      <c r="T785" s="51"/>
      <c r="U785" s="51"/>
      <c r="V785" s="51"/>
      <c r="W785" s="51"/>
      <c r="X785" s="51"/>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52"/>
      <c r="BH785" s="48"/>
      <c r="BI785" s="48"/>
      <c r="BJ785" s="48"/>
      <c r="BK785" s="48"/>
      <c r="BL785" s="48"/>
      <c r="BM785" s="48"/>
      <c r="BN785" s="48"/>
      <c r="BO785" s="48"/>
      <c r="BP785" s="48"/>
      <c r="BQ785" s="48"/>
    </row>
    <row r="786" ht="23.25" customHeight="1">
      <c r="A786" s="47"/>
      <c r="B786" s="47"/>
      <c r="C786" s="48"/>
      <c r="D786" s="48"/>
      <c r="E786" s="48"/>
      <c r="F786" s="48"/>
      <c r="G786" s="47"/>
      <c r="H786" s="47"/>
      <c r="I786" s="47"/>
      <c r="J786" s="47"/>
      <c r="K786" s="47"/>
      <c r="L786" s="47"/>
      <c r="M786" s="47"/>
      <c r="N786" s="47"/>
      <c r="O786" s="47"/>
      <c r="P786" s="47"/>
      <c r="Q786" s="47"/>
      <c r="R786" s="47"/>
      <c r="S786" s="50"/>
      <c r="T786" s="51"/>
      <c r="U786" s="51"/>
      <c r="V786" s="51"/>
      <c r="W786" s="51"/>
      <c r="X786" s="51"/>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52"/>
      <c r="BH786" s="48"/>
      <c r="BI786" s="48"/>
      <c r="BJ786" s="48"/>
      <c r="BK786" s="48"/>
      <c r="BL786" s="48"/>
      <c r="BM786" s="48"/>
      <c r="BN786" s="48"/>
      <c r="BO786" s="48"/>
      <c r="BP786" s="48"/>
      <c r="BQ786" s="48"/>
    </row>
    <row r="787" ht="23.25" customHeight="1">
      <c r="A787" s="47"/>
      <c r="B787" s="47"/>
      <c r="C787" s="48"/>
      <c r="D787" s="48"/>
      <c r="E787" s="48"/>
      <c r="F787" s="48"/>
      <c r="G787" s="47"/>
      <c r="H787" s="47"/>
      <c r="I787" s="47"/>
      <c r="J787" s="47"/>
      <c r="K787" s="47"/>
      <c r="L787" s="47"/>
      <c r="M787" s="47"/>
      <c r="N787" s="47"/>
      <c r="O787" s="47"/>
      <c r="P787" s="47"/>
      <c r="Q787" s="47"/>
      <c r="R787" s="47"/>
      <c r="S787" s="50"/>
      <c r="T787" s="51"/>
      <c r="U787" s="51"/>
      <c r="V787" s="51"/>
      <c r="W787" s="51"/>
      <c r="X787" s="51"/>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52"/>
      <c r="BH787" s="48"/>
      <c r="BI787" s="48"/>
      <c r="BJ787" s="48"/>
      <c r="BK787" s="48"/>
      <c r="BL787" s="48"/>
      <c r="BM787" s="48"/>
      <c r="BN787" s="48"/>
      <c r="BO787" s="48"/>
      <c r="BP787" s="48"/>
      <c r="BQ787" s="48"/>
    </row>
    <row r="788" ht="23.25" customHeight="1">
      <c r="A788" s="47"/>
      <c r="B788" s="47"/>
      <c r="C788" s="48"/>
      <c r="D788" s="48"/>
      <c r="E788" s="48"/>
      <c r="F788" s="48"/>
      <c r="G788" s="47"/>
      <c r="H788" s="47"/>
      <c r="I788" s="47"/>
      <c r="J788" s="47"/>
      <c r="K788" s="47"/>
      <c r="L788" s="47"/>
      <c r="M788" s="47"/>
      <c r="N788" s="47"/>
      <c r="O788" s="47"/>
      <c r="P788" s="47"/>
      <c r="Q788" s="47"/>
      <c r="R788" s="47"/>
      <c r="S788" s="50"/>
      <c r="T788" s="51"/>
      <c r="U788" s="51"/>
      <c r="V788" s="51"/>
      <c r="W788" s="51"/>
      <c r="X788" s="51"/>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52"/>
      <c r="BH788" s="48"/>
      <c r="BI788" s="48"/>
      <c r="BJ788" s="48"/>
      <c r="BK788" s="48"/>
      <c r="BL788" s="48"/>
      <c r="BM788" s="48"/>
      <c r="BN788" s="48"/>
      <c r="BO788" s="48"/>
      <c r="BP788" s="48"/>
      <c r="BQ788" s="48"/>
    </row>
    <row r="789" ht="23.25" customHeight="1">
      <c r="A789" s="47"/>
      <c r="B789" s="47"/>
      <c r="C789" s="48"/>
      <c r="D789" s="48"/>
      <c r="E789" s="48"/>
      <c r="F789" s="48"/>
      <c r="G789" s="47"/>
      <c r="H789" s="47"/>
      <c r="I789" s="47"/>
      <c r="J789" s="47"/>
      <c r="K789" s="47"/>
      <c r="L789" s="47"/>
      <c r="M789" s="47"/>
      <c r="N789" s="47"/>
      <c r="O789" s="47"/>
      <c r="P789" s="47"/>
      <c r="Q789" s="47"/>
      <c r="R789" s="47"/>
      <c r="S789" s="50"/>
      <c r="T789" s="51"/>
      <c r="U789" s="51"/>
      <c r="V789" s="51"/>
      <c r="W789" s="51"/>
      <c r="X789" s="51"/>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52"/>
      <c r="BH789" s="48"/>
      <c r="BI789" s="48"/>
      <c r="BJ789" s="48"/>
      <c r="BK789" s="48"/>
      <c r="BL789" s="48"/>
      <c r="BM789" s="48"/>
      <c r="BN789" s="48"/>
      <c r="BO789" s="48"/>
      <c r="BP789" s="48"/>
      <c r="BQ789" s="48"/>
    </row>
    <row r="790" ht="23.25" customHeight="1">
      <c r="A790" s="47"/>
      <c r="B790" s="47"/>
      <c r="C790" s="48"/>
      <c r="D790" s="48"/>
      <c r="E790" s="48"/>
      <c r="F790" s="48"/>
      <c r="G790" s="47"/>
      <c r="H790" s="47"/>
      <c r="I790" s="47"/>
      <c r="J790" s="47"/>
      <c r="K790" s="47"/>
      <c r="L790" s="47"/>
      <c r="M790" s="47"/>
      <c r="N790" s="47"/>
      <c r="O790" s="47"/>
      <c r="P790" s="47"/>
      <c r="Q790" s="47"/>
      <c r="R790" s="47"/>
      <c r="S790" s="50"/>
      <c r="T790" s="51"/>
      <c r="U790" s="51"/>
      <c r="V790" s="51"/>
      <c r="W790" s="51"/>
      <c r="X790" s="51"/>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52"/>
      <c r="BH790" s="48"/>
      <c r="BI790" s="48"/>
      <c r="BJ790" s="48"/>
      <c r="BK790" s="48"/>
      <c r="BL790" s="48"/>
      <c r="BM790" s="48"/>
      <c r="BN790" s="48"/>
      <c r="BO790" s="48"/>
      <c r="BP790" s="48"/>
      <c r="BQ790" s="48"/>
    </row>
    <row r="791" ht="23.25" customHeight="1">
      <c r="A791" s="47"/>
      <c r="B791" s="47"/>
      <c r="C791" s="48"/>
      <c r="D791" s="48"/>
      <c r="E791" s="48"/>
      <c r="F791" s="48"/>
      <c r="G791" s="47"/>
      <c r="H791" s="47"/>
      <c r="I791" s="47"/>
      <c r="J791" s="47"/>
      <c r="K791" s="47"/>
      <c r="L791" s="47"/>
      <c r="M791" s="47"/>
      <c r="N791" s="47"/>
      <c r="O791" s="47"/>
      <c r="P791" s="47"/>
      <c r="Q791" s="47"/>
      <c r="R791" s="47"/>
      <c r="S791" s="50"/>
      <c r="T791" s="51"/>
      <c r="U791" s="51"/>
      <c r="V791" s="51"/>
      <c r="W791" s="51"/>
      <c r="X791" s="51"/>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52"/>
      <c r="BH791" s="48"/>
      <c r="BI791" s="48"/>
      <c r="BJ791" s="48"/>
      <c r="BK791" s="48"/>
      <c r="BL791" s="48"/>
      <c r="BM791" s="48"/>
      <c r="BN791" s="48"/>
      <c r="BO791" s="48"/>
      <c r="BP791" s="48"/>
      <c r="BQ791" s="48"/>
    </row>
    <row r="792" ht="23.25" customHeight="1">
      <c r="A792" s="47"/>
      <c r="B792" s="47"/>
      <c r="C792" s="48"/>
      <c r="D792" s="48"/>
      <c r="E792" s="48"/>
      <c r="F792" s="48"/>
      <c r="G792" s="47"/>
      <c r="H792" s="47"/>
      <c r="I792" s="47"/>
      <c r="J792" s="47"/>
      <c r="K792" s="47"/>
      <c r="L792" s="47"/>
      <c r="M792" s="47"/>
      <c r="N792" s="47"/>
      <c r="O792" s="47"/>
      <c r="P792" s="47"/>
      <c r="Q792" s="47"/>
      <c r="R792" s="47"/>
      <c r="S792" s="50"/>
      <c r="T792" s="51"/>
      <c r="U792" s="51"/>
      <c r="V792" s="51"/>
      <c r="W792" s="51"/>
      <c r="X792" s="51"/>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52"/>
      <c r="BH792" s="48"/>
      <c r="BI792" s="48"/>
      <c r="BJ792" s="48"/>
      <c r="BK792" s="48"/>
      <c r="BL792" s="48"/>
      <c r="BM792" s="48"/>
      <c r="BN792" s="48"/>
      <c r="BO792" s="48"/>
      <c r="BP792" s="48"/>
      <c r="BQ792" s="48"/>
    </row>
    <row r="793" ht="23.25" customHeight="1">
      <c r="A793" s="47"/>
      <c r="B793" s="47"/>
      <c r="C793" s="48"/>
      <c r="D793" s="48"/>
      <c r="E793" s="48"/>
      <c r="F793" s="48"/>
      <c r="G793" s="47"/>
      <c r="H793" s="47"/>
      <c r="I793" s="47"/>
      <c r="J793" s="47"/>
      <c r="K793" s="47"/>
      <c r="L793" s="47"/>
      <c r="M793" s="47"/>
      <c r="N793" s="47"/>
      <c r="O793" s="47"/>
      <c r="P793" s="47"/>
      <c r="Q793" s="47"/>
      <c r="R793" s="47"/>
      <c r="S793" s="50"/>
      <c r="T793" s="51"/>
      <c r="U793" s="51"/>
      <c r="V793" s="51"/>
      <c r="W793" s="51"/>
      <c r="X793" s="51"/>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52"/>
      <c r="BH793" s="48"/>
      <c r="BI793" s="48"/>
      <c r="BJ793" s="48"/>
      <c r="BK793" s="48"/>
      <c r="BL793" s="48"/>
      <c r="BM793" s="48"/>
      <c r="BN793" s="48"/>
      <c r="BO793" s="48"/>
      <c r="BP793" s="48"/>
      <c r="BQ793" s="48"/>
    </row>
    <row r="794" ht="23.25" customHeight="1">
      <c r="A794" s="47"/>
      <c r="B794" s="47"/>
      <c r="C794" s="48"/>
      <c r="D794" s="48"/>
      <c r="E794" s="48"/>
      <c r="F794" s="48"/>
      <c r="G794" s="47"/>
      <c r="H794" s="47"/>
      <c r="I794" s="47"/>
      <c r="J794" s="47"/>
      <c r="K794" s="47"/>
      <c r="L794" s="47"/>
      <c r="M794" s="47"/>
      <c r="N794" s="47"/>
      <c r="O794" s="47"/>
      <c r="P794" s="47"/>
      <c r="Q794" s="47"/>
      <c r="R794" s="47"/>
      <c r="S794" s="50"/>
      <c r="T794" s="51"/>
      <c r="U794" s="51"/>
      <c r="V794" s="51"/>
      <c r="W794" s="51"/>
      <c r="X794" s="51"/>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52"/>
      <c r="BH794" s="48"/>
      <c r="BI794" s="48"/>
      <c r="BJ794" s="48"/>
      <c r="BK794" s="48"/>
      <c r="BL794" s="48"/>
      <c r="BM794" s="48"/>
      <c r="BN794" s="48"/>
      <c r="BO794" s="48"/>
      <c r="BP794" s="48"/>
      <c r="BQ794" s="48"/>
    </row>
    <row r="795" ht="23.25" customHeight="1">
      <c r="A795" s="47"/>
      <c r="B795" s="47"/>
      <c r="C795" s="48"/>
      <c r="D795" s="48"/>
      <c r="E795" s="48"/>
      <c r="F795" s="48"/>
      <c r="G795" s="47"/>
      <c r="H795" s="47"/>
      <c r="I795" s="47"/>
      <c r="J795" s="47"/>
      <c r="K795" s="47"/>
      <c r="L795" s="47"/>
      <c r="M795" s="47"/>
      <c r="N795" s="47"/>
      <c r="O795" s="47"/>
      <c r="P795" s="47"/>
      <c r="Q795" s="47"/>
      <c r="R795" s="47"/>
      <c r="S795" s="50"/>
      <c r="T795" s="51"/>
      <c r="U795" s="51"/>
      <c r="V795" s="51"/>
      <c r="W795" s="51"/>
      <c r="X795" s="51"/>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52"/>
      <c r="BH795" s="48"/>
      <c r="BI795" s="48"/>
      <c r="BJ795" s="48"/>
      <c r="BK795" s="48"/>
      <c r="BL795" s="48"/>
      <c r="BM795" s="48"/>
      <c r="BN795" s="48"/>
      <c r="BO795" s="48"/>
      <c r="BP795" s="48"/>
      <c r="BQ795" s="48"/>
    </row>
    <row r="796" ht="23.25" customHeight="1">
      <c r="A796" s="47"/>
      <c r="B796" s="47"/>
      <c r="C796" s="48"/>
      <c r="D796" s="48"/>
      <c r="E796" s="48"/>
      <c r="F796" s="48"/>
      <c r="G796" s="47"/>
      <c r="H796" s="47"/>
      <c r="I796" s="47"/>
      <c r="J796" s="47"/>
      <c r="K796" s="47"/>
      <c r="L796" s="47"/>
      <c r="M796" s="47"/>
      <c r="N796" s="47"/>
      <c r="O796" s="47"/>
      <c r="P796" s="47"/>
      <c r="Q796" s="47"/>
      <c r="R796" s="47"/>
      <c r="S796" s="50"/>
      <c r="T796" s="51"/>
      <c r="U796" s="51"/>
      <c r="V796" s="51"/>
      <c r="W796" s="51"/>
      <c r="X796" s="51"/>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52"/>
      <c r="BH796" s="48"/>
      <c r="BI796" s="48"/>
      <c r="BJ796" s="48"/>
      <c r="BK796" s="48"/>
      <c r="BL796" s="48"/>
      <c r="BM796" s="48"/>
      <c r="BN796" s="48"/>
      <c r="BO796" s="48"/>
      <c r="BP796" s="48"/>
      <c r="BQ796" s="48"/>
    </row>
    <row r="797" ht="23.25" customHeight="1">
      <c r="A797" s="47"/>
      <c r="B797" s="47"/>
      <c r="C797" s="48"/>
      <c r="D797" s="48"/>
      <c r="E797" s="48"/>
      <c r="F797" s="48"/>
      <c r="G797" s="47"/>
      <c r="H797" s="47"/>
      <c r="I797" s="47"/>
      <c r="J797" s="47"/>
      <c r="K797" s="47"/>
      <c r="L797" s="47"/>
      <c r="M797" s="47"/>
      <c r="N797" s="47"/>
      <c r="O797" s="47"/>
      <c r="P797" s="47"/>
      <c r="Q797" s="47"/>
      <c r="R797" s="47"/>
      <c r="S797" s="50"/>
      <c r="T797" s="51"/>
      <c r="U797" s="51"/>
      <c r="V797" s="51"/>
      <c r="W797" s="51"/>
      <c r="X797" s="51"/>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52"/>
      <c r="BH797" s="48"/>
      <c r="BI797" s="48"/>
      <c r="BJ797" s="48"/>
      <c r="BK797" s="48"/>
      <c r="BL797" s="48"/>
      <c r="BM797" s="48"/>
      <c r="BN797" s="48"/>
      <c r="BO797" s="48"/>
      <c r="BP797" s="48"/>
      <c r="BQ797" s="48"/>
    </row>
    <row r="798" ht="23.25" customHeight="1">
      <c r="A798" s="47"/>
      <c r="B798" s="47"/>
      <c r="C798" s="48"/>
      <c r="D798" s="48"/>
      <c r="E798" s="48"/>
      <c r="F798" s="48"/>
      <c r="G798" s="47"/>
      <c r="H798" s="47"/>
      <c r="I798" s="47"/>
      <c r="J798" s="47"/>
      <c r="K798" s="47"/>
      <c r="L798" s="47"/>
      <c r="M798" s="47"/>
      <c r="N798" s="47"/>
      <c r="O798" s="47"/>
      <c r="P798" s="47"/>
      <c r="Q798" s="47"/>
      <c r="R798" s="47"/>
      <c r="S798" s="50"/>
      <c r="T798" s="51"/>
      <c r="U798" s="51"/>
      <c r="V798" s="51"/>
      <c r="W798" s="51"/>
      <c r="X798" s="51"/>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52"/>
      <c r="BH798" s="48"/>
      <c r="BI798" s="48"/>
      <c r="BJ798" s="48"/>
      <c r="BK798" s="48"/>
      <c r="BL798" s="48"/>
      <c r="BM798" s="48"/>
      <c r="BN798" s="48"/>
      <c r="BO798" s="48"/>
      <c r="BP798" s="48"/>
      <c r="BQ798" s="48"/>
    </row>
    <row r="799" ht="23.25" customHeight="1">
      <c r="A799" s="47"/>
      <c r="B799" s="47"/>
      <c r="C799" s="48"/>
      <c r="D799" s="48"/>
      <c r="E799" s="48"/>
      <c r="F799" s="48"/>
      <c r="G799" s="47"/>
      <c r="H799" s="47"/>
      <c r="I799" s="47"/>
      <c r="J799" s="47"/>
      <c r="K799" s="47"/>
      <c r="L799" s="47"/>
      <c r="M799" s="47"/>
      <c r="N799" s="47"/>
      <c r="O799" s="47"/>
      <c r="P799" s="47"/>
      <c r="Q799" s="47"/>
      <c r="R799" s="47"/>
      <c r="S799" s="50"/>
      <c r="T799" s="51"/>
      <c r="U799" s="51"/>
      <c r="V799" s="51"/>
      <c r="W799" s="51"/>
      <c r="X799" s="51"/>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52"/>
      <c r="BH799" s="48"/>
      <c r="BI799" s="48"/>
      <c r="BJ799" s="48"/>
      <c r="BK799" s="48"/>
      <c r="BL799" s="48"/>
      <c r="BM799" s="48"/>
      <c r="BN799" s="48"/>
      <c r="BO799" s="48"/>
      <c r="BP799" s="48"/>
      <c r="BQ799" s="48"/>
    </row>
    <row r="800" ht="23.25" customHeight="1">
      <c r="A800" s="47"/>
      <c r="B800" s="47"/>
      <c r="C800" s="48"/>
      <c r="D800" s="48"/>
      <c r="E800" s="48"/>
      <c r="F800" s="48"/>
      <c r="G800" s="47"/>
      <c r="H800" s="47"/>
      <c r="I800" s="47"/>
      <c r="J800" s="47"/>
      <c r="K800" s="47"/>
      <c r="L800" s="47"/>
      <c r="M800" s="47"/>
      <c r="N800" s="47"/>
      <c r="O800" s="47"/>
      <c r="P800" s="47"/>
      <c r="Q800" s="47"/>
      <c r="R800" s="47"/>
      <c r="S800" s="50"/>
      <c r="T800" s="51"/>
      <c r="U800" s="51"/>
      <c r="V800" s="51"/>
      <c r="W800" s="51"/>
      <c r="X800" s="51"/>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52"/>
      <c r="BH800" s="48"/>
      <c r="BI800" s="48"/>
      <c r="BJ800" s="48"/>
      <c r="BK800" s="48"/>
      <c r="BL800" s="48"/>
      <c r="BM800" s="48"/>
      <c r="BN800" s="48"/>
      <c r="BO800" s="48"/>
      <c r="BP800" s="48"/>
      <c r="BQ800" s="48"/>
    </row>
    <row r="801" ht="23.25" customHeight="1">
      <c r="A801" s="47"/>
      <c r="B801" s="47"/>
      <c r="C801" s="48"/>
      <c r="D801" s="48"/>
      <c r="E801" s="48"/>
      <c r="F801" s="48"/>
      <c r="G801" s="47"/>
      <c r="H801" s="47"/>
      <c r="I801" s="47"/>
      <c r="J801" s="47"/>
      <c r="K801" s="47"/>
      <c r="L801" s="47"/>
      <c r="M801" s="47"/>
      <c r="N801" s="47"/>
      <c r="O801" s="47"/>
      <c r="P801" s="47"/>
      <c r="Q801" s="47"/>
      <c r="R801" s="47"/>
      <c r="S801" s="50"/>
      <c r="T801" s="51"/>
      <c r="U801" s="51"/>
      <c r="V801" s="51"/>
      <c r="W801" s="51"/>
      <c r="X801" s="51"/>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52"/>
      <c r="BH801" s="48"/>
      <c r="BI801" s="48"/>
      <c r="BJ801" s="48"/>
      <c r="BK801" s="48"/>
      <c r="BL801" s="48"/>
      <c r="BM801" s="48"/>
      <c r="BN801" s="48"/>
      <c r="BO801" s="48"/>
      <c r="BP801" s="48"/>
      <c r="BQ801" s="48"/>
    </row>
    <row r="802" ht="23.25" customHeight="1">
      <c r="A802" s="47"/>
      <c r="B802" s="47"/>
      <c r="C802" s="48"/>
      <c r="D802" s="48"/>
      <c r="E802" s="48"/>
      <c r="F802" s="48"/>
      <c r="G802" s="47"/>
      <c r="H802" s="47"/>
      <c r="I802" s="47"/>
      <c r="J802" s="47"/>
      <c r="K802" s="47"/>
      <c r="L802" s="47"/>
      <c r="M802" s="47"/>
      <c r="N802" s="47"/>
      <c r="O802" s="47"/>
      <c r="P802" s="47"/>
      <c r="Q802" s="47"/>
      <c r="R802" s="47"/>
      <c r="S802" s="50"/>
      <c r="T802" s="51"/>
      <c r="U802" s="51"/>
      <c r="V802" s="51"/>
      <c r="W802" s="51"/>
      <c r="X802" s="51"/>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52"/>
      <c r="BH802" s="48"/>
      <c r="BI802" s="48"/>
      <c r="BJ802" s="48"/>
      <c r="BK802" s="48"/>
      <c r="BL802" s="48"/>
      <c r="BM802" s="48"/>
      <c r="BN802" s="48"/>
      <c r="BO802" s="48"/>
      <c r="BP802" s="48"/>
      <c r="BQ802" s="48"/>
    </row>
    <row r="803" ht="23.25" customHeight="1">
      <c r="A803" s="47"/>
      <c r="B803" s="47"/>
      <c r="C803" s="48"/>
      <c r="D803" s="48"/>
      <c r="E803" s="48"/>
      <c r="F803" s="48"/>
      <c r="G803" s="47"/>
      <c r="H803" s="47"/>
      <c r="I803" s="47"/>
      <c r="J803" s="47"/>
      <c r="K803" s="47"/>
      <c r="L803" s="47"/>
      <c r="M803" s="47"/>
      <c r="N803" s="47"/>
      <c r="O803" s="47"/>
      <c r="P803" s="47"/>
      <c r="Q803" s="47"/>
      <c r="R803" s="47"/>
      <c r="S803" s="50"/>
      <c r="T803" s="51"/>
      <c r="U803" s="51"/>
      <c r="V803" s="51"/>
      <c r="W803" s="51"/>
      <c r="X803" s="51"/>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52"/>
      <c r="BH803" s="48"/>
      <c r="BI803" s="48"/>
      <c r="BJ803" s="48"/>
      <c r="BK803" s="48"/>
      <c r="BL803" s="48"/>
      <c r="BM803" s="48"/>
      <c r="BN803" s="48"/>
      <c r="BO803" s="48"/>
      <c r="BP803" s="48"/>
      <c r="BQ803" s="48"/>
    </row>
    <row r="804" ht="23.25" customHeight="1">
      <c r="A804" s="47"/>
      <c r="B804" s="47"/>
      <c r="C804" s="48"/>
      <c r="D804" s="48"/>
      <c r="E804" s="48"/>
      <c r="F804" s="48"/>
      <c r="G804" s="47"/>
      <c r="H804" s="47"/>
      <c r="I804" s="47"/>
      <c r="J804" s="47"/>
      <c r="K804" s="47"/>
      <c r="L804" s="47"/>
      <c r="M804" s="47"/>
      <c r="N804" s="47"/>
      <c r="O804" s="47"/>
      <c r="P804" s="47"/>
      <c r="Q804" s="47"/>
      <c r="R804" s="47"/>
      <c r="S804" s="50"/>
      <c r="T804" s="51"/>
      <c r="U804" s="51"/>
      <c r="V804" s="51"/>
      <c r="W804" s="51"/>
      <c r="X804" s="51"/>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52"/>
      <c r="BH804" s="48"/>
      <c r="BI804" s="48"/>
      <c r="BJ804" s="48"/>
      <c r="BK804" s="48"/>
      <c r="BL804" s="48"/>
      <c r="BM804" s="48"/>
      <c r="BN804" s="48"/>
      <c r="BO804" s="48"/>
      <c r="BP804" s="48"/>
      <c r="BQ804" s="48"/>
    </row>
    <row r="805" ht="23.25" customHeight="1">
      <c r="A805" s="47"/>
      <c r="B805" s="47"/>
      <c r="C805" s="48"/>
      <c r="D805" s="48"/>
      <c r="E805" s="48"/>
      <c r="F805" s="48"/>
      <c r="G805" s="47"/>
      <c r="H805" s="47"/>
      <c r="I805" s="47"/>
      <c r="J805" s="47"/>
      <c r="K805" s="47"/>
      <c r="L805" s="47"/>
      <c r="M805" s="47"/>
      <c r="N805" s="47"/>
      <c r="O805" s="47"/>
      <c r="P805" s="47"/>
      <c r="Q805" s="47"/>
      <c r="R805" s="47"/>
      <c r="S805" s="50"/>
      <c r="T805" s="51"/>
      <c r="U805" s="51"/>
      <c r="V805" s="51"/>
      <c r="W805" s="51"/>
      <c r="X805" s="51"/>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52"/>
      <c r="BH805" s="48"/>
      <c r="BI805" s="48"/>
      <c r="BJ805" s="48"/>
      <c r="BK805" s="48"/>
      <c r="BL805" s="48"/>
      <c r="BM805" s="48"/>
      <c r="BN805" s="48"/>
      <c r="BO805" s="48"/>
      <c r="BP805" s="48"/>
      <c r="BQ805" s="48"/>
    </row>
    <row r="806" ht="23.25" customHeight="1">
      <c r="A806" s="47"/>
      <c r="B806" s="47"/>
      <c r="C806" s="48"/>
      <c r="D806" s="48"/>
      <c r="E806" s="48"/>
      <c r="F806" s="48"/>
      <c r="G806" s="47"/>
      <c r="H806" s="47"/>
      <c r="I806" s="47"/>
      <c r="J806" s="47"/>
      <c r="K806" s="47"/>
      <c r="L806" s="47"/>
      <c r="M806" s="47"/>
      <c r="N806" s="47"/>
      <c r="O806" s="47"/>
      <c r="P806" s="47"/>
      <c r="Q806" s="47"/>
      <c r="R806" s="47"/>
      <c r="S806" s="50"/>
      <c r="T806" s="51"/>
      <c r="U806" s="51"/>
      <c r="V806" s="51"/>
      <c r="W806" s="51"/>
      <c r="X806" s="51"/>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52"/>
      <c r="BH806" s="48"/>
      <c r="BI806" s="48"/>
      <c r="BJ806" s="48"/>
      <c r="BK806" s="48"/>
      <c r="BL806" s="48"/>
      <c r="BM806" s="48"/>
      <c r="BN806" s="48"/>
      <c r="BO806" s="48"/>
      <c r="BP806" s="48"/>
      <c r="BQ806" s="48"/>
    </row>
    <row r="807" ht="23.25" customHeight="1">
      <c r="A807" s="47"/>
      <c r="B807" s="47"/>
      <c r="C807" s="48"/>
      <c r="D807" s="48"/>
      <c r="E807" s="48"/>
      <c r="F807" s="48"/>
      <c r="G807" s="47"/>
      <c r="H807" s="47"/>
      <c r="I807" s="47"/>
      <c r="J807" s="47"/>
      <c r="K807" s="47"/>
      <c r="L807" s="47"/>
      <c r="M807" s="47"/>
      <c r="N807" s="47"/>
      <c r="O807" s="47"/>
      <c r="P807" s="47"/>
      <c r="Q807" s="47"/>
      <c r="R807" s="47"/>
      <c r="S807" s="50"/>
      <c r="T807" s="51"/>
      <c r="U807" s="51"/>
      <c r="V807" s="51"/>
      <c r="W807" s="51"/>
      <c r="X807" s="51"/>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52"/>
      <c r="BH807" s="48"/>
      <c r="BI807" s="48"/>
      <c r="BJ807" s="48"/>
      <c r="BK807" s="48"/>
      <c r="BL807" s="48"/>
      <c r="BM807" s="48"/>
      <c r="BN807" s="48"/>
      <c r="BO807" s="48"/>
      <c r="BP807" s="48"/>
      <c r="BQ807" s="48"/>
    </row>
    <row r="808" ht="23.25" customHeight="1">
      <c r="A808" s="47"/>
      <c r="B808" s="47"/>
      <c r="C808" s="48"/>
      <c r="D808" s="48"/>
      <c r="E808" s="48"/>
      <c r="F808" s="48"/>
      <c r="G808" s="47"/>
      <c r="H808" s="47"/>
      <c r="I808" s="47"/>
      <c r="J808" s="47"/>
      <c r="K808" s="47"/>
      <c r="L808" s="47"/>
      <c r="M808" s="47"/>
      <c r="N808" s="47"/>
      <c r="O808" s="47"/>
      <c r="P808" s="47"/>
      <c r="Q808" s="47"/>
      <c r="R808" s="47"/>
      <c r="S808" s="50"/>
      <c r="T808" s="51"/>
      <c r="U808" s="51"/>
      <c r="V808" s="51"/>
      <c r="W808" s="51"/>
      <c r="X808" s="51"/>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52"/>
      <c r="BH808" s="48"/>
      <c r="BI808" s="48"/>
      <c r="BJ808" s="48"/>
      <c r="BK808" s="48"/>
      <c r="BL808" s="48"/>
      <c r="BM808" s="48"/>
      <c r="BN808" s="48"/>
      <c r="BO808" s="48"/>
      <c r="BP808" s="48"/>
      <c r="BQ808" s="48"/>
    </row>
    <row r="809" ht="23.25" customHeight="1">
      <c r="A809" s="47"/>
      <c r="B809" s="47"/>
      <c r="C809" s="48"/>
      <c r="D809" s="48"/>
      <c r="E809" s="48"/>
      <c r="F809" s="48"/>
      <c r="G809" s="47"/>
      <c r="H809" s="47"/>
      <c r="I809" s="47"/>
      <c r="J809" s="47"/>
      <c r="K809" s="47"/>
      <c r="L809" s="47"/>
      <c r="M809" s="47"/>
      <c r="N809" s="47"/>
      <c r="O809" s="47"/>
      <c r="P809" s="47"/>
      <c r="Q809" s="47"/>
      <c r="R809" s="47"/>
      <c r="S809" s="50"/>
      <c r="T809" s="51"/>
      <c r="U809" s="51"/>
      <c r="V809" s="51"/>
      <c r="W809" s="51"/>
      <c r="X809" s="51"/>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52"/>
      <c r="BH809" s="48"/>
      <c r="BI809" s="48"/>
      <c r="BJ809" s="48"/>
      <c r="BK809" s="48"/>
      <c r="BL809" s="48"/>
      <c r="BM809" s="48"/>
      <c r="BN809" s="48"/>
      <c r="BO809" s="48"/>
      <c r="BP809" s="48"/>
      <c r="BQ809" s="48"/>
    </row>
    <row r="810" ht="23.25" customHeight="1">
      <c r="A810" s="47"/>
      <c r="B810" s="47"/>
      <c r="C810" s="48"/>
      <c r="D810" s="48"/>
      <c r="E810" s="48"/>
      <c r="F810" s="48"/>
      <c r="G810" s="47"/>
      <c r="H810" s="47"/>
      <c r="I810" s="47"/>
      <c r="J810" s="47"/>
      <c r="K810" s="47"/>
      <c r="L810" s="47"/>
      <c r="M810" s="47"/>
      <c r="N810" s="47"/>
      <c r="O810" s="47"/>
      <c r="P810" s="47"/>
      <c r="Q810" s="47"/>
      <c r="R810" s="47"/>
      <c r="S810" s="50"/>
      <c r="T810" s="51"/>
      <c r="U810" s="51"/>
      <c r="V810" s="51"/>
      <c r="W810" s="51"/>
      <c r="X810" s="51"/>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52"/>
      <c r="BH810" s="48"/>
      <c r="BI810" s="48"/>
      <c r="BJ810" s="48"/>
      <c r="BK810" s="48"/>
      <c r="BL810" s="48"/>
      <c r="BM810" s="48"/>
      <c r="BN810" s="48"/>
      <c r="BO810" s="48"/>
      <c r="BP810" s="48"/>
      <c r="BQ810" s="48"/>
    </row>
    <row r="811" ht="23.25" customHeight="1">
      <c r="A811" s="47"/>
      <c r="B811" s="47"/>
      <c r="C811" s="48"/>
      <c r="D811" s="48"/>
      <c r="E811" s="48"/>
      <c r="F811" s="48"/>
      <c r="G811" s="47"/>
      <c r="H811" s="47"/>
      <c r="I811" s="47"/>
      <c r="J811" s="47"/>
      <c r="K811" s="47"/>
      <c r="L811" s="47"/>
      <c r="M811" s="47"/>
      <c r="N811" s="47"/>
      <c r="O811" s="47"/>
      <c r="P811" s="47"/>
      <c r="Q811" s="47"/>
      <c r="R811" s="47"/>
      <c r="S811" s="50"/>
      <c r="T811" s="51"/>
      <c r="U811" s="51"/>
      <c r="V811" s="51"/>
      <c r="W811" s="51"/>
      <c r="X811" s="51"/>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52"/>
      <c r="BH811" s="48"/>
      <c r="BI811" s="48"/>
      <c r="BJ811" s="48"/>
      <c r="BK811" s="48"/>
      <c r="BL811" s="48"/>
      <c r="BM811" s="48"/>
      <c r="BN811" s="48"/>
      <c r="BO811" s="48"/>
      <c r="BP811" s="48"/>
      <c r="BQ811" s="48"/>
    </row>
    <row r="812" ht="23.25" customHeight="1">
      <c r="A812" s="47"/>
      <c r="B812" s="47"/>
      <c r="C812" s="48"/>
      <c r="D812" s="48"/>
      <c r="E812" s="48"/>
      <c r="F812" s="48"/>
      <c r="G812" s="47"/>
      <c r="H812" s="47"/>
      <c r="I812" s="47"/>
      <c r="J812" s="47"/>
      <c r="K812" s="47"/>
      <c r="L812" s="47"/>
      <c r="M812" s="47"/>
      <c r="N812" s="47"/>
      <c r="O812" s="47"/>
      <c r="P812" s="47"/>
      <c r="Q812" s="47"/>
      <c r="R812" s="47"/>
      <c r="S812" s="50"/>
      <c r="T812" s="51"/>
      <c r="U812" s="51"/>
      <c r="V812" s="51"/>
      <c r="W812" s="51"/>
      <c r="X812" s="51"/>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52"/>
      <c r="BH812" s="48"/>
      <c r="BI812" s="48"/>
      <c r="BJ812" s="48"/>
      <c r="BK812" s="48"/>
      <c r="BL812" s="48"/>
      <c r="BM812" s="48"/>
      <c r="BN812" s="48"/>
      <c r="BO812" s="48"/>
      <c r="BP812" s="48"/>
      <c r="BQ812" s="48"/>
    </row>
    <row r="813" ht="23.25" customHeight="1">
      <c r="A813" s="47"/>
      <c r="B813" s="47"/>
      <c r="C813" s="48"/>
      <c r="D813" s="48"/>
      <c r="E813" s="48"/>
      <c r="F813" s="48"/>
      <c r="G813" s="47"/>
      <c r="H813" s="47"/>
      <c r="I813" s="47"/>
      <c r="J813" s="47"/>
      <c r="K813" s="47"/>
      <c r="L813" s="47"/>
      <c r="M813" s="47"/>
      <c r="N813" s="47"/>
      <c r="O813" s="47"/>
      <c r="P813" s="47"/>
      <c r="Q813" s="47"/>
      <c r="R813" s="47"/>
      <c r="S813" s="50"/>
      <c r="T813" s="51"/>
      <c r="U813" s="51"/>
      <c r="V813" s="51"/>
      <c r="W813" s="51"/>
      <c r="X813" s="51"/>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52"/>
      <c r="BH813" s="48"/>
      <c r="BI813" s="48"/>
      <c r="BJ813" s="48"/>
      <c r="BK813" s="48"/>
      <c r="BL813" s="48"/>
      <c r="BM813" s="48"/>
      <c r="BN813" s="48"/>
      <c r="BO813" s="48"/>
      <c r="BP813" s="48"/>
      <c r="BQ813" s="48"/>
    </row>
    <row r="814" ht="23.25" customHeight="1">
      <c r="A814" s="47"/>
      <c r="B814" s="47"/>
      <c r="C814" s="48"/>
      <c r="D814" s="48"/>
      <c r="E814" s="48"/>
      <c r="F814" s="48"/>
      <c r="G814" s="47"/>
      <c r="H814" s="47"/>
      <c r="I814" s="47"/>
      <c r="J814" s="47"/>
      <c r="K814" s="47"/>
      <c r="L814" s="47"/>
      <c r="M814" s="47"/>
      <c r="N814" s="47"/>
      <c r="O814" s="47"/>
      <c r="P814" s="47"/>
      <c r="Q814" s="47"/>
      <c r="R814" s="47"/>
      <c r="S814" s="50"/>
      <c r="T814" s="51"/>
      <c r="U814" s="51"/>
      <c r="V814" s="51"/>
      <c r="W814" s="51"/>
      <c r="X814" s="51"/>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52"/>
      <c r="BH814" s="48"/>
      <c r="BI814" s="48"/>
      <c r="BJ814" s="48"/>
      <c r="BK814" s="48"/>
      <c r="BL814" s="48"/>
      <c r="BM814" s="48"/>
      <c r="BN814" s="48"/>
      <c r="BO814" s="48"/>
      <c r="BP814" s="48"/>
      <c r="BQ814" s="48"/>
    </row>
    <row r="815" ht="23.25" customHeight="1">
      <c r="A815" s="47"/>
      <c r="B815" s="47"/>
      <c r="C815" s="48"/>
      <c r="D815" s="48"/>
      <c r="E815" s="48"/>
      <c r="F815" s="48"/>
      <c r="G815" s="47"/>
      <c r="H815" s="47"/>
      <c r="I815" s="47"/>
      <c r="J815" s="47"/>
      <c r="K815" s="47"/>
      <c r="L815" s="47"/>
      <c r="M815" s="47"/>
      <c r="N815" s="47"/>
      <c r="O815" s="47"/>
      <c r="P815" s="47"/>
      <c r="Q815" s="47"/>
      <c r="R815" s="47"/>
      <c r="S815" s="50"/>
      <c r="T815" s="51"/>
      <c r="U815" s="51"/>
      <c r="V815" s="51"/>
      <c r="W815" s="51"/>
      <c r="X815" s="51"/>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52"/>
      <c r="BH815" s="48"/>
      <c r="BI815" s="48"/>
      <c r="BJ815" s="48"/>
      <c r="BK815" s="48"/>
      <c r="BL815" s="48"/>
      <c r="BM815" s="48"/>
      <c r="BN815" s="48"/>
      <c r="BO815" s="48"/>
      <c r="BP815" s="48"/>
      <c r="BQ815" s="48"/>
    </row>
    <row r="816" ht="23.25" customHeight="1">
      <c r="A816" s="47"/>
      <c r="B816" s="47"/>
      <c r="C816" s="48"/>
      <c r="D816" s="48"/>
      <c r="E816" s="48"/>
      <c r="F816" s="48"/>
      <c r="G816" s="47"/>
      <c r="H816" s="47"/>
      <c r="I816" s="47"/>
      <c r="J816" s="47"/>
      <c r="K816" s="47"/>
      <c r="L816" s="47"/>
      <c r="M816" s="47"/>
      <c r="N816" s="47"/>
      <c r="O816" s="47"/>
      <c r="P816" s="47"/>
      <c r="Q816" s="47"/>
      <c r="R816" s="47"/>
      <c r="S816" s="50"/>
      <c r="T816" s="51"/>
      <c r="U816" s="51"/>
      <c r="V816" s="51"/>
      <c r="W816" s="51"/>
      <c r="X816" s="51"/>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52"/>
      <c r="BH816" s="48"/>
      <c r="BI816" s="48"/>
      <c r="BJ816" s="48"/>
      <c r="BK816" s="48"/>
      <c r="BL816" s="48"/>
      <c r="BM816" s="48"/>
      <c r="BN816" s="48"/>
      <c r="BO816" s="48"/>
      <c r="BP816" s="48"/>
      <c r="BQ816" s="48"/>
    </row>
    <row r="817" ht="23.25" customHeight="1">
      <c r="A817" s="47"/>
      <c r="B817" s="47"/>
      <c r="C817" s="48"/>
      <c r="D817" s="48"/>
      <c r="E817" s="48"/>
      <c r="F817" s="48"/>
      <c r="G817" s="47"/>
      <c r="H817" s="47"/>
      <c r="I817" s="47"/>
      <c r="J817" s="47"/>
      <c r="K817" s="47"/>
      <c r="L817" s="47"/>
      <c r="M817" s="47"/>
      <c r="N817" s="47"/>
      <c r="O817" s="47"/>
      <c r="P817" s="47"/>
      <c r="Q817" s="47"/>
      <c r="R817" s="47"/>
      <c r="S817" s="50"/>
      <c r="T817" s="51"/>
      <c r="U817" s="51"/>
      <c r="V817" s="51"/>
      <c r="W817" s="51"/>
      <c r="X817" s="51"/>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52"/>
      <c r="BH817" s="48"/>
      <c r="BI817" s="48"/>
      <c r="BJ817" s="48"/>
      <c r="BK817" s="48"/>
      <c r="BL817" s="48"/>
      <c r="BM817" s="48"/>
      <c r="BN817" s="48"/>
      <c r="BO817" s="48"/>
      <c r="BP817" s="48"/>
      <c r="BQ817" s="48"/>
    </row>
    <row r="818" ht="23.25" customHeight="1">
      <c r="A818" s="47"/>
      <c r="B818" s="47"/>
      <c r="C818" s="48"/>
      <c r="D818" s="48"/>
      <c r="E818" s="48"/>
      <c r="F818" s="48"/>
      <c r="G818" s="47"/>
      <c r="H818" s="47"/>
      <c r="I818" s="47"/>
      <c r="J818" s="47"/>
      <c r="K818" s="47"/>
      <c r="L818" s="47"/>
      <c r="M818" s="47"/>
      <c r="N818" s="47"/>
      <c r="O818" s="47"/>
      <c r="P818" s="47"/>
      <c r="Q818" s="47"/>
      <c r="R818" s="47"/>
      <c r="S818" s="50"/>
      <c r="T818" s="51"/>
      <c r="U818" s="51"/>
      <c r="V818" s="51"/>
      <c r="W818" s="51"/>
      <c r="X818" s="51"/>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52"/>
      <c r="BH818" s="48"/>
      <c r="BI818" s="48"/>
      <c r="BJ818" s="48"/>
      <c r="BK818" s="48"/>
      <c r="BL818" s="48"/>
      <c r="BM818" s="48"/>
      <c r="BN818" s="48"/>
      <c r="BO818" s="48"/>
      <c r="BP818" s="48"/>
      <c r="BQ818" s="48"/>
    </row>
    <row r="819" ht="23.25" customHeight="1">
      <c r="A819" s="47"/>
      <c r="B819" s="47"/>
      <c r="C819" s="48"/>
      <c r="D819" s="48"/>
      <c r="E819" s="48"/>
      <c r="F819" s="48"/>
      <c r="G819" s="47"/>
      <c r="H819" s="47"/>
      <c r="I819" s="47"/>
      <c r="J819" s="47"/>
      <c r="K819" s="47"/>
      <c r="L819" s="47"/>
      <c r="M819" s="47"/>
      <c r="N819" s="47"/>
      <c r="O819" s="47"/>
      <c r="P819" s="47"/>
      <c r="Q819" s="47"/>
      <c r="R819" s="47"/>
      <c r="S819" s="50"/>
      <c r="T819" s="51"/>
      <c r="U819" s="51"/>
      <c r="V819" s="51"/>
      <c r="W819" s="51"/>
      <c r="X819" s="51"/>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52"/>
      <c r="BH819" s="48"/>
      <c r="BI819" s="48"/>
      <c r="BJ819" s="48"/>
      <c r="BK819" s="48"/>
      <c r="BL819" s="48"/>
      <c r="BM819" s="48"/>
      <c r="BN819" s="48"/>
      <c r="BO819" s="48"/>
      <c r="BP819" s="48"/>
      <c r="BQ819" s="48"/>
    </row>
    <row r="820" ht="23.25" customHeight="1">
      <c r="A820" s="47"/>
      <c r="B820" s="47"/>
      <c r="C820" s="48"/>
      <c r="D820" s="48"/>
      <c r="E820" s="48"/>
      <c r="F820" s="48"/>
      <c r="G820" s="47"/>
      <c r="H820" s="47"/>
      <c r="I820" s="47"/>
      <c r="J820" s="47"/>
      <c r="K820" s="47"/>
      <c r="L820" s="47"/>
      <c r="M820" s="47"/>
      <c r="N820" s="47"/>
      <c r="O820" s="47"/>
      <c r="P820" s="47"/>
      <c r="Q820" s="47"/>
      <c r="R820" s="47"/>
      <c r="S820" s="50"/>
      <c r="T820" s="51"/>
      <c r="U820" s="51"/>
      <c r="V820" s="51"/>
      <c r="W820" s="51"/>
      <c r="X820" s="51"/>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52"/>
      <c r="BH820" s="48"/>
      <c r="BI820" s="48"/>
      <c r="BJ820" s="48"/>
      <c r="BK820" s="48"/>
      <c r="BL820" s="48"/>
      <c r="BM820" s="48"/>
      <c r="BN820" s="48"/>
      <c r="BO820" s="48"/>
      <c r="BP820" s="48"/>
      <c r="BQ820" s="48"/>
    </row>
    <row r="821" ht="23.25" customHeight="1">
      <c r="A821" s="47"/>
      <c r="B821" s="47"/>
      <c r="C821" s="48"/>
      <c r="D821" s="48"/>
      <c r="E821" s="48"/>
      <c r="F821" s="48"/>
      <c r="G821" s="47"/>
      <c r="H821" s="47"/>
      <c r="I821" s="47"/>
      <c r="J821" s="47"/>
      <c r="K821" s="47"/>
      <c r="L821" s="47"/>
      <c r="M821" s="47"/>
      <c r="N821" s="47"/>
      <c r="O821" s="47"/>
      <c r="P821" s="47"/>
      <c r="Q821" s="47"/>
      <c r="R821" s="47"/>
      <c r="S821" s="50"/>
      <c r="T821" s="51"/>
      <c r="U821" s="51"/>
      <c r="V821" s="51"/>
      <c r="W821" s="51"/>
      <c r="X821" s="51"/>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52"/>
      <c r="BH821" s="48"/>
      <c r="BI821" s="48"/>
      <c r="BJ821" s="48"/>
      <c r="BK821" s="48"/>
      <c r="BL821" s="48"/>
      <c r="BM821" s="48"/>
      <c r="BN821" s="48"/>
      <c r="BO821" s="48"/>
      <c r="BP821" s="48"/>
      <c r="BQ821" s="48"/>
    </row>
    <row r="822" ht="23.25" customHeight="1">
      <c r="A822" s="47"/>
      <c r="B822" s="47"/>
      <c r="C822" s="48"/>
      <c r="D822" s="48"/>
      <c r="E822" s="48"/>
      <c r="F822" s="48"/>
      <c r="G822" s="47"/>
      <c r="H822" s="47"/>
      <c r="I822" s="47"/>
      <c r="J822" s="47"/>
      <c r="K822" s="47"/>
      <c r="L822" s="47"/>
      <c r="M822" s="47"/>
      <c r="N822" s="47"/>
      <c r="O822" s="47"/>
      <c r="P822" s="47"/>
      <c r="Q822" s="47"/>
      <c r="R822" s="47"/>
      <c r="S822" s="50"/>
      <c r="T822" s="51"/>
      <c r="U822" s="51"/>
      <c r="V822" s="51"/>
      <c r="W822" s="51"/>
      <c r="X822" s="51"/>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52"/>
      <c r="BH822" s="48"/>
      <c r="BI822" s="48"/>
      <c r="BJ822" s="48"/>
      <c r="BK822" s="48"/>
      <c r="BL822" s="48"/>
      <c r="BM822" s="48"/>
      <c r="BN822" s="48"/>
      <c r="BO822" s="48"/>
      <c r="BP822" s="48"/>
      <c r="BQ822" s="48"/>
    </row>
    <row r="823" ht="23.25" customHeight="1">
      <c r="A823" s="47"/>
      <c r="B823" s="47"/>
      <c r="C823" s="48"/>
      <c r="D823" s="48"/>
      <c r="E823" s="48"/>
      <c r="F823" s="48"/>
      <c r="G823" s="47"/>
      <c r="H823" s="47"/>
      <c r="I823" s="47"/>
      <c r="J823" s="47"/>
      <c r="K823" s="47"/>
      <c r="L823" s="47"/>
      <c r="M823" s="47"/>
      <c r="N823" s="47"/>
      <c r="O823" s="47"/>
      <c r="P823" s="47"/>
      <c r="Q823" s="47"/>
      <c r="R823" s="47"/>
      <c r="S823" s="50"/>
      <c r="T823" s="51"/>
      <c r="U823" s="51"/>
      <c r="V823" s="51"/>
      <c r="W823" s="51"/>
      <c r="X823" s="51"/>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52"/>
      <c r="BH823" s="48"/>
      <c r="BI823" s="48"/>
      <c r="BJ823" s="48"/>
      <c r="BK823" s="48"/>
      <c r="BL823" s="48"/>
      <c r="BM823" s="48"/>
      <c r="BN823" s="48"/>
      <c r="BO823" s="48"/>
      <c r="BP823" s="48"/>
      <c r="BQ823" s="48"/>
    </row>
    <row r="824" ht="23.25" customHeight="1">
      <c r="A824" s="47"/>
      <c r="B824" s="47"/>
      <c r="C824" s="48"/>
      <c r="D824" s="48"/>
      <c r="E824" s="48"/>
      <c r="F824" s="48"/>
      <c r="G824" s="47"/>
      <c r="H824" s="47"/>
      <c r="I824" s="47"/>
      <c r="J824" s="47"/>
      <c r="K824" s="47"/>
      <c r="L824" s="47"/>
      <c r="M824" s="47"/>
      <c r="N824" s="47"/>
      <c r="O824" s="47"/>
      <c r="P824" s="47"/>
      <c r="Q824" s="47"/>
      <c r="R824" s="47"/>
      <c r="S824" s="50"/>
      <c r="T824" s="51"/>
      <c r="U824" s="51"/>
      <c r="V824" s="51"/>
      <c r="W824" s="51"/>
      <c r="X824" s="51"/>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52"/>
      <c r="BH824" s="48"/>
      <c r="BI824" s="48"/>
      <c r="BJ824" s="48"/>
      <c r="BK824" s="48"/>
      <c r="BL824" s="48"/>
      <c r="BM824" s="48"/>
      <c r="BN824" s="48"/>
      <c r="BO824" s="48"/>
      <c r="BP824" s="48"/>
      <c r="BQ824" s="48"/>
    </row>
    <row r="825" ht="23.25" customHeight="1">
      <c r="A825" s="47"/>
      <c r="B825" s="47"/>
      <c r="C825" s="48"/>
      <c r="D825" s="48"/>
      <c r="E825" s="48"/>
      <c r="F825" s="48"/>
      <c r="G825" s="47"/>
      <c r="H825" s="47"/>
      <c r="I825" s="47"/>
      <c r="J825" s="47"/>
      <c r="K825" s="47"/>
      <c r="L825" s="47"/>
      <c r="M825" s="47"/>
      <c r="N825" s="47"/>
      <c r="O825" s="47"/>
      <c r="P825" s="47"/>
      <c r="Q825" s="47"/>
      <c r="R825" s="47"/>
      <c r="S825" s="50"/>
      <c r="T825" s="51"/>
      <c r="U825" s="51"/>
      <c r="V825" s="51"/>
      <c r="W825" s="51"/>
      <c r="X825" s="51"/>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52"/>
      <c r="BH825" s="48"/>
      <c r="BI825" s="48"/>
      <c r="BJ825" s="48"/>
      <c r="BK825" s="48"/>
      <c r="BL825" s="48"/>
      <c r="BM825" s="48"/>
      <c r="BN825" s="48"/>
      <c r="BO825" s="48"/>
      <c r="BP825" s="48"/>
      <c r="BQ825" s="48"/>
    </row>
    <row r="826" ht="23.25" customHeight="1">
      <c r="A826" s="47"/>
      <c r="B826" s="47"/>
      <c r="C826" s="48"/>
      <c r="D826" s="48"/>
      <c r="E826" s="48"/>
      <c r="F826" s="48"/>
      <c r="G826" s="47"/>
      <c r="H826" s="47"/>
      <c r="I826" s="47"/>
      <c r="J826" s="47"/>
      <c r="K826" s="47"/>
      <c r="L826" s="47"/>
      <c r="M826" s="47"/>
      <c r="N826" s="47"/>
      <c r="O826" s="47"/>
      <c r="P826" s="47"/>
      <c r="Q826" s="47"/>
      <c r="R826" s="47"/>
      <c r="S826" s="50"/>
      <c r="T826" s="51"/>
      <c r="U826" s="51"/>
      <c r="V826" s="51"/>
      <c r="W826" s="51"/>
      <c r="X826" s="51"/>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52"/>
      <c r="BH826" s="48"/>
      <c r="BI826" s="48"/>
      <c r="BJ826" s="48"/>
      <c r="BK826" s="48"/>
      <c r="BL826" s="48"/>
      <c r="BM826" s="48"/>
      <c r="BN826" s="48"/>
      <c r="BO826" s="48"/>
      <c r="BP826" s="48"/>
      <c r="BQ826" s="48"/>
    </row>
    <row r="827" ht="23.25" customHeight="1">
      <c r="A827" s="47"/>
      <c r="B827" s="47"/>
      <c r="C827" s="48"/>
      <c r="D827" s="48"/>
      <c r="E827" s="48"/>
      <c r="F827" s="48"/>
      <c r="G827" s="47"/>
      <c r="H827" s="47"/>
      <c r="I827" s="47"/>
      <c r="J827" s="47"/>
      <c r="K827" s="47"/>
      <c r="L827" s="47"/>
      <c r="M827" s="47"/>
      <c r="N827" s="47"/>
      <c r="O827" s="47"/>
      <c r="P827" s="47"/>
      <c r="Q827" s="47"/>
      <c r="R827" s="47"/>
      <c r="S827" s="50"/>
      <c r="T827" s="51"/>
      <c r="U827" s="51"/>
      <c r="V827" s="51"/>
      <c r="W827" s="51"/>
      <c r="X827" s="51"/>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52"/>
      <c r="BH827" s="48"/>
      <c r="BI827" s="48"/>
      <c r="BJ827" s="48"/>
      <c r="BK827" s="48"/>
      <c r="BL827" s="48"/>
      <c r="BM827" s="48"/>
      <c r="BN827" s="48"/>
      <c r="BO827" s="48"/>
      <c r="BP827" s="48"/>
      <c r="BQ827" s="48"/>
    </row>
    <row r="828" ht="23.25" customHeight="1">
      <c r="A828" s="47"/>
      <c r="B828" s="47"/>
      <c r="C828" s="48"/>
      <c r="D828" s="48"/>
      <c r="E828" s="48"/>
      <c r="F828" s="48"/>
      <c r="G828" s="47"/>
      <c r="H828" s="47"/>
      <c r="I828" s="47"/>
      <c r="J828" s="47"/>
      <c r="K828" s="47"/>
      <c r="L828" s="47"/>
      <c r="M828" s="47"/>
      <c r="N828" s="47"/>
      <c r="O828" s="47"/>
      <c r="P828" s="47"/>
      <c r="Q828" s="47"/>
      <c r="R828" s="47"/>
      <c r="S828" s="50"/>
      <c r="T828" s="51"/>
      <c r="U828" s="51"/>
      <c r="V828" s="51"/>
      <c r="W828" s="51"/>
      <c r="X828" s="51"/>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52"/>
      <c r="BH828" s="48"/>
      <c r="BI828" s="48"/>
      <c r="BJ828" s="48"/>
      <c r="BK828" s="48"/>
      <c r="BL828" s="48"/>
      <c r="BM828" s="48"/>
      <c r="BN828" s="48"/>
      <c r="BO828" s="48"/>
      <c r="BP828" s="48"/>
      <c r="BQ828" s="48"/>
    </row>
    <row r="829" ht="23.25" customHeight="1">
      <c r="A829" s="47"/>
      <c r="B829" s="47"/>
      <c r="C829" s="48"/>
      <c r="D829" s="48"/>
      <c r="E829" s="48"/>
      <c r="F829" s="48"/>
      <c r="G829" s="47"/>
      <c r="H829" s="47"/>
      <c r="I829" s="47"/>
      <c r="J829" s="47"/>
      <c r="K829" s="47"/>
      <c r="L829" s="47"/>
      <c r="M829" s="47"/>
      <c r="N829" s="47"/>
      <c r="O829" s="47"/>
      <c r="P829" s="47"/>
      <c r="Q829" s="47"/>
      <c r="R829" s="47"/>
      <c r="S829" s="50"/>
      <c r="T829" s="51"/>
      <c r="U829" s="51"/>
      <c r="V829" s="51"/>
      <c r="W829" s="51"/>
      <c r="X829" s="51"/>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52"/>
      <c r="BH829" s="48"/>
      <c r="BI829" s="48"/>
      <c r="BJ829" s="48"/>
      <c r="BK829" s="48"/>
      <c r="BL829" s="48"/>
      <c r="BM829" s="48"/>
      <c r="BN829" s="48"/>
      <c r="BO829" s="48"/>
      <c r="BP829" s="48"/>
      <c r="BQ829" s="48"/>
    </row>
    <row r="830" ht="23.25" customHeight="1">
      <c r="A830" s="47"/>
      <c r="B830" s="47"/>
      <c r="C830" s="48"/>
      <c r="D830" s="48"/>
      <c r="E830" s="48"/>
      <c r="F830" s="48"/>
      <c r="G830" s="47"/>
      <c r="H830" s="47"/>
      <c r="I830" s="47"/>
      <c r="J830" s="47"/>
      <c r="K830" s="47"/>
      <c r="L830" s="47"/>
      <c r="M830" s="47"/>
      <c r="N830" s="47"/>
      <c r="O830" s="47"/>
      <c r="P830" s="47"/>
      <c r="Q830" s="47"/>
      <c r="R830" s="47"/>
      <c r="S830" s="50"/>
      <c r="T830" s="51"/>
      <c r="U830" s="51"/>
      <c r="V830" s="51"/>
      <c r="W830" s="51"/>
      <c r="X830" s="51"/>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52"/>
      <c r="BH830" s="48"/>
      <c r="BI830" s="48"/>
      <c r="BJ830" s="48"/>
      <c r="BK830" s="48"/>
      <c r="BL830" s="48"/>
      <c r="BM830" s="48"/>
      <c r="BN830" s="48"/>
      <c r="BO830" s="48"/>
      <c r="BP830" s="48"/>
      <c r="BQ830" s="48"/>
    </row>
    <row r="831" ht="23.25" customHeight="1">
      <c r="A831" s="47"/>
      <c r="B831" s="47"/>
      <c r="C831" s="48"/>
      <c r="D831" s="48"/>
      <c r="E831" s="48"/>
      <c r="F831" s="48"/>
      <c r="G831" s="47"/>
      <c r="H831" s="47"/>
      <c r="I831" s="47"/>
      <c r="J831" s="47"/>
      <c r="K831" s="47"/>
      <c r="L831" s="47"/>
      <c r="M831" s="47"/>
      <c r="N831" s="47"/>
      <c r="O831" s="47"/>
      <c r="P831" s="47"/>
      <c r="Q831" s="47"/>
      <c r="R831" s="47"/>
      <c r="S831" s="50"/>
      <c r="T831" s="51"/>
      <c r="U831" s="51"/>
      <c r="V831" s="51"/>
      <c r="W831" s="51"/>
      <c r="X831" s="51"/>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52"/>
      <c r="BH831" s="48"/>
      <c r="BI831" s="48"/>
      <c r="BJ831" s="48"/>
      <c r="BK831" s="48"/>
      <c r="BL831" s="48"/>
      <c r="BM831" s="48"/>
      <c r="BN831" s="48"/>
      <c r="BO831" s="48"/>
      <c r="BP831" s="48"/>
      <c r="BQ831" s="48"/>
    </row>
    <row r="832" ht="23.25" customHeight="1">
      <c r="A832" s="47"/>
      <c r="B832" s="47"/>
      <c r="C832" s="48"/>
      <c r="D832" s="48"/>
      <c r="E832" s="48"/>
      <c r="F832" s="48"/>
      <c r="G832" s="47"/>
      <c r="H832" s="47"/>
      <c r="I832" s="47"/>
      <c r="J832" s="47"/>
      <c r="K832" s="47"/>
      <c r="L832" s="47"/>
      <c r="M832" s="47"/>
      <c r="N832" s="47"/>
      <c r="O832" s="47"/>
      <c r="P832" s="47"/>
      <c r="Q832" s="47"/>
      <c r="R832" s="47"/>
      <c r="S832" s="50"/>
      <c r="T832" s="51"/>
      <c r="U832" s="51"/>
      <c r="V832" s="51"/>
      <c r="W832" s="51"/>
      <c r="X832" s="51"/>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52"/>
      <c r="BH832" s="48"/>
      <c r="BI832" s="48"/>
      <c r="BJ832" s="48"/>
      <c r="BK832" s="48"/>
      <c r="BL832" s="48"/>
      <c r="BM832" s="48"/>
      <c r="BN832" s="48"/>
      <c r="BO832" s="48"/>
      <c r="BP832" s="48"/>
      <c r="BQ832" s="48"/>
    </row>
    <row r="833" ht="23.25" customHeight="1">
      <c r="A833" s="47"/>
      <c r="B833" s="47"/>
      <c r="C833" s="48"/>
      <c r="D833" s="48"/>
      <c r="E833" s="48"/>
      <c r="F833" s="48"/>
      <c r="G833" s="47"/>
      <c r="H833" s="47"/>
      <c r="I833" s="47"/>
      <c r="J833" s="47"/>
      <c r="K833" s="47"/>
      <c r="L833" s="47"/>
      <c r="M833" s="47"/>
      <c r="N833" s="47"/>
      <c r="O833" s="47"/>
      <c r="P833" s="47"/>
      <c r="Q833" s="47"/>
      <c r="R833" s="47"/>
      <c r="S833" s="50"/>
      <c r="T833" s="51"/>
      <c r="U833" s="51"/>
      <c r="V833" s="51"/>
      <c r="W833" s="51"/>
      <c r="X833" s="51"/>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52"/>
      <c r="BH833" s="48"/>
      <c r="BI833" s="48"/>
      <c r="BJ833" s="48"/>
      <c r="BK833" s="48"/>
      <c r="BL833" s="48"/>
      <c r="BM833" s="48"/>
      <c r="BN833" s="48"/>
      <c r="BO833" s="48"/>
      <c r="BP833" s="48"/>
      <c r="BQ833" s="48"/>
    </row>
    <row r="834" ht="23.25" customHeight="1">
      <c r="A834" s="47"/>
      <c r="B834" s="47"/>
      <c r="C834" s="48"/>
      <c r="D834" s="48"/>
      <c r="E834" s="48"/>
      <c r="F834" s="48"/>
      <c r="G834" s="47"/>
      <c r="H834" s="47"/>
      <c r="I834" s="47"/>
      <c r="J834" s="47"/>
      <c r="K834" s="47"/>
      <c r="L834" s="47"/>
      <c r="M834" s="47"/>
      <c r="N834" s="47"/>
      <c r="O834" s="47"/>
      <c r="P834" s="47"/>
      <c r="Q834" s="47"/>
      <c r="R834" s="47"/>
      <c r="S834" s="50"/>
      <c r="T834" s="51"/>
      <c r="U834" s="51"/>
      <c r="V834" s="51"/>
      <c r="W834" s="51"/>
      <c r="X834" s="51"/>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52"/>
      <c r="BH834" s="48"/>
      <c r="BI834" s="48"/>
      <c r="BJ834" s="48"/>
      <c r="BK834" s="48"/>
      <c r="BL834" s="48"/>
      <c r="BM834" s="48"/>
      <c r="BN834" s="48"/>
      <c r="BO834" s="48"/>
      <c r="BP834" s="48"/>
      <c r="BQ834" s="48"/>
    </row>
    <row r="835" ht="23.25" customHeight="1">
      <c r="A835" s="47"/>
      <c r="B835" s="47"/>
      <c r="C835" s="48"/>
      <c r="D835" s="48"/>
      <c r="E835" s="48"/>
      <c r="F835" s="48"/>
      <c r="G835" s="47"/>
      <c r="H835" s="47"/>
      <c r="I835" s="47"/>
      <c r="J835" s="47"/>
      <c r="K835" s="47"/>
      <c r="L835" s="47"/>
      <c r="M835" s="47"/>
      <c r="N835" s="47"/>
      <c r="O835" s="47"/>
      <c r="P835" s="47"/>
      <c r="Q835" s="47"/>
      <c r="R835" s="47"/>
      <c r="S835" s="50"/>
      <c r="T835" s="51"/>
      <c r="U835" s="51"/>
      <c r="V835" s="51"/>
      <c r="W835" s="51"/>
      <c r="X835" s="51"/>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52"/>
      <c r="BH835" s="48"/>
      <c r="BI835" s="48"/>
      <c r="BJ835" s="48"/>
      <c r="BK835" s="48"/>
      <c r="BL835" s="48"/>
      <c r="BM835" s="48"/>
      <c r="BN835" s="48"/>
      <c r="BO835" s="48"/>
      <c r="BP835" s="48"/>
      <c r="BQ835" s="48"/>
    </row>
    <row r="836" ht="23.25" customHeight="1">
      <c r="A836" s="47"/>
      <c r="B836" s="47"/>
      <c r="C836" s="48"/>
      <c r="D836" s="48"/>
      <c r="E836" s="48"/>
      <c r="F836" s="48"/>
      <c r="G836" s="47"/>
      <c r="H836" s="47"/>
      <c r="I836" s="47"/>
      <c r="J836" s="47"/>
      <c r="K836" s="47"/>
      <c r="L836" s="47"/>
      <c r="M836" s="47"/>
      <c r="N836" s="47"/>
      <c r="O836" s="47"/>
      <c r="P836" s="47"/>
      <c r="Q836" s="47"/>
      <c r="R836" s="47"/>
      <c r="S836" s="50"/>
      <c r="T836" s="51"/>
      <c r="U836" s="51"/>
      <c r="V836" s="51"/>
      <c r="W836" s="51"/>
      <c r="X836" s="51"/>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52"/>
      <c r="BH836" s="48"/>
      <c r="BI836" s="48"/>
      <c r="BJ836" s="48"/>
      <c r="BK836" s="48"/>
      <c r="BL836" s="48"/>
      <c r="BM836" s="48"/>
      <c r="BN836" s="48"/>
      <c r="BO836" s="48"/>
      <c r="BP836" s="48"/>
      <c r="BQ836" s="48"/>
    </row>
    <row r="837" ht="23.25" customHeight="1">
      <c r="A837" s="47"/>
      <c r="B837" s="47"/>
      <c r="C837" s="48"/>
      <c r="D837" s="48"/>
      <c r="E837" s="48"/>
      <c r="F837" s="48"/>
      <c r="G837" s="47"/>
      <c r="H837" s="47"/>
      <c r="I837" s="47"/>
      <c r="J837" s="47"/>
      <c r="K837" s="47"/>
      <c r="L837" s="47"/>
      <c r="M837" s="47"/>
      <c r="N837" s="47"/>
      <c r="O837" s="47"/>
      <c r="P837" s="47"/>
      <c r="Q837" s="47"/>
      <c r="R837" s="47"/>
      <c r="S837" s="50"/>
      <c r="T837" s="51"/>
      <c r="U837" s="51"/>
      <c r="V837" s="51"/>
      <c r="W837" s="51"/>
      <c r="X837" s="51"/>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52"/>
      <c r="BH837" s="48"/>
      <c r="BI837" s="48"/>
      <c r="BJ837" s="48"/>
      <c r="BK837" s="48"/>
      <c r="BL837" s="48"/>
      <c r="BM837" s="48"/>
      <c r="BN837" s="48"/>
      <c r="BO837" s="48"/>
      <c r="BP837" s="48"/>
      <c r="BQ837" s="48"/>
    </row>
    <row r="838" ht="23.25" customHeight="1">
      <c r="A838" s="47"/>
      <c r="B838" s="47"/>
      <c r="C838" s="48"/>
      <c r="D838" s="48"/>
      <c r="E838" s="48"/>
      <c r="F838" s="48"/>
      <c r="G838" s="47"/>
      <c r="H838" s="47"/>
      <c r="I838" s="47"/>
      <c r="J838" s="47"/>
      <c r="K838" s="47"/>
      <c r="L838" s="47"/>
      <c r="M838" s="47"/>
      <c r="N838" s="47"/>
      <c r="O838" s="47"/>
      <c r="P838" s="47"/>
      <c r="Q838" s="47"/>
      <c r="R838" s="47"/>
      <c r="S838" s="50"/>
      <c r="T838" s="51"/>
      <c r="U838" s="51"/>
      <c r="V838" s="51"/>
      <c r="W838" s="51"/>
      <c r="X838" s="51"/>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52"/>
      <c r="BH838" s="48"/>
      <c r="BI838" s="48"/>
      <c r="BJ838" s="48"/>
      <c r="BK838" s="48"/>
      <c r="BL838" s="48"/>
      <c r="BM838" s="48"/>
      <c r="BN838" s="48"/>
      <c r="BO838" s="48"/>
      <c r="BP838" s="48"/>
      <c r="BQ838" s="48"/>
    </row>
    <row r="839" ht="23.25" customHeight="1">
      <c r="A839" s="47"/>
      <c r="B839" s="47"/>
      <c r="C839" s="48"/>
      <c r="D839" s="48"/>
      <c r="E839" s="48"/>
      <c r="F839" s="48"/>
      <c r="G839" s="47"/>
      <c r="H839" s="47"/>
      <c r="I839" s="47"/>
      <c r="J839" s="47"/>
      <c r="K839" s="47"/>
      <c r="L839" s="47"/>
      <c r="M839" s="47"/>
      <c r="N839" s="47"/>
      <c r="O839" s="47"/>
      <c r="P839" s="47"/>
      <c r="Q839" s="47"/>
      <c r="R839" s="47"/>
      <c r="S839" s="50"/>
      <c r="T839" s="51"/>
      <c r="U839" s="51"/>
      <c r="V839" s="51"/>
      <c r="W839" s="51"/>
      <c r="X839" s="51"/>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52"/>
      <c r="BH839" s="48"/>
      <c r="BI839" s="48"/>
      <c r="BJ839" s="48"/>
      <c r="BK839" s="48"/>
      <c r="BL839" s="48"/>
      <c r="BM839" s="48"/>
      <c r="BN839" s="48"/>
      <c r="BO839" s="48"/>
      <c r="BP839" s="48"/>
      <c r="BQ839" s="48"/>
    </row>
    <row r="840" ht="23.25" customHeight="1">
      <c r="A840" s="47"/>
      <c r="B840" s="47"/>
      <c r="C840" s="48"/>
      <c r="D840" s="48"/>
      <c r="E840" s="48"/>
      <c r="F840" s="48"/>
      <c r="G840" s="47"/>
      <c r="H840" s="47"/>
      <c r="I840" s="47"/>
      <c r="J840" s="47"/>
      <c r="K840" s="47"/>
      <c r="L840" s="47"/>
      <c r="M840" s="47"/>
      <c r="N840" s="47"/>
      <c r="O840" s="47"/>
      <c r="P840" s="47"/>
      <c r="Q840" s="47"/>
      <c r="R840" s="47"/>
      <c r="S840" s="50"/>
      <c r="T840" s="51"/>
      <c r="U840" s="51"/>
      <c r="V840" s="51"/>
      <c r="W840" s="51"/>
      <c r="X840" s="51"/>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52"/>
      <c r="BH840" s="48"/>
      <c r="BI840" s="48"/>
      <c r="BJ840" s="48"/>
      <c r="BK840" s="48"/>
      <c r="BL840" s="48"/>
      <c r="BM840" s="48"/>
      <c r="BN840" s="48"/>
      <c r="BO840" s="48"/>
      <c r="BP840" s="48"/>
      <c r="BQ840" s="48"/>
    </row>
    <row r="841" ht="23.25" customHeight="1">
      <c r="A841" s="47"/>
      <c r="B841" s="47"/>
      <c r="C841" s="48"/>
      <c r="D841" s="48"/>
      <c r="E841" s="48"/>
      <c r="F841" s="48"/>
      <c r="G841" s="47"/>
      <c r="H841" s="47"/>
      <c r="I841" s="47"/>
      <c r="J841" s="47"/>
      <c r="K841" s="47"/>
      <c r="L841" s="47"/>
      <c r="M841" s="47"/>
      <c r="N841" s="47"/>
      <c r="O841" s="47"/>
      <c r="P841" s="47"/>
      <c r="Q841" s="47"/>
      <c r="R841" s="47"/>
      <c r="S841" s="50"/>
      <c r="T841" s="51"/>
      <c r="U841" s="51"/>
      <c r="V841" s="51"/>
      <c r="W841" s="51"/>
      <c r="X841" s="51"/>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52"/>
      <c r="BH841" s="48"/>
      <c r="BI841" s="48"/>
      <c r="BJ841" s="48"/>
      <c r="BK841" s="48"/>
      <c r="BL841" s="48"/>
      <c r="BM841" s="48"/>
      <c r="BN841" s="48"/>
      <c r="BO841" s="48"/>
      <c r="BP841" s="48"/>
      <c r="BQ841" s="48"/>
    </row>
    <row r="842" ht="23.25" customHeight="1">
      <c r="A842" s="47"/>
      <c r="B842" s="47"/>
      <c r="C842" s="48"/>
      <c r="D842" s="48"/>
      <c r="E842" s="48"/>
      <c r="F842" s="48"/>
      <c r="G842" s="47"/>
      <c r="H842" s="47"/>
      <c r="I842" s="47"/>
      <c r="J842" s="47"/>
      <c r="K842" s="47"/>
      <c r="L842" s="47"/>
      <c r="M842" s="47"/>
      <c r="N842" s="47"/>
      <c r="O842" s="47"/>
      <c r="P842" s="47"/>
      <c r="Q842" s="47"/>
      <c r="R842" s="47"/>
      <c r="S842" s="50"/>
      <c r="T842" s="51"/>
      <c r="U842" s="51"/>
      <c r="V842" s="51"/>
      <c r="W842" s="51"/>
      <c r="X842" s="51"/>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52"/>
      <c r="BH842" s="48"/>
      <c r="BI842" s="48"/>
      <c r="BJ842" s="48"/>
      <c r="BK842" s="48"/>
      <c r="BL842" s="48"/>
      <c r="BM842" s="48"/>
      <c r="BN842" s="48"/>
      <c r="BO842" s="48"/>
      <c r="BP842" s="48"/>
      <c r="BQ842" s="48"/>
    </row>
    <row r="843" ht="23.25" customHeight="1">
      <c r="A843" s="47"/>
      <c r="B843" s="47"/>
      <c r="C843" s="48"/>
      <c r="D843" s="48"/>
      <c r="E843" s="48"/>
      <c r="F843" s="48"/>
      <c r="G843" s="47"/>
      <c r="H843" s="47"/>
      <c r="I843" s="47"/>
      <c r="J843" s="47"/>
      <c r="K843" s="47"/>
      <c r="L843" s="47"/>
      <c r="M843" s="47"/>
      <c r="N843" s="47"/>
      <c r="O843" s="47"/>
      <c r="P843" s="47"/>
      <c r="Q843" s="47"/>
      <c r="R843" s="47"/>
      <c r="S843" s="50"/>
      <c r="T843" s="51"/>
      <c r="U843" s="51"/>
      <c r="V843" s="51"/>
      <c r="W843" s="51"/>
      <c r="X843" s="51"/>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52"/>
      <c r="BH843" s="48"/>
      <c r="BI843" s="48"/>
      <c r="BJ843" s="48"/>
      <c r="BK843" s="48"/>
      <c r="BL843" s="48"/>
      <c r="BM843" s="48"/>
      <c r="BN843" s="48"/>
      <c r="BO843" s="48"/>
      <c r="BP843" s="48"/>
      <c r="BQ843" s="48"/>
    </row>
    <row r="844" ht="23.25" customHeight="1">
      <c r="A844" s="47"/>
      <c r="B844" s="47"/>
      <c r="C844" s="48"/>
      <c r="D844" s="48"/>
      <c r="E844" s="48"/>
      <c r="F844" s="48"/>
      <c r="G844" s="47"/>
      <c r="H844" s="47"/>
      <c r="I844" s="47"/>
      <c r="J844" s="47"/>
      <c r="K844" s="47"/>
      <c r="L844" s="47"/>
      <c r="M844" s="47"/>
      <c r="N844" s="47"/>
      <c r="O844" s="47"/>
      <c r="P844" s="47"/>
      <c r="Q844" s="47"/>
      <c r="R844" s="47"/>
      <c r="S844" s="50"/>
      <c r="T844" s="51"/>
      <c r="U844" s="51"/>
      <c r="V844" s="51"/>
      <c r="W844" s="51"/>
      <c r="X844" s="51"/>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52"/>
      <c r="BH844" s="48"/>
      <c r="BI844" s="48"/>
      <c r="BJ844" s="48"/>
      <c r="BK844" s="48"/>
      <c r="BL844" s="48"/>
      <c r="BM844" s="48"/>
      <c r="BN844" s="48"/>
      <c r="BO844" s="48"/>
      <c r="BP844" s="48"/>
      <c r="BQ844" s="48"/>
    </row>
    <row r="845" ht="23.25" customHeight="1">
      <c r="A845" s="47"/>
      <c r="B845" s="47"/>
      <c r="C845" s="48"/>
      <c r="D845" s="48"/>
      <c r="E845" s="48"/>
      <c r="F845" s="48"/>
      <c r="G845" s="47"/>
      <c r="H845" s="47"/>
      <c r="I845" s="47"/>
      <c r="J845" s="47"/>
      <c r="K845" s="47"/>
      <c r="L845" s="47"/>
      <c r="M845" s="47"/>
      <c r="N845" s="47"/>
      <c r="O845" s="47"/>
      <c r="P845" s="47"/>
      <c r="Q845" s="47"/>
      <c r="R845" s="47"/>
      <c r="S845" s="50"/>
      <c r="T845" s="51"/>
      <c r="U845" s="51"/>
      <c r="V845" s="51"/>
      <c r="W845" s="51"/>
      <c r="X845" s="51"/>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52"/>
      <c r="BH845" s="48"/>
      <c r="BI845" s="48"/>
      <c r="BJ845" s="48"/>
      <c r="BK845" s="48"/>
      <c r="BL845" s="48"/>
      <c r="BM845" s="48"/>
      <c r="BN845" s="48"/>
      <c r="BO845" s="48"/>
      <c r="BP845" s="48"/>
      <c r="BQ845" s="48"/>
    </row>
    <row r="846" ht="23.25" customHeight="1">
      <c r="A846" s="47"/>
      <c r="B846" s="47"/>
      <c r="C846" s="48"/>
      <c r="D846" s="48"/>
      <c r="E846" s="48"/>
      <c r="F846" s="48"/>
      <c r="G846" s="47"/>
      <c r="H846" s="47"/>
      <c r="I846" s="47"/>
      <c r="J846" s="47"/>
      <c r="K846" s="47"/>
      <c r="L846" s="47"/>
      <c r="M846" s="47"/>
      <c r="N846" s="47"/>
      <c r="O846" s="47"/>
      <c r="P846" s="47"/>
      <c r="Q846" s="47"/>
      <c r="R846" s="47"/>
      <c r="S846" s="50"/>
      <c r="T846" s="51"/>
      <c r="U846" s="51"/>
      <c r="V846" s="51"/>
      <c r="W846" s="51"/>
      <c r="X846" s="51"/>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52"/>
      <c r="BH846" s="48"/>
      <c r="BI846" s="48"/>
      <c r="BJ846" s="48"/>
      <c r="BK846" s="48"/>
      <c r="BL846" s="48"/>
      <c r="BM846" s="48"/>
      <c r="BN846" s="48"/>
      <c r="BO846" s="48"/>
      <c r="BP846" s="48"/>
      <c r="BQ846" s="48"/>
    </row>
    <row r="847" ht="23.25" customHeight="1">
      <c r="A847" s="47"/>
      <c r="B847" s="47"/>
      <c r="C847" s="48"/>
      <c r="D847" s="48"/>
      <c r="E847" s="48"/>
      <c r="F847" s="48"/>
      <c r="G847" s="47"/>
      <c r="H847" s="47"/>
      <c r="I847" s="47"/>
      <c r="J847" s="47"/>
      <c r="K847" s="47"/>
      <c r="L847" s="47"/>
      <c r="M847" s="47"/>
      <c r="N847" s="47"/>
      <c r="O847" s="47"/>
      <c r="P847" s="47"/>
      <c r="Q847" s="47"/>
      <c r="R847" s="47"/>
      <c r="S847" s="50"/>
      <c r="T847" s="51"/>
      <c r="U847" s="51"/>
      <c r="V847" s="51"/>
      <c r="W847" s="51"/>
      <c r="X847" s="51"/>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52"/>
      <c r="BH847" s="48"/>
      <c r="BI847" s="48"/>
      <c r="BJ847" s="48"/>
      <c r="BK847" s="48"/>
      <c r="BL847" s="48"/>
      <c r="BM847" s="48"/>
      <c r="BN847" s="48"/>
      <c r="BO847" s="48"/>
      <c r="BP847" s="48"/>
      <c r="BQ847" s="48"/>
    </row>
    <row r="848" ht="23.25" customHeight="1">
      <c r="A848" s="47"/>
      <c r="B848" s="47"/>
      <c r="C848" s="48"/>
      <c r="D848" s="48"/>
      <c r="E848" s="48"/>
      <c r="F848" s="48"/>
      <c r="G848" s="47"/>
      <c r="H848" s="47"/>
      <c r="I848" s="47"/>
      <c r="J848" s="47"/>
      <c r="K848" s="47"/>
      <c r="L848" s="47"/>
      <c r="M848" s="47"/>
      <c r="N848" s="47"/>
      <c r="O848" s="47"/>
      <c r="P848" s="47"/>
      <c r="Q848" s="47"/>
      <c r="R848" s="47"/>
      <c r="S848" s="50"/>
      <c r="T848" s="51"/>
      <c r="U848" s="51"/>
      <c r="V848" s="51"/>
      <c r="W848" s="51"/>
      <c r="X848" s="51"/>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52"/>
      <c r="BH848" s="48"/>
      <c r="BI848" s="48"/>
      <c r="BJ848" s="48"/>
      <c r="BK848" s="48"/>
      <c r="BL848" s="48"/>
      <c r="BM848" s="48"/>
      <c r="BN848" s="48"/>
      <c r="BO848" s="48"/>
      <c r="BP848" s="48"/>
      <c r="BQ848" s="48"/>
    </row>
    <row r="849" ht="23.25" customHeight="1">
      <c r="A849" s="47"/>
      <c r="B849" s="47"/>
      <c r="C849" s="48"/>
      <c r="D849" s="48"/>
      <c r="E849" s="48"/>
      <c r="F849" s="48"/>
      <c r="G849" s="47"/>
      <c r="H849" s="47"/>
      <c r="I849" s="47"/>
      <c r="J849" s="47"/>
      <c r="K849" s="47"/>
      <c r="L849" s="47"/>
      <c r="M849" s="47"/>
      <c r="N849" s="47"/>
      <c r="O849" s="47"/>
      <c r="P849" s="47"/>
      <c r="Q849" s="47"/>
      <c r="R849" s="47"/>
      <c r="S849" s="50"/>
      <c r="T849" s="51"/>
      <c r="U849" s="51"/>
      <c r="V849" s="51"/>
      <c r="W849" s="51"/>
      <c r="X849" s="51"/>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52"/>
      <c r="BH849" s="48"/>
      <c r="BI849" s="48"/>
      <c r="BJ849" s="48"/>
      <c r="BK849" s="48"/>
      <c r="BL849" s="48"/>
      <c r="BM849" s="48"/>
      <c r="BN849" s="48"/>
      <c r="BO849" s="48"/>
      <c r="BP849" s="48"/>
      <c r="BQ849" s="48"/>
    </row>
    <row r="850" ht="23.25" customHeight="1">
      <c r="A850" s="47"/>
      <c r="B850" s="47"/>
      <c r="C850" s="48"/>
      <c r="D850" s="48"/>
      <c r="E850" s="48"/>
      <c r="F850" s="48"/>
      <c r="G850" s="47"/>
      <c r="H850" s="47"/>
      <c r="I850" s="47"/>
      <c r="J850" s="47"/>
      <c r="K850" s="47"/>
      <c r="L850" s="47"/>
      <c r="M850" s="47"/>
      <c r="N850" s="47"/>
      <c r="O850" s="47"/>
      <c r="P850" s="47"/>
      <c r="Q850" s="47"/>
      <c r="R850" s="47"/>
      <c r="S850" s="50"/>
      <c r="T850" s="51"/>
      <c r="U850" s="51"/>
      <c r="V850" s="51"/>
      <c r="W850" s="51"/>
      <c r="X850" s="51"/>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52"/>
      <c r="BH850" s="48"/>
      <c r="BI850" s="48"/>
      <c r="BJ850" s="48"/>
      <c r="BK850" s="48"/>
      <c r="BL850" s="48"/>
      <c r="BM850" s="48"/>
      <c r="BN850" s="48"/>
      <c r="BO850" s="48"/>
      <c r="BP850" s="48"/>
      <c r="BQ850" s="48"/>
    </row>
    <row r="851" ht="23.25" customHeight="1">
      <c r="A851" s="47"/>
      <c r="B851" s="47"/>
      <c r="C851" s="48"/>
      <c r="D851" s="48"/>
      <c r="E851" s="48"/>
      <c r="F851" s="48"/>
      <c r="G851" s="47"/>
      <c r="H851" s="47"/>
      <c r="I851" s="47"/>
      <c r="J851" s="47"/>
      <c r="K851" s="47"/>
      <c r="L851" s="47"/>
      <c r="M851" s="47"/>
      <c r="N851" s="47"/>
      <c r="O851" s="47"/>
      <c r="P851" s="47"/>
      <c r="Q851" s="47"/>
      <c r="R851" s="47"/>
      <c r="S851" s="50"/>
      <c r="T851" s="51"/>
      <c r="U851" s="51"/>
      <c r="V851" s="51"/>
      <c r="W851" s="51"/>
      <c r="X851" s="51"/>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52"/>
      <c r="BH851" s="48"/>
      <c r="BI851" s="48"/>
      <c r="BJ851" s="48"/>
      <c r="BK851" s="48"/>
      <c r="BL851" s="48"/>
      <c r="BM851" s="48"/>
      <c r="BN851" s="48"/>
      <c r="BO851" s="48"/>
      <c r="BP851" s="48"/>
      <c r="BQ851" s="48"/>
    </row>
    <row r="852" ht="23.25" customHeight="1">
      <c r="A852" s="47"/>
      <c r="B852" s="47"/>
      <c r="C852" s="48"/>
      <c r="D852" s="48"/>
      <c r="E852" s="48"/>
      <c r="F852" s="48"/>
      <c r="G852" s="47"/>
      <c r="H852" s="47"/>
      <c r="I852" s="47"/>
      <c r="J852" s="47"/>
      <c r="K852" s="47"/>
      <c r="L852" s="47"/>
      <c r="M852" s="47"/>
      <c r="N852" s="47"/>
      <c r="O852" s="47"/>
      <c r="P852" s="47"/>
      <c r="Q852" s="47"/>
      <c r="R852" s="47"/>
      <c r="S852" s="50"/>
      <c r="T852" s="51"/>
      <c r="U852" s="51"/>
      <c r="V852" s="51"/>
      <c r="W852" s="51"/>
      <c r="X852" s="51"/>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52"/>
      <c r="BH852" s="48"/>
      <c r="BI852" s="48"/>
      <c r="BJ852" s="48"/>
      <c r="BK852" s="48"/>
      <c r="BL852" s="48"/>
      <c r="BM852" s="48"/>
      <c r="BN852" s="48"/>
      <c r="BO852" s="48"/>
      <c r="BP852" s="48"/>
      <c r="BQ852" s="48"/>
    </row>
    <row r="853" ht="23.25" customHeight="1">
      <c r="A853" s="47"/>
      <c r="B853" s="47"/>
      <c r="C853" s="48"/>
      <c r="D853" s="48"/>
      <c r="E853" s="48"/>
      <c r="F853" s="48"/>
      <c r="G853" s="47"/>
      <c r="H853" s="47"/>
      <c r="I853" s="47"/>
      <c r="J853" s="47"/>
      <c r="K853" s="47"/>
      <c r="L853" s="47"/>
      <c r="M853" s="47"/>
      <c r="N853" s="47"/>
      <c r="O853" s="47"/>
      <c r="P853" s="47"/>
      <c r="Q853" s="47"/>
      <c r="R853" s="47"/>
      <c r="S853" s="50"/>
      <c r="T853" s="51"/>
      <c r="U853" s="51"/>
      <c r="V853" s="51"/>
      <c r="W853" s="51"/>
      <c r="X853" s="51"/>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52"/>
      <c r="BH853" s="48"/>
      <c r="BI853" s="48"/>
      <c r="BJ853" s="48"/>
      <c r="BK853" s="48"/>
      <c r="BL853" s="48"/>
      <c r="BM853" s="48"/>
      <c r="BN853" s="48"/>
      <c r="BO853" s="48"/>
      <c r="BP853" s="48"/>
      <c r="BQ853" s="48"/>
    </row>
    <row r="854" ht="23.25" customHeight="1">
      <c r="A854" s="47"/>
      <c r="B854" s="47"/>
      <c r="C854" s="48"/>
      <c r="D854" s="48"/>
      <c r="E854" s="48"/>
      <c r="F854" s="48"/>
      <c r="G854" s="47"/>
      <c r="H854" s="47"/>
      <c r="I854" s="47"/>
      <c r="J854" s="47"/>
      <c r="K854" s="47"/>
      <c r="L854" s="47"/>
      <c r="M854" s="47"/>
      <c r="N854" s="47"/>
      <c r="O854" s="47"/>
      <c r="P854" s="47"/>
      <c r="Q854" s="47"/>
      <c r="R854" s="47"/>
      <c r="S854" s="50"/>
      <c r="T854" s="51"/>
      <c r="U854" s="51"/>
      <c r="V854" s="51"/>
      <c r="W854" s="51"/>
      <c r="X854" s="51"/>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52"/>
      <c r="BH854" s="48"/>
      <c r="BI854" s="48"/>
      <c r="BJ854" s="48"/>
      <c r="BK854" s="48"/>
      <c r="BL854" s="48"/>
      <c r="BM854" s="48"/>
      <c r="BN854" s="48"/>
      <c r="BO854" s="48"/>
      <c r="BP854" s="48"/>
      <c r="BQ854" s="48"/>
    </row>
    <row r="855" ht="23.25" customHeight="1">
      <c r="A855" s="47"/>
      <c r="B855" s="47"/>
      <c r="C855" s="48"/>
      <c r="D855" s="48"/>
      <c r="E855" s="48"/>
      <c r="F855" s="48"/>
      <c r="G855" s="47"/>
      <c r="H855" s="47"/>
      <c r="I855" s="47"/>
      <c r="J855" s="47"/>
      <c r="K855" s="47"/>
      <c r="L855" s="47"/>
      <c r="M855" s="47"/>
      <c r="N855" s="47"/>
      <c r="O855" s="47"/>
      <c r="P855" s="47"/>
      <c r="Q855" s="47"/>
      <c r="R855" s="47"/>
      <c r="S855" s="50"/>
      <c r="T855" s="51"/>
      <c r="U855" s="51"/>
      <c r="V855" s="51"/>
      <c r="W855" s="51"/>
      <c r="X855" s="51"/>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52"/>
      <c r="BH855" s="48"/>
      <c r="BI855" s="48"/>
      <c r="BJ855" s="48"/>
      <c r="BK855" s="48"/>
      <c r="BL855" s="48"/>
      <c r="BM855" s="48"/>
      <c r="BN855" s="48"/>
      <c r="BO855" s="48"/>
      <c r="BP855" s="48"/>
      <c r="BQ855" s="48"/>
    </row>
    <row r="856" ht="23.25" customHeight="1">
      <c r="A856" s="47"/>
      <c r="B856" s="47"/>
      <c r="C856" s="48"/>
      <c r="D856" s="48"/>
      <c r="E856" s="48"/>
      <c r="F856" s="48"/>
      <c r="G856" s="47"/>
      <c r="H856" s="47"/>
      <c r="I856" s="47"/>
      <c r="J856" s="47"/>
      <c r="K856" s="47"/>
      <c r="L856" s="47"/>
      <c r="M856" s="47"/>
      <c r="N856" s="47"/>
      <c r="O856" s="47"/>
      <c r="P856" s="47"/>
      <c r="Q856" s="47"/>
      <c r="R856" s="47"/>
      <c r="S856" s="50"/>
      <c r="T856" s="51"/>
      <c r="U856" s="51"/>
      <c r="V856" s="51"/>
      <c r="W856" s="51"/>
      <c r="X856" s="51"/>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52"/>
      <c r="BH856" s="48"/>
      <c r="BI856" s="48"/>
      <c r="BJ856" s="48"/>
      <c r="BK856" s="48"/>
      <c r="BL856" s="48"/>
      <c r="BM856" s="48"/>
      <c r="BN856" s="48"/>
      <c r="BO856" s="48"/>
      <c r="BP856" s="48"/>
      <c r="BQ856" s="48"/>
    </row>
    <row r="857" ht="23.25" customHeight="1">
      <c r="A857" s="47"/>
      <c r="B857" s="47"/>
      <c r="C857" s="48"/>
      <c r="D857" s="48"/>
      <c r="E857" s="48"/>
      <c r="F857" s="48"/>
      <c r="G857" s="47"/>
      <c r="H857" s="47"/>
      <c r="I857" s="47"/>
      <c r="J857" s="47"/>
      <c r="K857" s="47"/>
      <c r="L857" s="47"/>
      <c r="M857" s="47"/>
      <c r="N857" s="47"/>
      <c r="O857" s="47"/>
      <c r="P857" s="47"/>
      <c r="Q857" s="47"/>
      <c r="R857" s="47"/>
      <c r="S857" s="50"/>
      <c r="T857" s="51"/>
      <c r="U857" s="51"/>
      <c r="V857" s="51"/>
      <c r="W857" s="51"/>
      <c r="X857" s="51"/>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52"/>
      <c r="BH857" s="48"/>
      <c r="BI857" s="48"/>
      <c r="BJ857" s="48"/>
      <c r="BK857" s="48"/>
      <c r="BL857" s="48"/>
      <c r="BM857" s="48"/>
      <c r="BN857" s="48"/>
      <c r="BO857" s="48"/>
      <c r="BP857" s="48"/>
      <c r="BQ857" s="48"/>
    </row>
    <row r="858" ht="23.25" customHeight="1">
      <c r="A858" s="47"/>
      <c r="B858" s="47"/>
      <c r="C858" s="48"/>
      <c r="D858" s="48"/>
      <c r="E858" s="48"/>
      <c r="F858" s="48"/>
      <c r="G858" s="47"/>
      <c r="H858" s="47"/>
      <c r="I858" s="47"/>
      <c r="J858" s="47"/>
      <c r="K858" s="47"/>
      <c r="L858" s="47"/>
      <c r="M858" s="47"/>
      <c r="N858" s="47"/>
      <c r="O858" s="47"/>
      <c r="P858" s="47"/>
      <c r="Q858" s="47"/>
      <c r="R858" s="47"/>
      <c r="S858" s="50"/>
      <c r="T858" s="51"/>
      <c r="U858" s="51"/>
      <c r="V858" s="51"/>
      <c r="W858" s="51"/>
      <c r="X858" s="51"/>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52"/>
      <c r="BH858" s="48"/>
      <c r="BI858" s="48"/>
      <c r="BJ858" s="48"/>
      <c r="BK858" s="48"/>
      <c r="BL858" s="48"/>
      <c r="BM858" s="48"/>
      <c r="BN858" s="48"/>
      <c r="BO858" s="48"/>
      <c r="BP858" s="48"/>
      <c r="BQ858" s="48"/>
    </row>
    <row r="859" ht="23.25" customHeight="1">
      <c r="A859" s="47"/>
      <c r="B859" s="47"/>
      <c r="C859" s="48"/>
      <c r="D859" s="48"/>
      <c r="E859" s="48"/>
      <c r="F859" s="48"/>
      <c r="G859" s="47"/>
      <c r="H859" s="47"/>
      <c r="I859" s="47"/>
      <c r="J859" s="47"/>
      <c r="K859" s="47"/>
      <c r="L859" s="47"/>
      <c r="M859" s="47"/>
      <c r="N859" s="47"/>
      <c r="O859" s="47"/>
      <c r="P859" s="47"/>
      <c r="Q859" s="47"/>
      <c r="R859" s="47"/>
      <c r="S859" s="50"/>
      <c r="T859" s="51"/>
      <c r="U859" s="51"/>
      <c r="V859" s="51"/>
      <c r="W859" s="51"/>
      <c r="X859" s="51"/>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52"/>
      <c r="BH859" s="48"/>
      <c r="BI859" s="48"/>
      <c r="BJ859" s="48"/>
      <c r="BK859" s="48"/>
      <c r="BL859" s="48"/>
      <c r="BM859" s="48"/>
      <c r="BN859" s="48"/>
      <c r="BO859" s="48"/>
      <c r="BP859" s="48"/>
      <c r="BQ859" s="48"/>
    </row>
    <row r="860" ht="23.25" customHeight="1">
      <c r="A860" s="47"/>
      <c r="B860" s="47"/>
      <c r="C860" s="48"/>
      <c r="D860" s="48"/>
      <c r="E860" s="48"/>
      <c r="F860" s="48"/>
      <c r="G860" s="47"/>
      <c r="H860" s="47"/>
      <c r="I860" s="47"/>
      <c r="J860" s="47"/>
      <c r="K860" s="47"/>
      <c r="L860" s="47"/>
      <c r="M860" s="47"/>
      <c r="N860" s="47"/>
      <c r="O860" s="47"/>
      <c r="P860" s="47"/>
      <c r="Q860" s="47"/>
      <c r="R860" s="47"/>
      <c r="S860" s="50"/>
      <c r="T860" s="51"/>
      <c r="U860" s="51"/>
      <c r="V860" s="51"/>
      <c r="W860" s="51"/>
      <c r="X860" s="51"/>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52"/>
      <c r="BH860" s="48"/>
      <c r="BI860" s="48"/>
      <c r="BJ860" s="48"/>
      <c r="BK860" s="48"/>
      <c r="BL860" s="48"/>
      <c r="BM860" s="48"/>
      <c r="BN860" s="48"/>
      <c r="BO860" s="48"/>
      <c r="BP860" s="48"/>
      <c r="BQ860" s="48"/>
    </row>
    <row r="861" ht="23.25" customHeight="1">
      <c r="A861" s="47"/>
      <c r="B861" s="47"/>
      <c r="C861" s="48"/>
      <c r="D861" s="48"/>
      <c r="E861" s="48"/>
      <c r="F861" s="48"/>
      <c r="G861" s="47"/>
      <c r="H861" s="47"/>
      <c r="I861" s="47"/>
      <c r="J861" s="47"/>
      <c r="K861" s="47"/>
      <c r="L861" s="47"/>
      <c r="M861" s="47"/>
      <c r="N861" s="47"/>
      <c r="O861" s="47"/>
      <c r="P861" s="47"/>
      <c r="Q861" s="47"/>
      <c r="R861" s="47"/>
      <c r="S861" s="50"/>
      <c r="T861" s="51"/>
      <c r="U861" s="51"/>
      <c r="V861" s="51"/>
      <c r="W861" s="51"/>
      <c r="X861" s="51"/>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52"/>
      <c r="BH861" s="48"/>
      <c r="BI861" s="48"/>
      <c r="BJ861" s="48"/>
      <c r="BK861" s="48"/>
      <c r="BL861" s="48"/>
      <c r="BM861" s="48"/>
      <c r="BN861" s="48"/>
      <c r="BO861" s="48"/>
      <c r="BP861" s="48"/>
      <c r="BQ861" s="48"/>
    </row>
    <row r="862" ht="23.25" customHeight="1">
      <c r="A862" s="47"/>
      <c r="B862" s="47"/>
      <c r="C862" s="48"/>
      <c r="D862" s="48"/>
      <c r="E862" s="48"/>
      <c r="F862" s="48"/>
      <c r="G862" s="47"/>
      <c r="H862" s="47"/>
      <c r="I862" s="47"/>
      <c r="J862" s="47"/>
      <c r="K862" s="47"/>
      <c r="L862" s="47"/>
      <c r="M862" s="47"/>
      <c r="N862" s="47"/>
      <c r="O862" s="47"/>
      <c r="P862" s="47"/>
      <c r="Q862" s="47"/>
      <c r="R862" s="47"/>
      <c r="S862" s="50"/>
      <c r="T862" s="51"/>
      <c r="U862" s="51"/>
      <c r="V862" s="51"/>
      <c r="W862" s="51"/>
      <c r="X862" s="51"/>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52"/>
      <c r="BH862" s="48"/>
      <c r="BI862" s="48"/>
      <c r="BJ862" s="48"/>
      <c r="BK862" s="48"/>
      <c r="BL862" s="48"/>
      <c r="BM862" s="48"/>
      <c r="BN862" s="48"/>
      <c r="BO862" s="48"/>
      <c r="BP862" s="48"/>
      <c r="BQ862" s="48"/>
    </row>
    <row r="863" ht="23.25" customHeight="1">
      <c r="A863" s="47"/>
      <c r="B863" s="47"/>
      <c r="C863" s="48"/>
      <c r="D863" s="48"/>
      <c r="E863" s="48"/>
      <c r="F863" s="48"/>
      <c r="G863" s="47"/>
      <c r="H863" s="47"/>
      <c r="I863" s="47"/>
      <c r="J863" s="47"/>
      <c r="K863" s="47"/>
      <c r="L863" s="47"/>
      <c r="M863" s="47"/>
      <c r="N863" s="47"/>
      <c r="O863" s="47"/>
      <c r="P863" s="47"/>
      <c r="Q863" s="47"/>
      <c r="R863" s="47"/>
      <c r="S863" s="50"/>
      <c r="T863" s="51"/>
      <c r="U863" s="51"/>
      <c r="V863" s="51"/>
      <c r="W863" s="51"/>
      <c r="X863" s="51"/>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52"/>
      <c r="BH863" s="48"/>
      <c r="BI863" s="48"/>
      <c r="BJ863" s="48"/>
      <c r="BK863" s="48"/>
      <c r="BL863" s="48"/>
      <c r="BM863" s="48"/>
      <c r="BN863" s="48"/>
      <c r="BO863" s="48"/>
      <c r="BP863" s="48"/>
      <c r="BQ863" s="48"/>
    </row>
    <row r="864" ht="23.25" customHeight="1">
      <c r="A864" s="47"/>
      <c r="B864" s="47"/>
      <c r="C864" s="48"/>
      <c r="D864" s="48"/>
      <c r="E864" s="48"/>
      <c r="F864" s="48"/>
      <c r="G864" s="47"/>
      <c r="H864" s="47"/>
      <c r="I864" s="47"/>
      <c r="J864" s="47"/>
      <c r="K864" s="47"/>
      <c r="L864" s="47"/>
      <c r="M864" s="47"/>
      <c r="N864" s="47"/>
      <c r="O864" s="47"/>
      <c r="P864" s="47"/>
      <c r="Q864" s="47"/>
      <c r="R864" s="47"/>
      <c r="S864" s="50"/>
      <c r="T864" s="51"/>
      <c r="U864" s="51"/>
      <c r="V864" s="51"/>
      <c r="W864" s="51"/>
      <c r="X864" s="51"/>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52"/>
      <c r="BH864" s="48"/>
      <c r="BI864" s="48"/>
      <c r="BJ864" s="48"/>
      <c r="BK864" s="48"/>
      <c r="BL864" s="48"/>
      <c r="BM864" s="48"/>
      <c r="BN864" s="48"/>
      <c r="BO864" s="48"/>
      <c r="BP864" s="48"/>
      <c r="BQ864" s="48"/>
    </row>
    <row r="865" ht="23.25" customHeight="1">
      <c r="A865" s="47"/>
      <c r="B865" s="47"/>
      <c r="C865" s="48"/>
      <c r="D865" s="48"/>
      <c r="E865" s="48"/>
      <c r="F865" s="48"/>
      <c r="G865" s="47"/>
      <c r="H865" s="47"/>
      <c r="I865" s="47"/>
      <c r="J865" s="47"/>
      <c r="K865" s="47"/>
      <c r="L865" s="47"/>
      <c r="M865" s="47"/>
      <c r="N865" s="47"/>
      <c r="O865" s="47"/>
      <c r="P865" s="47"/>
      <c r="Q865" s="47"/>
      <c r="R865" s="47"/>
      <c r="S865" s="50"/>
      <c r="T865" s="51"/>
      <c r="U865" s="51"/>
      <c r="V865" s="51"/>
      <c r="W865" s="51"/>
      <c r="X865" s="51"/>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52"/>
      <c r="BH865" s="48"/>
      <c r="BI865" s="48"/>
      <c r="BJ865" s="48"/>
      <c r="BK865" s="48"/>
      <c r="BL865" s="48"/>
      <c r="BM865" s="48"/>
      <c r="BN865" s="48"/>
      <c r="BO865" s="48"/>
      <c r="BP865" s="48"/>
      <c r="BQ865" s="48"/>
    </row>
    <row r="866" ht="23.25" customHeight="1">
      <c r="A866" s="47"/>
      <c r="B866" s="47"/>
      <c r="C866" s="48"/>
      <c r="D866" s="48"/>
      <c r="E866" s="48"/>
      <c r="F866" s="48"/>
      <c r="G866" s="47"/>
      <c r="H866" s="47"/>
      <c r="I866" s="47"/>
      <c r="J866" s="47"/>
      <c r="K866" s="47"/>
      <c r="L866" s="47"/>
      <c r="M866" s="47"/>
      <c r="N866" s="47"/>
      <c r="O866" s="47"/>
      <c r="P866" s="47"/>
      <c r="Q866" s="47"/>
      <c r="R866" s="47"/>
      <c r="S866" s="50"/>
      <c r="T866" s="51"/>
      <c r="U866" s="51"/>
      <c r="V866" s="51"/>
      <c r="W866" s="51"/>
      <c r="X866" s="51"/>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52"/>
      <c r="BH866" s="48"/>
      <c r="BI866" s="48"/>
      <c r="BJ866" s="48"/>
      <c r="BK866" s="48"/>
      <c r="BL866" s="48"/>
      <c r="BM866" s="48"/>
      <c r="BN866" s="48"/>
      <c r="BO866" s="48"/>
      <c r="BP866" s="48"/>
      <c r="BQ866" s="48"/>
    </row>
    <row r="867" ht="23.25" customHeight="1">
      <c r="A867" s="47"/>
      <c r="B867" s="47"/>
      <c r="C867" s="48"/>
      <c r="D867" s="48"/>
      <c r="E867" s="48"/>
      <c r="F867" s="48"/>
      <c r="G867" s="47"/>
      <c r="H867" s="47"/>
      <c r="I867" s="47"/>
      <c r="J867" s="47"/>
      <c r="K867" s="47"/>
      <c r="L867" s="47"/>
      <c r="M867" s="47"/>
      <c r="N867" s="47"/>
      <c r="O867" s="47"/>
      <c r="P867" s="47"/>
      <c r="Q867" s="47"/>
      <c r="R867" s="47"/>
      <c r="S867" s="50"/>
      <c r="T867" s="51"/>
      <c r="U867" s="51"/>
      <c r="V867" s="51"/>
      <c r="W867" s="51"/>
      <c r="X867" s="51"/>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52"/>
      <c r="BH867" s="48"/>
      <c r="BI867" s="48"/>
      <c r="BJ867" s="48"/>
      <c r="BK867" s="48"/>
      <c r="BL867" s="48"/>
      <c r="BM867" s="48"/>
      <c r="BN867" s="48"/>
      <c r="BO867" s="48"/>
      <c r="BP867" s="48"/>
      <c r="BQ867" s="48"/>
    </row>
    <row r="868" ht="23.25" customHeight="1">
      <c r="A868" s="47"/>
      <c r="B868" s="47"/>
      <c r="C868" s="48"/>
      <c r="D868" s="48"/>
      <c r="E868" s="48"/>
      <c r="F868" s="48"/>
      <c r="G868" s="47"/>
      <c r="H868" s="47"/>
      <c r="I868" s="47"/>
      <c r="J868" s="47"/>
      <c r="K868" s="47"/>
      <c r="L868" s="47"/>
      <c r="M868" s="47"/>
      <c r="N868" s="47"/>
      <c r="O868" s="47"/>
      <c r="P868" s="47"/>
      <c r="Q868" s="47"/>
      <c r="R868" s="47"/>
      <c r="S868" s="50"/>
      <c r="T868" s="51"/>
      <c r="U868" s="51"/>
      <c r="V868" s="51"/>
      <c r="W868" s="51"/>
      <c r="X868" s="51"/>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52"/>
      <c r="BH868" s="48"/>
      <c r="BI868" s="48"/>
      <c r="BJ868" s="48"/>
      <c r="BK868" s="48"/>
      <c r="BL868" s="48"/>
      <c r="BM868" s="48"/>
      <c r="BN868" s="48"/>
      <c r="BO868" s="48"/>
      <c r="BP868" s="48"/>
      <c r="BQ868" s="48"/>
    </row>
    <row r="869" ht="23.25" customHeight="1">
      <c r="A869" s="47"/>
      <c r="B869" s="47"/>
      <c r="C869" s="48"/>
      <c r="D869" s="48"/>
      <c r="E869" s="48"/>
      <c r="F869" s="48"/>
      <c r="G869" s="47"/>
      <c r="H869" s="47"/>
      <c r="I869" s="47"/>
      <c r="J869" s="47"/>
      <c r="K869" s="47"/>
      <c r="L869" s="47"/>
      <c r="M869" s="47"/>
      <c r="N869" s="47"/>
      <c r="O869" s="47"/>
      <c r="P869" s="47"/>
      <c r="Q869" s="47"/>
      <c r="R869" s="47"/>
      <c r="S869" s="50"/>
      <c r="T869" s="51"/>
      <c r="U869" s="51"/>
      <c r="V869" s="51"/>
      <c r="W869" s="51"/>
      <c r="X869" s="51"/>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52"/>
      <c r="BH869" s="48"/>
      <c r="BI869" s="48"/>
      <c r="BJ869" s="48"/>
      <c r="BK869" s="48"/>
      <c r="BL869" s="48"/>
      <c r="BM869" s="48"/>
      <c r="BN869" s="48"/>
      <c r="BO869" s="48"/>
      <c r="BP869" s="48"/>
      <c r="BQ869" s="48"/>
    </row>
    <row r="870" ht="23.25" customHeight="1">
      <c r="A870" s="47"/>
      <c r="B870" s="47"/>
      <c r="C870" s="48"/>
      <c r="D870" s="48"/>
      <c r="E870" s="48"/>
      <c r="F870" s="48"/>
      <c r="G870" s="47"/>
      <c r="H870" s="47"/>
      <c r="I870" s="47"/>
      <c r="J870" s="47"/>
      <c r="K870" s="47"/>
      <c r="L870" s="47"/>
      <c r="M870" s="47"/>
      <c r="N870" s="47"/>
      <c r="O870" s="47"/>
      <c r="P870" s="47"/>
      <c r="Q870" s="47"/>
      <c r="R870" s="47"/>
      <c r="S870" s="50"/>
      <c r="T870" s="51"/>
      <c r="U870" s="51"/>
      <c r="V870" s="51"/>
      <c r="W870" s="51"/>
      <c r="X870" s="51"/>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52"/>
      <c r="BH870" s="48"/>
      <c r="BI870" s="48"/>
      <c r="BJ870" s="48"/>
      <c r="BK870" s="48"/>
      <c r="BL870" s="48"/>
      <c r="BM870" s="48"/>
      <c r="BN870" s="48"/>
      <c r="BO870" s="48"/>
      <c r="BP870" s="48"/>
      <c r="BQ870" s="48"/>
    </row>
    <row r="871" ht="23.25" customHeight="1">
      <c r="A871" s="47"/>
      <c r="B871" s="47"/>
      <c r="C871" s="48"/>
      <c r="D871" s="48"/>
      <c r="E871" s="48"/>
      <c r="F871" s="48"/>
      <c r="G871" s="47"/>
      <c r="H871" s="47"/>
      <c r="I871" s="47"/>
      <c r="J871" s="47"/>
      <c r="K871" s="47"/>
      <c r="L871" s="47"/>
      <c r="M871" s="47"/>
      <c r="N871" s="47"/>
      <c r="O871" s="47"/>
      <c r="P871" s="47"/>
      <c r="Q871" s="47"/>
      <c r="R871" s="47"/>
      <c r="S871" s="50"/>
      <c r="T871" s="51"/>
      <c r="U871" s="51"/>
      <c r="V871" s="51"/>
      <c r="W871" s="51"/>
      <c r="X871" s="51"/>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52"/>
      <c r="BH871" s="48"/>
      <c r="BI871" s="48"/>
      <c r="BJ871" s="48"/>
      <c r="BK871" s="48"/>
      <c r="BL871" s="48"/>
      <c r="BM871" s="48"/>
      <c r="BN871" s="48"/>
      <c r="BO871" s="48"/>
      <c r="BP871" s="48"/>
      <c r="BQ871" s="48"/>
    </row>
    <row r="872" ht="23.25" customHeight="1">
      <c r="A872" s="47"/>
      <c r="B872" s="47"/>
      <c r="C872" s="48"/>
      <c r="D872" s="48"/>
      <c r="E872" s="48"/>
      <c r="F872" s="48"/>
      <c r="G872" s="47"/>
      <c r="H872" s="47"/>
      <c r="I872" s="47"/>
      <c r="J872" s="47"/>
      <c r="K872" s="47"/>
      <c r="L872" s="47"/>
      <c r="M872" s="47"/>
      <c r="N872" s="47"/>
      <c r="O872" s="47"/>
      <c r="P872" s="47"/>
      <c r="Q872" s="47"/>
      <c r="R872" s="47"/>
      <c r="S872" s="50"/>
      <c r="T872" s="51"/>
      <c r="U872" s="51"/>
      <c r="V872" s="51"/>
      <c r="W872" s="51"/>
      <c r="X872" s="51"/>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52"/>
      <c r="BH872" s="48"/>
      <c r="BI872" s="48"/>
      <c r="BJ872" s="48"/>
      <c r="BK872" s="48"/>
      <c r="BL872" s="48"/>
      <c r="BM872" s="48"/>
      <c r="BN872" s="48"/>
      <c r="BO872" s="48"/>
      <c r="BP872" s="48"/>
      <c r="BQ872" s="48"/>
    </row>
    <row r="873" ht="23.25" customHeight="1">
      <c r="A873" s="47"/>
      <c r="B873" s="47"/>
      <c r="C873" s="48"/>
      <c r="D873" s="48"/>
      <c r="E873" s="48"/>
      <c r="F873" s="48"/>
      <c r="G873" s="47"/>
      <c r="H873" s="47"/>
      <c r="I873" s="47"/>
      <c r="J873" s="47"/>
      <c r="K873" s="47"/>
      <c r="L873" s="47"/>
      <c r="M873" s="47"/>
      <c r="N873" s="47"/>
      <c r="O873" s="47"/>
      <c r="P873" s="47"/>
      <c r="Q873" s="47"/>
      <c r="R873" s="47"/>
      <c r="S873" s="50"/>
      <c r="T873" s="51"/>
      <c r="U873" s="51"/>
      <c r="V873" s="51"/>
      <c r="W873" s="51"/>
      <c r="X873" s="51"/>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52"/>
      <c r="BH873" s="48"/>
      <c r="BI873" s="48"/>
      <c r="BJ873" s="48"/>
      <c r="BK873" s="48"/>
      <c r="BL873" s="48"/>
      <c r="BM873" s="48"/>
      <c r="BN873" s="48"/>
      <c r="BO873" s="48"/>
      <c r="BP873" s="48"/>
      <c r="BQ873" s="48"/>
    </row>
    <row r="874" ht="23.25" customHeight="1">
      <c r="A874" s="47"/>
      <c r="B874" s="47"/>
      <c r="C874" s="48"/>
      <c r="D874" s="48"/>
      <c r="E874" s="48"/>
      <c r="F874" s="48"/>
      <c r="G874" s="47"/>
      <c r="H874" s="47"/>
      <c r="I874" s="47"/>
      <c r="J874" s="47"/>
      <c r="K874" s="47"/>
      <c r="L874" s="47"/>
      <c r="M874" s="47"/>
      <c r="N874" s="47"/>
      <c r="O874" s="47"/>
      <c r="P874" s="47"/>
      <c r="Q874" s="47"/>
      <c r="R874" s="47"/>
      <c r="S874" s="50"/>
      <c r="T874" s="51"/>
      <c r="U874" s="51"/>
      <c r="V874" s="51"/>
      <c r="W874" s="51"/>
      <c r="X874" s="51"/>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52"/>
      <c r="BH874" s="48"/>
      <c r="BI874" s="48"/>
      <c r="BJ874" s="48"/>
      <c r="BK874" s="48"/>
      <c r="BL874" s="48"/>
      <c r="BM874" s="48"/>
      <c r="BN874" s="48"/>
      <c r="BO874" s="48"/>
      <c r="BP874" s="48"/>
      <c r="BQ874" s="48"/>
    </row>
    <row r="875" ht="23.25" customHeight="1">
      <c r="A875" s="47"/>
      <c r="B875" s="47"/>
      <c r="C875" s="48"/>
      <c r="D875" s="48"/>
      <c r="E875" s="48"/>
      <c r="F875" s="48"/>
      <c r="G875" s="47"/>
      <c r="H875" s="47"/>
      <c r="I875" s="47"/>
      <c r="J875" s="47"/>
      <c r="K875" s="47"/>
      <c r="L875" s="47"/>
      <c r="M875" s="47"/>
      <c r="N875" s="47"/>
      <c r="O875" s="47"/>
      <c r="P875" s="47"/>
      <c r="Q875" s="47"/>
      <c r="R875" s="47"/>
      <c r="S875" s="50"/>
      <c r="T875" s="51"/>
      <c r="U875" s="51"/>
      <c r="V875" s="51"/>
      <c r="W875" s="51"/>
      <c r="X875" s="51"/>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52"/>
      <c r="BH875" s="48"/>
      <c r="BI875" s="48"/>
      <c r="BJ875" s="48"/>
      <c r="BK875" s="48"/>
      <c r="BL875" s="48"/>
      <c r="BM875" s="48"/>
      <c r="BN875" s="48"/>
      <c r="BO875" s="48"/>
      <c r="BP875" s="48"/>
      <c r="BQ875" s="48"/>
    </row>
    <row r="876" ht="23.25" customHeight="1">
      <c r="A876" s="47"/>
      <c r="B876" s="47"/>
      <c r="C876" s="48"/>
      <c r="D876" s="48"/>
      <c r="E876" s="48"/>
      <c r="F876" s="48"/>
      <c r="G876" s="47"/>
      <c r="H876" s="47"/>
      <c r="I876" s="47"/>
      <c r="J876" s="47"/>
      <c r="K876" s="47"/>
      <c r="L876" s="47"/>
      <c r="M876" s="47"/>
      <c r="N876" s="47"/>
      <c r="O876" s="47"/>
      <c r="P876" s="47"/>
      <c r="Q876" s="47"/>
      <c r="R876" s="47"/>
      <c r="S876" s="50"/>
      <c r="T876" s="51"/>
      <c r="U876" s="51"/>
      <c r="V876" s="51"/>
      <c r="W876" s="51"/>
      <c r="X876" s="51"/>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52"/>
      <c r="BH876" s="48"/>
      <c r="BI876" s="48"/>
      <c r="BJ876" s="48"/>
      <c r="BK876" s="48"/>
      <c r="BL876" s="48"/>
      <c r="BM876" s="48"/>
      <c r="BN876" s="48"/>
      <c r="BO876" s="48"/>
      <c r="BP876" s="48"/>
      <c r="BQ876" s="48"/>
    </row>
    <row r="877" ht="23.25" customHeight="1">
      <c r="A877" s="47"/>
      <c r="B877" s="47"/>
      <c r="C877" s="48"/>
      <c r="D877" s="48"/>
      <c r="E877" s="48"/>
      <c r="F877" s="48"/>
      <c r="G877" s="47"/>
      <c r="H877" s="47"/>
      <c r="I877" s="47"/>
      <c r="J877" s="47"/>
      <c r="K877" s="47"/>
      <c r="L877" s="47"/>
      <c r="M877" s="47"/>
      <c r="N877" s="47"/>
      <c r="O877" s="47"/>
      <c r="P877" s="47"/>
      <c r="Q877" s="47"/>
      <c r="R877" s="47"/>
      <c r="S877" s="50"/>
      <c r="T877" s="51"/>
      <c r="U877" s="51"/>
      <c r="V877" s="51"/>
      <c r="W877" s="51"/>
      <c r="X877" s="51"/>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52"/>
      <c r="BH877" s="48"/>
      <c r="BI877" s="48"/>
      <c r="BJ877" s="48"/>
      <c r="BK877" s="48"/>
      <c r="BL877" s="48"/>
      <c r="BM877" s="48"/>
      <c r="BN877" s="48"/>
      <c r="BO877" s="48"/>
      <c r="BP877" s="48"/>
      <c r="BQ877" s="48"/>
    </row>
    <row r="878" ht="23.25" customHeight="1">
      <c r="A878" s="47"/>
      <c r="B878" s="47"/>
      <c r="C878" s="48"/>
      <c r="D878" s="48"/>
      <c r="E878" s="48"/>
      <c r="F878" s="48"/>
      <c r="G878" s="47"/>
      <c r="H878" s="47"/>
      <c r="I878" s="47"/>
      <c r="J878" s="47"/>
      <c r="K878" s="47"/>
      <c r="L878" s="47"/>
      <c r="M878" s="47"/>
      <c r="N878" s="47"/>
      <c r="O878" s="47"/>
      <c r="P878" s="47"/>
      <c r="Q878" s="47"/>
      <c r="R878" s="47"/>
      <c r="S878" s="50"/>
      <c r="T878" s="51"/>
      <c r="U878" s="51"/>
      <c r="V878" s="51"/>
      <c r="W878" s="51"/>
      <c r="X878" s="51"/>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52"/>
      <c r="BH878" s="48"/>
      <c r="BI878" s="48"/>
      <c r="BJ878" s="48"/>
      <c r="BK878" s="48"/>
      <c r="BL878" s="48"/>
      <c r="BM878" s="48"/>
      <c r="BN878" s="48"/>
      <c r="BO878" s="48"/>
      <c r="BP878" s="48"/>
      <c r="BQ878" s="48"/>
    </row>
    <row r="879" ht="23.25" customHeight="1">
      <c r="A879" s="47"/>
      <c r="B879" s="47"/>
      <c r="C879" s="48"/>
      <c r="D879" s="48"/>
      <c r="E879" s="48"/>
      <c r="F879" s="48"/>
      <c r="G879" s="47"/>
      <c r="H879" s="47"/>
      <c r="I879" s="47"/>
      <c r="J879" s="47"/>
      <c r="K879" s="47"/>
      <c r="L879" s="47"/>
      <c r="M879" s="47"/>
      <c r="N879" s="47"/>
      <c r="O879" s="47"/>
      <c r="P879" s="47"/>
      <c r="Q879" s="47"/>
      <c r="R879" s="47"/>
      <c r="S879" s="50"/>
      <c r="T879" s="51"/>
      <c r="U879" s="51"/>
      <c r="V879" s="51"/>
      <c r="W879" s="51"/>
      <c r="X879" s="51"/>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52"/>
      <c r="BH879" s="48"/>
      <c r="BI879" s="48"/>
      <c r="BJ879" s="48"/>
      <c r="BK879" s="48"/>
      <c r="BL879" s="48"/>
      <c r="BM879" s="48"/>
      <c r="BN879" s="48"/>
      <c r="BO879" s="48"/>
      <c r="BP879" s="48"/>
      <c r="BQ879" s="48"/>
    </row>
    <row r="880" ht="23.25" customHeight="1">
      <c r="A880" s="47"/>
      <c r="B880" s="47"/>
      <c r="C880" s="48"/>
      <c r="D880" s="48"/>
      <c r="E880" s="48"/>
      <c r="F880" s="48"/>
      <c r="G880" s="47"/>
      <c r="H880" s="47"/>
      <c r="I880" s="47"/>
      <c r="J880" s="47"/>
      <c r="K880" s="47"/>
      <c r="L880" s="47"/>
      <c r="M880" s="47"/>
      <c r="N880" s="47"/>
      <c r="O880" s="47"/>
      <c r="P880" s="47"/>
      <c r="Q880" s="47"/>
      <c r="R880" s="47"/>
      <c r="S880" s="50"/>
      <c r="T880" s="51"/>
      <c r="U880" s="51"/>
      <c r="V880" s="51"/>
      <c r="W880" s="51"/>
      <c r="X880" s="51"/>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52"/>
      <c r="BH880" s="48"/>
      <c r="BI880" s="48"/>
      <c r="BJ880" s="48"/>
      <c r="BK880" s="48"/>
      <c r="BL880" s="48"/>
      <c r="BM880" s="48"/>
      <c r="BN880" s="48"/>
      <c r="BO880" s="48"/>
      <c r="BP880" s="48"/>
      <c r="BQ880" s="48"/>
    </row>
    <row r="881" ht="23.25" customHeight="1">
      <c r="A881" s="47"/>
      <c r="B881" s="47"/>
      <c r="C881" s="48"/>
      <c r="D881" s="48"/>
      <c r="E881" s="48"/>
      <c r="F881" s="48"/>
      <c r="G881" s="47"/>
      <c r="H881" s="47"/>
      <c r="I881" s="47"/>
      <c r="J881" s="47"/>
      <c r="K881" s="47"/>
      <c r="L881" s="47"/>
      <c r="M881" s="47"/>
      <c r="N881" s="47"/>
      <c r="O881" s="47"/>
      <c r="P881" s="47"/>
      <c r="Q881" s="47"/>
      <c r="R881" s="47"/>
      <c r="S881" s="50"/>
      <c r="T881" s="51"/>
      <c r="U881" s="51"/>
      <c r="V881" s="51"/>
      <c r="W881" s="51"/>
      <c r="X881" s="51"/>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52"/>
      <c r="BH881" s="48"/>
      <c r="BI881" s="48"/>
      <c r="BJ881" s="48"/>
      <c r="BK881" s="48"/>
      <c r="BL881" s="48"/>
      <c r="BM881" s="48"/>
      <c r="BN881" s="48"/>
      <c r="BO881" s="48"/>
      <c r="BP881" s="48"/>
      <c r="BQ881" s="48"/>
    </row>
    <row r="882" ht="23.25" customHeight="1">
      <c r="A882" s="47"/>
      <c r="B882" s="47"/>
      <c r="C882" s="48"/>
      <c r="D882" s="48"/>
      <c r="E882" s="48"/>
      <c r="F882" s="48"/>
      <c r="G882" s="47"/>
      <c r="H882" s="47"/>
      <c r="I882" s="47"/>
      <c r="J882" s="47"/>
      <c r="K882" s="47"/>
      <c r="L882" s="47"/>
      <c r="M882" s="47"/>
      <c r="N882" s="47"/>
      <c r="O882" s="47"/>
      <c r="P882" s="47"/>
      <c r="Q882" s="47"/>
      <c r="R882" s="47"/>
      <c r="S882" s="50"/>
      <c r="T882" s="51"/>
      <c r="U882" s="51"/>
      <c r="V882" s="51"/>
      <c r="W882" s="51"/>
      <c r="X882" s="51"/>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52"/>
      <c r="BH882" s="48"/>
      <c r="BI882" s="48"/>
      <c r="BJ882" s="48"/>
      <c r="BK882" s="48"/>
      <c r="BL882" s="48"/>
      <c r="BM882" s="48"/>
      <c r="BN882" s="48"/>
      <c r="BO882" s="48"/>
      <c r="BP882" s="48"/>
      <c r="BQ882" s="48"/>
    </row>
    <row r="883" ht="23.25" customHeight="1">
      <c r="A883" s="47"/>
      <c r="B883" s="47"/>
      <c r="C883" s="48"/>
      <c r="D883" s="48"/>
      <c r="E883" s="48"/>
      <c r="F883" s="48"/>
      <c r="G883" s="47"/>
      <c r="H883" s="47"/>
      <c r="I883" s="47"/>
      <c r="J883" s="47"/>
      <c r="K883" s="47"/>
      <c r="L883" s="47"/>
      <c r="M883" s="47"/>
      <c r="N883" s="47"/>
      <c r="O883" s="47"/>
      <c r="P883" s="47"/>
      <c r="Q883" s="47"/>
      <c r="R883" s="47"/>
      <c r="S883" s="50"/>
      <c r="T883" s="51"/>
      <c r="U883" s="51"/>
      <c r="V883" s="51"/>
      <c r="W883" s="51"/>
      <c r="X883" s="51"/>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52"/>
      <c r="BH883" s="48"/>
      <c r="BI883" s="48"/>
      <c r="BJ883" s="48"/>
      <c r="BK883" s="48"/>
      <c r="BL883" s="48"/>
      <c r="BM883" s="48"/>
      <c r="BN883" s="48"/>
      <c r="BO883" s="48"/>
      <c r="BP883" s="48"/>
      <c r="BQ883" s="48"/>
    </row>
    <row r="884" ht="23.25" customHeight="1">
      <c r="A884" s="47"/>
      <c r="B884" s="47"/>
      <c r="C884" s="48"/>
      <c r="D884" s="48"/>
      <c r="E884" s="48"/>
      <c r="F884" s="48"/>
      <c r="G884" s="47"/>
      <c r="H884" s="47"/>
      <c r="I884" s="47"/>
      <c r="J884" s="47"/>
      <c r="K884" s="47"/>
      <c r="L884" s="47"/>
      <c r="M884" s="47"/>
      <c r="N884" s="47"/>
      <c r="O884" s="47"/>
      <c r="P884" s="47"/>
      <c r="Q884" s="47"/>
      <c r="R884" s="47"/>
      <c r="S884" s="50"/>
      <c r="T884" s="51"/>
      <c r="U884" s="51"/>
      <c r="V884" s="51"/>
      <c r="W884" s="51"/>
      <c r="X884" s="51"/>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52"/>
      <c r="BH884" s="48"/>
      <c r="BI884" s="48"/>
      <c r="BJ884" s="48"/>
      <c r="BK884" s="48"/>
      <c r="BL884" s="48"/>
      <c r="BM884" s="48"/>
      <c r="BN884" s="48"/>
      <c r="BO884" s="48"/>
      <c r="BP884" s="48"/>
      <c r="BQ884" s="48"/>
    </row>
    <row r="885" ht="23.25" customHeight="1">
      <c r="A885" s="47"/>
      <c r="B885" s="47"/>
      <c r="C885" s="48"/>
      <c r="D885" s="48"/>
      <c r="E885" s="48"/>
      <c r="F885" s="48"/>
      <c r="G885" s="47"/>
      <c r="H885" s="47"/>
      <c r="I885" s="47"/>
      <c r="J885" s="47"/>
      <c r="K885" s="47"/>
      <c r="L885" s="47"/>
      <c r="M885" s="47"/>
      <c r="N885" s="47"/>
      <c r="O885" s="47"/>
      <c r="P885" s="47"/>
      <c r="Q885" s="47"/>
      <c r="R885" s="47"/>
      <c r="S885" s="50"/>
      <c r="T885" s="51"/>
      <c r="U885" s="51"/>
      <c r="V885" s="51"/>
      <c r="W885" s="51"/>
      <c r="X885" s="51"/>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52"/>
      <c r="BH885" s="48"/>
      <c r="BI885" s="48"/>
      <c r="BJ885" s="48"/>
      <c r="BK885" s="48"/>
      <c r="BL885" s="48"/>
      <c r="BM885" s="48"/>
      <c r="BN885" s="48"/>
      <c r="BO885" s="48"/>
      <c r="BP885" s="48"/>
      <c r="BQ885" s="48"/>
    </row>
    <row r="886" ht="23.25" customHeight="1">
      <c r="A886" s="47"/>
      <c r="B886" s="47"/>
      <c r="C886" s="48"/>
      <c r="D886" s="48"/>
      <c r="E886" s="48"/>
      <c r="F886" s="48"/>
      <c r="G886" s="47"/>
      <c r="H886" s="47"/>
      <c r="I886" s="47"/>
      <c r="J886" s="47"/>
      <c r="K886" s="47"/>
      <c r="L886" s="47"/>
      <c r="M886" s="47"/>
      <c r="N886" s="47"/>
      <c r="O886" s="47"/>
      <c r="P886" s="47"/>
      <c r="Q886" s="47"/>
      <c r="R886" s="47"/>
      <c r="S886" s="50"/>
      <c r="T886" s="51"/>
      <c r="U886" s="51"/>
      <c r="V886" s="51"/>
      <c r="W886" s="51"/>
      <c r="X886" s="51"/>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52"/>
      <c r="BH886" s="48"/>
      <c r="BI886" s="48"/>
      <c r="BJ886" s="48"/>
      <c r="BK886" s="48"/>
      <c r="BL886" s="48"/>
      <c r="BM886" s="48"/>
      <c r="BN886" s="48"/>
      <c r="BO886" s="48"/>
      <c r="BP886" s="48"/>
      <c r="BQ886" s="48"/>
    </row>
    <row r="887" ht="23.25" customHeight="1">
      <c r="A887" s="47"/>
      <c r="B887" s="47"/>
      <c r="C887" s="48"/>
      <c r="D887" s="48"/>
      <c r="E887" s="48"/>
      <c r="F887" s="48"/>
      <c r="G887" s="47"/>
      <c r="H887" s="47"/>
      <c r="I887" s="47"/>
      <c r="J887" s="47"/>
      <c r="K887" s="47"/>
      <c r="L887" s="47"/>
      <c r="M887" s="47"/>
      <c r="N887" s="47"/>
      <c r="O887" s="47"/>
      <c r="P887" s="47"/>
      <c r="Q887" s="47"/>
      <c r="R887" s="47"/>
      <c r="S887" s="50"/>
      <c r="T887" s="51"/>
      <c r="U887" s="51"/>
      <c r="V887" s="51"/>
      <c r="W887" s="51"/>
      <c r="X887" s="51"/>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52"/>
      <c r="BH887" s="48"/>
      <c r="BI887" s="48"/>
      <c r="BJ887" s="48"/>
      <c r="BK887" s="48"/>
      <c r="BL887" s="48"/>
      <c r="BM887" s="48"/>
      <c r="BN887" s="48"/>
      <c r="BO887" s="48"/>
      <c r="BP887" s="48"/>
      <c r="BQ887" s="48"/>
    </row>
    <row r="888" ht="23.25" customHeight="1">
      <c r="A888" s="47"/>
      <c r="B888" s="47"/>
      <c r="C888" s="48"/>
      <c r="D888" s="48"/>
      <c r="E888" s="48"/>
      <c r="F888" s="48"/>
      <c r="G888" s="47"/>
      <c r="H888" s="47"/>
      <c r="I888" s="47"/>
      <c r="J888" s="47"/>
      <c r="K888" s="47"/>
      <c r="L888" s="47"/>
      <c r="M888" s="47"/>
      <c r="N888" s="47"/>
      <c r="O888" s="47"/>
      <c r="P888" s="47"/>
      <c r="Q888" s="47"/>
      <c r="R888" s="47"/>
      <c r="S888" s="50"/>
      <c r="T888" s="51"/>
      <c r="U888" s="51"/>
      <c r="V888" s="51"/>
      <c r="W888" s="51"/>
      <c r="X888" s="51"/>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52"/>
      <c r="BH888" s="48"/>
      <c r="BI888" s="48"/>
      <c r="BJ888" s="48"/>
      <c r="BK888" s="48"/>
      <c r="BL888" s="48"/>
      <c r="BM888" s="48"/>
      <c r="BN888" s="48"/>
      <c r="BO888" s="48"/>
      <c r="BP888" s="48"/>
      <c r="BQ888" s="48"/>
    </row>
    <row r="889" ht="23.25" customHeight="1">
      <c r="A889" s="47"/>
      <c r="B889" s="47"/>
      <c r="C889" s="48"/>
      <c r="D889" s="48"/>
      <c r="E889" s="48"/>
      <c r="F889" s="48"/>
      <c r="G889" s="47"/>
      <c r="H889" s="47"/>
      <c r="I889" s="47"/>
      <c r="J889" s="47"/>
      <c r="K889" s="47"/>
      <c r="L889" s="47"/>
      <c r="M889" s="47"/>
      <c r="N889" s="47"/>
      <c r="O889" s="47"/>
      <c r="P889" s="47"/>
      <c r="Q889" s="47"/>
      <c r="R889" s="47"/>
      <c r="S889" s="50"/>
      <c r="T889" s="51"/>
      <c r="U889" s="51"/>
      <c r="V889" s="51"/>
      <c r="W889" s="51"/>
      <c r="X889" s="51"/>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52"/>
      <c r="BH889" s="48"/>
      <c r="BI889" s="48"/>
      <c r="BJ889" s="48"/>
      <c r="BK889" s="48"/>
      <c r="BL889" s="48"/>
      <c r="BM889" s="48"/>
      <c r="BN889" s="48"/>
      <c r="BO889" s="48"/>
      <c r="BP889" s="48"/>
      <c r="BQ889" s="48"/>
    </row>
    <row r="890" ht="23.25" customHeight="1">
      <c r="A890" s="47"/>
      <c r="B890" s="47"/>
      <c r="C890" s="48"/>
      <c r="D890" s="48"/>
      <c r="E890" s="48"/>
      <c r="F890" s="48"/>
      <c r="G890" s="47"/>
      <c r="H890" s="47"/>
      <c r="I890" s="47"/>
      <c r="J890" s="47"/>
      <c r="K890" s="47"/>
      <c r="L890" s="47"/>
      <c r="M890" s="47"/>
      <c r="N890" s="47"/>
      <c r="O890" s="47"/>
      <c r="P890" s="47"/>
      <c r="Q890" s="47"/>
      <c r="R890" s="47"/>
      <c r="S890" s="50"/>
      <c r="T890" s="51"/>
      <c r="U890" s="51"/>
      <c r="V890" s="51"/>
      <c r="W890" s="51"/>
      <c r="X890" s="51"/>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52"/>
      <c r="BH890" s="48"/>
      <c r="BI890" s="48"/>
      <c r="BJ890" s="48"/>
      <c r="BK890" s="48"/>
      <c r="BL890" s="48"/>
      <c r="BM890" s="48"/>
      <c r="BN890" s="48"/>
      <c r="BO890" s="48"/>
      <c r="BP890" s="48"/>
      <c r="BQ890" s="48"/>
    </row>
    <row r="891" ht="23.25" customHeight="1">
      <c r="A891" s="47"/>
      <c r="B891" s="47"/>
      <c r="C891" s="48"/>
      <c r="D891" s="48"/>
      <c r="E891" s="48"/>
      <c r="F891" s="48"/>
      <c r="G891" s="47"/>
      <c r="H891" s="47"/>
      <c r="I891" s="47"/>
      <c r="J891" s="47"/>
      <c r="K891" s="47"/>
      <c r="L891" s="47"/>
      <c r="M891" s="47"/>
      <c r="N891" s="47"/>
      <c r="O891" s="47"/>
      <c r="P891" s="47"/>
      <c r="Q891" s="47"/>
      <c r="R891" s="47"/>
      <c r="S891" s="50"/>
      <c r="T891" s="51"/>
      <c r="U891" s="51"/>
      <c r="V891" s="51"/>
      <c r="W891" s="51"/>
      <c r="X891" s="51"/>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52"/>
      <c r="BH891" s="48"/>
      <c r="BI891" s="48"/>
      <c r="BJ891" s="48"/>
      <c r="BK891" s="48"/>
      <c r="BL891" s="48"/>
      <c r="BM891" s="48"/>
      <c r="BN891" s="48"/>
      <c r="BO891" s="48"/>
      <c r="BP891" s="48"/>
      <c r="BQ891" s="48"/>
    </row>
    <row r="892" ht="23.25" customHeight="1">
      <c r="A892" s="47"/>
      <c r="B892" s="47"/>
      <c r="C892" s="48"/>
      <c r="D892" s="48"/>
      <c r="E892" s="48"/>
      <c r="F892" s="48"/>
      <c r="G892" s="47"/>
      <c r="H892" s="47"/>
      <c r="I892" s="47"/>
      <c r="J892" s="47"/>
      <c r="K892" s="47"/>
      <c r="L892" s="47"/>
      <c r="M892" s="47"/>
      <c r="N892" s="47"/>
      <c r="O892" s="47"/>
      <c r="P892" s="47"/>
      <c r="Q892" s="47"/>
      <c r="R892" s="47"/>
      <c r="S892" s="50"/>
      <c r="T892" s="51"/>
      <c r="U892" s="51"/>
      <c r="V892" s="51"/>
      <c r="W892" s="51"/>
      <c r="X892" s="51"/>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52"/>
      <c r="BH892" s="48"/>
      <c r="BI892" s="48"/>
      <c r="BJ892" s="48"/>
      <c r="BK892" s="48"/>
      <c r="BL892" s="48"/>
      <c r="BM892" s="48"/>
      <c r="BN892" s="48"/>
      <c r="BO892" s="48"/>
      <c r="BP892" s="48"/>
      <c r="BQ892" s="48"/>
    </row>
    <row r="893" ht="23.25" customHeight="1">
      <c r="A893" s="47"/>
      <c r="B893" s="47"/>
      <c r="C893" s="48"/>
      <c r="D893" s="48"/>
      <c r="E893" s="48"/>
      <c r="F893" s="48"/>
      <c r="G893" s="47"/>
      <c r="H893" s="47"/>
      <c r="I893" s="47"/>
      <c r="J893" s="47"/>
      <c r="K893" s="47"/>
      <c r="L893" s="47"/>
      <c r="M893" s="47"/>
      <c r="N893" s="47"/>
      <c r="O893" s="47"/>
      <c r="P893" s="47"/>
      <c r="Q893" s="47"/>
      <c r="R893" s="47"/>
      <c r="S893" s="50"/>
      <c r="T893" s="51"/>
      <c r="U893" s="51"/>
      <c r="V893" s="51"/>
      <c r="W893" s="51"/>
      <c r="X893" s="51"/>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52"/>
      <c r="BH893" s="48"/>
      <c r="BI893" s="48"/>
      <c r="BJ893" s="48"/>
      <c r="BK893" s="48"/>
      <c r="BL893" s="48"/>
      <c r="BM893" s="48"/>
      <c r="BN893" s="48"/>
      <c r="BO893" s="48"/>
      <c r="BP893" s="48"/>
      <c r="BQ893" s="48"/>
    </row>
    <row r="894" ht="23.25" customHeight="1">
      <c r="A894" s="47"/>
      <c r="B894" s="47"/>
      <c r="C894" s="48"/>
      <c r="D894" s="48"/>
      <c r="E894" s="48"/>
      <c r="F894" s="48"/>
      <c r="G894" s="47"/>
      <c r="H894" s="47"/>
      <c r="I894" s="47"/>
      <c r="J894" s="47"/>
      <c r="K894" s="47"/>
      <c r="L894" s="47"/>
      <c r="M894" s="47"/>
      <c r="N894" s="47"/>
      <c r="O894" s="47"/>
      <c r="P894" s="47"/>
      <c r="Q894" s="47"/>
      <c r="R894" s="47"/>
      <c r="S894" s="50"/>
      <c r="T894" s="51"/>
      <c r="U894" s="51"/>
      <c r="V894" s="51"/>
      <c r="W894" s="51"/>
      <c r="X894" s="51"/>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52"/>
      <c r="BH894" s="48"/>
      <c r="BI894" s="48"/>
      <c r="BJ894" s="48"/>
      <c r="BK894" s="48"/>
      <c r="BL894" s="48"/>
      <c r="BM894" s="48"/>
      <c r="BN894" s="48"/>
      <c r="BO894" s="48"/>
      <c r="BP894" s="48"/>
      <c r="BQ894" s="48"/>
    </row>
    <row r="895" ht="23.25" customHeight="1">
      <c r="A895" s="47"/>
      <c r="B895" s="47"/>
      <c r="C895" s="48"/>
      <c r="D895" s="48"/>
      <c r="E895" s="48"/>
      <c r="F895" s="48"/>
      <c r="G895" s="47"/>
      <c r="H895" s="47"/>
      <c r="I895" s="47"/>
      <c r="J895" s="47"/>
      <c r="K895" s="47"/>
      <c r="L895" s="47"/>
      <c r="M895" s="47"/>
      <c r="N895" s="47"/>
      <c r="O895" s="47"/>
      <c r="P895" s="47"/>
      <c r="Q895" s="47"/>
      <c r="R895" s="47"/>
      <c r="S895" s="50"/>
      <c r="T895" s="51"/>
      <c r="U895" s="51"/>
      <c r="V895" s="51"/>
      <c r="W895" s="51"/>
      <c r="X895" s="51"/>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52"/>
      <c r="BH895" s="48"/>
      <c r="BI895" s="48"/>
      <c r="BJ895" s="48"/>
      <c r="BK895" s="48"/>
      <c r="BL895" s="48"/>
      <c r="BM895" s="48"/>
      <c r="BN895" s="48"/>
      <c r="BO895" s="48"/>
      <c r="BP895" s="48"/>
      <c r="BQ895" s="48"/>
    </row>
    <row r="896" ht="23.25" customHeight="1">
      <c r="A896" s="47"/>
      <c r="B896" s="47"/>
      <c r="C896" s="48"/>
      <c r="D896" s="48"/>
      <c r="E896" s="48"/>
      <c r="F896" s="48"/>
      <c r="G896" s="47"/>
      <c r="H896" s="47"/>
      <c r="I896" s="47"/>
      <c r="J896" s="47"/>
      <c r="K896" s="47"/>
      <c r="L896" s="47"/>
      <c r="M896" s="47"/>
      <c r="N896" s="47"/>
      <c r="O896" s="47"/>
      <c r="P896" s="47"/>
      <c r="Q896" s="47"/>
      <c r="R896" s="47"/>
      <c r="S896" s="50"/>
      <c r="T896" s="51"/>
      <c r="U896" s="51"/>
      <c r="V896" s="51"/>
      <c r="W896" s="51"/>
      <c r="X896" s="51"/>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52"/>
      <c r="BH896" s="48"/>
      <c r="BI896" s="48"/>
      <c r="BJ896" s="48"/>
      <c r="BK896" s="48"/>
      <c r="BL896" s="48"/>
      <c r="BM896" s="48"/>
      <c r="BN896" s="48"/>
      <c r="BO896" s="48"/>
      <c r="BP896" s="48"/>
      <c r="BQ896" s="48"/>
    </row>
    <row r="897" ht="23.25" customHeight="1">
      <c r="A897" s="47"/>
      <c r="B897" s="47"/>
      <c r="C897" s="48"/>
      <c r="D897" s="48"/>
      <c r="E897" s="48"/>
      <c r="F897" s="48"/>
      <c r="G897" s="47"/>
      <c r="H897" s="47"/>
      <c r="I897" s="47"/>
      <c r="J897" s="47"/>
      <c r="K897" s="47"/>
      <c r="L897" s="47"/>
      <c r="M897" s="47"/>
      <c r="N897" s="47"/>
      <c r="O897" s="47"/>
      <c r="P897" s="47"/>
      <c r="Q897" s="47"/>
      <c r="R897" s="47"/>
      <c r="S897" s="50"/>
      <c r="T897" s="51"/>
      <c r="U897" s="51"/>
      <c r="V897" s="51"/>
      <c r="W897" s="51"/>
      <c r="X897" s="51"/>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52"/>
      <c r="BH897" s="48"/>
      <c r="BI897" s="48"/>
      <c r="BJ897" s="48"/>
      <c r="BK897" s="48"/>
      <c r="BL897" s="48"/>
      <c r="BM897" s="48"/>
      <c r="BN897" s="48"/>
      <c r="BO897" s="48"/>
      <c r="BP897" s="48"/>
      <c r="BQ897" s="48"/>
    </row>
    <row r="898" ht="23.25" customHeight="1">
      <c r="A898" s="47"/>
      <c r="B898" s="47"/>
      <c r="C898" s="48"/>
      <c r="D898" s="48"/>
      <c r="E898" s="48"/>
      <c r="F898" s="48"/>
      <c r="G898" s="47"/>
      <c r="H898" s="47"/>
      <c r="I898" s="47"/>
      <c r="J898" s="47"/>
      <c r="K898" s="47"/>
      <c r="L898" s="47"/>
      <c r="M898" s="47"/>
      <c r="N898" s="47"/>
      <c r="O898" s="47"/>
      <c r="P898" s="47"/>
      <c r="Q898" s="47"/>
      <c r="R898" s="47"/>
      <c r="S898" s="50"/>
      <c r="T898" s="51"/>
      <c r="U898" s="51"/>
      <c r="V898" s="51"/>
      <c r="W898" s="51"/>
      <c r="X898" s="51"/>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52"/>
      <c r="BH898" s="48"/>
      <c r="BI898" s="48"/>
      <c r="BJ898" s="48"/>
      <c r="BK898" s="48"/>
      <c r="BL898" s="48"/>
      <c r="BM898" s="48"/>
      <c r="BN898" s="48"/>
      <c r="BO898" s="48"/>
      <c r="BP898" s="48"/>
      <c r="BQ898" s="48"/>
    </row>
    <row r="899" ht="23.25" customHeight="1">
      <c r="A899" s="47"/>
      <c r="B899" s="47"/>
      <c r="C899" s="48"/>
      <c r="D899" s="48"/>
      <c r="E899" s="48"/>
      <c r="F899" s="48"/>
      <c r="G899" s="47"/>
      <c r="H899" s="47"/>
      <c r="I899" s="47"/>
      <c r="J899" s="47"/>
      <c r="K899" s="47"/>
      <c r="L899" s="47"/>
      <c r="M899" s="47"/>
      <c r="N899" s="47"/>
      <c r="O899" s="47"/>
      <c r="P899" s="47"/>
      <c r="Q899" s="47"/>
      <c r="R899" s="47"/>
      <c r="S899" s="50"/>
      <c r="T899" s="51"/>
      <c r="U899" s="51"/>
      <c r="V899" s="51"/>
      <c r="W899" s="51"/>
      <c r="X899" s="51"/>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52"/>
      <c r="BH899" s="48"/>
      <c r="BI899" s="48"/>
      <c r="BJ899" s="48"/>
      <c r="BK899" s="48"/>
      <c r="BL899" s="48"/>
      <c r="BM899" s="48"/>
      <c r="BN899" s="48"/>
      <c r="BO899" s="48"/>
      <c r="BP899" s="48"/>
      <c r="BQ899" s="48"/>
    </row>
    <row r="900" ht="23.25" customHeight="1">
      <c r="A900" s="47"/>
      <c r="B900" s="47"/>
      <c r="C900" s="48"/>
      <c r="D900" s="48"/>
      <c r="E900" s="48"/>
      <c r="F900" s="48"/>
      <c r="G900" s="47"/>
      <c r="H900" s="47"/>
      <c r="I900" s="47"/>
      <c r="J900" s="47"/>
      <c r="K900" s="47"/>
      <c r="L900" s="47"/>
      <c r="M900" s="47"/>
      <c r="N900" s="47"/>
      <c r="O900" s="47"/>
      <c r="P900" s="47"/>
      <c r="Q900" s="47"/>
      <c r="R900" s="47"/>
      <c r="S900" s="50"/>
      <c r="T900" s="51"/>
      <c r="U900" s="51"/>
      <c r="V900" s="51"/>
      <c r="W900" s="51"/>
      <c r="X900" s="51"/>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52"/>
      <c r="BH900" s="48"/>
      <c r="BI900" s="48"/>
      <c r="BJ900" s="48"/>
      <c r="BK900" s="48"/>
      <c r="BL900" s="48"/>
      <c r="BM900" s="48"/>
      <c r="BN900" s="48"/>
      <c r="BO900" s="48"/>
      <c r="BP900" s="48"/>
      <c r="BQ900" s="48"/>
    </row>
    <row r="901" ht="23.25" customHeight="1">
      <c r="A901" s="47"/>
      <c r="B901" s="47"/>
      <c r="C901" s="48"/>
      <c r="D901" s="48"/>
      <c r="E901" s="48"/>
      <c r="F901" s="48"/>
      <c r="G901" s="47"/>
      <c r="H901" s="47"/>
      <c r="I901" s="47"/>
      <c r="J901" s="47"/>
      <c r="K901" s="47"/>
      <c r="L901" s="47"/>
      <c r="M901" s="47"/>
      <c r="N901" s="47"/>
      <c r="O901" s="47"/>
      <c r="P901" s="47"/>
      <c r="Q901" s="47"/>
      <c r="R901" s="47"/>
      <c r="S901" s="50"/>
      <c r="T901" s="51"/>
      <c r="U901" s="51"/>
      <c r="V901" s="51"/>
      <c r="W901" s="51"/>
      <c r="X901" s="51"/>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52"/>
      <c r="BH901" s="48"/>
      <c r="BI901" s="48"/>
      <c r="BJ901" s="48"/>
      <c r="BK901" s="48"/>
      <c r="BL901" s="48"/>
      <c r="BM901" s="48"/>
      <c r="BN901" s="48"/>
      <c r="BO901" s="48"/>
      <c r="BP901" s="48"/>
      <c r="BQ901" s="48"/>
    </row>
    <row r="902" ht="23.25" customHeight="1">
      <c r="A902" s="47"/>
      <c r="B902" s="47"/>
      <c r="C902" s="48"/>
      <c r="D902" s="48"/>
      <c r="E902" s="48"/>
      <c r="F902" s="48"/>
      <c r="G902" s="47"/>
      <c r="H902" s="47"/>
      <c r="I902" s="47"/>
      <c r="J902" s="47"/>
      <c r="K902" s="47"/>
      <c r="L902" s="47"/>
      <c r="M902" s="47"/>
      <c r="N902" s="47"/>
      <c r="O902" s="47"/>
      <c r="P902" s="47"/>
      <c r="Q902" s="47"/>
      <c r="R902" s="47"/>
      <c r="S902" s="50"/>
      <c r="T902" s="51"/>
      <c r="U902" s="51"/>
      <c r="V902" s="51"/>
      <c r="W902" s="51"/>
      <c r="X902" s="51"/>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52"/>
      <c r="BH902" s="48"/>
      <c r="BI902" s="48"/>
      <c r="BJ902" s="48"/>
      <c r="BK902" s="48"/>
      <c r="BL902" s="48"/>
      <c r="BM902" s="48"/>
      <c r="BN902" s="48"/>
      <c r="BO902" s="48"/>
      <c r="BP902" s="48"/>
      <c r="BQ902" s="48"/>
    </row>
    <row r="903" ht="23.25" customHeight="1">
      <c r="A903" s="47"/>
      <c r="B903" s="47"/>
      <c r="C903" s="48"/>
      <c r="D903" s="48"/>
      <c r="E903" s="48"/>
      <c r="F903" s="48"/>
      <c r="G903" s="47"/>
      <c r="H903" s="47"/>
      <c r="I903" s="47"/>
      <c r="J903" s="47"/>
      <c r="K903" s="47"/>
      <c r="L903" s="47"/>
      <c r="M903" s="47"/>
      <c r="N903" s="47"/>
      <c r="O903" s="47"/>
      <c r="P903" s="47"/>
      <c r="Q903" s="47"/>
      <c r="R903" s="47"/>
      <c r="S903" s="50"/>
      <c r="T903" s="51"/>
      <c r="U903" s="51"/>
      <c r="V903" s="51"/>
      <c r="W903" s="51"/>
      <c r="X903" s="51"/>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52"/>
      <c r="BH903" s="48"/>
      <c r="BI903" s="48"/>
      <c r="BJ903" s="48"/>
      <c r="BK903" s="48"/>
      <c r="BL903" s="48"/>
      <c r="BM903" s="48"/>
      <c r="BN903" s="48"/>
      <c r="BO903" s="48"/>
      <c r="BP903" s="48"/>
      <c r="BQ903" s="48"/>
    </row>
    <row r="904" ht="23.25" customHeight="1">
      <c r="A904" s="47"/>
      <c r="B904" s="47"/>
      <c r="C904" s="48"/>
      <c r="D904" s="48"/>
      <c r="E904" s="48"/>
      <c r="F904" s="48"/>
      <c r="G904" s="47"/>
      <c r="H904" s="47"/>
      <c r="I904" s="47"/>
      <c r="J904" s="47"/>
      <c r="K904" s="47"/>
      <c r="L904" s="47"/>
      <c r="M904" s="47"/>
      <c r="N904" s="47"/>
      <c r="O904" s="47"/>
      <c r="P904" s="47"/>
      <c r="Q904" s="47"/>
      <c r="R904" s="47"/>
      <c r="S904" s="50"/>
      <c r="T904" s="51"/>
      <c r="U904" s="51"/>
      <c r="V904" s="51"/>
      <c r="W904" s="51"/>
      <c r="X904" s="51"/>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52"/>
      <c r="BH904" s="48"/>
      <c r="BI904" s="48"/>
      <c r="BJ904" s="48"/>
      <c r="BK904" s="48"/>
      <c r="BL904" s="48"/>
      <c r="BM904" s="48"/>
      <c r="BN904" s="48"/>
      <c r="BO904" s="48"/>
      <c r="BP904" s="48"/>
      <c r="BQ904" s="48"/>
    </row>
    <row r="905" ht="23.25" customHeight="1">
      <c r="A905" s="47"/>
      <c r="B905" s="47"/>
      <c r="C905" s="48"/>
      <c r="D905" s="48"/>
      <c r="E905" s="48"/>
      <c r="F905" s="48"/>
      <c r="G905" s="47"/>
      <c r="H905" s="47"/>
      <c r="I905" s="47"/>
      <c r="J905" s="47"/>
      <c r="K905" s="47"/>
      <c r="L905" s="47"/>
      <c r="M905" s="47"/>
      <c r="N905" s="47"/>
      <c r="O905" s="47"/>
      <c r="P905" s="47"/>
      <c r="Q905" s="47"/>
      <c r="R905" s="47"/>
      <c r="S905" s="50"/>
      <c r="T905" s="51"/>
      <c r="U905" s="51"/>
      <c r="V905" s="51"/>
      <c r="W905" s="51"/>
      <c r="X905" s="51"/>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52"/>
      <c r="BH905" s="48"/>
      <c r="BI905" s="48"/>
      <c r="BJ905" s="48"/>
      <c r="BK905" s="48"/>
      <c r="BL905" s="48"/>
      <c r="BM905" s="48"/>
      <c r="BN905" s="48"/>
      <c r="BO905" s="48"/>
      <c r="BP905" s="48"/>
      <c r="BQ905" s="48"/>
    </row>
    <row r="906" ht="23.25" customHeight="1">
      <c r="A906" s="47"/>
      <c r="B906" s="47"/>
      <c r="C906" s="48"/>
      <c r="D906" s="48"/>
      <c r="E906" s="48"/>
      <c r="F906" s="48"/>
      <c r="G906" s="47"/>
      <c r="H906" s="47"/>
      <c r="I906" s="47"/>
      <c r="J906" s="47"/>
      <c r="K906" s="47"/>
      <c r="L906" s="47"/>
      <c r="M906" s="47"/>
      <c r="N906" s="47"/>
      <c r="O906" s="47"/>
      <c r="P906" s="47"/>
      <c r="Q906" s="47"/>
      <c r="R906" s="47"/>
      <c r="S906" s="50"/>
      <c r="T906" s="51"/>
      <c r="U906" s="51"/>
      <c r="V906" s="51"/>
      <c r="W906" s="51"/>
      <c r="X906" s="51"/>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52"/>
      <c r="BH906" s="48"/>
      <c r="BI906" s="48"/>
      <c r="BJ906" s="48"/>
      <c r="BK906" s="48"/>
      <c r="BL906" s="48"/>
      <c r="BM906" s="48"/>
      <c r="BN906" s="48"/>
      <c r="BO906" s="48"/>
      <c r="BP906" s="48"/>
      <c r="BQ906" s="48"/>
    </row>
    <row r="907" ht="23.25" customHeight="1">
      <c r="A907" s="47"/>
      <c r="B907" s="47"/>
      <c r="C907" s="48"/>
      <c r="D907" s="48"/>
      <c r="E907" s="48"/>
      <c r="F907" s="48"/>
      <c r="G907" s="47"/>
      <c r="H907" s="47"/>
      <c r="I907" s="47"/>
      <c r="J907" s="47"/>
      <c r="K907" s="47"/>
      <c r="L907" s="47"/>
      <c r="M907" s="47"/>
      <c r="N907" s="47"/>
      <c r="O907" s="47"/>
      <c r="P907" s="47"/>
      <c r="Q907" s="47"/>
      <c r="R907" s="47"/>
      <c r="S907" s="50"/>
      <c r="T907" s="51"/>
      <c r="U907" s="51"/>
      <c r="V907" s="51"/>
      <c r="W907" s="51"/>
      <c r="X907" s="51"/>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52"/>
      <c r="BH907" s="48"/>
      <c r="BI907" s="48"/>
      <c r="BJ907" s="48"/>
      <c r="BK907" s="48"/>
      <c r="BL907" s="48"/>
      <c r="BM907" s="48"/>
      <c r="BN907" s="48"/>
      <c r="BO907" s="48"/>
      <c r="BP907" s="48"/>
      <c r="BQ907" s="48"/>
    </row>
    <row r="908" ht="23.25" customHeight="1">
      <c r="A908" s="47"/>
      <c r="B908" s="47"/>
      <c r="C908" s="48"/>
      <c r="D908" s="48"/>
      <c r="E908" s="48"/>
      <c r="F908" s="48"/>
      <c r="G908" s="47"/>
      <c r="H908" s="47"/>
      <c r="I908" s="47"/>
      <c r="J908" s="47"/>
      <c r="K908" s="47"/>
      <c r="L908" s="47"/>
      <c r="M908" s="47"/>
      <c r="N908" s="47"/>
      <c r="O908" s="47"/>
      <c r="P908" s="47"/>
      <c r="Q908" s="47"/>
      <c r="R908" s="47"/>
      <c r="S908" s="50"/>
      <c r="T908" s="51"/>
      <c r="U908" s="51"/>
      <c r="V908" s="51"/>
      <c r="W908" s="51"/>
      <c r="X908" s="51"/>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52"/>
      <c r="BH908" s="48"/>
      <c r="BI908" s="48"/>
      <c r="BJ908" s="48"/>
      <c r="BK908" s="48"/>
      <c r="BL908" s="48"/>
      <c r="BM908" s="48"/>
      <c r="BN908" s="48"/>
      <c r="BO908" s="48"/>
      <c r="BP908" s="48"/>
      <c r="BQ908" s="48"/>
    </row>
    <row r="909" ht="23.25" customHeight="1">
      <c r="A909" s="47"/>
      <c r="B909" s="47"/>
      <c r="C909" s="48"/>
      <c r="D909" s="48"/>
      <c r="E909" s="48"/>
      <c r="F909" s="48"/>
      <c r="G909" s="47"/>
      <c r="H909" s="47"/>
      <c r="I909" s="47"/>
      <c r="J909" s="47"/>
      <c r="K909" s="47"/>
      <c r="L909" s="47"/>
      <c r="M909" s="47"/>
      <c r="N909" s="47"/>
      <c r="O909" s="47"/>
      <c r="P909" s="47"/>
      <c r="Q909" s="47"/>
      <c r="R909" s="47"/>
      <c r="S909" s="50"/>
      <c r="T909" s="51"/>
      <c r="U909" s="51"/>
      <c r="V909" s="51"/>
      <c r="W909" s="51"/>
      <c r="X909" s="51"/>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52"/>
      <c r="BH909" s="48"/>
      <c r="BI909" s="48"/>
      <c r="BJ909" s="48"/>
      <c r="BK909" s="48"/>
      <c r="BL909" s="48"/>
      <c r="BM909" s="48"/>
      <c r="BN909" s="48"/>
      <c r="BO909" s="48"/>
      <c r="BP909" s="48"/>
      <c r="BQ909" s="48"/>
    </row>
    <row r="910" ht="23.25" customHeight="1">
      <c r="A910" s="47"/>
      <c r="B910" s="47"/>
      <c r="C910" s="48"/>
      <c r="D910" s="48"/>
      <c r="E910" s="48"/>
      <c r="F910" s="48"/>
      <c r="G910" s="47"/>
      <c r="H910" s="47"/>
      <c r="I910" s="47"/>
      <c r="J910" s="47"/>
      <c r="K910" s="47"/>
      <c r="L910" s="47"/>
      <c r="M910" s="47"/>
      <c r="N910" s="47"/>
      <c r="O910" s="47"/>
      <c r="P910" s="47"/>
      <c r="Q910" s="47"/>
      <c r="R910" s="47"/>
      <c r="S910" s="50"/>
      <c r="T910" s="51"/>
      <c r="U910" s="51"/>
      <c r="V910" s="51"/>
      <c r="W910" s="51"/>
      <c r="X910" s="51"/>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52"/>
      <c r="BH910" s="48"/>
      <c r="BI910" s="48"/>
      <c r="BJ910" s="48"/>
      <c r="BK910" s="48"/>
      <c r="BL910" s="48"/>
      <c r="BM910" s="48"/>
      <c r="BN910" s="48"/>
      <c r="BO910" s="48"/>
      <c r="BP910" s="48"/>
      <c r="BQ910" s="48"/>
    </row>
    <row r="911" ht="23.25" customHeight="1">
      <c r="A911" s="47"/>
      <c r="B911" s="47"/>
      <c r="C911" s="48"/>
      <c r="D911" s="48"/>
      <c r="E911" s="48"/>
      <c r="F911" s="48"/>
      <c r="G911" s="47"/>
      <c r="H911" s="47"/>
      <c r="I911" s="47"/>
      <c r="J911" s="47"/>
      <c r="K911" s="47"/>
      <c r="L911" s="47"/>
      <c r="M911" s="47"/>
      <c r="N911" s="47"/>
      <c r="O911" s="47"/>
      <c r="P911" s="47"/>
      <c r="Q911" s="47"/>
      <c r="R911" s="47"/>
      <c r="S911" s="50"/>
      <c r="T911" s="51"/>
      <c r="U911" s="51"/>
      <c r="V911" s="51"/>
      <c r="W911" s="51"/>
      <c r="X911" s="51"/>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52"/>
      <c r="BH911" s="48"/>
      <c r="BI911" s="48"/>
      <c r="BJ911" s="48"/>
      <c r="BK911" s="48"/>
      <c r="BL911" s="48"/>
      <c r="BM911" s="48"/>
      <c r="BN911" s="48"/>
      <c r="BO911" s="48"/>
      <c r="BP911" s="48"/>
      <c r="BQ911" s="48"/>
    </row>
    <row r="912" ht="23.25" customHeight="1">
      <c r="A912" s="47"/>
      <c r="B912" s="47"/>
      <c r="C912" s="48"/>
      <c r="D912" s="48"/>
      <c r="E912" s="48"/>
      <c r="F912" s="48"/>
      <c r="G912" s="47"/>
      <c r="H912" s="47"/>
      <c r="I912" s="47"/>
      <c r="J912" s="47"/>
      <c r="K912" s="47"/>
      <c r="L912" s="47"/>
      <c r="M912" s="47"/>
      <c r="N912" s="47"/>
      <c r="O912" s="47"/>
      <c r="P912" s="47"/>
      <c r="Q912" s="47"/>
      <c r="R912" s="47"/>
      <c r="S912" s="50"/>
      <c r="T912" s="51"/>
      <c r="U912" s="51"/>
      <c r="V912" s="51"/>
      <c r="W912" s="51"/>
      <c r="X912" s="51"/>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52"/>
      <c r="BH912" s="48"/>
      <c r="BI912" s="48"/>
      <c r="BJ912" s="48"/>
      <c r="BK912" s="48"/>
      <c r="BL912" s="48"/>
      <c r="BM912" s="48"/>
      <c r="BN912" s="48"/>
      <c r="BO912" s="48"/>
      <c r="BP912" s="48"/>
      <c r="BQ912" s="48"/>
    </row>
    <row r="913" ht="23.25" customHeight="1">
      <c r="A913" s="47"/>
      <c r="B913" s="47"/>
      <c r="C913" s="48"/>
      <c r="D913" s="48"/>
      <c r="E913" s="48"/>
      <c r="F913" s="48"/>
      <c r="G913" s="47"/>
      <c r="H913" s="47"/>
      <c r="I913" s="47"/>
      <c r="J913" s="47"/>
      <c r="K913" s="47"/>
      <c r="L913" s="47"/>
      <c r="M913" s="47"/>
      <c r="N913" s="47"/>
      <c r="O913" s="47"/>
      <c r="P913" s="47"/>
      <c r="Q913" s="47"/>
      <c r="R913" s="47"/>
      <c r="S913" s="50"/>
      <c r="T913" s="51"/>
      <c r="U913" s="51"/>
      <c r="V913" s="51"/>
      <c r="W913" s="51"/>
      <c r="X913" s="51"/>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52"/>
      <c r="BH913" s="48"/>
      <c r="BI913" s="48"/>
      <c r="BJ913" s="48"/>
      <c r="BK913" s="48"/>
      <c r="BL913" s="48"/>
      <c r="BM913" s="48"/>
      <c r="BN913" s="48"/>
      <c r="BO913" s="48"/>
      <c r="BP913" s="48"/>
      <c r="BQ913" s="48"/>
    </row>
    <row r="914" ht="23.25" customHeight="1">
      <c r="A914" s="47"/>
      <c r="B914" s="47"/>
      <c r="C914" s="48"/>
      <c r="D914" s="48"/>
      <c r="E914" s="48"/>
      <c r="F914" s="48"/>
      <c r="G914" s="47"/>
      <c r="H914" s="47"/>
      <c r="I914" s="47"/>
      <c r="J914" s="47"/>
      <c r="K914" s="47"/>
      <c r="L914" s="47"/>
      <c r="M914" s="47"/>
      <c r="N914" s="47"/>
      <c r="O914" s="47"/>
      <c r="P914" s="47"/>
      <c r="Q914" s="47"/>
      <c r="R914" s="47"/>
      <c r="S914" s="50"/>
      <c r="T914" s="51"/>
      <c r="U914" s="51"/>
      <c r="V914" s="51"/>
      <c r="W914" s="51"/>
      <c r="X914" s="51"/>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52"/>
      <c r="BH914" s="48"/>
      <c r="BI914" s="48"/>
      <c r="BJ914" s="48"/>
      <c r="BK914" s="48"/>
      <c r="BL914" s="48"/>
      <c r="BM914" s="48"/>
      <c r="BN914" s="48"/>
      <c r="BO914" s="48"/>
      <c r="BP914" s="48"/>
      <c r="BQ914" s="48"/>
    </row>
    <row r="915" ht="23.25" customHeight="1">
      <c r="A915" s="47"/>
      <c r="B915" s="47"/>
      <c r="C915" s="48"/>
      <c r="D915" s="48"/>
      <c r="E915" s="48"/>
      <c r="F915" s="48"/>
      <c r="G915" s="47"/>
      <c r="H915" s="47"/>
      <c r="I915" s="47"/>
      <c r="J915" s="47"/>
      <c r="K915" s="47"/>
      <c r="L915" s="47"/>
      <c r="M915" s="47"/>
      <c r="N915" s="47"/>
      <c r="O915" s="47"/>
      <c r="P915" s="47"/>
      <c r="Q915" s="47"/>
      <c r="R915" s="47"/>
      <c r="S915" s="50"/>
      <c r="T915" s="51"/>
      <c r="U915" s="51"/>
      <c r="V915" s="51"/>
      <c r="W915" s="51"/>
      <c r="X915" s="51"/>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52"/>
      <c r="BH915" s="48"/>
      <c r="BI915" s="48"/>
      <c r="BJ915" s="48"/>
      <c r="BK915" s="48"/>
      <c r="BL915" s="48"/>
      <c r="BM915" s="48"/>
      <c r="BN915" s="48"/>
      <c r="BO915" s="48"/>
      <c r="BP915" s="48"/>
      <c r="BQ915" s="48"/>
    </row>
    <row r="916" ht="23.25" customHeight="1">
      <c r="A916" s="47"/>
      <c r="B916" s="47"/>
      <c r="C916" s="48"/>
      <c r="D916" s="48"/>
      <c r="E916" s="48"/>
      <c r="F916" s="48"/>
      <c r="G916" s="47"/>
      <c r="H916" s="47"/>
      <c r="I916" s="47"/>
      <c r="J916" s="47"/>
      <c r="K916" s="47"/>
      <c r="L916" s="47"/>
      <c r="M916" s="47"/>
      <c r="N916" s="47"/>
      <c r="O916" s="47"/>
      <c r="P916" s="47"/>
      <c r="Q916" s="47"/>
      <c r="R916" s="47"/>
      <c r="S916" s="50"/>
      <c r="T916" s="51"/>
      <c r="U916" s="51"/>
      <c r="V916" s="51"/>
      <c r="W916" s="51"/>
      <c r="X916" s="51"/>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52"/>
      <c r="BH916" s="48"/>
      <c r="BI916" s="48"/>
      <c r="BJ916" s="48"/>
      <c r="BK916" s="48"/>
      <c r="BL916" s="48"/>
      <c r="BM916" s="48"/>
      <c r="BN916" s="48"/>
      <c r="BO916" s="48"/>
      <c r="BP916" s="48"/>
      <c r="BQ916" s="48"/>
    </row>
    <row r="917" ht="23.25" customHeight="1">
      <c r="A917" s="47"/>
      <c r="B917" s="47"/>
      <c r="C917" s="48"/>
      <c r="D917" s="48"/>
      <c r="E917" s="48"/>
      <c r="F917" s="48"/>
      <c r="G917" s="47"/>
      <c r="H917" s="47"/>
      <c r="I917" s="47"/>
      <c r="J917" s="47"/>
      <c r="K917" s="47"/>
      <c r="L917" s="47"/>
      <c r="M917" s="47"/>
      <c r="N917" s="47"/>
      <c r="O917" s="47"/>
      <c r="P917" s="47"/>
      <c r="Q917" s="47"/>
      <c r="R917" s="47"/>
      <c r="S917" s="50"/>
      <c r="T917" s="51"/>
      <c r="U917" s="51"/>
      <c r="V917" s="51"/>
      <c r="W917" s="51"/>
      <c r="X917" s="51"/>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52"/>
      <c r="BH917" s="48"/>
      <c r="BI917" s="48"/>
      <c r="BJ917" s="48"/>
      <c r="BK917" s="48"/>
      <c r="BL917" s="48"/>
      <c r="BM917" s="48"/>
      <c r="BN917" s="48"/>
      <c r="BO917" s="48"/>
      <c r="BP917" s="48"/>
      <c r="BQ917" s="48"/>
    </row>
    <row r="918" ht="23.25" customHeight="1">
      <c r="A918" s="47"/>
      <c r="B918" s="47"/>
      <c r="C918" s="48"/>
      <c r="D918" s="48"/>
      <c r="E918" s="48"/>
      <c r="F918" s="48"/>
      <c r="G918" s="47"/>
      <c r="H918" s="47"/>
      <c r="I918" s="47"/>
      <c r="J918" s="47"/>
      <c r="K918" s="47"/>
      <c r="L918" s="47"/>
      <c r="M918" s="47"/>
      <c r="N918" s="47"/>
      <c r="O918" s="47"/>
      <c r="P918" s="47"/>
      <c r="Q918" s="47"/>
      <c r="R918" s="47"/>
      <c r="S918" s="50"/>
      <c r="T918" s="51"/>
      <c r="U918" s="51"/>
      <c r="V918" s="51"/>
      <c r="W918" s="51"/>
      <c r="X918" s="51"/>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52"/>
      <c r="BH918" s="48"/>
      <c r="BI918" s="48"/>
      <c r="BJ918" s="48"/>
      <c r="BK918" s="48"/>
      <c r="BL918" s="48"/>
      <c r="BM918" s="48"/>
      <c r="BN918" s="48"/>
      <c r="BO918" s="48"/>
      <c r="BP918" s="48"/>
      <c r="BQ918" s="48"/>
    </row>
    <row r="919" ht="23.25" customHeight="1">
      <c r="A919" s="47"/>
      <c r="B919" s="47"/>
      <c r="C919" s="48"/>
      <c r="D919" s="48"/>
      <c r="E919" s="48"/>
      <c r="F919" s="48"/>
      <c r="G919" s="47"/>
      <c r="H919" s="47"/>
      <c r="I919" s="47"/>
      <c r="J919" s="47"/>
      <c r="K919" s="47"/>
      <c r="L919" s="47"/>
      <c r="M919" s="47"/>
      <c r="N919" s="47"/>
      <c r="O919" s="47"/>
      <c r="P919" s="47"/>
      <c r="Q919" s="47"/>
      <c r="R919" s="47"/>
      <c r="S919" s="50"/>
      <c r="T919" s="51"/>
      <c r="U919" s="51"/>
      <c r="V919" s="51"/>
      <c r="W919" s="51"/>
      <c r="X919" s="51"/>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52"/>
      <c r="BH919" s="48"/>
      <c r="BI919" s="48"/>
      <c r="BJ919" s="48"/>
      <c r="BK919" s="48"/>
      <c r="BL919" s="48"/>
      <c r="BM919" s="48"/>
      <c r="BN919" s="48"/>
      <c r="BO919" s="48"/>
      <c r="BP919" s="48"/>
      <c r="BQ919" s="48"/>
    </row>
    <row r="920" ht="23.25" customHeight="1">
      <c r="A920" s="47"/>
      <c r="B920" s="47"/>
      <c r="C920" s="48"/>
      <c r="D920" s="48"/>
      <c r="E920" s="48"/>
      <c r="F920" s="48"/>
      <c r="G920" s="47"/>
      <c r="H920" s="47"/>
      <c r="I920" s="47"/>
      <c r="J920" s="47"/>
      <c r="K920" s="47"/>
      <c r="L920" s="47"/>
      <c r="M920" s="47"/>
      <c r="N920" s="47"/>
      <c r="O920" s="47"/>
      <c r="P920" s="47"/>
      <c r="Q920" s="47"/>
      <c r="R920" s="47"/>
      <c r="S920" s="50"/>
      <c r="T920" s="51"/>
      <c r="U920" s="51"/>
      <c r="V920" s="51"/>
      <c r="W920" s="51"/>
      <c r="X920" s="51"/>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52"/>
      <c r="BH920" s="48"/>
      <c r="BI920" s="48"/>
      <c r="BJ920" s="48"/>
      <c r="BK920" s="48"/>
      <c r="BL920" s="48"/>
      <c r="BM920" s="48"/>
      <c r="BN920" s="48"/>
      <c r="BO920" s="48"/>
      <c r="BP920" s="48"/>
      <c r="BQ920" s="48"/>
    </row>
    <row r="921" ht="23.25" customHeight="1">
      <c r="A921" s="47"/>
      <c r="B921" s="47"/>
      <c r="C921" s="48"/>
      <c r="D921" s="48"/>
      <c r="E921" s="48"/>
      <c r="F921" s="48"/>
      <c r="G921" s="47"/>
      <c r="H921" s="47"/>
      <c r="I921" s="47"/>
      <c r="J921" s="47"/>
      <c r="K921" s="47"/>
      <c r="L921" s="47"/>
      <c r="M921" s="47"/>
      <c r="N921" s="47"/>
      <c r="O921" s="47"/>
      <c r="P921" s="47"/>
      <c r="Q921" s="47"/>
      <c r="R921" s="47"/>
      <c r="S921" s="50"/>
      <c r="T921" s="51"/>
      <c r="U921" s="51"/>
      <c r="V921" s="51"/>
      <c r="W921" s="51"/>
      <c r="X921" s="51"/>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52"/>
      <c r="BH921" s="48"/>
      <c r="BI921" s="48"/>
      <c r="BJ921" s="48"/>
      <c r="BK921" s="48"/>
      <c r="BL921" s="48"/>
      <c r="BM921" s="48"/>
      <c r="BN921" s="48"/>
      <c r="BO921" s="48"/>
      <c r="BP921" s="48"/>
      <c r="BQ921" s="48"/>
    </row>
    <row r="922" ht="23.25" customHeight="1">
      <c r="A922" s="47"/>
      <c r="B922" s="47"/>
      <c r="C922" s="48"/>
      <c r="D922" s="48"/>
      <c r="E922" s="48"/>
      <c r="F922" s="48"/>
      <c r="G922" s="47"/>
      <c r="H922" s="47"/>
      <c r="I922" s="47"/>
      <c r="J922" s="47"/>
      <c r="K922" s="47"/>
      <c r="L922" s="47"/>
      <c r="M922" s="47"/>
      <c r="N922" s="47"/>
      <c r="O922" s="47"/>
      <c r="P922" s="47"/>
      <c r="Q922" s="47"/>
      <c r="R922" s="47"/>
      <c r="S922" s="50"/>
      <c r="T922" s="51"/>
      <c r="U922" s="51"/>
      <c r="V922" s="51"/>
      <c r="W922" s="51"/>
      <c r="X922" s="51"/>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52"/>
      <c r="BH922" s="48"/>
      <c r="BI922" s="48"/>
      <c r="BJ922" s="48"/>
      <c r="BK922" s="48"/>
      <c r="BL922" s="48"/>
      <c r="BM922" s="48"/>
      <c r="BN922" s="48"/>
      <c r="BO922" s="48"/>
      <c r="BP922" s="48"/>
      <c r="BQ922" s="48"/>
    </row>
    <row r="923" ht="23.25" customHeight="1">
      <c r="A923" s="47"/>
      <c r="B923" s="47"/>
      <c r="C923" s="48"/>
      <c r="D923" s="48"/>
      <c r="E923" s="48"/>
      <c r="F923" s="48"/>
      <c r="G923" s="47"/>
      <c r="H923" s="47"/>
      <c r="I923" s="47"/>
      <c r="J923" s="47"/>
      <c r="K923" s="47"/>
      <c r="L923" s="47"/>
      <c r="M923" s="47"/>
      <c r="N923" s="47"/>
      <c r="O923" s="47"/>
      <c r="P923" s="47"/>
      <c r="Q923" s="47"/>
      <c r="R923" s="47"/>
      <c r="S923" s="50"/>
      <c r="T923" s="51"/>
      <c r="U923" s="51"/>
      <c r="V923" s="51"/>
      <c r="W923" s="51"/>
      <c r="X923" s="51"/>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52"/>
      <c r="BH923" s="48"/>
      <c r="BI923" s="48"/>
      <c r="BJ923" s="48"/>
      <c r="BK923" s="48"/>
      <c r="BL923" s="48"/>
      <c r="BM923" s="48"/>
      <c r="BN923" s="48"/>
      <c r="BO923" s="48"/>
      <c r="BP923" s="48"/>
      <c r="BQ923" s="48"/>
    </row>
    <row r="924" ht="23.25" customHeight="1">
      <c r="A924" s="47"/>
      <c r="B924" s="47"/>
      <c r="C924" s="48"/>
      <c r="D924" s="48"/>
      <c r="E924" s="48"/>
      <c r="F924" s="48"/>
      <c r="G924" s="47"/>
      <c r="H924" s="47"/>
      <c r="I924" s="47"/>
      <c r="J924" s="47"/>
      <c r="K924" s="47"/>
      <c r="L924" s="47"/>
      <c r="M924" s="47"/>
      <c r="N924" s="47"/>
      <c r="O924" s="47"/>
      <c r="P924" s="47"/>
      <c r="Q924" s="47"/>
      <c r="R924" s="47"/>
      <c r="S924" s="50"/>
      <c r="T924" s="51"/>
      <c r="U924" s="51"/>
      <c r="V924" s="51"/>
      <c r="W924" s="51"/>
      <c r="X924" s="51"/>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52"/>
      <c r="BH924" s="48"/>
      <c r="BI924" s="48"/>
      <c r="BJ924" s="48"/>
      <c r="BK924" s="48"/>
      <c r="BL924" s="48"/>
      <c r="BM924" s="48"/>
      <c r="BN924" s="48"/>
      <c r="BO924" s="48"/>
      <c r="BP924" s="48"/>
      <c r="BQ924" s="48"/>
    </row>
    <row r="925" ht="23.25" customHeight="1">
      <c r="A925" s="47"/>
      <c r="B925" s="47"/>
      <c r="C925" s="48"/>
      <c r="D925" s="48"/>
      <c r="E925" s="48"/>
      <c r="F925" s="48"/>
      <c r="G925" s="47"/>
      <c r="H925" s="47"/>
      <c r="I925" s="47"/>
      <c r="J925" s="47"/>
      <c r="K925" s="47"/>
      <c r="L925" s="47"/>
      <c r="M925" s="47"/>
      <c r="N925" s="47"/>
      <c r="O925" s="47"/>
      <c r="P925" s="47"/>
      <c r="Q925" s="47"/>
      <c r="R925" s="47"/>
      <c r="S925" s="50"/>
      <c r="T925" s="51"/>
      <c r="U925" s="51"/>
      <c r="V925" s="51"/>
      <c r="W925" s="51"/>
      <c r="X925" s="51"/>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52"/>
      <c r="BH925" s="48"/>
      <c r="BI925" s="48"/>
      <c r="BJ925" s="48"/>
      <c r="BK925" s="48"/>
      <c r="BL925" s="48"/>
      <c r="BM925" s="48"/>
      <c r="BN925" s="48"/>
      <c r="BO925" s="48"/>
      <c r="BP925" s="48"/>
      <c r="BQ925" s="48"/>
    </row>
    <row r="926" ht="23.25" customHeight="1">
      <c r="A926" s="47"/>
      <c r="B926" s="47"/>
      <c r="C926" s="48"/>
      <c r="D926" s="48"/>
      <c r="E926" s="48"/>
      <c r="F926" s="48"/>
      <c r="G926" s="47"/>
      <c r="H926" s="47"/>
      <c r="I926" s="47"/>
      <c r="J926" s="47"/>
      <c r="K926" s="47"/>
      <c r="L926" s="47"/>
      <c r="M926" s="47"/>
      <c r="N926" s="47"/>
      <c r="O926" s="47"/>
      <c r="P926" s="47"/>
      <c r="Q926" s="47"/>
      <c r="R926" s="47"/>
      <c r="S926" s="50"/>
      <c r="T926" s="51"/>
      <c r="U926" s="51"/>
      <c r="V926" s="51"/>
      <c r="W926" s="51"/>
      <c r="X926" s="51"/>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52"/>
      <c r="BH926" s="48"/>
      <c r="BI926" s="48"/>
      <c r="BJ926" s="48"/>
      <c r="BK926" s="48"/>
      <c r="BL926" s="48"/>
      <c r="BM926" s="48"/>
      <c r="BN926" s="48"/>
      <c r="BO926" s="48"/>
      <c r="BP926" s="48"/>
      <c r="BQ926" s="48"/>
    </row>
    <row r="927" ht="23.25" customHeight="1">
      <c r="A927" s="47"/>
      <c r="B927" s="47"/>
      <c r="C927" s="48"/>
      <c r="D927" s="48"/>
      <c r="E927" s="48"/>
      <c r="F927" s="48"/>
      <c r="G927" s="47"/>
      <c r="H927" s="47"/>
      <c r="I927" s="47"/>
      <c r="J927" s="47"/>
      <c r="K927" s="47"/>
      <c r="L927" s="47"/>
      <c r="M927" s="47"/>
      <c r="N927" s="47"/>
      <c r="O927" s="47"/>
      <c r="P927" s="47"/>
      <c r="Q927" s="47"/>
      <c r="R927" s="47"/>
      <c r="S927" s="50"/>
      <c r="T927" s="51"/>
      <c r="U927" s="51"/>
      <c r="V927" s="51"/>
      <c r="W927" s="51"/>
      <c r="X927" s="51"/>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52"/>
      <c r="BH927" s="48"/>
      <c r="BI927" s="48"/>
      <c r="BJ927" s="48"/>
      <c r="BK927" s="48"/>
      <c r="BL927" s="48"/>
      <c r="BM927" s="48"/>
      <c r="BN927" s="48"/>
      <c r="BO927" s="48"/>
      <c r="BP927" s="48"/>
      <c r="BQ927" s="48"/>
    </row>
    <row r="928" ht="23.25" customHeight="1">
      <c r="A928" s="47"/>
      <c r="B928" s="47"/>
      <c r="C928" s="48"/>
      <c r="D928" s="48"/>
      <c r="E928" s="48"/>
      <c r="F928" s="48"/>
      <c r="G928" s="47"/>
      <c r="H928" s="47"/>
      <c r="I928" s="47"/>
      <c r="J928" s="47"/>
      <c r="K928" s="47"/>
      <c r="L928" s="47"/>
      <c r="M928" s="47"/>
      <c r="N928" s="47"/>
      <c r="O928" s="47"/>
      <c r="P928" s="47"/>
      <c r="Q928" s="47"/>
      <c r="R928" s="47"/>
      <c r="S928" s="50"/>
      <c r="T928" s="51"/>
      <c r="U928" s="51"/>
      <c r="V928" s="51"/>
      <c r="W928" s="51"/>
      <c r="X928" s="51"/>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52"/>
      <c r="BH928" s="48"/>
      <c r="BI928" s="48"/>
      <c r="BJ928" s="48"/>
      <c r="BK928" s="48"/>
      <c r="BL928" s="48"/>
      <c r="BM928" s="48"/>
      <c r="BN928" s="48"/>
      <c r="BO928" s="48"/>
      <c r="BP928" s="48"/>
      <c r="BQ928" s="48"/>
    </row>
    <row r="929" ht="23.25" customHeight="1">
      <c r="A929" s="47"/>
      <c r="B929" s="47"/>
      <c r="C929" s="48"/>
      <c r="D929" s="48"/>
      <c r="E929" s="48"/>
      <c r="F929" s="48"/>
      <c r="G929" s="47"/>
      <c r="H929" s="47"/>
      <c r="I929" s="47"/>
      <c r="J929" s="47"/>
      <c r="K929" s="47"/>
      <c r="L929" s="47"/>
      <c r="M929" s="47"/>
      <c r="N929" s="47"/>
      <c r="O929" s="47"/>
      <c r="P929" s="47"/>
      <c r="Q929" s="47"/>
      <c r="R929" s="47"/>
      <c r="S929" s="50"/>
      <c r="T929" s="51"/>
      <c r="U929" s="51"/>
      <c r="V929" s="51"/>
      <c r="W929" s="51"/>
      <c r="X929" s="51"/>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52"/>
      <c r="BH929" s="48"/>
      <c r="BI929" s="48"/>
      <c r="BJ929" s="48"/>
      <c r="BK929" s="48"/>
      <c r="BL929" s="48"/>
      <c r="BM929" s="48"/>
      <c r="BN929" s="48"/>
      <c r="BO929" s="48"/>
      <c r="BP929" s="48"/>
      <c r="BQ929" s="48"/>
    </row>
    <row r="930" ht="23.25" customHeight="1">
      <c r="A930" s="47"/>
      <c r="B930" s="47"/>
      <c r="C930" s="48"/>
      <c r="D930" s="48"/>
      <c r="E930" s="48"/>
      <c r="F930" s="48"/>
      <c r="G930" s="47"/>
      <c r="H930" s="47"/>
      <c r="I930" s="47"/>
      <c r="J930" s="47"/>
      <c r="K930" s="47"/>
      <c r="L930" s="47"/>
      <c r="M930" s="47"/>
      <c r="N930" s="47"/>
      <c r="O930" s="47"/>
      <c r="P930" s="47"/>
      <c r="Q930" s="47"/>
      <c r="R930" s="47"/>
      <c r="S930" s="50"/>
      <c r="T930" s="51"/>
      <c r="U930" s="51"/>
      <c r="V930" s="51"/>
      <c r="W930" s="51"/>
      <c r="X930" s="51"/>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52"/>
      <c r="BH930" s="48"/>
      <c r="BI930" s="48"/>
      <c r="BJ930" s="48"/>
      <c r="BK930" s="48"/>
      <c r="BL930" s="48"/>
      <c r="BM930" s="48"/>
      <c r="BN930" s="48"/>
      <c r="BO930" s="48"/>
      <c r="BP930" s="48"/>
      <c r="BQ930" s="48"/>
    </row>
    <row r="931" ht="23.25" customHeight="1">
      <c r="A931" s="47"/>
      <c r="B931" s="47"/>
      <c r="C931" s="48"/>
      <c r="D931" s="48"/>
      <c r="E931" s="48"/>
      <c r="F931" s="48"/>
      <c r="G931" s="47"/>
      <c r="H931" s="47"/>
      <c r="I931" s="47"/>
      <c r="J931" s="47"/>
      <c r="K931" s="47"/>
      <c r="L931" s="47"/>
      <c r="M931" s="47"/>
      <c r="N931" s="47"/>
      <c r="O931" s="47"/>
      <c r="P931" s="47"/>
      <c r="Q931" s="47"/>
      <c r="R931" s="47"/>
      <c r="S931" s="50"/>
      <c r="T931" s="51"/>
      <c r="U931" s="51"/>
      <c r="V931" s="51"/>
      <c r="W931" s="51"/>
      <c r="X931" s="51"/>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52"/>
      <c r="BH931" s="48"/>
      <c r="BI931" s="48"/>
      <c r="BJ931" s="48"/>
      <c r="BK931" s="48"/>
      <c r="BL931" s="48"/>
      <c r="BM931" s="48"/>
      <c r="BN931" s="48"/>
      <c r="BO931" s="48"/>
      <c r="BP931" s="48"/>
      <c r="BQ931" s="48"/>
    </row>
    <row r="932" ht="23.25" customHeight="1">
      <c r="A932" s="47"/>
      <c r="B932" s="47"/>
      <c r="C932" s="48"/>
      <c r="D932" s="48"/>
      <c r="E932" s="48"/>
      <c r="F932" s="48"/>
      <c r="G932" s="47"/>
      <c r="H932" s="47"/>
      <c r="I932" s="47"/>
      <c r="J932" s="47"/>
      <c r="K932" s="47"/>
      <c r="L932" s="47"/>
      <c r="M932" s="47"/>
      <c r="N932" s="47"/>
      <c r="O932" s="47"/>
      <c r="P932" s="47"/>
      <c r="Q932" s="47"/>
      <c r="R932" s="47"/>
      <c r="S932" s="50"/>
      <c r="T932" s="51"/>
      <c r="U932" s="51"/>
      <c r="V932" s="51"/>
      <c r="W932" s="51"/>
      <c r="X932" s="51"/>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52"/>
      <c r="BH932" s="48"/>
      <c r="BI932" s="48"/>
      <c r="BJ932" s="48"/>
      <c r="BK932" s="48"/>
      <c r="BL932" s="48"/>
      <c r="BM932" s="48"/>
      <c r="BN932" s="48"/>
      <c r="BO932" s="48"/>
      <c r="BP932" s="48"/>
      <c r="BQ932" s="48"/>
    </row>
    <row r="933" ht="23.25" customHeight="1">
      <c r="A933" s="47"/>
      <c r="B933" s="47"/>
      <c r="C933" s="48"/>
      <c r="D933" s="48"/>
      <c r="E933" s="48"/>
      <c r="F933" s="48"/>
      <c r="G933" s="47"/>
      <c r="H933" s="47"/>
      <c r="I933" s="47"/>
      <c r="J933" s="47"/>
      <c r="K933" s="47"/>
      <c r="L933" s="47"/>
      <c r="M933" s="47"/>
      <c r="N933" s="47"/>
      <c r="O933" s="47"/>
      <c r="P933" s="47"/>
      <c r="Q933" s="47"/>
      <c r="R933" s="47"/>
      <c r="S933" s="50"/>
      <c r="T933" s="51"/>
      <c r="U933" s="51"/>
      <c r="V933" s="51"/>
      <c r="W933" s="51"/>
      <c r="X933" s="51"/>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52"/>
      <c r="BH933" s="48"/>
      <c r="BI933" s="48"/>
      <c r="BJ933" s="48"/>
      <c r="BK933" s="48"/>
      <c r="BL933" s="48"/>
      <c r="BM933" s="48"/>
      <c r="BN933" s="48"/>
      <c r="BO933" s="48"/>
      <c r="BP933" s="48"/>
      <c r="BQ933" s="48"/>
    </row>
    <row r="934" ht="23.25" customHeight="1">
      <c r="A934" s="47"/>
      <c r="B934" s="47"/>
      <c r="C934" s="48"/>
      <c r="D934" s="48"/>
      <c r="E934" s="48"/>
      <c r="F934" s="48"/>
      <c r="G934" s="47"/>
      <c r="H934" s="47"/>
      <c r="I934" s="47"/>
      <c r="J934" s="47"/>
      <c r="K934" s="47"/>
      <c r="L934" s="47"/>
      <c r="M934" s="47"/>
      <c r="N934" s="47"/>
      <c r="O934" s="47"/>
      <c r="P934" s="47"/>
      <c r="Q934" s="47"/>
      <c r="R934" s="47"/>
      <c r="S934" s="50"/>
      <c r="T934" s="51"/>
      <c r="U934" s="51"/>
      <c r="V934" s="51"/>
      <c r="W934" s="51"/>
      <c r="X934" s="51"/>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52"/>
      <c r="BH934" s="48"/>
      <c r="BI934" s="48"/>
      <c r="BJ934" s="48"/>
      <c r="BK934" s="48"/>
      <c r="BL934" s="48"/>
      <c r="BM934" s="48"/>
      <c r="BN934" s="48"/>
      <c r="BO934" s="48"/>
      <c r="BP934" s="48"/>
      <c r="BQ934" s="48"/>
    </row>
    <row r="935" ht="23.25" customHeight="1">
      <c r="A935" s="47"/>
      <c r="B935" s="47"/>
      <c r="C935" s="48"/>
      <c r="D935" s="48"/>
      <c r="E935" s="48"/>
      <c r="F935" s="48"/>
      <c r="G935" s="47"/>
      <c r="H935" s="47"/>
      <c r="I935" s="47"/>
      <c r="J935" s="47"/>
      <c r="K935" s="47"/>
      <c r="L935" s="47"/>
      <c r="M935" s="47"/>
      <c r="N935" s="47"/>
      <c r="O935" s="47"/>
      <c r="P935" s="47"/>
      <c r="Q935" s="47"/>
      <c r="R935" s="47"/>
      <c r="S935" s="50"/>
      <c r="T935" s="51"/>
      <c r="U935" s="51"/>
      <c r="V935" s="51"/>
      <c r="W935" s="51"/>
      <c r="X935" s="51"/>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52"/>
      <c r="BH935" s="48"/>
      <c r="BI935" s="48"/>
      <c r="BJ935" s="48"/>
      <c r="BK935" s="48"/>
      <c r="BL935" s="48"/>
      <c r="BM935" s="48"/>
      <c r="BN935" s="48"/>
      <c r="BO935" s="48"/>
      <c r="BP935" s="48"/>
      <c r="BQ935" s="48"/>
    </row>
    <row r="936" ht="23.25" customHeight="1">
      <c r="A936" s="47"/>
      <c r="B936" s="47"/>
      <c r="C936" s="48"/>
      <c r="D936" s="48"/>
      <c r="E936" s="48"/>
      <c r="F936" s="48"/>
      <c r="G936" s="47"/>
      <c r="H936" s="47"/>
      <c r="I936" s="47"/>
      <c r="J936" s="47"/>
      <c r="K936" s="47"/>
      <c r="L936" s="47"/>
      <c r="M936" s="47"/>
      <c r="N936" s="47"/>
      <c r="O936" s="47"/>
      <c r="P936" s="47"/>
      <c r="Q936" s="47"/>
      <c r="R936" s="47"/>
      <c r="S936" s="50"/>
      <c r="T936" s="51"/>
      <c r="U936" s="51"/>
      <c r="V936" s="51"/>
      <c r="W936" s="51"/>
      <c r="X936" s="51"/>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52"/>
      <c r="BH936" s="48"/>
      <c r="BI936" s="48"/>
      <c r="BJ936" s="48"/>
      <c r="BK936" s="48"/>
      <c r="BL936" s="48"/>
      <c r="BM936" s="48"/>
      <c r="BN936" s="48"/>
      <c r="BO936" s="48"/>
      <c r="BP936" s="48"/>
      <c r="BQ936" s="48"/>
    </row>
    <row r="937" ht="23.25" customHeight="1">
      <c r="A937" s="47"/>
      <c r="B937" s="47"/>
      <c r="C937" s="48"/>
      <c r="D937" s="48"/>
      <c r="E937" s="48"/>
      <c r="F937" s="48"/>
      <c r="G937" s="47"/>
      <c r="H937" s="47"/>
      <c r="I937" s="47"/>
      <c r="J937" s="47"/>
      <c r="K937" s="47"/>
      <c r="L937" s="47"/>
      <c r="M937" s="47"/>
      <c r="N937" s="47"/>
      <c r="O937" s="47"/>
      <c r="P937" s="47"/>
      <c r="Q937" s="47"/>
      <c r="R937" s="47"/>
      <c r="S937" s="50"/>
      <c r="T937" s="51"/>
      <c r="U937" s="51"/>
      <c r="V937" s="51"/>
      <c r="W937" s="51"/>
      <c r="X937" s="51"/>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52"/>
      <c r="BH937" s="48"/>
      <c r="BI937" s="48"/>
      <c r="BJ937" s="48"/>
      <c r="BK937" s="48"/>
      <c r="BL937" s="48"/>
      <c r="BM937" s="48"/>
      <c r="BN937" s="48"/>
      <c r="BO937" s="48"/>
      <c r="BP937" s="48"/>
      <c r="BQ937" s="48"/>
    </row>
    <row r="938" ht="23.25" customHeight="1">
      <c r="A938" s="47"/>
      <c r="B938" s="47"/>
      <c r="C938" s="48"/>
      <c r="D938" s="48"/>
      <c r="E938" s="48"/>
      <c r="F938" s="48"/>
      <c r="G938" s="47"/>
      <c r="H938" s="47"/>
      <c r="I938" s="47"/>
      <c r="J938" s="47"/>
      <c r="K938" s="47"/>
      <c r="L938" s="47"/>
      <c r="M938" s="47"/>
      <c r="N938" s="47"/>
      <c r="O938" s="47"/>
      <c r="P938" s="47"/>
      <c r="Q938" s="47"/>
      <c r="R938" s="47"/>
      <c r="S938" s="50"/>
      <c r="T938" s="51"/>
      <c r="U938" s="51"/>
      <c r="V938" s="51"/>
      <c r="W938" s="51"/>
      <c r="X938" s="51"/>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52"/>
      <c r="BH938" s="48"/>
      <c r="BI938" s="48"/>
      <c r="BJ938" s="48"/>
      <c r="BK938" s="48"/>
      <c r="BL938" s="48"/>
      <c r="BM938" s="48"/>
      <c r="BN938" s="48"/>
      <c r="BO938" s="48"/>
      <c r="BP938" s="48"/>
      <c r="BQ938" s="48"/>
    </row>
    <row r="939" ht="23.25" customHeight="1">
      <c r="A939" s="47"/>
      <c r="B939" s="47"/>
      <c r="C939" s="48"/>
      <c r="D939" s="48"/>
      <c r="E939" s="48"/>
      <c r="F939" s="48"/>
      <c r="G939" s="47"/>
      <c r="H939" s="47"/>
      <c r="I939" s="47"/>
      <c r="J939" s="47"/>
      <c r="K939" s="47"/>
      <c r="L939" s="47"/>
      <c r="M939" s="47"/>
      <c r="N939" s="47"/>
      <c r="O939" s="47"/>
      <c r="P939" s="47"/>
      <c r="Q939" s="47"/>
      <c r="R939" s="47"/>
      <c r="S939" s="50"/>
      <c r="T939" s="51"/>
      <c r="U939" s="51"/>
      <c r="V939" s="51"/>
      <c r="W939" s="51"/>
      <c r="X939" s="51"/>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52"/>
      <c r="BH939" s="48"/>
      <c r="BI939" s="48"/>
      <c r="BJ939" s="48"/>
      <c r="BK939" s="48"/>
      <c r="BL939" s="48"/>
      <c r="BM939" s="48"/>
      <c r="BN939" s="48"/>
      <c r="BO939" s="48"/>
      <c r="BP939" s="48"/>
      <c r="BQ939" s="48"/>
    </row>
    <row r="940" ht="23.25" customHeight="1">
      <c r="A940" s="47"/>
      <c r="B940" s="47"/>
      <c r="C940" s="48"/>
      <c r="D940" s="48"/>
      <c r="E940" s="48"/>
      <c r="F940" s="48"/>
      <c r="G940" s="47"/>
      <c r="H940" s="47"/>
      <c r="I940" s="47"/>
      <c r="J940" s="47"/>
      <c r="K940" s="47"/>
      <c r="L940" s="47"/>
      <c r="M940" s="47"/>
      <c r="N940" s="47"/>
      <c r="O940" s="47"/>
      <c r="P940" s="47"/>
      <c r="Q940" s="47"/>
      <c r="R940" s="47"/>
      <c r="S940" s="50"/>
      <c r="T940" s="51"/>
      <c r="U940" s="51"/>
      <c r="V940" s="51"/>
      <c r="W940" s="51"/>
      <c r="X940" s="51"/>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52"/>
      <c r="BH940" s="48"/>
      <c r="BI940" s="48"/>
      <c r="BJ940" s="48"/>
      <c r="BK940" s="48"/>
      <c r="BL940" s="48"/>
      <c r="BM940" s="48"/>
      <c r="BN940" s="48"/>
      <c r="BO940" s="48"/>
      <c r="BP940" s="48"/>
      <c r="BQ940" s="48"/>
    </row>
    <row r="941" ht="23.25" customHeight="1">
      <c r="A941" s="47"/>
      <c r="B941" s="47"/>
      <c r="C941" s="48"/>
      <c r="D941" s="48"/>
      <c r="E941" s="48"/>
      <c r="F941" s="48"/>
      <c r="G941" s="47"/>
      <c r="H941" s="47"/>
      <c r="I941" s="47"/>
      <c r="J941" s="47"/>
      <c r="K941" s="47"/>
      <c r="L941" s="47"/>
      <c r="M941" s="47"/>
      <c r="N941" s="47"/>
      <c r="O941" s="47"/>
      <c r="P941" s="47"/>
      <c r="Q941" s="47"/>
      <c r="R941" s="47"/>
      <c r="S941" s="50"/>
      <c r="T941" s="51"/>
      <c r="U941" s="51"/>
      <c r="V941" s="51"/>
      <c r="W941" s="51"/>
      <c r="X941" s="51"/>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52"/>
      <c r="BH941" s="48"/>
      <c r="BI941" s="48"/>
      <c r="BJ941" s="48"/>
      <c r="BK941" s="48"/>
      <c r="BL941" s="48"/>
      <c r="BM941" s="48"/>
      <c r="BN941" s="48"/>
      <c r="BO941" s="48"/>
      <c r="BP941" s="48"/>
      <c r="BQ941" s="48"/>
    </row>
    <row r="942" ht="23.25" customHeight="1">
      <c r="A942" s="47"/>
      <c r="B942" s="47"/>
      <c r="C942" s="48"/>
      <c r="D942" s="48"/>
      <c r="E942" s="48"/>
      <c r="F942" s="48"/>
      <c r="G942" s="47"/>
      <c r="H942" s="47"/>
      <c r="I942" s="47"/>
      <c r="J942" s="47"/>
      <c r="K942" s="47"/>
      <c r="L942" s="47"/>
      <c r="M942" s="47"/>
      <c r="N942" s="47"/>
      <c r="O942" s="47"/>
      <c r="P942" s="47"/>
      <c r="Q942" s="47"/>
      <c r="R942" s="47"/>
      <c r="S942" s="50"/>
      <c r="T942" s="51"/>
      <c r="U942" s="51"/>
      <c r="V942" s="51"/>
      <c r="W942" s="51"/>
      <c r="X942" s="51"/>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52"/>
      <c r="BH942" s="48"/>
      <c r="BI942" s="48"/>
      <c r="BJ942" s="48"/>
      <c r="BK942" s="48"/>
      <c r="BL942" s="48"/>
      <c r="BM942" s="48"/>
      <c r="BN942" s="48"/>
      <c r="BO942" s="48"/>
      <c r="BP942" s="48"/>
      <c r="BQ942" s="48"/>
    </row>
    <row r="943" ht="23.25" customHeight="1">
      <c r="A943" s="47"/>
      <c r="B943" s="47"/>
      <c r="C943" s="48"/>
      <c r="D943" s="48"/>
      <c r="E943" s="48"/>
      <c r="F943" s="48"/>
      <c r="G943" s="47"/>
      <c r="H943" s="47"/>
      <c r="I943" s="47"/>
      <c r="J943" s="47"/>
      <c r="K943" s="47"/>
      <c r="L943" s="47"/>
      <c r="M943" s="47"/>
      <c r="N943" s="47"/>
      <c r="O943" s="47"/>
      <c r="P943" s="47"/>
      <c r="Q943" s="47"/>
      <c r="R943" s="47"/>
      <c r="S943" s="50"/>
      <c r="T943" s="51"/>
      <c r="U943" s="51"/>
      <c r="V943" s="51"/>
      <c r="W943" s="51"/>
      <c r="X943" s="51"/>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52"/>
      <c r="BH943" s="48"/>
      <c r="BI943" s="48"/>
      <c r="BJ943" s="48"/>
      <c r="BK943" s="48"/>
      <c r="BL943" s="48"/>
      <c r="BM943" s="48"/>
      <c r="BN943" s="48"/>
      <c r="BO943" s="48"/>
      <c r="BP943" s="48"/>
      <c r="BQ943" s="48"/>
    </row>
    <row r="944" ht="23.25" customHeight="1">
      <c r="A944" s="47"/>
      <c r="B944" s="47"/>
      <c r="C944" s="48"/>
      <c r="D944" s="48"/>
      <c r="E944" s="48"/>
      <c r="F944" s="48"/>
      <c r="G944" s="47"/>
      <c r="H944" s="47"/>
      <c r="I944" s="47"/>
      <c r="J944" s="47"/>
      <c r="K944" s="47"/>
      <c r="L944" s="47"/>
      <c r="M944" s="47"/>
      <c r="N944" s="47"/>
      <c r="O944" s="47"/>
      <c r="P944" s="47"/>
      <c r="Q944" s="47"/>
      <c r="R944" s="47"/>
      <c r="S944" s="50"/>
      <c r="T944" s="51"/>
      <c r="U944" s="51"/>
      <c r="V944" s="51"/>
      <c r="W944" s="51"/>
      <c r="X944" s="51"/>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52"/>
      <c r="BH944" s="48"/>
      <c r="BI944" s="48"/>
      <c r="BJ944" s="48"/>
      <c r="BK944" s="48"/>
      <c r="BL944" s="48"/>
      <c r="BM944" s="48"/>
      <c r="BN944" s="48"/>
      <c r="BO944" s="48"/>
      <c r="BP944" s="48"/>
      <c r="BQ944" s="48"/>
    </row>
    <row r="945" ht="23.25" customHeight="1">
      <c r="A945" s="47"/>
      <c r="B945" s="47"/>
      <c r="C945" s="48"/>
      <c r="D945" s="48"/>
      <c r="E945" s="48"/>
      <c r="F945" s="48"/>
      <c r="G945" s="47"/>
      <c r="H945" s="47"/>
      <c r="I945" s="47"/>
      <c r="J945" s="47"/>
      <c r="K945" s="47"/>
      <c r="L945" s="47"/>
      <c r="M945" s="47"/>
      <c r="N945" s="47"/>
      <c r="O945" s="47"/>
      <c r="P945" s="47"/>
      <c r="Q945" s="47"/>
      <c r="R945" s="47"/>
      <c r="S945" s="50"/>
      <c r="T945" s="51"/>
      <c r="U945" s="51"/>
      <c r="V945" s="51"/>
      <c r="W945" s="51"/>
      <c r="X945" s="51"/>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52"/>
      <c r="BH945" s="48"/>
      <c r="BI945" s="48"/>
      <c r="BJ945" s="48"/>
      <c r="BK945" s="48"/>
      <c r="BL945" s="48"/>
      <c r="BM945" s="48"/>
      <c r="BN945" s="48"/>
      <c r="BO945" s="48"/>
      <c r="BP945" s="48"/>
      <c r="BQ945" s="48"/>
    </row>
    <row r="946" ht="23.25" customHeight="1">
      <c r="A946" s="47"/>
      <c r="B946" s="47"/>
      <c r="C946" s="48"/>
      <c r="D946" s="48"/>
      <c r="E946" s="48"/>
      <c r="F946" s="48"/>
      <c r="G946" s="47"/>
      <c r="H946" s="47"/>
      <c r="I946" s="47"/>
      <c r="J946" s="47"/>
      <c r="K946" s="47"/>
      <c r="L946" s="47"/>
      <c r="M946" s="47"/>
      <c r="N946" s="47"/>
      <c r="O946" s="47"/>
      <c r="P946" s="47"/>
      <c r="Q946" s="47"/>
      <c r="R946" s="47"/>
      <c r="S946" s="50"/>
      <c r="T946" s="51"/>
      <c r="U946" s="51"/>
      <c r="V946" s="51"/>
      <c r="W946" s="51"/>
      <c r="X946" s="51"/>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52"/>
      <c r="BH946" s="48"/>
      <c r="BI946" s="48"/>
      <c r="BJ946" s="48"/>
      <c r="BK946" s="48"/>
      <c r="BL946" s="48"/>
      <c r="BM946" s="48"/>
      <c r="BN946" s="48"/>
      <c r="BO946" s="48"/>
      <c r="BP946" s="48"/>
      <c r="BQ946" s="48"/>
    </row>
    <row r="947" ht="23.25" customHeight="1">
      <c r="A947" s="47"/>
      <c r="B947" s="47"/>
      <c r="C947" s="48"/>
      <c r="D947" s="48"/>
      <c r="E947" s="48"/>
      <c r="F947" s="48"/>
      <c r="G947" s="47"/>
      <c r="H947" s="47"/>
      <c r="I947" s="47"/>
      <c r="J947" s="47"/>
      <c r="K947" s="47"/>
      <c r="L947" s="47"/>
      <c r="M947" s="47"/>
      <c r="N947" s="47"/>
      <c r="O947" s="47"/>
      <c r="P947" s="47"/>
      <c r="Q947" s="47"/>
      <c r="R947" s="47"/>
      <c r="S947" s="50"/>
      <c r="T947" s="51"/>
      <c r="U947" s="51"/>
      <c r="V947" s="51"/>
      <c r="W947" s="51"/>
      <c r="X947" s="51"/>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52"/>
      <c r="BH947" s="48"/>
      <c r="BI947" s="48"/>
      <c r="BJ947" s="48"/>
      <c r="BK947" s="48"/>
      <c r="BL947" s="48"/>
      <c r="BM947" s="48"/>
      <c r="BN947" s="48"/>
      <c r="BO947" s="48"/>
      <c r="BP947" s="48"/>
      <c r="BQ947" s="48"/>
    </row>
    <row r="948" ht="23.25" customHeight="1">
      <c r="A948" s="47"/>
      <c r="B948" s="47"/>
      <c r="C948" s="48"/>
      <c r="D948" s="48"/>
      <c r="E948" s="48"/>
      <c r="F948" s="48"/>
      <c r="G948" s="47"/>
      <c r="H948" s="47"/>
      <c r="I948" s="47"/>
      <c r="J948" s="47"/>
      <c r="K948" s="47"/>
      <c r="L948" s="47"/>
      <c r="M948" s="47"/>
      <c r="N948" s="47"/>
      <c r="O948" s="47"/>
      <c r="P948" s="47"/>
      <c r="Q948" s="47"/>
      <c r="R948" s="47"/>
      <c r="S948" s="50"/>
      <c r="T948" s="51"/>
      <c r="U948" s="51"/>
      <c r="V948" s="51"/>
      <c r="W948" s="51"/>
      <c r="X948" s="51"/>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52"/>
      <c r="BH948" s="48"/>
      <c r="BI948" s="48"/>
      <c r="BJ948" s="48"/>
      <c r="BK948" s="48"/>
      <c r="BL948" s="48"/>
      <c r="BM948" s="48"/>
      <c r="BN948" s="48"/>
      <c r="BO948" s="48"/>
      <c r="BP948" s="48"/>
      <c r="BQ948" s="48"/>
    </row>
    <row r="949" ht="23.25" customHeight="1">
      <c r="A949" s="47"/>
      <c r="B949" s="47"/>
      <c r="C949" s="48"/>
      <c r="D949" s="48"/>
      <c r="E949" s="48"/>
      <c r="F949" s="48"/>
      <c r="G949" s="47"/>
      <c r="H949" s="47"/>
      <c r="I949" s="47"/>
      <c r="J949" s="47"/>
      <c r="K949" s="47"/>
      <c r="L949" s="47"/>
      <c r="M949" s="47"/>
      <c r="N949" s="47"/>
      <c r="O949" s="47"/>
      <c r="P949" s="47"/>
      <c r="Q949" s="47"/>
      <c r="R949" s="47"/>
      <c r="S949" s="50"/>
      <c r="T949" s="51"/>
      <c r="U949" s="51"/>
      <c r="V949" s="51"/>
      <c r="W949" s="51"/>
      <c r="X949" s="51"/>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52"/>
      <c r="BH949" s="48"/>
      <c r="BI949" s="48"/>
      <c r="BJ949" s="48"/>
      <c r="BK949" s="48"/>
      <c r="BL949" s="48"/>
      <c r="BM949" s="48"/>
      <c r="BN949" s="48"/>
      <c r="BO949" s="48"/>
      <c r="BP949" s="48"/>
      <c r="BQ949" s="48"/>
    </row>
    <row r="950" ht="23.25" customHeight="1">
      <c r="A950" s="47"/>
      <c r="B950" s="47"/>
      <c r="C950" s="48"/>
      <c r="D950" s="48"/>
      <c r="E950" s="48"/>
      <c r="F950" s="48"/>
      <c r="G950" s="47"/>
      <c r="H950" s="47"/>
      <c r="I950" s="47"/>
      <c r="J950" s="47"/>
      <c r="K950" s="47"/>
      <c r="L950" s="47"/>
      <c r="M950" s="47"/>
      <c r="N950" s="47"/>
      <c r="O950" s="47"/>
      <c r="P950" s="47"/>
      <c r="Q950" s="47"/>
      <c r="R950" s="47"/>
      <c r="S950" s="50"/>
      <c r="T950" s="51"/>
      <c r="U950" s="51"/>
      <c r="V950" s="51"/>
      <c r="W950" s="51"/>
      <c r="X950" s="51"/>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52"/>
      <c r="BH950" s="48"/>
      <c r="BI950" s="48"/>
      <c r="BJ950" s="48"/>
      <c r="BK950" s="48"/>
      <c r="BL950" s="48"/>
      <c r="BM950" s="48"/>
      <c r="BN950" s="48"/>
      <c r="BO950" s="48"/>
      <c r="BP950" s="48"/>
      <c r="BQ950" s="48"/>
    </row>
    <row r="951" ht="23.25" customHeight="1">
      <c r="A951" s="47"/>
      <c r="B951" s="47"/>
      <c r="C951" s="48"/>
      <c r="D951" s="48"/>
      <c r="E951" s="48"/>
      <c r="F951" s="48"/>
      <c r="G951" s="47"/>
      <c r="H951" s="47"/>
      <c r="I951" s="47"/>
      <c r="J951" s="47"/>
      <c r="K951" s="47"/>
      <c r="L951" s="47"/>
      <c r="M951" s="47"/>
      <c r="N951" s="47"/>
      <c r="O951" s="47"/>
      <c r="P951" s="47"/>
      <c r="Q951" s="47"/>
      <c r="R951" s="47"/>
      <c r="S951" s="50"/>
      <c r="T951" s="51"/>
      <c r="U951" s="51"/>
      <c r="V951" s="51"/>
      <c r="W951" s="51"/>
      <c r="X951" s="51"/>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52"/>
      <c r="BH951" s="48"/>
      <c r="BI951" s="48"/>
      <c r="BJ951" s="48"/>
      <c r="BK951" s="48"/>
      <c r="BL951" s="48"/>
      <c r="BM951" s="48"/>
      <c r="BN951" s="48"/>
      <c r="BO951" s="48"/>
      <c r="BP951" s="48"/>
      <c r="BQ951" s="48"/>
    </row>
    <row r="952" ht="23.25" customHeight="1">
      <c r="A952" s="47"/>
      <c r="B952" s="47"/>
      <c r="C952" s="48"/>
      <c r="D952" s="48"/>
      <c r="E952" s="48"/>
      <c r="F952" s="48"/>
      <c r="G952" s="47"/>
      <c r="H952" s="47"/>
      <c r="I952" s="47"/>
      <c r="J952" s="47"/>
      <c r="K952" s="47"/>
      <c r="L952" s="47"/>
      <c r="M952" s="47"/>
      <c r="N952" s="47"/>
      <c r="O952" s="47"/>
      <c r="P952" s="47"/>
      <c r="Q952" s="47"/>
      <c r="R952" s="47"/>
      <c r="S952" s="50"/>
      <c r="T952" s="51"/>
      <c r="U952" s="51"/>
      <c r="V952" s="51"/>
      <c r="W952" s="51"/>
      <c r="X952" s="51"/>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52"/>
      <c r="BH952" s="48"/>
      <c r="BI952" s="48"/>
      <c r="BJ952" s="48"/>
      <c r="BK952" s="48"/>
      <c r="BL952" s="48"/>
      <c r="BM952" s="48"/>
      <c r="BN952" s="48"/>
      <c r="BO952" s="48"/>
      <c r="BP952" s="48"/>
      <c r="BQ952" s="48"/>
    </row>
    <row r="953" ht="23.25" customHeight="1">
      <c r="A953" s="47"/>
      <c r="B953" s="47"/>
      <c r="C953" s="48"/>
      <c r="D953" s="48"/>
      <c r="E953" s="48"/>
      <c r="F953" s="48"/>
      <c r="G953" s="47"/>
      <c r="H953" s="47"/>
      <c r="I953" s="47"/>
      <c r="J953" s="47"/>
      <c r="K953" s="47"/>
      <c r="L953" s="47"/>
      <c r="M953" s="47"/>
      <c r="N953" s="47"/>
      <c r="O953" s="47"/>
      <c r="P953" s="47"/>
      <c r="Q953" s="47"/>
      <c r="R953" s="47"/>
      <c r="S953" s="50"/>
      <c r="T953" s="51"/>
      <c r="U953" s="51"/>
      <c r="V953" s="51"/>
      <c r="W953" s="51"/>
      <c r="X953" s="51"/>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52"/>
      <c r="BH953" s="48"/>
      <c r="BI953" s="48"/>
      <c r="BJ953" s="48"/>
      <c r="BK953" s="48"/>
      <c r="BL953" s="48"/>
      <c r="BM953" s="48"/>
      <c r="BN953" s="48"/>
      <c r="BO953" s="48"/>
      <c r="BP953" s="48"/>
      <c r="BQ953" s="48"/>
    </row>
    <row r="954" ht="23.25" customHeight="1">
      <c r="A954" s="47"/>
      <c r="B954" s="47"/>
      <c r="C954" s="48"/>
      <c r="D954" s="48"/>
      <c r="E954" s="48"/>
      <c r="F954" s="48"/>
      <c r="G954" s="47"/>
      <c r="H954" s="47"/>
      <c r="I954" s="47"/>
      <c r="J954" s="47"/>
      <c r="K954" s="47"/>
      <c r="L954" s="47"/>
      <c r="M954" s="47"/>
      <c r="N954" s="47"/>
      <c r="O954" s="47"/>
      <c r="P954" s="47"/>
      <c r="Q954" s="47"/>
      <c r="R954" s="47"/>
      <c r="S954" s="50"/>
      <c r="T954" s="51"/>
      <c r="U954" s="51"/>
      <c r="V954" s="51"/>
      <c r="W954" s="51"/>
      <c r="X954" s="51"/>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52"/>
      <c r="BH954" s="48"/>
      <c r="BI954" s="48"/>
      <c r="BJ954" s="48"/>
      <c r="BK954" s="48"/>
      <c r="BL954" s="48"/>
      <c r="BM954" s="48"/>
      <c r="BN954" s="48"/>
      <c r="BO954" s="48"/>
      <c r="BP954" s="48"/>
      <c r="BQ954" s="48"/>
    </row>
    <row r="955" ht="23.25" customHeight="1">
      <c r="A955" s="47"/>
      <c r="B955" s="47"/>
      <c r="C955" s="48"/>
      <c r="D955" s="48"/>
      <c r="E955" s="48"/>
      <c r="F955" s="48"/>
      <c r="G955" s="47"/>
      <c r="H955" s="47"/>
      <c r="I955" s="47"/>
      <c r="J955" s="47"/>
      <c r="K955" s="47"/>
      <c r="L955" s="47"/>
      <c r="M955" s="47"/>
      <c r="N955" s="47"/>
      <c r="O955" s="47"/>
      <c r="P955" s="47"/>
      <c r="Q955" s="47"/>
      <c r="R955" s="47"/>
      <c r="S955" s="50"/>
      <c r="T955" s="51"/>
      <c r="U955" s="51"/>
      <c r="V955" s="51"/>
      <c r="W955" s="51"/>
      <c r="X955" s="51"/>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52"/>
      <c r="BH955" s="48"/>
      <c r="BI955" s="48"/>
      <c r="BJ955" s="48"/>
      <c r="BK955" s="48"/>
      <c r="BL955" s="48"/>
      <c r="BM955" s="48"/>
      <c r="BN955" s="48"/>
      <c r="BO955" s="48"/>
      <c r="BP955" s="48"/>
      <c r="BQ955" s="48"/>
    </row>
    <row r="956" ht="23.25" customHeight="1">
      <c r="A956" s="47"/>
      <c r="B956" s="47"/>
      <c r="C956" s="48"/>
      <c r="D956" s="48"/>
      <c r="E956" s="48"/>
      <c r="F956" s="48"/>
      <c r="G956" s="47"/>
      <c r="H956" s="47"/>
      <c r="I956" s="47"/>
      <c r="J956" s="47"/>
      <c r="K956" s="47"/>
      <c r="L956" s="47"/>
      <c r="M956" s="47"/>
      <c r="N956" s="47"/>
      <c r="O956" s="47"/>
      <c r="P956" s="47"/>
      <c r="Q956" s="47"/>
      <c r="R956" s="47"/>
      <c r="S956" s="50"/>
      <c r="T956" s="51"/>
      <c r="U956" s="51"/>
      <c r="V956" s="51"/>
      <c r="W956" s="51"/>
      <c r="X956" s="51"/>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52"/>
      <c r="BH956" s="48"/>
      <c r="BI956" s="48"/>
      <c r="BJ956" s="48"/>
      <c r="BK956" s="48"/>
      <c r="BL956" s="48"/>
      <c r="BM956" s="48"/>
      <c r="BN956" s="48"/>
      <c r="BO956" s="48"/>
      <c r="BP956" s="48"/>
      <c r="BQ956" s="48"/>
    </row>
    <row r="957" ht="23.25" customHeight="1">
      <c r="A957" s="47"/>
      <c r="B957" s="47"/>
      <c r="C957" s="48"/>
      <c r="D957" s="48"/>
      <c r="E957" s="48"/>
      <c r="F957" s="48"/>
      <c r="G957" s="47"/>
      <c r="H957" s="47"/>
      <c r="I957" s="47"/>
      <c r="J957" s="47"/>
      <c r="K957" s="47"/>
      <c r="L957" s="47"/>
      <c r="M957" s="47"/>
      <c r="N957" s="47"/>
      <c r="O957" s="47"/>
      <c r="P957" s="47"/>
      <c r="Q957" s="47"/>
      <c r="R957" s="47"/>
      <c r="S957" s="50"/>
      <c r="T957" s="51"/>
      <c r="U957" s="51"/>
      <c r="V957" s="51"/>
      <c r="W957" s="51"/>
      <c r="X957" s="51"/>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52"/>
      <c r="BH957" s="48"/>
      <c r="BI957" s="48"/>
      <c r="BJ957" s="48"/>
      <c r="BK957" s="48"/>
      <c r="BL957" s="48"/>
      <c r="BM957" s="48"/>
      <c r="BN957" s="48"/>
      <c r="BO957" s="48"/>
      <c r="BP957" s="48"/>
      <c r="BQ957" s="48"/>
    </row>
    <row r="958" ht="23.25" customHeight="1">
      <c r="A958" s="47"/>
      <c r="B958" s="47"/>
      <c r="C958" s="48"/>
      <c r="D958" s="48"/>
      <c r="E958" s="48"/>
      <c r="F958" s="48"/>
      <c r="G958" s="47"/>
      <c r="H958" s="47"/>
      <c r="I958" s="47"/>
      <c r="J958" s="47"/>
      <c r="K958" s="47"/>
      <c r="L958" s="47"/>
      <c r="M958" s="47"/>
      <c r="N958" s="47"/>
      <c r="O958" s="47"/>
      <c r="P958" s="47"/>
      <c r="Q958" s="47"/>
      <c r="R958" s="47"/>
      <c r="S958" s="50"/>
      <c r="T958" s="51"/>
      <c r="U958" s="51"/>
      <c r="V958" s="51"/>
      <c r="W958" s="51"/>
      <c r="X958" s="51"/>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52"/>
      <c r="BH958" s="48"/>
      <c r="BI958" s="48"/>
      <c r="BJ958" s="48"/>
      <c r="BK958" s="48"/>
      <c r="BL958" s="48"/>
      <c r="BM958" s="48"/>
      <c r="BN958" s="48"/>
      <c r="BO958" s="48"/>
      <c r="BP958" s="48"/>
      <c r="BQ958" s="48"/>
    </row>
    <row r="959" ht="23.25" customHeight="1">
      <c r="A959" s="47"/>
      <c r="B959" s="47"/>
      <c r="C959" s="48"/>
      <c r="D959" s="48"/>
      <c r="E959" s="48"/>
      <c r="F959" s="48"/>
      <c r="G959" s="47"/>
      <c r="H959" s="47"/>
      <c r="I959" s="47"/>
      <c r="J959" s="47"/>
      <c r="K959" s="47"/>
      <c r="L959" s="47"/>
      <c r="M959" s="47"/>
      <c r="N959" s="47"/>
      <c r="O959" s="47"/>
      <c r="P959" s="47"/>
      <c r="Q959" s="47"/>
      <c r="R959" s="47"/>
      <c r="S959" s="50"/>
      <c r="T959" s="51"/>
      <c r="U959" s="51"/>
      <c r="V959" s="51"/>
      <c r="W959" s="51"/>
      <c r="X959" s="51"/>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52"/>
      <c r="BH959" s="48"/>
      <c r="BI959" s="48"/>
      <c r="BJ959" s="48"/>
      <c r="BK959" s="48"/>
      <c r="BL959" s="48"/>
      <c r="BM959" s="48"/>
      <c r="BN959" s="48"/>
      <c r="BO959" s="48"/>
      <c r="BP959" s="48"/>
      <c r="BQ959" s="48"/>
    </row>
    <row r="960" ht="23.25" customHeight="1">
      <c r="A960" s="47"/>
      <c r="B960" s="47"/>
      <c r="C960" s="48"/>
      <c r="D960" s="48"/>
      <c r="E960" s="48"/>
      <c r="F960" s="48"/>
      <c r="G960" s="47"/>
      <c r="H960" s="47"/>
      <c r="I960" s="47"/>
      <c r="J960" s="47"/>
      <c r="K960" s="47"/>
      <c r="L960" s="47"/>
      <c r="M960" s="47"/>
      <c r="N960" s="47"/>
      <c r="O960" s="47"/>
      <c r="P960" s="47"/>
      <c r="Q960" s="47"/>
      <c r="R960" s="47"/>
      <c r="S960" s="50"/>
      <c r="T960" s="51"/>
      <c r="U960" s="51"/>
      <c r="V960" s="51"/>
      <c r="W960" s="51"/>
      <c r="X960" s="51"/>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52"/>
      <c r="BH960" s="48"/>
      <c r="BI960" s="48"/>
      <c r="BJ960" s="48"/>
      <c r="BK960" s="48"/>
      <c r="BL960" s="48"/>
      <c r="BM960" s="48"/>
      <c r="BN960" s="48"/>
      <c r="BO960" s="48"/>
      <c r="BP960" s="48"/>
      <c r="BQ960" s="48"/>
    </row>
    <row r="961" ht="23.25" customHeight="1">
      <c r="A961" s="47"/>
      <c r="B961" s="47"/>
      <c r="C961" s="48"/>
      <c r="D961" s="48"/>
      <c r="E961" s="48"/>
      <c r="F961" s="48"/>
      <c r="G961" s="47"/>
      <c r="H961" s="47"/>
      <c r="I961" s="47"/>
      <c r="J961" s="47"/>
      <c r="K961" s="47"/>
      <c r="L961" s="47"/>
      <c r="M961" s="47"/>
      <c r="N961" s="47"/>
      <c r="O961" s="47"/>
      <c r="P961" s="47"/>
      <c r="Q961" s="47"/>
      <c r="R961" s="47"/>
      <c r="S961" s="50"/>
      <c r="T961" s="51"/>
      <c r="U961" s="51"/>
      <c r="V961" s="51"/>
      <c r="W961" s="51"/>
      <c r="X961" s="51"/>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52"/>
      <c r="BH961" s="48"/>
      <c r="BI961" s="48"/>
      <c r="BJ961" s="48"/>
      <c r="BK961" s="48"/>
      <c r="BL961" s="48"/>
      <c r="BM961" s="48"/>
      <c r="BN961" s="48"/>
      <c r="BO961" s="48"/>
      <c r="BP961" s="48"/>
      <c r="BQ961" s="48"/>
    </row>
    <row r="962" ht="23.25" customHeight="1">
      <c r="A962" s="47"/>
      <c r="B962" s="47"/>
      <c r="C962" s="48"/>
      <c r="D962" s="48"/>
      <c r="E962" s="48"/>
      <c r="F962" s="48"/>
      <c r="G962" s="47"/>
      <c r="H962" s="47"/>
      <c r="I962" s="47"/>
      <c r="J962" s="47"/>
      <c r="K962" s="47"/>
      <c r="L962" s="47"/>
      <c r="M962" s="47"/>
      <c r="N962" s="47"/>
      <c r="O962" s="47"/>
      <c r="P962" s="47"/>
      <c r="Q962" s="47"/>
      <c r="R962" s="47"/>
      <c r="S962" s="50"/>
      <c r="T962" s="51"/>
      <c r="U962" s="51"/>
      <c r="V962" s="51"/>
      <c r="W962" s="51"/>
      <c r="X962" s="51"/>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52"/>
      <c r="BH962" s="48"/>
      <c r="BI962" s="48"/>
      <c r="BJ962" s="48"/>
      <c r="BK962" s="48"/>
      <c r="BL962" s="48"/>
      <c r="BM962" s="48"/>
      <c r="BN962" s="48"/>
      <c r="BO962" s="48"/>
      <c r="BP962" s="48"/>
      <c r="BQ962" s="48"/>
    </row>
    <row r="963" ht="23.25" customHeight="1">
      <c r="A963" s="47"/>
      <c r="B963" s="47"/>
      <c r="C963" s="48"/>
      <c r="D963" s="48"/>
      <c r="E963" s="48"/>
      <c r="F963" s="48"/>
      <c r="G963" s="47"/>
      <c r="H963" s="47"/>
      <c r="I963" s="47"/>
      <c r="J963" s="47"/>
      <c r="K963" s="47"/>
      <c r="L963" s="47"/>
      <c r="M963" s="47"/>
      <c r="N963" s="47"/>
      <c r="O963" s="47"/>
      <c r="P963" s="47"/>
      <c r="Q963" s="47"/>
      <c r="R963" s="47"/>
      <c r="S963" s="50"/>
      <c r="T963" s="51"/>
      <c r="U963" s="51"/>
      <c r="V963" s="51"/>
      <c r="W963" s="51"/>
      <c r="X963" s="51"/>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52"/>
      <c r="BH963" s="48"/>
      <c r="BI963" s="48"/>
      <c r="BJ963" s="48"/>
      <c r="BK963" s="48"/>
      <c r="BL963" s="48"/>
      <c r="BM963" s="48"/>
      <c r="BN963" s="48"/>
      <c r="BO963" s="48"/>
      <c r="BP963" s="48"/>
      <c r="BQ963" s="48"/>
    </row>
    <row r="964" ht="23.25" customHeight="1">
      <c r="A964" s="47"/>
      <c r="B964" s="47"/>
      <c r="C964" s="48"/>
      <c r="D964" s="48"/>
      <c r="E964" s="48"/>
      <c r="F964" s="48"/>
      <c r="G964" s="47"/>
      <c r="H964" s="47"/>
      <c r="I964" s="47"/>
      <c r="J964" s="47"/>
      <c r="K964" s="47"/>
      <c r="L964" s="47"/>
      <c r="M964" s="47"/>
      <c r="N964" s="47"/>
      <c r="O964" s="47"/>
      <c r="P964" s="47"/>
      <c r="Q964" s="47"/>
      <c r="R964" s="47"/>
      <c r="S964" s="50"/>
      <c r="T964" s="51"/>
      <c r="U964" s="51"/>
      <c r="V964" s="51"/>
      <c r="W964" s="51"/>
      <c r="X964" s="51"/>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52"/>
      <c r="BH964" s="48"/>
      <c r="BI964" s="48"/>
      <c r="BJ964" s="48"/>
      <c r="BK964" s="48"/>
      <c r="BL964" s="48"/>
      <c r="BM964" s="48"/>
      <c r="BN964" s="48"/>
      <c r="BO964" s="48"/>
      <c r="BP964" s="48"/>
      <c r="BQ964" s="48"/>
    </row>
    <row r="965" ht="23.25" customHeight="1">
      <c r="A965" s="47"/>
      <c r="B965" s="47"/>
      <c r="C965" s="48"/>
      <c r="D965" s="48"/>
      <c r="E965" s="48"/>
      <c r="F965" s="48"/>
      <c r="G965" s="47"/>
      <c r="H965" s="47"/>
      <c r="I965" s="47"/>
      <c r="J965" s="47"/>
      <c r="K965" s="47"/>
      <c r="L965" s="47"/>
      <c r="M965" s="47"/>
      <c r="N965" s="47"/>
      <c r="O965" s="47"/>
      <c r="P965" s="47"/>
      <c r="Q965" s="47"/>
      <c r="R965" s="47"/>
      <c r="S965" s="50"/>
      <c r="T965" s="51"/>
      <c r="U965" s="51"/>
      <c r="V965" s="51"/>
      <c r="W965" s="51"/>
      <c r="X965" s="51"/>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52"/>
      <c r="BH965" s="48"/>
      <c r="BI965" s="48"/>
      <c r="BJ965" s="48"/>
      <c r="BK965" s="48"/>
      <c r="BL965" s="48"/>
      <c r="BM965" s="48"/>
      <c r="BN965" s="48"/>
      <c r="BO965" s="48"/>
      <c r="BP965" s="48"/>
      <c r="BQ965" s="48"/>
    </row>
    <row r="966" ht="23.25" customHeight="1">
      <c r="A966" s="47"/>
      <c r="B966" s="47"/>
      <c r="C966" s="48"/>
      <c r="D966" s="48"/>
      <c r="E966" s="48"/>
      <c r="F966" s="48"/>
      <c r="G966" s="47"/>
      <c r="H966" s="47"/>
      <c r="I966" s="47"/>
      <c r="J966" s="47"/>
      <c r="K966" s="47"/>
      <c r="L966" s="47"/>
      <c r="M966" s="47"/>
      <c r="N966" s="47"/>
      <c r="O966" s="47"/>
      <c r="P966" s="47"/>
      <c r="Q966" s="47"/>
      <c r="R966" s="47"/>
      <c r="S966" s="50"/>
      <c r="T966" s="51"/>
      <c r="U966" s="51"/>
      <c r="V966" s="51"/>
      <c r="W966" s="51"/>
      <c r="X966" s="51"/>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52"/>
      <c r="BH966" s="48"/>
      <c r="BI966" s="48"/>
      <c r="BJ966" s="48"/>
      <c r="BK966" s="48"/>
      <c r="BL966" s="48"/>
      <c r="BM966" s="48"/>
      <c r="BN966" s="48"/>
      <c r="BO966" s="48"/>
      <c r="BP966" s="48"/>
      <c r="BQ966" s="48"/>
    </row>
    <row r="967" ht="23.25" customHeight="1">
      <c r="A967" s="47"/>
      <c r="B967" s="47"/>
      <c r="C967" s="48"/>
      <c r="D967" s="48"/>
      <c r="E967" s="48"/>
      <c r="F967" s="48"/>
      <c r="G967" s="47"/>
      <c r="H967" s="47"/>
      <c r="I967" s="47"/>
      <c r="J967" s="47"/>
      <c r="K967" s="47"/>
      <c r="L967" s="47"/>
      <c r="M967" s="47"/>
      <c r="N967" s="47"/>
      <c r="O967" s="47"/>
      <c r="P967" s="47"/>
      <c r="Q967" s="47"/>
      <c r="R967" s="47"/>
      <c r="S967" s="50"/>
      <c r="T967" s="51"/>
      <c r="U967" s="51"/>
      <c r="V967" s="51"/>
      <c r="W967" s="51"/>
      <c r="X967" s="51"/>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52"/>
      <c r="BH967" s="48"/>
      <c r="BI967" s="48"/>
      <c r="BJ967" s="48"/>
      <c r="BK967" s="48"/>
      <c r="BL967" s="48"/>
      <c r="BM967" s="48"/>
      <c r="BN967" s="48"/>
      <c r="BO967" s="48"/>
      <c r="BP967" s="48"/>
      <c r="BQ967" s="48"/>
    </row>
    <row r="968" ht="23.25" customHeight="1">
      <c r="A968" s="47"/>
      <c r="B968" s="47"/>
      <c r="C968" s="48"/>
      <c r="D968" s="48"/>
      <c r="E968" s="48"/>
      <c r="F968" s="48"/>
      <c r="G968" s="47"/>
      <c r="H968" s="47"/>
      <c r="I968" s="47"/>
      <c r="J968" s="47"/>
      <c r="K968" s="47"/>
      <c r="L968" s="47"/>
      <c r="M968" s="47"/>
      <c r="N968" s="47"/>
      <c r="O968" s="47"/>
      <c r="P968" s="47"/>
      <c r="Q968" s="47"/>
      <c r="R968" s="47"/>
      <c r="S968" s="50"/>
      <c r="T968" s="51"/>
      <c r="U968" s="51"/>
      <c r="V968" s="51"/>
      <c r="W968" s="51"/>
      <c r="X968" s="51"/>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52"/>
      <c r="BH968" s="48"/>
      <c r="BI968" s="48"/>
      <c r="BJ968" s="48"/>
      <c r="BK968" s="48"/>
      <c r="BL968" s="48"/>
      <c r="BM968" s="48"/>
      <c r="BN968" s="48"/>
      <c r="BO968" s="48"/>
      <c r="BP968" s="48"/>
      <c r="BQ968" s="48"/>
    </row>
    <row r="969" ht="23.25" customHeight="1">
      <c r="A969" s="47"/>
      <c r="B969" s="47"/>
      <c r="C969" s="48"/>
      <c r="D969" s="48"/>
      <c r="E969" s="48"/>
      <c r="F969" s="48"/>
      <c r="G969" s="47"/>
      <c r="H969" s="47"/>
      <c r="I969" s="47"/>
      <c r="J969" s="47"/>
      <c r="K969" s="47"/>
      <c r="L969" s="47"/>
      <c r="M969" s="47"/>
      <c r="N969" s="47"/>
      <c r="O969" s="47"/>
      <c r="P969" s="47"/>
      <c r="Q969" s="47"/>
      <c r="R969" s="47"/>
      <c r="S969" s="50"/>
      <c r="T969" s="51"/>
      <c r="U969" s="51"/>
      <c r="V969" s="51"/>
      <c r="W969" s="51"/>
      <c r="X969" s="51"/>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52"/>
      <c r="BH969" s="48"/>
      <c r="BI969" s="48"/>
      <c r="BJ969" s="48"/>
      <c r="BK969" s="48"/>
      <c r="BL969" s="48"/>
      <c r="BM969" s="48"/>
      <c r="BN969" s="48"/>
      <c r="BO969" s="48"/>
      <c r="BP969" s="48"/>
      <c r="BQ969" s="48"/>
    </row>
    <row r="970" ht="23.25" customHeight="1">
      <c r="A970" s="47"/>
      <c r="B970" s="47"/>
      <c r="C970" s="48"/>
      <c r="D970" s="48"/>
      <c r="E970" s="48"/>
      <c r="F970" s="48"/>
      <c r="G970" s="47"/>
      <c r="H970" s="47"/>
      <c r="I970" s="47"/>
      <c r="J970" s="47"/>
      <c r="K970" s="47"/>
      <c r="L970" s="47"/>
      <c r="M970" s="47"/>
      <c r="N970" s="47"/>
      <c r="O970" s="47"/>
      <c r="P970" s="47"/>
      <c r="Q970" s="47"/>
      <c r="R970" s="47"/>
      <c r="S970" s="50"/>
      <c r="T970" s="51"/>
      <c r="U970" s="51"/>
      <c r="V970" s="51"/>
      <c r="W970" s="51"/>
      <c r="X970" s="51"/>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52"/>
      <c r="BH970" s="48"/>
      <c r="BI970" s="48"/>
      <c r="BJ970" s="48"/>
      <c r="BK970" s="48"/>
      <c r="BL970" s="48"/>
      <c r="BM970" s="48"/>
      <c r="BN970" s="48"/>
      <c r="BO970" s="48"/>
      <c r="BP970" s="48"/>
      <c r="BQ970" s="48"/>
    </row>
    <row r="971" ht="23.25" customHeight="1">
      <c r="A971" s="47"/>
      <c r="B971" s="47"/>
      <c r="C971" s="48"/>
      <c r="D971" s="48"/>
      <c r="E971" s="48"/>
      <c r="F971" s="48"/>
      <c r="G971" s="47"/>
      <c r="H971" s="47"/>
      <c r="I971" s="47"/>
      <c r="J971" s="47"/>
      <c r="K971" s="47"/>
      <c r="L971" s="47"/>
      <c r="M971" s="47"/>
      <c r="N971" s="47"/>
      <c r="O971" s="47"/>
      <c r="P971" s="47"/>
      <c r="Q971" s="47"/>
      <c r="R971" s="47"/>
      <c r="S971" s="50"/>
      <c r="T971" s="51"/>
      <c r="U971" s="51"/>
      <c r="V971" s="51"/>
      <c r="W971" s="51"/>
      <c r="X971" s="51"/>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52"/>
      <c r="BH971" s="48"/>
      <c r="BI971" s="48"/>
      <c r="BJ971" s="48"/>
      <c r="BK971" s="48"/>
      <c r="BL971" s="48"/>
      <c r="BM971" s="48"/>
      <c r="BN971" s="48"/>
      <c r="BO971" s="48"/>
      <c r="BP971" s="48"/>
      <c r="BQ971" s="48"/>
    </row>
    <row r="972" ht="23.25" customHeight="1">
      <c r="A972" s="47"/>
      <c r="B972" s="47"/>
      <c r="C972" s="48"/>
      <c r="D972" s="48"/>
      <c r="E972" s="48"/>
      <c r="F972" s="48"/>
      <c r="G972" s="47"/>
      <c r="H972" s="47"/>
      <c r="I972" s="47"/>
      <c r="J972" s="47"/>
      <c r="K972" s="47"/>
      <c r="L972" s="47"/>
      <c r="M972" s="47"/>
      <c r="N972" s="47"/>
      <c r="O972" s="47"/>
      <c r="P972" s="47"/>
      <c r="Q972" s="47"/>
      <c r="R972" s="47"/>
      <c r="S972" s="50"/>
      <c r="T972" s="51"/>
      <c r="U972" s="51"/>
      <c r="V972" s="51"/>
      <c r="W972" s="51"/>
      <c r="X972" s="51"/>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52"/>
      <c r="BH972" s="48"/>
      <c r="BI972" s="48"/>
      <c r="BJ972" s="48"/>
      <c r="BK972" s="48"/>
      <c r="BL972" s="48"/>
      <c r="BM972" s="48"/>
      <c r="BN972" s="48"/>
      <c r="BO972" s="48"/>
      <c r="BP972" s="48"/>
      <c r="BQ972" s="48"/>
    </row>
    <row r="973" ht="23.25" customHeight="1">
      <c r="A973" s="47"/>
      <c r="B973" s="47"/>
      <c r="C973" s="48"/>
      <c r="D973" s="48"/>
      <c r="E973" s="48"/>
      <c r="F973" s="48"/>
      <c r="G973" s="47"/>
      <c r="H973" s="47"/>
      <c r="I973" s="47"/>
      <c r="J973" s="47"/>
      <c r="K973" s="47"/>
      <c r="L973" s="47"/>
      <c r="M973" s="47"/>
      <c r="N973" s="47"/>
      <c r="O973" s="47"/>
      <c r="P973" s="47"/>
      <c r="Q973" s="47"/>
      <c r="R973" s="47"/>
      <c r="S973" s="50"/>
      <c r="T973" s="51"/>
      <c r="U973" s="51"/>
      <c r="V973" s="51"/>
      <c r="W973" s="51"/>
      <c r="X973" s="51"/>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52"/>
      <c r="BH973" s="48"/>
      <c r="BI973" s="48"/>
      <c r="BJ973" s="48"/>
      <c r="BK973" s="48"/>
      <c r="BL973" s="48"/>
      <c r="BM973" s="48"/>
      <c r="BN973" s="48"/>
      <c r="BO973" s="48"/>
      <c r="BP973" s="48"/>
      <c r="BQ973" s="48"/>
    </row>
    <row r="974" ht="23.25" customHeight="1">
      <c r="A974" s="47"/>
      <c r="B974" s="47"/>
      <c r="C974" s="48"/>
      <c r="D974" s="48"/>
      <c r="E974" s="48"/>
      <c r="F974" s="48"/>
      <c r="G974" s="47"/>
      <c r="H974" s="47"/>
      <c r="I974" s="47"/>
      <c r="J974" s="47"/>
      <c r="K974" s="47"/>
      <c r="L974" s="47"/>
      <c r="M974" s="47"/>
      <c r="N974" s="47"/>
      <c r="O974" s="47"/>
      <c r="P974" s="47"/>
      <c r="Q974" s="47"/>
      <c r="R974" s="47"/>
      <c r="S974" s="50"/>
      <c r="T974" s="51"/>
      <c r="U974" s="51"/>
      <c r="V974" s="51"/>
      <c r="W974" s="51"/>
      <c r="X974" s="51"/>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52"/>
      <c r="BH974" s="48"/>
      <c r="BI974" s="48"/>
      <c r="BJ974" s="48"/>
      <c r="BK974" s="48"/>
      <c r="BL974" s="48"/>
      <c r="BM974" s="48"/>
      <c r="BN974" s="48"/>
      <c r="BO974" s="48"/>
      <c r="BP974" s="48"/>
      <c r="BQ974" s="48"/>
    </row>
    <row r="975" ht="23.25" customHeight="1">
      <c r="A975" s="47"/>
      <c r="B975" s="47"/>
      <c r="C975" s="48"/>
      <c r="D975" s="48"/>
      <c r="E975" s="48"/>
      <c r="F975" s="48"/>
      <c r="G975" s="47"/>
      <c r="H975" s="47"/>
      <c r="I975" s="47"/>
      <c r="J975" s="47"/>
      <c r="K975" s="47"/>
      <c r="L975" s="47"/>
      <c r="M975" s="47"/>
      <c r="N975" s="47"/>
      <c r="O975" s="47"/>
      <c r="P975" s="47"/>
      <c r="Q975" s="47"/>
      <c r="R975" s="47"/>
      <c r="S975" s="50"/>
      <c r="T975" s="51"/>
      <c r="U975" s="51"/>
      <c r="V975" s="51"/>
      <c r="W975" s="51"/>
      <c r="X975" s="51"/>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52"/>
      <c r="BH975" s="48"/>
      <c r="BI975" s="48"/>
      <c r="BJ975" s="48"/>
      <c r="BK975" s="48"/>
      <c r="BL975" s="48"/>
      <c r="BM975" s="48"/>
      <c r="BN975" s="48"/>
      <c r="BO975" s="48"/>
      <c r="BP975" s="48"/>
      <c r="BQ975" s="48"/>
    </row>
    <row r="976" ht="23.25" customHeight="1">
      <c r="A976" s="47"/>
      <c r="B976" s="47"/>
      <c r="C976" s="48"/>
      <c r="D976" s="48"/>
      <c r="E976" s="48"/>
      <c r="F976" s="48"/>
      <c r="G976" s="47"/>
      <c r="H976" s="47"/>
      <c r="I976" s="47"/>
      <c r="J976" s="47"/>
      <c r="K976" s="47"/>
      <c r="L976" s="47"/>
      <c r="M976" s="47"/>
      <c r="N976" s="47"/>
      <c r="O976" s="47"/>
      <c r="P976" s="47"/>
      <c r="Q976" s="47"/>
      <c r="R976" s="47"/>
      <c r="S976" s="50"/>
      <c r="T976" s="51"/>
      <c r="U976" s="51"/>
      <c r="V976" s="51"/>
      <c r="W976" s="51"/>
      <c r="X976" s="51"/>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52"/>
      <c r="BH976" s="48"/>
      <c r="BI976" s="48"/>
      <c r="BJ976" s="48"/>
      <c r="BK976" s="48"/>
      <c r="BL976" s="48"/>
      <c r="BM976" s="48"/>
      <c r="BN976" s="48"/>
      <c r="BO976" s="48"/>
      <c r="BP976" s="48"/>
      <c r="BQ976" s="48"/>
    </row>
    <row r="977" ht="23.25" customHeight="1">
      <c r="A977" s="47"/>
      <c r="B977" s="47"/>
      <c r="C977" s="48"/>
      <c r="D977" s="48"/>
      <c r="E977" s="48"/>
      <c r="F977" s="48"/>
      <c r="G977" s="47"/>
      <c r="H977" s="47"/>
      <c r="I977" s="47"/>
      <c r="J977" s="47"/>
      <c r="K977" s="47"/>
      <c r="L977" s="47"/>
      <c r="M977" s="47"/>
      <c r="N977" s="47"/>
      <c r="O977" s="47"/>
      <c r="P977" s="47"/>
      <c r="Q977" s="47"/>
      <c r="R977" s="47"/>
      <c r="S977" s="50"/>
      <c r="T977" s="51"/>
      <c r="U977" s="51"/>
      <c r="V977" s="51"/>
      <c r="W977" s="51"/>
      <c r="X977" s="51"/>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52"/>
      <c r="BH977" s="48"/>
      <c r="BI977" s="48"/>
      <c r="BJ977" s="48"/>
      <c r="BK977" s="48"/>
      <c r="BL977" s="48"/>
      <c r="BM977" s="48"/>
      <c r="BN977" s="48"/>
      <c r="BO977" s="48"/>
      <c r="BP977" s="48"/>
      <c r="BQ977" s="48"/>
    </row>
    <row r="978" ht="23.25" customHeight="1">
      <c r="A978" s="47"/>
      <c r="B978" s="47"/>
      <c r="C978" s="48"/>
      <c r="D978" s="48"/>
      <c r="E978" s="48"/>
      <c r="F978" s="48"/>
      <c r="G978" s="47"/>
      <c r="H978" s="47"/>
      <c r="I978" s="47"/>
      <c r="J978" s="47"/>
      <c r="K978" s="47"/>
      <c r="L978" s="47"/>
      <c r="M978" s="47"/>
      <c r="N978" s="47"/>
      <c r="O978" s="47"/>
      <c r="P978" s="47"/>
      <c r="Q978" s="47"/>
      <c r="R978" s="47"/>
      <c r="S978" s="50"/>
      <c r="T978" s="51"/>
      <c r="U978" s="51"/>
      <c r="V978" s="51"/>
      <c r="W978" s="51"/>
      <c r="X978" s="51"/>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52"/>
      <c r="BH978" s="48"/>
      <c r="BI978" s="48"/>
      <c r="BJ978" s="48"/>
      <c r="BK978" s="48"/>
      <c r="BL978" s="48"/>
      <c r="BM978" s="48"/>
      <c r="BN978" s="48"/>
      <c r="BO978" s="48"/>
      <c r="BP978" s="48"/>
      <c r="BQ978" s="48"/>
    </row>
    <row r="979" ht="23.25" customHeight="1">
      <c r="A979" s="47"/>
      <c r="B979" s="47"/>
      <c r="C979" s="48"/>
      <c r="D979" s="48"/>
      <c r="E979" s="48"/>
      <c r="F979" s="48"/>
      <c r="G979" s="47"/>
      <c r="H979" s="47"/>
      <c r="I979" s="47"/>
      <c r="J979" s="47"/>
      <c r="K979" s="47"/>
      <c r="L979" s="47"/>
      <c r="M979" s="47"/>
      <c r="N979" s="47"/>
      <c r="O979" s="47"/>
      <c r="P979" s="47"/>
      <c r="Q979" s="47"/>
      <c r="R979" s="47"/>
      <c r="S979" s="50"/>
      <c r="T979" s="51"/>
      <c r="U979" s="51"/>
      <c r="V979" s="51"/>
      <c r="W979" s="51"/>
      <c r="X979" s="51"/>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52"/>
      <c r="BH979" s="48"/>
      <c r="BI979" s="48"/>
      <c r="BJ979" s="48"/>
      <c r="BK979" s="48"/>
      <c r="BL979" s="48"/>
      <c r="BM979" s="48"/>
      <c r="BN979" s="48"/>
      <c r="BO979" s="48"/>
      <c r="BP979" s="48"/>
      <c r="BQ979" s="48"/>
    </row>
    <row r="980" ht="23.25" customHeight="1">
      <c r="A980" s="47"/>
      <c r="B980" s="47"/>
      <c r="C980" s="48"/>
      <c r="D980" s="48"/>
      <c r="E980" s="48"/>
      <c r="F980" s="48"/>
      <c r="G980" s="47"/>
      <c r="H980" s="47"/>
      <c r="I980" s="47"/>
      <c r="J980" s="47"/>
      <c r="K980" s="47"/>
      <c r="L980" s="47"/>
      <c r="M980" s="47"/>
      <c r="N980" s="47"/>
      <c r="O980" s="47"/>
      <c r="P980" s="47"/>
      <c r="Q980" s="47"/>
      <c r="R980" s="47"/>
      <c r="S980" s="50"/>
      <c r="T980" s="51"/>
      <c r="U980" s="51"/>
      <c r="V980" s="51"/>
      <c r="W980" s="51"/>
      <c r="X980" s="51"/>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52"/>
      <c r="BH980" s="48"/>
      <c r="BI980" s="48"/>
      <c r="BJ980" s="48"/>
      <c r="BK980" s="48"/>
      <c r="BL980" s="48"/>
      <c r="BM980" s="48"/>
      <c r="BN980" s="48"/>
      <c r="BO980" s="48"/>
      <c r="BP980" s="48"/>
      <c r="BQ980" s="48"/>
    </row>
    <row r="981" ht="23.25" customHeight="1">
      <c r="A981" s="47"/>
      <c r="B981" s="47"/>
      <c r="C981" s="48"/>
      <c r="D981" s="48"/>
      <c r="E981" s="48"/>
      <c r="F981" s="48"/>
      <c r="G981" s="47"/>
      <c r="H981" s="47"/>
      <c r="I981" s="47"/>
      <c r="J981" s="47"/>
      <c r="K981" s="47"/>
      <c r="L981" s="47"/>
      <c r="M981" s="47"/>
      <c r="N981" s="47"/>
      <c r="O981" s="47"/>
      <c r="P981" s="47"/>
      <c r="Q981" s="47"/>
      <c r="R981" s="47"/>
      <c r="S981" s="50"/>
      <c r="T981" s="51"/>
      <c r="U981" s="51"/>
      <c r="V981" s="51"/>
      <c r="W981" s="51"/>
      <c r="X981" s="51"/>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c r="AX981" s="48"/>
      <c r="AY981" s="48"/>
      <c r="AZ981" s="48"/>
      <c r="BA981" s="48"/>
      <c r="BB981" s="48"/>
      <c r="BC981" s="48"/>
      <c r="BD981" s="48"/>
      <c r="BE981" s="48"/>
      <c r="BF981" s="48"/>
      <c r="BG981" s="52"/>
      <c r="BH981" s="48"/>
      <c r="BI981" s="48"/>
      <c r="BJ981" s="48"/>
      <c r="BK981" s="48"/>
      <c r="BL981" s="48"/>
      <c r="BM981" s="48"/>
      <c r="BN981" s="48"/>
      <c r="BO981" s="48"/>
      <c r="BP981" s="48"/>
      <c r="BQ981" s="48"/>
    </row>
    <row r="982" ht="23.25" customHeight="1">
      <c r="A982" s="47"/>
      <c r="B982" s="47"/>
      <c r="C982" s="48"/>
      <c r="D982" s="48"/>
      <c r="E982" s="48"/>
      <c r="F982" s="48"/>
      <c r="G982" s="47"/>
      <c r="H982" s="47"/>
      <c r="I982" s="47"/>
      <c r="J982" s="47"/>
      <c r="K982" s="47"/>
      <c r="L982" s="47"/>
      <c r="M982" s="47"/>
      <c r="N982" s="47"/>
      <c r="O982" s="47"/>
      <c r="P982" s="47"/>
      <c r="Q982" s="47"/>
      <c r="R982" s="47"/>
      <c r="S982" s="50"/>
      <c r="T982" s="51"/>
      <c r="U982" s="51"/>
      <c r="V982" s="51"/>
      <c r="W982" s="51"/>
      <c r="X982" s="51"/>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c r="AX982" s="48"/>
      <c r="AY982" s="48"/>
      <c r="AZ982" s="48"/>
      <c r="BA982" s="48"/>
      <c r="BB982" s="48"/>
      <c r="BC982" s="48"/>
      <c r="BD982" s="48"/>
      <c r="BE982" s="48"/>
      <c r="BF982" s="48"/>
      <c r="BG982" s="52"/>
      <c r="BH982" s="48"/>
      <c r="BI982" s="48"/>
      <c r="BJ982" s="48"/>
      <c r="BK982" s="48"/>
      <c r="BL982" s="48"/>
      <c r="BM982" s="48"/>
      <c r="BN982" s="48"/>
      <c r="BO982" s="48"/>
      <c r="BP982" s="48"/>
      <c r="BQ982" s="48"/>
    </row>
    <row r="983" ht="23.25" customHeight="1">
      <c r="A983" s="47"/>
      <c r="B983" s="47"/>
      <c r="C983" s="48"/>
      <c r="D983" s="48"/>
      <c r="E983" s="48"/>
      <c r="F983" s="48"/>
      <c r="G983" s="47"/>
      <c r="H983" s="47"/>
      <c r="I983" s="47"/>
      <c r="J983" s="47"/>
      <c r="K983" s="47"/>
      <c r="L983" s="47"/>
      <c r="M983" s="47"/>
      <c r="N983" s="47"/>
      <c r="O983" s="47"/>
      <c r="P983" s="47"/>
      <c r="Q983" s="47"/>
      <c r="R983" s="47"/>
      <c r="S983" s="50"/>
      <c r="T983" s="51"/>
      <c r="U983" s="51"/>
      <c r="V983" s="51"/>
      <c r="W983" s="51"/>
      <c r="X983" s="51"/>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c r="AX983" s="48"/>
      <c r="AY983" s="48"/>
      <c r="AZ983" s="48"/>
      <c r="BA983" s="48"/>
      <c r="BB983" s="48"/>
      <c r="BC983" s="48"/>
      <c r="BD983" s="48"/>
      <c r="BE983" s="48"/>
      <c r="BF983" s="48"/>
      <c r="BG983" s="52"/>
      <c r="BH983" s="48"/>
      <c r="BI983" s="48"/>
      <c r="BJ983" s="48"/>
      <c r="BK983" s="48"/>
      <c r="BL983" s="48"/>
      <c r="BM983" s="48"/>
      <c r="BN983" s="48"/>
      <c r="BO983" s="48"/>
      <c r="BP983" s="48"/>
      <c r="BQ983" s="48"/>
    </row>
    <row r="984" ht="23.25" customHeight="1">
      <c r="A984" s="47"/>
      <c r="B984" s="47"/>
      <c r="C984" s="48"/>
      <c r="D984" s="48"/>
      <c r="E984" s="48"/>
      <c r="F984" s="48"/>
      <c r="G984" s="47"/>
      <c r="H984" s="47"/>
      <c r="I984" s="47"/>
      <c r="J984" s="47"/>
      <c r="K984" s="47"/>
      <c r="L984" s="47"/>
      <c r="M984" s="47"/>
      <c r="N984" s="47"/>
      <c r="O984" s="47"/>
      <c r="P984" s="47"/>
      <c r="Q984" s="47"/>
      <c r="R984" s="47"/>
      <c r="S984" s="50"/>
      <c r="T984" s="51"/>
      <c r="U984" s="51"/>
      <c r="V984" s="51"/>
      <c r="W984" s="51"/>
      <c r="X984" s="51"/>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c r="AX984" s="48"/>
      <c r="AY984" s="48"/>
      <c r="AZ984" s="48"/>
      <c r="BA984" s="48"/>
      <c r="BB984" s="48"/>
      <c r="BC984" s="48"/>
      <c r="BD984" s="48"/>
      <c r="BE984" s="48"/>
      <c r="BF984" s="48"/>
      <c r="BG984" s="52"/>
      <c r="BH984" s="48"/>
      <c r="BI984" s="48"/>
      <c r="BJ984" s="48"/>
      <c r="BK984" s="48"/>
      <c r="BL984" s="48"/>
      <c r="BM984" s="48"/>
      <c r="BN984" s="48"/>
      <c r="BO984" s="48"/>
      <c r="BP984" s="48"/>
      <c r="BQ984" s="48"/>
    </row>
    <row r="985" ht="23.25" customHeight="1">
      <c r="A985" s="47"/>
      <c r="B985" s="47"/>
      <c r="C985" s="48"/>
      <c r="D985" s="48"/>
      <c r="E985" s="48"/>
      <c r="F985" s="48"/>
      <c r="G985" s="47"/>
      <c r="H985" s="47"/>
      <c r="I985" s="47"/>
      <c r="J985" s="47"/>
      <c r="K985" s="47"/>
      <c r="L985" s="47"/>
      <c r="M985" s="47"/>
      <c r="N985" s="47"/>
      <c r="O985" s="47"/>
      <c r="P985" s="47"/>
      <c r="Q985" s="47"/>
      <c r="R985" s="47"/>
      <c r="S985" s="50"/>
      <c r="T985" s="51"/>
      <c r="U985" s="51"/>
      <c r="V985" s="51"/>
      <c r="W985" s="51"/>
      <c r="X985" s="51"/>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c r="AX985" s="48"/>
      <c r="AY985" s="48"/>
      <c r="AZ985" s="48"/>
      <c r="BA985" s="48"/>
      <c r="BB985" s="48"/>
      <c r="BC985" s="48"/>
      <c r="BD985" s="48"/>
      <c r="BE985" s="48"/>
      <c r="BF985" s="48"/>
      <c r="BG985" s="52"/>
      <c r="BH985" s="48"/>
      <c r="BI985" s="48"/>
      <c r="BJ985" s="48"/>
      <c r="BK985" s="48"/>
      <c r="BL985" s="48"/>
      <c r="BM985" s="48"/>
      <c r="BN985" s="48"/>
      <c r="BO985" s="48"/>
      <c r="BP985" s="48"/>
      <c r="BQ985" s="48"/>
    </row>
    <row r="986" ht="23.25" customHeight="1">
      <c r="A986" s="47"/>
      <c r="B986" s="47"/>
      <c r="C986" s="48"/>
      <c r="D986" s="48"/>
      <c r="E986" s="48"/>
      <c r="F986" s="48"/>
      <c r="G986" s="47"/>
      <c r="H986" s="47"/>
      <c r="I986" s="47"/>
      <c r="J986" s="47"/>
      <c r="K986" s="47"/>
      <c r="L986" s="47"/>
      <c r="M986" s="47"/>
      <c r="N986" s="47"/>
      <c r="O986" s="47"/>
      <c r="P986" s="47"/>
      <c r="Q986" s="47"/>
      <c r="R986" s="47"/>
      <c r="S986" s="50"/>
      <c r="T986" s="51"/>
      <c r="U986" s="51"/>
      <c r="V986" s="51"/>
      <c r="W986" s="51"/>
      <c r="X986" s="51"/>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c r="AX986" s="48"/>
      <c r="AY986" s="48"/>
      <c r="AZ986" s="48"/>
      <c r="BA986" s="48"/>
      <c r="BB986" s="48"/>
      <c r="BC986" s="48"/>
      <c r="BD986" s="48"/>
      <c r="BE986" s="48"/>
      <c r="BF986" s="48"/>
      <c r="BG986" s="52"/>
      <c r="BH986" s="48"/>
      <c r="BI986" s="48"/>
      <c r="BJ986" s="48"/>
      <c r="BK986" s="48"/>
      <c r="BL986" s="48"/>
      <c r="BM986" s="48"/>
      <c r="BN986" s="48"/>
      <c r="BO986" s="48"/>
      <c r="BP986" s="48"/>
      <c r="BQ986" s="48"/>
    </row>
    <row r="987" ht="23.25" customHeight="1">
      <c r="A987" s="47"/>
      <c r="B987" s="47"/>
      <c r="C987" s="48"/>
      <c r="D987" s="48"/>
      <c r="E987" s="48"/>
      <c r="F987" s="48"/>
      <c r="G987" s="47"/>
      <c r="H987" s="47"/>
      <c r="I987" s="47"/>
      <c r="J987" s="47"/>
      <c r="K987" s="47"/>
      <c r="L987" s="47"/>
      <c r="M987" s="47"/>
      <c r="N987" s="47"/>
      <c r="O987" s="47"/>
      <c r="P987" s="47"/>
      <c r="Q987" s="47"/>
      <c r="R987" s="47"/>
      <c r="S987" s="50"/>
      <c r="T987" s="51"/>
      <c r="U987" s="51"/>
      <c r="V987" s="51"/>
      <c r="W987" s="51"/>
      <c r="X987" s="51"/>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c r="AX987" s="48"/>
      <c r="AY987" s="48"/>
      <c r="AZ987" s="48"/>
      <c r="BA987" s="48"/>
      <c r="BB987" s="48"/>
      <c r="BC987" s="48"/>
      <c r="BD987" s="48"/>
      <c r="BE987" s="48"/>
      <c r="BF987" s="48"/>
      <c r="BG987" s="52"/>
      <c r="BH987" s="48"/>
      <c r="BI987" s="48"/>
      <c r="BJ987" s="48"/>
      <c r="BK987" s="48"/>
      <c r="BL987" s="48"/>
      <c r="BM987" s="48"/>
      <c r="BN987" s="48"/>
      <c r="BO987" s="48"/>
      <c r="BP987" s="48"/>
      <c r="BQ987" s="48"/>
    </row>
    <row r="988" ht="23.25" customHeight="1">
      <c r="A988" s="47"/>
      <c r="B988" s="47"/>
      <c r="C988" s="48"/>
      <c r="D988" s="48"/>
      <c r="E988" s="48"/>
      <c r="F988" s="48"/>
      <c r="G988" s="47"/>
      <c r="H988" s="47"/>
      <c r="I988" s="47"/>
      <c r="J988" s="47"/>
      <c r="K988" s="47"/>
      <c r="L988" s="47"/>
      <c r="M988" s="47"/>
      <c r="N988" s="47"/>
      <c r="O988" s="47"/>
      <c r="P988" s="47"/>
      <c r="Q988" s="47"/>
      <c r="R988" s="47"/>
      <c r="S988" s="50"/>
      <c r="T988" s="51"/>
      <c r="U988" s="51"/>
      <c r="V988" s="51"/>
      <c r="W988" s="51"/>
      <c r="X988" s="51"/>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c r="AX988" s="48"/>
      <c r="AY988" s="48"/>
      <c r="AZ988" s="48"/>
      <c r="BA988" s="48"/>
      <c r="BB988" s="48"/>
      <c r="BC988" s="48"/>
      <c r="BD988" s="48"/>
      <c r="BE988" s="48"/>
      <c r="BF988" s="48"/>
      <c r="BG988" s="52"/>
      <c r="BH988" s="48"/>
      <c r="BI988" s="48"/>
      <c r="BJ988" s="48"/>
      <c r="BK988" s="48"/>
      <c r="BL988" s="48"/>
      <c r="BM988" s="48"/>
      <c r="BN988" s="48"/>
      <c r="BO988" s="48"/>
      <c r="BP988" s="48"/>
      <c r="BQ988" s="48"/>
    </row>
    <row r="989" ht="23.25" customHeight="1">
      <c r="A989" s="47"/>
      <c r="B989" s="47"/>
      <c r="C989" s="48"/>
      <c r="D989" s="48"/>
      <c r="E989" s="48"/>
      <c r="F989" s="48"/>
      <c r="G989" s="47"/>
      <c r="H989" s="47"/>
      <c r="I989" s="47"/>
      <c r="J989" s="47"/>
      <c r="K989" s="47"/>
      <c r="L989" s="47"/>
      <c r="M989" s="47"/>
      <c r="N989" s="47"/>
      <c r="O989" s="47"/>
      <c r="P989" s="47"/>
      <c r="Q989" s="47"/>
      <c r="R989" s="47"/>
      <c r="S989" s="50"/>
      <c r="T989" s="51"/>
      <c r="U989" s="51"/>
      <c r="V989" s="51"/>
      <c r="W989" s="51"/>
      <c r="X989" s="51"/>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c r="AX989" s="48"/>
      <c r="AY989" s="48"/>
      <c r="AZ989" s="48"/>
      <c r="BA989" s="48"/>
      <c r="BB989" s="48"/>
      <c r="BC989" s="48"/>
      <c r="BD989" s="48"/>
      <c r="BE989" s="48"/>
      <c r="BF989" s="48"/>
      <c r="BG989" s="52"/>
      <c r="BH989" s="48"/>
      <c r="BI989" s="48"/>
      <c r="BJ989" s="48"/>
      <c r="BK989" s="48"/>
      <c r="BL989" s="48"/>
      <c r="BM989" s="48"/>
      <c r="BN989" s="48"/>
      <c r="BO989" s="48"/>
      <c r="BP989" s="48"/>
      <c r="BQ989" s="48"/>
    </row>
    <row r="990" ht="23.25" customHeight="1">
      <c r="A990" s="47"/>
      <c r="B990" s="47"/>
      <c r="C990" s="48"/>
      <c r="D990" s="48"/>
      <c r="E990" s="48"/>
      <c r="F990" s="48"/>
      <c r="G990" s="47"/>
      <c r="H990" s="47"/>
      <c r="I990" s="47"/>
      <c r="J990" s="47"/>
      <c r="K990" s="47"/>
      <c r="L990" s="47"/>
      <c r="M990" s="47"/>
      <c r="N990" s="47"/>
      <c r="O990" s="47"/>
      <c r="P990" s="47"/>
      <c r="Q990" s="47"/>
      <c r="R990" s="47"/>
      <c r="S990" s="50"/>
      <c r="T990" s="51"/>
      <c r="U990" s="51"/>
      <c r="V990" s="51"/>
      <c r="W990" s="51"/>
      <c r="X990" s="51"/>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c r="AX990" s="48"/>
      <c r="AY990" s="48"/>
      <c r="AZ990" s="48"/>
      <c r="BA990" s="48"/>
      <c r="BB990" s="48"/>
      <c r="BC990" s="48"/>
      <c r="BD990" s="48"/>
      <c r="BE990" s="48"/>
      <c r="BF990" s="48"/>
      <c r="BG990" s="52"/>
      <c r="BH990" s="48"/>
      <c r="BI990" s="48"/>
      <c r="BJ990" s="48"/>
      <c r="BK990" s="48"/>
      <c r="BL990" s="48"/>
      <c r="BM990" s="48"/>
      <c r="BN990" s="48"/>
      <c r="BO990" s="48"/>
      <c r="BP990" s="48"/>
      <c r="BQ990" s="48"/>
    </row>
    <row r="991" ht="23.25" customHeight="1">
      <c r="A991" s="47"/>
      <c r="B991" s="47"/>
      <c r="C991" s="48"/>
      <c r="D991" s="48"/>
      <c r="E991" s="48"/>
      <c r="F991" s="48"/>
      <c r="G991" s="47"/>
      <c r="H991" s="47"/>
      <c r="I991" s="47"/>
      <c r="J991" s="47"/>
      <c r="K991" s="47"/>
      <c r="L991" s="47"/>
      <c r="M991" s="47"/>
      <c r="N991" s="47"/>
      <c r="O991" s="47"/>
      <c r="P991" s="47"/>
      <c r="Q991" s="47"/>
      <c r="R991" s="47"/>
      <c r="S991" s="50"/>
      <c r="T991" s="51"/>
      <c r="U991" s="51"/>
      <c r="V991" s="51"/>
      <c r="W991" s="51"/>
      <c r="X991" s="51"/>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52"/>
      <c r="BH991" s="48"/>
      <c r="BI991" s="48"/>
      <c r="BJ991" s="48"/>
      <c r="BK991" s="48"/>
      <c r="BL991" s="48"/>
      <c r="BM991" s="48"/>
      <c r="BN991" s="48"/>
      <c r="BO991" s="48"/>
      <c r="BP991" s="48"/>
      <c r="BQ991" s="48"/>
    </row>
    <row r="992" ht="23.25" customHeight="1">
      <c r="A992" s="47"/>
      <c r="B992" s="47"/>
      <c r="C992" s="48"/>
      <c r="D992" s="48"/>
      <c r="E992" s="48"/>
      <c r="F992" s="48"/>
      <c r="G992" s="47"/>
      <c r="H992" s="47"/>
      <c r="I992" s="47"/>
      <c r="J992" s="47"/>
      <c r="K992" s="47"/>
      <c r="L992" s="47"/>
      <c r="M992" s="47"/>
      <c r="N992" s="47"/>
      <c r="O992" s="47"/>
      <c r="P992" s="47"/>
      <c r="Q992" s="47"/>
      <c r="R992" s="47"/>
      <c r="S992" s="50"/>
      <c r="T992" s="51"/>
      <c r="U992" s="51"/>
      <c r="V992" s="51"/>
      <c r="W992" s="51"/>
      <c r="X992" s="51"/>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c r="AX992" s="48"/>
      <c r="AY992" s="48"/>
      <c r="AZ992" s="48"/>
      <c r="BA992" s="48"/>
      <c r="BB992" s="48"/>
      <c r="BC992" s="48"/>
      <c r="BD992" s="48"/>
      <c r="BE992" s="48"/>
      <c r="BF992" s="48"/>
      <c r="BG992" s="52"/>
      <c r="BH992" s="48"/>
      <c r="BI992" s="48"/>
      <c r="BJ992" s="48"/>
      <c r="BK992" s="48"/>
      <c r="BL992" s="48"/>
      <c r="BM992" s="48"/>
      <c r="BN992" s="48"/>
      <c r="BO992" s="48"/>
      <c r="BP992" s="48"/>
      <c r="BQ992" s="48"/>
    </row>
    <row r="993" ht="23.25" customHeight="1">
      <c r="A993" s="47"/>
      <c r="B993" s="47"/>
      <c r="C993" s="48"/>
      <c r="D993" s="48"/>
      <c r="E993" s="48"/>
      <c r="F993" s="48"/>
      <c r="G993" s="47"/>
      <c r="H993" s="47"/>
      <c r="I993" s="47"/>
      <c r="J993" s="47"/>
      <c r="K993" s="47"/>
      <c r="L993" s="47"/>
      <c r="M993" s="47"/>
      <c r="N993" s="47"/>
      <c r="O993" s="47"/>
      <c r="P993" s="47"/>
      <c r="Q993" s="47"/>
      <c r="R993" s="47"/>
      <c r="S993" s="50"/>
      <c r="T993" s="51"/>
      <c r="U993" s="51"/>
      <c r="V993" s="51"/>
      <c r="W993" s="51"/>
      <c r="X993" s="51"/>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c r="AX993" s="48"/>
      <c r="AY993" s="48"/>
      <c r="AZ993" s="48"/>
      <c r="BA993" s="48"/>
      <c r="BB993" s="48"/>
      <c r="BC993" s="48"/>
      <c r="BD993" s="48"/>
      <c r="BE993" s="48"/>
      <c r="BF993" s="48"/>
      <c r="BG993" s="52"/>
      <c r="BH993" s="48"/>
      <c r="BI993" s="48"/>
      <c r="BJ993" s="48"/>
      <c r="BK993" s="48"/>
      <c r="BL993" s="48"/>
      <c r="BM993" s="48"/>
      <c r="BN993" s="48"/>
      <c r="BO993" s="48"/>
      <c r="BP993" s="48"/>
      <c r="BQ993" s="48"/>
    </row>
    <row r="994" ht="23.25" customHeight="1">
      <c r="A994" s="47"/>
      <c r="B994" s="47"/>
      <c r="C994" s="48"/>
      <c r="D994" s="48"/>
      <c r="E994" s="48"/>
      <c r="F994" s="48"/>
      <c r="G994" s="47"/>
      <c r="H994" s="47"/>
      <c r="I994" s="47"/>
      <c r="J994" s="47"/>
      <c r="K994" s="47"/>
      <c r="L994" s="47"/>
      <c r="M994" s="47"/>
      <c r="N994" s="47"/>
      <c r="O994" s="47"/>
      <c r="P994" s="47"/>
      <c r="Q994" s="47"/>
      <c r="R994" s="47"/>
      <c r="S994" s="50"/>
      <c r="T994" s="51"/>
      <c r="U994" s="51"/>
      <c r="V994" s="51"/>
      <c r="W994" s="51"/>
      <c r="X994" s="51"/>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c r="AX994" s="48"/>
      <c r="AY994" s="48"/>
      <c r="AZ994" s="48"/>
      <c r="BA994" s="48"/>
      <c r="BB994" s="48"/>
      <c r="BC994" s="48"/>
      <c r="BD994" s="48"/>
      <c r="BE994" s="48"/>
      <c r="BF994" s="48"/>
      <c r="BG994" s="52"/>
      <c r="BH994" s="48"/>
      <c r="BI994" s="48"/>
      <c r="BJ994" s="48"/>
      <c r="BK994" s="48"/>
      <c r="BL994" s="48"/>
      <c r="BM994" s="48"/>
      <c r="BN994" s="48"/>
      <c r="BO994" s="48"/>
      <c r="BP994" s="48"/>
      <c r="BQ994" s="48"/>
    </row>
    <row r="995" ht="23.25" customHeight="1">
      <c r="A995" s="47"/>
      <c r="B995" s="47"/>
      <c r="C995" s="48"/>
      <c r="D995" s="48"/>
      <c r="E995" s="48"/>
      <c r="F995" s="48"/>
      <c r="G995" s="47"/>
      <c r="H995" s="47"/>
      <c r="I995" s="47"/>
      <c r="J995" s="47"/>
      <c r="K995" s="47"/>
      <c r="L995" s="47"/>
      <c r="M995" s="47"/>
      <c r="N995" s="47"/>
      <c r="O995" s="47"/>
      <c r="P995" s="47"/>
      <c r="Q995" s="47"/>
      <c r="R995" s="47"/>
      <c r="S995" s="50"/>
      <c r="T995" s="51"/>
      <c r="U995" s="51"/>
      <c r="V995" s="51"/>
      <c r="W995" s="51"/>
      <c r="X995" s="51"/>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c r="AX995" s="48"/>
      <c r="AY995" s="48"/>
      <c r="AZ995" s="48"/>
      <c r="BA995" s="48"/>
      <c r="BB995" s="48"/>
      <c r="BC995" s="48"/>
      <c r="BD995" s="48"/>
      <c r="BE995" s="48"/>
      <c r="BF995" s="48"/>
      <c r="BG995" s="52"/>
      <c r="BH995" s="48"/>
      <c r="BI995" s="48"/>
      <c r="BJ995" s="48"/>
      <c r="BK995" s="48"/>
      <c r="BL995" s="48"/>
      <c r="BM995" s="48"/>
      <c r="BN995" s="48"/>
      <c r="BO995" s="48"/>
      <c r="BP995" s="48"/>
      <c r="BQ995" s="48"/>
    </row>
    <row r="996" ht="23.25" customHeight="1">
      <c r="A996" s="47"/>
      <c r="B996" s="47"/>
      <c r="C996" s="48"/>
      <c r="D996" s="48"/>
      <c r="E996" s="48"/>
      <c r="F996" s="48"/>
      <c r="G996" s="47"/>
      <c r="H996" s="47"/>
      <c r="I996" s="47"/>
      <c r="J996" s="47"/>
      <c r="K996" s="47"/>
      <c r="L996" s="47"/>
      <c r="M996" s="47"/>
      <c r="N996" s="47"/>
      <c r="O996" s="47"/>
      <c r="P996" s="47"/>
      <c r="Q996" s="47"/>
      <c r="R996" s="47"/>
      <c r="S996" s="50"/>
      <c r="T996" s="51"/>
      <c r="U996" s="51"/>
      <c r="V996" s="51"/>
      <c r="W996" s="51"/>
      <c r="X996" s="51"/>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c r="AX996" s="48"/>
      <c r="AY996" s="48"/>
      <c r="AZ996" s="48"/>
      <c r="BA996" s="48"/>
      <c r="BB996" s="48"/>
      <c r="BC996" s="48"/>
      <c r="BD996" s="48"/>
      <c r="BE996" s="48"/>
      <c r="BF996" s="48"/>
      <c r="BG996" s="52"/>
      <c r="BH996" s="48"/>
      <c r="BI996" s="48"/>
      <c r="BJ996" s="48"/>
      <c r="BK996" s="48"/>
      <c r="BL996" s="48"/>
      <c r="BM996" s="48"/>
      <c r="BN996" s="48"/>
      <c r="BO996" s="48"/>
      <c r="BP996" s="48"/>
      <c r="BQ996" s="48"/>
    </row>
    <row r="997" ht="23.25" customHeight="1">
      <c r="A997" s="47"/>
      <c r="B997" s="47"/>
      <c r="C997" s="48"/>
      <c r="D997" s="48"/>
      <c r="E997" s="48"/>
      <c r="F997" s="48"/>
      <c r="G997" s="47"/>
      <c r="H997" s="47"/>
      <c r="I997" s="47"/>
      <c r="J997" s="47"/>
      <c r="K997" s="47"/>
      <c r="L997" s="47"/>
      <c r="M997" s="47"/>
      <c r="N997" s="47"/>
      <c r="O997" s="47"/>
      <c r="P997" s="47"/>
      <c r="Q997" s="47"/>
      <c r="R997" s="47"/>
      <c r="S997" s="50"/>
      <c r="T997" s="51"/>
      <c r="U997" s="51"/>
      <c r="V997" s="51"/>
      <c r="W997" s="51"/>
      <c r="X997" s="51"/>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c r="AX997" s="48"/>
      <c r="AY997" s="48"/>
      <c r="AZ997" s="48"/>
      <c r="BA997" s="48"/>
      <c r="BB997" s="48"/>
      <c r="BC997" s="48"/>
      <c r="BD997" s="48"/>
      <c r="BE997" s="48"/>
      <c r="BF997" s="48"/>
      <c r="BG997" s="52"/>
      <c r="BH997" s="48"/>
      <c r="BI997" s="48"/>
      <c r="BJ997" s="48"/>
      <c r="BK997" s="48"/>
      <c r="BL997" s="48"/>
      <c r="BM997" s="48"/>
      <c r="BN997" s="48"/>
      <c r="BO997" s="48"/>
      <c r="BP997" s="48"/>
      <c r="BQ997" s="48"/>
    </row>
    <row r="998" ht="23.25" customHeight="1">
      <c r="A998" s="47"/>
      <c r="B998" s="47"/>
      <c r="C998" s="48"/>
      <c r="D998" s="48"/>
      <c r="E998" s="48"/>
      <c r="F998" s="48"/>
      <c r="G998" s="47"/>
      <c r="H998" s="47"/>
      <c r="I998" s="47"/>
      <c r="J998" s="47"/>
      <c r="K998" s="47"/>
      <c r="L998" s="47"/>
      <c r="M998" s="47"/>
      <c r="N998" s="47"/>
      <c r="O998" s="47"/>
      <c r="P998" s="47"/>
      <c r="Q998" s="47"/>
      <c r="R998" s="47"/>
      <c r="S998" s="50"/>
      <c r="T998" s="51"/>
      <c r="U998" s="51"/>
      <c r="V998" s="51"/>
      <c r="W998" s="51"/>
      <c r="X998" s="51"/>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c r="AX998" s="48"/>
      <c r="AY998" s="48"/>
      <c r="AZ998" s="48"/>
      <c r="BA998" s="48"/>
      <c r="BB998" s="48"/>
      <c r="BC998" s="48"/>
      <c r="BD998" s="48"/>
      <c r="BE998" s="48"/>
      <c r="BF998" s="48"/>
      <c r="BG998" s="52"/>
      <c r="BH998" s="48"/>
      <c r="BI998" s="48"/>
      <c r="BJ998" s="48"/>
      <c r="BK998" s="48"/>
      <c r="BL998" s="48"/>
      <c r="BM998" s="48"/>
      <c r="BN998" s="48"/>
      <c r="BO998" s="48"/>
      <c r="BP998" s="48"/>
      <c r="BQ998" s="48"/>
    </row>
    <row r="999" ht="23.25" customHeight="1">
      <c r="A999" s="47"/>
      <c r="B999" s="47"/>
      <c r="C999" s="48"/>
      <c r="D999" s="48"/>
      <c r="E999" s="48"/>
      <c r="F999" s="48"/>
      <c r="G999" s="47"/>
      <c r="H999" s="47"/>
      <c r="I999" s="47"/>
      <c r="J999" s="47"/>
      <c r="K999" s="47"/>
      <c r="L999" s="47"/>
      <c r="M999" s="47"/>
      <c r="N999" s="47"/>
      <c r="O999" s="47"/>
      <c r="P999" s="47"/>
      <c r="Q999" s="47"/>
      <c r="R999" s="47"/>
      <c r="S999" s="50"/>
      <c r="T999" s="51"/>
      <c r="U999" s="51"/>
      <c r="V999" s="51"/>
      <c r="W999" s="51"/>
      <c r="X999" s="51"/>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c r="AX999" s="48"/>
      <c r="AY999" s="48"/>
      <c r="AZ999" s="48"/>
      <c r="BA999" s="48"/>
      <c r="BB999" s="48"/>
      <c r="BC999" s="48"/>
      <c r="BD999" s="48"/>
      <c r="BE999" s="48"/>
      <c r="BF999" s="48"/>
      <c r="BG999" s="52"/>
      <c r="BH999" s="48"/>
      <c r="BI999" s="48"/>
      <c r="BJ999" s="48"/>
      <c r="BK999" s="48"/>
      <c r="BL999" s="48"/>
      <c r="BM999" s="48"/>
      <c r="BN999" s="48"/>
      <c r="BO999" s="48"/>
      <c r="BP999" s="48"/>
      <c r="BQ999" s="48"/>
    </row>
    <row r="1000" ht="23.25" customHeight="1">
      <c r="A1000" s="47"/>
      <c r="B1000" s="47"/>
      <c r="C1000" s="48"/>
      <c r="D1000" s="48"/>
      <c r="E1000" s="48"/>
      <c r="F1000" s="48"/>
      <c r="G1000" s="47"/>
      <c r="H1000" s="47"/>
      <c r="I1000" s="47"/>
      <c r="J1000" s="47"/>
      <c r="K1000" s="47"/>
      <c r="L1000" s="47"/>
      <c r="M1000" s="47"/>
      <c r="N1000" s="47"/>
      <c r="O1000" s="47"/>
      <c r="P1000" s="47"/>
      <c r="Q1000" s="47"/>
      <c r="R1000" s="47"/>
      <c r="S1000" s="50"/>
      <c r="T1000" s="51"/>
      <c r="U1000" s="51"/>
      <c r="V1000" s="51"/>
      <c r="W1000" s="51"/>
      <c r="X1000" s="51"/>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c r="AX1000" s="48"/>
      <c r="AY1000" s="48"/>
      <c r="AZ1000" s="48"/>
      <c r="BA1000" s="48"/>
      <c r="BB1000" s="48"/>
      <c r="BC1000" s="48"/>
      <c r="BD1000" s="48"/>
      <c r="BE1000" s="48"/>
      <c r="BF1000" s="48"/>
      <c r="BG1000" s="52"/>
      <c r="BH1000" s="48"/>
      <c r="BI1000" s="48"/>
      <c r="BJ1000" s="48"/>
      <c r="BK1000" s="48"/>
      <c r="BL1000" s="48"/>
      <c r="BM1000" s="48"/>
      <c r="BN1000" s="48"/>
      <c r="BO1000" s="48"/>
      <c r="BP1000" s="48"/>
      <c r="BQ1000" s="48"/>
    </row>
  </sheetData>
  <mergeCells count="8">
    <mergeCell ref="BN2:BN4"/>
    <mergeCell ref="G3:K3"/>
    <mergeCell ref="L3:N3"/>
    <mergeCell ref="O3:S3"/>
    <mergeCell ref="T3:X3"/>
    <mergeCell ref="Y3:AD3"/>
    <mergeCell ref="AE3:AJ3"/>
    <mergeCell ref="AW3:AZ3"/>
  </mergeCells>
  <dataValidations>
    <dataValidation type="decimal" allowBlank="1" showErrorMessage="1" sqref="B8:B9">
      <formula1>1.0</formula1>
      <formula2>79999.0</formula2>
    </dataValidation>
  </dataValidations>
  <printOptions/>
  <pageMargins bottom="0.787401575" footer="0.0" header="0.0" left="0.7" right="0.7"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26.44"/>
    <col customWidth="1" min="2" max="3" width="33.0"/>
    <col customWidth="1" min="4" max="26" width="8.33"/>
  </cols>
  <sheetData>
    <row r="1">
      <c r="A1" s="49" t="s">
        <v>2486</v>
      </c>
    </row>
    <row r="2">
      <c r="A2" s="90"/>
    </row>
    <row r="3">
      <c r="A3" s="90" t="s">
        <v>2487</v>
      </c>
      <c r="B3" s="91" t="s">
        <v>2488</v>
      </c>
    </row>
    <row r="4">
      <c r="A4" s="90" t="s">
        <v>2489</v>
      </c>
      <c r="B4" s="10" t="s">
        <v>2490</v>
      </c>
    </row>
    <row r="5" ht="43.5" customHeight="1">
      <c r="A5" s="90" t="s">
        <v>1</v>
      </c>
      <c r="B5" s="91">
        <v>2026.0</v>
      </c>
    </row>
    <row r="6">
      <c r="A6" s="90"/>
    </row>
    <row r="7">
      <c r="A7" s="92" t="s">
        <v>2491</v>
      </c>
      <c r="B7" s="93" t="s">
        <v>2492</v>
      </c>
      <c r="C7" s="93"/>
    </row>
    <row r="8">
      <c r="A8" s="90"/>
      <c r="B8" s="94"/>
      <c r="C8" s="95"/>
    </row>
    <row r="9">
      <c r="A9" s="90"/>
    </row>
    <row r="10">
      <c r="A10" s="90" t="s">
        <v>2493</v>
      </c>
      <c r="B10" s="91" t="s">
        <v>1488</v>
      </c>
    </row>
    <row r="11">
      <c r="A11" s="90" t="s">
        <v>2494</v>
      </c>
      <c r="B11" s="91" t="s">
        <v>2495</v>
      </c>
    </row>
    <row r="12">
      <c r="A12" s="90" t="s">
        <v>2496</v>
      </c>
      <c r="B12" s="91" t="s">
        <v>2497</v>
      </c>
    </row>
    <row r="13">
      <c r="A13" s="90"/>
    </row>
    <row r="14">
      <c r="A14" s="90"/>
    </row>
    <row r="15">
      <c r="A15" s="92" t="s">
        <v>2498</v>
      </c>
    </row>
    <row r="16">
      <c r="A16" s="96"/>
    </row>
    <row r="17">
      <c r="A17" s="90"/>
    </row>
    <row r="18">
      <c r="A18" s="90"/>
    </row>
    <row r="19">
      <c r="A19" s="90"/>
    </row>
    <row r="20">
      <c r="A20" s="90"/>
    </row>
    <row r="21">
      <c r="A21" s="90"/>
    </row>
    <row r="22">
      <c r="A22" s="90"/>
      <c r="B22" s="90"/>
    </row>
    <row r="23">
      <c r="A23" s="90"/>
      <c r="B23" s="90"/>
    </row>
    <row r="24">
      <c r="A24" s="90"/>
      <c r="B24" s="90"/>
    </row>
    <row r="25">
      <c r="A25" s="90"/>
      <c r="B25" s="90"/>
    </row>
    <row r="26">
      <c r="A26" s="90"/>
      <c r="B26" s="90"/>
    </row>
    <row r="27">
      <c r="A27" s="90"/>
      <c r="B27" s="90"/>
    </row>
    <row r="28">
      <c r="A28" s="90"/>
      <c r="B28" s="90"/>
    </row>
    <row r="29">
      <c r="A29" s="90"/>
      <c r="B29" s="90"/>
    </row>
    <row r="30">
      <c r="A30" s="90"/>
    </row>
    <row r="31">
      <c r="A31" s="90" t="s">
        <v>2499</v>
      </c>
    </row>
    <row r="32">
      <c r="A32" s="90"/>
    </row>
    <row r="33">
      <c r="A33" s="90"/>
    </row>
    <row r="34">
      <c r="A34" s="90"/>
    </row>
    <row r="35">
      <c r="A35" s="90"/>
    </row>
    <row r="36">
      <c r="A36" s="90"/>
    </row>
    <row r="37">
      <c r="A37" s="90"/>
    </row>
    <row r="38">
      <c r="A38" s="90"/>
    </row>
    <row r="39">
      <c r="A39" s="90"/>
    </row>
    <row r="40">
      <c r="A40" s="90"/>
    </row>
    <row r="41">
      <c r="A41" s="90"/>
    </row>
    <row r="42">
      <c r="A42" s="90"/>
    </row>
    <row r="43">
      <c r="A43" s="90"/>
    </row>
    <row r="44">
      <c r="A44" s="90"/>
    </row>
    <row r="45">
      <c r="A45" s="90"/>
    </row>
    <row r="46">
      <c r="A46" s="90"/>
    </row>
    <row r="47">
      <c r="A47" s="90"/>
    </row>
    <row r="48">
      <c r="A48" s="90"/>
    </row>
    <row r="49">
      <c r="A49" s="90"/>
    </row>
    <row r="50">
      <c r="A50" s="90"/>
    </row>
    <row r="51">
      <c r="A51" s="90"/>
    </row>
    <row r="52">
      <c r="A52" s="90"/>
    </row>
    <row r="53">
      <c r="A53" s="90"/>
    </row>
    <row r="54">
      <c r="A54" s="90"/>
    </row>
    <row r="55">
      <c r="A55" s="90"/>
    </row>
    <row r="56">
      <c r="A56" s="90"/>
    </row>
    <row r="57">
      <c r="A57" s="90"/>
    </row>
    <row r="58">
      <c r="A58" s="90"/>
    </row>
    <row r="59">
      <c r="A59" s="90"/>
    </row>
    <row r="60">
      <c r="A60" s="90"/>
    </row>
    <row r="61">
      <c r="A61" s="90"/>
    </row>
    <row r="62">
      <c r="A62" s="90"/>
    </row>
    <row r="63">
      <c r="A63" s="90"/>
    </row>
    <row r="64">
      <c r="A64" s="90"/>
    </row>
    <row r="65">
      <c r="A65" s="90"/>
    </row>
    <row r="66">
      <c r="A66" s="90"/>
    </row>
    <row r="67">
      <c r="A67" s="90"/>
    </row>
    <row r="68">
      <c r="A68" s="90"/>
    </row>
    <row r="69">
      <c r="A69" s="90"/>
    </row>
    <row r="70">
      <c r="A70" s="90"/>
    </row>
    <row r="71">
      <c r="A71" s="90"/>
    </row>
    <row r="72">
      <c r="A72" s="90"/>
    </row>
    <row r="73">
      <c r="A73" s="90"/>
    </row>
    <row r="74">
      <c r="A74" s="90"/>
    </row>
    <row r="75">
      <c r="A75" s="90"/>
    </row>
    <row r="76">
      <c r="A76" s="90"/>
    </row>
    <row r="77">
      <c r="A77" s="90"/>
    </row>
    <row r="78">
      <c r="A78" s="90"/>
    </row>
    <row r="79">
      <c r="A79" s="90"/>
    </row>
    <row r="80">
      <c r="A80" s="90"/>
    </row>
    <row r="81">
      <c r="A81" s="90"/>
    </row>
    <row r="82">
      <c r="A82" s="90"/>
    </row>
    <row r="83">
      <c r="A83" s="90"/>
    </row>
    <row r="84">
      <c r="A84" s="90"/>
    </row>
    <row r="85">
      <c r="A85" s="90"/>
    </row>
    <row r="86">
      <c r="A86" s="90"/>
    </row>
    <row r="87">
      <c r="A87" s="90"/>
    </row>
    <row r="88">
      <c r="A88" s="90"/>
    </row>
    <row r="89">
      <c r="A89" s="90"/>
    </row>
    <row r="90">
      <c r="A90" s="90"/>
    </row>
    <row r="91">
      <c r="A91" s="90"/>
    </row>
    <row r="92">
      <c r="A92" s="90"/>
    </row>
    <row r="93">
      <c r="A93" s="90"/>
    </row>
    <row r="94">
      <c r="A94" s="90"/>
    </row>
    <row r="95">
      <c r="A95" s="90"/>
    </row>
    <row r="96">
      <c r="A96" s="90"/>
    </row>
    <row r="97">
      <c r="A97" s="90"/>
    </row>
    <row r="98">
      <c r="A98" s="90"/>
    </row>
    <row r="99">
      <c r="A99" s="90"/>
    </row>
    <row r="100">
      <c r="A100" s="90"/>
    </row>
    <row r="101">
      <c r="A101" s="90"/>
    </row>
    <row r="102">
      <c r="A102" s="90"/>
    </row>
    <row r="103">
      <c r="A103" s="90"/>
    </row>
    <row r="104">
      <c r="A104" s="90"/>
    </row>
    <row r="105">
      <c r="A105" s="90"/>
    </row>
    <row r="106">
      <c r="A106" s="90"/>
    </row>
    <row r="107">
      <c r="A107" s="90"/>
    </row>
    <row r="108">
      <c r="A108" s="90"/>
    </row>
    <row r="109">
      <c r="A109" s="90"/>
    </row>
    <row r="110">
      <c r="A110" s="90"/>
    </row>
    <row r="111">
      <c r="A111" s="90"/>
    </row>
    <row r="112">
      <c r="A112" s="90"/>
    </row>
    <row r="113">
      <c r="A113" s="90"/>
    </row>
    <row r="114">
      <c r="A114" s="90"/>
    </row>
    <row r="115">
      <c r="A115" s="90"/>
    </row>
    <row r="116">
      <c r="A116" s="90"/>
    </row>
    <row r="117">
      <c r="A117" s="90"/>
    </row>
    <row r="118">
      <c r="A118" s="90"/>
    </row>
    <row r="119">
      <c r="A119" s="90"/>
    </row>
    <row r="120">
      <c r="A120" s="90"/>
    </row>
    <row r="121">
      <c r="A121" s="90"/>
    </row>
    <row r="122">
      <c r="A122" s="90"/>
    </row>
    <row r="123">
      <c r="A123" s="90"/>
    </row>
    <row r="124">
      <c r="A124" s="90"/>
    </row>
    <row r="125">
      <c r="A125" s="90"/>
    </row>
    <row r="126">
      <c r="A126" s="90"/>
    </row>
    <row r="127">
      <c r="A127" s="90"/>
    </row>
    <row r="128">
      <c r="A128" s="90"/>
    </row>
    <row r="129">
      <c r="A129" s="90"/>
    </row>
    <row r="130">
      <c r="A130" s="90"/>
    </row>
    <row r="131">
      <c r="A131" s="90"/>
    </row>
    <row r="132">
      <c r="A132" s="90"/>
    </row>
    <row r="133">
      <c r="A133" s="90"/>
    </row>
    <row r="134">
      <c r="A134" s="90"/>
    </row>
    <row r="135">
      <c r="A135" s="90"/>
    </row>
    <row r="136">
      <c r="A136" s="90"/>
    </row>
    <row r="137">
      <c r="A137" s="90"/>
    </row>
    <row r="138">
      <c r="A138" s="90"/>
    </row>
    <row r="139">
      <c r="A139" s="90"/>
    </row>
    <row r="140">
      <c r="A140" s="90"/>
    </row>
    <row r="141">
      <c r="A141" s="90"/>
    </row>
    <row r="142">
      <c r="A142" s="90"/>
    </row>
    <row r="143">
      <c r="A143" s="90"/>
    </row>
    <row r="144">
      <c r="A144" s="90"/>
    </row>
    <row r="145">
      <c r="A145" s="90"/>
    </row>
    <row r="146">
      <c r="A146" s="90"/>
    </row>
    <row r="147">
      <c r="A147" s="90"/>
    </row>
    <row r="148">
      <c r="A148" s="90"/>
    </row>
    <row r="149">
      <c r="A149" s="90"/>
    </row>
    <row r="150">
      <c r="A150" s="90"/>
    </row>
    <row r="151">
      <c r="A151" s="90"/>
    </row>
    <row r="152">
      <c r="A152" s="90"/>
    </row>
    <row r="153">
      <c r="A153" s="90"/>
    </row>
    <row r="154">
      <c r="A154" s="90"/>
    </row>
    <row r="155">
      <c r="A155" s="90"/>
    </row>
    <row r="156">
      <c r="A156" s="90"/>
    </row>
    <row r="157">
      <c r="A157" s="90"/>
    </row>
    <row r="158">
      <c r="A158" s="90"/>
    </row>
    <row r="159">
      <c r="A159" s="90"/>
    </row>
    <row r="160">
      <c r="A160" s="90"/>
    </row>
    <row r="161">
      <c r="A161" s="90"/>
    </row>
    <row r="162">
      <c r="A162" s="90"/>
    </row>
    <row r="163">
      <c r="A163" s="90"/>
    </row>
    <row r="164">
      <c r="A164" s="90"/>
    </row>
    <row r="165">
      <c r="A165" s="90"/>
    </row>
    <row r="166">
      <c r="A166" s="90"/>
    </row>
    <row r="167">
      <c r="A167" s="90"/>
    </row>
    <row r="168">
      <c r="A168" s="90"/>
    </row>
    <row r="169">
      <c r="A169" s="90"/>
    </row>
    <row r="170">
      <c r="A170" s="90"/>
    </row>
    <row r="171">
      <c r="A171" s="90"/>
    </row>
    <row r="172">
      <c r="A172" s="90"/>
    </row>
    <row r="173">
      <c r="A173" s="90"/>
    </row>
    <row r="174">
      <c r="A174" s="90"/>
    </row>
    <row r="175">
      <c r="A175" s="90"/>
    </row>
    <row r="176">
      <c r="A176" s="90"/>
    </row>
    <row r="177">
      <c r="A177" s="90"/>
    </row>
    <row r="178">
      <c r="A178" s="90"/>
    </row>
    <row r="179">
      <c r="A179" s="90"/>
    </row>
    <row r="180">
      <c r="A180" s="90"/>
    </row>
    <row r="181">
      <c r="A181" s="90"/>
    </row>
    <row r="182">
      <c r="A182" s="90"/>
    </row>
    <row r="183">
      <c r="A183" s="90"/>
    </row>
    <row r="184">
      <c r="A184" s="90"/>
    </row>
    <row r="185">
      <c r="A185" s="90"/>
    </row>
    <row r="186">
      <c r="A186" s="90"/>
    </row>
    <row r="187">
      <c r="A187" s="90"/>
    </row>
    <row r="188">
      <c r="A188" s="90"/>
    </row>
    <row r="189">
      <c r="A189" s="90"/>
    </row>
    <row r="190">
      <c r="A190" s="90"/>
    </row>
    <row r="191">
      <c r="A191" s="90"/>
    </row>
    <row r="192">
      <c r="A192" s="90"/>
    </row>
    <row r="193">
      <c r="A193" s="90"/>
    </row>
    <row r="194">
      <c r="A194" s="90"/>
    </row>
    <row r="195">
      <c r="A195" s="90"/>
    </row>
    <row r="196">
      <c r="A196" s="90"/>
    </row>
    <row r="197">
      <c r="A197" s="90"/>
    </row>
    <row r="198">
      <c r="A198" s="90"/>
    </row>
    <row r="199">
      <c r="A199" s="90"/>
    </row>
    <row r="200">
      <c r="A200" s="90"/>
    </row>
    <row r="201">
      <c r="A201" s="90"/>
    </row>
    <row r="202">
      <c r="A202" s="90"/>
    </row>
    <row r="203">
      <c r="A203" s="90"/>
    </row>
    <row r="204">
      <c r="A204" s="90"/>
    </row>
    <row r="205">
      <c r="A205" s="90"/>
    </row>
    <row r="206">
      <c r="A206" s="90"/>
    </row>
    <row r="207">
      <c r="A207" s="90"/>
    </row>
    <row r="208">
      <c r="A208" s="90"/>
    </row>
    <row r="209">
      <c r="A209" s="90"/>
    </row>
    <row r="210">
      <c r="A210" s="90"/>
    </row>
    <row r="211">
      <c r="A211" s="90"/>
    </row>
    <row r="212">
      <c r="A212" s="90"/>
    </row>
    <row r="213">
      <c r="A213" s="90"/>
    </row>
    <row r="214">
      <c r="A214" s="90"/>
    </row>
    <row r="215">
      <c r="A215" s="90"/>
    </row>
    <row r="216">
      <c r="A216" s="90"/>
    </row>
    <row r="217">
      <c r="A217" s="90"/>
    </row>
    <row r="218">
      <c r="A218" s="90"/>
    </row>
    <row r="219">
      <c r="A219" s="90"/>
    </row>
    <row r="220">
      <c r="A220" s="90"/>
    </row>
    <row r="221">
      <c r="A221" s="90"/>
    </row>
    <row r="222">
      <c r="A222" s="90"/>
    </row>
    <row r="223">
      <c r="A223" s="90"/>
    </row>
    <row r="224">
      <c r="A224" s="90"/>
    </row>
    <row r="225">
      <c r="A225" s="90"/>
    </row>
    <row r="226">
      <c r="A226" s="90"/>
    </row>
    <row r="227">
      <c r="A227" s="90"/>
    </row>
    <row r="228">
      <c r="A228" s="90"/>
    </row>
    <row r="229">
      <c r="A229" s="90"/>
    </row>
    <row r="230">
      <c r="A230" s="90"/>
    </row>
    <row r="231">
      <c r="A231" s="90"/>
    </row>
    <row r="232">
      <c r="A232" s="90"/>
    </row>
    <row r="233">
      <c r="A233" s="90"/>
    </row>
    <row r="234">
      <c r="A234" s="90"/>
    </row>
    <row r="235">
      <c r="A235" s="90"/>
    </row>
    <row r="236">
      <c r="A236" s="90"/>
    </row>
    <row r="237">
      <c r="A237" s="90"/>
    </row>
    <row r="238">
      <c r="A238" s="90"/>
    </row>
    <row r="239">
      <c r="A239" s="90"/>
    </row>
    <row r="240">
      <c r="A240" s="90"/>
    </row>
    <row r="241">
      <c r="A241" s="90"/>
    </row>
    <row r="242">
      <c r="A242" s="90"/>
    </row>
    <row r="243">
      <c r="A243" s="90"/>
    </row>
    <row r="244">
      <c r="A244" s="90"/>
    </row>
    <row r="245">
      <c r="A245" s="90"/>
    </row>
    <row r="246">
      <c r="A246" s="90"/>
    </row>
    <row r="247">
      <c r="A247" s="90"/>
    </row>
    <row r="248">
      <c r="A248" s="90"/>
    </row>
    <row r="249">
      <c r="A249" s="90"/>
    </row>
    <row r="250">
      <c r="A250" s="90"/>
    </row>
    <row r="251">
      <c r="A251" s="90"/>
    </row>
    <row r="252">
      <c r="A252" s="90"/>
    </row>
    <row r="253">
      <c r="A253" s="90"/>
    </row>
    <row r="254">
      <c r="A254" s="90"/>
    </row>
    <row r="255">
      <c r="A255" s="90"/>
    </row>
    <row r="256">
      <c r="A256" s="90"/>
    </row>
    <row r="257">
      <c r="A257" s="90"/>
    </row>
    <row r="258">
      <c r="A258" s="90"/>
    </row>
    <row r="259">
      <c r="A259" s="90"/>
    </row>
    <row r="260">
      <c r="A260" s="90"/>
    </row>
    <row r="261">
      <c r="A261" s="90"/>
    </row>
    <row r="262">
      <c r="A262" s="90"/>
    </row>
    <row r="263">
      <c r="A263" s="90"/>
    </row>
    <row r="264">
      <c r="A264" s="90"/>
    </row>
    <row r="265">
      <c r="A265" s="90"/>
    </row>
    <row r="266">
      <c r="A266" s="90"/>
    </row>
    <row r="267">
      <c r="A267" s="90"/>
    </row>
    <row r="268">
      <c r="A268" s="90"/>
    </row>
    <row r="269">
      <c r="A269" s="90"/>
    </row>
    <row r="270">
      <c r="A270" s="90"/>
    </row>
    <row r="271">
      <c r="A271" s="90"/>
    </row>
    <row r="272">
      <c r="A272" s="90"/>
    </row>
    <row r="273">
      <c r="A273" s="90"/>
    </row>
    <row r="274">
      <c r="A274" s="90"/>
    </row>
    <row r="275">
      <c r="A275" s="90"/>
    </row>
    <row r="276">
      <c r="A276" s="90"/>
    </row>
    <row r="277">
      <c r="A277" s="90"/>
    </row>
    <row r="278">
      <c r="A278" s="90"/>
    </row>
    <row r="279">
      <c r="A279" s="90"/>
    </row>
    <row r="280">
      <c r="A280" s="90"/>
    </row>
    <row r="281">
      <c r="A281" s="90"/>
    </row>
    <row r="282">
      <c r="A282" s="90"/>
    </row>
    <row r="283">
      <c r="A283" s="90"/>
    </row>
    <row r="284">
      <c r="A284" s="90"/>
    </row>
    <row r="285">
      <c r="A285" s="90"/>
    </row>
    <row r="286">
      <c r="A286" s="90"/>
    </row>
    <row r="287">
      <c r="A287" s="90"/>
    </row>
    <row r="288">
      <c r="A288" s="90"/>
    </row>
    <row r="289">
      <c r="A289" s="90"/>
    </row>
    <row r="290">
      <c r="A290" s="90"/>
    </row>
    <row r="291">
      <c r="A291" s="90"/>
    </row>
    <row r="292">
      <c r="A292" s="90"/>
    </row>
    <row r="293">
      <c r="A293" s="90"/>
    </row>
    <row r="294">
      <c r="A294" s="90"/>
    </row>
    <row r="295">
      <c r="A295" s="90"/>
    </row>
    <row r="296">
      <c r="A296" s="90"/>
    </row>
    <row r="297">
      <c r="A297" s="90"/>
    </row>
    <row r="298">
      <c r="A298" s="90"/>
    </row>
    <row r="299">
      <c r="A299" s="90"/>
    </row>
    <row r="300">
      <c r="A300" s="90"/>
    </row>
    <row r="301">
      <c r="A301" s="90"/>
    </row>
    <row r="302">
      <c r="A302" s="90"/>
    </row>
    <row r="303">
      <c r="A303" s="90"/>
    </row>
    <row r="304">
      <c r="A304" s="90"/>
    </row>
    <row r="305">
      <c r="A305" s="90"/>
    </row>
    <row r="306">
      <c r="A306" s="90"/>
    </row>
    <row r="307">
      <c r="A307" s="90"/>
    </row>
    <row r="308">
      <c r="A308" s="90"/>
    </row>
    <row r="309">
      <c r="A309" s="90"/>
    </row>
    <row r="310">
      <c r="A310" s="90"/>
    </row>
    <row r="311">
      <c r="A311" s="90"/>
    </row>
    <row r="312">
      <c r="A312" s="90"/>
    </row>
    <row r="313">
      <c r="A313" s="90"/>
    </row>
    <row r="314">
      <c r="A314" s="90"/>
    </row>
    <row r="315">
      <c r="A315" s="90"/>
    </row>
    <row r="316">
      <c r="A316" s="90"/>
    </row>
    <row r="317">
      <c r="A317" s="90"/>
    </row>
    <row r="318">
      <c r="A318" s="90"/>
    </row>
    <row r="319">
      <c r="A319" s="90"/>
    </row>
    <row r="320">
      <c r="A320" s="90"/>
    </row>
    <row r="321">
      <c r="A321" s="90"/>
    </row>
    <row r="322">
      <c r="A322" s="90"/>
    </row>
    <row r="323">
      <c r="A323" s="90"/>
    </row>
    <row r="324">
      <c r="A324" s="90"/>
    </row>
    <row r="325">
      <c r="A325" s="90"/>
    </row>
    <row r="326">
      <c r="A326" s="90"/>
    </row>
    <row r="327">
      <c r="A327" s="90"/>
    </row>
    <row r="328">
      <c r="A328" s="90"/>
    </row>
    <row r="329">
      <c r="A329" s="90"/>
    </row>
    <row r="330">
      <c r="A330" s="90"/>
    </row>
    <row r="331">
      <c r="A331" s="90"/>
    </row>
    <row r="332">
      <c r="A332" s="90"/>
    </row>
    <row r="333">
      <c r="A333" s="90"/>
    </row>
    <row r="334">
      <c r="A334" s="90"/>
    </row>
    <row r="335">
      <c r="A335" s="90"/>
    </row>
    <row r="336">
      <c r="A336" s="90"/>
    </row>
    <row r="337">
      <c r="A337" s="90"/>
    </row>
    <row r="338">
      <c r="A338" s="90"/>
    </row>
    <row r="339">
      <c r="A339" s="90"/>
    </row>
    <row r="340">
      <c r="A340" s="90"/>
    </row>
    <row r="341">
      <c r="A341" s="90"/>
    </row>
    <row r="342">
      <c r="A342" s="90"/>
    </row>
    <row r="343">
      <c r="A343" s="90"/>
    </row>
    <row r="344">
      <c r="A344" s="90"/>
    </row>
    <row r="345">
      <c r="A345" s="90"/>
    </row>
    <row r="346">
      <c r="A346" s="90"/>
    </row>
    <row r="347">
      <c r="A347" s="90"/>
    </row>
    <row r="348">
      <c r="A348" s="90"/>
    </row>
    <row r="349">
      <c r="A349" s="90"/>
    </row>
    <row r="350">
      <c r="A350" s="90"/>
    </row>
    <row r="351">
      <c r="A351" s="90"/>
    </row>
    <row r="352">
      <c r="A352" s="90"/>
    </row>
    <row r="353">
      <c r="A353" s="90"/>
    </row>
    <row r="354">
      <c r="A354" s="90"/>
    </row>
    <row r="355">
      <c r="A355" s="90"/>
    </row>
    <row r="356">
      <c r="A356" s="90"/>
    </row>
    <row r="357">
      <c r="A357" s="90"/>
    </row>
    <row r="358">
      <c r="A358" s="90"/>
    </row>
    <row r="359">
      <c r="A359" s="90"/>
    </row>
    <row r="360">
      <c r="A360" s="90"/>
    </row>
    <row r="361">
      <c r="A361" s="90"/>
    </row>
    <row r="362">
      <c r="A362" s="90"/>
    </row>
    <row r="363">
      <c r="A363" s="90"/>
    </row>
    <row r="364">
      <c r="A364" s="90"/>
    </row>
    <row r="365">
      <c r="A365" s="90"/>
    </row>
    <row r="366">
      <c r="A366" s="90"/>
    </row>
    <row r="367">
      <c r="A367" s="90"/>
    </row>
    <row r="368">
      <c r="A368" s="90"/>
    </row>
    <row r="369">
      <c r="A369" s="90"/>
    </row>
    <row r="370">
      <c r="A370" s="90"/>
    </row>
    <row r="371">
      <c r="A371" s="90"/>
    </row>
    <row r="372">
      <c r="A372" s="90"/>
    </row>
    <row r="373">
      <c r="A373" s="90"/>
    </row>
    <row r="374">
      <c r="A374" s="90"/>
    </row>
    <row r="375">
      <c r="A375" s="90"/>
    </row>
    <row r="376">
      <c r="A376" s="90"/>
    </row>
    <row r="377">
      <c r="A377" s="90"/>
    </row>
    <row r="378">
      <c r="A378" s="90"/>
    </row>
    <row r="379">
      <c r="A379" s="90"/>
    </row>
    <row r="380">
      <c r="A380" s="90"/>
    </row>
    <row r="381">
      <c r="A381" s="90"/>
    </row>
    <row r="382">
      <c r="A382" s="90"/>
    </row>
    <row r="383">
      <c r="A383" s="90"/>
    </row>
    <row r="384">
      <c r="A384" s="90"/>
    </row>
    <row r="385">
      <c r="A385" s="90"/>
    </row>
    <row r="386">
      <c r="A386" s="90"/>
    </row>
    <row r="387">
      <c r="A387" s="90"/>
    </row>
    <row r="388">
      <c r="A388" s="90"/>
    </row>
    <row r="389">
      <c r="A389" s="90"/>
    </row>
    <row r="390">
      <c r="A390" s="90"/>
    </row>
    <row r="391">
      <c r="A391" s="90"/>
    </row>
    <row r="392">
      <c r="A392" s="90"/>
    </row>
    <row r="393">
      <c r="A393" s="90"/>
    </row>
    <row r="394">
      <c r="A394" s="90"/>
    </row>
    <row r="395">
      <c r="A395" s="90"/>
    </row>
    <row r="396">
      <c r="A396" s="90"/>
    </row>
    <row r="397">
      <c r="A397" s="90"/>
    </row>
    <row r="398">
      <c r="A398" s="90"/>
    </row>
    <row r="399">
      <c r="A399" s="90"/>
    </row>
    <row r="400">
      <c r="A400" s="90"/>
    </row>
    <row r="401">
      <c r="A401" s="90"/>
    </row>
    <row r="402">
      <c r="A402" s="90"/>
    </row>
    <row r="403">
      <c r="A403" s="90"/>
    </row>
    <row r="404">
      <c r="A404" s="90"/>
    </row>
    <row r="405">
      <c r="A405" s="90"/>
    </row>
    <row r="406">
      <c r="A406" s="90"/>
    </row>
    <row r="407">
      <c r="A407" s="90"/>
    </row>
    <row r="408">
      <c r="A408" s="90"/>
    </row>
    <row r="409">
      <c r="A409" s="90"/>
    </row>
    <row r="410">
      <c r="A410" s="90"/>
    </row>
    <row r="411">
      <c r="A411" s="90"/>
    </row>
    <row r="412">
      <c r="A412" s="90"/>
    </row>
    <row r="413">
      <c r="A413" s="90"/>
    </row>
    <row r="414">
      <c r="A414" s="90"/>
    </row>
    <row r="415">
      <c r="A415" s="90"/>
    </row>
    <row r="416">
      <c r="A416" s="90"/>
    </row>
    <row r="417">
      <c r="A417" s="90"/>
    </row>
    <row r="418">
      <c r="A418" s="90"/>
    </row>
    <row r="419">
      <c r="A419" s="90"/>
    </row>
    <row r="420">
      <c r="A420" s="90"/>
    </row>
    <row r="421">
      <c r="A421" s="90"/>
    </row>
    <row r="422">
      <c r="A422" s="90"/>
    </row>
    <row r="423">
      <c r="A423" s="90"/>
    </row>
    <row r="424">
      <c r="A424" s="90"/>
    </row>
    <row r="425">
      <c r="A425" s="90"/>
    </row>
    <row r="426">
      <c r="A426" s="90"/>
    </row>
    <row r="427">
      <c r="A427" s="90"/>
    </row>
    <row r="428">
      <c r="A428" s="90"/>
    </row>
    <row r="429">
      <c r="A429" s="90"/>
    </row>
    <row r="430">
      <c r="A430" s="90"/>
    </row>
    <row r="431">
      <c r="A431" s="90"/>
    </row>
    <row r="432">
      <c r="A432" s="90"/>
    </row>
    <row r="433">
      <c r="A433" s="90"/>
    </row>
    <row r="434">
      <c r="A434" s="90"/>
    </row>
    <row r="435">
      <c r="A435" s="90"/>
    </row>
    <row r="436">
      <c r="A436" s="90"/>
    </row>
    <row r="437">
      <c r="A437" s="90"/>
    </row>
    <row r="438">
      <c r="A438" s="90"/>
    </row>
    <row r="439">
      <c r="A439" s="90"/>
    </row>
    <row r="440">
      <c r="A440" s="90"/>
    </row>
    <row r="441">
      <c r="A441" s="90"/>
    </row>
    <row r="442">
      <c r="A442" s="90"/>
    </row>
    <row r="443">
      <c r="A443" s="90"/>
    </row>
    <row r="444">
      <c r="A444" s="90"/>
    </row>
    <row r="445">
      <c r="A445" s="90"/>
    </row>
    <row r="446">
      <c r="A446" s="90"/>
    </row>
    <row r="447">
      <c r="A447" s="90"/>
    </row>
    <row r="448">
      <c r="A448" s="90"/>
    </row>
    <row r="449">
      <c r="A449" s="90"/>
    </row>
    <row r="450">
      <c r="A450" s="90"/>
    </row>
    <row r="451">
      <c r="A451" s="90"/>
    </row>
    <row r="452">
      <c r="A452" s="90"/>
    </row>
    <row r="453">
      <c r="A453" s="90"/>
    </row>
    <row r="454">
      <c r="A454" s="90"/>
    </row>
    <row r="455">
      <c r="A455" s="90"/>
    </row>
    <row r="456">
      <c r="A456" s="90"/>
    </row>
    <row r="457">
      <c r="A457" s="90"/>
    </row>
    <row r="458">
      <c r="A458" s="90"/>
    </row>
    <row r="459">
      <c r="A459" s="90"/>
    </row>
    <row r="460">
      <c r="A460" s="90"/>
    </row>
    <row r="461">
      <c r="A461" s="90"/>
    </row>
    <row r="462">
      <c r="A462" s="90"/>
    </row>
    <row r="463">
      <c r="A463" s="90"/>
    </row>
    <row r="464">
      <c r="A464" s="90"/>
    </row>
    <row r="465">
      <c r="A465" s="90"/>
    </row>
    <row r="466">
      <c r="A466" s="90"/>
    </row>
    <row r="467">
      <c r="A467" s="90"/>
    </row>
    <row r="468">
      <c r="A468" s="90"/>
    </row>
    <row r="469">
      <c r="A469" s="90"/>
    </row>
    <row r="470">
      <c r="A470" s="90"/>
    </row>
    <row r="471">
      <c r="A471" s="90"/>
    </row>
    <row r="472">
      <c r="A472" s="90"/>
    </row>
    <row r="473">
      <c r="A473" s="90"/>
    </row>
    <row r="474">
      <c r="A474" s="90"/>
    </row>
    <row r="475">
      <c r="A475" s="90"/>
    </row>
    <row r="476">
      <c r="A476" s="90"/>
    </row>
    <row r="477">
      <c r="A477" s="90"/>
    </row>
    <row r="478">
      <c r="A478" s="90"/>
    </row>
    <row r="479">
      <c r="A479" s="90"/>
    </row>
    <row r="480">
      <c r="A480" s="90"/>
    </row>
    <row r="481">
      <c r="A481" s="90"/>
    </row>
    <row r="482">
      <c r="A482" s="90"/>
    </row>
    <row r="483">
      <c r="A483" s="90"/>
    </row>
    <row r="484">
      <c r="A484" s="90"/>
    </row>
    <row r="485">
      <c r="A485" s="90"/>
    </row>
    <row r="486">
      <c r="A486" s="90"/>
    </row>
    <row r="487">
      <c r="A487" s="90"/>
    </row>
    <row r="488">
      <c r="A488" s="90"/>
    </row>
    <row r="489">
      <c r="A489" s="90"/>
    </row>
    <row r="490">
      <c r="A490" s="90"/>
    </row>
    <row r="491">
      <c r="A491" s="90"/>
    </row>
    <row r="492">
      <c r="A492" s="90"/>
    </row>
    <row r="493">
      <c r="A493" s="90"/>
    </row>
    <row r="494">
      <c r="A494" s="90"/>
    </row>
    <row r="495">
      <c r="A495" s="90"/>
    </row>
    <row r="496">
      <c r="A496" s="90"/>
    </row>
    <row r="497">
      <c r="A497" s="90"/>
    </row>
    <row r="498">
      <c r="A498" s="90"/>
    </row>
    <row r="499">
      <c r="A499" s="90"/>
    </row>
    <row r="500">
      <c r="A500" s="90"/>
    </row>
    <row r="501">
      <c r="A501" s="90"/>
    </row>
    <row r="502">
      <c r="A502" s="90"/>
    </row>
    <row r="503">
      <c r="A503" s="90"/>
    </row>
    <row r="504">
      <c r="A504" s="90"/>
    </row>
    <row r="505">
      <c r="A505" s="90"/>
    </row>
    <row r="506">
      <c r="A506" s="90"/>
    </row>
    <row r="507">
      <c r="A507" s="90"/>
    </row>
    <row r="508">
      <c r="A508" s="90"/>
    </row>
    <row r="509">
      <c r="A509" s="90"/>
    </row>
    <row r="510">
      <c r="A510" s="90"/>
    </row>
    <row r="511">
      <c r="A511" s="90"/>
    </row>
    <row r="512">
      <c r="A512" s="90"/>
    </row>
    <row r="513">
      <c r="A513" s="90"/>
    </row>
    <row r="514">
      <c r="A514" s="90"/>
    </row>
    <row r="515">
      <c r="A515" s="90"/>
    </row>
    <row r="516">
      <c r="A516" s="90"/>
    </row>
    <row r="517">
      <c r="A517" s="90"/>
    </row>
    <row r="518">
      <c r="A518" s="90"/>
    </row>
    <row r="519">
      <c r="A519" s="90"/>
    </row>
    <row r="520">
      <c r="A520" s="90"/>
    </row>
    <row r="521">
      <c r="A521" s="90"/>
    </row>
    <row r="522">
      <c r="A522" s="90"/>
    </row>
    <row r="523">
      <c r="A523" s="90"/>
    </row>
    <row r="524">
      <c r="A524" s="90"/>
    </row>
    <row r="525">
      <c r="A525" s="90"/>
    </row>
    <row r="526">
      <c r="A526" s="90"/>
    </row>
    <row r="527">
      <c r="A527" s="90"/>
    </row>
    <row r="528">
      <c r="A528" s="90"/>
    </row>
    <row r="529">
      <c r="A529" s="90"/>
    </row>
    <row r="530">
      <c r="A530" s="90"/>
    </row>
    <row r="531">
      <c r="A531" s="90"/>
    </row>
    <row r="532">
      <c r="A532" s="90"/>
    </row>
    <row r="533">
      <c r="A533" s="90"/>
    </row>
    <row r="534">
      <c r="A534" s="90"/>
    </row>
    <row r="535">
      <c r="A535" s="90"/>
    </row>
    <row r="536">
      <c r="A536" s="90"/>
    </row>
    <row r="537">
      <c r="A537" s="90"/>
    </row>
    <row r="538">
      <c r="A538" s="90"/>
    </row>
    <row r="539">
      <c r="A539" s="90"/>
    </row>
    <row r="540">
      <c r="A540" s="90"/>
    </row>
    <row r="541">
      <c r="A541" s="90"/>
    </row>
    <row r="542">
      <c r="A542" s="90"/>
    </row>
    <row r="543">
      <c r="A543" s="90"/>
    </row>
    <row r="544">
      <c r="A544" s="90"/>
    </row>
    <row r="545">
      <c r="A545" s="90"/>
    </row>
    <row r="546">
      <c r="A546" s="90"/>
    </row>
    <row r="547">
      <c r="A547" s="90"/>
    </row>
    <row r="548">
      <c r="A548" s="90"/>
    </row>
    <row r="549">
      <c r="A549" s="90"/>
    </row>
    <row r="550">
      <c r="A550" s="90"/>
    </row>
    <row r="551">
      <c r="A551" s="90"/>
    </row>
    <row r="552">
      <c r="A552" s="90"/>
    </row>
    <row r="553">
      <c r="A553" s="90"/>
    </row>
    <row r="554">
      <c r="A554" s="90"/>
    </row>
    <row r="555">
      <c r="A555" s="90"/>
    </row>
    <row r="556">
      <c r="A556" s="90"/>
    </row>
    <row r="557">
      <c r="A557" s="90"/>
    </row>
    <row r="558">
      <c r="A558" s="90"/>
    </row>
    <row r="559">
      <c r="A559" s="90"/>
    </row>
    <row r="560">
      <c r="A560" s="90"/>
    </row>
    <row r="561">
      <c r="A561" s="90"/>
    </row>
    <row r="562">
      <c r="A562" s="90"/>
    </row>
    <row r="563">
      <c r="A563" s="90"/>
    </row>
    <row r="564">
      <c r="A564" s="90"/>
    </row>
    <row r="565">
      <c r="A565" s="90"/>
    </row>
    <row r="566">
      <c r="A566" s="90"/>
    </row>
    <row r="567">
      <c r="A567" s="90"/>
    </row>
    <row r="568">
      <c r="A568" s="90"/>
    </row>
    <row r="569">
      <c r="A569" s="90"/>
    </row>
    <row r="570">
      <c r="A570" s="90"/>
    </row>
    <row r="571">
      <c r="A571" s="90"/>
    </row>
    <row r="572">
      <c r="A572" s="90"/>
    </row>
    <row r="573">
      <c r="A573" s="90"/>
    </row>
    <row r="574">
      <c r="A574" s="90"/>
    </row>
    <row r="575">
      <c r="A575" s="90"/>
    </row>
    <row r="576">
      <c r="A576" s="90"/>
    </row>
    <row r="577">
      <c r="A577" s="90"/>
    </row>
    <row r="578">
      <c r="A578" s="90"/>
    </row>
    <row r="579">
      <c r="A579" s="90"/>
    </row>
    <row r="580">
      <c r="A580" s="90"/>
    </row>
    <row r="581">
      <c r="A581" s="90"/>
    </row>
    <row r="582">
      <c r="A582" s="90"/>
    </row>
    <row r="583">
      <c r="A583" s="90"/>
    </row>
    <row r="584">
      <c r="A584" s="90"/>
    </row>
    <row r="585">
      <c r="A585" s="90"/>
    </row>
    <row r="586">
      <c r="A586" s="90"/>
    </row>
    <row r="587">
      <c r="A587" s="90"/>
    </row>
    <row r="588">
      <c r="A588" s="90"/>
    </row>
    <row r="589">
      <c r="A589" s="90"/>
    </row>
    <row r="590">
      <c r="A590" s="90"/>
    </row>
    <row r="591">
      <c r="A591" s="90"/>
    </row>
    <row r="592">
      <c r="A592" s="90"/>
    </row>
    <row r="593">
      <c r="A593" s="90"/>
    </row>
    <row r="594">
      <c r="A594" s="90"/>
    </row>
    <row r="595">
      <c r="A595" s="90"/>
    </row>
    <row r="596">
      <c r="A596" s="90"/>
    </row>
    <row r="597">
      <c r="A597" s="90"/>
    </row>
    <row r="598">
      <c r="A598" s="90"/>
    </row>
    <row r="599">
      <c r="A599" s="90"/>
    </row>
    <row r="600">
      <c r="A600" s="90"/>
    </row>
    <row r="601">
      <c r="A601" s="90"/>
    </row>
    <row r="602">
      <c r="A602" s="90"/>
    </row>
    <row r="603">
      <c r="A603" s="90"/>
    </row>
    <row r="604">
      <c r="A604" s="90"/>
    </row>
    <row r="605">
      <c r="A605" s="90"/>
    </row>
    <row r="606">
      <c r="A606" s="90"/>
    </row>
    <row r="607">
      <c r="A607" s="90"/>
    </row>
    <row r="608">
      <c r="A608" s="90"/>
    </row>
    <row r="609">
      <c r="A609" s="90"/>
    </row>
    <row r="610">
      <c r="A610" s="90"/>
    </row>
    <row r="611">
      <c r="A611" s="90"/>
    </row>
    <row r="612">
      <c r="A612" s="90"/>
    </row>
    <row r="613">
      <c r="A613" s="90"/>
    </row>
    <row r="614">
      <c r="A614" s="90"/>
    </row>
    <row r="615">
      <c r="A615" s="90"/>
    </row>
    <row r="616">
      <c r="A616" s="90"/>
    </row>
    <row r="617">
      <c r="A617" s="90"/>
    </row>
    <row r="618">
      <c r="A618" s="90"/>
    </row>
    <row r="619">
      <c r="A619" s="90"/>
    </row>
    <row r="620">
      <c r="A620" s="90"/>
    </row>
    <row r="621">
      <c r="A621" s="90"/>
    </row>
    <row r="622">
      <c r="A622" s="90"/>
    </row>
    <row r="623">
      <c r="A623" s="90"/>
    </row>
    <row r="624">
      <c r="A624" s="90"/>
    </row>
    <row r="625">
      <c r="A625" s="90"/>
    </row>
    <row r="626">
      <c r="A626" s="90"/>
    </row>
    <row r="627">
      <c r="A627" s="90"/>
    </row>
    <row r="628">
      <c r="A628" s="90"/>
    </row>
    <row r="629">
      <c r="A629" s="90"/>
    </row>
    <row r="630">
      <c r="A630" s="90"/>
    </row>
    <row r="631">
      <c r="A631" s="90"/>
    </row>
    <row r="632">
      <c r="A632" s="90"/>
    </row>
    <row r="633">
      <c r="A633" s="90"/>
    </row>
    <row r="634">
      <c r="A634" s="90"/>
    </row>
    <row r="635">
      <c r="A635" s="90"/>
    </row>
    <row r="636">
      <c r="A636" s="90"/>
    </row>
    <row r="637">
      <c r="A637" s="90"/>
    </row>
    <row r="638">
      <c r="A638" s="90"/>
    </row>
    <row r="639">
      <c r="A639" s="90"/>
    </row>
    <row r="640">
      <c r="A640" s="90"/>
    </row>
    <row r="641">
      <c r="A641" s="90"/>
    </row>
    <row r="642">
      <c r="A642" s="90"/>
    </row>
    <row r="643">
      <c r="A643" s="90"/>
    </row>
    <row r="644">
      <c r="A644" s="90"/>
    </row>
    <row r="645">
      <c r="A645" s="90"/>
    </row>
    <row r="646">
      <c r="A646" s="90"/>
    </row>
    <row r="647">
      <c r="A647" s="90"/>
    </row>
    <row r="648">
      <c r="A648" s="90"/>
    </row>
    <row r="649">
      <c r="A649" s="90"/>
    </row>
    <row r="650">
      <c r="A650" s="90"/>
    </row>
    <row r="651">
      <c r="A651" s="90"/>
    </row>
    <row r="652">
      <c r="A652" s="90"/>
    </row>
    <row r="653">
      <c r="A653" s="90"/>
    </row>
    <row r="654">
      <c r="A654" s="90"/>
    </row>
    <row r="655">
      <c r="A655" s="90"/>
    </row>
    <row r="656">
      <c r="A656" s="90"/>
    </row>
    <row r="657">
      <c r="A657" s="90"/>
    </row>
    <row r="658">
      <c r="A658" s="90"/>
    </row>
    <row r="659">
      <c r="A659" s="90"/>
    </row>
    <row r="660">
      <c r="A660" s="90"/>
    </row>
    <row r="661">
      <c r="A661" s="90"/>
    </row>
    <row r="662">
      <c r="A662" s="90"/>
    </row>
    <row r="663">
      <c r="A663" s="90"/>
    </row>
    <row r="664">
      <c r="A664" s="90"/>
    </row>
    <row r="665">
      <c r="A665" s="90"/>
    </row>
    <row r="666">
      <c r="A666" s="90"/>
    </row>
    <row r="667">
      <c r="A667" s="90"/>
    </row>
    <row r="668">
      <c r="A668" s="90"/>
    </row>
    <row r="669">
      <c r="A669" s="90"/>
    </row>
    <row r="670">
      <c r="A670" s="90"/>
    </row>
    <row r="671">
      <c r="A671" s="90"/>
    </row>
    <row r="672">
      <c r="A672" s="90"/>
    </row>
    <row r="673">
      <c r="A673" s="90"/>
    </row>
    <row r="674">
      <c r="A674" s="90"/>
    </row>
    <row r="675">
      <c r="A675" s="90"/>
    </row>
    <row r="676">
      <c r="A676" s="90"/>
    </row>
    <row r="677">
      <c r="A677" s="90"/>
    </row>
    <row r="678">
      <c r="A678" s="90"/>
    </row>
    <row r="679">
      <c r="A679" s="90"/>
    </row>
    <row r="680">
      <c r="A680" s="90"/>
    </row>
    <row r="681">
      <c r="A681" s="90"/>
    </row>
    <row r="682">
      <c r="A682" s="90"/>
    </row>
    <row r="683">
      <c r="A683" s="90"/>
    </row>
    <row r="684">
      <c r="A684" s="90"/>
    </row>
    <row r="685">
      <c r="A685" s="90"/>
    </row>
    <row r="686">
      <c r="A686" s="90"/>
    </row>
    <row r="687">
      <c r="A687" s="90"/>
    </row>
    <row r="688">
      <c r="A688" s="90"/>
    </row>
    <row r="689">
      <c r="A689" s="90"/>
    </row>
    <row r="690">
      <c r="A690" s="90"/>
    </row>
    <row r="691">
      <c r="A691" s="90"/>
    </row>
    <row r="692">
      <c r="A692" s="90"/>
    </row>
    <row r="693">
      <c r="A693" s="90"/>
    </row>
    <row r="694">
      <c r="A694" s="90"/>
    </row>
    <row r="695">
      <c r="A695" s="90"/>
    </row>
    <row r="696">
      <c r="A696" s="90"/>
    </row>
    <row r="697">
      <c r="A697" s="90"/>
    </row>
    <row r="698">
      <c r="A698" s="90"/>
    </row>
    <row r="699">
      <c r="A699" s="90"/>
    </row>
    <row r="700">
      <c r="A700" s="90"/>
    </row>
    <row r="701">
      <c r="A701" s="90"/>
    </row>
    <row r="702">
      <c r="A702" s="90"/>
    </row>
    <row r="703">
      <c r="A703" s="90"/>
    </row>
    <row r="704">
      <c r="A704" s="90"/>
    </row>
    <row r="705">
      <c r="A705" s="90"/>
    </row>
    <row r="706">
      <c r="A706" s="90"/>
    </row>
    <row r="707">
      <c r="A707" s="90"/>
    </row>
    <row r="708">
      <c r="A708" s="90"/>
    </row>
    <row r="709">
      <c r="A709" s="90"/>
    </row>
    <row r="710">
      <c r="A710" s="90"/>
    </row>
    <row r="711">
      <c r="A711" s="90"/>
    </row>
    <row r="712">
      <c r="A712" s="90"/>
    </row>
    <row r="713">
      <c r="A713" s="90"/>
    </row>
    <row r="714">
      <c r="A714" s="90"/>
    </row>
    <row r="715">
      <c r="A715" s="90"/>
    </row>
    <row r="716">
      <c r="A716" s="90"/>
    </row>
    <row r="717">
      <c r="A717" s="90"/>
    </row>
    <row r="718">
      <c r="A718" s="90"/>
    </row>
    <row r="719">
      <c r="A719" s="90"/>
    </row>
    <row r="720">
      <c r="A720" s="90"/>
    </row>
    <row r="721">
      <c r="A721" s="90"/>
    </row>
    <row r="722">
      <c r="A722" s="90"/>
    </row>
    <row r="723">
      <c r="A723" s="90"/>
    </row>
    <row r="724">
      <c r="A724" s="90"/>
    </row>
    <row r="725">
      <c r="A725" s="90"/>
    </row>
    <row r="726">
      <c r="A726" s="90"/>
    </row>
    <row r="727">
      <c r="A727" s="90"/>
    </row>
    <row r="728">
      <c r="A728" s="90"/>
    </row>
    <row r="729">
      <c r="A729" s="90"/>
    </row>
    <row r="730">
      <c r="A730" s="90"/>
    </row>
    <row r="731">
      <c r="A731" s="90"/>
    </row>
    <row r="732">
      <c r="A732" s="90"/>
    </row>
    <row r="733">
      <c r="A733" s="90"/>
    </row>
    <row r="734">
      <c r="A734" s="90"/>
    </row>
    <row r="735">
      <c r="A735" s="90"/>
    </row>
    <row r="736">
      <c r="A736" s="90"/>
    </row>
    <row r="737">
      <c r="A737" s="90"/>
    </row>
    <row r="738">
      <c r="A738" s="90"/>
    </row>
    <row r="739">
      <c r="A739" s="90"/>
    </row>
    <row r="740">
      <c r="A740" s="90"/>
    </row>
    <row r="741">
      <c r="A741" s="90"/>
    </row>
    <row r="742">
      <c r="A742" s="90"/>
    </row>
    <row r="743">
      <c r="A743" s="90"/>
    </row>
    <row r="744">
      <c r="A744" s="90"/>
    </row>
    <row r="745">
      <c r="A745" s="90"/>
    </row>
    <row r="746">
      <c r="A746" s="90"/>
    </row>
    <row r="747">
      <c r="A747" s="90"/>
    </row>
    <row r="748">
      <c r="A748" s="90"/>
    </row>
    <row r="749">
      <c r="A749" s="90"/>
    </row>
    <row r="750">
      <c r="A750" s="90"/>
    </row>
    <row r="751">
      <c r="A751" s="90"/>
    </row>
    <row r="752">
      <c r="A752" s="90"/>
    </row>
    <row r="753">
      <c r="A753" s="90"/>
    </row>
    <row r="754">
      <c r="A754" s="90"/>
    </row>
    <row r="755">
      <c r="A755" s="90"/>
    </row>
    <row r="756">
      <c r="A756" s="90"/>
    </row>
    <row r="757">
      <c r="A757" s="90"/>
    </row>
    <row r="758">
      <c r="A758" s="90"/>
    </row>
    <row r="759">
      <c r="A759" s="90"/>
    </row>
    <row r="760">
      <c r="A760" s="90"/>
    </row>
    <row r="761">
      <c r="A761" s="90"/>
    </row>
    <row r="762">
      <c r="A762" s="90"/>
    </row>
    <row r="763">
      <c r="A763" s="90"/>
    </row>
    <row r="764">
      <c r="A764" s="90"/>
    </row>
    <row r="765">
      <c r="A765" s="90"/>
    </row>
    <row r="766">
      <c r="A766" s="90"/>
    </row>
    <row r="767">
      <c r="A767" s="90"/>
    </row>
    <row r="768">
      <c r="A768" s="90"/>
    </row>
    <row r="769">
      <c r="A769" s="90"/>
    </row>
    <row r="770">
      <c r="A770" s="90"/>
    </row>
    <row r="771">
      <c r="A771" s="90"/>
    </row>
    <row r="772">
      <c r="A772" s="90"/>
    </row>
    <row r="773">
      <c r="A773" s="90"/>
    </row>
    <row r="774">
      <c r="A774" s="90"/>
    </row>
    <row r="775">
      <c r="A775" s="90"/>
    </row>
    <row r="776">
      <c r="A776" s="90"/>
    </row>
    <row r="777">
      <c r="A777" s="90"/>
    </row>
    <row r="778">
      <c r="A778" s="90"/>
    </row>
    <row r="779">
      <c r="A779" s="90"/>
    </row>
    <row r="780">
      <c r="A780" s="90"/>
    </row>
    <row r="781">
      <c r="A781" s="90"/>
    </row>
    <row r="782">
      <c r="A782" s="90"/>
    </row>
    <row r="783">
      <c r="A783" s="90"/>
    </row>
    <row r="784">
      <c r="A784" s="90"/>
    </row>
    <row r="785">
      <c r="A785" s="90"/>
    </row>
    <row r="786">
      <c r="A786" s="90"/>
    </row>
    <row r="787">
      <c r="A787" s="90"/>
    </row>
    <row r="788">
      <c r="A788" s="90"/>
    </row>
    <row r="789">
      <c r="A789" s="90"/>
    </row>
    <row r="790">
      <c r="A790" s="90"/>
    </row>
    <row r="791">
      <c r="A791" s="90"/>
    </row>
    <row r="792">
      <c r="A792" s="90"/>
    </row>
    <row r="793">
      <c r="A793" s="90"/>
    </row>
    <row r="794">
      <c r="A794" s="90"/>
    </row>
    <row r="795">
      <c r="A795" s="90"/>
    </row>
    <row r="796">
      <c r="A796" s="90"/>
    </row>
    <row r="797">
      <c r="A797" s="90"/>
    </row>
    <row r="798">
      <c r="A798" s="90"/>
    </row>
    <row r="799">
      <c r="A799" s="90"/>
    </row>
    <row r="800">
      <c r="A800" s="90"/>
    </row>
    <row r="801">
      <c r="A801" s="90"/>
    </row>
    <row r="802">
      <c r="A802" s="90"/>
    </row>
    <row r="803">
      <c r="A803" s="90"/>
    </row>
    <row r="804">
      <c r="A804" s="90"/>
    </row>
    <row r="805">
      <c r="A805" s="90"/>
    </row>
    <row r="806">
      <c r="A806" s="90"/>
    </row>
    <row r="807">
      <c r="A807" s="90"/>
    </row>
    <row r="808">
      <c r="A808" s="90"/>
    </row>
    <row r="809">
      <c r="A809" s="90"/>
    </row>
    <row r="810">
      <c r="A810" s="90"/>
    </row>
    <row r="811">
      <c r="A811" s="90"/>
    </row>
    <row r="812">
      <c r="A812" s="90"/>
    </row>
    <row r="813">
      <c r="A813" s="90"/>
    </row>
    <row r="814">
      <c r="A814" s="90"/>
    </row>
    <row r="815">
      <c r="A815" s="90"/>
    </row>
    <row r="816">
      <c r="A816" s="90"/>
    </row>
    <row r="817">
      <c r="A817" s="90"/>
    </row>
    <row r="818">
      <c r="A818" s="90"/>
    </row>
    <row r="819">
      <c r="A819" s="90"/>
    </row>
    <row r="820">
      <c r="A820" s="90"/>
    </row>
    <row r="821">
      <c r="A821" s="90"/>
    </row>
    <row r="822">
      <c r="A822" s="90"/>
    </row>
    <row r="823">
      <c r="A823" s="90"/>
    </row>
    <row r="824">
      <c r="A824" s="90"/>
    </row>
    <row r="825">
      <c r="A825" s="90"/>
    </row>
    <row r="826">
      <c r="A826" s="90"/>
    </row>
    <row r="827">
      <c r="A827" s="90"/>
    </row>
    <row r="828">
      <c r="A828" s="90"/>
    </row>
    <row r="829">
      <c r="A829" s="90"/>
    </row>
    <row r="830">
      <c r="A830" s="90"/>
    </row>
    <row r="831">
      <c r="A831" s="90"/>
    </row>
    <row r="832">
      <c r="A832" s="90"/>
    </row>
    <row r="833">
      <c r="A833" s="90"/>
    </row>
    <row r="834">
      <c r="A834" s="90"/>
    </row>
    <row r="835">
      <c r="A835" s="90"/>
    </row>
    <row r="836">
      <c r="A836" s="90"/>
    </row>
    <row r="837">
      <c r="A837" s="90"/>
    </row>
    <row r="838">
      <c r="A838" s="90"/>
    </row>
    <row r="839">
      <c r="A839" s="90"/>
    </row>
    <row r="840">
      <c r="A840" s="90"/>
    </row>
    <row r="841">
      <c r="A841" s="90"/>
    </row>
    <row r="842">
      <c r="A842" s="90"/>
    </row>
    <row r="843">
      <c r="A843" s="90"/>
    </row>
    <row r="844">
      <c r="A844" s="90"/>
    </row>
    <row r="845">
      <c r="A845" s="90"/>
    </row>
    <row r="846">
      <c r="A846" s="90"/>
    </row>
    <row r="847">
      <c r="A847" s="90"/>
    </row>
    <row r="848">
      <c r="A848" s="90"/>
    </row>
    <row r="849">
      <c r="A849" s="90"/>
    </row>
    <row r="850">
      <c r="A850" s="90"/>
    </row>
    <row r="851">
      <c r="A851" s="90"/>
    </row>
    <row r="852">
      <c r="A852" s="90"/>
    </row>
    <row r="853">
      <c r="A853" s="90"/>
    </row>
    <row r="854">
      <c r="A854" s="90"/>
    </row>
    <row r="855">
      <c r="A855" s="90"/>
    </row>
    <row r="856">
      <c r="A856" s="90"/>
    </row>
    <row r="857">
      <c r="A857" s="90"/>
    </row>
    <row r="858">
      <c r="A858" s="90"/>
    </row>
    <row r="859">
      <c r="A859" s="90"/>
    </row>
    <row r="860">
      <c r="A860" s="90"/>
    </row>
    <row r="861">
      <c r="A861" s="90"/>
    </row>
    <row r="862">
      <c r="A862" s="90"/>
    </row>
    <row r="863">
      <c r="A863" s="90"/>
    </row>
    <row r="864">
      <c r="A864" s="90"/>
    </row>
    <row r="865">
      <c r="A865" s="90"/>
    </row>
    <row r="866">
      <c r="A866" s="90"/>
    </row>
    <row r="867">
      <c r="A867" s="90"/>
    </row>
    <row r="868">
      <c r="A868" s="90"/>
    </row>
    <row r="869">
      <c r="A869" s="90"/>
    </row>
    <row r="870">
      <c r="A870" s="90"/>
    </row>
    <row r="871">
      <c r="A871" s="90"/>
    </row>
    <row r="872">
      <c r="A872" s="90"/>
    </row>
    <row r="873">
      <c r="A873" s="90"/>
    </row>
    <row r="874">
      <c r="A874" s="90"/>
    </row>
    <row r="875">
      <c r="A875" s="90"/>
    </row>
    <row r="876">
      <c r="A876" s="90"/>
    </row>
    <row r="877">
      <c r="A877" s="90"/>
    </row>
    <row r="878">
      <c r="A878" s="90"/>
    </row>
    <row r="879">
      <c r="A879" s="90"/>
    </row>
    <row r="880">
      <c r="A880" s="90"/>
    </row>
    <row r="881">
      <c r="A881" s="90"/>
    </row>
    <row r="882">
      <c r="A882" s="90"/>
    </row>
    <row r="883">
      <c r="A883" s="90"/>
    </row>
    <row r="884">
      <c r="A884" s="90"/>
    </row>
    <row r="885">
      <c r="A885" s="90"/>
    </row>
    <row r="886">
      <c r="A886" s="90"/>
    </row>
    <row r="887">
      <c r="A887" s="90"/>
    </row>
    <row r="888">
      <c r="A888" s="90"/>
    </row>
    <row r="889">
      <c r="A889" s="90"/>
    </row>
    <row r="890">
      <c r="A890" s="90"/>
    </row>
    <row r="891">
      <c r="A891" s="90"/>
    </row>
    <row r="892">
      <c r="A892" s="90"/>
    </row>
    <row r="893">
      <c r="A893" s="90"/>
    </row>
    <row r="894">
      <c r="A894" s="90"/>
    </row>
    <row r="895">
      <c r="A895" s="90"/>
    </row>
    <row r="896">
      <c r="A896" s="90"/>
    </row>
    <row r="897">
      <c r="A897" s="90"/>
    </row>
    <row r="898">
      <c r="A898" s="90"/>
    </row>
    <row r="899">
      <c r="A899" s="90"/>
    </row>
    <row r="900">
      <c r="A900" s="90"/>
    </row>
    <row r="901">
      <c r="A901" s="90"/>
    </row>
    <row r="902">
      <c r="A902" s="90"/>
    </row>
    <row r="903">
      <c r="A903" s="90"/>
    </row>
    <row r="904">
      <c r="A904" s="90"/>
    </row>
    <row r="905">
      <c r="A905" s="90"/>
    </row>
    <row r="906">
      <c r="A906" s="90"/>
    </row>
    <row r="907">
      <c r="A907" s="90"/>
    </row>
    <row r="908">
      <c r="A908" s="90"/>
    </row>
    <row r="909">
      <c r="A909" s="90"/>
    </row>
    <row r="910">
      <c r="A910" s="90"/>
    </row>
    <row r="911">
      <c r="A911" s="90"/>
    </row>
    <row r="912">
      <c r="A912" s="90"/>
    </row>
    <row r="913">
      <c r="A913" s="90"/>
    </row>
    <row r="914">
      <c r="A914" s="90"/>
    </row>
    <row r="915">
      <c r="A915" s="90"/>
    </row>
    <row r="916">
      <c r="A916" s="90"/>
    </row>
    <row r="917">
      <c r="A917" s="90"/>
    </row>
    <row r="918">
      <c r="A918" s="90"/>
    </row>
    <row r="919">
      <c r="A919" s="90"/>
    </row>
    <row r="920">
      <c r="A920" s="90"/>
    </row>
    <row r="921">
      <c r="A921" s="90"/>
    </row>
    <row r="922">
      <c r="A922" s="90"/>
    </row>
    <row r="923">
      <c r="A923" s="90"/>
    </row>
    <row r="924">
      <c r="A924" s="90"/>
    </row>
    <row r="925">
      <c r="A925" s="90"/>
    </row>
    <row r="926">
      <c r="A926" s="90"/>
    </row>
    <row r="927">
      <c r="A927" s="90"/>
    </row>
    <row r="928">
      <c r="A928" s="90"/>
    </row>
    <row r="929">
      <c r="A929" s="90"/>
    </row>
    <row r="930">
      <c r="A930" s="90"/>
    </row>
    <row r="931">
      <c r="A931" s="90"/>
    </row>
    <row r="932">
      <c r="A932" s="90"/>
    </row>
    <row r="933">
      <c r="A933" s="90"/>
    </row>
    <row r="934">
      <c r="A934" s="90"/>
    </row>
    <row r="935">
      <c r="A935" s="90"/>
    </row>
    <row r="936">
      <c r="A936" s="90"/>
    </row>
    <row r="937">
      <c r="A937" s="90"/>
    </row>
    <row r="938">
      <c r="A938" s="90"/>
    </row>
    <row r="939">
      <c r="A939" s="90"/>
    </row>
    <row r="940">
      <c r="A940" s="90"/>
    </row>
    <row r="941">
      <c r="A941" s="90"/>
    </row>
    <row r="942">
      <c r="A942" s="90"/>
    </row>
    <row r="943">
      <c r="A943" s="90"/>
    </row>
    <row r="944">
      <c r="A944" s="90"/>
    </row>
    <row r="945">
      <c r="A945" s="90"/>
    </row>
    <row r="946">
      <c r="A946" s="90"/>
    </row>
    <row r="947">
      <c r="A947" s="90"/>
    </row>
    <row r="948">
      <c r="A948" s="90"/>
    </row>
    <row r="949">
      <c r="A949" s="90"/>
    </row>
    <row r="950">
      <c r="A950" s="90"/>
    </row>
    <row r="951">
      <c r="A951" s="90"/>
    </row>
    <row r="952">
      <c r="A952" s="90"/>
    </row>
    <row r="953">
      <c r="A953" s="90"/>
    </row>
    <row r="954">
      <c r="A954" s="90"/>
    </row>
    <row r="955">
      <c r="A955" s="90"/>
    </row>
    <row r="956">
      <c r="A956" s="90"/>
    </row>
    <row r="957">
      <c r="A957" s="90"/>
    </row>
    <row r="958">
      <c r="A958" s="90"/>
    </row>
    <row r="959">
      <c r="A959" s="90"/>
    </row>
    <row r="960">
      <c r="A960" s="90"/>
    </row>
    <row r="961">
      <c r="A961" s="90"/>
    </row>
    <row r="962">
      <c r="A962" s="90"/>
    </row>
    <row r="963">
      <c r="A963" s="90"/>
    </row>
    <row r="964">
      <c r="A964" s="90"/>
    </row>
    <row r="965">
      <c r="A965" s="90"/>
    </row>
    <row r="966">
      <c r="A966" s="90"/>
    </row>
    <row r="967">
      <c r="A967" s="90"/>
    </row>
    <row r="968">
      <c r="A968" s="90"/>
    </row>
    <row r="969">
      <c r="A969" s="90"/>
    </row>
    <row r="970">
      <c r="A970" s="90"/>
    </row>
    <row r="971">
      <c r="A971" s="90"/>
    </row>
    <row r="972">
      <c r="A972" s="90"/>
    </row>
    <row r="973">
      <c r="A973" s="90"/>
    </row>
    <row r="974">
      <c r="A974" s="90"/>
    </row>
    <row r="975">
      <c r="A975" s="90"/>
    </row>
    <row r="976">
      <c r="A976" s="90"/>
    </row>
    <row r="977">
      <c r="A977" s="90"/>
    </row>
    <row r="978">
      <c r="A978" s="90"/>
    </row>
    <row r="979">
      <c r="A979" s="90"/>
    </row>
    <row r="980">
      <c r="A980" s="90"/>
    </row>
    <row r="981">
      <c r="A981" s="90"/>
    </row>
    <row r="982">
      <c r="A982" s="90"/>
    </row>
    <row r="983">
      <c r="A983" s="90"/>
    </row>
    <row r="984">
      <c r="A984" s="90"/>
    </row>
    <row r="985">
      <c r="A985" s="90"/>
    </row>
    <row r="986">
      <c r="A986" s="90"/>
    </row>
    <row r="987">
      <c r="A987" s="90"/>
    </row>
    <row r="988">
      <c r="A988" s="90"/>
    </row>
    <row r="989">
      <c r="A989" s="90"/>
    </row>
    <row r="990">
      <c r="A990" s="90"/>
    </row>
    <row r="991">
      <c r="A991" s="90"/>
    </row>
    <row r="992">
      <c r="A992" s="90"/>
    </row>
    <row r="993">
      <c r="A993" s="90"/>
    </row>
    <row r="994">
      <c r="A994" s="90"/>
    </row>
    <row r="995">
      <c r="A995" s="90"/>
    </row>
    <row r="996">
      <c r="A996" s="90"/>
    </row>
    <row r="997">
      <c r="A997" s="90"/>
    </row>
    <row r="998">
      <c r="A998" s="90"/>
    </row>
    <row r="999">
      <c r="A999" s="90"/>
    </row>
    <row r="1000">
      <c r="A1000" s="90"/>
    </row>
  </sheetData>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20" width="5.78"/>
    <col customWidth="1" min="21" max="38" width="8.67"/>
    <col customWidth="1" min="39" max="41" width="5.0"/>
    <col customWidth="1" min="42" max="42" width="6.0"/>
    <col customWidth="1" min="43" max="44" width="5.0"/>
    <col customWidth="1" min="45" max="45" width="9.67"/>
    <col customWidth="1" min="46" max="54" width="5.0"/>
  </cols>
  <sheetData>
    <row r="1">
      <c r="U1" s="50"/>
      <c r="V1" s="50"/>
      <c r="W1" s="50"/>
      <c r="X1" s="50"/>
      <c r="Y1" s="50"/>
      <c r="Z1" s="50"/>
      <c r="AA1" s="50"/>
      <c r="AB1" s="50"/>
      <c r="AC1" s="50"/>
      <c r="AD1" s="50"/>
      <c r="AE1" s="50"/>
      <c r="AF1" s="50"/>
      <c r="AG1" s="50"/>
      <c r="AH1" s="50"/>
      <c r="AI1" s="50"/>
      <c r="AJ1" s="50"/>
      <c r="AK1" s="50"/>
      <c r="AL1" s="50"/>
    </row>
    <row r="2">
      <c r="U2" s="50"/>
      <c r="V2" s="50"/>
      <c r="W2" s="50"/>
      <c r="X2" s="50"/>
      <c r="Y2" s="50"/>
      <c r="Z2" s="50"/>
      <c r="AA2" s="50"/>
      <c r="AB2" s="50"/>
      <c r="AC2" s="50"/>
      <c r="AD2" s="50"/>
      <c r="AE2" s="50"/>
      <c r="AF2" s="50"/>
      <c r="AG2" s="50"/>
      <c r="AH2" s="50"/>
      <c r="AI2" s="50"/>
      <c r="AJ2" s="50"/>
      <c r="AK2" s="50"/>
      <c r="AL2" s="50"/>
    </row>
    <row r="3">
      <c r="U3" s="50"/>
      <c r="V3" s="50"/>
      <c r="W3" s="50"/>
      <c r="X3" s="50"/>
      <c r="Y3" s="50"/>
      <c r="Z3" s="50"/>
      <c r="AA3" s="50"/>
      <c r="AB3" s="50"/>
      <c r="AC3" s="50"/>
      <c r="AD3" s="50"/>
      <c r="AE3" s="50"/>
      <c r="AF3" s="50"/>
      <c r="AG3" s="50"/>
      <c r="AH3" s="50"/>
      <c r="AI3" s="50"/>
      <c r="AJ3" s="50"/>
      <c r="AK3" s="50"/>
      <c r="AL3" s="50"/>
    </row>
    <row r="4">
      <c r="A4" s="10" t="s">
        <v>2500</v>
      </c>
      <c r="B4" s="10" t="s">
        <v>2501</v>
      </c>
      <c r="C4" s="10" t="s">
        <v>2502</v>
      </c>
      <c r="D4" s="10" t="s">
        <v>2503</v>
      </c>
      <c r="E4" s="10" t="s">
        <v>2504</v>
      </c>
      <c r="F4" s="10" t="s">
        <v>2505</v>
      </c>
      <c r="G4" s="10" t="s">
        <v>2506</v>
      </c>
      <c r="H4" s="10" t="s">
        <v>2507</v>
      </c>
      <c r="I4" s="10" t="s">
        <v>2508</v>
      </c>
      <c r="J4" s="10" t="s">
        <v>2509</v>
      </c>
      <c r="K4" s="10" t="s">
        <v>2510</v>
      </c>
      <c r="L4" s="10" t="s">
        <v>2511</v>
      </c>
      <c r="M4" s="10" t="s">
        <v>2512</v>
      </c>
      <c r="N4" s="10" t="s">
        <v>2513</v>
      </c>
      <c r="O4" s="10" t="s">
        <v>2514</v>
      </c>
      <c r="P4" s="10" t="s">
        <v>2515</v>
      </c>
      <c r="Q4" s="10" t="s">
        <v>2516</v>
      </c>
      <c r="R4" s="10" t="s">
        <v>2517</v>
      </c>
      <c r="S4" s="10" t="s">
        <v>2518</v>
      </c>
      <c r="T4" s="10" t="s">
        <v>2519</v>
      </c>
      <c r="U4" s="97" t="s">
        <v>2520</v>
      </c>
      <c r="V4" s="97" t="s">
        <v>2521</v>
      </c>
      <c r="W4" s="97" t="s">
        <v>2522</v>
      </c>
      <c r="X4" s="97" t="s">
        <v>2523</v>
      </c>
      <c r="Y4" s="97" t="s">
        <v>2524</v>
      </c>
      <c r="Z4" s="97" t="s">
        <v>2525</v>
      </c>
      <c r="AA4" s="97" t="s">
        <v>2526</v>
      </c>
      <c r="AB4" s="97" t="s">
        <v>2527</v>
      </c>
      <c r="AC4" s="97" t="s">
        <v>2528</v>
      </c>
      <c r="AD4" s="97" t="s">
        <v>2529</v>
      </c>
      <c r="AE4" s="97" t="s">
        <v>2530</v>
      </c>
      <c r="AF4" s="97" t="s">
        <v>2531</v>
      </c>
      <c r="AG4" s="97" t="s">
        <v>2532</v>
      </c>
      <c r="AH4" s="97" t="s">
        <v>2533</v>
      </c>
      <c r="AI4" s="97" t="s">
        <v>2534</v>
      </c>
      <c r="AJ4" s="97" t="s">
        <v>2535</v>
      </c>
      <c r="AK4" s="97" t="s">
        <v>2536</v>
      </c>
      <c r="AL4" s="97" t="s">
        <v>2537</v>
      </c>
      <c r="AO4" s="10"/>
      <c r="AP4" s="10" t="s">
        <v>2538</v>
      </c>
      <c r="AQ4" s="10" t="s">
        <v>2539</v>
      </c>
      <c r="AR4" s="10"/>
      <c r="AS4" s="98" t="s">
        <v>2540</v>
      </c>
      <c r="AT4" s="10"/>
      <c r="AU4" s="10" t="s">
        <v>2541</v>
      </c>
      <c r="AV4" s="10"/>
      <c r="AW4" s="10" t="s">
        <v>2542</v>
      </c>
      <c r="AX4" s="10" t="s">
        <v>2543</v>
      </c>
      <c r="AY4" s="10" t="s">
        <v>2544</v>
      </c>
      <c r="AZ4" s="10" t="s">
        <v>2545</v>
      </c>
      <c r="BA4" s="10" t="s">
        <v>2546</v>
      </c>
      <c r="BB4" s="10" t="s">
        <v>2547</v>
      </c>
    </row>
    <row r="5">
      <c r="A5" s="2">
        <f>Spieler!A6</f>
        <v>1</v>
      </c>
      <c r="B5" s="2">
        <f>VLOOKUP(A5,Spieler!A:F,2,0)</f>
        <v>7709</v>
      </c>
      <c r="C5" s="2">
        <f>IF(B5=0,0,VLOOKUP(B5,Datensammler!B:U,3,0))</f>
        <v>131</v>
      </c>
      <c r="D5" s="2">
        <f>IF(B5=0,0,VLOOKUP(B5,Datensammler!B:U,4,0))</f>
        <v>156</v>
      </c>
      <c r="E5" s="2">
        <f>IF(B5=0,0,VLOOKUP(B5,Datensammler!B:U,5,0))</f>
        <v>123</v>
      </c>
      <c r="F5" s="2">
        <f>IF(B5=0,0,VLOOKUP(B5,Datensammler!B:U,6,0))</f>
        <v>174</v>
      </c>
      <c r="G5" s="2">
        <f>IF(B5=0,0,VLOOKUP(B5,Datensammler!B:U,7,0))</f>
        <v>132</v>
      </c>
      <c r="H5" s="2">
        <f>IF(B5=0,0,VLOOKUP(B5,Datensammler!B:U,8,0))</f>
        <v>172</v>
      </c>
      <c r="I5" s="2">
        <f>IF(B5=0,0,VLOOKUP(B5,Datensammler!B:U,9,0))</f>
        <v>183</v>
      </c>
      <c r="J5" s="2">
        <f>IF(B5=0,0,VLOOKUP(B5,Datensammler!B:U,10,0))</f>
        <v>165</v>
      </c>
      <c r="K5" s="2">
        <f>IF(B5=0,0,VLOOKUP(B5,Datensammler!B:U,11,0))</f>
        <v>120</v>
      </c>
      <c r="L5" s="2">
        <f>IF(B5=0,0,VLOOKUP(B5,Datensammler!B:U,12,0))</f>
        <v>171</v>
      </c>
      <c r="M5" s="2">
        <f>IF(B5=0,0,VLOOKUP(B5,Datensammler!B:U,13,0))</f>
        <v>143</v>
      </c>
      <c r="N5" s="2">
        <f>IF(B5=0,0,VLOOKUP(B5,Datensammler!B:U,14,0))</f>
        <v>188</v>
      </c>
      <c r="O5" s="2" t="str">
        <f>IF(B5=0,0,VLOOKUP(B5,Datensammler!B:U,15,0))</f>
        <v/>
      </c>
      <c r="P5" s="2" t="str">
        <f>IF(B5=0,0,VLOOKUP(B5,Datensammler!B:U,16,0))</f>
        <v/>
      </c>
      <c r="Q5" s="2" t="str">
        <f>IF(B5=0,0,VLOOKUP(B5,Datensammler!B:U,17,0))</f>
        <v/>
      </c>
      <c r="R5" s="2" t="str">
        <f>IF(B5=0,0,VLOOKUP(B5,Datensammler!B:U,18,0))</f>
        <v/>
      </c>
      <c r="S5" s="2" t="str">
        <f>IF(B5=0,0,VLOOKUP(B5,Datensammler!B:U,19,0))</f>
        <v/>
      </c>
      <c r="T5" s="2" t="str">
        <f>IF(B5=0,0,VLOOKUP(B5,Datensammler!B:U,20,0))</f>
        <v/>
      </c>
      <c r="U5" s="50">
        <f t="shared" ref="U5:AL5" si="1">C5</f>
        <v>131</v>
      </c>
      <c r="V5" s="50">
        <f t="shared" si="1"/>
        <v>156</v>
      </c>
      <c r="W5" s="50">
        <f t="shared" si="1"/>
        <v>123</v>
      </c>
      <c r="X5" s="50">
        <f t="shared" si="1"/>
        <v>174</v>
      </c>
      <c r="Y5" s="50">
        <f t="shared" si="1"/>
        <v>132</v>
      </c>
      <c r="Z5" s="50">
        <f t="shared" si="1"/>
        <v>172</v>
      </c>
      <c r="AA5" s="50">
        <f t="shared" si="1"/>
        <v>183</v>
      </c>
      <c r="AB5" s="50">
        <f t="shared" si="1"/>
        <v>165</v>
      </c>
      <c r="AC5" s="50">
        <f t="shared" si="1"/>
        <v>120</v>
      </c>
      <c r="AD5" s="50">
        <f t="shared" si="1"/>
        <v>171</v>
      </c>
      <c r="AE5" s="50">
        <f t="shared" si="1"/>
        <v>143</v>
      </c>
      <c r="AF5" s="50">
        <f t="shared" si="1"/>
        <v>188</v>
      </c>
      <c r="AG5" s="50" t="str">
        <f t="shared" si="1"/>
        <v/>
      </c>
      <c r="AH5" s="50" t="str">
        <f t="shared" si="1"/>
        <v/>
      </c>
      <c r="AI5" s="50" t="str">
        <f t="shared" si="1"/>
        <v/>
      </c>
      <c r="AJ5" s="50" t="str">
        <f t="shared" si="1"/>
        <v/>
      </c>
      <c r="AK5" s="50" t="str">
        <f t="shared" si="1"/>
        <v/>
      </c>
      <c r="AL5" s="50" t="str">
        <f t="shared" si="1"/>
        <v/>
      </c>
      <c r="AP5" s="2">
        <f t="shared" ref="AP5:AP169" si="3">IF(V5&gt;0,LARGE(U5:AL5,1),0)</f>
        <v>188</v>
      </c>
      <c r="AQ5" s="2">
        <f>IFERROR(__xludf.DUMMYFUNCTION("IF(V5&gt;0,MIN(FILTER(U5:AL5, U5:AL5&lt;&gt;0)),0)"),120.0)</f>
        <v>120</v>
      </c>
      <c r="AS5" s="2">
        <f t="shared" ref="AS5:AS169" si="4">AP5-AQ5</f>
        <v>68</v>
      </c>
      <c r="AU5" s="2">
        <f t="shared" ref="AU5:AU169" si="5">COUNTIF(C5:T5, "&gt;0")</f>
        <v>12</v>
      </c>
      <c r="AW5" s="2">
        <f t="shared" ref="AW5:AW169" si="6">IF(X5&gt;0,LARGE(U5:AL5,2),0)</f>
        <v>183</v>
      </c>
      <c r="AX5" s="2">
        <f>IFERROR(__xludf.DUMMYFUNCTION("IF(X5&gt;0,SMALL(FILTER(U5:AL5, U5:AL5&lt;&gt;0), 2),0)"),123.0)</f>
        <v>123</v>
      </c>
      <c r="AY5" s="2">
        <f t="shared" ref="AY5:AY169" si="7">IF(V5=0,0,AW5-AX5)</f>
        <v>60</v>
      </c>
      <c r="AZ5" s="2">
        <f t="shared" ref="AZ5:AZ169" si="8">IF(Y5&gt;0,LARGE(U5:AL5,3),0)</f>
        <v>174</v>
      </c>
      <c r="BA5" s="2">
        <f>IFERROR(__xludf.DUMMYFUNCTION("IF(Y5&gt;0,SMALL(FILTER(U5:AL5, U5:AL5&lt;&gt;0), 3),0)"),131.0)</f>
        <v>131</v>
      </c>
      <c r="BB5" s="2">
        <f t="shared" ref="BB5:BB169" si="9">AZ5-BA5</f>
        <v>43</v>
      </c>
    </row>
    <row r="6">
      <c r="A6" s="2">
        <f>Spieler!A7</f>
        <v>2</v>
      </c>
      <c r="B6" s="2">
        <f>VLOOKUP(A6,Spieler!A:F,2,0)</f>
        <v>25347</v>
      </c>
      <c r="C6" s="2">
        <f>IF(B6=0,0,VLOOKUP(B6,Datensammler!B:U,3,0))</f>
        <v>149</v>
      </c>
      <c r="D6" s="2">
        <f>IF(B6=0,0,VLOOKUP(B6,Datensammler!B:U,4,0))</f>
        <v>140</v>
      </c>
      <c r="E6" s="2">
        <f>IF(B6=0,0,VLOOKUP(B6,Datensammler!B:U,5,0))</f>
        <v>127</v>
      </c>
      <c r="F6" s="2">
        <f>IF(B6=0,0,VLOOKUP(B6,Datensammler!B:U,6,0))</f>
        <v>163</v>
      </c>
      <c r="G6" s="2">
        <f>IF(B6=0,0,VLOOKUP(B6,Datensammler!B:U,7,0))</f>
        <v>121</v>
      </c>
      <c r="H6" s="2">
        <f>IF(B6=0,0,VLOOKUP(B6,Datensammler!B:U,8,0))</f>
        <v>116</v>
      </c>
      <c r="I6" s="2">
        <f>IF(B6=0,0,VLOOKUP(B6,Datensammler!B:U,9,0))</f>
        <v>133</v>
      </c>
      <c r="J6" s="2">
        <f>IF(B6=0,0,VLOOKUP(B6,Datensammler!B:U,10,0))</f>
        <v>132</v>
      </c>
      <c r="K6" s="2">
        <f>IF(B6=0,0,VLOOKUP(B6,Datensammler!B:U,11,0))</f>
        <v>120</v>
      </c>
      <c r="L6" s="2">
        <f>IF(B6=0,0,VLOOKUP(B6,Datensammler!B:U,12,0))</f>
        <v>151</v>
      </c>
      <c r="M6" s="2">
        <f>IF(B6=0,0,VLOOKUP(B6,Datensammler!B:U,13,0))</f>
        <v>153</v>
      </c>
      <c r="N6" s="2">
        <f>IF(B6=0,0,VLOOKUP(B6,Datensammler!B:U,14,0))</f>
        <v>145</v>
      </c>
      <c r="O6" s="2" t="str">
        <f>IF(B6=0,0,VLOOKUP(B6,Datensammler!B:U,15,0))</f>
        <v/>
      </c>
      <c r="P6" s="2" t="str">
        <f>IF(B6=0,0,VLOOKUP(B6,Datensammler!B:U,16,0))</f>
        <v/>
      </c>
      <c r="Q6" s="2" t="str">
        <f>IF(B6=0,0,VLOOKUP(B6,Datensammler!B:U,17,0))</f>
        <v/>
      </c>
      <c r="R6" s="2" t="str">
        <f>IF(B6=0,0,VLOOKUP(B6,Datensammler!B:U,18,0))</f>
        <v/>
      </c>
      <c r="S6" s="2" t="str">
        <f>IF(B6=0,0,VLOOKUP(B6,Datensammler!B:U,19,0))</f>
        <v/>
      </c>
      <c r="T6" s="2" t="str">
        <f>IF(B6=0,0,VLOOKUP(B6,Datensammler!B:U,20,0))</f>
        <v/>
      </c>
      <c r="U6" s="50">
        <f t="shared" ref="U6:AL6" si="2">C6</f>
        <v>149</v>
      </c>
      <c r="V6" s="50">
        <f t="shared" si="2"/>
        <v>140</v>
      </c>
      <c r="W6" s="50">
        <f t="shared" si="2"/>
        <v>127</v>
      </c>
      <c r="X6" s="50">
        <f t="shared" si="2"/>
        <v>163</v>
      </c>
      <c r="Y6" s="50">
        <f t="shared" si="2"/>
        <v>121</v>
      </c>
      <c r="Z6" s="50">
        <f t="shared" si="2"/>
        <v>116</v>
      </c>
      <c r="AA6" s="50">
        <f t="shared" si="2"/>
        <v>133</v>
      </c>
      <c r="AB6" s="50">
        <f t="shared" si="2"/>
        <v>132</v>
      </c>
      <c r="AC6" s="50">
        <f t="shared" si="2"/>
        <v>120</v>
      </c>
      <c r="AD6" s="50">
        <f t="shared" si="2"/>
        <v>151</v>
      </c>
      <c r="AE6" s="50">
        <f t="shared" si="2"/>
        <v>153</v>
      </c>
      <c r="AF6" s="50">
        <f t="shared" si="2"/>
        <v>145</v>
      </c>
      <c r="AG6" s="50" t="str">
        <f t="shared" si="2"/>
        <v/>
      </c>
      <c r="AH6" s="50" t="str">
        <f t="shared" si="2"/>
        <v/>
      </c>
      <c r="AI6" s="50" t="str">
        <f t="shared" si="2"/>
        <v/>
      </c>
      <c r="AJ6" s="50" t="str">
        <f t="shared" si="2"/>
        <v/>
      </c>
      <c r="AK6" s="50" t="str">
        <f t="shared" si="2"/>
        <v/>
      </c>
      <c r="AL6" s="50" t="str">
        <f t="shared" si="2"/>
        <v/>
      </c>
      <c r="AP6" s="2">
        <f t="shared" si="3"/>
        <v>163</v>
      </c>
      <c r="AQ6" s="2">
        <f>IFERROR(__xludf.DUMMYFUNCTION("IF(V6&gt;0,MIN(FILTER(U6:AL6, U6:AL6&lt;&gt;0)),0)"),116.0)</f>
        <v>116</v>
      </c>
      <c r="AS6" s="2">
        <f t="shared" si="4"/>
        <v>47</v>
      </c>
      <c r="AU6" s="2">
        <f t="shared" si="5"/>
        <v>12</v>
      </c>
      <c r="AW6" s="2">
        <f t="shared" si="6"/>
        <v>153</v>
      </c>
      <c r="AX6" s="2">
        <f>IFERROR(__xludf.DUMMYFUNCTION("IF(X6&gt;0,SMALL(FILTER(U6:AL6, U6:AL6&lt;&gt;0), 2),0)"),120.0)</f>
        <v>120</v>
      </c>
      <c r="AY6" s="2">
        <f t="shared" si="7"/>
        <v>33</v>
      </c>
      <c r="AZ6" s="2">
        <f t="shared" si="8"/>
        <v>151</v>
      </c>
      <c r="BA6" s="2">
        <f>IFERROR(__xludf.DUMMYFUNCTION("IF(Y6&gt;0,SMALL(FILTER(U6:AL6, U6:AL6&lt;&gt;0), 3),0)"),121.0)</f>
        <v>121</v>
      </c>
      <c r="BB6" s="2">
        <f t="shared" si="9"/>
        <v>30</v>
      </c>
    </row>
    <row r="7">
      <c r="A7" s="2">
        <f>Spieler!A8</f>
        <v>3</v>
      </c>
      <c r="B7" s="2">
        <f>VLOOKUP(A7,Spieler!A:F,2,0)</f>
        <v>7974</v>
      </c>
      <c r="C7" s="2">
        <f>IF(B7=0,0,VLOOKUP(B7,Datensammler!B:U,3,0))</f>
        <v>142</v>
      </c>
      <c r="D7" s="2">
        <f>IF(B7=0,0,VLOOKUP(B7,Datensammler!B:U,4,0))</f>
        <v>104</v>
      </c>
      <c r="E7" s="2">
        <f>IF(B7=0,0,VLOOKUP(B7,Datensammler!B:U,5,0))</f>
        <v>159</v>
      </c>
      <c r="F7" s="2">
        <f>IF(B7=0,0,VLOOKUP(B7,Datensammler!B:U,6,0))</f>
        <v>119</v>
      </c>
      <c r="G7" s="2">
        <f>IF(B7=0,0,VLOOKUP(B7,Datensammler!B:U,7,0))</f>
        <v>130</v>
      </c>
      <c r="H7" s="2">
        <f>IF(B7=0,0,VLOOKUP(B7,Datensammler!B:U,8,0))</f>
        <v>165</v>
      </c>
      <c r="I7" s="2">
        <f>IF(B7=0,0,VLOOKUP(B7,Datensammler!B:U,9,0))</f>
        <v>122</v>
      </c>
      <c r="J7" s="2">
        <f>IF(B7=0,0,VLOOKUP(B7,Datensammler!B:U,10,0))</f>
        <v>126</v>
      </c>
      <c r="K7" s="2">
        <f>IF(B7=0,0,VLOOKUP(B7,Datensammler!B:U,11,0))</f>
        <v>126</v>
      </c>
      <c r="L7" s="2">
        <f>IF(B7=0,0,VLOOKUP(B7,Datensammler!B:U,12,0))</f>
        <v>151</v>
      </c>
      <c r="M7" s="2">
        <f>IF(B7=0,0,VLOOKUP(B7,Datensammler!B:U,13,0))</f>
        <v>136</v>
      </c>
      <c r="N7" s="2">
        <f>IF(B7=0,0,VLOOKUP(B7,Datensammler!B:U,14,0))</f>
        <v>116</v>
      </c>
      <c r="O7" s="2" t="str">
        <f>IF(B7=0,0,VLOOKUP(B7,Datensammler!B:U,15,0))</f>
        <v/>
      </c>
      <c r="P7" s="2" t="str">
        <f>IF(B7=0,0,VLOOKUP(B7,Datensammler!B:U,16,0))</f>
        <v/>
      </c>
      <c r="Q7" s="2" t="str">
        <f>IF(B7=0,0,VLOOKUP(B7,Datensammler!B:U,17,0))</f>
        <v/>
      </c>
      <c r="R7" s="2" t="str">
        <f>IF(B7=0,0,VLOOKUP(B7,Datensammler!B:U,18,0))</f>
        <v/>
      </c>
      <c r="S7" s="2" t="str">
        <f>IF(B7=0,0,VLOOKUP(B7,Datensammler!B:U,19,0))</f>
        <v/>
      </c>
      <c r="T7" s="2" t="str">
        <f>IF(B7=0,0,VLOOKUP(B7,Datensammler!B:U,20,0))</f>
        <v/>
      </c>
      <c r="U7" s="50">
        <f t="shared" ref="U7:AL7" si="10">C7</f>
        <v>142</v>
      </c>
      <c r="V7" s="50">
        <f t="shared" si="10"/>
        <v>104</v>
      </c>
      <c r="W7" s="50">
        <f t="shared" si="10"/>
        <v>159</v>
      </c>
      <c r="X7" s="50">
        <f t="shared" si="10"/>
        <v>119</v>
      </c>
      <c r="Y7" s="50">
        <f t="shared" si="10"/>
        <v>130</v>
      </c>
      <c r="Z7" s="50">
        <f t="shared" si="10"/>
        <v>165</v>
      </c>
      <c r="AA7" s="50">
        <f t="shared" si="10"/>
        <v>122</v>
      </c>
      <c r="AB7" s="50">
        <f t="shared" si="10"/>
        <v>126</v>
      </c>
      <c r="AC7" s="50">
        <f t="shared" si="10"/>
        <v>126</v>
      </c>
      <c r="AD7" s="50">
        <f t="shared" si="10"/>
        <v>151</v>
      </c>
      <c r="AE7" s="50">
        <f t="shared" si="10"/>
        <v>136</v>
      </c>
      <c r="AF7" s="50">
        <f t="shared" si="10"/>
        <v>116</v>
      </c>
      <c r="AG7" s="50" t="str">
        <f t="shared" si="10"/>
        <v/>
      </c>
      <c r="AH7" s="50" t="str">
        <f t="shared" si="10"/>
        <v/>
      </c>
      <c r="AI7" s="50" t="str">
        <f t="shared" si="10"/>
        <v/>
      </c>
      <c r="AJ7" s="50" t="str">
        <f t="shared" si="10"/>
        <v/>
      </c>
      <c r="AK7" s="50" t="str">
        <f t="shared" si="10"/>
        <v/>
      </c>
      <c r="AL7" s="50" t="str">
        <f t="shared" si="10"/>
        <v/>
      </c>
      <c r="AP7" s="2">
        <f t="shared" si="3"/>
        <v>165</v>
      </c>
      <c r="AQ7" s="2">
        <f>IFERROR(__xludf.DUMMYFUNCTION("IF(V7&gt;0,MIN(FILTER(U7:AL7, U7:AL7&lt;&gt;0)),0)"),104.0)</f>
        <v>104</v>
      </c>
      <c r="AS7" s="2">
        <f t="shared" si="4"/>
        <v>61</v>
      </c>
      <c r="AU7" s="2">
        <f t="shared" si="5"/>
        <v>12</v>
      </c>
      <c r="AW7" s="2">
        <f t="shared" si="6"/>
        <v>159</v>
      </c>
      <c r="AX7" s="2">
        <f>IFERROR(__xludf.DUMMYFUNCTION("IF(X7&gt;0,SMALL(FILTER(U7:AL7, U7:AL7&lt;&gt;0), 2),0)"),116.0)</f>
        <v>116</v>
      </c>
      <c r="AY7" s="2">
        <f t="shared" si="7"/>
        <v>43</v>
      </c>
      <c r="AZ7" s="2">
        <f t="shared" si="8"/>
        <v>151</v>
      </c>
      <c r="BA7" s="2">
        <f>IFERROR(__xludf.DUMMYFUNCTION("IF(Y7&gt;0,SMALL(FILTER(U7:AL7, U7:AL7&lt;&gt;0), 3),0)"),119.0)</f>
        <v>119</v>
      </c>
      <c r="BB7" s="2">
        <f t="shared" si="9"/>
        <v>32</v>
      </c>
    </row>
    <row r="8">
      <c r="A8" s="2">
        <f>Spieler!A9</f>
        <v>4</v>
      </c>
      <c r="B8" s="2">
        <f>VLOOKUP(A8,Spieler!A:F,2,0)</f>
        <v>25329</v>
      </c>
      <c r="C8" s="2">
        <f>IF(B8=0,0,VLOOKUP(B8,Datensammler!B:U,3,0))</f>
        <v>176</v>
      </c>
      <c r="D8" s="2">
        <f>IF(B8=0,0,VLOOKUP(B8,Datensammler!B:U,4,0))</f>
        <v>207</v>
      </c>
      <c r="E8" s="2">
        <f>IF(B8=0,0,VLOOKUP(B8,Datensammler!B:U,5,0))</f>
        <v>158</v>
      </c>
      <c r="F8" s="2">
        <f>IF(B8=0,0,VLOOKUP(B8,Datensammler!B:U,6,0))</f>
        <v>152</v>
      </c>
      <c r="G8" s="2">
        <f>IF(B8=0,0,VLOOKUP(B8,Datensammler!B:U,7,0))</f>
        <v>186</v>
      </c>
      <c r="H8" s="2">
        <f>IF(B8=0,0,VLOOKUP(B8,Datensammler!B:U,8,0))</f>
        <v>149</v>
      </c>
      <c r="I8" s="2">
        <f>IF(B8=0,0,VLOOKUP(B8,Datensammler!B:U,9,0))</f>
        <v>149</v>
      </c>
      <c r="J8" s="2">
        <f>IF(B8=0,0,VLOOKUP(B8,Datensammler!B:U,10,0))</f>
        <v>155</v>
      </c>
      <c r="K8" s="2">
        <f>IF(B8=0,0,VLOOKUP(B8,Datensammler!B:U,11,0))</f>
        <v>140</v>
      </c>
      <c r="L8" s="2">
        <f>IF(B8=0,0,VLOOKUP(B8,Datensammler!B:U,12,0))</f>
        <v>169</v>
      </c>
      <c r="M8" s="2">
        <f>IF(B8=0,0,VLOOKUP(B8,Datensammler!B:U,13,0))</f>
        <v>159</v>
      </c>
      <c r="N8" s="2">
        <f>IF(B8=0,0,VLOOKUP(B8,Datensammler!B:U,14,0))</f>
        <v>183</v>
      </c>
      <c r="O8" s="2" t="str">
        <f>IF(B8=0,0,VLOOKUP(B8,Datensammler!B:U,15,0))</f>
        <v/>
      </c>
      <c r="P8" s="2" t="str">
        <f>IF(B8=0,0,VLOOKUP(B8,Datensammler!B:U,16,0))</f>
        <v/>
      </c>
      <c r="Q8" s="2" t="str">
        <f>IF(B8=0,0,VLOOKUP(B8,Datensammler!B:U,17,0))</f>
        <v/>
      </c>
      <c r="R8" s="2" t="str">
        <f>IF(B8=0,0,VLOOKUP(B8,Datensammler!B:U,18,0))</f>
        <v/>
      </c>
      <c r="S8" s="2" t="str">
        <f>IF(B8=0,0,VLOOKUP(B8,Datensammler!B:U,19,0))</f>
        <v/>
      </c>
      <c r="T8" s="2" t="str">
        <f>IF(B8=0,0,VLOOKUP(B8,Datensammler!B:U,20,0))</f>
        <v/>
      </c>
      <c r="U8" s="50">
        <f t="shared" ref="U8:AL8" si="11">C8</f>
        <v>176</v>
      </c>
      <c r="V8" s="50">
        <f t="shared" si="11"/>
        <v>207</v>
      </c>
      <c r="W8" s="50">
        <f t="shared" si="11"/>
        <v>158</v>
      </c>
      <c r="X8" s="50">
        <f t="shared" si="11"/>
        <v>152</v>
      </c>
      <c r="Y8" s="50">
        <f t="shared" si="11"/>
        <v>186</v>
      </c>
      <c r="Z8" s="50">
        <f t="shared" si="11"/>
        <v>149</v>
      </c>
      <c r="AA8" s="50">
        <f t="shared" si="11"/>
        <v>149</v>
      </c>
      <c r="AB8" s="50">
        <f t="shared" si="11"/>
        <v>155</v>
      </c>
      <c r="AC8" s="50">
        <f t="shared" si="11"/>
        <v>140</v>
      </c>
      <c r="AD8" s="50">
        <f t="shared" si="11"/>
        <v>169</v>
      </c>
      <c r="AE8" s="50">
        <f t="shared" si="11"/>
        <v>159</v>
      </c>
      <c r="AF8" s="50">
        <f t="shared" si="11"/>
        <v>183</v>
      </c>
      <c r="AG8" s="50" t="str">
        <f t="shared" si="11"/>
        <v/>
      </c>
      <c r="AH8" s="50" t="str">
        <f t="shared" si="11"/>
        <v/>
      </c>
      <c r="AI8" s="50" t="str">
        <f t="shared" si="11"/>
        <v/>
      </c>
      <c r="AJ8" s="50" t="str">
        <f t="shared" si="11"/>
        <v/>
      </c>
      <c r="AK8" s="50" t="str">
        <f t="shared" si="11"/>
        <v/>
      </c>
      <c r="AL8" s="50" t="str">
        <f t="shared" si="11"/>
        <v/>
      </c>
      <c r="AP8" s="2">
        <f t="shared" si="3"/>
        <v>207</v>
      </c>
      <c r="AQ8" s="2">
        <f>IFERROR(__xludf.DUMMYFUNCTION("IF(V8&gt;0,MIN(FILTER(U8:AL8, U8:AL8&lt;&gt;0)),0)"),140.0)</f>
        <v>140</v>
      </c>
      <c r="AS8" s="2">
        <f t="shared" si="4"/>
        <v>67</v>
      </c>
      <c r="AU8" s="2">
        <f t="shared" si="5"/>
        <v>12</v>
      </c>
      <c r="AW8" s="2">
        <f t="shared" si="6"/>
        <v>186</v>
      </c>
      <c r="AX8" s="2">
        <f>IFERROR(__xludf.DUMMYFUNCTION("IF(X8&gt;0,SMALL(FILTER(U8:AL8, U8:AL8&lt;&gt;0), 2),0)"),149.0)</f>
        <v>149</v>
      </c>
      <c r="AY8" s="2">
        <f t="shared" si="7"/>
        <v>37</v>
      </c>
      <c r="AZ8" s="2">
        <f t="shared" si="8"/>
        <v>183</v>
      </c>
      <c r="BA8" s="2">
        <f>IFERROR(__xludf.DUMMYFUNCTION("IF(Y8&gt;0,SMALL(FILTER(U8:AL8, U8:AL8&lt;&gt;0), 3),0)"),149.0)</f>
        <v>149</v>
      </c>
      <c r="BB8" s="2">
        <f t="shared" si="9"/>
        <v>34</v>
      </c>
    </row>
    <row r="9">
      <c r="A9" s="2">
        <f>Spieler!A10</f>
        <v>5</v>
      </c>
      <c r="B9" s="2">
        <f>VLOOKUP(A9,Spieler!A:F,2,0)</f>
        <v>38934</v>
      </c>
      <c r="C9" s="2">
        <f>IF(B9=0,0,VLOOKUP(B9,Datensammler!B:U,3,0))</f>
        <v>134</v>
      </c>
      <c r="D9" s="2">
        <f>IF(B9=0,0,VLOOKUP(B9,Datensammler!B:U,4,0))</f>
        <v>132</v>
      </c>
      <c r="E9" s="2">
        <f>IF(B9=0,0,VLOOKUP(B9,Datensammler!B:U,5,0))</f>
        <v>120</v>
      </c>
      <c r="F9" s="2">
        <f>IF(B9=0,0,VLOOKUP(B9,Datensammler!B:U,6,0))</f>
        <v>136</v>
      </c>
      <c r="G9" s="2">
        <f>IF(B9=0,0,VLOOKUP(B9,Datensammler!B:U,7,0))</f>
        <v>160</v>
      </c>
      <c r="H9" s="2">
        <f>IF(B9=0,0,VLOOKUP(B9,Datensammler!B:U,8,0))</f>
        <v>148</v>
      </c>
      <c r="I9" s="2">
        <f>IF(B9=0,0,VLOOKUP(B9,Datensammler!B:U,9,0))</f>
        <v>134</v>
      </c>
      <c r="J9" s="2">
        <f>IF(B9=0,0,VLOOKUP(B9,Datensammler!B:U,10,0))</f>
        <v>145</v>
      </c>
      <c r="K9" s="2">
        <f>IF(B9=0,0,VLOOKUP(B9,Datensammler!B:U,11,0))</f>
        <v>125</v>
      </c>
      <c r="L9" s="2">
        <f>IF(B9=0,0,VLOOKUP(B9,Datensammler!B:U,12,0))</f>
        <v>123</v>
      </c>
      <c r="M9" s="2">
        <f>IF(B9=0,0,VLOOKUP(B9,Datensammler!B:U,13,0))</f>
        <v>191</v>
      </c>
      <c r="N9" s="2">
        <f>IF(B9=0,0,VLOOKUP(B9,Datensammler!B:U,14,0))</f>
        <v>153</v>
      </c>
      <c r="O9" s="2" t="str">
        <f>IF(B9=0,0,VLOOKUP(B9,Datensammler!B:U,15,0))</f>
        <v/>
      </c>
      <c r="P9" s="2" t="str">
        <f>IF(B9=0,0,VLOOKUP(B9,Datensammler!B:U,16,0))</f>
        <v/>
      </c>
      <c r="Q9" s="2" t="str">
        <f>IF(B9=0,0,VLOOKUP(B9,Datensammler!B:U,17,0))</f>
        <v/>
      </c>
      <c r="R9" s="2" t="str">
        <f>IF(B9=0,0,VLOOKUP(B9,Datensammler!B:U,18,0))</f>
        <v/>
      </c>
      <c r="S9" s="2" t="str">
        <f>IF(B9=0,0,VLOOKUP(B9,Datensammler!B:U,19,0))</f>
        <v/>
      </c>
      <c r="T9" s="2" t="str">
        <f>IF(B9=0,0,VLOOKUP(B9,Datensammler!B:U,20,0))</f>
        <v/>
      </c>
      <c r="U9" s="50">
        <f t="shared" ref="U9:AL9" si="12">C9</f>
        <v>134</v>
      </c>
      <c r="V9" s="50">
        <f t="shared" si="12"/>
        <v>132</v>
      </c>
      <c r="W9" s="50">
        <f t="shared" si="12"/>
        <v>120</v>
      </c>
      <c r="X9" s="50">
        <f t="shared" si="12"/>
        <v>136</v>
      </c>
      <c r="Y9" s="50">
        <f t="shared" si="12"/>
        <v>160</v>
      </c>
      <c r="Z9" s="50">
        <f t="shared" si="12"/>
        <v>148</v>
      </c>
      <c r="AA9" s="50">
        <f t="shared" si="12"/>
        <v>134</v>
      </c>
      <c r="AB9" s="50">
        <f t="shared" si="12"/>
        <v>145</v>
      </c>
      <c r="AC9" s="50">
        <f t="shared" si="12"/>
        <v>125</v>
      </c>
      <c r="AD9" s="50">
        <f t="shared" si="12"/>
        <v>123</v>
      </c>
      <c r="AE9" s="50">
        <f t="shared" si="12"/>
        <v>191</v>
      </c>
      <c r="AF9" s="50">
        <f t="shared" si="12"/>
        <v>153</v>
      </c>
      <c r="AG9" s="50" t="str">
        <f t="shared" si="12"/>
        <v/>
      </c>
      <c r="AH9" s="50" t="str">
        <f t="shared" si="12"/>
        <v/>
      </c>
      <c r="AI9" s="50" t="str">
        <f t="shared" si="12"/>
        <v/>
      </c>
      <c r="AJ9" s="50" t="str">
        <f t="shared" si="12"/>
        <v/>
      </c>
      <c r="AK9" s="50" t="str">
        <f t="shared" si="12"/>
        <v/>
      </c>
      <c r="AL9" s="50" t="str">
        <f t="shared" si="12"/>
        <v/>
      </c>
      <c r="AP9" s="2">
        <f t="shared" si="3"/>
        <v>191</v>
      </c>
      <c r="AQ9" s="2">
        <f>IFERROR(__xludf.DUMMYFUNCTION("IF(V9&gt;0,MIN(FILTER(U9:AL9, U9:AL9&lt;&gt;0)),0)"),120.0)</f>
        <v>120</v>
      </c>
      <c r="AS9" s="2">
        <f t="shared" si="4"/>
        <v>71</v>
      </c>
      <c r="AU9" s="2">
        <f t="shared" si="5"/>
        <v>12</v>
      </c>
      <c r="AW9" s="2">
        <f t="shared" si="6"/>
        <v>160</v>
      </c>
      <c r="AX9" s="2">
        <f>IFERROR(__xludf.DUMMYFUNCTION("IF(X9&gt;0,SMALL(FILTER(U9:AL9, U9:AL9&lt;&gt;0), 2),0)"),123.0)</f>
        <v>123</v>
      </c>
      <c r="AY9" s="2">
        <f t="shared" si="7"/>
        <v>37</v>
      </c>
      <c r="AZ9" s="2">
        <f t="shared" si="8"/>
        <v>153</v>
      </c>
      <c r="BA9" s="2">
        <f>IFERROR(__xludf.DUMMYFUNCTION("IF(Y9&gt;0,SMALL(FILTER(U9:AL9, U9:AL9&lt;&gt;0), 3),0)"),125.0)</f>
        <v>125</v>
      </c>
      <c r="BB9" s="2">
        <f t="shared" si="9"/>
        <v>28</v>
      </c>
    </row>
    <row r="10">
      <c r="A10" s="2">
        <f>Spieler!A11</f>
        <v>6</v>
      </c>
      <c r="B10" s="2">
        <f>VLOOKUP(A10,Spieler!A:F,2,0)</f>
        <v>16595</v>
      </c>
      <c r="C10" s="2">
        <f>IF(B10=0,0,VLOOKUP(B10,Datensammler!B:U,3,0))</f>
        <v>177</v>
      </c>
      <c r="D10" s="2">
        <f>IF(B10=0,0,VLOOKUP(B10,Datensammler!B:U,4,0))</f>
        <v>162</v>
      </c>
      <c r="E10" s="2">
        <f>IF(B10=0,0,VLOOKUP(B10,Datensammler!B:U,5,0))</f>
        <v>196</v>
      </c>
      <c r="F10" s="2">
        <f>IF(B10=0,0,VLOOKUP(B10,Datensammler!B:U,6,0))</f>
        <v>136</v>
      </c>
      <c r="G10" s="2">
        <f>IF(B10=0,0,VLOOKUP(B10,Datensammler!B:U,7,0))</f>
        <v>165</v>
      </c>
      <c r="H10" s="2">
        <f>IF(B10=0,0,VLOOKUP(B10,Datensammler!B:U,8,0))</f>
        <v>153</v>
      </c>
      <c r="I10" s="2">
        <f>IF(B10=0,0,VLOOKUP(B10,Datensammler!B:U,9,0))</f>
        <v>141</v>
      </c>
      <c r="J10" s="2">
        <f>IF(B10=0,0,VLOOKUP(B10,Datensammler!B:U,10,0))</f>
        <v>166</v>
      </c>
      <c r="K10" s="2">
        <f>IF(B10=0,0,VLOOKUP(B10,Datensammler!B:U,11,0))</f>
        <v>164</v>
      </c>
      <c r="L10" s="2">
        <f>IF(B10=0,0,VLOOKUP(B10,Datensammler!B:U,12,0))</f>
        <v>194</v>
      </c>
      <c r="M10" s="2">
        <f>IF(B10=0,0,VLOOKUP(B10,Datensammler!B:U,13,0))</f>
        <v>191</v>
      </c>
      <c r="N10" s="2">
        <f>IF(B10=0,0,VLOOKUP(B10,Datensammler!B:U,14,0))</f>
        <v>152</v>
      </c>
      <c r="O10" s="2" t="str">
        <f>IF(B10=0,0,VLOOKUP(B10,Datensammler!B:U,15,0))</f>
        <v/>
      </c>
      <c r="P10" s="2" t="str">
        <f>IF(B10=0,0,VLOOKUP(B10,Datensammler!B:U,16,0))</f>
        <v/>
      </c>
      <c r="Q10" s="2" t="str">
        <f>IF(B10=0,0,VLOOKUP(B10,Datensammler!B:U,17,0))</f>
        <v/>
      </c>
      <c r="R10" s="2" t="str">
        <f>IF(B10=0,0,VLOOKUP(B10,Datensammler!B:U,18,0))</f>
        <v/>
      </c>
      <c r="S10" s="2" t="str">
        <f>IF(B10=0,0,VLOOKUP(B10,Datensammler!B:U,19,0))</f>
        <v/>
      </c>
      <c r="T10" s="2" t="str">
        <f>IF(B10=0,0,VLOOKUP(B10,Datensammler!B:U,20,0))</f>
        <v/>
      </c>
      <c r="U10" s="50">
        <f t="shared" ref="U10:AL10" si="13">C10</f>
        <v>177</v>
      </c>
      <c r="V10" s="50">
        <f t="shared" si="13"/>
        <v>162</v>
      </c>
      <c r="W10" s="50">
        <f t="shared" si="13"/>
        <v>196</v>
      </c>
      <c r="X10" s="50">
        <f t="shared" si="13"/>
        <v>136</v>
      </c>
      <c r="Y10" s="50">
        <f t="shared" si="13"/>
        <v>165</v>
      </c>
      <c r="Z10" s="50">
        <f t="shared" si="13"/>
        <v>153</v>
      </c>
      <c r="AA10" s="50">
        <f t="shared" si="13"/>
        <v>141</v>
      </c>
      <c r="AB10" s="50">
        <f t="shared" si="13"/>
        <v>166</v>
      </c>
      <c r="AC10" s="50">
        <f t="shared" si="13"/>
        <v>164</v>
      </c>
      <c r="AD10" s="50">
        <f t="shared" si="13"/>
        <v>194</v>
      </c>
      <c r="AE10" s="50">
        <f t="shared" si="13"/>
        <v>191</v>
      </c>
      <c r="AF10" s="50">
        <f t="shared" si="13"/>
        <v>152</v>
      </c>
      <c r="AG10" s="50" t="str">
        <f t="shared" si="13"/>
        <v/>
      </c>
      <c r="AH10" s="50" t="str">
        <f t="shared" si="13"/>
        <v/>
      </c>
      <c r="AI10" s="50" t="str">
        <f t="shared" si="13"/>
        <v/>
      </c>
      <c r="AJ10" s="50" t="str">
        <f t="shared" si="13"/>
        <v/>
      </c>
      <c r="AK10" s="50" t="str">
        <f t="shared" si="13"/>
        <v/>
      </c>
      <c r="AL10" s="50" t="str">
        <f t="shared" si="13"/>
        <v/>
      </c>
      <c r="AP10" s="2">
        <f t="shared" si="3"/>
        <v>196</v>
      </c>
      <c r="AQ10" s="2">
        <f>IFERROR(__xludf.DUMMYFUNCTION("IF(V10&gt;0,MIN(FILTER(U10:AL10, U10:AL10&lt;&gt;0)),0)"),136.0)</f>
        <v>136</v>
      </c>
      <c r="AS10" s="2">
        <f t="shared" si="4"/>
        <v>60</v>
      </c>
      <c r="AU10" s="2">
        <f t="shared" si="5"/>
        <v>12</v>
      </c>
      <c r="AW10" s="2">
        <f t="shared" si="6"/>
        <v>194</v>
      </c>
      <c r="AX10" s="2">
        <f>IFERROR(__xludf.DUMMYFUNCTION("IF(X10&gt;0,SMALL(FILTER(U10:AL10, U10:AL10&lt;&gt;0), 2),0)"),141.0)</f>
        <v>141</v>
      </c>
      <c r="AY10" s="2">
        <f t="shared" si="7"/>
        <v>53</v>
      </c>
      <c r="AZ10" s="2">
        <f t="shared" si="8"/>
        <v>191</v>
      </c>
      <c r="BA10" s="2">
        <f>IFERROR(__xludf.DUMMYFUNCTION("IF(Y10&gt;0,SMALL(FILTER(U10:AL10, U10:AL10&lt;&gt;0), 3),0)"),152.0)</f>
        <v>152</v>
      </c>
      <c r="BB10" s="2">
        <f t="shared" si="9"/>
        <v>39</v>
      </c>
    </row>
    <row r="11">
      <c r="A11" s="2">
        <f>Spieler!A12</f>
        <v>7</v>
      </c>
      <c r="B11" s="2">
        <f>VLOOKUP(A11,Spieler!A:F,2,0)</f>
        <v>16594</v>
      </c>
      <c r="C11" s="2">
        <f>IF(B11=0,0,VLOOKUP(B11,Datensammler!B:U,3,0))</f>
        <v>200</v>
      </c>
      <c r="D11" s="2">
        <f>IF(B11=0,0,VLOOKUP(B11,Datensammler!B:U,4,0))</f>
        <v>152</v>
      </c>
      <c r="E11" s="2">
        <f>IF(B11=0,0,VLOOKUP(B11,Datensammler!B:U,5,0))</f>
        <v>161</v>
      </c>
      <c r="F11" s="2">
        <f>IF(B11=0,0,VLOOKUP(B11,Datensammler!B:U,6,0))</f>
        <v>178</v>
      </c>
      <c r="G11" s="2">
        <f>IF(B11=0,0,VLOOKUP(B11,Datensammler!B:U,7,0))</f>
        <v>159</v>
      </c>
      <c r="H11" s="2">
        <f>IF(B11=0,0,VLOOKUP(B11,Datensammler!B:U,8,0))</f>
        <v>170</v>
      </c>
      <c r="I11" s="2">
        <f>IF(B11=0,0,VLOOKUP(B11,Datensammler!B:U,9,0))</f>
        <v>172</v>
      </c>
      <c r="J11" s="2">
        <f>IF(B11=0,0,VLOOKUP(B11,Datensammler!B:U,10,0))</f>
        <v>145</v>
      </c>
      <c r="K11" s="2">
        <f>IF(B11=0,0,VLOOKUP(B11,Datensammler!B:U,11,0))</f>
        <v>144</v>
      </c>
      <c r="L11" s="2">
        <f>IF(B11=0,0,VLOOKUP(B11,Datensammler!B:U,12,0))</f>
        <v>169</v>
      </c>
      <c r="M11" s="2">
        <f>IF(B11=0,0,VLOOKUP(B11,Datensammler!B:U,13,0))</f>
        <v>153</v>
      </c>
      <c r="N11" s="2">
        <f>IF(B11=0,0,VLOOKUP(B11,Datensammler!B:U,14,0))</f>
        <v>156</v>
      </c>
      <c r="O11" s="2" t="str">
        <f>IF(B11=0,0,VLOOKUP(B11,Datensammler!B:U,15,0))</f>
        <v/>
      </c>
      <c r="P11" s="2" t="str">
        <f>IF(B11=0,0,VLOOKUP(B11,Datensammler!B:U,16,0))</f>
        <v/>
      </c>
      <c r="Q11" s="2" t="str">
        <f>IF(B11=0,0,VLOOKUP(B11,Datensammler!B:U,17,0))</f>
        <v/>
      </c>
      <c r="R11" s="2" t="str">
        <f>IF(B11=0,0,VLOOKUP(B11,Datensammler!B:U,18,0))</f>
        <v/>
      </c>
      <c r="S11" s="2" t="str">
        <f>IF(B11=0,0,VLOOKUP(B11,Datensammler!B:U,19,0))</f>
        <v/>
      </c>
      <c r="T11" s="2" t="str">
        <f>IF(B11=0,0,VLOOKUP(B11,Datensammler!B:U,20,0))</f>
        <v/>
      </c>
      <c r="U11" s="50">
        <f t="shared" ref="U11:AL11" si="14">C11</f>
        <v>200</v>
      </c>
      <c r="V11" s="50">
        <f t="shared" si="14"/>
        <v>152</v>
      </c>
      <c r="W11" s="50">
        <f t="shared" si="14"/>
        <v>161</v>
      </c>
      <c r="X11" s="50">
        <f t="shared" si="14"/>
        <v>178</v>
      </c>
      <c r="Y11" s="50">
        <f t="shared" si="14"/>
        <v>159</v>
      </c>
      <c r="Z11" s="50">
        <f t="shared" si="14"/>
        <v>170</v>
      </c>
      <c r="AA11" s="50">
        <f t="shared" si="14"/>
        <v>172</v>
      </c>
      <c r="AB11" s="50">
        <f t="shared" si="14"/>
        <v>145</v>
      </c>
      <c r="AC11" s="50">
        <f t="shared" si="14"/>
        <v>144</v>
      </c>
      <c r="AD11" s="50">
        <f t="shared" si="14"/>
        <v>169</v>
      </c>
      <c r="AE11" s="50">
        <f t="shared" si="14"/>
        <v>153</v>
      </c>
      <c r="AF11" s="50">
        <f t="shared" si="14"/>
        <v>156</v>
      </c>
      <c r="AG11" s="50" t="str">
        <f t="shared" si="14"/>
        <v/>
      </c>
      <c r="AH11" s="50" t="str">
        <f t="shared" si="14"/>
        <v/>
      </c>
      <c r="AI11" s="50" t="str">
        <f t="shared" si="14"/>
        <v/>
      </c>
      <c r="AJ11" s="50" t="str">
        <f t="shared" si="14"/>
        <v/>
      </c>
      <c r="AK11" s="50" t="str">
        <f t="shared" si="14"/>
        <v/>
      </c>
      <c r="AL11" s="50" t="str">
        <f t="shared" si="14"/>
        <v/>
      </c>
      <c r="AP11" s="2">
        <f t="shared" si="3"/>
        <v>200</v>
      </c>
      <c r="AQ11" s="2">
        <f>IFERROR(__xludf.DUMMYFUNCTION("IF(V11&gt;0,MIN(FILTER(U11:AL11, U11:AL11&lt;&gt;0)),0)"),144.0)</f>
        <v>144</v>
      </c>
      <c r="AS11" s="2">
        <f t="shared" si="4"/>
        <v>56</v>
      </c>
      <c r="AU11" s="2">
        <f t="shared" si="5"/>
        <v>12</v>
      </c>
      <c r="AW11" s="2">
        <f t="shared" si="6"/>
        <v>178</v>
      </c>
      <c r="AX11" s="2">
        <f>IFERROR(__xludf.DUMMYFUNCTION("IF(X11&gt;0,SMALL(FILTER(U11:AL11, U11:AL11&lt;&gt;0), 2),0)"),145.0)</f>
        <v>145</v>
      </c>
      <c r="AY11" s="2">
        <f t="shared" si="7"/>
        <v>33</v>
      </c>
      <c r="AZ11" s="2">
        <f t="shared" si="8"/>
        <v>172</v>
      </c>
      <c r="BA11" s="2">
        <f>IFERROR(__xludf.DUMMYFUNCTION("IF(Y11&gt;0,SMALL(FILTER(U11:AL11, U11:AL11&lt;&gt;0), 3),0)"),152.0)</f>
        <v>152</v>
      </c>
      <c r="BB11" s="2">
        <f t="shared" si="9"/>
        <v>20</v>
      </c>
    </row>
    <row r="12">
      <c r="A12" s="2">
        <f>Spieler!A13</f>
        <v>8</v>
      </c>
      <c r="B12" s="2">
        <f>VLOOKUP(A12,Spieler!A:F,2,0)</f>
        <v>38931</v>
      </c>
      <c r="C12" s="2">
        <f>IF(B12=0,0,VLOOKUP(B12,Datensammler!B:U,3,0))</f>
        <v>153</v>
      </c>
      <c r="D12" s="2">
        <f>IF(B12=0,0,VLOOKUP(B12,Datensammler!B:U,4,0))</f>
        <v>202</v>
      </c>
      <c r="E12" s="2">
        <f>IF(B12=0,0,VLOOKUP(B12,Datensammler!B:U,5,0))</f>
        <v>141</v>
      </c>
      <c r="F12" s="2">
        <f>IF(B12=0,0,VLOOKUP(B12,Datensammler!B:U,6,0))</f>
        <v>141</v>
      </c>
      <c r="G12" s="2">
        <f>IF(B12=0,0,VLOOKUP(B12,Datensammler!B:U,7,0))</f>
        <v>148</v>
      </c>
      <c r="H12" s="2">
        <f>IF(B12=0,0,VLOOKUP(B12,Datensammler!B:U,8,0))</f>
        <v>186</v>
      </c>
      <c r="I12" s="2">
        <f>IF(B12=0,0,VLOOKUP(B12,Datensammler!B:U,9,0))</f>
        <v>142</v>
      </c>
      <c r="J12" s="2">
        <f>IF(B12=0,0,VLOOKUP(B12,Datensammler!B:U,10,0))</f>
        <v>185</v>
      </c>
      <c r="K12" s="2">
        <f>IF(B12=0,0,VLOOKUP(B12,Datensammler!B:U,11,0))</f>
        <v>149</v>
      </c>
      <c r="L12" s="2">
        <f>IF(B12=0,0,VLOOKUP(B12,Datensammler!B:U,12,0))</f>
        <v>179</v>
      </c>
      <c r="M12" s="2">
        <f>IF(B12=0,0,VLOOKUP(B12,Datensammler!B:U,13,0))</f>
        <v>160</v>
      </c>
      <c r="N12" s="2">
        <f>IF(B12=0,0,VLOOKUP(B12,Datensammler!B:U,14,0))</f>
        <v>169</v>
      </c>
      <c r="O12" s="2" t="str">
        <f>IF(B12=0,0,VLOOKUP(B12,Datensammler!B:U,15,0))</f>
        <v/>
      </c>
      <c r="P12" s="2" t="str">
        <f>IF(B12=0,0,VLOOKUP(B12,Datensammler!B:U,16,0))</f>
        <v/>
      </c>
      <c r="Q12" s="2" t="str">
        <f>IF(B12=0,0,VLOOKUP(B12,Datensammler!B:U,17,0))</f>
        <v/>
      </c>
      <c r="R12" s="2" t="str">
        <f>IF(B12=0,0,VLOOKUP(B12,Datensammler!B:U,18,0))</f>
        <v/>
      </c>
      <c r="S12" s="2" t="str">
        <f>IF(B12=0,0,VLOOKUP(B12,Datensammler!B:U,19,0))</f>
        <v/>
      </c>
      <c r="T12" s="2" t="str">
        <f>IF(B12=0,0,VLOOKUP(B12,Datensammler!B:U,20,0))</f>
        <v/>
      </c>
      <c r="U12" s="50">
        <f t="shared" ref="U12:AL12" si="15">C12</f>
        <v>153</v>
      </c>
      <c r="V12" s="50">
        <f t="shared" si="15"/>
        <v>202</v>
      </c>
      <c r="W12" s="50">
        <f t="shared" si="15"/>
        <v>141</v>
      </c>
      <c r="X12" s="50">
        <f t="shared" si="15"/>
        <v>141</v>
      </c>
      <c r="Y12" s="50">
        <f t="shared" si="15"/>
        <v>148</v>
      </c>
      <c r="Z12" s="50">
        <f t="shared" si="15"/>
        <v>186</v>
      </c>
      <c r="AA12" s="50">
        <f t="shared" si="15"/>
        <v>142</v>
      </c>
      <c r="AB12" s="50">
        <f t="shared" si="15"/>
        <v>185</v>
      </c>
      <c r="AC12" s="50">
        <f t="shared" si="15"/>
        <v>149</v>
      </c>
      <c r="AD12" s="50">
        <f t="shared" si="15"/>
        <v>179</v>
      </c>
      <c r="AE12" s="50">
        <f t="shared" si="15"/>
        <v>160</v>
      </c>
      <c r="AF12" s="50">
        <f t="shared" si="15"/>
        <v>169</v>
      </c>
      <c r="AG12" s="50" t="str">
        <f t="shared" si="15"/>
        <v/>
      </c>
      <c r="AH12" s="50" t="str">
        <f t="shared" si="15"/>
        <v/>
      </c>
      <c r="AI12" s="50" t="str">
        <f t="shared" si="15"/>
        <v/>
      </c>
      <c r="AJ12" s="50" t="str">
        <f t="shared" si="15"/>
        <v/>
      </c>
      <c r="AK12" s="50" t="str">
        <f t="shared" si="15"/>
        <v/>
      </c>
      <c r="AL12" s="50" t="str">
        <f t="shared" si="15"/>
        <v/>
      </c>
      <c r="AP12" s="2">
        <f t="shared" si="3"/>
        <v>202</v>
      </c>
      <c r="AQ12" s="2">
        <f>IFERROR(__xludf.DUMMYFUNCTION("IF(V12&gt;0,MIN(FILTER(U12:AL12, U12:AL12&lt;&gt;0)),0)"),141.0)</f>
        <v>141</v>
      </c>
      <c r="AS12" s="2">
        <f t="shared" si="4"/>
        <v>61</v>
      </c>
      <c r="AU12" s="2">
        <f t="shared" si="5"/>
        <v>12</v>
      </c>
      <c r="AW12" s="2">
        <f t="shared" si="6"/>
        <v>186</v>
      </c>
      <c r="AX12" s="2">
        <f>IFERROR(__xludf.DUMMYFUNCTION("IF(X12&gt;0,SMALL(FILTER(U12:AL12, U12:AL12&lt;&gt;0), 2),0)"),141.0)</f>
        <v>141</v>
      </c>
      <c r="AY12" s="2">
        <f t="shared" si="7"/>
        <v>45</v>
      </c>
      <c r="AZ12" s="2">
        <f t="shared" si="8"/>
        <v>185</v>
      </c>
      <c r="BA12" s="2">
        <f>IFERROR(__xludf.DUMMYFUNCTION("IF(Y12&gt;0,SMALL(FILTER(U12:AL12, U12:AL12&lt;&gt;0), 3),0)"),142.0)</f>
        <v>142</v>
      </c>
      <c r="BB12" s="2">
        <f t="shared" si="9"/>
        <v>43</v>
      </c>
    </row>
    <row r="13">
      <c r="A13" s="2">
        <f>Spieler!A14</f>
        <v>9</v>
      </c>
      <c r="B13" s="2">
        <f>VLOOKUP(A13,Spieler!A:F,2,0)</f>
        <v>38045</v>
      </c>
      <c r="C13" s="2">
        <f>IF(B13=0,0,VLOOKUP(B13,Datensammler!B:U,3,0))</f>
        <v>201</v>
      </c>
      <c r="D13" s="2">
        <f>IF(B13=0,0,VLOOKUP(B13,Datensammler!B:U,4,0))</f>
        <v>223</v>
      </c>
      <c r="E13" s="2">
        <f>IF(B13=0,0,VLOOKUP(B13,Datensammler!B:U,5,0))</f>
        <v>196</v>
      </c>
      <c r="F13" s="2">
        <f>IF(B13=0,0,VLOOKUP(B13,Datensammler!B:U,6,0))</f>
        <v>191</v>
      </c>
      <c r="G13" s="2">
        <f>IF(B13=0,0,VLOOKUP(B13,Datensammler!B:U,7,0))</f>
        <v>181</v>
      </c>
      <c r="H13" s="2">
        <f>IF(B13=0,0,VLOOKUP(B13,Datensammler!B:U,8,0))</f>
        <v>208</v>
      </c>
      <c r="I13" s="2">
        <f>IF(B13=0,0,VLOOKUP(B13,Datensammler!B:U,9,0))</f>
        <v>198</v>
      </c>
      <c r="J13" s="2">
        <f>IF(B13=0,0,VLOOKUP(B13,Datensammler!B:U,10,0))</f>
        <v>234</v>
      </c>
      <c r="K13" s="2">
        <f>IF(B13=0,0,VLOOKUP(B13,Datensammler!B:U,11,0))</f>
        <v>170</v>
      </c>
      <c r="L13" s="2">
        <f>IF(B13=0,0,VLOOKUP(B13,Datensammler!B:U,12,0))</f>
        <v>219</v>
      </c>
      <c r="M13" s="2">
        <f>IF(B13=0,0,VLOOKUP(B13,Datensammler!B:U,13,0))</f>
        <v>214</v>
      </c>
      <c r="N13" s="2">
        <f>IF(B13=0,0,VLOOKUP(B13,Datensammler!B:U,14,0))</f>
        <v>206</v>
      </c>
      <c r="O13" s="2" t="str">
        <f>IF(B13=0,0,VLOOKUP(B13,Datensammler!B:U,15,0))</f>
        <v/>
      </c>
      <c r="P13" s="2" t="str">
        <f>IF(B13=0,0,VLOOKUP(B13,Datensammler!B:U,16,0))</f>
        <v/>
      </c>
      <c r="Q13" s="2" t="str">
        <f>IF(B13=0,0,VLOOKUP(B13,Datensammler!B:U,17,0))</f>
        <v/>
      </c>
      <c r="R13" s="2" t="str">
        <f>IF(B13=0,0,VLOOKUP(B13,Datensammler!B:U,18,0))</f>
        <v/>
      </c>
      <c r="S13" s="2" t="str">
        <f>IF(B13=0,0,VLOOKUP(B13,Datensammler!B:U,19,0))</f>
        <v/>
      </c>
      <c r="T13" s="2" t="str">
        <f>IF(B13=0,0,VLOOKUP(B13,Datensammler!B:U,20,0))</f>
        <v/>
      </c>
      <c r="U13" s="50">
        <f t="shared" ref="U13:AL13" si="16">C13</f>
        <v>201</v>
      </c>
      <c r="V13" s="50">
        <f t="shared" si="16"/>
        <v>223</v>
      </c>
      <c r="W13" s="50">
        <f t="shared" si="16"/>
        <v>196</v>
      </c>
      <c r="X13" s="50">
        <f t="shared" si="16"/>
        <v>191</v>
      </c>
      <c r="Y13" s="50">
        <f t="shared" si="16"/>
        <v>181</v>
      </c>
      <c r="Z13" s="50">
        <f t="shared" si="16"/>
        <v>208</v>
      </c>
      <c r="AA13" s="50">
        <f t="shared" si="16"/>
        <v>198</v>
      </c>
      <c r="AB13" s="50">
        <f t="shared" si="16"/>
        <v>234</v>
      </c>
      <c r="AC13" s="50">
        <f t="shared" si="16"/>
        <v>170</v>
      </c>
      <c r="AD13" s="50">
        <f t="shared" si="16"/>
        <v>219</v>
      </c>
      <c r="AE13" s="50">
        <f t="shared" si="16"/>
        <v>214</v>
      </c>
      <c r="AF13" s="50">
        <f t="shared" si="16"/>
        <v>206</v>
      </c>
      <c r="AG13" s="50" t="str">
        <f t="shared" si="16"/>
        <v/>
      </c>
      <c r="AH13" s="50" t="str">
        <f t="shared" si="16"/>
        <v/>
      </c>
      <c r="AI13" s="50" t="str">
        <f t="shared" si="16"/>
        <v/>
      </c>
      <c r="AJ13" s="50" t="str">
        <f t="shared" si="16"/>
        <v/>
      </c>
      <c r="AK13" s="50" t="str">
        <f t="shared" si="16"/>
        <v/>
      </c>
      <c r="AL13" s="50" t="str">
        <f t="shared" si="16"/>
        <v/>
      </c>
      <c r="AP13" s="2">
        <f t="shared" si="3"/>
        <v>234</v>
      </c>
      <c r="AQ13" s="2">
        <f>IFERROR(__xludf.DUMMYFUNCTION("IF(V13&gt;0,MIN(FILTER(U13:AL13, U13:AL13&lt;&gt;0)),0)"),170.0)</f>
        <v>170</v>
      </c>
      <c r="AS13" s="2">
        <f t="shared" si="4"/>
        <v>64</v>
      </c>
      <c r="AU13" s="2">
        <f t="shared" si="5"/>
        <v>12</v>
      </c>
      <c r="AW13" s="2">
        <f t="shared" si="6"/>
        <v>223</v>
      </c>
      <c r="AX13" s="2">
        <f>IFERROR(__xludf.DUMMYFUNCTION("IF(X13&gt;0,SMALL(FILTER(U13:AL13, U13:AL13&lt;&gt;0), 2),0)"),181.0)</f>
        <v>181</v>
      </c>
      <c r="AY13" s="2">
        <f t="shared" si="7"/>
        <v>42</v>
      </c>
      <c r="AZ13" s="2">
        <f t="shared" si="8"/>
        <v>219</v>
      </c>
      <c r="BA13" s="2">
        <f>IFERROR(__xludf.DUMMYFUNCTION("IF(Y13&gt;0,SMALL(FILTER(U13:AL13, U13:AL13&lt;&gt;0), 3),0)"),191.0)</f>
        <v>191</v>
      </c>
      <c r="BB13" s="2">
        <f t="shared" si="9"/>
        <v>28</v>
      </c>
    </row>
    <row r="14">
      <c r="A14" s="2">
        <f>Spieler!A15</f>
        <v>10</v>
      </c>
      <c r="B14" s="2">
        <f>VLOOKUP(A14,Spieler!A:F,2,0)</f>
        <v>38876</v>
      </c>
      <c r="C14" s="2">
        <f>IF(B14=0,0,VLOOKUP(B14,Datensammler!B:U,3,0))</f>
        <v>125</v>
      </c>
      <c r="D14" s="2">
        <f>IF(B14=0,0,VLOOKUP(B14,Datensammler!B:U,4,0))</f>
        <v>140</v>
      </c>
      <c r="E14" s="2">
        <f>IF(B14=0,0,VLOOKUP(B14,Datensammler!B:U,5,0))</f>
        <v>157</v>
      </c>
      <c r="F14" s="2">
        <f>IF(B14=0,0,VLOOKUP(B14,Datensammler!B:U,6,0))</f>
        <v>211</v>
      </c>
      <c r="G14" s="2">
        <f>IF(B14=0,0,VLOOKUP(B14,Datensammler!B:U,7,0))</f>
        <v>175</v>
      </c>
      <c r="H14" s="2">
        <f>IF(B14=0,0,VLOOKUP(B14,Datensammler!B:U,8,0))</f>
        <v>116</v>
      </c>
      <c r="I14" s="2">
        <f>IF(B14=0,0,VLOOKUP(B14,Datensammler!B:U,9,0))</f>
        <v>146</v>
      </c>
      <c r="J14" s="2">
        <f>IF(B14=0,0,VLOOKUP(B14,Datensammler!B:U,10,0))</f>
        <v>157</v>
      </c>
      <c r="K14" s="2">
        <f>IF(B14=0,0,VLOOKUP(B14,Datensammler!B:U,11,0))</f>
        <v>138</v>
      </c>
      <c r="L14" s="2">
        <f>IF(B14=0,0,VLOOKUP(B14,Datensammler!B:U,12,0))</f>
        <v>157</v>
      </c>
      <c r="M14" s="2">
        <f>IF(B14=0,0,VLOOKUP(B14,Datensammler!B:U,13,0))</f>
        <v>144</v>
      </c>
      <c r="N14" s="2">
        <f>IF(B14=0,0,VLOOKUP(B14,Datensammler!B:U,14,0))</f>
        <v>157</v>
      </c>
      <c r="O14" s="2" t="str">
        <f>IF(B14=0,0,VLOOKUP(B14,Datensammler!B:U,15,0))</f>
        <v/>
      </c>
      <c r="P14" s="2" t="str">
        <f>IF(B14=0,0,VLOOKUP(B14,Datensammler!B:U,16,0))</f>
        <v/>
      </c>
      <c r="Q14" s="2" t="str">
        <f>IF(B14=0,0,VLOOKUP(B14,Datensammler!B:U,17,0))</f>
        <v/>
      </c>
      <c r="R14" s="2" t="str">
        <f>IF(B14=0,0,VLOOKUP(B14,Datensammler!B:U,18,0))</f>
        <v/>
      </c>
      <c r="S14" s="2" t="str">
        <f>IF(B14=0,0,VLOOKUP(B14,Datensammler!B:U,19,0))</f>
        <v/>
      </c>
      <c r="T14" s="2" t="str">
        <f>IF(B14=0,0,VLOOKUP(B14,Datensammler!B:U,20,0))</f>
        <v/>
      </c>
      <c r="U14" s="50">
        <f t="shared" ref="U14:AL14" si="17">C14</f>
        <v>125</v>
      </c>
      <c r="V14" s="50">
        <f t="shared" si="17"/>
        <v>140</v>
      </c>
      <c r="W14" s="50">
        <f t="shared" si="17"/>
        <v>157</v>
      </c>
      <c r="X14" s="50">
        <f t="shared" si="17"/>
        <v>211</v>
      </c>
      <c r="Y14" s="50">
        <f t="shared" si="17"/>
        <v>175</v>
      </c>
      <c r="Z14" s="50">
        <f t="shared" si="17"/>
        <v>116</v>
      </c>
      <c r="AA14" s="50">
        <f t="shared" si="17"/>
        <v>146</v>
      </c>
      <c r="AB14" s="50">
        <f t="shared" si="17"/>
        <v>157</v>
      </c>
      <c r="AC14" s="50">
        <f t="shared" si="17"/>
        <v>138</v>
      </c>
      <c r="AD14" s="50">
        <f t="shared" si="17"/>
        <v>157</v>
      </c>
      <c r="AE14" s="50">
        <f t="shared" si="17"/>
        <v>144</v>
      </c>
      <c r="AF14" s="50">
        <f t="shared" si="17"/>
        <v>157</v>
      </c>
      <c r="AG14" s="50" t="str">
        <f t="shared" si="17"/>
        <v/>
      </c>
      <c r="AH14" s="50" t="str">
        <f t="shared" si="17"/>
        <v/>
      </c>
      <c r="AI14" s="50" t="str">
        <f t="shared" si="17"/>
        <v/>
      </c>
      <c r="AJ14" s="50" t="str">
        <f t="shared" si="17"/>
        <v/>
      </c>
      <c r="AK14" s="50" t="str">
        <f t="shared" si="17"/>
        <v/>
      </c>
      <c r="AL14" s="50" t="str">
        <f t="shared" si="17"/>
        <v/>
      </c>
      <c r="AP14" s="2">
        <f t="shared" si="3"/>
        <v>211</v>
      </c>
      <c r="AQ14" s="2">
        <f>IFERROR(__xludf.DUMMYFUNCTION("IF(V14&gt;0,MIN(FILTER(U14:AL14, U14:AL14&lt;&gt;0)),0)"),116.0)</f>
        <v>116</v>
      </c>
      <c r="AS14" s="2">
        <f t="shared" si="4"/>
        <v>95</v>
      </c>
      <c r="AU14" s="2">
        <f t="shared" si="5"/>
        <v>12</v>
      </c>
      <c r="AW14" s="2">
        <f t="shared" si="6"/>
        <v>175</v>
      </c>
      <c r="AX14" s="2">
        <f>IFERROR(__xludf.DUMMYFUNCTION("IF(X14&gt;0,SMALL(FILTER(U14:AL14, U14:AL14&lt;&gt;0), 2),0)"),125.0)</f>
        <v>125</v>
      </c>
      <c r="AY14" s="2">
        <f t="shared" si="7"/>
        <v>50</v>
      </c>
      <c r="AZ14" s="2">
        <f t="shared" si="8"/>
        <v>157</v>
      </c>
      <c r="BA14" s="2">
        <f>IFERROR(__xludf.DUMMYFUNCTION("IF(Y14&gt;0,SMALL(FILTER(U14:AL14, U14:AL14&lt;&gt;0), 3),0)"),138.0)</f>
        <v>138</v>
      </c>
      <c r="BB14" s="2">
        <f t="shared" si="9"/>
        <v>19</v>
      </c>
    </row>
    <row r="15">
      <c r="A15" s="2">
        <f>Spieler!A16</f>
        <v>11</v>
      </c>
      <c r="B15" s="2">
        <f>VLOOKUP(A15,Spieler!A:F,2,0)</f>
        <v>38780</v>
      </c>
      <c r="C15" s="2">
        <f>IF(B15=0,0,VLOOKUP(B15,Datensammler!B:U,3,0))</f>
        <v>140</v>
      </c>
      <c r="D15" s="2">
        <f>IF(B15=0,0,VLOOKUP(B15,Datensammler!B:U,4,0))</f>
        <v>165</v>
      </c>
      <c r="E15" s="2">
        <f>IF(B15=0,0,VLOOKUP(B15,Datensammler!B:U,5,0))</f>
        <v>144</v>
      </c>
      <c r="F15" s="2">
        <f>IF(B15=0,0,VLOOKUP(B15,Datensammler!B:U,6,0))</f>
        <v>165</v>
      </c>
      <c r="G15" s="2">
        <f>IF(B15=0,0,VLOOKUP(B15,Datensammler!B:U,7,0))</f>
        <v>136</v>
      </c>
      <c r="H15" s="2">
        <f>IF(B15=0,0,VLOOKUP(B15,Datensammler!B:U,8,0))</f>
        <v>145</v>
      </c>
      <c r="I15" s="2">
        <f>IF(B15=0,0,VLOOKUP(B15,Datensammler!B:U,9,0))</f>
        <v>166</v>
      </c>
      <c r="J15" s="2">
        <f>IF(B15=0,0,VLOOKUP(B15,Datensammler!B:U,10,0))</f>
        <v>174</v>
      </c>
      <c r="K15" s="2">
        <f>IF(B15=0,0,VLOOKUP(B15,Datensammler!B:U,11,0))</f>
        <v>147</v>
      </c>
      <c r="L15" s="2">
        <f>IF(B15=0,0,VLOOKUP(B15,Datensammler!B:U,12,0))</f>
        <v>126</v>
      </c>
      <c r="M15" s="2">
        <f>IF(B15=0,0,VLOOKUP(B15,Datensammler!B:U,13,0))</f>
        <v>153</v>
      </c>
      <c r="N15" s="2">
        <f>IF(B15=0,0,VLOOKUP(B15,Datensammler!B:U,14,0))</f>
        <v>138</v>
      </c>
      <c r="O15" s="2" t="str">
        <f>IF(B15=0,0,VLOOKUP(B15,Datensammler!B:U,15,0))</f>
        <v/>
      </c>
      <c r="P15" s="2" t="str">
        <f>IF(B15=0,0,VLOOKUP(B15,Datensammler!B:U,16,0))</f>
        <v/>
      </c>
      <c r="Q15" s="2" t="str">
        <f>IF(B15=0,0,VLOOKUP(B15,Datensammler!B:U,17,0))</f>
        <v/>
      </c>
      <c r="R15" s="2" t="str">
        <f>IF(B15=0,0,VLOOKUP(B15,Datensammler!B:U,18,0))</f>
        <v/>
      </c>
      <c r="S15" s="2" t="str">
        <f>IF(B15=0,0,VLOOKUP(B15,Datensammler!B:U,19,0))</f>
        <v/>
      </c>
      <c r="T15" s="2" t="str">
        <f>IF(B15=0,0,VLOOKUP(B15,Datensammler!B:U,20,0))</f>
        <v/>
      </c>
      <c r="U15" s="50">
        <f t="shared" ref="U15:AL15" si="18">C15</f>
        <v>140</v>
      </c>
      <c r="V15" s="50">
        <f t="shared" si="18"/>
        <v>165</v>
      </c>
      <c r="W15" s="50">
        <f t="shared" si="18"/>
        <v>144</v>
      </c>
      <c r="X15" s="50">
        <f t="shared" si="18"/>
        <v>165</v>
      </c>
      <c r="Y15" s="50">
        <f t="shared" si="18"/>
        <v>136</v>
      </c>
      <c r="Z15" s="50">
        <f t="shared" si="18"/>
        <v>145</v>
      </c>
      <c r="AA15" s="50">
        <f t="shared" si="18"/>
        <v>166</v>
      </c>
      <c r="AB15" s="50">
        <f t="shared" si="18"/>
        <v>174</v>
      </c>
      <c r="AC15" s="50">
        <f t="shared" si="18"/>
        <v>147</v>
      </c>
      <c r="AD15" s="50">
        <f t="shared" si="18"/>
        <v>126</v>
      </c>
      <c r="AE15" s="50">
        <f t="shared" si="18"/>
        <v>153</v>
      </c>
      <c r="AF15" s="50">
        <f t="shared" si="18"/>
        <v>138</v>
      </c>
      <c r="AG15" s="50" t="str">
        <f t="shared" si="18"/>
        <v/>
      </c>
      <c r="AH15" s="50" t="str">
        <f t="shared" si="18"/>
        <v/>
      </c>
      <c r="AI15" s="50" t="str">
        <f t="shared" si="18"/>
        <v/>
      </c>
      <c r="AJ15" s="50" t="str">
        <f t="shared" si="18"/>
        <v/>
      </c>
      <c r="AK15" s="50" t="str">
        <f t="shared" si="18"/>
        <v/>
      </c>
      <c r="AL15" s="50" t="str">
        <f t="shared" si="18"/>
        <v/>
      </c>
      <c r="AP15" s="2">
        <f t="shared" si="3"/>
        <v>174</v>
      </c>
      <c r="AQ15" s="2">
        <f>IFERROR(__xludf.DUMMYFUNCTION("IF(V15&gt;0,MIN(FILTER(U15:AL15, U15:AL15&lt;&gt;0)),0)"),126.0)</f>
        <v>126</v>
      </c>
      <c r="AS15" s="2">
        <f t="shared" si="4"/>
        <v>48</v>
      </c>
      <c r="AU15" s="2">
        <f t="shared" si="5"/>
        <v>12</v>
      </c>
      <c r="AW15" s="2">
        <f t="shared" si="6"/>
        <v>166</v>
      </c>
      <c r="AX15" s="2">
        <f>IFERROR(__xludf.DUMMYFUNCTION("IF(X15&gt;0,SMALL(FILTER(U15:AL15, U15:AL15&lt;&gt;0), 2),0)"),136.0)</f>
        <v>136</v>
      </c>
      <c r="AY15" s="2">
        <f t="shared" si="7"/>
        <v>30</v>
      </c>
      <c r="AZ15" s="2">
        <f t="shared" si="8"/>
        <v>165</v>
      </c>
      <c r="BA15" s="2">
        <f>IFERROR(__xludf.DUMMYFUNCTION("IF(Y15&gt;0,SMALL(FILTER(U15:AL15, U15:AL15&lt;&gt;0), 3),0)"),138.0)</f>
        <v>138</v>
      </c>
      <c r="BB15" s="2">
        <f t="shared" si="9"/>
        <v>27</v>
      </c>
    </row>
    <row r="16">
      <c r="A16" s="2">
        <f>Spieler!A17</f>
        <v>12</v>
      </c>
      <c r="B16" s="2">
        <f>VLOOKUP(A16,Spieler!A:F,2,0)</f>
        <v>38789</v>
      </c>
      <c r="C16" s="2">
        <f>IF(B16=0,0,VLOOKUP(B16,Datensammler!B:U,3,0))</f>
        <v>118</v>
      </c>
      <c r="D16" s="2">
        <f>IF(B16=0,0,VLOOKUP(B16,Datensammler!B:U,4,0))</f>
        <v>144</v>
      </c>
      <c r="E16" s="2">
        <f>IF(B16=0,0,VLOOKUP(B16,Datensammler!B:U,5,0))</f>
        <v>128</v>
      </c>
      <c r="F16" s="2">
        <f>IF(B16=0,0,VLOOKUP(B16,Datensammler!B:U,6,0))</f>
        <v>102</v>
      </c>
      <c r="G16" s="2">
        <f>IF(B16=0,0,VLOOKUP(B16,Datensammler!B:U,7,0))</f>
        <v>112</v>
      </c>
      <c r="H16" s="2">
        <f>IF(B16=0,0,VLOOKUP(B16,Datensammler!B:U,8,0))</f>
        <v>172</v>
      </c>
      <c r="I16" s="2">
        <f>IF(B16=0,0,VLOOKUP(B16,Datensammler!B:U,9,0))</f>
        <v>135</v>
      </c>
      <c r="J16" s="2">
        <f>IF(B16=0,0,VLOOKUP(B16,Datensammler!B:U,10,0))</f>
        <v>141</v>
      </c>
      <c r="K16" s="2">
        <f>IF(B16=0,0,VLOOKUP(B16,Datensammler!B:U,11,0))</f>
        <v>118</v>
      </c>
      <c r="L16" s="2">
        <f>IF(B16=0,0,VLOOKUP(B16,Datensammler!B:U,12,0))</f>
        <v>119</v>
      </c>
      <c r="M16" s="2">
        <f>IF(B16=0,0,VLOOKUP(B16,Datensammler!B:U,13,0))</f>
        <v>158</v>
      </c>
      <c r="N16" s="2">
        <f>IF(B16=0,0,VLOOKUP(B16,Datensammler!B:U,14,0))</f>
        <v>127</v>
      </c>
      <c r="O16" s="2" t="str">
        <f>IF(B16=0,0,VLOOKUP(B16,Datensammler!B:U,15,0))</f>
        <v/>
      </c>
      <c r="P16" s="2" t="str">
        <f>IF(B16=0,0,VLOOKUP(B16,Datensammler!B:U,16,0))</f>
        <v/>
      </c>
      <c r="Q16" s="2" t="str">
        <f>IF(B16=0,0,VLOOKUP(B16,Datensammler!B:U,17,0))</f>
        <v/>
      </c>
      <c r="R16" s="2" t="str">
        <f>IF(B16=0,0,VLOOKUP(B16,Datensammler!B:U,18,0))</f>
        <v/>
      </c>
      <c r="S16" s="2" t="str">
        <f>IF(B16=0,0,VLOOKUP(B16,Datensammler!B:U,19,0))</f>
        <v/>
      </c>
      <c r="T16" s="2" t="str">
        <f>IF(B16=0,0,VLOOKUP(B16,Datensammler!B:U,20,0))</f>
        <v/>
      </c>
      <c r="U16" s="50">
        <f t="shared" ref="U16:AL16" si="19">C16</f>
        <v>118</v>
      </c>
      <c r="V16" s="50">
        <f t="shared" si="19"/>
        <v>144</v>
      </c>
      <c r="W16" s="50">
        <f t="shared" si="19"/>
        <v>128</v>
      </c>
      <c r="X16" s="50">
        <f t="shared" si="19"/>
        <v>102</v>
      </c>
      <c r="Y16" s="50">
        <f t="shared" si="19"/>
        <v>112</v>
      </c>
      <c r="Z16" s="50">
        <f t="shared" si="19"/>
        <v>172</v>
      </c>
      <c r="AA16" s="50">
        <f t="shared" si="19"/>
        <v>135</v>
      </c>
      <c r="AB16" s="50">
        <f t="shared" si="19"/>
        <v>141</v>
      </c>
      <c r="AC16" s="50">
        <f t="shared" si="19"/>
        <v>118</v>
      </c>
      <c r="AD16" s="50">
        <f t="shared" si="19"/>
        <v>119</v>
      </c>
      <c r="AE16" s="50">
        <f t="shared" si="19"/>
        <v>158</v>
      </c>
      <c r="AF16" s="50">
        <f t="shared" si="19"/>
        <v>127</v>
      </c>
      <c r="AG16" s="50" t="str">
        <f t="shared" si="19"/>
        <v/>
      </c>
      <c r="AH16" s="50" t="str">
        <f t="shared" si="19"/>
        <v/>
      </c>
      <c r="AI16" s="50" t="str">
        <f t="shared" si="19"/>
        <v/>
      </c>
      <c r="AJ16" s="50" t="str">
        <f t="shared" si="19"/>
        <v/>
      </c>
      <c r="AK16" s="50" t="str">
        <f t="shared" si="19"/>
        <v/>
      </c>
      <c r="AL16" s="50" t="str">
        <f t="shared" si="19"/>
        <v/>
      </c>
      <c r="AP16" s="2">
        <f t="shared" si="3"/>
        <v>172</v>
      </c>
      <c r="AQ16" s="2">
        <f>IFERROR(__xludf.DUMMYFUNCTION("IF(V16&gt;0,MIN(FILTER(U16:AL16, U16:AL16&lt;&gt;0)),0)"),102.0)</f>
        <v>102</v>
      </c>
      <c r="AS16" s="2">
        <f t="shared" si="4"/>
        <v>70</v>
      </c>
      <c r="AU16" s="2">
        <f t="shared" si="5"/>
        <v>12</v>
      </c>
      <c r="AW16" s="2">
        <f t="shared" si="6"/>
        <v>158</v>
      </c>
      <c r="AX16" s="2">
        <f>IFERROR(__xludf.DUMMYFUNCTION("IF(X16&gt;0,SMALL(FILTER(U16:AL16, U16:AL16&lt;&gt;0), 2),0)"),112.0)</f>
        <v>112</v>
      </c>
      <c r="AY16" s="2">
        <f t="shared" si="7"/>
        <v>46</v>
      </c>
      <c r="AZ16" s="2">
        <f t="shared" si="8"/>
        <v>144</v>
      </c>
      <c r="BA16" s="2">
        <f>IFERROR(__xludf.DUMMYFUNCTION("IF(Y16&gt;0,SMALL(FILTER(U16:AL16, U16:AL16&lt;&gt;0), 3),0)"),118.0)</f>
        <v>118</v>
      </c>
      <c r="BB16" s="2">
        <f t="shared" si="9"/>
        <v>26</v>
      </c>
    </row>
    <row r="17">
      <c r="A17" s="2">
        <f>Spieler!A18</f>
        <v>13</v>
      </c>
      <c r="B17" s="2">
        <f>VLOOKUP(A17,Spieler!A:F,2,0)</f>
        <v>38173</v>
      </c>
      <c r="C17" s="2">
        <f>IF(B17=0,0,VLOOKUP(B17,Datensammler!B:U,3,0))</f>
        <v>175</v>
      </c>
      <c r="D17" s="2">
        <f>IF(B17=0,0,VLOOKUP(B17,Datensammler!B:U,4,0))</f>
        <v>147</v>
      </c>
      <c r="E17" s="2">
        <f>IF(B17=0,0,VLOOKUP(B17,Datensammler!B:U,5,0))</f>
        <v>132</v>
      </c>
      <c r="F17" s="2">
        <f>IF(B17=0,0,VLOOKUP(B17,Datensammler!B:U,6,0))</f>
        <v>136</v>
      </c>
      <c r="G17" s="2">
        <f>IF(B17=0,0,VLOOKUP(B17,Datensammler!B:U,7,0))</f>
        <v>144</v>
      </c>
      <c r="H17" s="2">
        <f>IF(B17=0,0,VLOOKUP(B17,Datensammler!B:U,8,0))</f>
        <v>133</v>
      </c>
      <c r="I17" s="2">
        <f>IF(B17=0,0,VLOOKUP(B17,Datensammler!B:U,9,0))</f>
        <v>159</v>
      </c>
      <c r="J17" s="2">
        <f>IF(B17=0,0,VLOOKUP(B17,Datensammler!B:U,10,0))</f>
        <v>168</v>
      </c>
      <c r="K17" s="2">
        <f>IF(B17=0,0,VLOOKUP(B17,Datensammler!B:U,11,0))</f>
        <v>160</v>
      </c>
      <c r="L17" s="2">
        <f>IF(B17=0,0,VLOOKUP(B17,Datensammler!B:U,12,0))</f>
        <v>136</v>
      </c>
      <c r="M17" s="2">
        <f>IF(B17=0,0,VLOOKUP(B17,Datensammler!B:U,13,0))</f>
        <v>139</v>
      </c>
      <c r="N17" s="2">
        <f>IF(B17=0,0,VLOOKUP(B17,Datensammler!B:U,14,0))</f>
        <v>155</v>
      </c>
      <c r="O17" s="2" t="str">
        <f>IF(B17=0,0,VLOOKUP(B17,Datensammler!B:U,15,0))</f>
        <v/>
      </c>
      <c r="P17" s="2" t="str">
        <f>IF(B17=0,0,VLOOKUP(B17,Datensammler!B:U,16,0))</f>
        <v/>
      </c>
      <c r="Q17" s="2" t="str">
        <f>IF(B17=0,0,VLOOKUP(B17,Datensammler!B:U,17,0))</f>
        <v/>
      </c>
      <c r="R17" s="2" t="str">
        <f>IF(B17=0,0,VLOOKUP(B17,Datensammler!B:U,18,0))</f>
        <v/>
      </c>
      <c r="S17" s="2" t="str">
        <f>IF(B17=0,0,VLOOKUP(B17,Datensammler!B:U,19,0))</f>
        <v/>
      </c>
      <c r="T17" s="2" t="str">
        <f>IF(B17=0,0,VLOOKUP(B17,Datensammler!B:U,20,0))</f>
        <v/>
      </c>
      <c r="U17" s="50">
        <f t="shared" ref="U17:AL17" si="20">C17</f>
        <v>175</v>
      </c>
      <c r="V17" s="50">
        <f t="shared" si="20"/>
        <v>147</v>
      </c>
      <c r="W17" s="50">
        <f t="shared" si="20"/>
        <v>132</v>
      </c>
      <c r="X17" s="50">
        <f t="shared" si="20"/>
        <v>136</v>
      </c>
      <c r="Y17" s="50">
        <f t="shared" si="20"/>
        <v>144</v>
      </c>
      <c r="Z17" s="50">
        <f t="shared" si="20"/>
        <v>133</v>
      </c>
      <c r="AA17" s="50">
        <f t="shared" si="20"/>
        <v>159</v>
      </c>
      <c r="AB17" s="50">
        <f t="shared" si="20"/>
        <v>168</v>
      </c>
      <c r="AC17" s="50">
        <f t="shared" si="20"/>
        <v>160</v>
      </c>
      <c r="AD17" s="50">
        <f t="shared" si="20"/>
        <v>136</v>
      </c>
      <c r="AE17" s="50">
        <f t="shared" si="20"/>
        <v>139</v>
      </c>
      <c r="AF17" s="50">
        <f t="shared" si="20"/>
        <v>155</v>
      </c>
      <c r="AG17" s="50" t="str">
        <f t="shared" si="20"/>
        <v/>
      </c>
      <c r="AH17" s="50" t="str">
        <f t="shared" si="20"/>
        <v/>
      </c>
      <c r="AI17" s="50" t="str">
        <f t="shared" si="20"/>
        <v/>
      </c>
      <c r="AJ17" s="50" t="str">
        <f t="shared" si="20"/>
        <v/>
      </c>
      <c r="AK17" s="50" t="str">
        <f t="shared" si="20"/>
        <v/>
      </c>
      <c r="AL17" s="50" t="str">
        <f t="shared" si="20"/>
        <v/>
      </c>
      <c r="AP17" s="2">
        <f t="shared" si="3"/>
        <v>175</v>
      </c>
      <c r="AQ17" s="2">
        <f>IFERROR(__xludf.DUMMYFUNCTION("IF(V17&gt;0,MIN(FILTER(U17:AL17, U17:AL17&lt;&gt;0)),0)"),132.0)</f>
        <v>132</v>
      </c>
      <c r="AS17" s="2">
        <f t="shared" si="4"/>
        <v>43</v>
      </c>
      <c r="AU17" s="2">
        <f t="shared" si="5"/>
        <v>12</v>
      </c>
      <c r="AW17" s="2">
        <f t="shared" si="6"/>
        <v>168</v>
      </c>
      <c r="AX17" s="2">
        <f>IFERROR(__xludf.DUMMYFUNCTION("IF(X17&gt;0,SMALL(FILTER(U17:AL17, U17:AL17&lt;&gt;0), 2),0)"),133.0)</f>
        <v>133</v>
      </c>
      <c r="AY17" s="2">
        <f t="shared" si="7"/>
        <v>35</v>
      </c>
      <c r="AZ17" s="2">
        <f t="shared" si="8"/>
        <v>160</v>
      </c>
      <c r="BA17" s="2">
        <f>IFERROR(__xludf.DUMMYFUNCTION("IF(Y17&gt;0,SMALL(FILTER(U17:AL17, U17:AL17&lt;&gt;0), 3),0)"),136.0)</f>
        <v>136</v>
      </c>
      <c r="BB17" s="2">
        <f t="shared" si="9"/>
        <v>24</v>
      </c>
    </row>
    <row r="18">
      <c r="A18" s="2">
        <f>Spieler!A19</f>
        <v>14</v>
      </c>
      <c r="B18" s="2">
        <f>VLOOKUP(A18,Spieler!A:F,2,0)</f>
        <v>36696</v>
      </c>
      <c r="C18" s="2">
        <f>IF(B18=0,0,VLOOKUP(B18,Datensammler!B:U,3,0))</f>
        <v>169</v>
      </c>
      <c r="D18" s="2">
        <f>IF(B18=0,0,VLOOKUP(B18,Datensammler!B:U,4,0))</f>
        <v>227</v>
      </c>
      <c r="E18" s="2">
        <f>IF(B18=0,0,VLOOKUP(B18,Datensammler!B:U,5,0))</f>
        <v>202</v>
      </c>
      <c r="F18" s="2">
        <f>IF(B18=0,0,VLOOKUP(B18,Datensammler!B:U,6,0))</f>
        <v>245</v>
      </c>
      <c r="G18" s="2">
        <f>IF(B18=0,0,VLOOKUP(B18,Datensammler!B:U,7,0))</f>
        <v>255</v>
      </c>
      <c r="H18" s="2">
        <f>IF(B18=0,0,VLOOKUP(B18,Datensammler!B:U,8,0))</f>
        <v>178</v>
      </c>
      <c r="I18" s="2">
        <f>IF(B18=0,0,VLOOKUP(B18,Datensammler!B:U,9,0))</f>
        <v>182</v>
      </c>
      <c r="J18" s="2">
        <f>IF(B18=0,0,VLOOKUP(B18,Datensammler!B:U,10,0))</f>
        <v>164</v>
      </c>
      <c r="K18" s="2">
        <f>IF(B18=0,0,VLOOKUP(B18,Datensammler!B:U,11,0))</f>
        <v>191</v>
      </c>
      <c r="L18" s="2">
        <f>IF(B18=0,0,VLOOKUP(B18,Datensammler!B:U,12,0))</f>
        <v>170</v>
      </c>
      <c r="M18" s="2">
        <f>IF(B18=0,0,VLOOKUP(B18,Datensammler!B:U,13,0))</f>
        <v>198</v>
      </c>
      <c r="N18" s="2">
        <f>IF(B18=0,0,VLOOKUP(B18,Datensammler!B:U,14,0))</f>
        <v>165</v>
      </c>
      <c r="O18" s="2" t="str">
        <f>IF(B18=0,0,VLOOKUP(B18,Datensammler!B:U,15,0))</f>
        <v/>
      </c>
      <c r="P18" s="2" t="str">
        <f>IF(B18=0,0,VLOOKUP(B18,Datensammler!B:U,16,0))</f>
        <v/>
      </c>
      <c r="Q18" s="2" t="str">
        <f>IF(B18=0,0,VLOOKUP(B18,Datensammler!B:U,17,0))</f>
        <v/>
      </c>
      <c r="R18" s="2" t="str">
        <f>IF(B18=0,0,VLOOKUP(B18,Datensammler!B:U,18,0))</f>
        <v/>
      </c>
      <c r="S18" s="2" t="str">
        <f>IF(B18=0,0,VLOOKUP(B18,Datensammler!B:U,19,0))</f>
        <v/>
      </c>
      <c r="T18" s="2" t="str">
        <f>IF(B18=0,0,VLOOKUP(B18,Datensammler!B:U,20,0))</f>
        <v/>
      </c>
      <c r="U18" s="50">
        <f t="shared" ref="U18:AL18" si="21">C18</f>
        <v>169</v>
      </c>
      <c r="V18" s="50">
        <f t="shared" si="21"/>
        <v>227</v>
      </c>
      <c r="W18" s="50">
        <f t="shared" si="21"/>
        <v>202</v>
      </c>
      <c r="X18" s="50">
        <f t="shared" si="21"/>
        <v>245</v>
      </c>
      <c r="Y18" s="50">
        <f t="shared" si="21"/>
        <v>255</v>
      </c>
      <c r="Z18" s="50">
        <f t="shared" si="21"/>
        <v>178</v>
      </c>
      <c r="AA18" s="50">
        <f t="shared" si="21"/>
        <v>182</v>
      </c>
      <c r="AB18" s="50">
        <f t="shared" si="21"/>
        <v>164</v>
      </c>
      <c r="AC18" s="50">
        <f t="shared" si="21"/>
        <v>191</v>
      </c>
      <c r="AD18" s="50">
        <f t="shared" si="21"/>
        <v>170</v>
      </c>
      <c r="AE18" s="50">
        <f t="shared" si="21"/>
        <v>198</v>
      </c>
      <c r="AF18" s="50">
        <f t="shared" si="21"/>
        <v>165</v>
      </c>
      <c r="AG18" s="50" t="str">
        <f t="shared" si="21"/>
        <v/>
      </c>
      <c r="AH18" s="50" t="str">
        <f t="shared" si="21"/>
        <v/>
      </c>
      <c r="AI18" s="50" t="str">
        <f t="shared" si="21"/>
        <v/>
      </c>
      <c r="AJ18" s="50" t="str">
        <f t="shared" si="21"/>
        <v/>
      </c>
      <c r="AK18" s="50" t="str">
        <f t="shared" si="21"/>
        <v/>
      </c>
      <c r="AL18" s="50" t="str">
        <f t="shared" si="21"/>
        <v/>
      </c>
      <c r="AP18" s="2">
        <f t="shared" si="3"/>
        <v>255</v>
      </c>
      <c r="AQ18" s="2">
        <f>IFERROR(__xludf.DUMMYFUNCTION("IF(V18&gt;0,MIN(FILTER(U18:AL18, U18:AL18&lt;&gt;0)),0)"),164.0)</f>
        <v>164</v>
      </c>
      <c r="AS18" s="2">
        <f t="shared" si="4"/>
        <v>91</v>
      </c>
      <c r="AU18" s="2">
        <f t="shared" si="5"/>
        <v>12</v>
      </c>
      <c r="AW18" s="2">
        <f t="shared" si="6"/>
        <v>245</v>
      </c>
      <c r="AX18" s="2">
        <f>IFERROR(__xludf.DUMMYFUNCTION("IF(X18&gt;0,SMALL(FILTER(U18:AL18, U18:AL18&lt;&gt;0), 2),0)"),165.0)</f>
        <v>165</v>
      </c>
      <c r="AY18" s="2">
        <f t="shared" si="7"/>
        <v>80</v>
      </c>
      <c r="AZ18" s="2">
        <f t="shared" si="8"/>
        <v>227</v>
      </c>
      <c r="BA18" s="2">
        <f>IFERROR(__xludf.DUMMYFUNCTION("IF(Y18&gt;0,SMALL(FILTER(U18:AL18, U18:AL18&lt;&gt;0), 3),0)"),169.0)</f>
        <v>169</v>
      </c>
      <c r="BB18" s="2">
        <f t="shared" si="9"/>
        <v>58</v>
      </c>
    </row>
    <row r="19">
      <c r="A19" s="2">
        <f>Spieler!A20</f>
        <v>15</v>
      </c>
      <c r="B19" s="2">
        <f>VLOOKUP(A19,Spieler!A:F,2,0)</f>
        <v>7083</v>
      </c>
      <c r="C19" s="2">
        <f>IF(B19=0,0,VLOOKUP(B19,Datensammler!B:U,3,0))</f>
        <v>215</v>
      </c>
      <c r="D19" s="2">
        <f>IF(B19=0,0,VLOOKUP(B19,Datensammler!B:U,4,0))</f>
        <v>134</v>
      </c>
      <c r="E19" s="2">
        <f>IF(B19=0,0,VLOOKUP(B19,Datensammler!B:U,5,0))</f>
        <v>182</v>
      </c>
      <c r="F19" s="2">
        <f>IF(B19=0,0,VLOOKUP(B19,Datensammler!B:U,6,0))</f>
        <v>247</v>
      </c>
      <c r="G19" s="2">
        <f>IF(B19=0,0,VLOOKUP(B19,Datensammler!B:U,7,0))</f>
        <v>149</v>
      </c>
      <c r="H19" s="2">
        <f>IF(B19=0,0,VLOOKUP(B19,Datensammler!B:U,8,0))</f>
        <v>226</v>
      </c>
      <c r="I19" s="2">
        <f>IF(B19=0,0,VLOOKUP(B19,Datensammler!B:U,9,0))</f>
        <v>200</v>
      </c>
      <c r="J19" s="2">
        <f>IF(B19=0,0,VLOOKUP(B19,Datensammler!B:U,10,0))</f>
        <v>200</v>
      </c>
      <c r="K19" s="2">
        <f>IF(B19=0,0,VLOOKUP(B19,Datensammler!B:U,11,0))</f>
        <v>203</v>
      </c>
      <c r="L19" s="2">
        <f>IF(B19=0,0,VLOOKUP(B19,Datensammler!B:U,12,0))</f>
        <v>166</v>
      </c>
      <c r="M19" s="2">
        <f>IF(B19=0,0,VLOOKUP(B19,Datensammler!B:U,13,0))</f>
        <v>197</v>
      </c>
      <c r="N19" s="2">
        <f>IF(B19=0,0,VLOOKUP(B19,Datensammler!B:U,14,0))</f>
        <v>150</v>
      </c>
      <c r="O19" s="2" t="str">
        <f>IF(B19=0,0,VLOOKUP(B19,Datensammler!B:U,15,0))</f>
        <v/>
      </c>
      <c r="P19" s="2" t="str">
        <f>IF(B19=0,0,VLOOKUP(B19,Datensammler!B:U,16,0))</f>
        <v/>
      </c>
      <c r="Q19" s="2" t="str">
        <f>IF(B19=0,0,VLOOKUP(B19,Datensammler!B:U,17,0))</f>
        <v/>
      </c>
      <c r="R19" s="2" t="str">
        <f>IF(B19=0,0,VLOOKUP(B19,Datensammler!B:U,18,0))</f>
        <v/>
      </c>
      <c r="S19" s="2" t="str">
        <f>IF(B19=0,0,VLOOKUP(B19,Datensammler!B:U,19,0))</f>
        <v/>
      </c>
      <c r="T19" s="2" t="str">
        <f>IF(B19=0,0,VLOOKUP(B19,Datensammler!B:U,20,0))</f>
        <v/>
      </c>
      <c r="U19" s="50">
        <f t="shared" ref="U19:AL19" si="22">C19</f>
        <v>215</v>
      </c>
      <c r="V19" s="50">
        <f t="shared" si="22"/>
        <v>134</v>
      </c>
      <c r="W19" s="50">
        <f t="shared" si="22"/>
        <v>182</v>
      </c>
      <c r="X19" s="50">
        <f t="shared" si="22"/>
        <v>247</v>
      </c>
      <c r="Y19" s="50">
        <f t="shared" si="22"/>
        <v>149</v>
      </c>
      <c r="Z19" s="50">
        <f t="shared" si="22"/>
        <v>226</v>
      </c>
      <c r="AA19" s="50">
        <f t="shared" si="22"/>
        <v>200</v>
      </c>
      <c r="AB19" s="50">
        <f t="shared" si="22"/>
        <v>200</v>
      </c>
      <c r="AC19" s="50">
        <f t="shared" si="22"/>
        <v>203</v>
      </c>
      <c r="AD19" s="50">
        <f t="shared" si="22"/>
        <v>166</v>
      </c>
      <c r="AE19" s="50">
        <f t="shared" si="22"/>
        <v>197</v>
      </c>
      <c r="AF19" s="50">
        <f t="shared" si="22"/>
        <v>150</v>
      </c>
      <c r="AG19" s="50" t="str">
        <f t="shared" si="22"/>
        <v/>
      </c>
      <c r="AH19" s="50" t="str">
        <f t="shared" si="22"/>
        <v/>
      </c>
      <c r="AI19" s="50" t="str">
        <f t="shared" si="22"/>
        <v/>
      </c>
      <c r="AJ19" s="50" t="str">
        <f t="shared" si="22"/>
        <v/>
      </c>
      <c r="AK19" s="50" t="str">
        <f t="shared" si="22"/>
        <v/>
      </c>
      <c r="AL19" s="50" t="str">
        <f t="shared" si="22"/>
        <v/>
      </c>
      <c r="AP19" s="2">
        <f t="shared" si="3"/>
        <v>247</v>
      </c>
      <c r="AQ19" s="2">
        <f>IFERROR(__xludf.DUMMYFUNCTION("IF(V19&gt;0,MIN(FILTER(U19:AL19, U19:AL19&lt;&gt;0)),0)"),134.0)</f>
        <v>134</v>
      </c>
      <c r="AS19" s="2">
        <f t="shared" si="4"/>
        <v>113</v>
      </c>
      <c r="AU19" s="2">
        <f t="shared" si="5"/>
        <v>12</v>
      </c>
      <c r="AW19" s="2">
        <f t="shared" si="6"/>
        <v>226</v>
      </c>
      <c r="AX19" s="2">
        <f>IFERROR(__xludf.DUMMYFUNCTION("IF(X19&gt;0,SMALL(FILTER(U19:AL19, U19:AL19&lt;&gt;0), 2),0)"),149.0)</f>
        <v>149</v>
      </c>
      <c r="AY19" s="2">
        <f t="shared" si="7"/>
        <v>77</v>
      </c>
      <c r="AZ19" s="2">
        <f t="shared" si="8"/>
        <v>215</v>
      </c>
      <c r="BA19" s="2">
        <f>IFERROR(__xludf.DUMMYFUNCTION("IF(Y19&gt;0,SMALL(FILTER(U19:AL19, U19:AL19&lt;&gt;0), 3),0)"),150.0)</f>
        <v>150</v>
      </c>
      <c r="BB19" s="2">
        <f t="shared" si="9"/>
        <v>65</v>
      </c>
    </row>
    <row r="20">
      <c r="A20" s="2">
        <f>Spieler!A21</f>
        <v>16</v>
      </c>
      <c r="B20" s="2">
        <f>VLOOKUP(A20,Spieler!A:F,2,0)</f>
        <v>38555</v>
      </c>
      <c r="C20" s="2">
        <f>IF(B20=0,0,VLOOKUP(B20,Datensammler!B:U,3,0))</f>
        <v>170</v>
      </c>
      <c r="D20" s="2">
        <f>IF(B20=0,0,VLOOKUP(B20,Datensammler!B:U,4,0))</f>
        <v>146</v>
      </c>
      <c r="E20" s="2">
        <f>IF(B20=0,0,VLOOKUP(B20,Datensammler!B:U,5,0))</f>
        <v>151</v>
      </c>
      <c r="F20" s="2">
        <f>IF(B20=0,0,VLOOKUP(B20,Datensammler!B:U,6,0))</f>
        <v>139</v>
      </c>
      <c r="G20" s="2">
        <f>IF(B20=0,0,VLOOKUP(B20,Datensammler!B:U,7,0))</f>
        <v>132</v>
      </c>
      <c r="H20" s="2">
        <f>IF(B20=0,0,VLOOKUP(B20,Datensammler!B:U,8,0))</f>
        <v>125</v>
      </c>
      <c r="I20" s="2">
        <f>IF(B20=0,0,VLOOKUP(B20,Datensammler!B:U,9,0))</f>
        <v>160</v>
      </c>
      <c r="J20" s="2">
        <f>IF(B20=0,0,VLOOKUP(B20,Datensammler!B:U,10,0))</f>
        <v>178</v>
      </c>
      <c r="K20" s="2">
        <f>IF(B20=0,0,VLOOKUP(B20,Datensammler!B:U,11,0))</f>
        <v>145</v>
      </c>
      <c r="L20" s="2">
        <f>IF(B20=0,0,VLOOKUP(B20,Datensammler!B:U,12,0))</f>
        <v>170</v>
      </c>
      <c r="M20" s="2">
        <f>IF(B20=0,0,VLOOKUP(B20,Datensammler!B:U,13,0))</f>
        <v>166</v>
      </c>
      <c r="N20" s="2">
        <f>IF(B20=0,0,VLOOKUP(B20,Datensammler!B:U,14,0))</f>
        <v>168</v>
      </c>
      <c r="O20" s="2" t="str">
        <f>IF(B20=0,0,VLOOKUP(B20,Datensammler!B:U,15,0))</f>
        <v/>
      </c>
      <c r="P20" s="2" t="str">
        <f>IF(B20=0,0,VLOOKUP(B20,Datensammler!B:U,16,0))</f>
        <v/>
      </c>
      <c r="Q20" s="2" t="str">
        <f>IF(B20=0,0,VLOOKUP(B20,Datensammler!B:U,17,0))</f>
        <v/>
      </c>
      <c r="R20" s="2" t="str">
        <f>IF(B20=0,0,VLOOKUP(B20,Datensammler!B:U,18,0))</f>
        <v/>
      </c>
      <c r="S20" s="2" t="str">
        <f>IF(B20=0,0,VLOOKUP(B20,Datensammler!B:U,19,0))</f>
        <v/>
      </c>
      <c r="T20" s="2" t="str">
        <f>IF(B20=0,0,VLOOKUP(B20,Datensammler!B:U,20,0))</f>
        <v/>
      </c>
      <c r="U20" s="50">
        <f t="shared" ref="U20:AL20" si="23">C20</f>
        <v>170</v>
      </c>
      <c r="V20" s="50">
        <f t="shared" si="23"/>
        <v>146</v>
      </c>
      <c r="W20" s="50">
        <f t="shared" si="23"/>
        <v>151</v>
      </c>
      <c r="X20" s="50">
        <f t="shared" si="23"/>
        <v>139</v>
      </c>
      <c r="Y20" s="50">
        <f t="shared" si="23"/>
        <v>132</v>
      </c>
      <c r="Z20" s="50">
        <f t="shared" si="23"/>
        <v>125</v>
      </c>
      <c r="AA20" s="50">
        <f t="shared" si="23"/>
        <v>160</v>
      </c>
      <c r="AB20" s="50">
        <f t="shared" si="23"/>
        <v>178</v>
      </c>
      <c r="AC20" s="50">
        <f t="shared" si="23"/>
        <v>145</v>
      </c>
      <c r="AD20" s="50">
        <f t="shared" si="23"/>
        <v>170</v>
      </c>
      <c r="AE20" s="50">
        <f t="shared" si="23"/>
        <v>166</v>
      </c>
      <c r="AF20" s="50">
        <f t="shared" si="23"/>
        <v>168</v>
      </c>
      <c r="AG20" s="50" t="str">
        <f t="shared" si="23"/>
        <v/>
      </c>
      <c r="AH20" s="50" t="str">
        <f t="shared" si="23"/>
        <v/>
      </c>
      <c r="AI20" s="50" t="str">
        <f t="shared" si="23"/>
        <v/>
      </c>
      <c r="AJ20" s="50" t="str">
        <f t="shared" si="23"/>
        <v/>
      </c>
      <c r="AK20" s="50" t="str">
        <f t="shared" si="23"/>
        <v/>
      </c>
      <c r="AL20" s="50" t="str">
        <f t="shared" si="23"/>
        <v/>
      </c>
      <c r="AP20" s="2">
        <f t="shared" si="3"/>
        <v>178</v>
      </c>
      <c r="AQ20" s="2">
        <f>IFERROR(__xludf.DUMMYFUNCTION("IF(V20&gt;0,MIN(FILTER(U20:AL20, U20:AL20&lt;&gt;0)),0)"),125.0)</f>
        <v>125</v>
      </c>
      <c r="AS20" s="2">
        <f t="shared" si="4"/>
        <v>53</v>
      </c>
      <c r="AU20" s="2">
        <f t="shared" si="5"/>
        <v>12</v>
      </c>
      <c r="AW20" s="2">
        <f t="shared" si="6"/>
        <v>170</v>
      </c>
      <c r="AX20" s="2">
        <f>IFERROR(__xludf.DUMMYFUNCTION("IF(X20&gt;0,SMALL(FILTER(U20:AL20, U20:AL20&lt;&gt;0), 2),0)"),132.0)</f>
        <v>132</v>
      </c>
      <c r="AY20" s="2">
        <f t="shared" si="7"/>
        <v>38</v>
      </c>
      <c r="AZ20" s="2">
        <f t="shared" si="8"/>
        <v>170</v>
      </c>
      <c r="BA20" s="2">
        <f>IFERROR(__xludf.DUMMYFUNCTION("IF(Y20&gt;0,SMALL(FILTER(U20:AL20, U20:AL20&lt;&gt;0), 3),0)"),139.0)</f>
        <v>139</v>
      </c>
      <c r="BB20" s="2">
        <f t="shared" si="9"/>
        <v>31</v>
      </c>
    </row>
    <row r="21">
      <c r="A21" s="2">
        <f>Spieler!A22</f>
        <v>17</v>
      </c>
      <c r="B21" s="2">
        <f>VLOOKUP(A21,Spieler!A:F,2,0)</f>
        <v>38355</v>
      </c>
      <c r="C21" s="2">
        <f>IF(B21=0,0,VLOOKUP(B21,Datensammler!B:U,3,0))</f>
        <v>151</v>
      </c>
      <c r="D21" s="2">
        <f>IF(B21=0,0,VLOOKUP(B21,Datensammler!B:U,4,0))</f>
        <v>135</v>
      </c>
      <c r="E21" s="2">
        <f>IF(B21=0,0,VLOOKUP(B21,Datensammler!B:U,5,0))</f>
        <v>164</v>
      </c>
      <c r="F21" s="2">
        <f>IF(B21=0,0,VLOOKUP(B21,Datensammler!B:U,6,0))</f>
        <v>171</v>
      </c>
      <c r="G21" s="2">
        <f>IF(B21=0,0,VLOOKUP(B21,Datensammler!B:U,7,0))</f>
        <v>145</v>
      </c>
      <c r="H21" s="2">
        <f>IF(B21=0,0,VLOOKUP(B21,Datensammler!B:U,8,0))</f>
        <v>178</v>
      </c>
      <c r="I21" s="2">
        <f>IF(B21=0,0,VLOOKUP(B21,Datensammler!B:U,9,0))</f>
        <v>182</v>
      </c>
      <c r="J21" s="2">
        <f>IF(B21=0,0,VLOOKUP(B21,Datensammler!B:U,10,0))</f>
        <v>182</v>
      </c>
      <c r="K21" s="2">
        <f>IF(B21=0,0,VLOOKUP(B21,Datensammler!B:U,11,0))</f>
        <v>203</v>
      </c>
      <c r="L21" s="2">
        <f>IF(B21=0,0,VLOOKUP(B21,Datensammler!B:U,12,0))</f>
        <v>190</v>
      </c>
      <c r="M21" s="2">
        <f>IF(B21=0,0,VLOOKUP(B21,Datensammler!B:U,13,0))</f>
        <v>179</v>
      </c>
      <c r="N21" s="2">
        <f>IF(B21=0,0,VLOOKUP(B21,Datensammler!B:U,14,0))</f>
        <v>157</v>
      </c>
      <c r="O21" s="2" t="str">
        <f>IF(B21=0,0,VLOOKUP(B21,Datensammler!B:U,15,0))</f>
        <v/>
      </c>
      <c r="P21" s="2" t="str">
        <f>IF(B21=0,0,VLOOKUP(B21,Datensammler!B:U,16,0))</f>
        <v/>
      </c>
      <c r="Q21" s="2" t="str">
        <f>IF(B21=0,0,VLOOKUP(B21,Datensammler!B:U,17,0))</f>
        <v/>
      </c>
      <c r="R21" s="2" t="str">
        <f>IF(B21=0,0,VLOOKUP(B21,Datensammler!B:U,18,0))</f>
        <v/>
      </c>
      <c r="S21" s="2" t="str">
        <f>IF(B21=0,0,VLOOKUP(B21,Datensammler!B:U,19,0))</f>
        <v/>
      </c>
      <c r="T21" s="2" t="str">
        <f>IF(B21=0,0,VLOOKUP(B21,Datensammler!B:U,20,0))</f>
        <v/>
      </c>
      <c r="U21" s="50">
        <f t="shared" ref="U21:AL21" si="24">C21</f>
        <v>151</v>
      </c>
      <c r="V21" s="50">
        <f t="shared" si="24"/>
        <v>135</v>
      </c>
      <c r="W21" s="50">
        <f t="shared" si="24"/>
        <v>164</v>
      </c>
      <c r="X21" s="50">
        <f t="shared" si="24"/>
        <v>171</v>
      </c>
      <c r="Y21" s="50">
        <f t="shared" si="24"/>
        <v>145</v>
      </c>
      <c r="Z21" s="50">
        <f t="shared" si="24"/>
        <v>178</v>
      </c>
      <c r="AA21" s="50">
        <f t="shared" si="24"/>
        <v>182</v>
      </c>
      <c r="AB21" s="50">
        <f t="shared" si="24"/>
        <v>182</v>
      </c>
      <c r="AC21" s="50">
        <f t="shared" si="24"/>
        <v>203</v>
      </c>
      <c r="AD21" s="50">
        <f t="shared" si="24"/>
        <v>190</v>
      </c>
      <c r="AE21" s="50">
        <f t="shared" si="24"/>
        <v>179</v>
      </c>
      <c r="AF21" s="50">
        <f t="shared" si="24"/>
        <v>157</v>
      </c>
      <c r="AG21" s="50" t="str">
        <f t="shared" si="24"/>
        <v/>
      </c>
      <c r="AH21" s="50" t="str">
        <f t="shared" si="24"/>
        <v/>
      </c>
      <c r="AI21" s="50" t="str">
        <f t="shared" si="24"/>
        <v/>
      </c>
      <c r="AJ21" s="50" t="str">
        <f t="shared" si="24"/>
        <v/>
      </c>
      <c r="AK21" s="50" t="str">
        <f t="shared" si="24"/>
        <v/>
      </c>
      <c r="AL21" s="50" t="str">
        <f t="shared" si="24"/>
        <v/>
      </c>
      <c r="AP21" s="2">
        <f t="shared" si="3"/>
        <v>203</v>
      </c>
      <c r="AQ21" s="2">
        <f>IFERROR(__xludf.DUMMYFUNCTION("IF(V21&gt;0,MIN(FILTER(U21:AL21, U21:AL21&lt;&gt;0)),0)"),135.0)</f>
        <v>135</v>
      </c>
      <c r="AS21" s="2">
        <f t="shared" si="4"/>
        <v>68</v>
      </c>
      <c r="AU21" s="2">
        <f t="shared" si="5"/>
        <v>12</v>
      </c>
      <c r="AW21" s="2">
        <f t="shared" si="6"/>
        <v>190</v>
      </c>
      <c r="AX21" s="2">
        <f>IFERROR(__xludf.DUMMYFUNCTION("IF(X21&gt;0,SMALL(FILTER(U21:AL21, U21:AL21&lt;&gt;0), 2),0)"),145.0)</f>
        <v>145</v>
      </c>
      <c r="AY21" s="2">
        <f t="shared" si="7"/>
        <v>45</v>
      </c>
      <c r="AZ21" s="2">
        <f t="shared" si="8"/>
        <v>182</v>
      </c>
      <c r="BA21" s="2">
        <f>IFERROR(__xludf.DUMMYFUNCTION("IF(Y21&gt;0,SMALL(FILTER(U21:AL21, U21:AL21&lt;&gt;0), 3),0)"),151.0)</f>
        <v>151</v>
      </c>
      <c r="BB21" s="2">
        <f t="shared" si="9"/>
        <v>31</v>
      </c>
    </row>
    <row r="22">
      <c r="A22" s="2">
        <f>Spieler!A23</f>
        <v>18</v>
      </c>
      <c r="B22" s="2">
        <f>VLOOKUP(A22,Spieler!A:F,2,0)</f>
        <v>25857</v>
      </c>
      <c r="C22" s="2">
        <f>IF(B22=0,0,VLOOKUP(B22,Datensammler!B:U,3,0))</f>
        <v>196</v>
      </c>
      <c r="D22" s="2">
        <f>IF(B22=0,0,VLOOKUP(B22,Datensammler!B:U,4,0))</f>
        <v>138</v>
      </c>
      <c r="E22" s="2">
        <f>IF(B22=0,0,VLOOKUP(B22,Datensammler!B:U,5,0))</f>
        <v>194</v>
      </c>
      <c r="F22" s="2">
        <f>IF(B22=0,0,VLOOKUP(B22,Datensammler!B:U,6,0))</f>
        <v>190</v>
      </c>
      <c r="G22" s="2">
        <f>IF(B22=0,0,VLOOKUP(B22,Datensammler!B:U,7,0))</f>
        <v>225</v>
      </c>
      <c r="H22" s="2">
        <f>IF(B22=0,0,VLOOKUP(B22,Datensammler!B:U,8,0))</f>
        <v>161</v>
      </c>
      <c r="I22" s="2">
        <f>IF(B22=0,0,VLOOKUP(B22,Datensammler!B:U,9,0))</f>
        <v>180</v>
      </c>
      <c r="J22" s="2">
        <f>IF(B22=0,0,VLOOKUP(B22,Datensammler!B:U,10,0))</f>
        <v>174</v>
      </c>
      <c r="K22" s="2">
        <f>IF(B22=0,0,VLOOKUP(B22,Datensammler!B:U,11,0))</f>
        <v>200</v>
      </c>
      <c r="L22" s="2">
        <f>IF(B22=0,0,VLOOKUP(B22,Datensammler!B:U,12,0))</f>
        <v>156</v>
      </c>
      <c r="M22" s="2">
        <f>IF(B22=0,0,VLOOKUP(B22,Datensammler!B:U,13,0))</f>
        <v>151</v>
      </c>
      <c r="N22" s="2">
        <f>IF(B22=0,0,VLOOKUP(B22,Datensammler!B:U,14,0))</f>
        <v>235</v>
      </c>
      <c r="O22" s="2" t="str">
        <f>IF(B22=0,0,VLOOKUP(B22,Datensammler!B:U,15,0))</f>
        <v/>
      </c>
      <c r="P22" s="2" t="str">
        <f>IF(B22=0,0,VLOOKUP(B22,Datensammler!B:U,16,0))</f>
        <v/>
      </c>
      <c r="Q22" s="2" t="str">
        <f>IF(B22=0,0,VLOOKUP(B22,Datensammler!B:U,17,0))</f>
        <v/>
      </c>
      <c r="R22" s="2" t="str">
        <f>IF(B22=0,0,VLOOKUP(B22,Datensammler!B:U,18,0))</f>
        <v/>
      </c>
      <c r="S22" s="2" t="str">
        <f>IF(B22=0,0,VLOOKUP(B22,Datensammler!B:U,19,0))</f>
        <v/>
      </c>
      <c r="T22" s="2" t="str">
        <f>IF(B22=0,0,VLOOKUP(B22,Datensammler!B:U,20,0))</f>
        <v/>
      </c>
      <c r="U22" s="50">
        <f t="shared" ref="U22:AL22" si="25">C22</f>
        <v>196</v>
      </c>
      <c r="V22" s="50">
        <f t="shared" si="25"/>
        <v>138</v>
      </c>
      <c r="W22" s="50">
        <f t="shared" si="25"/>
        <v>194</v>
      </c>
      <c r="X22" s="50">
        <f t="shared" si="25"/>
        <v>190</v>
      </c>
      <c r="Y22" s="50">
        <f t="shared" si="25"/>
        <v>225</v>
      </c>
      <c r="Z22" s="50">
        <f t="shared" si="25"/>
        <v>161</v>
      </c>
      <c r="AA22" s="50">
        <f t="shared" si="25"/>
        <v>180</v>
      </c>
      <c r="AB22" s="50">
        <f t="shared" si="25"/>
        <v>174</v>
      </c>
      <c r="AC22" s="50">
        <f t="shared" si="25"/>
        <v>200</v>
      </c>
      <c r="AD22" s="50">
        <f t="shared" si="25"/>
        <v>156</v>
      </c>
      <c r="AE22" s="50">
        <f t="shared" si="25"/>
        <v>151</v>
      </c>
      <c r="AF22" s="50">
        <f t="shared" si="25"/>
        <v>235</v>
      </c>
      <c r="AG22" s="50" t="str">
        <f t="shared" si="25"/>
        <v/>
      </c>
      <c r="AH22" s="50" t="str">
        <f t="shared" si="25"/>
        <v/>
      </c>
      <c r="AI22" s="50" t="str">
        <f t="shared" si="25"/>
        <v/>
      </c>
      <c r="AJ22" s="50" t="str">
        <f t="shared" si="25"/>
        <v/>
      </c>
      <c r="AK22" s="50" t="str">
        <f t="shared" si="25"/>
        <v/>
      </c>
      <c r="AL22" s="50" t="str">
        <f t="shared" si="25"/>
        <v/>
      </c>
      <c r="AP22" s="2">
        <f t="shared" si="3"/>
        <v>235</v>
      </c>
      <c r="AQ22" s="2">
        <f>IFERROR(__xludf.DUMMYFUNCTION("IF(V22&gt;0,MIN(FILTER(U22:AL22, U22:AL22&lt;&gt;0)),0)"),138.0)</f>
        <v>138</v>
      </c>
      <c r="AS22" s="2">
        <f t="shared" si="4"/>
        <v>97</v>
      </c>
      <c r="AU22" s="2">
        <f t="shared" si="5"/>
        <v>12</v>
      </c>
      <c r="AW22" s="2">
        <f t="shared" si="6"/>
        <v>225</v>
      </c>
      <c r="AX22" s="2">
        <f>IFERROR(__xludf.DUMMYFUNCTION("IF(X22&gt;0,SMALL(FILTER(U22:AL22, U22:AL22&lt;&gt;0), 2),0)"),151.0)</f>
        <v>151</v>
      </c>
      <c r="AY22" s="2">
        <f t="shared" si="7"/>
        <v>74</v>
      </c>
      <c r="AZ22" s="2">
        <f t="shared" si="8"/>
        <v>200</v>
      </c>
      <c r="BA22" s="2">
        <f>IFERROR(__xludf.DUMMYFUNCTION("IF(Y22&gt;0,SMALL(FILTER(U22:AL22, U22:AL22&lt;&gt;0), 3),0)"),156.0)</f>
        <v>156</v>
      </c>
      <c r="BB22" s="2">
        <f t="shared" si="9"/>
        <v>44</v>
      </c>
    </row>
    <row r="23">
      <c r="A23" s="2">
        <f>Spieler!A24</f>
        <v>19</v>
      </c>
      <c r="B23" s="2">
        <f>VLOOKUP(A23,Spieler!A:F,2,0)</f>
        <v>25630</v>
      </c>
      <c r="C23" s="2">
        <f>IF(B23=0,0,VLOOKUP(B23,Datensammler!B:U,3,0))</f>
        <v>155</v>
      </c>
      <c r="D23" s="2">
        <f>IF(B23=0,0,VLOOKUP(B23,Datensammler!B:U,4,0))</f>
        <v>202</v>
      </c>
      <c r="E23" s="2">
        <f>IF(B23=0,0,VLOOKUP(B23,Datensammler!B:U,5,0))</f>
        <v>168</v>
      </c>
      <c r="F23" s="2">
        <f>IF(B23=0,0,VLOOKUP(B23,Datensammler!B:U,6,0))</f>
        <v>171</v>
      </c>
      <c r="G23" s="2">
        <f>IF(B23=0,0,VLOOKUP(B23,Datensammler!B:U,7,0))</f>
        <v>159</v>
      </c>
      <c r="H23" s="2">
        <f>IF(B23=0,0,VLOOKUP(B23,Datensammler!B:U,8,0))</f>
        <v>167</v>
      </c>
      <c r="I23" s="2">
        <f>IF(B23=0,0,VLOOKUP(B23,Datensammler!B:U,9,0))</f>
        <v>210</v>
      </c>
      <c r="J23" s="2">
        <f>IF(B23=0,0,VLOOKUP(B23,Datensammler!B:U,10,0))</f>
        <v>171</v>
      </c>
      <c r="K23" s="2">
        <f>IF(B23=0,0,VLOOKUP(B23,Datensammler!B:U,11,0))</f>
        <v>184</v>
      </c>
      <c r="L23" s="2">
        <f>IF(B23=0,0,VLOOKUP(B23,Datensammler!B:U,12,0))</f>
        <v>181</v>
      </c>
      <c r="M23" s="2">
        <f>IF(B23=0,0,VLOOKUP(B23,Datensammler!B:U,13,0))</f>
        <v>155</v>
      </c>
      <c r="N23" s="2">
        <f>IF(B23=0,0,VLOOKUP(B23,Datensammler!B:U,14,0))</f>
        <v>158</v>
      </c>
      <c r="O23" s="2" t="str">
        <f>IF(B23=0,0,VLOOKUP(B23,Datensammler!B:U,15,0))</f>
        <v/>
      </c>
      <c r="P23" s="2" t="str">
        <f>IF(B23=0,0,VLOOKUP(B23,Datensammler!B:U,16,0))</f>
        <v/>
      </c>
      <c r="Q23" s="2" t="str">
        <f>IF(B23=0,0,VLOOKUP(B23,Datensammler!B:U,17,0))</f>
        <v/>
      </c>
      <c r="R23" s="2" t="str">
        <f>IF(B23=0,0,VLOOKUP(B23,Datensammler!B:U,18,0))</f>
        <v/>
      </c>
      <c r="S23" s="2" t="str">
        <f>IF(B23=0,0,VLOOKUP(B23,Datensammler!B:U,19,0))</f>
        <v/>
      </c>
      <c r="T23" s="2" t="str">
        <f>IF(B23=0,0,VLOOKUP(B23,Datensammler!B:U,20,0))</f>
        <v/>
      </c>
      <c r="U23" s="50">
        <f t="shared" ref="U23:AL23" si="26">C23</f>
        <v>155</v>
      </c>
      <c r="V23" s="50">
        <f t="shared" si="26"/>
        <v>202</v>
      </c>
      <c r="W23" s="50">
        <f t="shared" si="26"/>
        <v>168</v>
      </c>
      <c r="X23" s="50">
        <f t="shared" si="26"/>
        <v>171</v>
      </c>
      <c r="Y23" s="50">
        <f t="shared" si="26"/>
        <v>159</v>
      </c>
      <c r="Z23" s="50">
        <f t="shared" si="26"/>
        <v>167</v>
      </c>
      <c r="AA23" s="50">
        <f t="shared" si="26"/>
        <v>210</v>
      </c>
      <c r="AB23" s="50">
        <f t="shared" si="26"/>
        <v>171</v>
      </c>
      <c r="AC23" s="50">
        <f t="shared" si="26"/>
        <v>184</v>
      </c>
      <c r="AD23" s="50">
        <f t="shared" si="26"/>
        <v>181</v>
      </c>
      <c r="AE23" s="50">
        <f t="shared" si="26"/>
        <v>155</v>
      </c>
      <c r="AF23" s="50">
        <f t="shared" si="26"/>
        <v>158</v>
      </c>
      <c r="AG23" s="50" t="str">
        <f t="shared" si="26"/>
        <v/>
      </c>
      <c r="AH23" s="50" t="str">
        <f t="shared" si="26"/>
        <v/>
      </c>
      <c r="AI23" s="50" t="str">
        <f t="shared" si="26"/>
        <v/>
      </c>
      <c r="AJ23" s="50" t="str">
        <f t="shared" si="26"/>
        <v/>
      </c>
      <c r="AK23" s="50" t="str">
        <f t="shared" si="26"/>
        <v/>
      </c>
      <c r="AL23" s="50" t="str">
        <f t="shared" si="26"/>
        <v/>
      </c>
      <c r="AP23" s="2">
        <f t="shared" si="3"/>
        <v>210</v>
      </c>
      <c r="AQ23" s="2">
        <f>IFERROR(__xludf.DUMMYFUNCTION("IF(V23&gt;0,MIN(FILTER(U23:AL23, U23:AL23&lt;&gt;0)),0)"),155.0)</f>
        <v>155</v>
      </c>
      <c r="AS23" s="2">
        <f t="shared" si="4"/>
        <v>55</v>
      </c>
      <c r="AU23" s="2">
        <f t="shared" si="5"/>
        <v>12</v>
      </c>
      <c r="AW23" s="2">
        <f t="shared" si="6"/>
        <v>202</v>
      </c>
      <c r="AX23" s="2">
        <f>IFERROR(__xludf.DUMMYFUNCTION("IF(X23&gt;0,SMALL(FILTER(U23:AL23, U23:AL23&lt;&gt;0), 2),0)"),155.0)</f>
        <v>155</v>
      </c>
      <c r="AY23" s="2">
        <f t="shared" si="7"/>
        <v>47</v>
      </c>
      <c r="AZ23" s="2">
        <f t="shared" si="8"/>
        <v>184</v>
      </c>
      <c r="BA23" s="2">
        <f>IFERROR(__xludf.DUMMYFUNCTION("IF(Y23&gt;0,SMALL(FILTER(U23:AL23, U23:AL23&lt;&gt;0), 3),0)"),158.0)</f>
        <v>158</v>
      </c>
      <c r="BB23" s="2">
        <f t="shared" si="9"/>
        <v>26</v>
      </c>
    </row>
    <row r="24">
      <c r="A24" s="2">
        <f>Spieler!A25</f>
        <v>20</v>
      </c>
      <c r="B24" s="2">
        <f>VLOOKUP(A24,Spieler!A:F,2,0)</f>
        <v>16093</v>
      </c>
      <c r="C24" s="2">
        <f>IF(B24=0,0,VLOOKUP(B24,Datensammler!B:U,3,0))</f>
        <v>199</v>
      </c>
      <c r="D24" s="2">
        <f>IF(B24=0,0,VLOOKUP(B24,Datensammler!B:U,4,0))</f>
        <v>186</v>
      </c>
      <c r="E24" s="2">
        <f>IF(B24=0,0,VLOOKUP(B24,Datensammler!B:U,5,0))</f>
        <v>207</v>
      </c>
      <c r="F24" s="2">
        <f>IF(B24=0,0,VLOOKUP(B24,Datensammler!B:U,6,0))</f>
        <v>187</v>
      </c>
      <c r="G24" s="2">
        <f>IF(B24=0,0,VLOOKUP(B24,Datensammler!B:U,7,0))</f>
        <v>170</v>
      </c>
      <c r="H24" s="2">
        <f>IF(B24=0,0,VLOOKUP(B24,Datensammler!B:U,8,0))</f>
        <v>171</v>
      </c>
      <c r="I24" s="2">
        <f>IF(B24=0,0,VLOOKUP(B24,Datensammler!B:U,9,0))</f>
        <v>178</v>
      </c>
      <c r="J24" s="2">
        <f>IF(B24=0,0,VLOOKUP(B24,Datensammler!B:U,10,0))</f>
        <v>185</v>
      </c>
      <c r="K24" s="2">
        <f>IF(B24=0,0,VLOOKUP(B24,Datensammler!B:U,11,0))</f>
        <v>165</v>
      </c>
      <c r="L24" s="2">
        <f>IF(B24=0,0,VLOOKUP(B24,Datensammler!B:U,12,0))</f>
        <v>188</v>
      </c>
      <c r="M24" s="2">
        <f>IF(B24=0,0,VLOOKUP(B24,Datensammler!B:U,13,0))</f>
        <v>153</v>
      </c>
      <c r="N24" s="2">
        <f>IF(B24=0,0,VLOOKUP(B24,Datensammler!B:U,14,0))</f>
        <v>168</v>
      </c>
      <c r="O24" s="2" t="str">
        <f>IF(B24=0,0,VLOOKUP(B24,Datensammler!B:U,15,0))</f>
        <v/>
      </c>
      <c r="P24" s="2" t="str">
        <f>IF(B24=0,0,VLOOKUP(B24,Datensammler!B:U,16,0))</f>
        <v/>
      </c>
      <c r="Q24" s="2" t="str">
        <f>IF(B24=0,0,VLOOKUP(B24,Datensammler!B:U,17,0))</f>
        <v/>
      </c>
      <c r="R24" s="2" t="str">
        <f>IF(B24=0,0,VLOOKUP(B24,Datensammler!B:U,18,0))</f>
        <v/>
      </c>
      <c r="S24" s="2" t="str">
        <f>IF(B24=0,0,VLOOKUP(B24,Datensammler!B:U,19,0))</f>
        <v/>
      </c>
      <c r="T24" s="2" t="str">
        <f>IF(B24=0,0,VLOOKUP(B24,Datensammler!B:U,20,0))</f>
        <v/>
      </c>
      <c r="U24" s="50">
        <f t="shared" ref="U24:AL24" si="27">C24</f>
        <v>199</v>
      </c>
      <c r="V24" s="50">
        <f t="shared" si="27"/>
        <v>186</v>
      </c>
      <c r="W24" s="50">
        <f t="shared" si="27"/>
        <v>207</v>
      </c>
      <c r="X24" s="50">
        <f t="shared" si="27"/>
        <v>187</v>
      </c>
      <c r="Y24" s="50">
        <f t="shared" si="27"/>
        <v>170</v>
      </c>
      <c r="Z24" s="50">
        <f t="shared" si="27"/>
        <v>171</v>
      </c>
      <c r="AA24" s="50">
        <f t="shared" si="27"/>
        <v>178</v>
      </c>
      <c r="AB24" s="50">
        <f t="shared" si="27"/>
        <v>185</v>
      </c>
      <c r="AC24" s="50">
        <f t="shared" si="27"/>
        <v>165</v>
      </c>
      <c r="AD24" s="50">
        <f t="shared" si="27"/>
        <v>188</v>
      </c>
      <c r="AE24" s="50">
        <f t="shared" si="27"/>
        <v>153</v>
      </c>
      <c r="AF24" s="50">
        <f t="shared" si="27"/>
        <v>168</v>
      </c>
      <c r="AG24" s="50" t="str">
        <f t="shared" si="27"/>
        <v/>
      </c>
      <c r="AH24" s="50" t="str">
        <f t="shared" si="27"/>
        <v/>
      </c>
      <c r="AI24" s="50" t="str">
        <f t="shared" si="27"/>
        <v/>
      </c>
      <c r="AJ24" s="50" t="str">
        <f t="shared" si="27"/>
        <v/>
      </c>
      <c r="AK24" s="50" t="str">
        <f t="shared" si="27"/>
        <v/>
      </c>
      <c r="AL24" s="50" t="str">
        <f t="shared" si="27"/>
        <v/>
      </c>
      <c r="AP24" s="2">
        <f t="shared" si="3"/>
        <v>207</v>
      </c>
      <c r="AQ24" s="2">
        <f>IFERROR(__xludf.DUMMYFUNCTION("IF(V24&gt;0,MIN(FILTER(U24:AL24, U24:AL24&lt;&gt;0)),0)"),153.0)</f>
        <v>153</v>
      </c>
      <c r="AS24" s="2">
        <f t="shared" si="4"/>
        <v>54</v>
      </c>
      <c r="AU24" s="2">
        <f t="shared" si="5"/>
        <v>12</v>
      </c>
      <c r="AW24" s="2">
        <f t="shared" si="6"/>
        <v>199</v>
      </c>
      <c r="AX24" s="2">
        <f>IFERROR(__xludf.DUMMYFUNCTION("IF(X24&gt;0,SMALL(FILTER(U24:AL24, U24:AL24&lt;&gt;0), 2),0)"),165.0)</f>
        <v>165</v>
      </c>
      <c r="AY24" s="2">
        <f t="shared" si="7"/>
        <v>34</v>
      </c>
      <c r="AZ24" s="2">
        <f t="shared" si="8"/>
        <v>188</v>
      </c>
      <c r="BA24" s="2">
        <f>IFERROR(__xludf.DUMMYFUNCTION("IF(Y24&gt;0,SMALL(FILTER(U24:AL24, U24:AL24&lt;&gt;0), 3),0)"),168.0)</f>
        <v>168</v>
      </c>
      <c r="BB24" s="2">
        <f t="shared" si="9"/>
        <v>20</v>
      </c>
    </row>
    <row r="25">
      <c r="A25" s="2">
        <f>Spieler!A26</f>
        <v>21</v>
      </c>
      <c r="B25" s="2">
        <f>VLOOKUP(A25,Spieler!A:F,2,0)</f>
        <v>38980</v>
      </c>
      <c r="C25" s="2">
        <f>IF(B25=0,0,VLOOKUP(B25,Datensammler!B:U,3,0))</f>
        <v>166</v>
      </c>
      <c r="D25" s="2">
        <f>IF(B25=0,0,VLOOKUP(B25,Datensammler!B:U,4,0))</f>
        <v>116</v>
      </c>
      <c r="E25" s="2">
        <f>IF(B25=0,0,VLOOKUP(B25,Datensammler!B:U,5,0))</f>
        <v>164</v>
      </c>
      <c r="F25" s="2">
        <f>IF(B25=0,0,VLOOKUP(B25,Datensammler!B:U,6,0))</f>
        <v>150</v>
      </c>
      <c r="G25" s="2">
        <f>IF(B25=0,0,VLOOKUP(B25,Datensammler!B:U,7,0))</f>
        <v>97</v>
      </c>
      <c r="H25" s="2">
        <f>IF(B25=0,0,VLOOKUP(B25,Datensammler!B:U,8,0))</f>
        <v>168</v>
      </c>
      <c r="I25" s="2">
        <f>IF(B25=0,0,VLOOKUP(B25,Datensammler!B:U,9,0))</f>
        <v>182</v>
      </c>
      <c r="J25" s="2">
        <f>IF(B25=0,0,VLOOKUP(B25,Datensammler!B:U,10,0))</f>
        <v>161</v>
      </c>
      <c r="K25" s="2">
        <f>IF(B25=0,0,VLOOKUP(B25,Datensammler!B:U,11,0))</f>
        <v>129</v>
      </c>
      <c r="L25" s="2">
        <f>IF(B25=0,0,VLOOKUP(B25,Datensammler!B:U,12,0))</f>
        <v>153</v>
      </c>
      <c r="M25" s="2">
        <f>IF(B25=0,0,VLOOKUP(B25,Datensammler!B:U,13,0))</f>
        <v>140</v>
      </c>
      <c r="N25" s="2">
        <f>IF(B25=0,0,VLOOKUP(B25,Datensammler!B:U,14,0))</f>
        <v>177</v>
      </c>
      <c r="O25" s="2" t="str">
        <f>IF(B25=0,0,VLOOKUP(B25,Datensammler!B:U,15,0))</f>
        <v/>
      </c>
      <c r="P25" s="2" t="str">
        <f>IF(B25=0,0,VLOOKUP(B25,Datensammler!B:U,16,0))</f>
        <v/>
      </c>
      <c r="Q25" s="2" t="str">
        <f>IF(B25=0,0,VLOOKUP(B25,Datensammler!B:U,17,0))</f>
        <v/>
      </c>
      <c r="R25" s="2" t="str">
        <f>IF(B25=0,0,VLOOKUP(B25,Datensammler!B:U,18,0))</f>
        <v/>
      </c>
      <c r="S25" s="2" t="str">
        <f>IF(B25=0,0,VLOOKUP(B25,Datensammler!B:U,19,0))</f>
        <v/>
      </c>
      <c r="T25" s="2" t="str">
        <f>IF(B25=0,0,VLOOKUP(B25,Datensammler!B:U,20,0))</f>
        <v/>
      </c>
      <c r="U25" s="50">
        <f t="shared" ref="U25:AL25" si="28">C25</f>
        <v>166</v>
      </c>
      <c r="V25" s="50">
        <f t="shared" si="28"/>
        <v>116</v>
      </c>
      <c r="W25" s="50">
        <f t="shared" si="28"/>
        <v>164</v>
      </c>
      <c r="X25" s="50">
        <f t="shared" si="28"/>
        <v>150</v>
      </c>
      <c r="Y25" s="50">
        <f t="shared" si="28"/>
        <v>97</v>
      </c>
      <c r="Z25" s="50">
        <f t="shared" si="28"/>
        <v>168</v>
      </c>
      <c r="AA25" s="50">
        <f t="shared" si="28"/>
        <v>182</v>
      </c>
      <c r="AB25" s="50">
        <f t="shared" si="28"/>
        <v>161</v>
      </c>
      <c r="AC25" s="50">
        <f t="shared" si="28"/>
        <v>129</v>
      </c>
      <c r="AD25" s="50">
        <f t="shared" si="28"/>
        <v>153</v>
      </c>
      <c r="AE25" s="50">
        <f t="shared" si="28"/>
        <v>140</v>
      </c>
      <c r="AF25" s="50">
        <f t="shared" si="28"/>
        <v>177</v>
      </c>
      <c r="AG25" s="50" t="str">
        <f t="shared" si="28"/>
        <v/>
      </c>
      <c r="AH25" s="50" t="str">
        <f t="shared" si="28"/>
        <v/>
      </c>
      <c r="AI25" s="50" t="str">
        <f t="shared" si="28"/>
        <v/>
      </c>
      <c r="AJ25" s="50" t="str">
        <f t="shared" si="28"/>
        <v/>
      </c>
      <c r="AK25" s="50" t="str">
        <f t="shared" si="28"/>
        <v/>
      </c>
      <c r="AL25" s="50" t="str">
        <f t="shared" si="28"/>
        <v/>
      </c>
      <c r="AP25" s="2">
        <f t="shared" si="3"/>
        <v>182</v>
      </c>
      <c r="AQ25" s="2">
        <f>IFERROR(__xludf.DUMMYFUNCTION("IF(V25&gt;0,MIN(FILTER(U25:AL25, U25:AL25&lt;&gt;0)),0)"),97.0)</f>
        <v>97</v>
      </c>
      <c r="AS25" s="2">
        <f t="shared" si="4"/>
        <v>85</v>
      </c>
      <c r="AU25" s="2">
        <f t="shared" si="5"/>
        <v>12</v>
      </c>
      <c r="AW25" s="2">
        <f t="shared" si="6"/>
        <v>177</v>
      </c>
      <c r="AX25" s="2">
        <f>IFERROR(__xludf.DUMMYFUNCTION("IF(X25&gt;0,SMALL(FILTER(U25:AL25, U25:AL25&lt;&gt;0), 2),0)"),116.0)</f>
        <v>116</v>
      </c>
      <c r="AY25" s="2">
        <f t="shared" si="7"/>
        <v>61</v>
      </c>
      <c r="AZ25" s="2">
        <f t="shared" si="8"/>
        <v>168</v>
      </c>
      <c r="BA25" s="2">
        <f>IFERROR(__xludf.DUMMYFUNCTION("IF(Y25&gt;0,SMALL(FILTER(U25:AL25, U25:AL25&lt;&gt;0), 3),0)"),129.0)</f>
        <v>129</v>
      </c>
      <c r="BB25" s="2">
        <f t="shared" si="9"/>
        <v>39</v>
      </c>
    </row>
    <row r="26">
      <c r="A26" s="2">
        <f>Spieler!A27</f>
        <v>22</v>
      </c>
      <c r="B26" s="2">
        <f>VLOOKUP(A26,Spieler!A:F,2,0)</f>
        <v>7154</v>
      </c>
      <c r="C26" s="2">
        <f>IF(B26=0,0,VLOOKUP(B26,Datensammler!B:U,3,0))</f>
        <v>162</v>
      </c>
      <c r="D26" s="2">
        <f>IF(B26=0,0,VLOOKUP(B26,Datensammler!B:U,4,0))</f>
        <v>194</v>
      </c>
      <c r="E26" s="2">
        <f>IF(B26=0,0,VLOOKUP(B26,Datensammler!B:U,5,0))</f>
        <v>187</v>
      </c>
      <c r="F26" s="2">
        <f>IF(B26=0,0,VLOOKUP(B26,Datensammler!B:U,6,0))</f>
        <v>146</v>
      </c>
      <c r="G26" s="2">
        <f>IF(B26=0,0,VLOOKUP(B26,Datensammler!B:U,7,0))</f>
        <v>188</v>
      </c>
      <c r="H26" s="2">
        <f>IF(B26=0,0,VLOOKUP(B26,Datensammler!B:U,8,0))</f>
        <v>170</v>
      </c>
      <c r="I26" s="2">
        <f>IF(B26=0,0,VLOOKUP(B26,Datensammler!B:U,9,0))</f>
        <v>151</v>
      </c>
      <c r="J26" s="2">
        <f>IF(B26=0,0,VLOOKUP(B26,Datensammler!B:U,10,0))</f>
        <v>171</v>
      </c>
      <c r="K26" s="2">
        <f>IF(B26=0,0,VLOOKUP(B26,Datensammler!B:U,11,0))</f>
        <v>173</v>
      </c>
      <c r="L26" s="2">
        <f>IF(B26=0,0,VLOOKUP(B26,Datensammler!B:U,12,0))</f>
        <v>166</v>
      </c>
      <c r="M26" s="2">
        <f>IF(B26=0,0,VLOOKUP(B26,Datensammler!B:U,13,0))</f>
        <v>157</v>
      </c>
      <c r="N26" s="2">
        <f>IF(B26=0,0,VLOOKUP(B26,Datensammler!B:U,14,0))</f>
        <v>214</v>
      </c>
      <c r="O26" s="2" t="str">
        <f>IF(B26=0,0,VLOOKUP(B26,Datensammler!B:U,15,0))</f>
        <v/>
      </c>
      <c r="P26" s="2" t="str">
        <f>IF(B26=0,0,VLOOKUP(B26,Datensammler!B:U,16,0))</f>
        <v/>
      </c>
      <c r="Q26" s="2" t="str">
        <f>IF(B26=0,0,VLOOKUP(B26,Datensammler!B:U,17,0))</f>
        <v/>
      </c>
      <c r="R26" s="2" t="str">
        <f>IF(B26=0,0,VLOOKUP(B26,Datensammler!B:U,18,0))</f>
        <v/>
      </c>
      <c r="S26" s="2" t="str">
        <f>IF(B26=0,0,VLOOKUP(B26,Datensammler!B:U,19,0))</f>
        <v/>
      </c>
      <c r="T26" s="2" t="str">
        <f>IF(B26=0,0,VLOOKUP(B26,Datensammler!B:U,20,0))</f>
        <v/>
      </c>
      <c r="U26" s="50">
        <f t="shared" ref="U26:AL26" si="29">C26</f>
        <v>162</v>
      </c>
      <c r="V26" s="50">
        <f t="shared" si="29"/>
        <v>194</v>
      </c>
      <c r="W26" s="50">
        <f t="shared" si="29"/>
        <v>187</v>
      </c>
      <c r="X26" s="50">
        <f t="shared" si="29"/>
        <v>146</v>
      </c>
      <c r="Y26" s="50">
        <f t="shared" si="29"/>
        <v>188</v>
      </c>
      <c r="Z26" s="50">
        <f t="shared" si="29"/>
        <v>170</v>
      </c>
      <c r="AA26" s="50">
        <f t="shared" si="29"/>
        <v>151</v>
      </c>
      <c r="AB26" s="50">
        <f t="shared" si="29"/>
        <v>171</v>
      </c>
      <c r="AC26" s="50">
        <f t="shared" si="29"/>
        <v>173</v>
      </c>
      <c r="AD26" s="50">
        <f t="shared" si="29"/>
        <v>166</v>
      </c>
      <c r="AE26" s="50">
        <f t="shared" si="29"/>
        <v>157</v>
      </c>
      <c r="AF26" s="50">
        <f t="shared" si="29"/>
        <v>214</v>
      </c>
      <c r="AG26" s="50" t="str">
        <f t="shared" si="29"/>
        <v/>
      </c>
      <c r="AH26" s="50" t="str">
        <f t="shared" si="29"/>
        <v/>
      </c>
      <c r="AI26" s="50" t="str">
        <f t="shared" si="29"/>
        <v/>
      </c>
      <c r="AJ26" s="50" t="str">
        <f t="shared" si="29"/>
        <v/>
      </c>
      <c r="AK26" s="50" t="str">
        <f t="shared" si="29"/>
        <v/>
      </c>
      <c r="AL26" s="50" t="str">
        <f t="shared" si="29"/>
        <v/>
      </c>
      <c r="AP26" s="2">
        <f t="shared" si="3"/>
        <v>214</v>
      </c>
      <c r="AQ26" s="2">
        <f>IFERROR(__xludf.DUMMYFUNCTION("IF(V26&gt;0,MIN(FILTER(U26:AL26, U26:AL26&lt;&gt;0)),0)"),146.0)</f>
        <v>146</v>
      </c>
      <c r="AS26" s="2">
        <f t="shared" si="4"/>
        <v>68</v>
      </c>
      <c r="AU26" s="2">
        <f t="shared" si="5"/>
        <v>12</v>
      </c>
      <c r="AW26" s="2">
        <f t="shared" si="6"/>
        <v>194</v>
      </c>
      <c r="AX26" s="2">
        <f>IFERROR(__xludf.DUMMYFUNCTION("IF(X26&gt;0,SMALL(FILTER(U26:AL26, U26:AL26&lt;&gt;0), 2),0)"),151.0)</f>
        <v>151</v>
      </c>
      <c r="AY26" s="2">
        <f t="shared" si="7"/>
        <v>43</v>
      </c>
      <c r="AZ26" s="2">
        <f t="shared" si="8"/>
        <v>188</v>
      </c>
      <c r="BA26" s="2">
        <f>IFERROR(__xludf.DUMMYFUNCTION("IF(Y26&gt;0,SMALL(FILTER(U26:AL26, U26:AL26&lt;&gt;0), 3),0)"),157.0)</f>
        <v>157</v>
      </c>
      <c r="BB26" s="2">
        <f t="shared" si="9"/>
        <v>31</v>
      </c>
    </row>
    <row r="27">
      <c r="A27" s="2">
        <f>Spieler!A28</f>
        <v>23</v>
      </c>
      <c r="B27" s="2" t="str">
        <f>VLOOKUP(A27,Spieler!A:F,2,0)</f>
        <v/>
      </c>
      <c r="C27" s="2">
        <f>IF(B27=0,0,VLOOKUP(B27,Datensammler!B:U,3,0))</f>
        <v>0</v>
      </c>
      <c r="D27" s="2">
        <f>IF(B27=0,0,VLOOKUP(B27,Datensammler!B:U,4,0))</f>
        <v>0</v>
      </c>
      <c r="E27" s="2">
        <f>IF(B27=0,0,VLOOKUP(B27,Datensammler!B:U,5,0))</f>
        <v>0</v>
      </c>
      <c r="F27" s="2">
        <f>IF(B27=0,0,VLOOKUP(B27,Datensammler!B:U,6,0))</f>
        <v>0</v>
      </c>
      <c r="G27" s="2">
        <f>IF(B27=0,0,VLOOKUP(B27,Datensammler!B:U,7,0))</f>
        <v>0</v>
      </c>
      <c r="H27" s="2">
        <f>IF(B27=0,0,VLOOKUP(B27,Datensammler!B:U,8,0))</f>
        <v>0</v>
      </c>
      <c r="I27" s="2">
        <f>IF(B27=0,0,VLOOKUP(B27,Datensammler!B:U,9,0))</f>
        <v>0</v>
      </c>
      <c r="J27" s="2">
        <f>IF(B27=0,0,VLOOKUP(B27,Datensammler!B:U,10,0))</f>
        <v>0</v>
      </c>
      <c r="K27" s="2">
        <f>IF(B27=0,0,VLOOKUP(B27,Datensammler!B:U,11,0))</f>
        <v>0</v>
      </c>
      <c r="L27" s="2">
        <f>IF(B27=0,0,VLOOKUP(B27,Datensammler!B:U,12,0))</f>
        <v>0</v>
      </c>
      <c r="M27" s="2">
        <f>IF(B27=0,0,VLOOKUP(B27,Datensammler!B:U,13,0))</f>
        <v>0</v>
      </c>
      <c r="N27" s="2">
        <f>IF(B27=0,0,VLOOKUP(B27,Datensammler!B:U,14,0))</f>
        <v>0</v>
      </c>
      <c r="O27" s="2">
        <f>IF(B27=0,0,VLOOKUP(B27,Datensammler!B:U,15,0))</f>
        <v>0</v>
      </c>
      <c r="P27" s="2">
        <f>IF(B27=0,0,VLOOKUP(B27,Datensammler!B:U,16,0))</f>
        <v>0</v>
      </c>
      <c r="Q27" s="2">
        <f>IF(B27=0,0,VLOOKUP(B27,Datensammler!B:U,17,0))</f>
        <v>0</v>
      </c>
      <c r="R27" s="2">
        <f>IF(B27=0,0,VLOOKUP(B27,Datensammler!B:U,18,0))</f>
        <v>0</v>
      </c>
      <c r="S27" s="2">
        <f>IF(B27=0,0,VLOOKUP(B27,Datensammler!B:U,19,0))</f>
        <v>0</v>
      </c>
      <c r="T27" s="2">
        <f>IF(B27=0,0,VLOOKUP(B27,Datensammler!B:U,20,0))</f>
        <v>0</v>
      </c>
      <c r="U27" s="50">
        <f t="shared" ref="U27:AL27" si="30">C27</f>
        <v>0</v>
      </c>
      <c r="V27" s="50">
        <f t="shared" si="30"/>
        <v>0</v>
      </c>
      <c r="W27" s="50">
        <f t="shared" si="30"/>
        <v>0</v>
      </c>
      <c r="X27" s="50">
        <f t="shared" si="30"/>
        <v>0</v>
      </c>
      <c r="Y27" s="50">
        <f t="shared" si="30"/>
        <v>0</v>
      </c>
      <c r="Z27" s="50">
        <f t="shared" si="30"/>
        <v>0</v>
      </c>
      <c r="AA27" s="50">
        <f t="shared" si="30"/>
        <v>0</v>
      </c>
      <c r="AB27" s="50">
        <f t="shared" si="30"/>
        <v>0</v>
      </c>
      <c r="AC27" s="50">
        <f t="shared" si="30"/>
        <v>0</v>
      </c>
      <c r="AD27" s="50">
        <f t="shared" si="30"/>
        <v>0</v>
      </c>
      <c r="AE27" s="50">
        <f t="shared" si="30"/>
        <v>0</v>
      </c>
      <c r="AF27" s="50">
        <f t="shared" si="30"/>
        <v>0</v>
      </c>
      <c r="AG27" s="50">
        <f t="shared" si="30"/>
        <v>0</v>
      </c>
      <c r="AH27" s="50">
        <f t="shared" si="30"/>
        <v>0</v>
      </c>
      <c r="AI27" s="50">
        <f t="shared" si="30"/>
        <v>0</v>
      </c>
      <c r="AJ27" s="50">
        <f t="shared" si="30"/>
        <v>0</v>
      </c>
      <c r="AK27" s="50">
        <f t="shared" si="30"/>
        <v>0</v>
      </c>
      <c r="AL27" s="50">
        <f t="shared" si="30"/>
        <v>0</v>
      </c>
      <c r="AP27" s="2">
        <f t="shared" si="3"/>
        <v>0</v>
      </c>
      <c r="AQ27" s="2">
        <f>IFERROR(__xludf.DUMMYFUNCTION("IF(V27&gt;0,MIN(FILTER(U27:AL27, U27:AL27&lt;&gt;0)),0)"),0.0)</f>
        <v>0</v>
      </c>
      <c r="AS27" s="2">
        <f t="shared" si="4"/>
        <v>0</v>
      </c>
      <c r="AU27" s="2">
        <f t="shared" si="5"/>
        <v>0</v>
      </c>
      <c r="AW27" s="2">
        <f t="shared" si="6"/>
        <v>0</v>
      </c>
      <c r="AX27" s="2">
        <f>IFERROR(__xludf.DUMMYFUNCTION("IF(X27&gt;0,SMALL(FILTER(U27:AL27, U27:AL27&lt;&gt;0), 2),0)"),0.0)</f>
        <v>0</v>
      </c>
      <c r="AY27" s="2">
        <f t="shared" si="7"/>
        <v>0</v>
      </c>
      <c r="AZ27" s="2">
        <f t="shared" si="8"/>
        <v>0</v>
      </c>
      <c r="BA27" s="2">
        <f>IFERROR(__xludf.DUMMYFUNCTION("IF(Y27&gt;0,SMALL(FILTER(U27:AL27, U27:AL27&lt;&gt;0), 3),0)"),0.0)</f>
        <v>0</v>
      </c>
      <c r="BB27" s="2">
        <f t="shared" si="9"/>
        <v>0</v>
      </c>
    </row>
    <row r="28">
      <c r="A28" s="2">
        <f>Spieler!A29</f>
        <v>24</v>
      </c>
      <c r="B28" s="2" t="str">
        <f>VLOOKUP(A28,Spieler!A:F,2,0)</f>
        <v/>
      </c>
      <c r="C28" s="2">
        <f>IF(B28=0,0,VLOOKUP(B28,Datensammler!B:U,3,0))</f>
        <v>0</v>
      </c>
      <c r="D28" s="2">
        <f>IF(B28=0,0,VLOOKUP(B28,Datensammler!B:U,4,0))</f>
        <v>0</v>
      </c>
      <c r="E28" s="2">
        <f>IF(B28=0,0,VLOOKUP(B28,Datensammler!B:U,5,0))</f>
        <v>0</v>
      </c>
      <c r="F28" s="2">
        <f>IF(B28=0,0,VLOOKUP(B28,Datensammler!B:U,6,0))</f>
        <v>0</v>
      </c>
      <c r="G28" s="2">
        <f>IF(B28=0,0,VLOOKUP(B28,Datensammler!B:U,7,0))</f>
        <v>0</v>
      </c>
      <c r="H28" s="2">
        <f>IF(B28=0,0,VLOOKUP(B28,Datensammler!B:U,8,0))</f>
        <v>0</v>
      </c>
      <c r="I28" s="2">
        <f>IF(B28=0,0,VLOOKUP(B28,Datensammler!B:U,9,0))</f>
        <v>0</v>
      </c>
      <c r="J28" s="2">
        <f>IF(B28=0,0,VLOOKUP(B28,Datensammler!B:U,10,0))</f>
        <v>0</v>
      </c>
      <c r="K28" s="2">
        <f>IF(B28=0,0,VLOOKUP(B28,Datensammler!B:U,11,0))</f>
        <v>0</v>
      </c>
      <c r="L28" s="2">
        <f>IF(B28=0,0,VLOOKUP(B28,Datensammler!B:U,12,0))</f>
        <v>0</v>
      </c>
      <c r="M28" s="2">
        <f>IF(B28=0,0,VLOOKUP(B28,Datensammler!B:U,13,0))</f>
        <v>0</v>
      </c>
      <c r="N28" s="2">
        <f>IF(B28=0,0,VLOOKUP(B28,Datensammler!B:U,14,0))</f>
        <v>0</v>
      </c>
      <c r="O28" s="2">
        <f>IF(B28=0,0,VLOOKUP(B28,Datensammler!B:U,15,0))</f>
        <v>0</v>
      </c>
      <c r="P28" s="2">
        <f>IF(B28=0,0,VLOOKUP(B28,Datensammler!B:U,16,0))</f>
        <v>0</v>
      </c>
      <c r="Q28" s="2">
        <f>IF(B28=0,0,VLOOKUP(B28,Datensammler!B:U,17,0))</f>
        <v>0</v>
      </c>
      <c r="R28" s="2">
        <f>IF(B28=0,0,VLOOKUP(B28,Datensammler!B:U,18,0))</f>
        <v>0</v>
      </c>
      <c r="S28" s="2">
        <f>IF(B28=0,0,VLOOKUP(B28,Datensammler!B:U,19,0))</f>
        <v>0</v>
      </c>
      <c r="T28" s="2">
        <f>IF(B28=0,0,VLOOKUP(B28,Datensammler!B:U,20,0))</f>
        <v>0</v>
      </c>
      <c r="U28" s="50">
        <f t="shared" ref="U28:AL28" si="31">C28</f>
        <v>0</v>
      </c>
      <c r="V28" s="50">
        <f t="shared" si="31"/>
        <v>0</v>
      </c>
      <c r="W28" s="50">
        <f t="shared" si="31"/>
        <v>0</v>
      </c>
      <c r="X28" s="50">
        <f t="shared" si="31"/>
        <v>0</v>
      </c>
      <c r="Y28" s="50">
        <f t="shared" si="31"/>
        <v>0</v>
      </c>
      <c r="Z28" s="50">
        <f t="shared" si="31"/>
        <v>0</v>
      </c>
      <c r="AA28" s="50">
        <f t="shared" si="31"/>
        <v>0</v>
      </c>
      <c r="AB28" s="50">
        <f t="shared" si="31"/>
        <v>0</v>
      </c>
      <c r="AC28" s="50">
        <f t="shared" si="31"/>
        <v>0</v>
      </c>
      <c r="AD28" s="50">
        <f t="shared" si="31"/>
        <v>0</v>
      </c>
      <c r="AE28" s="50">
        <f t="shared" si="31"/>
        <v>0</v>
      </c>
      <c r="AF28" s="50">
        <f t="shared" si="31"/>
        <v>0</v>
      </c>
      <c r="AG28" s="50">
        <f t="shared" si="31"/>
        <v>0</v>
      </c>
      <c r="AH28" s="50">
        <f t="shared" si="31"/>
        <v>0</v>
      </c>
      <c r="AI28" s="50">
        <f t="shared" si="31"/>
        <v>0</v>
      </c>
      <c r="AJ28" s="50">
        <f t="shared" si="31"/>
        <v>0</v>
      </c>
      <c r="AK28" s="50">
        <f t="shared" si="31"/>
        <v>0</v>
      </c>
      <c r="AL28" s="50">
        <f t="shared" si="31"/>
        <v>0</v>
      </c>
      <c r="AP28" s="2">
        <f t="shared" si="3"/>
        <v>0</v>
      </c>
      <c r="AQ28" s="2">
        <f>IFERROR(__xludf.DUMMYFUNCTION("IF(V28&gt;0,MIN(FILTER(U28:AL28, U28:AL28&lt;&gt;0)),0)"),0.0)</f>
        <v>0</v>
      </c>
      <c r="AS28" s="2">
        <f t="shared" si="4"/>
        <v>0</v>
      </c>
      <c r="AU28" s="2">
        <f t="shared" si="5"/>
        <v>0</v>
      </c>
      <c r="AW28" s="2">
        <f t="shared" si="6"/>
        <v>0</v>
      </c>
      <c r="AX28" s="2">
        <f>IFERROR(__xludf.DUMMYFUNCTION("IF(X28&gt;0,SMALL(FILTER(U28:AL28, U28:AL28&lt;&gt;0), 2),0)"),0.0)</f>
        <v>0</v>
      </c>
      <c r="AY28" s="2">
        <f t="shared" si="7"/>
        <v>0</v>
      </c>
      <c r="AZ28" s="2">
        <f t="shared" si="8"/>
        <v>0</v>
      </c>
      <c r="BA28" s="2">
        <f>IFERROR(__xludf.DUMMYFUNCTION("IF(Y28&gt;0,SMALL(FILTER(U28:AL28, U28:AL28&lt;&gt;0), 3),0)"),0.0)</f>
        <v>0</v>
      </c>
      <c r="BB28" s="2">
        <f t="shared" si="9"/>
        <v>0</v>
      </c>
    </row>
    <row r="29">
      <c r="A29" s="2">
        <f>Spieler!A30</f>
        <v>25</v>
      </c>
      <c r="B29" s="2" t="str">
        <f>VLOOKUP(A29,Spieler!A:F,2,0)</f>
        <v/>
      </c>
      <c r="C29" s="2">
        <f>IF(B29=0,0,VLOOKUP(B29,Datensammler!B:U,3,0))</f>
        <v>0</v>
      </c>
      <c r="D29" s="2">
        <f>IF(B29=0,0,VLOOKUP(B29,Datensammler!B:U,4,0))</f>
        <v>0</v>
      </c>
      <c r="E29" s="2">
        <f>IF(B29=0,0,VLOOKUP(B29,Datensammler!B:U,5,0))</f>
        <v>0</v>
      </c>
      <c r="F29" s="2">
        <f>IF(B29=0,0,VLOOKUP(B29,Datensammler!B:U,6,0))</f>
        <v>0</v>
      </c>
      <c r="G29" s="2">
        <f>IF(B29=0,0,VLOOKUP(B29,Datensammler!B:U,7,0))</f>
        <v>0</v>
      </c>
      <c r="H29" s="2">
        <f>IF(B29=0,0,VLOOKUP(B29,Datensammler!B:U,8,0))</f>
        <v>0</v>
      </c>
      <c r="I29" s="2">
        <f>IF(B29=0,0,VLOOKUP(B29,Datensammler!B:U,9,0))</f>
        <v>0</v>
      </c>
      <c r="J29" s="2">
        <f>IF(B29=0,0,VLOOKUP(B29,Datensammler!B:U,10,0))</f>
        <v>0</v>
      </c>
      <c r="K29" s="2">
        <f>IF(B29=0,0,VLOOKUP(B29,Datensammler!B:U,11,0))</f>
        <v>0</v>
      </c>
      <c r="L29" s="2">
        <f>IF(B29=0,0,VLOOKUP(B29,Datensammler!B:U,12,0))</f>
        <v>0</v>
      </c>
      <c r="M29" s="2">
        <f>IF(B29=0,0,VLOOKUP(B29,Datensammler!B:U,13,0))</f>
        <v>0</v>
      </c>
      <c r="N29" s="2">
        <f>IF(B29=0,0,VLOOKUP(B29,Datensammler!B:U,14,0))</f>
        <v>0</v>
      </c>
      <c r="O29" s="2">
        <f>IF(B29=0,0,VLOOKUP(B29,Datensammler!B:U,15,0))</f>
        <v>0</v>
      </c>
      <c r="P29" s="2">
        <f>IF(B29=0,0,VLOOKUP(B29,Datensammler!B:U,16,0))</f>
        <v>0</v>
      </c>
      <c r="Q29" s="2">
        <f>IF(B29=0,0,VLOOKUP(B29,Datensammler!B:U,17,0))</f>
        <v>0</v>
      </c>
      <c r="R29" s="2">
        <f>IF(B29=0,0,VLOOKUP(B29,Datensammler!B:U,18,0))</f>
        <v>0</v>
      </c>
      <c r="S29" s="2">
        <f>IF(B29=0,0,VLOOKUP(B29,Datensammler!B:U,19,0))</f>
        <v>0</v>
      </c>
      <c r="T29" s="2">
        <f>IF(B29=0,0,VLOOKUP(B29,Datensammler!B:U,20,0))</f>
        <v>0</v>
      </c>
      <c r="U29" s="50">
        <f t="shared" ref="U29:AL29" si="32">C29</f>
        <v>0</v>
      </c>
      <c r="V29" s="50">
        <f t="shared" si="32"/>
        <v>0</v>
      </c>
      <c r="W29" s="50">
        <f t="shared" si="32"/>
        <v>0</v>
      </c>
      <c r="X29" s="50">
        <f t="shared" si="32"/>
        <v>0</v>
      </c>
      <c r="Y29" s="50">
        <f t="shared" si="32"/>
        <v>0</v>
      </c>
      <c r="Z29" s="50">
        <f t="shared" si="32"/>
        <v>0</v>
      </c>
      <c r="AA29" s="50">
        <f t="shared" si="32"/>
        <v>0</v>
      </c>
      <c r="AB29" s="50">
        <f t="shared" si="32"/>
        <v>0</v>
      </c>
      <c r="AC29" s="50">
        <f t="shared" si="32"/>
        <v>0</v>
      </c>
      <c r="AD29" s="50">
        <f t="shared" si="32"/>
        <v>0</v>
      </c>
      <c r="AE29" s="50">
        <f t="shared" si="32"/>
        <v>0</v>
      </c>
      <c r="AF29" s="50">
        <f t="shared" si="32"/>
        <v>0</v>
      </c>
      <c r="AG29" s="50">
        <f t="shared" si="32"/>
        <v>0</v>
      </c>
      <c r="AH29" s="50">
        <f t="shared" si="32"/>
        <v>0</v>
      </c>
      <c r="AI29" s="50">
        <f t="shared" si="32"/>
        <v>0</v>
      </c>
      <c r="AJ29" s="50">
        <f t="shared" si="32"/>
        <v>0</v>
      </c>
      <c r="AK29" s="50">
        <f t="shared" si="32"/>
        <v>0</v>
      </c>
      <c r="AL29" s="50">
        <f t="shared" si="32"/>
        <v>0</v>
      </c>
      <c r="AP29" s="2">
        <f t="shared" si="3"/>
        <v>0</v>
      </c>
      <c r="AQ29" s="2">
        <f>IFERROR(__xludf.DUMMYFUNCTION("IF(V29&gt;0,MIN(FILTER(U29:AL29, U29:AL29&lt;&gt;0)),0)"),0.0)</f>
        <v>0</v>
      </c>
      <c r="AS29" s="2">
        <f t="shared" si="4"/>
        <v>0</v>
      </c>
      <c r="AU29" s="2">
        <f t="shared" si="5"/>
        <v>0</v>
      </c>
      <c r="AW29" s="2">
        <f t="shared" si="6"/>
        <v>0</v>
      </c>
      <c r="AX29" s="2">
        <f>IFERROR(__xludf.DUMMYFUNCTION("IF(X29&gt;0,SMALL(FILTER(U29:AL29, U29:AL29&lt;&gt;0), 2),0)"),0.0)</f>
        <v>0</v>
      </c>
      <c r="AY29" s="2">
        <f t="shared" si="7"/>
        <v>0</v>
      </c>
      <c r="AZ29" s="2">
        <f t="shared" si="8"/>
        <v>0</v>
      </c>
      <c r="BA29" s="2">
        <f>IFERROR(__xludf.DUMMYFUNCTION("IF(Y29&gt;0,SMALL(FILTER(U29:AL29, U29:AL29&lt;&gt;0), 3),0)"),0.0)</f>
        <v>0</v>
      </c>
      <c r="BB29" s="2">
        <f t="shared" si="9"/>
        <v>0</v>
      </c>
    </row>
    <row r="30">
      <c r="A30" s="2">
        <f>Spieler!A31</f>
        <v>26</v>
      </c>
      <c r="B30" s="2" t="str">
        <f>VLOOKUP(A30,Spieler!A:F,2,0)</f>
        <v/>
      </c>
      <c r="C30" s="2">
        <f>IF(B30=0,0,VLOOKUP(B30,Datensammler!B:U,3,0))</f>
        <v>0</v>
      </c>
      <c r="D30" s="2">
        <f>IF(B30=0,0,VLOOKUP(B30,Datensammler!B:U,4,0))</f>
        <v>0</v>
      </c>
      <c r="E30" s="2">
        <f>IF(B30=0,0,VLOOKUP(B30,Datensammler!B:U,5,0))</f>
        <v>0</v>
      </c>
      <c r="F30" s="2">
        <f>IF(B30=0,0,VLOOKUP(B30,Datensammler!B:U,6,0))</f>
        <v>0</v>
      </c>
      <c r="G30" s="2">
        <f>IF(B30=0,0,VLOOKUP(B30,Datensammler!B:U,7,0))</f>
        <v>0</v>
      </c>
      <c r="H30" s="2">
        <f>IF(B30=0,0,VLOOKUP(B30,Datensammler!B:U,8,0))</f>
        <v>0</v>
      </c>
      <c r="I30" s="2">
        <f>IF(B30=0,0,VLOOKUP(B30,Datensammler!B:U,9,0))</f>
        <v>0</v>
      </c>
      <c r="J30" s="2">
        <f>IF(B30=0,0,VLOOKUP(B30,Datensammler!B:U,10,0))</f>
        <v>0</v>
      </c>
      <c r="K30" s="2">
        <f>IF(B30=0,0,VLOOKUP(B30,Datensammler!B:U,11,0))</f>
        <v>0</v>
      </c>
      <c r="L30" s="2">
        <f>IF(B30=0,0,VLOOKUP(B30,Datensammler!B:U,12,0))</f>
        <v>0</v>
      </c>
      <c r="M30" s="2">
        <f>IF(B30=0,0,VLOOKUP(B30,Datensammler!B:U,13,0))</f>
        <v>0</v>
      </c>
      <c r="N30" s="2">
        <f>IF(B30=0,0,VLOOKUP(B30,Datensammler!B:U,14,0))</f>
        <v>0</v>
      </c>
      <c r="O30" s="2">
        <f>IF(B30=0,0,VLOOKUP(B30,Datensammler!B:U,15,0))</f>
        <v>0</v>
      </c>
      <c r="P30" s="2">
        <f>IF(B30=0,0,VLOOKUP(B30,Datensammler!B:U,16,0))</f>
        <v>0</v>
      </c>
      <c r="Q30" s="2">
        <f>IF(B30=0,0,VLOOKUP(B30,Datensammler!B:U,17,0))</f>
        <v>0</v>
      </c>
      <c r="R30" s="2">
        <f>IF(B30=0,0,VLOOKUP(B30,Datensammler!B:U,18,0))</f>
        <v>0</v>
      </c>
      <c r="S30" s="2">
        <f>IF(B30=0,0,VLOOKUP(B30,Datensammler!B:U,19,0))</f>
        <v>0</v>
      </c>
      <c r="T30" s="2">
        <f>IF(B30=0,0,VLOOKUP(B30,Datensammler!B:U,20,0))</f>
        <v>0</v>
      </c>
      <c r="U30" s="50">
        <f t="shared" ref="U30:AL30" si="33">C30</f>
        <v>0</v>
      </c>
      <c r="V30" s="50">
        <f t="shared" si="33"/>
        <v>0</v>
      </c>
      <c r="W30" s="50">
        <f t="shared" si="33"/>
        <v>0</v>
      </c>
      <c r="X30" s="50">
        <f t="shared" si="33"/>
        <v>0</v>
      </c>
      <c r="Y30" s="50">
        <f t="shared" si="33"/>
        <v>0</v>
      </c>
      <c r="Z30" s="50">
        <f t="shared" si="33"/>
        <v>0</v>
      </c>
      <c r="AA30" s="50">
        <f t="shared" si="33"/>
        <v>0</v>
      </c>
      <c r="AB30" s="50">
        <f t="shared" si="33"/>
        <v>0</v>
      </c>
      <c r="AC30" s="50">
        <f t="shared" si="33"/>
        <v>0</v>
      </c>
      <c r="AD30" s="50">
        <f t="shared" si="33"/>
        <v>0</v>
      </c>
      <c r="AE30" s="50">
        <f t="shared" si="33"/>
        <v>0</v>
      </c>
      <c r="AF30" s="50">
        <f t="shared" si="33"/>
        <v>0</v>
      </c>
      <c r="AG30" s="50">
        <f t="shared" si="33"/>
        <v>0</v>
      </c>
      <c r="AH30" s="50">
        <f t="shared" si="33"/>
        <v>0</v>
      </c>
      <c r="AI30" s="50">
        <f t="shared" si="33"/>
        <v>0</v>
      </c>
      <c r="AJ30" s="50">
        <f t="shared" si="33"/>
        <v>0</v>
      </c>
      <c r="AK30" s="50">
        <f t="shared" si="33"/>
        <v>0</v>
      </c>
      <c r="AL30" s="50">
        <f t="shared" si="33"/>
        <v>0</v>
      </c>
      <c r="AP30" s="2">
        <f t="shared" si="3"/>
        <v>0</v>
      </c>
      <c r="AQ30" s="2">
        <f>IFERROR(__xludf.DUMMYFUNCTION("IF(V30&gt;0,MIN(FILTER(U30:AL30, U30:AL30&lt;&gt;0)),0)"),0.0)</f>
        <v>0</v>
      </c>
      <c r="AS30" s="2">
        <f t="shared" si="4"/>
        <v>0</v>
      </c>
      <c r="AU30" s="2">
        <f t="shared" si="5"/>
        <v>0</v>
      </c>
      <c r="AW30" s="2">
        <f t="shared" si="6"/>
        <v>0</v>
      </c>
      <c r="AX30" s="2">
        <f>IFERROR(__xludf.DUMMYFUNCTION("IF(X30&gt;0,SMALL(FILTER(U30:AL30, U30:AL30&lt;&gt;0), 2),0)"),0.0)</f>
        <v>0</v>
      </c>
      <c r="AY30" s="2">
        <f t="shared" si="7"/>
        <v>0</v>
      </c>
      <c r="AZ30" s="2">
        <f t="shared" si="8"/>
        <v>0</v>
      </c>
      <c r="BA30" s="2">
        <f>IFERROR(__xludf.DUMMYFUNCTION("IF(Y30&gt;0,SMALL(FILTER(U30:AL30, U30:AL30&lt;&gt;0), 3),0)"),0.0)</f>
        <v>0</v>
      </c>
      <c r="BB30" s="2">
        <f t="shared" si="9"/>
        <v>0</v>
      </c>
    </row>
    <row r="31">
      <c r="A31" s="2">
        <f>Spieler!A32</f>
        <v>27</v>
      </c>
      <c r="B31" s="2" t="str">
        <f>VLOOKUP(A31,Spieler!A:F,2,0)</f>
        <v/>
      </c>
      <c r="C31" s="2">
        <f>IF(B31=0,0,VLOOKUP(B31,Datensammler!B:U,3,0))</f>
        <v>0</v>
      </c>
      <c r="D31" s="2">
        <f>IF(B31=0,0,VLOOKUP(B31,Datensammler!B:U,4,0))</f>
        <v>0</v>
      </c>
      <c r="E31" s="2">
        <f>IF(B31=0,0,VLOOKUP(B31,Datensammler!B:U,5,0))</f>
        <v>0</v>
      </c>
      <c r="F31" s="2">
        <f>IF(B31=0,0,VLOOKUP(B31,Datensammler!B:U,6,0))</f>
        <v>0</v>
      </c>
      <c r="G31" s="2">
        <f>IF(B31=0,0,VLOOKUP(B31,Datensammler!B:U,7,0))</f>
        <v>0</v>
      </c>
      <c r="H31" s="2">
        <f>IF(B31=0,0,VLOOKUP(B31,Datensammler!B:U,8,0))</f>
        <v>0</v>
      </c>
      <c r="I31" s="2">
        <f>IF(B31=0,0,VLOOKUP(B31,Datensammler!B:U,9,0))</f>
        <v>0</v>
      </c>
      <c r="J31" s="2">
        <f>IF(B31=0,0,VLOOKUP(B31,Datensammler!B:U,10,0))</f>
        <v>0</v>
      </c>
      <c r="K31" s="2">
        <f>IF(B31=0,0,VLOOKUP(B31,Datensammler!B:U,11,0))</f>
        <v>0</v>
      </c>
      <c r="L31" s="2">
        <f>IF(B31=0,0,VLOOKUP(B31,Datensammler!B:U,12,0))</f>
        <v>0</v>
      </c>
      <c r="M31" s="2">
        <f>IF(B31=0,0,VLOOKUP(B31,Datensammler!B:U,13,0))</f>
        <v>0</v>
      </c>
      <c r="N31" s="2">
        <f>IF(B31=0,0,VLOOKUP(B31,Datensammler!B:U,14,0))</f>
        <v>0</v>
      </c>
      <c r="O31" s="2">
        <f>IF(B31=0,0,VLOOKUP(B31,Datensammler!B:U,15,0))</f>
        <v>0</v>
      </c>
      <c r="P31" s="2">
        <f>IF(B31=0,0,VLOOKUP(B31,Datensammler!B:U,16,0))</f>
        <v>0</v>
      </c>
      <c r="Q31" s="2">
        <f>IF(B31=0,0,VLOOKUP(B31,Datensammler!B:U,17,0))</f>
        <v>0</v>
      </c>
      <c r="R31" s="2">
        <f>IF(B31=0,0,VLOOKUP(B31,Datensammler!B:U,18,0))</f>
        <v>0</v>
      </c>
      <c r="S31" s="2">
        <f>IF(B31=0,0,VLOOKUP(B31,Datensammler!B:U,19,0))</f>
        <v>0</v>
      </c>
      <c r="T31" s="2">
        <f>IF(B31=0,0,VLOOKUP(B31,Datensammler!B:U,20,0))</f>
        <v>0</v>
      </c>
      <c r="U31" s="50">
        <f t="shared" ref="U31:AL31" si="34">C31</f>
        <v>0</v>
      </c>
      <c r="V31" s="50">
        <f t="shared" si="34"/>
        <v>0</v>
      </c>
      <c r="W31" s="50">
        <f t="shared" si="34"/>
        <v>0</v>
      </c>
      <c r="X31" s="50">
        <f t="shared" si="34"/>
        <v>0</v>
      </c>
      <c r="Y31" s="50">
        <f t="shared" si="34"/>
        <v>0</v>
      </c>
      <c r="Z31" s="50">
        <f t="shared" si="34"/>
        <v>0</v>
      </c>
      <c r="AA31" s="50">
        <f t="shared" si="34"/>
        <v>0</v>
      </c>
      <c r="AB31" s="50">
        <f t="shared" si="34"/>
        <v>0</v>
      </c>
      <c r="AC31" s="50">
        <f t="shared" si="34"/>
        <v>0</v>
      </c>
      <c r="AD31" s="50">
        <f t="shared" si="34"/>
        <v>0</v>
      </c>
      <c r="AE31" s="50">
        <f t="shared" si="34"/>
        <v>0</v>
      </c>
      <c r="AF31" s="50">
        <f t="shared" si="34"/>
        <v>0</v>
      </c>
      <c r="AG31" s="50">
        <f t="shared" si="34"/>
        <v>0</v>
      </c>
      <c r="AH31" s="50">
        <f t="shared" si="34"/>
        <v>0</v>
      </c>
      <c r="AI31" s="50">
        <f t="shared" si="34"/>
        <v>0</v>
      </c>
      <c r="AJ31" s="50">
        <f t="shared" si="34"/>
        <v>0</v>
      </c>
      <c r="AK31" s="50">
        <f t="shared" si="34"/>
        <v>0</v>
      </c>
      <c r="AL31" s="50">
        <f t="shared" si="34"/>
        <v>0</v>
      </c>
      <c r="AP31" s="2">
        <f t="shared" si="3"/>
        <v>0</v>
      </c>
      <c r="AQ31" s="2">
        <f>IFERROR(__xludf.DUMMYFUNCTION("IF(V31&gt;0,MIN(FILTER(U31:AL31, U31:AL31&lt;&gt;0)),0)"),0.0)</f>
        <v>0</v>
      </c>
      <c r="AS31" s="2">
        <f t="shared" si="4"/>
        <v>0</v>
      </c>
      <c r="AU31" s="2">
        <f t="shared" si="5"/>
        <v>0</v>
      </c>
      <c r="AW31" s="2">
        <f t="shared" si="6"/>
        <v>0</v>
      </c>
      <c r="AX31" s="2">
        <f>IFERROR(__xludf.DUMMYFUNCTION("IF(X31&gt;0,SMALL(FILTER(U31:AL31, U31:AL31&lt;&gt;0), 2),0)"),0.0)</f>
        <v>0</v>
      </c>
      <c r="AY31" s="2">
        <f t="shared" si="7"/>
        <v>0</v>
      </c>
      <c r="AZ31" s="2">
        <f t="shared" si="8"/>
        <v>0</v>
      </c>
      <c r="BA31" s="2">
        <f>IFERROR(__xludf.DUMMYFUNCTION("IF(Y31&gt;0,SMALL(FILTER(U31:AL31, U31:AL31&lt;&gt;0), 3),0)"),0.0)</f>
        <v>0</v>
      </c>
      <c r="BB31" s="2">
        <f t="shared" si="9"/>
        <v>0</v>
      </c>
    </row>
    <row r="32">
      <c r="A32" s="2">
        <f>Spieler!A33</f>
        <v>28</v>
      </c>
      <c r="B32" s="2" t="str">
        <f>VLOOKUP(A32,Spieler!A:F,2,0)</f>
        <v/>
      </c>
      <c r="C32" s="2">
        <f>IF(B32=0,0,VLOOKUP(B32,Datensammler!B:U,3,0))</f>
        <v>0</v>
      </c>
      <c r="D32" s="2">
        <f>IF(B32=0,0,VLOOKUP(B32,Datensammler!B:U,4,0))</f>
        <v>0</v>
      </c>
      <c r="E32" s="2">
        <f>IF(B32=0,0,VLOOKUP(B32,Datensammler!B:U,5,0))</f>
        <v>0</v>
      </c>
      <c r="F32" s="2">
        <f>IF(B32=0,0,VLOOKUP(B32,Datensammler!B:U,6,0))</f>
        <v>0</v>
      </c>
      <c r="G32" s="2">
        <f>IF(B32=0,0,VLOOKUP(B32,Datensammler!B:U,7,0))</f>
        <v>0</v>
      </c>
      <c r="H32" s="2">
        <f>IF(B32=0,0,VLOOKUP(B32,Datensammler!B:U,8,0))</f>
        <v>0</v>
      </c>
      <c r="I32" s="2">
        <f>IF(B32=0,0,VLOOKUP(B32,Datensammler!B:U,9,0))</f>
        <v>0</v>
      </c>
      <c r="J32" s="2">
        <f>IF(B32=0,0,VLOOKUP(B32,Datensammler!B:U,10,0))</f>
        <v>0</v>
      </c>
      <c r="K32" s="2">
        <f>IF(B32=0,0,VLOOKUP(B32,Datensammler!B:U,11,0))</f>
        <v>0</v>
      </c>
      <c r="L32" s="2">
        <f>IF(B32=0,0,VLOOKUP(B32,Datensammler!B:U,12,0))</f>
        <v>0</v>
      </c>
      <c r="M32" s="2">
        <f>IF(B32=0,0,VLOOKUP(B32,Datensammler!B:U,13,0))</f>
        <v>0</v>
      </c>
      <c r="N32" s="2">
        <f>IF(B32=0,0,VLOOKUP(B32,Datensammler!B:U,14,0))</f>
        <v>0</v>
      </c>
      <c r="O32" s="2">
        <f>IF(B32=0,0,VLOOKUP(B32,Datensammler!B:U,15,0))</f>
        <v>0</v>
      </c>
      <c r="P32" s="2">
        <f>IF(B32=0,0,VLOOKUP(B32,Datensammler!B:U,16,0))</f>
        <v>0</v>
      </c>
      <c r="Q32" s="2">
        <f>IF(B32=0,0,VLOOKUP(B32,Datensammler!B:U,17,0))</f>
        <v>0</v>
      </c>
      <c r="R32" s="2">
        <f>IF(B32=0,0,VLOOKUP(B32,Datensammler!B:U,18,0))</f>
        <v>0</v>
      </c>
      <c r="S32" s="2">
        <f>IF(B32=0,0,VLOOKUP(B32,Datensammler!B:U,19,0))</f>
        <v>0</v>
      </c>
      <c r="T32" s="2">
        <f>IF(B32=0,0,VLOOKUP(B32,Datensammler!B:U,20,0))</f>
        <v>0</v>
      </c>
      <c r="U32" s="50">
        <f t="shared" ref="U32:AL32" si="35">C32</f>
        <v>0</v>
      </c>
      <c r="V32" s="50">
        <f t="shared" si="35"/>
        <v>0</v>
      </c>
      <c r="W32" s="50">
        <f t="shared" si="35"/>
        <v>0</v>
      </c>
      <c r="X32" s="50">
        <f t="shared" si="35"/>
        <v>0</v>
      </c>
      <c r="Y32" s="50">
        <f t="shared" si="35"/>
        <v>0</v>
      </c>
      <c r="Z32" s="50">
        <f t="shared" si="35"/>
        <v>0</v>
      </c>
      <c r="AA32" s="50">
        <f t="shared" si="35"/>
        <v>0</v>
      </c>
      <c r="AB32" s="50">
        <f t="shared" si="35"/>
        <v>0</v>
      </c>
      <c r="AC32" s="50">
        <f t="shared" si="35"/>
        <v>0</v>
      </c>
      <c r="AD32" s="50">
        <f t="shared" si="35"/>
        <v>0</v>
      </c>
      <c r="AE32" s="50">
        <f t="shared" si="35"/>
        <v>0</v>
      </c>
      <c r="AF32" s="50">
        <f t="shared" si="35"/>
        <v>0</v>
      </c>
      <c r="AG32" s="50">
        <f t="shared" si="35"/>
        <v>0</v>
      </c>
      <c r="AH32" s="50">
        <f t="shared" si="35"/>
        <v>0</v>
      </c>
      <c r="AI32" s="50">
        <f t="shared" si="35"/>
        <v>0</v>
      </c>
      <c r="AJ32" s="50">
        <f t="shared" si="35"/>
        <v>0</v>
      </c>
      <c r="AK32" s="50">
        <f t="shared" si="35"/>
        <v>0</v>
      </c>
      <c r="AL32" s="50">
        <f t="shared" si="35"/>
        <v>0</v>
      </c>
      <c r="AP32" s="2">
        <f t="shared" si="3"/>
        <v>0</v>
      </c>
      <c r="AQ32" s="2">
        <f>IFERROR(__xludf.DUMMYFUNCTION("IF(V32&gt;0,MIN(FILTER(U32:AL32, U32:AL32&lt;&gt;0)),0)"),0.0)</f>
        <v>0</v>
      </c>
      <c r="AS32" s="2">
        <f t="shared" si="4"/>
        <v>0</v>
      </c>
      <c r="AU32" s="2">
        <f t="shared" si="5"/>
        <v>0</v>
      </c>
      <c r="AW32" s="2">
        <f t="shared" si="6"/>
        <v>0</v>
      </c>
      <c r="AX32" s="2">
        <f>IFERROR(__xludf.DUMMYFUNCTION("IF(X32&gt;0,SMALL(FILTER(U32:AL32, U32:AL32&lt;&gt;0), 2),0)"),0.0)</f>
        <v>0</v>
      </c>
      <c r="AY32" s="2">
        <f t="shared" si="7"/>
        <v>0</v>
      </c>
      <c r="AZ32" s="2">
        <f t="shared" si="8"/>
        <v>0</v>
      </c>
      <c r="BA32" s="2">
        <f>IFERROR(__xludf.DUMMYFUNCTION("IF(Y32&gt;0,SMALL(FILTER(U32:AL32, U32:AL32&lt;&gt;0), 3),0)"),0.0)</f>
        <v>0</v>
      </c>
      <c r="BB32" s="2">
        <f t="shared" si="9"/>
        <v>0</v>
      </c>
    </row>
    <row r="33">
      <c r="A33" s="2">
        <f>Spieler!A34</f>
        <v>29</v>
      </c>
      <c r="B33" s="2" t="str">
        <f>VLOOKUP(A33,Spieler!A:F,2,0)</f>
        <v/>
      </c>
      <c r="C33" s="2">
        <f>IF(B33=0,0,VLOOKUP(B33,Datensammler!B:U,3,0))</f>
        <v>0</v>
      </c>
      <c r="D33" s="2">
        <f>IF(B33=0,0,VLOOKUP(B33,Datensammler!B:U,4,0))</f>
        <v>0</v>
      </c>
      <c r="E33" s="2">
        <f>IF(B33=0,0,VLOOKUP(B33,Datensammler!B:U,5,0))</f>
        <v>0</v>
      </c>
      <c r="F33" s="2">
        <f>IF(B33=0,0,VLOOKUP(B33,Datensammler!B:U,6,0))</f>
        <v>0</v>
      </c>
      <c r="G33" s="2">
        <f>IF(B33=0,0,VLOOKUP(B33,Datensammler!B:U,7,0))</f>
        <v>0</v>
      </c>
      <c r="H33" s="2">
        <f>IF(B33=0,0,VLOOKUP(B33,Datensammler!B:U,8,0))</f>
        <v>0</v>
      </c>
      <c r="I33" s="2">
        <f>IF(B33=0,0,VLOOKUP(B33,Datensammler!B:U,9,0))</f>
        <v>0</v>
      </c>
      <c r="J33" s="2">
        <f>IF(B33=0,0,VLOOKUP(B33,Datensammler!B:U,10,0))</f>
        <v>0</v>
      </c>
      <c r="K33" s="2">
        <f>IF(B33=0,0,VLOOKUP(B33,Datensammler!B:U,11,0))</f>
        <v>0</v>
      </c>
      <c r="L33" s="2">
        <f>IF(B33=0,0,VLOOKUP(B33,Datensammler!B:U,12,0))</f>
        <v>0</v>
      </c>
      <c r="M33" s="2">
        <f>IF(B33=0,0,VLOOKUP(B33,Datensammler!B:U,13,0))</f>
        <v>0</v>
      </c>
      <c r="N33" s="2">
        <f>IF(B33=0,0,VLOOKUP(B33,Datensammler!B:U,14,0))</f>
        <v>0</v>
      </c>
      <c r="O33" s="2">
        <f>IF(B33=0,0,VLOOKUP(B33,Datensammler!B:U,15,0))</f>
        <v>0</v>
      </c>
      <c r="P33" s="2">
        <f>IF(B33=0,0,VLOOKUP(B33,Datensammler!B:U,16,0))</f>
        <v>0</v>
      </c>
      <c r="Q33" s="2">
        <f>IF(B33=0,0,VLOOKUP(B33,Datensammler!B:U,17,0))</f>
        <v>0</v>
      </c>
      <c r="R33" s="2">
        <f>IF(B33=0,0,VLOOKUP(B33,Datensammler!B:U,18,0))</f>
        <v>0</v>
      </c>
      <c r="S33" s="2">
        <f>IF(B33=0,0,VLOOKUP(B33,Datensammler!B:U,19,0))</f>
        <v>0</v>
      </c>
      <c r="T33" s="2">
        <f>IF(B33=0,0,VLOOKUP(B33,Datensammler!B:U,20,0))</f>
        <v>0</v>
      </c>
      <c r="U33" s="50">
        <f t="shared" ref="U33:AL33" si="36">C33</f>
        <v>0</v>
      </c>
      <c r="V33" s="50">
        <f t="shared" si="36"/>
        <v>0</v>
      </c>
      <c r="W33" s="50">
        <f t="shared" si="36"/>
        <v>0</v>
      </c>
      <c r="X33" s="50">
        <f t="shared" si="36"/>
        <v>0</v>
      </c>
      <c r="Y33" s="50">
        <f t="shared" si="36"/>
        <v>0</v>
      </c>
      <c r="Z33" s="50">
        <f t="shared" si="36"/>
        <v>0</v>
      </c>
      <c r="AA33" s="50">
        <f t="shared" si="36"/>
        <v>0</v>
      </c>
      <c r="AB33" s="50">
        <f t="shared" si="36"/>
        <v>0</v>
      </c>
      <c r="AC33" s="50">
        <f t="shared" si="36"/>
        <v>0</v>
      </c>
      <c r="AD33" s="50">
        <f t="shared" si="36"/>
        <v>0</v>
      </c>
      <c r="AE33" s="50">
        <f t="shared" si="36"/>
        <v>0</v>
      </c>
      <c r="AF33" s="50">
        <f t="shared" si="36"/>
        <v>0</v>
      </c>
      <c r="AG33" s="50">
        <f t="shared" si="36"/>
        <v>0</v>
      </c>
      <c r="AH33" s="50">
        <f t="shared" si="36"/>
        <v>0</v>
      </c>
      <c r="AI33" s="50">
        <f t="shared" si="36"/>
        <v>0</v>
      </c>
      <c r="AJ33" s="50">
        <f t="shared" si="36"/>
        <v>0</v>
      </c>
      <c r="AK33" s="50">
        <f t="shared" si="36"/>
        <v>0</v>
      </c>
      <c r="AL33" s="50">
        <f t="shared" si="36"/>
        <v>0</v>
      </c>
      <c r="AP33" s="2">
        <f t="shared" si="3"/>
        <v>0</v>
      </c>
      <c r="AQ33" s="2">
        <f>IFERROR(__xludf.DUMMYFUNCTION("IF(V33&gt;0,MIN(FILTER(U33:AL33, U33:AL33&lt;&gt;0)),0)"),0.0)</f>
        <v>0</v>
      </c>
      <c r="AS33" s="2">
        <f t="shared" si="4"/>
        <v>0</v>
      </c>
      <c r="AU33" s="2">
        <f t="shared" si="5"/>
        <v>0</v>
      </c>
      <c r="AW33" s="2">
        <f t="shared" si="6"/>
        <v>0</v>
      </c>
      <c r="AX33" s="2">
        <f>IFERROR(__xludf.DUMMYFUNCTION("IF(X33&gt;0,SMALL(FILTER(U33:AL33, U33:AL33&lt;&gt;0), 2),0)"),0.0)</f>
        <v>0</v>
      </c>
      <c r="AY33" s="2">
        <f t="shared" si="7"/>
        <v>0</v>
      </c>
      <c r="AZ33" s="2">
        <f t="shared" si="8"/>
        <v>0</v>
      </c>
      <c r="BA33" s="2">
        <f>IFERROR(__xludf.DUMMYFUNCTION("IF(Y33&gt;0,SMALL(FILTER(U33:AL33, U33:AL33&lt;&gt;0), 3),0)"),0.0)</f>
        <v>0</v>
      </c>
      <c r="BB33" s="2">
        <f t="shared" si="9"/>
        <v>0</v>
      </c>
    </row>
    <row r="34">
      <c r="A34" s="2">
        <f>Spieler!A35</f>
        <v>30</v>
      </c>
      <c r="B34" s="2" t="str">
        <f>VLOOKUP(A34,Spieler!A:F,2,0)</f>
        <v/>
      </c>
      <c r="C34" s="2">
        <f>IF(B34=0,0,VLOOKUP(B34,Datensammler!B:U,3,0))</f>
        <v>0</v>
      </c>
      <c r="D34" s="2">
        <f>IF(B34=0,0,VLOOKUP(B34,Datensammler!B:U,4,0))</f>
        <v>0</v>
      </c>
      <c r="E34" s="2">
        <f>IF(B34=0,0,VLOOKUP(B34,Datensammler!B:U,5,0))</f>
        <v>0</v>
      </c>
      <c r="F34" s="2">
        <f>IF(B34=0,0,VLOOKUP(B34,Datensammler!B:U,6,0))</f>
        <v>0</v>
      </c>
      <c r="G34" s="2">
        <f>IF(B34=0,0,VLOOKUP(B34,Datensammler!B:U,7,0))</f>
        <v>0</v>
      </c>
      <c r="H34" s="2">
        <f>IF(B34=0,0,VLOOKUP(B34,Datensammler!B:U,8,0))</f>
        <v>0</v>
      </c>
      <c r="I34" s="2">
        <f>IF(B34=0,0,VLOOKUP(B34,Datensammler!B:U,9,0))</f>
        <v>0</v>
      </c>
      <c r="J34" s="2">
        <f>IF(B34=0,0,VLOOKUP(B34,Datensammler!B:U,10,0))</f>
        <v>0</v>
      </c>
      <c r="K34" s="2">
        <f>IF(B34=0,0,VLOOKUP(B34,Datensammler!B:U,11,0))</f>
        <v>0</v>
      </c>
      <c r="L34" s="2">
        <f>IF(B34=0,0,VLOOKUP(B34,Datensammler!B:U,12,0))</f>
        <v>0</v>
      </c>
      <c r="M34" s="2">
        <f>IF(B34=0,0,VLOOKUP(B34,Datensammler!B:U,13,0))</f>
        <v>0</v>
      </c>
      <c r="N34" s="2">
        <f>IF(B34=0,0,VLOOKUP(B34,Datensammler!B:U,14,0))</f>
        <v>0</v>
      </c>
      <c r="O34" s="2">
        <f>IF(B34=0,0,VLOOKUP(B34,Datensammler!B:U,15,0))</f>
        <v>0</v>
      </c>
      <c r="P34" s="2">
        <f>IF(B34=0,0,VLOOKUP(B34,Datensammler!B:U,16,0))</f>
        <v>0</v>
      </c>
      <c r="Q34" s="2">
        <f>IF(B34=0,0,VLOOKUP(B34,Datensammler!B:U,17,0))</f>
        <v>0</v>
      </c>
      <c r="R34" s="2">
        <f>IF(B34=0,0,VLOOKUP(B34,Datensammler!B:U,18,0))</f>
        <v>0</v>
      </c>
      <c r="S34" s="2">
        <f>IF(B34=0,0,VLOOKUP(B34,Datensammler!B:U,19,0))</f>
        <v>0</v>
      </c>
      <c r="T34" s="2">
        <f>IF(B34=0,0,VLOOKUP(B34,Datensammler!B:U,20,0))</f>
        <v>0</v>
      </c>
      <c r="U34" s="50">
        <f t="shared" ref="U34:AL34" si="37">C34</f>
        <v>0</v>
      </c>
      <c r="V34" s="50">
        <f t="shared" si="37"/>
        <v>0</v>
      </c>
      <c r="W34" s="50">
        <f t="shared" si="37"/>
        <v>0</v>
      </c>
      <c r="X34" s="50">
        <f t="shared" si="37"/>
        <v>0</v>
      </c>
      <c r="Y34" s="50">
        <f t="shared" si="37"/>
        <v>0</v>
      </c>
      <c r="Z34" s="50">
        <f t="shared" si="37"/>
        <v>0</v>
      </c>
      <c r="AA34" s="50">
        <f t="shared" si="37"/>
        <v>0</v>
      </c>
      <c r="AB34" s="50">
        <f t="shared" si="37"/>
        <v>0</v>
      </c>
      <c r="AC34" s="50">
        <f t="shared" si="37"/>
        <v>0</v>
      </c>
      <c r="AD34" s="50">
        <f t="shared" si="37"/>
        <v>0</v>
      </c>
      <c r="AE34" s="50">
        <f t="shared" si="37"/>
        <v>0</v>
      </c>
      <c r="AF34" s="50">
        <f t="shared" si="37"/>
        <v>0</v>
      </c>
      <c r="AG34" s="50">
        <f t="shared" si="37"/>
        <v>0</v>
      </c>
      <c r="AH34" s="50">
        <f t="shared" si="37"/>
        <v>0</v>
      </c>
      <c r="AI34" s="50">
        <f t="shared" si="37"/>
        <v>0</v>
      </c>
      <c r="AJ34" s="50">
        <f t="shared" si="37"/>
        <v>0</v>
      </c>
      <c r="AK34" s="50">
        <f t="shared" si="37"/>
        <v>0</v>
      </c>
      <c r="AL34" s="50">
        <f t="shared" si="37"/>
        <v>0</v>
      </c>
      <c r="AP34" s="2">
        <f t="shared" si="3"/>
        <v>0</v>
      </c>
      <c r="AQ34" s="2">
        <f>IFERROR(__xludf.DUMMYFUNCTION("IF(V34&gt;0,MIN(FILTER(U34:AL34, U34:AL34&lt;&gt;0)),0)"),0.0)</f>
        <v>0</v>
      </c>
      <c r="AS34" s="2">
        <f t="shared" si="4"/>
        <v>0</v>
      </c>
      <c r="AU34" s="2">
        <f t="shared" si="5"/>
        <v>0</v>
      </c>
      <c r="AW34" s="2">
        <f t="shared" si="6"/>
        <v>0</v>
      </c>
      <c r="AX34" s="2">
        <f>IFERROR(__xludf.DUMMYFUNCTION("IF(X34&gt;0,SMALL(FILTER(U34:AL34, U34:AL34&lt;&gt;0), 2),0)"),0.0)</f>
        <v>0</v>
      </c>
      <c r="AY34" s="2">
        <f t="shared" si="7"/>
        <v>0</v>
      </c>
      <c r="AZ34" s="2">
        <f t="shared" si="8"/>
        <v>0</v>
      </c>
      <c r="BA34" s="2">
        <f>IFERROR(__xludf.DUMMYFUNCTION("IF(Y34&gt;0,SMALL(FILTER(U34:AL34, U34:AL34&lt;&gt;0), 3),0)"),0.0)</f>
        <v>0</v>
      </c>
      <c r="BB34" s="2">
        <f t="shared" si="9"/>
        <v>0</v>
      </c>
    </row>
    <row r="35">
      <c r="A35" s="2">
        <f>Spieler!A36</f>
        <v>31</v>
      </c>
      <c r="B35" s="2" t="str">
        <f>VLOOKUP(A35,Spieler!A:F,2,0)</f>
        <v/>
      </c>
      <c r="C35" s="2">
        <f>IF(B35=0,0,VLOOKUP(B35,Datensammler!B:U,3,0))</f>
        <v>0</v>
      </c>
      <c r="D35" s="2">
        <f>IF(B35=0,0,VLOOKUP(B35,Datensammler!B:U,4,0))</f>
        <v>0</v>
      </c>
      <c r="E35" s="2">
        <f>IF(B35=0,0,VLOOKUP(B35,Datensammler!B:U,5,0))</f>
        <v>0</v>
      </c>
      <c r="F35" s="2">
        <f>IF(B35=0,0,VLOOKUP(B35,Datensammler!B:U,6,0))</f>
        <v>0</v>
      </c>
      <c r="G35" s="2">
        <f>IF(B35=0,0,VLOOKUP(B35,Datensammler!B:U,7,0))</f>
        <v>0</v>
      </c>
      <c r="H35" s="2">
        <f>IF(B35=0,0,VLOOKUP(B35,Datensammler!B:U,8,0))</f>
        <v>0</v>
      </c>
      <c r="I35" s="2">
        <f>IF(B35=0,0,VLOOKUP(B35,Datensammler!B:U,9,0))</f>
        <v>0</v>
      </c>
      <c r="J35" s="2">
        <f>IF(B35=0,0,VLOOKUP(B35,Datensammler!B:U,10,0))</f>
        <v>0</v>
      </c>
      <c r="K35" s="2">
        <f>IF(B35=0,0,VLOOKUP(B35,Datensammler!B:U,11,0))</f>
        <v>0</v>
      </c>
      <c r="L35" s="2">
        <f>IF(B35=0,0,VLOOKUP(B35,Datensammler!B:U,12,0))</f>
        <v>0</v>
      </c>
      <c r="M35" s="2">
        <f>IF(B35=0,0,VLOOKUP(B35,Datensammler!B:U,13,0))</f>
        <v>0</v>
      </c>
      <c r="N35" s="2">
        <f>IF(B35=0,0,VLOOKUP(B35,Datensammler!B:U,14,0))</f>
        <v>0</v>
      </c>
      <c r="O35" s="2">
        <f>IF(B35=0,0,VLOOKUP(B35,Datensammler!B:U,15,0))</f>
        <v>0</v>
      </c>
      <c r="P35" s="2">
        <f>IF(B35=0,0,VLOOKUP(B35,Datensammler!B:U,16,0))</f>
        <v>0</v>
      </c>
      <c r="Q35" s="2">
        <f>IF(B35=0,0,VLOOKUP(B35,Datensammler!B:U,17,0))</f>
        <v>0</v>
      </c>
      <c r="R35" s="2">
        <f>IF(B35=0,0,VLOOKUP(B35,Datensammler!B:U,18,0))</f>
        <v>0</v>
      </c>
      <c r="S35" s="2">
        <f>IF(B35=0,0,VLOOKUP(B35,Datensammler!B:U,19,0))</f>
        <v>0</v>
      </c>
      <c r="T35" s="2">
        <f>IF(B35=0,0,VLOOKUP(B35,Datensammler!B:U,20,0))</f>
        <v>0</v>
      </c>
      <c r="U35" s="50">
        <f t="shared" ref="U35:AL35" si="38">C35</f>
        <v>0</v>
      </c>
      <c r="V35" s="50">
        <f t="shared" si="38"/>
        <v>0</v>
      </c>
      <c r="W35" s="50">
        <f t="shared" si="38"/>
        <v>0</v>
      </c>
      <c r="X35" s="50">
        <f t="shared" si="38"/>
        <v>0</v>
      </c>
      <c r="Y35" s="50">
        <f t="shared" si="38"/>
        <v>0</v>
      </c>
      <c r="Z35" s="50">
        <f t="shared" si="38"/>
        <v>0</v>
      </c>
      <c r="AA35" s="50">
        <f t="shared" si="38"/>
        <v>0</v>
      </c>
      <c r="AB35" s="50">
        <f t="shared" si="38"/>
        <v>0</v>
      </c>
      <c r="AC35" s="50">
        <f t="shared" si="38"/>
        <v>0</v>
      </c>
      <c r="AD35" s="50">
        <f t="shared" si="38"/>
        <v>0</v>
      </c>
      <c r="AE35" s="50">
        <f t="shared" si="38"/>
        <v>0</v>
      </c>
      <c r="AF35" s="50">
        <f t="shared" si="38"/>
        <v>0</v>
      </c>
      <c r="AG35" s="50">
        <f t="shared" si="38"/>
        <v>0</v>
      </c>
      <c r="AH35" s="50">
        <f t="shared" si="38"/>
        <v>0</v>
      </c>
      <c r="AI35" s="50">
        <f t="shared" si="38"/>
        <v>0</v>
      </c>
      <c r="AJ35" s="50">
        <f t="shared" si="38"/>
        <v>0</v>
      </c>
      <c r="AK35" s="50">
        <f t="shared" si="38"/>
        <v>0</v>
      </c>
      <c r="AL35" s="50">
        <f t="shared" si="38"/>
        <v>0</v>
      </c>
      <c r="AP35" s="2">
        <f t="shared" si="3"/>
        <v>0</v>
      </c>
      <c r="AQ35" s="2">
        <f>IFERROR(__xludf.DUMMYFUNCTION("IF(V35&gt;0,MIN(FILTER(U35:AL35, U35:AL35&lt;&gt;0)),0)"),0.0)</f>
        <v>0</v>
      </c>
      <c r="AS35" s="2">
        <f t="shared" si="4"/>
        <v>0</v>
      </c>
      <c r="AU35" s="2">
        <f t="shared" si="5"/>
        <v>0</v>
      </c>
      <c r="AW35" s="2">
        <f t="shared" si="6"/>
        <v>0</v>
      </c>
      <c r="AX35" s="2">
        <f>IFERROR(__xludf.DUMMYFUNCTION("IF(X35&gt;0,SMALL(FILTER(U35:AL35, U35:AL35&lt;&gt;0), 2),0)"),0.0)</f>
        <v>0</v>
      </c>
      <c r="AY35" s="2">
        <f t="shared" si="7"/>
        <v>0</v>
      </c>
      <c r="AZ35" s="2">
        <f t="shared" si="8"/>
        <v>0</v>
      </c>
      <c r="BA35" s="2">
        <f>IFERROR(__xludf.DUMMYFUNCTION("IF(Y35&gt;0,SMALL(FILTER(U35:AL35, U35:AL35&lt;&gt;0), 3),0)"),0.0)</f>
        <v>0</v>
      </c>
      <c r="BB35" s="2">
        <f t="shared" si="9"/>
        <v>0</v>
      </c>
    </row>
    <row r="36">
      <c r="A36" s="2">
        <f>Spieler!A37</f>
        <v>32</v>
      </c>
      <c r="B36" s="2" t="str">
        <f>VLOOKUP(A36,Spieler!A:F,2,0)</f>
        <v/>
      </c>
      <c r="C36" s="2">
        <f>IF(B36=0,0,VLOOKUP(B36,Datensammler!B:U,3,0))</f>
        <v>0</v>
      </c>
      <c r="D36" s="2">
        <f>IF(B36=0,0,VLOOKUP(B36,Datensammler!B:U,4,0))</f>
        <v>0</v>
      </c>
      <c r="E36" s="2">
        <f>IF(B36=0,0,VLOOKUP(B36,Datensammler!B:U,5,0))</f>
        <v>0</v>
      </c>
      <c r="F36" s="2">
        <f>IF(B36=0,0,VLOOKUP(B36,Datensammler!B:U,6,0))</f>
        <v>0</v>
      </c>
      <c r="G36" s="2">
        <f>IF(B36=0,0,VLOOKUP(B36,Datensammler!B:U,7,0))</f>
        <v>0</v>
      </c>
      <c r="H36" s="2">
        <f>IF(B36=0,0,VLOOKUP(B36,Datensammler!B:U,8,0))</f>
        <v>0</v>
      </c>
      <c r="I36" s="2">
        <f>IF(B36=0,0,VLOOKUP(B36,Datensammler!B:U,9,0))</f>
        <v>0</v>
      </c>
      <c r="J36" s="2">
        <f>IF(B36=0,0,VLOOKUP(B36,Datensammler!B:U,10,0))</f>
        <v>0</v>
      </c>
      <c r="K36" s="2">
        <f>IF(B36=0,0,VLOOKUP(B36,Datensammler!B:U,11,0))</f>
        <v>0</v>
      </c>
      <c r="L36" s="2">
        <f>IF(B36=0,0,VLOOKUP(B36,Datensammler!B:U,12,0))</f>
        <v>0</v>
      </c>
      <c r="M36" s="2">
        <f>IF(B36=0,0,VLOOKUP(B36,Datensammler!B:U,13,0))</f>
        <v>0</v>
      </c>
      <c r="N36" s="2">
        <f>IF(B36=0,0,VLOOKUP(B36,Datensammler!B:U,14,0))</f>
        <v>0</v>
      </c>
      <c r="O36" s="2">
        <f>IF(B36=0,0,VLOOKUP(B36,Datensammler!B:U,15,0))</f>
        <v>0</v>
      </c>
      <c r="P36" s="2">
        <f>IF(B36=0,0,VLOOKUP(B36,Datensammler!B:U,16,0))</f>
        <v>0</v>
      </c>
      <c r="Q36" s="2">
        <f>IF(B36=0,0,VLOOKUP(B36,Datensammler!B:U,17,0))</f>
        <v>0</v>
      </c>
      <c r="R36" s="2">
        <f>IF(B36=0,0,VLOOKUP(B36,Datensammler!B:U,18,0))</f>
        <v>0</v>
      </c>
      <c r="S36" s="2">
        <f>IF(B36=0,0,VLOOKUP(B36,Datensammler!B:U,19,0))</f>
        <v>0</v>
      </c>
      <c r="T36" s="2">
        <f>IF(B36=0,0,VLOOKUP(B36,Datensammler!B:U,20,0))</f>
        <v>0</v>
      </c>
      <c r="U36" s="50">
        <f t="shared" ref="U36:AL36" si="39">C36</f>
        <v>0</v>
      </c>
      <c r="V36" s="50">
        <f t="shared" si="39"/>
        <v>0</v>
      </c>
      <c r="W36" s="50">
        <f t="shared" si="39"/>
        <v>0</v>
      </c>
      <c r="X36" s="50">
        <f t="shared" si="39"/>
        <v>0</v>
      </c>
      <c r="Y36" s="50">
        <f t="shared" si="39"/>
        <v>0</v>
      </c>
      <c r="Z36" s="50">
        <f t="shared" si="39"/>
        <v>0</v>
      </c>
      <c r="AA36" s="50">
        <f t="shared" si="39"/>
        <v>0</v>
      </c>
      <c r="AB36" s="50">
        <f t="shared" si="39"/>
        <v>0</v>
      </c>
      <c r="AC36" s="50">
        <f t="shared" si="39"/>
        <v>0</v>
      </c>
      <c r="AD36" s="50">
        <f t="shared" si="39"/>
        <v>0</v>
      </c>
      <c r="AE36" s="50">
        <f t="shared" si="39"/>
        <v>0</v>
      </c>
      <c r="AF36" s="50">
        <f t="shared" si="39"/>
        <v>0</v>
      </c>
      <c r="AG36" s="50">
        <f t="shared" si="39"/>
        <v>0</v>
      </c>
      <c r="AH36" s="50">
        <f t="shared" si="39"/>
        <v>0</v>
      </c>
      <c r="AI36" s="50">
        <f t="shared" si="39"/>
        <v>0</v>
      </c>
      <c r="AJ36" s="50">
        <f t="shared" si="39"/>
        <v>0</v>
      </c>
      <c r="AK36" s="50">
        <f t="shared" si="39"/>
        <v>0</v>
      </c>
      <c r="AL36" s="50">
        <f t="shared" si="39"/>
        <v>0</v>
      </c>
      <c r="AP36" s="2">
        <f t="shared" si="3"/>
        <v>0</v>
      </c>
      <c r="AQ36" s="2">
        <f>IFERROR(__xludf.DUMMYFUNCTION("IF(V36&gt;0,MIN(FILTER(U36:AL36, U36:AL36&lt;&gt;0)),0)"),0.0)</f>
        <v>0</v>
      </c>
      <c r="AS36" s="2">
        <f t="shared" si="4"/>
        <v>0</v>
      </c>
      <c r="AU36" s="2">
        <f t="shared" si="5"/>
        <v>0</v>
      </c>
      <c r="AW36" s="2">
        <f t="shared" si="6"/>
        <v>0</v>
      </c>
      <c r="AX36" s="2">
        <f>IFERROR(__xludf.DUMMYFUNCTION("IF(X36&gt;0,SMALL(FILTER(U36:AL36, U36:AL36&lt;&gt;0), 2),0)"),0.0)</f>
        <v>0</v>
      </c>
      <c r="AY36" s="2">
        <f t="shared" si="7"/>
        <v>0</v>
      </c>
      <c r="AZ36" s="2">
        <f t="shared" si="8"/>
        <v>0</v>
      </c>
      <c r="BA36" s="2">
        <f>IFERROR(__xludf.DUMMYFUNCTION("IF(Y36&gt;0,SMALL(FILTER(U36:AL36, U36:AL36&lt;&gt;0), 3),0)"),0.0)</f>
        <v>0</v>
      </c>
      <c r="BB36" s="2">
        <f t="shared" si="9"/>
        <v>0</v>
      </c>
    </row>
    <row r="37">
      <c r="A37" s="2">
        <f>Spieler!A38</f>
        <v>33</v>
      </c>
      <c r="B37" s="2" t="str">
        <f>VLOOKUP(A37,Spieler!A:F,2,0)</f>
        <v/>
      </c>
      <c r="C37" s="2">
        <f>IF(B37=0,0,VLOOKUP(B37,Datensammler!B:U,3,0))</f>
        <v>0</v>
      </c>
      <c r="D37" s="2">
        <f>IF(B37=0,0,VLOOKUP(B37,Datensammler!B:U,4,0))</f>
        <v>0</v>
      </c>
      <c r="E37" s="2">
        <f>IF(B37=0,0,VLOOKUP(B37,Datensammler!B:U,5,0))</f>
        <v>0</v>
      </c>
      <c r="F37" s="2">
        <f>IF(B37=0,0,VLOOKUP(B37,Datensammler!B:U,6,0))</f>
        <v>0</v>
      </c>
      <c r="G37" s="2">
        <f>IF(B37=0,0,VLOOKUP(B37,Datensammler!B:U,7,0))</f>
        <v>0</v>
      </c>
      <c r="H37" s="2">
        <f>IF(B37=0,0,VLOOKUP(B37,Datensammler!B:U,8,0))</f>
        <v>0</v>
      </c>
      <c r="I37" s="2">
        <f>IF(B37=0,0,VLOOKUP(B37,Datensammler!B:U,9,0))</f>
        <v>0</v>
      </c>
      <c r="J37" s="2">
        <f>IF(B37=0,0,VLOOKUP(B37,Datensammler!B:U,10,0))</f>
        <v>0</v>
      </c>
      <c r="K37" s="2">
        <f>IF(B37=0,0,VLOOKUP(B37,Datensammler!B:U,11,0))</f>
        <v>0</v>
      </c>
      <c r="L37" s="2">
        <f>IF(B37=0,0,VLOOKUP(B37,Datensammler!B:U,12,0))</f>
        <v>0</v>
      </c>
      <c r="M37" s="2">
        <f>IF(B37=0,0,VLOOKUP(B37,Datensammler!B:U,13,0))</f>
        <v>0</v>
      </c>
      <c r="N37" s="2">
        <f>IF(B37=0,0,VLOOKUP(B37,Datensammler!B:U,14,0))</f>
        <v>0</v>
      </c>
      <c r="O37" s="2">
        <f>IF(B37=0,0,VLOOKUP(B37,Datensammler!B:U,15,0))</f>
        <v>0</v>
      </c>
      <c r="P37" s="2">
        <f>IF(B37=0,0,VLOOKUP(B37,Datensammler!B:U,16,0))</f>
        <v>0</v>
      </c>
      <c r="Q37" s="2">
        <f>IF(B37=0,0,VLOOKUP(B37,Datensammler!B:U,17,0))</f>
        <v>0</v>
      </c>
      <c r="R37" s="2">
        <f>IF(B37=0,0,VLOOKUP(B37,Datensammler!B:U,18,0))</f>
        <v>0</v>
      </c>
      <c r="S37" s="2">
        <f>IF(B37=0,0,VLOOKUP(B37,Datensammler!B:U,19,0))</f>
        <v>0</v>
      </c>
      <c r="T37" s="2">
        <f>IF(B37=0,0,VLOOKUP(B37,Datensammler!B:U,20,0))</f>
        <v>0</v>
      </c>
      <c r="U37" s="50">
        <f t="shared" ref="U37:AL37" si="40">C37</f>
        <v>0</v>
      </c>
      <c r="V37" s="50">
        <f t="shared" si="40"/>
        <v>0</v>
      </c>
      <c r="W37" s="50">
        <f t="shared" si="40"/>
        <v>0</v>
      </c>
      <c r="X37" s="50">
        <f t="shared" si="40"/>
        <v>0</v>
      </c>
      <c r="Y37" s="50">
        <f t="shared" si="40"/>
        <v>0</v>
      </c>
      <c r="Z37" s="50">
        <f t="shared" si="40"/>
        <v>0</v>
      </c>
      <c r="AA37" s="50">
        <f t="shared" si="40"/>
        <v>0</v>
      </c>
      <c r="AB37" s="50">
        <f t="shared" si="40"/>
        <v>0</v>
      </c>
      <c r="AC37" s="50">
        <f t="shared" si="40"/>
        <v>0</v>
      </c>
      <c r="AD37" s="50">
        <f t="shared" si="40"/>
        <v>0</v>
      </c>
      <c r="AE37" s="50">
        <f t="shared" si="40"/>
        <v>0</v>
      </c>
      <c r="AF37" s="50">
        <f t="shared" si="40"/>
        <v>0</v>
      </c>
      <c r="AG37" s="50">
        <f t="shared" si="40"/>
        <v>0</v>
      </c>
      <c r="AH37" s="50">
        <f t="shared" si="40"/>
        <v>0</v>
      </c>
      <c r="AI37" s="50">
        <f t="shared" si="40"/>
        <v>0</v>
      </c>
      <c r="AJ37" s="50">
        <f t="shared" si="40"/>
        <v>0</v>
      </c>
      <c r="AK37" s="50">
        <f t="shared" si="40"/>
        <v>0</v>
      </c>
      <c r="AL37" s="50">
        <f t="shared" si="40"/>
        <v>0</v>
      </c>
      <c r="AP37" s="2">
        <f t="shared" si="3"/>
        <v>0</v>
      </c>
      <c r="AQ37" s="2">
        <f>IFERROR(__xludf.DUMMYFUNCTION("IF(V37&gt;0,MIN(FILTER(U37:AL37, U37:AL37&lt;&gt;0)),0)"),0.0)</f>
        <v>0</v>
      </c>
      <c r="AS37" s="2">
        <f t="shared" si="4"/>
        <v>0</v>
      </c>
      <c r="AU37" s="2">
        <f t="shared" si="5"/>
        <v>0</v>
      </c>
      <c r="AW37" s="2">
        <f t="shared" si="6"/>
        <v>0</v>
      </c>
      <c r="AX37" s="2">
        <f>IFERROR(__xludf.DUMMYFUNCTION("IF(X37&gt;0,SMALL(FILTER(U37:AL37, U37:AL37&lt;&gt;0), 2),0)"),0.0)</f>
        <v>0</v>
      </c>
      <c r="AY37" s="2">
        <f t="shared" si="7"/>
        <v>0</v>
      </c>
      <c r="AZ37" s="2">
        <f t="shared" si="8"/>
        <v>0</v>
      </c>
      <c r="BA37" s="2">
        <f>IFERROR(__xludf.DUMMYFUNCTION("IF(Y37&gt;0,SMALL(FILTER(U37:AL37, U37:AL37&lt;&gt;0), 3),0)"),0.0)</f>
        <v>0</v>
      </c>
      <c r="BB37" s="2">
        <f t="shared" si="9"/>
        <v>0</v>
      </c>
    </row>
    <row r="38">
      <c r="A38" s="2">
        <f>Spieler!A39</f>
        <v>34</v>
      </c>
      <c r="B38" s="2" t="str">
        <f>VLOOKUP(A38,Spieler!A:F,2,0)</f>
        <v/>
      </c>
      <c r="C38" s="2">
        <f>IF(B38=0,0,VLOOKUP(B38,Datensammler!B:U,3,0))</f>
        <v>0</v>
      </c>
      <c r="D38" s="2">
        <f>IF(B38=0,0,VLOOKUP(B38,Datensammler!B:U,4,0))</f>
        <v>0</v>
      </c>
      <c r="E38" s="2">
        <f>IF(B38=0,0,VLOOKUP(B38,Datensammler!B:U,5,0))</f>
        <v>0</v>
      </c>
      <c r="F38" s="2">
        <f>IF(B38=0,0,VLOOKUP(B38,Datensammler!B:U,6,0))</f>
        <v>0</v>
      </c>
      <c r="G38" s="2">
        <f>IF(B38=0,0,VLOOKUP(B38,Datensammler!B:U,7,0))</f>
        <v>0</v>
      </c>
      <c r="H38" s="2">
        <f>IF(B38=0,0,VLOOKUP(B38,Datensammler!B:U,8,0))</f>
        <v>0</v>
      </c>
      <c r="I38" s="2">
        <f>IF(B38=0,0,VLOOKUP(B38,Datensammler!B:U,9,0))</f>
        <v>0</v>
      </c>
      <c r="J38" s="2">
        <f>IF(B38=0,0,VLOOKUP(B38,Datensammler!B:U,10,0))</f>
        <v>0</v>
      </c>
      <c r="K38" s="2">
        <f>IF(B38=0,0,VLOOKUP(B38,Datensammler!B:U,11,0))</f>
        <v>0</v>
      </c>
      <c r="L38" s="2">
        <f>IF(B38=0,0,VLOOKUP(B38,Datensammler!B:U,12,0))</f>
        <v>0</v>
      </c>
      <c r="M38" s="2">
        <f>IF(B38=0,0,VLOOKUP(B38,Datensammler!B:U,13,0))</f>
        <v>0</v>
      </c>
      <c r="N38" s="2">
        <f>IF(B38=0,0,VLOOKUP(B38,Datensammler!B:U,14,0))</f>
        <v>0</v>
      </c>
      <c r="O38" s="2">
        <f>IF(B38=0,0,VLOOKUP(B38,Datensammler!B:U,15,0))</f>
        <v>0</v>
      </c>
      <c r="P38" s="2">
        <f>IF(B38=0,0,VLOOKUP(B38,Datensammler!B:U,16,0))</f>
        <v>0</v>
      </c>
      <c r="Q38" s="2">
        <f>IF(B38=0,0,VLOOKUP(B38,Datensammler!B:U,17,0))</f>
        <v>0</v>
      </c>
      <c r="R38" s="2">
        <f>IF(B38=0,0,VLOOKUP(B38,Datensammler!B:U,18,0))</f>
        <v>0</v>
      </c>
      <c r="S38" s="2">
        <f>IF(B38=0,0,VLOOKUP(B38,Datensammler!B:U,19,0))</f>
        <v>0</v>
      </c>
      <c r="T38" s="2">
        <f>IF(B38=0,0,VLOOKUP(B38,Datensammler!B:U,20,0))</f>
        <v>0</v>
      </c>
      <c r="U38" s="50">
        <f t="shared" ref="U38:AL38" si="41">C38</f>
        <v>0</v>
      </c>
      <c r="V38" s="50">
        <f t="shared" si="41"/>
        <v>0</v>
      </c>
      <c r="W38" s="50">
        <f t="shared" si="41"/>
        <v>0</v>
      </c>
      <c r="X38" s="50">
        <f t="shared" si="41"/>
        <v>0</v>
      </c>
      <c r="Y38" s="50">
        <f t="shared" si="41"/>
        <v>0</v>
      </c>
      <c r="Z38" s="50">
        <f t="shared" si="41"/>
        <v>0</v>
      </c>
      <c r="AA38" s="50">
        <f t="shared" si="41"/>
        <v>0</v>
      </c>
      <c r="AB38" s="50">
        <f t="shared" si="41"/>
        <v>0</v>
      </c>
      <c r="AC38" s="50">
        <f t="shared" si="41"/>
        <v>0</v>
      </c>
      <c r="AD38" s="50">
        <f t="shared" si="41"/>
        <v>0</v>
      </c>
      <c r="AE38" s="50">
        <f t="shared" si="41"/>
        <v>0</v>
      </c>
      <c r="AF38" s="50">
        <f t="shared" si="41"/>
        <v>0</v>
      </c>
      <c r="AG38" s="50">
        <f t="shared" si="41"/>
        <v>0</v>
      </c>
      <c r="AH38" s="50">
        <f t="shared" si="41"/>
        <v>0</v>
      </c>
      <c r="AI38" s="50">
        <f t="shared" si="41"/>
        <v>0</v>
      </c>
      <c r="AJ38" s="50">
        <f t="shared" si="41"/>
        <v>0</v>
      </c>
      <c r="AK38" s="50">
        <f t="shared" si="41"/>
        <v>0</v>
      </c>
      <c r="AL38" s="50">
        <f t="shared" si="41"/>
        <v>0</v>
      </c>
      <c r="AP38" s="2">
        <f t="shared" si="3"/>
        <v>0</v>
      </c>
      <c r="AQ38" s="2">
        <f>IFERROR(__xludf.DUMMYFUNCTION("IF(V38&gt;0,MIN(FILTER(U38:AL38, U38:AL38&lt;&gt;0)),0)"),0.0)</f>
        <v>0</v>
      </c>
      <c r="AS38" s="2">
        <f t="shared" si="4"/>
        <v>0</v>
      </c>
      <c r="AU38" s="2">
        <f t="shared" si="5"/>
        <v>0</v>
      </c>
      <c r="AW38" s="2">
        <f t="shared" si="6"/>
        <v>0</v>
      </c>
      <c r="AX38" s="2">
        <f>IFERROR(__xludf.DUMMYFUNCTION("IF(X38&gt;0,SMALL(FILTER(U38:AL38, U38:AL38&lt;&gt;0), 2),0)"),0.0)</f>
        <v>0</v>
      </c>
      <c r="AY38" s="2">
        <f t="shared" si="7"/>
        <v>0</v>
      </c>
      <c r="AZ38" s="2">
        <f t="shared" si="8"/>
        <v>0</v>
      </c>
      <c r="BA38" s="2">
        <f>IFERROR(__xludf.DUMMYFUNCTION("IF(Y38&gt;0,SMALL(FILTER(U38:AL38, U38:AL38&lt;&gt;0), 3),0)"),0.0)</f>
        <v>0</v>
      </c>
      <c r="BB38" s="2">
        <f t="shared" si="9"/>
        <v>0</v>
      </c>
    </row>
    <row r="39">
      <c r="A39" s="2">
        <f>Spieler!A40</f>
        <v>35</v>
      </c>
      <c r="B39" s="2" t="str">
        <f>VLOOKUP(A39,Spieler!A:F,2,0)</f>
        <v/>
      </c>
      <c r="C39" s="2">
        <f>IF(B39=0,0,VLOOKUP(B39,Datensammler!B:U,3,0))</f>
        <v>0</v>
      </c>
      <c r="D39" s="2">
        <f>IF(B39=0,0,VLOOKUP(B39,Datensammler!B:U,4,0))</f>
        <v>0</v>
      </c>
      <c r="E39" s="2">
        <f>IF(B39=0,0,VLOOKUP(B39,Datensammler!B:U,5,0))</f>
        <v>0</v>
      </c>
      <c r="F39" s="2">
        <f>IF(B39=0,0,VLOOKUP(B39,Datensammler!B:U,6,0))</f>
        <v>0</v>
      </c>
      <c r="G39" s="2">
        <f>IF(B39=0,0,VLOOKUP(B39,Datensammler!B:U,7,0))</f>
        <v>0</v>
      </c>
      <c r="H39" s="2">
        <f>IF(B39=0,0,VLOOKUP(B39,Datensammler!B:U,8,0))</f>
        <v>0</v>
      </c>
      <c r="I39" s="2">
        <f>IF(B39=0,0,VLOOKUP(B39,Datensammler!B:U,9,0))</f>
        <v>0</v>
      </c>
      <c r="J39" s="2">
        <f>IF(B39=0,0,VLOOKUP(B39,Datensammler!B:U,10,0))</f>
        <v>0</v>
      </c>
      <c r="K39" s="2">
        <f>IF(B39=0,0,VLOOKUP(B39,Datensammler!B:U,11,0))</f>
        <v>0</v>
      </c>
      <c r="L39" s="2">
        <f>IF(B39=0,0,VLOOKUP(B39,Datensammler!B:U,12,0))</f>
        <v>0</v>
      </c>
      <c r="M39" s="2">
        <f>IF(B39=0,0,VLOOKUP(B39,Datensammler!B:U,13,0))</f>
        <v>0</v>
      </c>
      <c r="N39" s="2">
        <f>IF(B39=0,0,VLOOKUP(B39,Datensammler!B:U,14,0))</f>
        <v>0</v>
      </c>
      <c r="O39" s="2">
        <f>IF(B39=0,0,VLOOKUP(B39,Datensammler!B:U,15,0))</f>
        <v>0</v>
      </c>
      <c r="P39" s="2">
        <f>IF(B39=0,0,VLOOKUP(B39,Datensammler!B:U,16,0))</f>
        <v>0</v>
      </c>
      <c r="Q39" s="2">
        <f>IF(B39=0,0,VLOOKUP(B39,Datensammler!B:U,17,0))</f>
        <v>0</v>
      </c>
      <c r="R39" s="2">
        <f>IF(B39=0,0,VLOOKUP(B39,Datensammler!B:U,18,0))</f>
        <v>0</v>
      </c>
      <c r="S39" s="2">
        <f>IF(B39=0,0,VLOOKUP(B39,Datensammler!B:U,19,0))</f>
        <v>0</v>
      </c>
      <c r="T39" s="2">
        <f>IF(B39=0,0,VLOOKUP(B39,Datensammler!B:U,20,0))</f>
        <v>0</v>
      </c>
      <c r="U39" s="50">
        <f t="shared" ref="U39:AL39" si="42">C39</f>
        <v>0</v>
      </c>
      <c r="V39" s="50">
        <f t="shared" si="42"/>
        <v>0</v>
      </c>
      <c r="W39" s="50">
        <f t="shared" si="42"/>
        <v>0</v>
      </c>
      <c r="X39" s="50">
        <f t="shared" si="42"/>
        <v>0</v>
      </c>
      <c r="Y39" s="50">
        <f t="shared" si="42"/>
        <v>0</v>
      </c>
      <c r="Z39" s="50">
        <f t="shared" si="42"/>
        <v>0</v>
      </c>
      <c r="AA39" s="50">
        <f t="shared" si="42"/>
        <v>0</v>
      </c>
      <c r="AB39" s="50">
        <f t="shared" si="42"/>
        <v>0</v>
      </c>
      <c r="AC39" s="50">
        <f t="shared" si="42"/>
        <v>0</v>
      </c>
      <c r="AD39" s="50">
        <f t="shared" si="42"/>
        <v>0</v>
      </c>
      <c r="AE39" s="50">
        <f t="shared" si="42"/>
        <v>0</v>
      </c>
      <c r="AF39" s="50">
        <f t="shared" si="42"/>
        <v>0</v>
      </c>
      <c r="AG39" s="50">
        <f t="shared" si="42"/>
        <v>0</v>
      </c>
      <c r="AH39" s="50">
        <f t="shared" si="42"/>
        <v>0</v>
      </c>
      <c r="AI39" s="50">
        <f t="shared" si="42"/>
        <v>0</v>
      </c>
      <c r="AJ39" s="50">
        <f t="shared" si="42"/>
        <v>0</v>
      </c>
      <c r="AK39" s="50">
        <f t="shared" si="42"/>
        <v>0</v>
      </c>
      <c r="AL39" s="50">
        <f t="shared" si="42"/>
        <v>0</v>
      </c>
      <c r="AP39" s="2">
        <f t="shared" si="3"/>
        <v>0</v>
      </c>
      <c r="AQ39" s="2">
        <f>IFERROR(__xludf.DUMMYFUNCTION("IF(V39&gt;0,MIN(FILTER(U39:AL39, U39:AL39&lt;&gt;0)),0)"),0.0)</f>
        <v>0</v>
      </c>
      <c r="AS39" s="2">
        <f t="shared" si="4"/>
        <v>0</v>
      </c>
      <c r="AU39" s="2">
        <f t="shared" si="5"/>
        <v>0</v>
      </c>
      <c r="AW39" s="2">
        <f t="shared" si="6"/>
        <v>0</v>
      </c>
      <c r="AX39" s="2">
        <f>IFERROR(__xludf.DUMMYFUNCTION("IF(X39&gt;0,SMALL(FILTER(U39:AL39, U39:AL39&lt;&gt;0), 2),0)"),0.0)</f>
        <v>0</v>
      </c>
      <c r="AY39" s="2">
        <f t="shared" si="7"/>
        <v>0</v>
      </c>
      <c r="AZ39" s="2">
        <f t="shared" si="8"/>
        <v>0</v>
      </c>
      <c r="BA39" s="2">
        <f>IFERROR(__xludf.DUMMYFUNCTION("IF(Y39&gt;0,SMALL(FILTER(U39:AL39, U39:AL39&lt;&gt;0), 3),0)"),0.0)</f>
        <v>0</v>
      </c>
      <c r="BB39" s="2">
        <f t="shared" si="9"/>
        <v>0</v>
      </c>
    </row>
    <row r="40">
      <c r="A40" s="2">
        <f>Spieler!A41</f>
        <v>36</v>
      </c>
      <c r="B40" s="2" t="str">
        <f>VLOOKUP(A40,Spieler!A:F,2,0)</f>
        <v/>
      </c>
      <c r="C40" s="2">
        <f>IF(B40=0,0,VLOOKUP(B40,Datensammler!B:U,3,0))</f>
        <v>0</v>
      </c>
      <c r="D40" s="2">
        <f>IF(B40=0,0,VLOOKUP(B40,Datensammler!B:U,4,0))</f>
        <v>0</v>
      </c>
      <c r="E40" s="2">
        <f>IF(B40=0,0,VLOOKUP(B40,Datensammler!B:U,5,0))</f>
        <v>0</v>
      </c>
      <c r="F40" s="2">
        <f>IF(B40=0,0,VLOOKUP(B40,Datensammler!B:U,6,0))</f>
        <v>0</v>
      </c>
      <c r="G40" s="2">
        <f>IF(B40=0,0,VLOOKUP(B40,Datensammler!B:U,7,0))</f>
        <v>0</v>
      </c>
      <c r="H40" s="2">
        <f>IF(B40=0,0,VLOOKUP(B40,Datensammler!B:U,8,0))</f>
        <v>0</v>
      </c>
      <c r="I40" s="2">
        <f>IF(B40=0,0,VLOOKUP(B40,Datensammler!B:U,9,0))</f>
        <v>0</v>
      </c>
      <c r="J40" s="2">
        <f>IF(B40=0,0,VLOOKUP(B40,Datensammler!B:U,10,0))</f>
        <v>0</v>
      </c>
      <c r="K40" s="2">
        <f>IF(B40=0,0,VLOOKUP(B40,Datensammler!B:U,11,0))</f>
        <v>0</v>
      </c>
      <c r="L40" s="2">
        <f>IF(B40=0,0,VLOOKUP(B40,Datensammler!B:U,12,0))</f>
        <v>0</v>
      </c>
      <c r="M40" s="2">
        <f>IF(B40=0,0,VLOOKUP(B40,Datensammler!B:U,13,0))</f>
        <v>0</v>
      </c>
      <c r="N40" s="2">
        <f>IF(B40=0,0,VLOOKUP(B40,Datensammler!B:U,14,0))</f>
        <v>0</v>
      </c>
      <c r="O40" s="2">
        <f>IF(B40=0,0,VLOOKUP(B40,Datensammler!B:U,15,0))</f>
        <v>0</v>
      </c>
      <c r="P40" s="2">
        <f>IF(B40=0,0,VLOOKUP(B40,Datensammler!B:U,16,0))</f>
        <v>0</v>
      </c>
      <c r="Q40" s="2">
        <f>IF(B40=0,0,VLOOKUP(B40,Datensammler!B:U,17,0))</f>
        <v>0</v>
      </c>
      <c r="R40" s="2">
        <f>IF(B40=0,0,VLOOKUP(B40,Datensammler!B:U,18,0))</f>
        <v>0</v>
      </c>
      <c r="S40" s="2">
        <f>IF(B40=0,0,VLOOKUP(B40,Datensammler!B:U,19,0))</f>
        <v>0</v>
      </c>
      <c r="T40" s="2">
        <f>IF(B40=0,0,VLOOKUP(B40,Datensammler!B:U,20,0))</f>
        <v>0</v>
      </c>
      <c r="U40" s="50">
        <f t="shared" ref="U40:AL40" si="43">C40</f>
        <v>0</v>
      </c>
      <c r="V40" s="50">
        <f t="shared" si="43"/>
        <v>0</v>
      </c>
      <c r="W40" s="50">
        <f t="shared" si="43"/>
        <v>0</v>
      </c>
      <c r="X40" s="50">
        <f t="shared" si="43"/>
        <v>0</v>
      </c>
      <c r="Y40" s="50">
        <f t="shared" si="43"/>
        <v>0</v>
      </c>
      <c r="Z40" s="50">
        <f t="shared" si="43"/>
        <v>0</v>
      </c>
      <c r="AA40" s="50">
        <f t="shared" si="43"/>
        <v>0</v>
      </c>
      <c r="AB40" s="50">
        <f t="shared" si="43"/>
        <v>0</v>
      </c>
      <c r="AC40" s="50">
        <f t="shared" si="43"/>
        <v>0</v>
      </c>
      <c r="AD40" s="50">
        <f t="shared" si="43"/>
        <v>0</v>
      </c>
      <c r="AE40" s="50">
        <f t="shared" si="43"/>
        <v>0</v>
      </c>
      <c r="AF40" s="50">
        <f t="shared" si="43"/>
        <v>0</v>
      </c>
      <c r="AG40" s="50">
        <f t="shared" si="43"/>
        <v>0</v>
      </c>
      <c r="AH40" s="50">
        <f t="shared" si="43"/>
        <v>0</v>
      </c>
      <c r="AI40" s="50">
        <f t="shared" si="43"/>
        <v>0</v>
      </c>
      <c r="AJ40" s="50">
        <f t="shared" si="43"/>
        <v>0</v>
      </c>
      <c r="AK40" s="50">
        <f t="shared" si="43"/>
        <v>0</v>
      </c>
      <c r="AL40" s="50">
        <f t="shared" si="43"/>
        <v>0</v>
      </c>
      <c r="AP40" s="2">
        <f t="shared" si="3"/>
        <v>0</v>
      </c>
      <c r="AQ40" s="2">
        <f>IFERROR(__xludf.DUMMYFUNCTION("IF(V40&gt;0,MIN(FILTER(U40:AL40, U40:AL40&lt;&gt;0)),0)"),0.0)</f>
        <v>0</v>
      </c>
      <c r="AS40" s="2">
        <f t="shared" si="4"/>
        <v>0</v>
      </c>
      <c r="AU40" s="2">
        <f t="shared" si="5"/>
        <v>0</v>
      </c>
      <c r="AW40" s="2">
        <f t="shared" si="6"/>
        <v>0</v>
      </c>
      <c r="AX40" s="2">
        <f>IFERROR(__xludf.DUMMYFUNCTION("IF(X40&gt;0,SMALL(FILTER(U40:AL40, U40:AL40&lt;&gt;0), 2),0)"),0.0)</f>
        <v>0</v>
      </c>
      <c r="AY40" s="2">
        <f t="shared" si="7"/>
        <v>0</v>
      </c>
      <c r="AZ40" s="2">
        <f t="shared" si="8"/>
        <v>0</v>
      </c>
      <c r="BA40" s="2">
        <f>IFERROR(__xludf.DUMMYFUNCTION("IF(Y40&gt;0,SMALL(FILTER(U40:AL40, U40:AL40&lt;&gt;0), 3),0)"),0.0)</f>
        <v>0</v>
      </c>
      <c r="BB40" s="2">
        <f t="shared" si="9"/>
        <v>0</v>
      </c>
    </row>
    <row r="41">
      <c r="A41" s="2">
        <f>Spieler!A42</f>
        <v>37</v>
      </c>
      <c r="B41" s="2" t="str">
        <f>VLOOKUP(A41,Spieler!A:F,2,0)</f>
        <v/>
      </c>
      <c r="C41" s="2">
        <f>IF(B41=0,0,VLOOKUP(B41,Datensammler!B:U,3,0))</f>
        <v>0</v>
      </c>
      <c r="D41" s="2">
        <f>IF(B41=0,0,VLOOKUP(B41,Datensammler!B:U,4,0))</f>
        <v>0</v>
      </c>
      <c r="E41" s="2">
        <f>IF(B41=0,0,VLOOKUP(B41,Datensammler!B:U,5,0))</f>
        <v>0</v>
      </c>
      <c r="F41" s="2">
        <f>IF(B41=0,0,VLOOKUP(B41,Datensammler!B:U,6,0))</f>
        <v>0</v>
      </c>
      <c r="G41" s="2">
        <f>IF(B41=0,0,VLOOKUP(B41,Datensammler!B:U,7,0))</f>
        <v>0</v>
      </c>
      <c r="H41" s="2">
        <f>IF(B41=0,0,VLOOKUP(B41,Datensammler!B:U,8,0))</f>
        <v>0</v>
      </c>
      <c r="I41" s="2">
        <f>IF(B41=0,0,VLOOKUP(B41,Datensammler!B:U,9,0))</f>
        <v>0</v>
      </c>
      <c r="J41" s="2">
        <f>IF(B41=0,0,VLOOKUP(B41,Datensammler!B:U,10,0))</f>
        <v>0</v>
      </c>
      <c r="K41" s="2">
        <f>IF(B41=0,0,VLOOKUP(B41,Datensammler!B:U,11,0))</f>
        <v>0</v>
      </c>
      <c r="L41" s="2">
        <f>IF(B41=0,0,VLOOKUP(B41,Datensammler!B:U,12,0))</f>
        <v>0</v>
      </c>
      <c r="M41" s="2">
        <f>IF(B41=0,0,VLOOKUP(B41,Datensammler!B:U,13,0))</f>
        <v>0</v>
      </c>
      <c r="N41" s="2">
        <f>IF(B41=0,0,VLOOKUP(B41,Datensammler!B:U,14,0))</f>
        <v>0</v>
      </c>
      <c r="O41" s="2">
        <f>IF(B41=0,0,VLOOKUP(B41,Datensammler!B:U,15,0))</f>
        <v>0</v>
      </c>
      <c r="P41" s="2">
        <f>IF(B41=0,0,VLOOKUP(B41,Datensammler!B:U,16,0))</f>
        <v>0</v>
      </c>
      <c r="Q41" s="2">
        <f>IF(B41=0,0,VLOOKUP(B41,Datensammler!B:U,17,0))</f>
        <v>0</v>
      </c>
      <c r="R41" s="2">
        <f>IF(B41=0,0,VLOOKUP(B41,Datensammler!B:U,18,0))</f>
        <v>0</v>
      </c>
      <c r="S41" s="2">
        <f>IF(B41=0,0,VLOOKUP(B41,Datensammler!B:U,19,0))</f>
        <v>0</v>
      </c>
      <c r="T41" s="2">
        <f>IF(B41=0,0,VLOOKUP(B41,Datensammler!B:U,20,0))</f>
        <v>0</v>
      </c>
      <c r="U41" s="50">
        <f t="shared" ref="U41:AL41" si="44">C41</f>
        <v>0</v>
      </c>
      <c r="V41" s="50">
        <f t="shared" si="44"/>
        <v>0</v>
      </c>
      <c r="W41" s="50">
        <f t="shared" si="44"/>
        <v>0</v>
      </c>
      <c r="X41" s="50">
        <f t="shared" si="44"/>
        <v>0</v>
      </c>
      <c r="Y41" s="50">
        <f t="shared" si="44"/>
        <v>0</v>
      </c>
      <c r="Z41" s="50">
        <f t="shared" si="44"/>
        <v>0</v>
      </c>
      <c r="AA41" s="50">
        <f t="shared" si="44"/>
        <v>0</v>
      </c>
      <c r="AB41" s="50">
        <f t="shared" si="44"/>
        <v>0</v>
      </c>
      <c r="AC41" s="50">
        <f t="shared" si="44"/>
        <v>0</v>
      </c>
      <c r="AD41" s="50">
        <f t="shared" si="44"/>
        <v>0</v>
      </c>
      <c r="AE41" s="50">
        <f t="shared" si="44"/>
        <v>0</v>
      </c>
      <c r="AF41" s="50">
        <f t="shared" si="44"/>
        <v>0</v>
      </c>
      <c r="AG41" s="50">
        <f t="shared" si="44"/>
        <v>0</v>
      </c>
      <c r="AH41" s="50">
        <f t="shared" si="44"/>
        <v>0</v>
      </c>
      <c r="AI41" s="50">
        <f t="shared" si="44"/>
        <v>0</v>
      </c>
      <c r="AJ41" s="50">
        <f t="shared" si="44"/>
        <v>0</v>
      </c>
      <c r="AK41" s="50">
        <f t="shared" si="44"/>
        <v>0</v>
      </c>
      <c r="AL41" s="50">
        <f t="shared" si="44"/>
        <v>0</v>
      </c>
      <c r="AP41" s="2">
        <f t="shared" si="3"/>
        <v>0</v>
      </c>
      <c r="AQ41" s="2">
        <f>IFERROR(__xludf.DUMMYFUNCTION("IF(V41&gt;0,MIN(FILTER(U41:AL41, U41:AL41&lt;&gt;0)),0)"),0.0)</f>
        <v>0</v>
      </c>
      <c r="AS41" s="2">
        <f t="shared" si="4"/>
        <v>0</v>
      </c>
      <c r="AU41" s="2">
        <f t="shared" si="5"/>
        <v>0</v>
      </c>
      <c r="AW41" s="2">
        <f t="shared" si="6"/>
        <v>0</v>
      </c>
      <c r="AX41" s="2">
        <f>IFERROR(__xludf.DUMMYFUNCTION("IF(X41&gt;0,SMALL(FILTER(U41:AL41, U41:AL41&lt;&gt;0), 2),0)"),0.0)</f>
        <v>0</v>
      </c>
      <c r="AY41" s="2">
        <f t="shared" si="7"/>
        <v>0</v>
      </c>
      <c r="AZ41" s="2">
        <f t="shared" si="8"/>
        <v>0</v>
      </c>
      <c r="BA41" s="2">
        <f>IFERROR(__xludf.DUMMYFUNCTION("IF(Y41&gt;0,SMALL(FILTER(U41:AL41, U41:AL41&lt;&gt;0), 3),0)"),0.0)</f>
        <v>0</v>
      </c>
      <c r="BB41" s="2">
        <f t="shared" si="9"/>
        <v>0</v>
      </c>
    </row>
    <row r="42">
      <c r="A42" s="2">
        <f>Spieler!A43</f>
        <v>38</v>
      </c>
      <c r="B42" s="2" t="str">
        <f>VLOOKUP(A42,Spieler!A:F,2,0)</f>
        <v/>
      </c>
      <c r="C42" s="2">
        <f>IF(B42=0,0,VLOOKUP(B42,Datensammler!B:U,3,0))</f>
        <v>0</v>
      </c>
      <c r="D42" s="2">
        <f>IF(B42=0,0,VLOOKUP(B42,Datensammler!B:U,4,0))</f>
        <v>0</v>
      </c>
      <c r="E42" s="2">
        <f>IF(B42=0,0,VLOOKUP(B42,Datensammler!B:U,5,0))</f>
        <v>0</v>
      </c>
      <c r="F42" s="2">
        <f>IF(B42=0,0,VLOOKUP(B42,Datensammler!B:U,6,0))</f>
        <v>0</v>
      </c>
      <c r="G42" s="2">
        <f>IF(B42=0,0,VLOOKUP(B42,Datensammler!B:U,7,0))</f>
        <v>0</v>
      </c>
      <c r="H42" s="2">
        <f>IF(B42=0,0,VLOOKUP(B42,Datensammler!B:U,8,0))</f>
        <v>0</v>
      </c>
      <c r="I42" s="2">
        <f>IF(B42=0,0,VLOOKUP(B42,Datensammler!B:U,9,0))</f>
        <v>0</v>
      </c>
      <c r="J42" s="2">
        <f>IF(B42=0,0,VLOOKUP(B42,Datensammler!B:U,10,0))</f>
        <v>0</v>
      </c>
      <c r="K42" s="2">
        <f>IF(B42=0,0,VLOOKUP(B42,Datensammler!B:U,11,0))</f>
        <v>0</v>
      </c>
      <c r="L42" s="2">
        <f>IF(B42=0,0,VLOOKUP(B42,Datensammler!B:U,12,0))</f>
        <v>0</v>
      </c>
      <c r="M42" s="2">
        <f>IF(B42=0,0,VLOOKUP(B42,Datensammler!B:U,13,0))</f>
        <v>0</v>
      </c>
      <c r="N42" s="2">
        <f>IF(B42=0,0,VLOOKUP(B42,Datensammler!B:U,14,0))</f>
        <v>0</v>
      </c>
      <c r="O42" s="2">
        <f>IF(B42=0,0,VLOOKUP(B42,Datensammler!B:U,15,0))</f>
        <v>0</v>
      </c>
      <c r="P42" s="2">
        <f>IF(B42=0,0,VLOOKUP(B42,Datensammler!B:U,16,0))</f>
        <v>0</v>
      </c>
      <c r="Q42" s="2">
        <f>IF(B42=0,0,VLOOKUP(B42,Datensammler!B:U,17,0))</f>
        <v>0</v>
      </c>
      <c r="R42" s="2">
        <f>IF(B42=0,0,VLOOKUP(B42,Datensammler!B:U,18,0))</f>
        <v>0</v>
      </c>
      <c r="S42" s="2">
        <f>IF(B42=0,0,VLOOKUP(B42,Datensammler!B:U,19,0))</f>
        <v>0</v>
      </c>
      <c r="T42" s="2">
        <f>IF(B42=0,0,VLOOKUP(B42,Datensammler!B:U,20,0))</f>
        <v>0</v>
      </c>
      <c r="U42" s="50">
        <f t="shared" ref="U42:AL42" si="45">C42</f>
        <v>0</v>
      </c>
      <c r="V42" s="50">
        <f t="shared" si="45"/>
        <v>0</v>
      </c>
      <c r="W42" s="50">
        <f t="shared" si="45"/>
        <v>0</v>
      </c>
      <c r="X42" s="50">
        <f t="shared" si="45"/>
        <v>0</v>
      </c>
      <c r="Y42" s="50">
        <f t="shared" si="45"/>
        <v>0</v>
      </c>
      <c r="Z42" s="50">
        <f t="shared" si="45"/>
        <v>0</v>
      </c>
      <c r="AA42" s="50">
        <f t="shared" si="45"/>
        <v>0</v>
      </c>
      <c r="AB42" s="50">
        <f t="shared" si="45"/>
        <v>0</v>
      </c>
      <c r="AC42" s="50">
        <f t="shared" si="45"/>
        <v>0</v>
      </c>
      <c r="AD42" s="50">
        <f t="shared" si="45"/>
        <v>0</v>
      </c>
      <c r="AE42" s="50">
        <f t="shared" si="45"/>
        <v>0</v>
      </c>
      <c r="AF42" s="50">
        <f t="shared" si="45"/>
        <v>0</v>
      </c>
      <c r="AG42" s="50">
        <f t="shared" si="45"/>
        <v>0</v>
      </c>
      <c r="AH42" s="50">
        <f t="shared" si="45"/>
        <v>0</v>
      </c>
      <c r="AI42" s="50">
        <f t="shared" si="45"/>
        <v>0</v>
      </c>
      <c r="AJ42" s="50">
        <f t="shared" si="45"/>
        <v>0</v>
      </c>
      <c r="AK42" s="50">
        <f t="shared" si="45"/>
        <v>0</v>
      </c>
      <c r="AL42" s="50">
        <f t="shared" si="45"/>
        <v>0</v>
      </c>
      <c r="AP42" s="2">
        <f t="shared" si="3"/>
        <v>0</v>
      </c>
      <c r="AQ42" s="2">
        <f>IFERROR(__xludf.DUMMYFUNCTION("IF(V42&gt;0,MIN(FILTER(U42:AL42, U42:AL42&lt;&gt;0)),0)"),0.0)</f>
        <v>0</v>
      </c>
      <c r="AS42" s="2">
        <f t="shared" si="4"/>
        <v>0</v>
      </c>
      <c r="AU42" s="2">
        <f t="shared" si="5"/>
        <v>0</v>
      </c>
      <c r="AW42" s="2">
        <f t="shared" si="6"/>
        <v>0</v>
      </c>
      <c r="AX42" s="2">
        <f>IFERROR(__xludf.DUMMYFUNCTION("IF(X42&gt;0,SMALL(FILTER(U42:AL42, U42:AL42&lt;&gt;0), 2),0)"),0.0)</f>
        <v>0</v>
      </c>
      <c r="AY42" s="2">
        <f t="shared" si="7"/>
        <v>0</v>
      </c>
      <c r="AZ42" s="2">
        <f t="shared" si="8"/>
        <v>0</v>
      </c>
      <c r="BA42" s="2">
        <f>IFERROR(__xludf.DUMMYFUNCTION("IF(Y42&gt;0,SMALL(FILTER(U42:AL42, U42:AL42&lt;&gt;0), 3),0)"),0.0)</f>
        <v>0</v>
      </c>
      <c r="BB42" s="2">
        <f t="shared" si="9"/>
        <v>0</v>
      </c>
    </row>
    <row r="43">
      <c r="A43" s="2">
        <f>Spieler!A44</f>
        <v>39</v>
      </c>
      <c r="B43" s="2" t="str">
        <f>VLOOKUP(A43,Spieler!A:F,2,0)</f>
        <v/>
      </c>
      <c r="C43" s="2">
        <f>IF(B43=0,0,VLOOKUP(B43,Datensammler!B:U,3,0))</f>
        <v>0</v>
      </c>
      <c r="D43" s="2">
        <f>IF(B43=0,0,VLOOKUP(B43,Datensammler!B:U,4,0))</f>
        <v>0</v>
      </c>
      <c r="E43" s="2">
        <f>IF(B43=0,0,VLOOKUP(B43,Datensammler!B:U,5,0))</f>
        <v>0</v>
      </c>
      <c r="F43" s="2">
        <f>IF(B43=0,0,VLOOKUP(B43,Datensammler!B:U,6,0))</f>
        <v>0</v>
      </c>
      <c r="G43" s="2">
        <f>IF(B43=0,0,VLOOKUP(B43,Datensammler!B:U,7,0))</f>
        <v>0</v>
      </c>
      <c r="H43" s="2">
        <f>IF(B43=0,0,VLOOKUP(B43,Datensammler!B:U,8,0))</f>
        <v>0</v>
      </c>
      <c r="I43" s="2">
        <f>IF(B43=0,0,VLOOKUP(B43,Datensammler!B:U,9,0))</f>
        <v>0</v>
      </c>
      <c r="J43" s="2">
        <f>IF(B43=0,0,VLOOKUP(B43,Datensammler!B:U,10,0))</f>
        <v>0</v>
      </c>
      <c r="K43" s="2">
        <f>IF(B43=0,0,VLOOKUP(B43,Datensammler!B:U,11,0))</f>
        <v>0</v>
      </c>
      <c r="L43" s="2">
        <f>IF(B43=0,0,VLOOKUP(B43,Datensammler!B:U,12,0))</f>
        <v>0</v>
      </c>
      <c r="M43" s="2">
        <f>IF(B43=0,0,VLOOKUP(B43,Datensammler!B:U,13,0))</f>
        <v>0</v>
      </c>
      <c r="N43" s="2">
        <f>IF(B43=0,0,VLOOKUP(B43,Datensammler!B:U,14,0))</f>
        <v>0</v>
      </c>
      <c r="O43" s="2">
        <f>IF(B43=0,0,VLOOKUP(B43,Datensammler!B:U,15,0))</f>
        <v>0</v>
      </c>
      <c r="P43" s="2">
        <f>IF(B43=0,0,VLOOKUP(B43,Datensammler!B:U,16,0))</f>
        <v>0</v>
      </c>
      <c r="Q43" s="2">
        <f>IF(B43=0,0,VLOOKUP(B43,Datensammler!B:U,17,0))</f>
        <v>0</v>
      </c>
      <c r="R43" s="2">
        <f>IF(B43=0,0,VLOOKUP(B43,Datensammler!B:U,18,0))</f>
        <v>0</v>
      </c>
      <c r="S43" s="2">
        <f>IF(B43=0,0,VLOOKUP(B43,Datensammler!B:U,19,0))</f>
        <v>0</v>
      </c>
      <c r="T43" s="2">
        <f>IF(B43=0,0,VLOOKUP(B43,Datensammler!B:U,20,0))</f>
        <v>0</v>
      </c>
      <c r="U43" s="50">
        <f t="shared" ref="U43:AL43" si="46">C43</f>
        <v>0</v>
      </c>
      <c r="V43" s="50">
        <f t="shared" si="46"/>
        <v>0</v>
      </c>
      <c r="W43" s="50">
        <f t="shared" si="46"/>
        <v>0</v>
      </c>
      <c r="X43" s="50">
        <f t="shared" si="46"/>
        <v>0</v>
      </c>
      <c r="Y43" s="50">
        <f t="shared" si="46"/>
        <v>0</v>
      </c>
      <c r="Z43" s="50">
        <f t="shared" si="46"/>
        <v>0</v>
      </c>
      <c r="AA43" s="50">
        <f t="shared" si="46"/>
        <v>0</v>
      </c>
      <c r="AB43" s="50">
        <f t="shared" si="46"/>
        <v>0</v>
      </c>
      <c r="AC43" s="50">
        <f t="shared" si="46"/>
        <v>0</v>
      </c>
      <c r="AD43" s="50">
        <f t="shared" si="46"/>
        <v>0</v>
      </c>
      <c r="AE43" s="50">
        <f t="shared" si="46"/>
        <v>0</v>
      </c>
      <c r="AF43" s="50">
        <f t="shared" si="46"/>
        <v>0</v>
      </c>
      <c r="AG43" s="50">
        <f t="shared" si="46"/>
        <v>0</v>
      </c>
      <c r="AH43" s="50">
        <f t="shared" si="46"/>
        <v>0</v>
      </c>
      <c r="AI43" s="50">
        <f t="shared" si="46"/>
        <v>0</v>
      </c>
      <c r="AJ43" s="50">
        <f t="shared" si="46"/>
        <v>0</v>
      </c>
      <c r="AK43" s="50">
        <f t="shared" si="46"/>
        <v>0</v>
      </c>
      <c r="AL43" s="50">
        <f t="shared" si="46"/>
        <v>0</v>
      </c>
      <c r="AP43" s="2">
        <f t="shared" si="3"/>
        <v>0</v>
      </c>
      <c r="AQ43" s="2">
        <f>IFERROR(__xludf.DUMMYFUNCTION("IF(V43&gt;0,MIN(FILTER(U43:AL43, U43:AL43&lt;&gt;0)),0)"),0.0)</f>
        <v>0</v>
      </c>
      <c r="AS43" s="2">
        <f t="shared" si="4"/>
        <v>0</v>
      </c>
      <c r="AU43" s="2">
        <f t="shared" si="5"/>
        <v>0</v>
      </c>
      <c r="AW43" s="2">
        <f t="shared" si="6"/>
        <v>0</v>
      </c>
      <c r="AX43" s="2">
        <f>IFERROR(__xludf.DUMMYFUNCTION("IF(X43&gt;0,SMALL(FILTER(U43:AL43, U43:AL43&lt;&gt;0), 2),0)"),0.0)</f>
        <v>0</v>
      </c>
      <c r="AY43" s="2">
        <f t="shared" si="7"/>
        <v>0</v>
      </c>
      <c r="AZ43" s="2">
        <f t="shared" si="8"/>
        <v>0</v>
      </c>
      <c r="BA43" s="2">
        <f>IFERROR(__xludf.DUMMYFUNCTION("IF(Y43&gt;0,SMALL(FILTER(U43:AL43, U43:AL43&lt;&gt;0), 3),0)"),0.0)</f>
        <v>0</v>
      </c>
      <c r="BB43" s="2">
        <f t="shared" si="9"/>
        <v>0</v>
      </c>
    </row>
    <row r="44">
      <c r="A44" s="2">
        <f>Spieler!A45</f>
        <v>40</v>
      </c>
      <c r="B44" s="2" t="str">
        <f>VLOOKUP(A44,Spieler!A:F,2,0)</f>
        <v/>
      </c>
      <c r="C44" s="2">
        <f>IF(B44=0,0,VLOOKUP(B44,Datensammler!B:U,3,0))</f>
        <v>0</v>
      </c>
      <c r="D44" s="2">
        <f>IF(B44=0,0,VLOOKUP(B44,Datensammler!B:U,4,0))</f>
        <v>0</v>
      </c>
      <c r="E44" s="2">
        <f>IF(B44=0,0,VLOOKUP(B44,Datensammler!B:U,5,0))</f>
        <v>0</v>
      </c>
      <c r="F44" s="2">
        <f>IF(B44=0,0,VLOOKUP(B44,Datensammler!B:U,6,0))</f>
        <v>0</v>
      </c>
      <c r="G44" s="2">
        <f>IF(B44=0,0,VLOOKUP(B44,Datensammler!B:U,7,0))</f>
        <v>0</v>
      </c>
      <c r="H44" s="2">
        <f>IF(B44=0,0,VLOOKUP(B44,Datensammler!B:U,8,0))</f>
        <v>0</v>
      </c>
      <c r="I44" s="2">
        <f>IF(B44=0,0,VLOOKUP(B44,Datensammler!B:U,9,0))</f>
        <v>0</v>
      </c>
      <c r="J44" s="2">
        <f>IF(B44=0,0,VLOOKUP(B44,Datensammler!B:U,10,0))</f>
        <v>0</v>
      </c>
      <c r="K44" s="2">
        <f>IF(B44=0,0,VLOOKUP(B44,Datensammler!B:U,11,0))</f>
        <v>0</v>
      </c>
      <c r="L44" s="2">
        <f>IF(B44=0,0,VLOOKUP(B44,Datensammler!B:U,12,0))</f>
        <v>0</v>
      </c>
      <c r="M44" s="2">
        <f>IF(B44=0,0,VLOOKUP(B44,Datensammler!B:U,13,0))</f>
        <v>0</v>
      </c>
      <c r="N44" s="2">
        <f>IF(B44=0,0,VLOOKUP(B44,Datensammler!B:U,14,0))</f>
        <v>0</v>
      </c>
      <c r="O44" s="2">
        <f>IF(B44=0,0,VLOOKUP(B44,Datensammler!B:U,15,0))</f>
        <v>0</v>
      </c>
      <c r="P44" s="2">
        <f>IF(B44=0,0,VLOOKUP(B44,Datensammler!B:U,16,0))</f>
        <v>0</v>
      </c>
      <c r="Q44" s="2">
        <f>IF(B44=0,0,VLOOKUP(B44,Datensammler!B:U,17,0))</f>
        <v>0</v>
      </c>
      <c r="R44" s="2">
        <f>IF(B44=0,0,VLOOKUP(B44,Datensammler!B:U,18,0))</f>
        <v>0</v>
      </c>
      <c r="S44" s="2">
        <f>IF(B44=0,0,VLOOKUP(B44,Datensammler!B:U,19,0))</f>
        <v>0</v>
      </c>
      <c r="T44" s="2">
        <f>IF(B44=0,0,VLOOKUP(B44,Datensammler!B:U,20,0))</f>
        <v>0</v>
      </c>
      <c r="U44" s="50">
        <f t="shared" ref="U44:AL44" si="47">C44</f>
        <v>0</v>
      </c>
      <c r="V44" s="50">
        <f t="shared" si="47"/>
        <v>0</v>
      </c>
      <c r="W44" s="50">
        <f t="shared" si="47"/>
        <v>0</v>
      </c>
      <c r="X44" s="50">
        <f t="shared" si="47"/>
        <v>0</v>
      </c>
      <c r="Y44" s="50">
        <f t="shared" si="47"/>
        <v>0</v>
      </c>
      <c r="Z44" s="50">
        <f t="shared" si="47"/>
        <v>0</v>
      </c>
      <c r="AA44" s="50">
        <f t="shared" si="47"/>
        <v>0</v>
      </c>
      <c r="AB44" s="50">
        <f t="shared" si="47"/>
        <v>0</v>
      </c>
      <c r="AC44" s="50">
        <f t="shared" si="47"/>
        <v>0</v>
      </c>
      <c r="AD44" s="50">
        <f t="shared" si="47"/>
        <v>0</v>
      </c>
      <c r="AE44" s="50">
        <f t="shared" si="47"/>
        <v>0</v>
      </c>
      <c r="AF44" s="50">
        <f t="shared" si="47"/>
        <v>0</v>
      </c>
      <c r="AG44" s="50">
        <f t="shared" si="47"/>
        <v>0</v>
      </c>
      <c r="AH44" s="50">
        <f t="shared" si="47"/>
        <v>0</v>
      </c>
      <c r="AI44" s="50">
        <f t="shared" si="47"/>
        <v>0</v>
      </c>
      <c r="AJ44" s="50">
        <f t="shared" si="47"/>
        <v>0</v>
      </c>
      <c r="AK44" s="50">
        <f t="shared" si="47"/>
        <v>0</v>
      </c>
      <c r="AL44" s="50">
        <f t="shared" si="47"/>
        <v>0</v>
      </c>
      <c r="AP44" s="2">
        <f t="shared" si="3"/>
        <v>0</v>
      </c>
      <c r="AQ44" s="2">
        <f>IFERROR(__xludf.DUMMYFUNCTION("IF(V44&gt;0,MIN(FILTER(U44:AL44, U44:AL44&lt;&gt;0)),0)"),0.0)</f>
        <v>0</v>
      </c>
      <c r="AS44" s="2">
        <f t="shared" si="4"/>
        <v>0</v>
      </c>
      <c r="AU44" s="2">
        <f t="shared" si="5"/>
        <v>0</v>
      </c>
      <c r="AW44" s="2">
        <f t="shared" si="6"/>
        <v>0</v>
      </c>
      <c r="AX44" s="2">
        <f>IFERROR(__xludf.DUMMYFUNCTION("IF(X44&gt;0,SMALL(FILTER(U44:AL44, U44:AL44&lt;&gt;0), 2),0)"),0.0)</f>
        <v>0</v>
      </c>
      <c r="AY44" s="2">
        <f t="shared" si="7"/>
        <v>0</v>
      </c>
      <c r="AZ44" s="2">
        <f t="shared" si="8"/>
        <v>0</v>
      </c>
      <c r="BA44" s="2">
        <f>IFERROR(__xludf.DUMMYFUNCTION("IF(Y44&gt;0,SMALL(FILTER(U44:AL44, U44:AL44&lt;&gt;0), 3),0)"),0.0)</f>
        <v>0</v>
      </c>
      <c r="BB44" s="2">
        <f t="shared" si="9"/>
        <v>0</v>
      </c>
    </row>
    <row r="45">
      <c r="A45" s="2">
        <f>Spieler!A46</f>
        <v>41</v>
      </c>
      <c r="B45" s="2" t="str">
        <f>VLOOKUP(A45,Spieler!A:F,2,0)</f>
        <v/>
      </c>
      <c r="C45" s="2">
        <f>IF(B45=0,0,VLOOKUP(B45,Datensammler!B:U,3,0))</f>
        <v>0</v>
      </c>
      <c r="D45" s="2">
        <f>IF(B45=0,0,VLOOKUP(B45,Datensammler!B:U,4,0))</f>
        <v>0</v>
      </c>
      <c r="E45" s="2">
        <f>IF(B45=0,0,VLOOKUP(B45,Datensammler!B:U,5,0))</f>
        <v>0</v>
      </c>
      <c r="F45" s="2">
        <f>IF(B45=0,0,VLOOKUP(B45,Datensammler!B:U,6,0))</f>
        <v>0</v>
      </c>
      <c r="G45" s="2">
        <f>IF(B45=0,0,VLOOKUP(B45,Datensammler!B:U,7,0))</f>
        <v>0</v>
      </c>
      <c r="H45" s="2">
        <f>IF(B45=0,0,VLOOKUP(B45,Datensammler!B:U,8,0))</f>
        <v>0</v>
      </c>
      <c r="I45" s="2">
        <f>IF(B45=0,0,VLOOKUP(B45,Datensammler!B:U,9,0))</f>
        <v>0</v>
      </c>
      <c r="J45" s="2">
        <f>IF(B45=0,0,VLOOKUP(B45,Datensammler!B:U,10,0))</f>
        <v>0</v>
      </c>
      <c r="K45" s="2">
        <f>IF(B45=0,0,VLOOKUP(B45,Datensammler!B:U,11,0))</f>
        <v>0</v>
      </c>
      <c r="L45" s="2">
        <f>IF(B45=0,0,VLOOKUP(B45,Datensammler!B:U,12,0))</f>
        <v>0</v>
      </c>
      <c r="M45" s="2">
        <f>IF(B45=0,0,VLOOKUP(B45,Datensammler!B:U,13,0))</f>
        <v>0</v>
      </c>
      <c r="N45" s="2">
        <f>IF(B45=0,0,VLOOKUP(B45,Datensammler!B:U,14,0))</f>
        <v>0</v>
      </c>
      <c r="O45" s="2">
        <f>IF(B45=0,0,VLOOKUP(B45,Datensammler!B:U,15,0))</f>
        <v>0</v>
      </c>
      <c r="P45" s="2">
        <f>IF(B45=0,0,VLOOKUP(B45,Datensammler!B:U,16,0))</f>
        <v>0</v>
      </c>
      <c r="Q45" s="2">
        <f>IF(B45=0,0,VLOOKUP(B45,Datensammler!B:U,17,0))</f>
        <v>0</v>
      </c>
      <c r="R45" s="2">
        <f>IF(B45=0,0,VLOOKUP(B45,Datensammler!B:U,18,0))</f>
        <v>0</v>
      </c>
      <c r="S45" s="2">
        <f>IF(B45=0,0,VLOOKUP(B45,Datensammler!B:U,19,0))</f>
        <v>0</v>
      </c>
      <c r="T45" s="2">
        <f>IF(B45=0,0,VLOOKUP(B45,Datensammler!B:U,20,0))</f>
        <v>0</v>
      </c>
      <c r="U45" s="50">
        <f t="shared" ref="U45:AL45" si="48">C45</f>
        <v>0</v>
      </c>
      <c r="V45" s="50">
        <f t="shared" si="48"/>
        <v>0</v>
      </c>
      <c r="W45" s="50">
        <f t="shared" si="48"/>
        <v>0</v>
      </c>
      <c r="X45" s="50">
        <f t="shared" si="48"/>
        <v>0</v>
      </c>
      <c r="Y45" s="50">
        <f t="shared" si="48"/>
        <v>0</v>
      </c>
      <c r="Z45" s="50">
        <f t="shared" si="48"/>
        <v>0</v>
      </c>
      <c r="AA45" s="50">
        <f t="shared" si="48"/>
        <v>0</v>
      </c>
      <c r="AB45" s="50">
        <f t="shared" si="48"/>
        <v>0</v>
      </c>
      <c r="AC45" s="50">
        <f t="shared" si="48"/>
        <v>0</v>
      </c>
      <c r="AD45" s="50">
        <f t="shared" si="48"/>
        <v>0</v>
      </c>
      <c r="AE45" s="50">
        <f t="shared" si="48"/>
        <v>0</v>
      </c>
      <c r="AF45" s="50">
        <f t="shared" si="48"/>
        <v>0</v>
      </c>
      <c r="AG45" s="50">
        <f t="shared" si="48"/>
        <v>0</v>
      </c>
      <c r="AH45" s="50">
        <f t="shared" si="48"/>
        <v>0</v>
      </c>
      <c r="AI45" s="50">
        <f t="shared" si="48"/>
        <v>0</v>
      </c>
      <c r="AJ45" s="50">
        <f t="shared" si="48"/>
        <v>0</v>
      </c>
      <c r="AK45" s="50">
        <f t="shared" si="48"/>
        <v>0</v>
      </c>
      <c r="AL45" s="50">
        <f t="shared" si="48"/>
        <v>0</v>
      </c>
      <c r="AP45" s="2">
        <f t="shared" si="3"/>
        <v>0</v>
      </c>
      <c r="AQ45" s="2">
        <f>IFERROR(__xludf.DUMMYFUNCTION("IF(V45&gt;0,MIN(FILTER(U45:AL45, U45:AL45&lt;&gt;0)),0)"),0.0)</f>
        <v>0</v>
      </c>
      <c r="AS45" s="2">
        <f t="shared" si="4"/>
        <v>0</v>
      </c>
      <c r="AU45" s="2">
        <f t="shared" si="5"/>
        <v>0</v>
      </c>
      <c r="AW45" s="2">
        <f t="shared" si="6"/>
        <v>0</v>
      </c>
      <c r="AX45" s="2">
        <f>IFERROR(__xludf.DUMMYFUNCTION("IF(X45&gt;0,SMALL(FILTER(U45:AL45, U45:AL45&lt;&gt;0), 2),0)"),0.0)</f>
        <v>0</v>
      </c>
      <c r="AY45" s="2">
        <f t="shared" si="7"/>
        <v>0</v>
      </c>
      <c r="AZ45" s="2">
        <f t="shared" si="8"/>
        <v>0</v>
      </c>
      <c r="BA45" s="2">
        <f>IFERROR(__xludf.DUMMYFUNCTION("IF(Y45&gt;0,SMALL(FILTER(U45:AL45, U45:AL45&lt;&gt;0), 3),0)"),0.0)</f>
        <v>0</v>
      </c>
      <c r="BB45" s="2">
        <f t="shared" si="9"/>
        <v>0</v>
      </c>
    </row>
    <row r="46">
      <c r="A46" s="2">
        <f>Spieler!A47</f>
        <v>42</v>
      </c>
      <c r="B46" s="2" t="str">
        <f>VLOOKUP(A46,Spieler!A:F,2,0)</f>
        <v/>
      </c>
      <c r="C46" s="2">
        <f>IF(B46=0,0,VLOOKUP(B46,Datensammler!B:U,3,0))</f>
        <v>0</v>
      </c>
      <c r="D46" s="2">
        <f>IF(B46=0,0,VLOOKUP(B46,Datensammler!B:U,4,0))</f>
        <v>0</v>
      </c>
      <c r="E46" s="2">
        <f>IF(B46=0,0,VLOOKUP(B46,Datensammler!B:U,5,0))</f>
        <v>0</v>
      </c>
      <c r="F46" s="2">
        <f>IF(B46=0,0,VLOOKUP(B46,Datensammler!B:U,6,0))</f>
        <v>0</v>
      </c>
      <c r="G46" s="2">
        <f>IF(B46=0,0,VLOOKUP(B46,Datensammler!B:U,7,0))</f>
        <v>0</v>
      </c>
      <c r="H46" s="2">
        <f>IF(B46=0,0,VLOOKUP(B46,Datensammler!B:U,8,0))</f>
        <v>0</v>
      </c>
      <c r="I46" s="2">
        <f>IF(B46=0,0,VLOOKUP(B46,Datensammler!B:U,9,0))</f>
        <v>0</v>
      </c>
      <c r="J46" s="2">
        <f>IF(B46=0,0,VLOOKUP(B46,Datensammler!B:U,10,0))</f>
        <v>0</v>
      </c>
      <c r="K46" s="2">
        <f>IF(B46=0,0,VLOOKUP(B46,Datensammler!B:U,11,0))</f>
        <v>0</v>
      </c>
      <c r="L46" s="2">
        <f>IF(B46=0,0,VLOOKUP(B46,Datensammler!B:U,12,0))</f>
        <v>0</v>
      </c>
      <c r="M46" s="2">
        <f>IF(B46=0,0,VLOOKUP(B46,Datensammler!B:U,13,0))</f>
        <v>0</v>
      </c>
      <c r="N46" s="2">
        <f>IF(B46=0,0,VLOOKUP(B46,Datensammler!B:U,14,0))</f>
        <v>0</v>
      </c>
      <c r="O46" s="2">
        <f>IF(B46=0,0,VLOOKUP(B46,Datensammler!B:U,15,0))</f>
        <v>0</v>
      </c>
      <c r="P46" s="2">
        <f>IF(B46=0,0,VLOOKUP(B46,Datensammler!B:U,16,0))</f>
        <v>0</v>
      </c>
      <c r="Q46" s="2">
        <f>IF(B46=0,0,VLOOKUP(B46,Datensammler!B:U,17,0))</f>
        <v>0</v>
      </c>
      <c r="R46" s="2">
        <f>IF(B46=0,0,VLOOKUP(B46,Datensammler!B:U,18,0))</f>
        <v>0</v>
      </c>
      <c r="S46" s="2">
        <f>IF(B46=0,0,VLOOKUP(B46,Datensammler!B:U,19,0))</f>
        <v>0</v>
      </c>
      <c r="T46" s="2">
        <f>IF(B46=0,0,VLOOKUP(B46,Datensammler!B:U,20,0))</f>
        <v>0</v>
      </c>
      <c r="U46" s="50">
        <f t="shared" ref="U46:AL46" si="49">C46</f>
        <v>0</v>
      </c>
      <c r="V46" s="50">
        <f t="shared" si="49"/>
        <v>0</v>
      </c>
      <c r="W46" s="50">
        <f t="shared" si="49"/>
        <v>0</v>
      </c>
      <c r="X46" s="50">
        <f t="shared" si="49"/>
        <v>0</v>
      </c>
      <c r="Y46" s="50">
        <f t="shared" si="49"/>
        <v>0</v>
      </c>
      <c r="Z46" s="50">
        <f t="shared" si="49"/>
        <v>0</v>
      </c>
      <c r="AA46" s="50">
        <f t="shared" si="49"/>
        <v>0</v>
      </c>
      <c r="AB46" s="50">
        <f t="shared" si="49"/>
        <v>0</v>
      </c>
      <c r="AC46" s="50">
        <f t="shared" si="49"/>
        <v>0</v>
      </c>
      <c r="AD46" s="50">
        <f t="shared" si="49"/>
        <v>0</v>
      </c>
      <c r="AE46" s="50">
        <f t="shared" si="49"/>
        <v>0</v>
      </c>
      <c r="AF46" s="50">
        <f t="shared" si="49"/>
        <v>0</v>
      </c>
      <c r="AG46" s="50">
        <f t="shared" si="49"/>
        <v>0</v>
      </c>
      <c r="AH46" s="50">
        <f t="shared" si="49"/>
        <v>0</v>
      </c>
      <c r="AI46" s="50">
        <f t="shared" si="49"/>
        <v>0</v>
      </c>
      <c r="AJ46" s="50">
        <f t="shared" si="49"/>
        <v>0</v>
      </c>
      <c r="AK46" s="50">
        <f t="shared" si="49"/>
        <v>0</v>
      </c>
      <c r="AL46" s="50">
        <f t="shared" si="49"/>
        <v>0</v>
      </c>
      <c r="AP46" s="2">
        <f t="shared" si="3"/>
        <v>0</v>
      </c>
      <c r="AQ46" s="2">
        <f>IFERROR(__xludf.DUMMYFUNCTION("IF(V46&gt;0,MIN(FILTER(U46:AL46, U46:AL46&lt;&gt;0)),0)"),0.0)</f>
        <v>0</v>
      </c>
      <c r="AS46" s="2">
        <f t="shared" si="4"/>
        <v>0</v>
      </c>
      <c r="AU46" s="2">
        <f t="shared" si="5"/>
        <v>0</v>
      </c>
      <c r="AW46" s="2">
        <f t="shared" si="6"/>
        <v>0</v>
      </c>
      <c r="AX46" s="2">
        <f>IFERROR(__xludf.DUMMYFUNCTION("IF(X46&gt;0,SMALL(FILTER(U46:AL46, U46:AL46&lt;&gt;0), 2),0)"),0.0)</f>
        <v>0</v>
      </c>
      <c r="AY46" s="2">
        <f t="shared" si="7"/>
        <v>0</v>
      </c>
      <c r="AZ46" s="2">
        <f t="shared" si="8"/>
        <v>0</v>
      </c>
      <c r="BA46" s="2">
        <f>IFERROR(__xludf.DUMMYFUNCTION("IF(Y46&gt;0,SMALL(FILTER(U46:AL46, U46:AL46&lt;&gt;0), 3),0)"),0.0)</f>
        <v>0</v>
      </c>
      <c r="BB46" s="2">
        <f t="shared" si="9"/>
        <v>0</v>
      </c>
    </row>
    <row r="47">
      <c r="A47" s="2">
        <f>Spieler!A48</f>
        <v>43</v>
      </c>
      <c r="B47" s="2" t="str">
        <f>VLOOKUP(A47,Spieler!A:F,2,0)</f>
        <v/>
      </c>
      <c r="C47" s="2">
        <f>IF(B47=0,0,VLOOKUP(B47,Datensammler!B:U,3,0))</f>
        <v>0</v>
      </c>
      <c r="D47" s="2">
        <f>IF(B47=0,0,VLOOKUP(B47,Datensammler!B:U,4,0))</f>
        <v>0</v>
      </c>
      <c r="E47" s="2">
        <f>IF(B47=0,0,VLOOKUP(B47,Datensammler!B:U,5,0))</f>
        <v>0</v>
      </c>
      <c r="F47" s="2">
        <f>IF(B47=0,0,VLOOKUP(B47,Datensammler!B:U,6,0))</f>
        <v>0</v>
      </c>
      <c r="G47" s="2">
        <f>IF(B47=0,0,VLOOKUP(B47,Datensammler!B:U,7,0))</f>
        <v>0</v>
      </c>
      <c r="H47" s="2">
        <f>IF(B47=0,0,VLOOKUP(B47,Datensammler!B:U,8,0))</f>
        <v>0</v>
      </c>
      <c r="I47" s="2">
        <f>IF(B47=0,0,VLOOKUP(B47,Datensammler!B:U,9,0))</f>
        <v>0</v>
      </c>
      <c r="J47" s="2">
        <f>IF(B47=0,0,VLOOKUP(B47,Datensammler!B:U,10,0))</f>
        <v>0</v>
      </c>
      <c r="K47" s="2">
        <f>IF(B47=0,0,VLOOKUP(B47,Datensammler!B:U,11,0))</f>
        <v>0</v>
      </c>
      <c r="L47" s="2">
        <f>IF(B47=0,0,VLOOKUP(B47,Datensammler!B:U,12,0))</f>
        <v>0</v>
      </c>
      <c r="M47" s="2">
        <f>IF(B47=0,0,VLOOKUP(B47,Datensammler!B:U,13,0))</f>
        <v>0</v>
      </c>
      <c r="N47" s="2">
        <f>IF(B47=0,0,VLOOKUP(B47,Datensammler!B:U,14,0))</f>
        <v>0</v>
      </c>
      <c r="O47" s="2">
        <f>IF(B47=0,0,VLOOKUP(B47,Datensammler!B:U,15,0))</f>
        <v>0</v>
      </c>
      <c r="P47" s="2">
        <f>IF(B47=0,0,VLOOKUP(B47,Datensammler!B:U,16,0))</f>
        <v>0</v>
      </c>
      <c r="Q47" s="2">
        <f>IF(B47=0,0,VLOOKUP(B47,Datensammler!B:U,17,0))</f>
        <v>0</v>
      </c>
      <c r="R47" s="2">
        <f>IF(B47=0,0,VLOOKUP(B47,Datensammler!B:U,18,0))</f>
        <v>0</v>
      </c>
      <c r="S47" s="2">
        <f>IF(B47=0,0,VLOOKUP(B47,Datensammler!B:U,19,0))</f>
        <v>0</v>
      </c>
      <c r="T47" s="2">
        <f>IF(B47=0,0,VLOOKUP(B47,Datensammler!B:U,20,0))</f>
        <v>0</v>
      </c>
      <c r="U47" s="50">
        <f t="shared" ref="U47:AL47" si="50">C47</f>
        <v>0</v>
      </c>
      <c r="V47" s="50">
        <f t="shared" si="50"/>
        <v>0</v>
      </c>
      <c r="W47" s="50">
        <f t="shared" si="50"/>
        <v>0</v>
      </c>
      <c r="X47" s="50">
        <f t="shared" si="50"/>
        <v>0</v>
      </c>
      <c r="Y47" s="50">
        <f t="shared" si="50"/>
        <v>0</v>
      </c>
      <c r="Z47" s="50">
        <f t="shared" si="50"/>
        <v>0</v>
      </c>
      <c r="AA47" s="50">
        <f t="shared" si="50"/>
        <v>0</v>
      </c>
      <c r="AB47" s="50">
        <f t="shared" si="50"/>
        <v>0</v>
      </c>
      <c r="AC47" s="50">
        <f t="shared" si="50"/>
        <v>0</v>
      </c>
      <c r="AD47" s="50">
        <f t="shared" si="50"/>
        <v>0</v>
      </c>
      <c r="AE47" s="50">
        <f t="shared" si="50"/>
        <v>0</v>
      </c>
      <c r="AF47" s="50">
        <f t="shared" si="50"/>
        <v>0</v>
      </c>
      <c r="AG47" s="50">
        <f t="shared" si="50"/>
        <v>0</v>
      </c>
      <c r="AH47" s="50">
        <f t="shared" si="50"/>
        <v>0</v>
      </c>
      <c r="AI47" s="50">
        <f t="shared" si="50"/>
        <v>0</v>
      </c>
      <c r="AJ47" s="50">
        <f t="shared" si="50"/>
        <v>0</v>
      </c>
      <c r="AK47" s="50">
        <f t="shared" si="50"/>
        <v>0</v>
      </c>
      <c r="AL47" s="50">
        <f t="shared" si="50"/>
        <v>0</v>
      </c>
      <c r="AP47" s="2">
        <f t="shared" si="3"/>
        <v>0</v>
      </c>
      <c r="AQ47" s="2">
        <f>IFERROR(__xludf.DUMMYFUNCTION("IF(V47&gt;0,MIN(FILTER(U47:AL47, U47:AL47&lt;&gt;0)),0)"),0.0)</f>
        <v>0</v>
      </c>
      <c r="AS47" s="2">
        <f t="shared" si="4"/>
        <v>0</v>
      </c>
      <c r="AU47" s="2">
        <f t="shared" si="5"/>
        <v>0</v>
      </c>
      <c r="AW47" s="2">
        <f t="shared" si="6"/>
        <v>0</v>
      </c>
      <c r="AX47" s="2">
        <f>IFERROR(__xludf.DUMMYFUNCTION("IF(X47&gt;0,SMALL(FILTER(U47:AL47, U47:AL47&lt;&gt;0), 2),0)"),0.0)</f>
        <v>0</v>
      </c>
      <c r="AY47" s="2">
        <f t="shared" si="7"/>
        <v>0</v>
      </c>
      <c r="AZ47" s="2">
        <f t="shared" si="8"/>
        <v>0</v>
      </c>
      <c r="BA47" s="2">
        <f>IFERROR(__xludf.DUMMYFUNCTION("IF(Y47&gt;0,SMALL(FILTER(U47:AL47, U47:AL47&lt;&gt;0), 3),0)"),0.0)</f>
        <v>0</v>
      </c>
      <c r="BB47" s="2">
        <f t="shared" si="9"/>
        <v>0</v>
      </c>
    </row>
    <row r="48">
      <c r="A48" s="2">
        <f>Spieler!A49</f>
        <v>44</v>
      </c>
      <c r="B48" s="2" t="str">
        <f>VLOOKUP(A48,Spieler!A:F,2,0)</f>
        <v/>
      </c>
      <c r="C48" s="2">
        <f>IF(B48=0,0,VLOOKUP(B48,Datensammler!B:U,3,0))</f>
        <v>0</v>
      </c>
      <c r="D48" s="2">
        <f>IF(B48=0,0,VLOOKUP(B48,Datensammler!B:U,4,0))</f>
        <v>0</v>
      </c>
      <c r="E48" s="2">
        <f>IF(B48=0,0,VLOOKUP(B48,Datensammler!B:U,5,0))</f>
        <v>0</v>
      </c>
      <c r="F48" s="2">
        <f>IF(B48=0,0,VLOOKUP(B48,Datensammler!B:U,6,0))</f>
        <v>0</v>
      </c>
      <c r="G48" s="2">
        <f>IF(B48=0,0,VLOOKUP(B48,Datensammler!B:U,7,0))</f>
        <v>0</v>
      </c>
      <c r="H48" s="2">
        <f>IF(B48=0,0,VLOOKUP(B48,Datensammler!B:U,8,0))</f>
        <v>0</v>
      </c>
      <c r="I48" s="2">
        <f>IF(B48=0,0,VLOOKUP(B48,Datensammler!B:U,9,0))</f>
        <v>0</v>
      </c>
      <c r="J48" s="2">
        <f>IF(B48=0,0,VLOOKUP(B48,Datensammler!B:U,10,0))</f>
        <v>0</v>
      </c>
      <c r="K48" s="2">
        <f>IF(B48=0,0,VLOOKUP(B48,Datensammler!B:U,11,0))</f>
        <v>0</v>
      </c>
      <c r="L48" s="2">
        <f>IF(B48=0,0,VLOOKUP(B48,Datensammler!B:U,12,0))</f>
        <v>0</v>
      </c>
      <c r="M48" s="2">
        <f>IF(B48=0,0,VLOOKUP(B48,Datensammler!B:U,13,0))</f>
        <v>0</v>
      </c>
      <c r="N48" s="2">
        <f>IF(B48=0,0,VLOOKUP(B48,Datensammler!B:U,14,0))</f>
        <v>0</v>
      </c>
      <c r="O48" s="2">
        <f>IF(B48=0,0,VLOOKUP(B48,Datensammler!B:U,15,0))</f>
        <v>0</v>
      </c>
      <c r="P48" s="2">
        <f>IF(B48=0,0,VLOOKUP(B48,Datensammler!B:U,16,0))</f>
        <v>0</v>
      </c>
      <c r="Q48" s="2">
        <f>IF(B48=0,0,VLOOKUP(B48,Datensammler!B:U,17,0))</f>
        <v>0</v>
      </c>
      <c r="R48" s="2">
        <f>IF(B48=0,0,VLOOKUP(B48,Datensammler!B:U,18,0))</f>
        <v>0</v>
      </c>
      <c r="S48" s="2">
        <f>IF(B48=0,0,VLOOKUP(B48,Datensammler!B:U,19,0))</f>
        <v>0</v>
      </c>
      <c r="T48" s="2">
        <f>IF(B48=0,0,VLOOKUP(B48,Datensammler!B:U,20,0))</f>
        <v>0</v>
      </c>
      <c r="U48" s="50">
        <f t="shared" ref="U48:AL48" si="51">C48</f>
        <v>0</v>
      </c>
      <c r="V48" s="50">
        <f t="shared" si="51"/>
        <v>0</v>
      </c>
      <c r="W48" s="50">
        <f t="shared" si="51"/>
        <v>0</v>
      </c>
      <c r="X48" s="50">
        <f t="shared" si="51"/>
        <v>0</v>
      </c>
      <c r="Y48" s="50">
        <f t="shared" si="51"/>
        <v>0</v>
      </c>
      <c r="Z48" s="50">
        <f t="shared" si="51"/>
        <v>0</v>
      </c>
      <c r="AA48" s="50">
        <f t="shared" si="51"/>
        <v>0</v>
      </c>
      <c r="AB48" s="50">
        <f t="shared" si="51"/>
        <v>0</v>
      </c>
      <c r="AC48" s="50">
        <f t="shared" si="51"/>
        <v>0</v>
      </c>
      <c r="AD48" s="50">
        <f t="shared" si="51"/>
        <v>0</v>
      </c>
      <c r="AE48" s="50">
        <f t="shared" si="51"/>
        <v>0</v>
      </c>
      <c r="AF48" s="50">
        <f t="shared" si="51"/>
        <v>0</v>
      </c>
      <c r="AG48" s="50">
        <f t="shared" si="51"/>
        <v>0</v>
      </c>
      <c r="AH48" s="50">
        <f t="shared" si="51"/>
        <v>0</v>
      </c>
      <c r="AI48" s="50">
        <f t="shared" si="51"/>
        <v>0</v>
      </c>
      <c r="AJ48" s="50">
        <f t="shared" si="51"/>
        <v>0</v>
      </c>
      <c r="AK48" s="50">
        <f t="shared" si="51"/>
        <v>0</v>
      </c>
      <c r="AL48" s="50">
        <f t="shared" si="51"/>
        <v>0</v>
      </c>
      <c r="AP48" s="2">
        <f t="shared" si="3"/>
        <v>0</v>
      </c>
      <c r="AQ48" s="2">
        <f>IFERROR(__xludf.DUMMYFUNCTION("IF(V48&gt;0,MIN(FILTER(U48:AL48, U48:AL48&lt;&gt;0)),0)"),0.0)</f>
        <v>0</v>
      </c>
      <c r="AS48" s="2">
        <f t="shared" si="4"/>
        <v>0</v>
      </c>
      <c r="AU48" s="2">
        <f t="shared" si="5"/>
        <v>0</v>
      </c>
      <c r="AW48" s="2">
        <f t="shared" si="6"/>
        <v>0</v>
      </c>
      <c r="AX48" s="2">
        <f>IFERROR(__xludf.DUMMYFUNCTION("IF(X48&gt;0,SMALL(FILTER(U48:AL48, U48:AL48&lt;&gt;0), 2),0)"),0.0)</f>
        <v>0</v>
      </c>
      <c r="AY48" s="2">
        <f t="shared" si="7"/>
        <v>0</v>
      </c>
      <c r="AZ48" s="2">
        <f t="shared" si="8"/>
        <v>0</v>
      </c>
      <c r="BA48" s="2">
        <f>IFERROR(__xludf.DUMMYFUNCTION("IF(Y48&gt;0,SMALL(FILTER(U48:AL48, U48:AL48&lt;&gt;0), 3),0)"),0.0)</f>
        <v>0</v>
      </c>
      <c r="BB48" s="2">
        <f t="shared" si="9"/>
        <v>0</v>
      </c>
    </row>
    <row r="49">
      <c r="A49" s="2">
        <f>Spieler!A50</f>
        <v>45</v>
      </c>
      <c r="B49" s="2" t="str">
        <f>VLOOKUP(A49,Spieler!A:F,2,0)</f>
        <v/>
      </c>
      <c r="C49" s="2">
        <f>IF(B49=0,0,VLOOKUP(B49,Datensammler!B:U,3,0))</f>
        <v>0</v>
      </c>
      <c r="D49" s="2">
        <f>IF(B49=0,0,VLOOKUP(B49,Datensammler!B:U,4,0))</f>
        <v>0</v>
      </c>
      <c r="E49" s="2">
        <f>IF(B49=0,0,VLOOKUP(B49,Datensammler!B:U,5,0))</f>
        <v>0</v>
      </c>
      <c r="F49" s="2">
        <f>IF(B49=0,0,VLOOKUP(B49,Datensammler!B:U,6,0))</f>
        <v>0</v>
      </c>
      <c r="G49" s="2">
        <f>IF(B49=0,0,VLOOKUP(B49,Datensammler!B:U,7,0))</f>
        <v>0</v>
      </c>
      <c r="H49" s="2">
        <f>IF(B49=0,0,VLOOKUP(B49,Datensammler!B:U,8,0))</f>
        <v>0</v>
      </c>
      <c r="I49" s="2">
        <f>IF(B49=0,0,VLOOKUP(B49,Datensammler!B:U,9,0))</f>
        <v>0</v>
      </c>
      <c r="J49" s="2">
        <f>IF(B49=0,0,VLOOKUP(B49,Datensammler!B:U,10,0))</f>
        <v>0</v>
      </c>
      <c r="K49" s="2">
        <f>IF(B49=0,0,VLOOKUP(B49,Datensammler!B:U,11,0))</f>
        <v>0</v>
      </c>
      <c r="L49" s="2">
        <f>IF(B49=0,0,VLOOKUP(B49,Datensammler!B:U,12,0))</f>
        <v>0</v>
      </c>
      <c r="M49" s="2">
        <f>IF(B49=0,0,VLOOKUP(B49,Datensammler!B:U,13,0))</f>
        <v>0</v>
      </c>
      <c r="N49" s="2">
        <f>IF(B49=0,0,VLOOKUP(B49,Datensammler!B:U,14,0))</f>
        <v>0</v>
      </c>
      <c r="O49" s="2">
        <f>IF(B49=0,0,VLOOKUP(B49,Datensammler!B:U,15,0))</f>
        <v>0</v>
      </c>
      <c r="P49" s="2">
        <f>IF(B49=0,0,VLOOKUP(B49,Datensammler!B:U,16,0))</f>
        <v>0</v>
      </c>
      <c r="Q49" s="2">
        <f>IF(B49=0,0,VLOOKUP(B49,Datensammler!B:U,17,0))</f>
        <v>0</v>
      </c>
      <c r="R49" s="2">
        <f>IF(B49=0,0,VLOOKUP(B49,Datensammler!B:U,18,0))</f>
        <v>0</v>
      </c>
      <c r="S49" s="2">
        <f>IF(B49=0,0,VLOOKUP(B49,Datensammler!B:U,19,0))</f>
        <v>0</v>
      </c>
      <c r="T49" s="2">
        <f>IF(B49=0,0,VLOOKUP(B49,Datensammler!B:U,20,0))</f>
        <v>0</v>
      </c>
      <c r="U49" s="50">
        <f t="shared" ref="U49:AL49" si="52">C49</f>
        <v>0</v>
      </c>
      <c r="V49" s="50">
        <f t="shared" si="52"/>
        <v>0</v>
      </c>
      <c r="W49" s="50">
        <f t="shared" si="52"/>
        <v>0</v>
      </c>
      <c r="X49" s="50">
        <f t="shared" si="52"/>
        <v>0</v>
      </c>
      <c r="Y49" s="50">
        <f t="shared" si="52"/>
        <v>0</v>
      </c>
      <c r="Z49" s="50">
        <f t="shared" si="52"/>
        <v>0</v>
      </c>
      <c r="AA49" s="50">
        <f t="shared" si="52"/>
        <v>0</v>
      </c>
      <c r="AB49" s="50">
        <f t="shared" si="52"/>
        <v>0</v>
      </c>
      <c r="AC49" s="50">
        <f t="shared" si="52"/>
        <v>0</v>
      </c>
      <c r="AD49" s="50">
        <f t="shared" si="52"/>
        <v>0</v>
      </c>
      <c r="AE49" s="50">
        <f t="shared" si="52"/>
        <v>0</v>
      </c>
      <c r="AF49" s="50">
        <f t="shared" si="52"/>
        <v>0</v>
      </c>
      <c r="AG49" s="50">
        <f t="shared" si="52"/>
        <v>0</v>
      </c>
      <c r="AH49" s="50">
        <f t="shared" si="52"/>
        <v>0</v>
      </c>
      <c r="AI49" s="50">
        <f t="shared" si="52"/>
        <v>0</v>
      </c>
      <c r="AJ49" s="50">
        <f t="shared" si="52"/>
        <v>0</v>
      </c>
      <c r="AK49" s="50">
        <f t="shared" si="52"/>
        <v>0</v>
      </c>
      <c r="AL49" s="50">
        <f t="shared" si="52"/>
        <v>0</v>
      </c>
      <c r="AP49" s="2">
        <f t="shared" si="3"/>
        <v>0</v>
      </c>
      <c r="AQ49" s="2">
        <f>IFERROR(__xludf.DUMMYFUNCTION("IF(V49&gt;0,MIN(FILTER(U49:AL49, U49:AL49&lt;&gt;0)),0)"),0.0)</f>
        <v>0</v>
      </c>
      <c r="AS49" s="2">
        <f t="shared" si="4"/>
        <v>0</v>
      </c>
      <c r="AU49" s="2">
        <f t="shared" si="5"/>
        <v>0</v>
      </c>
      <c r="AW49" s="2">
        <f t="shared" si="6"/>
        <v>0</v>
      </c>
      <c r="AX49" s="2">
        <f>IFERROR(__xludf.DUMMYFUNCTION("IF(X49&gt;0,SMALL(FILTER(U49:AL49, U49:AL49&lt;&gt;0), 2),0)"),0.0)</f>
        <v>0</v>
      </c>
      <c r="AY49" s="2">
        <f t="shared" si="7"/>
        <v>0</v>
      </c>
      <c r="AZ49" s="2">
        <f t="shared" si="8"/>
        <v>0</v>
      </c>
      <c r="BA49" s="2">
        <f>IFERROR(__xludf.DUMMYFUNCTION("IF(Y49&gt;0,SMALL(FILTER(U49:AL49, U49:AL49&lt;&gt;0), 3),0)"),0.0)</f>
        <v>0</v>
      </c>
      <c r="BB49" s="2">
        <f t="shared" si="9"/>
        <v>0</v>
      </c>
    </row>
    <row r="50">
      <c r="A50" s="2">
        <f>Spieler!A51</f>
        <v>46</v>
      </c>
      <c r="B50" s="2" t="str">
        <f>VLOOKUP(A50,Spieler!A:F,2,0)</f>
        <v/>
      </c>
      <c r="C50" s="2">
        <f>IF(B50=0,0,VLOOKUP(B50,Datensammler!B:U,3,0))</f>
        <v>0</v>
      </c>
      <c r="D50" s="2">
        <f>IF(B50=0,0,VLOOKUP(B50,Datensammler!B:U,4,0))</f>
        <v>0</v>
      </c>
      <c r="E50" s="2">
        <f>IF(B50=0,0,VLOOKUP(B50,Datensammler!B:U,5,0))</f>
        <v>0</v>
      </c>
      <c r="F50" s="2">
        <f>IF(B50=0,0,VLOOKUP(B50,Datensammler!B:U,6,0))</f>
        <v>0</v>
      </c>
      <c r="G50" s="2">
        <f>IF(B50=0,0,VLOOKUP(B50,Datensammler!B:U,7,0))</f>
        <v>0</v>
      </c>
      <c r="H50" s="2">
        <f>IF(B50=0,0,VLOOKUP(B50,Datensammler!B:U,8,0))</f>
        <v>0</v>
      </c>
      <c r="I50" s="2">
        <f>IF(B50=0,0,VLOOKUP(B50,Datensammler!B:U,9,0))</f>
        <v>0</v>
      </c>
      <c r="J50" s="2">
        <f>IF(B50=0,0,VLOOKUP(B50,Datensammler!B:U,10,0))</f>
        <v>0</v>
      </c>
      <c r="K50" s="2">
        <f>IF(B50=0,0,VLOOKUP(B50,Datensammler!B:U,11,0))</f>
        <v>0</v>
      </c>
      <c r="L50" s="2">
        <f>IF(B50=0,0,VLOOKUP(B50,Datensammler!B:U,12,0))</f>
        <v>0</v>
      </c>
      <c r="M50" s="2">
        <f>IF(B50=0,0,VLOOKUP(B50,Datensammler!B:U,13,0))</f>
        <v>0</v>
      </c>
      <c r="N50" s="2">
        <f>IF(B50=0,0,VLOOKUP(B50,Datensammler!B:U,14,0))</f>
        <v>0</v>
      </c>
      <c r="O50" s="2">
        <f>IF(B50=0,0,VLOOKUP(B50,Datensammler!B:U,15,0))</f>
        <v>0</v>
      </c>
      <c r="P50" s="2">
        <f>IF(B50=0,0,VLOOKUP(B50,Datensammler!B:U,16,0))</f>
        <v>0</v>
      </c>
      <c r="Q50" s="2">
        <f>IF(B50=0,0,VLOOKUP(B50,Datensammler!B:U,17,0))</f>
        <v>0</v>
      </c>
      <c r="R50" s="2">
        <f>IF(B50=0,0,VLOOKUP(B50,Datensammler!B:U,18,0))</f>
        <v>0</v>
      </c>
      <c r="S50" s="2">
        <f>IF(B50=0,0,VLOOKUP(B50,Datensammler!B:U,19,0))</f>
        <v>0</v>
      </c>
      <c r="T50" s="2">
        <f>IF(B50=0,0,VLOOKUP(B50,Datensammler!B:U,20,0))</f>
        <v>0</v>
      </c>
      <c r="U50" s="50">
        <f t="shared" ref="U50:AL50" si="53">C50</f>
        <v>0</v>
      </c>
      <c r="V50" s="50">
        <f t="shared" si="53"/>
        <v>0</v>
      </c>
      <c r="W50" s="50">
        <f t="shared" si="53"/>
        <v>0</v>
      </c>
      <c r="X50" s="50">
        <f t="shared" si="53"/>
        <v>0</v>
      </c>
      <c r="Y50" s="50">
        <f t="shared" si="53"/>
        <v>0</v>
      </c>
      <c r="Z50" s="50">
        <f t="shared" si="53"/>
        <v>0</v>
      </c>
      <c r="AA50" s="50">
        <f t="shared" si="53"/>
        <v>0</v>
      </c>
      <c r="AB50" s="50">
        <f t="shared" si="53"/>
        <v>0</v>
      </c>
      <c r="AC50" s="50">
        <f t="shared" si="53"/>
        <v>0</v>
      </c>
      <c r="AD50" s="50">
        <f t="shared" si="53"/>
        <v>0</v>
      </c>
      <c r="AE50" s="50">
        <f t="shared" si="53"/>
        <v>0</v>
      </c>
      <c r="AF50" s="50">
        <f t="shared" si="53"/>
        <v>0</v>
      </c>
      <c r="AG50" s="50">
        <f t="shared" si="53"/>
        <v>0</v>
      </c>
      <c r="AH50" s="50">
        <f t="shared" si="53"/>
        <v>0</v>
      </c>
      <c r="AI50" s="50">
        <f t="shared" si="53"/>
        <v>0</v>
      </c>
      <c r="AJ50" s="50">
        <f t="shared" si="53"/>
        <v>0</v>
      </c>
      <c r="AK50" s="50">
        <f t="shared" si="53"/>
        <v>0</v>
      </c>
      <c r="AL50" s="50">
        <f t="shared" si="53"/>
        <v>0</v>
      </c>
      <c r="AP50" s="2">
        <f t="shared" si="3"/>
        <v>0</v>
      </c>
      <c r="AQ50" s="2">
        <f>IFERROR(__xludf.DUMMYFUNCTION("IF(V50&gt;0,MIN(FILTER(U50:AL50, U50:AL50&lt;&gt;0)),0)"),0.0)</f>
        <v>0</v>
      </c>
      <c r="AS50" s="2">
        <f t="shared" si="4"/>
        <v>0</v>
      </c>
      <c r="AU50" s="2">
        <f t="shared" si="5"/>
        <v>0</v>
      </c>
      <c r="AW50" s="2">
        <f t="shared" si="6"/>
        <v>0</v>
      </c>
      <c r="AX50" s="2">
        <f>IFERROR(__xludf.DUMMYFUNCTION("IF(X50&gt;0,SMALL(FILTER(U50:AL50, U50:AL50&lt;&gt;0), 2),0)"),0.0)</f>
        <v>0</v>
      </c>
      <c r="AY50" s="2">
        <f t="shared" si="7"/>
        <v>0</v>
      </c>
      <c r="AZ50" s="2">
        <f t="shared" si="8"/>
        <v>0</v>
      </c>
      <c r="BA50" s="2">
        <f>IFERROR(__xludf.DUMMYFUNCTION("IF(Y50&gt;0,SMALL(FILTER(U50:AL50, U50:AL50&lt;&gt;0), 3),0)"),0.0)</f>
        <v>0</v>
      </c>
      <c r="BB50" s="2">
        <f t="shared" si="9"/>
        <v>0</v>
      </c>
    </row>
    <row r="51">
      <c r="A51" s="2">
        <f>Spieler!A52</f>
        <v>47</v>
      </c>
      <c r="B51" s="2" t="str">
        <f>VLOOKUP(A51,Spieler!A:F,2,0)</f>
        <v/>
      </c>
      <c r="C51" s="2">
        <f>IF(B51=0,0,VLOOKUP(B51,Datensammler!B:U,3,0))</f>
        <v>0</v>
      </c>
      <c r="D51" s="2">
        <f>IF(B51=0,0,VLOOKUP(B51,Datensammler!B:U,4,0))</f>
        <v>0</v>
      </c>
      <c r="E51" s="2">
        <f>IF(B51=0,0,VLOOKUP(B51,Datensammler!B:U,5,0))</f>
        <v>0</v>
      </c>
      <c r="F51" s="2">
        <f>IF(B51=0,0,VLOOKUP(B51,Datensammler!B:U,6,0))</f>
        <v>0</v>
      </c>
      <c r="G51" s="2">
        <f>IF(B51=0,0,VLOOKUP(B51,Datensammler!B:U,7,0))</f>
        <v>0</v>
      </c>
      <c r="H51" s="2">
        <f>IF(B51=0,0,VLOOKUP(B51,Datensammler!B:U,8,0))</f>
        <v>0</v>
      </c>
      <c r="I51" s="2">
        <f>IF(B51=0,0,VLOOKUP(B51,Datensammler!B:U,9,0))</f>
        <v>0</v>
      </c>
      <c r="J51" s="2">
        <f>IF(B51=0,0,VLOOKUP(B51,Datensammler!B:U,10,0))</f>
        <v>0</v>
      </c>
      <c r="K51" s="2">
        <f>IF(B51=0,0,VLOOKUP(B51,Datensammler!B:U,11,0))</f>
        <v>0</v>
      </c>
      <c r="L51" s="2">
        <f>IF(B51=0,0,VLOOKUP(B51,Datensammler!B:U,12,0))</f>
        <v>0</v>
      </c>
      <c r="M51" s="2">
        <f>IF(B51=0,0,VLOOKUP(B51,Datensammler!B:U,13,0))</f>
        <v>0</v>
      </c>
      <c r="N51" s="2">
        <f>IF(B51=0,0,VLOOKUP(B51,Datensammler!B:U,14,0))</f>
        <v>0</v>
      </c>
      <c r="O51" s="2">
        <f>IF(B51=0,0,VLOOKUP(B51,Datensammler!B:U,15,0))</f>
        <v>0</v>
      </c>
      <c r="P51" s="2">
        <f>IF(B51=0,0,VLOOKUP(B51,Datensammler!B:U,16,0))</f>
        <v>0</v>
      </c>
      <c r="Q51" s="2">
        <f>IF(B51=0,0,VLOOKUP(B51,Datensammler!B:U,17,0))</f>
        <v>0</v>
      </c>
      <c r="R51" s="2">
        <f>IF(B51=0,0,VLOOKUP(B51,Datensammler!B:U,18,0))</f>
        <v>0</v>
      </c>
      <c r="S51" s="2">
        <f>IF(B51=0,0,VLOOKUP(B51,Datensammler!B:U,19,0))</f>
        <v>0</v>
      </c>
      <c r="T51" s="2">
        <f>IF(B51=0,0,VLOOKUP(B51,Datensammler!B:U,20,0))</f>
        <v>0</v>
      </c>
      <c r="U51" s="50">
        <f t="shared" ref="U51:AL51" si="54">C51</f>
        <v>0</v>
      </c>
      <c r="V51" s="50">
        <f t="shared" si="54"/>
        <v>0</v>
      </c>
      <c r="W51" s="50">
        <f t="shared" si="54"/>
        <v>0</v>
      </c>
      <c r="X51" s="50">
        <f t="shared" si="54"/>
        <v>0</v>
      </c>
      <c r="Y51" s="50">
        <f t="shared" si="54"/>
        <v>0</v>
      </c>
      <c r="Z51" s="50">
        <f t="shared" si="54"/>
        <v>0</v>
      </c>
      <c r="AA51" s="50">
        <f t="shared" si="54"/>
        <v>0</v>
      </c>
      <c r="AB51" s="50">
        <f t="shared" si="54"/>
        <v>0</v>
      </c>
      <c r="AC51" s="50">
        <f t="shared" si="54"/>
        <v>0</v>
      </c>
      <c r="AD51" s="50">
        <f t="shared" si="54"/>
        <v>0</v>
      </c>
      <c r="AE51" s="50">
        <f t="shared" si="54"/>
        <v>0</v>
      </c>
      <c r="AF51" s="50">
        <f t="shared" si="54"/>
        <v>0</v>
      </c>
      <c r="AG51" s="50">
        <f t="shared" si="54"/>
        <v>0</v>
      </c>
      <c r="AH51" s="50">
        <f t="shared" si="54"/>
        <v>0</v>
      </c>
      <c r="AI51" s="50">
        <f t="shared" si="54"/>
        <v>0</v>
      </c>
      <c r="AJ51" s="50">
        <f t="shared" si="54"/>
        <v>0</v>
      </c>
      <c r="AK51" s="50">
        <f t="shared" si="54"/>
        <v>0</v>
      </c>
      <c r="AL51" s="50">
        <f t="shared" si="54"/>
        <v>0</v>
      </c>
      <c r="AP51" s="2">
        <f t="shared" si="3"/>
        <v>0</v>
      </c>
      <c r="AQ51" s="2">
        <f>IFERROR(__xludf.DUMMYFUNCTION("IF(V51&gt;0,MIN(FILTER(U51:AL51, U51:AL51&lt;&gt;0)),0)"),0.0)</f>
        <v>0</v>
      </c>
      <c r="AS51" s="2">
        <f t="shared" si="4"/>
        <v>0</v>
      </c>
      <c r="AU51" s="2">
        <f t="shared" si="5"/>
        <v>0</v>
      </c>
      <c r="AW51" s="2">
        <f t="shared" si="6"/>
        <v>0</v>
      </c>
      <c r="AX51" s="2">
        <f>IFERROR(__xludf.DUMMYFUNCTION("IF(X51&gt;0,SMALL(FILTER(U51:AL51, U51:AL51&lt;&gt;0), 2),0)"),0.0)</f>
        <v>0</v>
      </c>
      <c r="AY51" s="2">
        <f t="shared" si="7"/>
        <v>0</v>
      </c>
      <c r="AZ51" s="2">
        <f t="shared" si="8"/>
        <v>0</v>
      </c>
      <c r="BA51" s="2">
        <f>IFERROR(__xludf.DUMMYFUNCTION("IF(Y51&gt;0,SMALL(FILTER(U51:AL51, U51:AL51&lt;&gt;0), 3),0)"),0.0)</f>
        <v>0</v>
      </c>
      <c r="BB51" s="2">
        <f t="shared" si="9"/>
        <v>0</v>
      </c>
    </row>
    <row r="52">
      <c r="A52" s="2">
        <f>Spieler!A53</f>
        <v>48</v>
      </c>
      <c r="B52" s="2" t="str">
        <f>VLOOKUP(A52,Spieler!A:F,2,0)</f>
        <v/>
      </c>
      <c r="C52" s="2">
        <f>IF(B52=0,0,VLOOKUP(B52,Datensammler!B:U,3,0))</f>
        <v>0</v>
      </c>
      <c r="D52" s="2">
        <f>IF(B52=0,0,VLOOKUP(B52,Datensammler!B:U,4,0))</f>
        <v>0</v>
      </c>
      <c r="E52" s="2">
        <f>IF(B52=0,0,VLOOKUP(B52,Datensammler!B:U,5,0))</f>
        <v>0</v>
      </c>
      <c r="F52" s="2">
        <f>IF(B52=0,0,VLOOKUP(B52,Datensammler!B:U,6,0))</f>
        <v>0</v>
      </c>
      <c r="G52" s="2">
        <f>IF(B52=0,0,VLOOKUP(B52,Datensammler!B:U,7,0))</f>
        <v>0</v>
      </c>
      <c r="H52" s="2">
        <f>IF(B52=0,0,VLOOKUP(B52,Datensammler!B:U,8,0))</f>
        <v>0</v>
      </c>
      <c r="I52" s="2">
        <f>IF(B52=0,0,VLOOKUP(B52,Datensammler!B:U,9,0))</f>
        <v>0</v>
      </c>
      <c r="J52" s="2">
        <f>IF(B52=0,0,VLOOKUP(B52,Datensammler!B:U,10,0))</f>
        <v>0</v>
      </c>
      <c r="K52" s="2">
        <f>IF(B52=0,0,VLOOKUP(B52,Datensammler!B:U,11,0))</f>
        <v>0</v>
      </c>
      <c r="L52" s="2">
        <f>IF(B52=0,0,VLOOKUP(B52,Datensammler!B:U,12,0))</f>
        <v>0</v>
      </c>
      <c r="M52" s="2">
        <f>IF(B52=0,0,VLOOKUP(B52,Datensammler!B:U,13,0))</f>
        <v>0</v>
      </c>
      <c r="N52" s="2">
        <f>IF(B52=0,0,VLOOKUP(B52,Datensammler!B:U,14,0))</f>
        <v>0</v>
      </c>
      <c r="O52" s="2">
        <f>IF(B52=0,0,VLOOKUP(B52,Datensammler!B:U,15,0))</f>
        <v>0</v>
      </c>
      <c r="P52" s="2">
        <f>IF(B52=0,0,VLOOKUP(B52,Datensammler!B:U,16,0))</f>
        <v>0</v>
      </c>
      <c r="Q52" s="2">
        <f>IF(B52=0,0,VLOOKUP(B52,Datensammler!B:U,17,0))</f>
        <v>0</v>
      </c>
      <c r="R52" s="2">
        <f>IF(B52=0,0,VLOOKUP(B52,Datensammler!B:U,18,0))</f>
        <v>0</v>
      </c>
      <c r="S52" s="2">
        <f>IF(B52=0,0,VLOOKUP(B52,Datensammler!B:U,19,0))</f>
        <v>0</v>
      </c>
      <c r="T52" s="2">
        <f>IF(B52=0,0,VLOOKUP(B52,Datensammler!B:U,20,0))</f>
        <v>0</v>
      </c>
      <c r="U52" s="50">
        <f t="shared" ref="U52:AL52" si="55">C52</f>
        <v>0</v>
      </c>
      <c r="V52" s="50">
        <f t="shared" si="55"/>
        <v>0</v>
      </c>
      <c r="W52" s="50">
        <f t="shared" si="55"/>
        <v>0</v>
      </c>
      <c r="X52" s="50">
        <f t="shared" si="55"/>
        <v>0</v>
      </c>
      <c r="Y52" s="50">
        <f t="shared" si="55"/>
        <v>0</v>
      </c>
      <c r="Z52" s="50">
        <f t="shared" si="55"/>
        <v>0</v>
      </c>
      <c r="AA52" s="50">
        <f t="shared" si="55"/>
        <v>0</v>
      </c>
      <c r="AB52" s="50">
        <f t="shared" si="55"/>
        <v>0</v>
      </c>
      <c r="AC52" s="50">
        <f t="shared" si="55"/>
        <v>0</v>
      </c>
      <c r="AD52" s="50">
        <f t="shared" si="55"/>
        <v>0</v>
      </c>
      <c r="AE52" s="50">
        <f t="shared" si="55"/>
        <v>0</v>
      </c>
      <c r="AF52" s="50">
        <f t="shared" si="55"/>
        <v>0</v>
      </c>
      <c r="AG52" s="50">
        <f t="shared" si="55"/>
        <v>0</v>
      </c>
      <c r="AH52" s="50">
        <f t="shared" si="55"/>
        <v>0</v>
      </c>
      <c r="AI52" s="50">
        <f t="shared" si="55"/>
        <v>0</v>
      </c>
      <c r="AJ52" s="50">
        <f t="shared" si="55"/>
        <v>0</v>
      </c>
      <c r="AK52" s="50">
        <f t="shared" si="55"/>
        <v>0</v>
      </c>
      <c r="AL52" s="50">
        <f t="shared" si="55"/>
        <v>0</v>
      </c>
      <c r="AP52" s="2">
        <f t="shared" si="3"/>
        <v>0</v>
      </c>
      <c r="AQ52" s="2">
        <f>IFERROR(__xludf.DUMMYFUNCTION("IF(V52&gt;0,MIN(FILTER(U52:AL52, U52:AL52&lt;&gt;0)),0)"),0.0)</f>
        <v>0</v>
      </c>
      <c r="AS52" s="2">
        <f t="shared" si="4"/>
        <v>0</v>
      </c>
      <c r="AU52" s="2">
        <f t="shared" si="5"/>
        <v>0</v>
      </c>
      <c r="AW52" s="2">
        <f t="shared" si="6"/>
        <v>0</v>
      </c>
      <c r="AX52" s="2">
        <f>IFERROR(__xludf.DUMMYFUNCTION("IF(X52&gt;0,SMALL(FILTER(U52:AL52, U52:AL52&lt;&gt;0), 2),0)"),0.0)</f>
        <v>0</v>
      </c>
      <c r="AY52" s="2">
        <f t="shared" si="7"/>
        <v>0</v>
      </c>
      <c r="AZ52" s="2">
        <f t="shared" si="8"/>
        <v>0</v>
      </c>
      <c r="BA52" s="2">
        <f>IFERROR(__xludf.DUMMYFUNCTION("IF(Y52&gt;0,SMALL(FILTER(U52:AL52, U52:AL52&lt;&gt;0), 3),0)"),0.0)</f>
        <v>0</v>
      </c>
      <c r="BB52" s="2">
        <f t="shared" si="9"/>
        <v>0</v>
      </c>
    </row>
    <row r="53">
      <c r="A53" s="2">
        <f>Spieler!A54</f>
        <v>49</v>
      </c>
      <c r="B53" s="2" t="str">
        <f>VLOOKUP(A53,Spieler!A:F,2,0)</f>
        <v/>
      </c>
      <c r="C53" s="2">
        <f>IF(B53=0,0,VLOOKUP(B53,Datensammler!B:U,3,0))</f>
        <v>0</v>
      </c>
      <c r="D53" s="2">
        <f>IF(B53=0,0,VLOOKUP(B53,Datensammler!B:U,4,0))</f>
        <v>0</v>
      </c>
      <c r="E53" s="2">
        <f>IF(B53=0,0,VLOOKUP(B53,Datensammler!B:U,5,0))</f>
        <v>0</v>
      </c>
      <c r="F53" s="2">
        <f>IF(B53=0,0,VLOOKUP(B53,Datensammler!B:U,6,0))</f>
        <v>0</v>
      </c>
      <c r="G53" s="2">
        <f>IF(B53=0,0,VLOOKUP(B53,Datensammler!B:U,7,0))</f>
        <v>0</v>
      </c>
      <c r="H53" s="2">
        <f>IF(B53=0,0,VLOOKUP(B53,Datensammler!B:U,8,0))</f>
        <v>0</v>
      </c>
      <c r="I53" s="2">
        <f>IF(B53=0,0,VLOOKUP(B53,Datensammler!B:U,9,0))</f>
        <v>0</v>
      </c>
      <c r="J53" s="2">
        <f>IF(B53=0,0,VLOOKUP(B53,Datensammler!B:U,10,0))</f>
        <v>0</v>
      </c>
      <c r="K53" s="2">
        <f>IF(B53=0,0,VLOOKUP(B53,Datensammler!B:U,11,0))</f>
        <v>0</v>
      </c>
      <c r="L53" s="2">
        <f>IF(B53=0,0,VLOOKUP(B53,Datensammler!B:U,12,0))</f>
        <v>0</v>
      </c>
      <c r="M53" s="2">
        <f>IF(B53=0,0,VLOOKUP(B53,Datensammler!B:U,13,0))</f>
        <v>0</v>
      </c>
      <c r="N53" s="2">
        <f>IF(B53=0,0,VLOOKUP(B53,Datensammler!B:U,14,0))</f>
        <v>0</v>
      </c>
      <c r="O53" s="2">
        <f>IF(B53=0,0,VLOOKUP(B53,Datensammler!B:U,15,0))</f>
        <v>0</v>
      </c>
      <c r="P53" s="2">
        <f>IF(B53=0,0,VLOOKUP(B53,Datensammler!B:U,16,0))</f>
        <v>0</v>
      </c>
      <c r="Q53" s="2">
        <f>IF(B53=0,0,VLOOKUP(B53,Datensammler!B:U,17,0))</f>
        <v>0</v>
      </c>
      <c r="R53" s="2">
        <f>IF(B53=0,0,VLOOKUP(B53,Datensammler!B:U,18,0))</f>
        <v>0</v>
      </c>
      <c r="S53" s="2">
        <f>IF(B53=0,0,VLOOKUP(B53,Datensammler!B:U,19,0))</f>
        <v>0</v>
      </c>
      <c r="T53" s="2">
        <f>IF(B53=0,0,VLOOKUP(B53,Datensammler!B:U,20,0))</f>
        <v>0</v>
      </c>
      <c r="U53" s="50">
        <f t="shared" ref="U53:AL53" si="56">C53</f>
        <v>0</v>
      </c>
      <c r="V53" s="50">
        <f t="shared" si="56"/>
        <v>0</v>
      </c>
      <c r="W53" s="50">
        <f t="shared" si="56"/>
        <v>0</v>
      </c>
      <c r="X53" s="50">
        <f t="shared" si="56"/>
        <v>0</v>
      </c>
      <c r="Y53" s="50">
        <f t="shared" si="56"/>
        <v>0</v>
      </c>
      <c r="Z53" s="50">
        <f t="shared" si="56"/>
        <v>0</v>
      </c>
      <c r="AA53" s="50">
        <f t="shared" si="56"/>
        <v>0</v>
      </c>
      <c r="AB53" s="50">
        <f t="shared" si="56"/>
        <v>0</v>
      </c>
      <c r="AC53" s="50">
        <f t="shared" si="56"/>
        <v>0</v>
      </c>
      <c r="AD53" s="50">
        <f t="shared" si="56"/>
        <v>0</v>
      </c>
      <c r="AE53" s="50">
        <f t="shared" si="56"/>
        <v>0</v>
      </c>
      <c r="AF53" s="50">
        <f t="shared" si="56"/>
        <v>0</v>
      </c>
      <c r="AG53" s="50">
        <f t="shared" si="56"/>
        <v>0</v>
      </c>
      <c r="AH53" s="50">
        <f t="shared" si="56"/>
        <v>0</v>
      </c>
      <c r="AI53" s="50">
        <f t="shared" si="56"/>
        <v>0</v>
      </c>
      <c r="AJ53" s="50">
        <f t="shared" si="56"/>
        <v>0</v>
      </c>
      <c r="AK53" s="50">
        <f t="shared" si="56"/>
        <v>0</v>
      </c>
      <c r="AL53" s="50">
        <f t="shared" si="56"/>
        <v>0</v>
      </c>
      <c r="AP53" s="2">
        <f t="shared" si="3"/>
        <v>0</v>
      </c>
      <c r="AQ53" s="2">
        <f>IFERROR(__xludf.DUMMYFUNCTION("IF(V53&gt;0,MIN(FILTER(U53:AL53, U53:AL53&lt;&gt;0)),0)"),0.0)</f>
        <v>0</v>
      </c>
      <c r="AS53" s="2">
        <f t="shared" si="4"/>
        <v>0</v>
      </c>
      <c r="AU53" s="2">
        <f t="shared" si="5"/>
        <v>0</v>
      </c>
      <c r="AW53" s="2">
        <f t="shared" si="6"/>
        <v>0</v>
      </c>
      <c r="AX53" s="2">
        <f>IFERROR(__xludf.DUMMYFUNCTION("IF(X53&gt;0,SMALL(FILTER(U53:AL53, U53:AL53&lt;&gt;0), 2),0)"),0.0)</f>
        <v>0</v>
      </c>
      <c r="AY53" s="2">
        <f t="shared" si="7"/>
        <v>0</v>
      </c>
      <c r="AZ53" s="2">
        <f t="shared" si="8"/>
        <v>0</v>
      </c>
      <c r="BA53" s="2">
        <f>IFERROR(__xludf.DUMMYFUNCTION("IF(Y53&gt;0,SMALL(FILTER(U53:AL53, U53:AL53&lt;&gt;0), 3),0)"),0.0)</f>
        <v>0</v>
      </c>
      <c r="BB53" s="2">
        <f t="shared" si="9"/>
        <v>0</v>
      </c>
    </row>
    <row r="54">
      <c r="A54" s="2">
        <f>Spieler!A55</f>
        <v>50</v>
      </c>
      <c r="B54" s="2" t="str">
        <f>VLOOKUP(A54,Spieler!A:F,2,0)</f>
        <v/>
      </c>
      <c r="C54" s="2">
        <f>IF(B54=0,0,VLOOKUP(B54,Datensammler!B:U,3,0))</f>
        <v>0</v>
      </c>
      <c r="D54" s="2">
        <f>IF(B54=0,0,VLOOKUP(B54,Datensammler!B:U,4,0))</f>
        <v>0</v>
      </c>
      <c r="E54" s="2">
        <f>IF(B54=0,0,VLOOKUP(B54,Datensammler!B:U,5,0))</f>
        <v>0</v>
      </c>
      <c r="F54" s="2">
        <f>IF(B54=0,0,VLOOKUP(B54,Datensammler!B:U,6,0))</f>
        <v>0</v>
      </c>
      <c r="G54" s="2">
        <f>IF(B54=0,0,VLOOKUP(B54,Datensammler!B:U,7,0))</f>
        <v>0</v>
      </c>
      <c r="H54" s="2">
        <f>IF(B54=0,0,VLOOKUP(B54,Datensammler!B:U,8,0))</f>
        <v>0</v>
      </c>
      <c r="I54" s="2">
        <f>IF(B54=0,0,VLOOKUP(B54,Datensammler!B:U,9,0))</f>
        <v>0</v>
      </c>
      <c r="J54" s="2">
        <f>IF(B54=0,0,VLOOKUP(B54,Datensammler!B:U,10,0))</f>
        <v>0</v>
      </c>
      <c r="K54" s="2">
        <f>IF(B54=0,0,VLOOKUP(B54,Datensammler!B:U,11,0))</f>
        <v>0</v>
      </c>
      <c r="L54" s="2">
        <f>IF(B54=0,0,VLOOKUP(B54,Datensammler!B:U,12,0))</f>
        <v>0</v>
      </c>
      <c r="M54" s="2">
        <f>IF(B54=0,0,VLOOKUP(B54,Datensammler!B:U,13,0))</f>
        <v>0</v>
      </c>
      <c r="N54" s="2">
        <f>IF(B54=0,0,VLOOKUP(B54,Datensammler!B:U,14,0))</f>
        <v>0</v>
      </c>
      <c r="O54" s="2">
        <f>IF(B54=0,0,VLOOKUP(B54,Datensammler!B:U,15,0))</f>
        <v>0</v>
      </c>
      <c r="P54" s="2">
        <f>IF(B54=0,0,VLOOKUP(B54,Datensammler!B:U,16,0))</f>
        <v>0</v>
      </c>
      <c r="Q54" s="2">
        <f>IF(B54=0,0,VLOOKUP(B54,Datensammler!B:U,17,0))</f>
        <v>0</v>
      </c>
      <c r="R54" s="2">
        <f>IF(B54=0,0,VLOOKUP(B54,Datensammler!B:U,18,0))</f>
        <v>0</v>
      </c>
      <c r="S54" s="2">
        <f>IF(B54=0,0,VLOOKUP(B54,Datensammler!B:U,19,0))</f>
        <v>0</v>
      </c>
      <c r="T54" s="2">
        <f>IF(B54=0,0,VLOOKUP(B54,Datensammler!B:U,20,0))</f>
        <v>0</v>
      </c>
      <c r="U54" s="50">
        <f t="shared" ref="U54:AL54" si="57">C54</f>
        <v>0</v>
      </c>
      <c r="V54" s="50">
        <f t="shared" si="57"/>
        <v>0</v>
      </c>
      <c r="W54" s="50">
        <f t="shared" si="57"/>
        <v>0</v>
      </c>
      <c r="X54" s="50">
        <f t="shared" si="57"/>
        <v>0</v>
      </c>
      <c r="Y54" s="50">
        <f t="shared" si="57"/>
        <v>0</v>
      </c>
      <c r="Z54" s="50">
        <f t="shared" si="57"/>
        <v>0</v>
      </c>
      <c r="AA54" s="50">
        <f t="shared" si="57"/>
        <v>0</v>
      </c>
      <c r="AB54" s="50">
        <f t="shared" si="57"/>
        <v>0</v>
      </c>
      <c r="AC54" s="50">
        <f t="shared" si="57"/>
        <v>0</v>
      </c>
      <c r="AD54" s="50">
        <f t="shared" si="57"/>
        <v>0</v>
      </c>
      <c r="AE54" s="50">
        <f t="shared" si="57"/>
        <v>0</v>
      </c>
      <c r="AF54" s="50">
        <f t="shared" si="57"/>
        <v>0</v>
      </c>
      <c r="AG54" s="50">
        <f t="shared" si="57"/>
        <v>0</v>
      </c>
      <c r="AH54" s="50">
        <f t="shared" si="57"/>
        <v>0</v>
      </c>
      <c r="AI54" s="50">
        <f t="shared" si="57"/>
        <v>0</v>
      </c>
      <c r="AJ54" s="50">
        <f t="shared" si="57"/>
        <v>0</v>
      </c>
      <c r="AK54" s="50">
        <f t="shared" si="57"/>
        <v>0</v>
      </c>
      <c r="AL54" s="50">
        <f t="shared" si="57"/>
        <v>0</v>
      </c>
      <c r="AP54" s="2">
        <f t="shared" si="3"/>
        <v>0</v>
      </c>
      <c r="AQ54" s="2">
        <f>IFERROR(__xludf.DUMMYFUNCTION("IF(V54&gt;0,MIN(FILTER(U54:AL54, U54:AL54&lt;&gt;0)),0)"),0.0)</f>
        <v>0</v>
      </c>
      <c r="AS54" s="2">
        <f t="shared" si="4"/>
        <v>0</v>
      </c>
      <c r="AU54" s="2">
        <f t="shared" si="5"/>
        <v>0</v>
      </c>
      <c r="AW54" s="2">
        <f t="shared" si="6"/>
        <v>0</v>
      </c>
      <c r="AX54" s="2">
        <f>IFERROR(__xludf.DUMMYFUNCTION("IF(X54&gt;0,SMALL(FILTER(U54:AL54, U54:AL54&lt;&gt;0), 2),0)"),0.0)</f>
        <v>0</v>
      </c>
      <c r="AY54" s="2">
        <f t="shared" si="7"/>
        <v>0</v>
      </c>
      <c r="AZ54" s="2">
        <f t="shared" si="8"/>
        <v>0</v>
      </c>
      <c r="BA54" s="2">
        <f>IFERROR(__xludf.DUMMYFUNCTION("IF(Y54&gt;0,SMALL(FILTER(U54:AL54, U54:AL54&lt;&gt;0), 3),0)"),0.0)</f>
        <v>0</v>
      </c>
      <c r="BB54" s="2">
        <f t="shared" si="9"/>
        <v>0</v>
      </c>
    </row>
    <row r="55">
      <c r="A55" s="2">
        <f>Spieler!A56</f>
        <v>51</v>
      </c>
      <c r="B55" s="2" t="str">
        <f>VLOOKUP(A55,Spieler!A:F,2,0)</f>
        <v/>
      </c>
      <c r="C55" s="2">
        <f>IF(B55=0,0,VLOOKUP(B55,Datensammler!B:U,3,0))</f>
        <v>0</v>
      </c>
      <c r="D55" s="2">
        <f>IF(B55=0,0,VLOOKUP(B55,Datensammler!B:U,4,0))</f>
        <v>0</v>
      </c>
      <c r="E55" s="2">
        <f>IF(B55=0,0,VLOOKUP(B55,Datensammler!B:U,5,0))</f>
        <v>0</v>
      </c>
      <c r="F55" s="2">
        <f>IF(B55=0,0,VLOOKUP(B55,Datensammler!B:U,6,0))</f>
        <v>0</v>
      </c>
      <c r="G55" s="2">
        <f>IF(B55=0,0,VLOOKUP(B55,Datensammler!B:U,7,0))</f>
        <v>0</v>
      </c>
      <c r="H55" s="2">
        <f>IF(B55=0,0,VLOOKUP(B55,Datensammler!B:U,8,0))</f>
        <v>0</v>
      </c>
      <c r="I55" s="2">
        <f>IF(B55=0,0,VLOOKUP(B55,Datensammler!B:U,9,0))</f>
        <v>0</v>
      </c>
      <c r="J55" s="2">
        <f>IF(B55=0,0,VLOOKUP(B55,Datensammler!B:U,10,0))</f>
        <v>0</v>
      </c>
      <c r="K55" s="2">
        <f>IF(B55=0,0,VLOOKUP(B55,Datensammler!B:U,11,0))</f>
        <v>0</v>
      </c>
      <c r="L55" s="2">
        <f>IF(B55=0,0,VLOOKUP(B55,Datensammler!B:U,12,0))</f>
        <v>0</v>
      </c>
      <c r="M55" s="2">
        <f>IF(B55=0,0,VLOOKUP(B55,Datensammler!B:U,13,0))</f>
        <v>0</v>
      </c>
      <c r="N55" s="2">
        <f>IF(B55=0,0,VLOOKUP(B55,Datensammler!B:U,14,0))</f>
        <v>0</v>
      </c>
      <c r="O55" s="2">
        <f>IF(B55=0,0,VLOOKUP(B55,Datensammler!B:U,15,0))</f>
        <v>0</v>
      </c>
      <c r="P55" s="2">
        <f>IF(B55=0,0,VLOOKUP(B55,Datensammler!B:U,16,0))</f>
        <v>0</v>
      </c>
      <c r="Q55" s="2">
        <f>IF(B55=0,0,VLOOKUP(B55,Datensammler!B:U,17,0))</f>
        <v>0</v>
      </c>
      <c r="R55" s="2">
        <f>IF(B55=0,0,VLOOKUP(B55,Datensammler!B:U,18,0))</f>
        <v>0</v>
      </c>
      <c r="S55" s="2">
        <f>IF(B55=0,0,VLOOKUP(B55,Datensammler!B:U,19,0))</f>
        <v>0</v>
      </c>
      <c r="T55" s="2">
        <f>IF(B55=0,0,VLOOKUP(B55,Datensammler!B:U,20,0))</f>
        <v>0</v>
      </c>
      <c r="U55" s="50">
        <f t="shared" ref="U55:AL55" si="58">C55</f>
        <v>0</v>
      </c>
      <c r="V55" s="50">
        <f t="shared" si="58"/>
        <v>0</v>
      </c>
      <c r="W55" s="50">
        <f t="shared" si="58"/>
        <v>0</v>
      </c>
      <c r="X55" s="50">
        <f t="shared" si="58"/>
        <v>0</v>
      </c>
      <c r="Y55" s="50">
        <f t="shared" si="58"/>
        <v>0</v>
      </c>
      <c r="Z55" s="50">
        <f t="shared" si="58"/>
        <v>0</v>
      </c>
      <c r="AA55" s="50">
        <f t="shared" si="58"/>
        <v>0</v>
      </c>
      <c r="AB55" s="50">
        <f t="shared" si="58"/>
        <v>0</v>
      </c>
      <c r="AC55" s="50">
        <f t="shared" si="58"/>
        <v>0</v>
      </c>
      <c r="AD55" s="50">
        <f t="shared" si="58"/>
        <v>0</v>
      </c>
      <c r="AE55" s="50">
        <f t="shared" si="58"/>
        <v>0</v>
      </c>
      <c r="AF55" s="50">
        <f t="shared" si="58"/>
        <v>0</v>
      </c>
      <c r="AG55" s="50">
        <f t="shared" si="58"/>
        <v>0</v>
      </c>
      <c r="AH55" s="50">
        <f t="shared" si="58"/>
        <v>0</v>
      </c>
      <c r="AI55" s="50">
        <f t="shared" si="58"/>
        <v>0</v>
      </c>
      <c r="AJ55" s="50">
        <f t="shared" si="58"/>
        <v>0</v>
      </c>
      <c r="AK55" s="50">
        <f t="shared" si="58"/>
        <v>0</v>
      </c>
      <c r="AL55" s="50">
        <f t="shared" si="58"/>
        <v>0</v>
      </c>
      <c r="AP55" s="2">
        <f t="shared" si="3"/>
        <v>0</v>
      </c>
      <c r="AQ55" s="2">
        <f>IFERROR(__xludf.DUMMYFUNCTION("IF(V55&gt;0,MIN(FILTER(U55:AL55, U55:AL55&lt;&gt;0)),0)"),0.0)</f>
        <v>0</v>
      </c>
      <c r="AS55" s="2">
        <f t="shared" si="4"/>
        <v>0</v>
      </c>
      <c r="AU55" s="2">
        <f t="shared" si="5"/>
        <v>0</v>
      </c>
      <c r="AW55" s="2">
        <f t="shared" si="6"/>
        <v>0</v>
      </c>
      <c r="AX55" s="2">
        <f>IFERROR(__xludf.DUMMYFUNCTION("IF(X55&gt;0,SMALL(FILTER(U55:AL55, U55:AL55&lt;&gt;0), 2),0)"),0.0)</f>
        <v>0</v>
      </c>
      <c r="AY55" s="2">
        <f t="shared" si="7"/>
        <v>0</v>
      </c>
      <c r="AZ55" s="2">
        <f t="shared" si="8"/>
        <v>0</v>
      </c>
      <c r="BA55" s="2">
        <f>IFERROR(__xludf.DUMMYFUNCTION("IF(Y55&gt;0,SMALL(FILTER(U55:AL55, U55:AL55&lt;&gt;0), 3),0)"),0.0)</f>
        <v>0</v>
      </c>
      <c r="BB55" s="2">
        <f t="shared" si="9"/>
        <v>0</v>
      </c>
    </row>
    <row r="56">
      <c r="A56" s="2">
        <f>Spieler!A57</f>
        <v>52</v>
      </c>
      <c r="B56" s="2" t="str">
        <f>VLOOKUP(A56,Spieler!A:F,2,0)</f>
        <v/>
      </c>
      <c r="C56" s="2">
        <f>IF(B56=0,0,VLOOKUP(B56,Datensammler!B:U,3,0))</f>
        <v>0</v>
      </c>
      <c r="D56" s="2">
        <f>IF(B56=0,0,VLOOKUP(B56,Datensammler!B:U,4,0))</f>
        <v>0</v>
      </c>
      <c r="E56" s="2">
        <f>IF(B56=0,0,VLOOKUP(B56,Datensammler!B:U,5,0))</f>
        <v>0</v>
      </c>
      <c r="F56" s="2">
        <f>IF(B56=0,0,VLOOKUP(B56,Datensammler!B:U,6,0))</f>
        <v>0</v>
      </c>
      <c r="G56" s="2">
        <f>IF(B56=0,0,VLOOKUP(B56,Datensammler!B:U,7,0))</f>
        <v>0</v>
      </c>
      <c r="H56" s="2">
        <f>IF(B56=0,0,VLOOKUP(B56,Datensammler!B:U,8,0))</f>
        <v>0</v>
      </c>
      <c r="I56" s="2">
        <f>IF(B56=0,0,VLOOKUP(B56,Datensammler!B:U,9,0))</f>
        <v>0</v>
      </c>
      <c r="J56" s="2">
        <f>IF(B56=0,0,VLOOKUP(B56,Datensammler!B:U,10,0))</f>
        <v>0</v>
      </c>
      <c r="K56" s="2">
        <f>IF(B56=0,0,VLOOKUP(B56,Datensammler!B:U,11,0))</f>
        <v>0</v>
      </c>
      <c r="L56" s="2">
        <f>IF(B56=0,0,VLOOKUP(B56,Datensammler!B:U,12,0))</f>
        <v>0</v>
      </c>
      <c r="M56" s="2">
        <f>IF(B56=0,0,VLOOKUP(B56,Datensammler!B:U,13,0))</f>
        <v>0</v>
      </c>
      <c r="N56" s="2">
        <f>IF(B56=0,0,VLOOKUP(B56,Datensammler!B:U,14,0))</f>
        <v>0</v>
      </c>
      <c r="O56" s="2">
        <f>IF(B56=0,0,VLOOKUP(B56,Datensammler!B:U,15,0))</f>
        <v>0</v>
      </c>
      <c r="P56" s="2">
        <f>IF(B56=0,0,VLOOKUP(B56,Datensammler!B:U,16,0))</f>
        <v>0</v>
      </c>
      <c r="Q56" s="2">
        <f>IF(B56=0,0,VLOOKUP(B56,Datensammler!B:U,17,0))</f>
        <v>0</v>
      </c>
      <c r="R56" s="2">
        <f>IF(B56=0,0,VLOOKUP(B56,Datensammler!B:U,18,0))</f>
        <v>0</v>
      </c>
      <c r="S56" s="2">
        <f>IF(B56=0,0,VLOOKUP(B56,Datensammler!B:U,19,0))</f>
        <v>0</v>
      </c>
      <c r="T56" s="2">
        <f>IF(B56=0,0,VLOOKUP(B56,Datensammler!B:U,20,0))</f>
        <v>0</v>
      </c>
      <c r="U56" s="50">
        <f t="shared" ref="U56:AL56" si="59">C56</f>
        <v>0</v>
      </c>
      <c r="V56" s="50">
        <f t="shared" si="59"/>
        <v>0</v>
      </c>
      <c r="W56" s="50">
        <f t="shared" si="59"/>
        <v>0</v>
      </c>
      <c r="X56" s="50">
        <f t="shared" si="59"/>
        <v>0</v>
      </c>
      <c r="Y56" s="50">
        <f t="shared" si="59"/>
        <v>0</v>
      </c>
      <c r="Z56" s="50">
        <f t="shared" si="59"/>
        <v>0</v>
      </c>
      <c r="AA56" s="50">
        <f t="shared" si="59"/>
        <v>0</v>
      </c>
      <c r="AB56" s="50">
        <f t="shared" si="59"/>
        <v>0</v>
      </c>
      <c r="AC56" s="50">
        <f t="shared" si="59"/>
        <v>0</v>
      </c>
      <c r="AD56" s="50">
        <f t="shared" si="59"/>
        <v>0</v>
      </c>
      <c r="AE56" s="50">
        <f t="shared" si="59"/>
        <v>0</v>
      </c>
      <c r="AF56" s="50">
        <f t="shared" si="59"/>
        <v>0</v>
      </c>
      <c r="AG56" s="50">
        <f t="shared" si="59"/>
        <v>0</v>
      </c>
      <c r="AH56" s="50">
        <f t="shared" si="59"/>
        <v>0</v>
      </c>
      <c r="AI56" s="50">
        <f t="shared" si="59"/>
        <v>0</v>
      </c>
      <c r="AJ56" s="50">
        <f t="shared" si="59"/>
        <v>0</v>
      </c>
      <c r="AK56" s="50">
        <f t="shared" si="59"/>
        <v>0</v>
      </c>
      <c r="AL56" s="50">
        <f t="shared" si="59"/>
        <v>0</v>
      </c>
      <c r="AP56" s="2">
        <f t="shared" si="3"/>
        <v>0</v>
      </c>
      <c r="AQ56" s="2">
        <f>IFERROR(__xludf.DUMMYFUNCTION("IF(V56&gt;0,MIN(FILTER(U56:AL56, U56:AL56&lt;&gt;0)),0)"),0.0)</f>
        <v>0</v>
      </c>
      <c r="AS56" s="2">
        <f t="shared" si="4"/>
        <v>0</v>
      </c>
      <c r="AU56" s="2">
        <f t="shared" si="5"/>
        <v>0</v>
      </c>
      <c r="AW56" s="2">
        <f t="shared" si="6"/>
        <v>0</v>
      </c>
      <c r="AX56" s="2">
        <f>IFERROR(__xludf.DUMMYFUNCTION("IF(X56&gt;0,SMALL(FILTER(U56:AL56, U56:AL56&lt;&gt;0), 2),0)"),0.0)</f>
        <v>0</v>
      </c>
      <c r="AY56" s="2">
        <f t="shared" si="7"/>
        <v>0</v>
      </c>
      <c r="AZ56" s="2">
        <f t="shared" si="8"/>
        <v>0</v>
      </c>
      <c r="BA56" s="2">
        <f>IFERROR(__xludf.DUMMYFUNCTION("IF(Y56&gt;0,SMALL(FILTER(U56:AL56, U56:AL56&lt;&gt;0), 3),0)"),0.0)</f>
        <v>0</v>
      </c>
      <c r="BB56" s="2">
        <f t="shared" si="9"/>
        <v>0</v>
      </c>
    </row>
    <row r="57">
      <c r="A57" s="2">
        <f>Spieler!A58</f>
        <v>53</v>
      </c>
      <c r="B57" s="2" t="str">
        <f>VLOOKUP(A57,Spieler!A:F,2,0)</f>
        <v/>
      </c>
      <c r="C57" s="2">
        <f>IF(B57=0,0,VLOOKUP(B57,Datensammler!B:U,3,0))</f>
        <v>0</v>
      </c>
      <c r="D57" s="2">
        <f>IF(B57=0,0,VLOOKUP(B57,Datensammler!B:U,4,0))</f>
        <v>0</v>
      </c>
      <c r="E57" s="2">
        <f>IF(B57=0,0,VLOOKUP(B57,Datensammler!B:U,5,0))</f>
        <v>0</v>
      </c>
      <c r="F57" s="2">
        <f>IF(B57=0,0,VLOOKUP(B57,Datensammler!B:U,6,0))</f>
        <v>0</v>
      </c>
      <c r="G57" s="2">
        <f>IF(B57=0,0,VLOOKUP(B57,Datensammler!B:U,7,0))</f>
        <v>0</v>
      </c>
      <c r="H57" s="2">
        <f>IF(B57=0,0,VLOOKUP(B57,Datensammler!B:U,8,0))</f>
        <v>0</v>
      </c>
      <c r="I57" s="2">
        <f>IF(B57=0,0,VLOOKUP(B57,Datensammler!B:U,9,0))</f>
        <v>0</v>
      </c>
      <c r="J57" s="2">
        <f>IF(B57=0,0,VLOOKUP(B57,Datensammler!B:U,10,0))</f>
        <v>0</v>
      </c>
      <c r="K57" s="2">
        <f>IF(B57=0,0,VLOOKUP(B57,Datensammler!B:U,11,0))</f>
        <v>0</v>
      </c>
      <c r="L57" s="2">
        <f>IF(B57=0,0,VLOOKUP(B57,Datensammler!B:U,12,0))</f>
        <v>0</v>
      </c>
      <c r="M57" s="2">
        <f>IF(B57=0,0,VLOOKUP(B57,Datensammler!B:U,13,0))</f>
        <v>0</v>
      </c>
      <c r="N57" s="2">
        <f>IF(B57=0,0,VLOOKUP(B57,Datensammler!B:U,14,0))</f>
        <v>0</v>
      </c>
      <c r="O57" s="2">
        <f>IF(B57=0,0,VLOOKUP(B57,Datensammler!B:U,15,0))</f>
        <v>0</v>
      </c>
      <c r="P57" s="2">
        <f>IF(B57=0,0,VLOOKUP(B57,Datensammler!B:U,16,0))</f>
        <v>0</v>
      </c>
      <c r="Q57" s="2">
        <f>IF(B57=0,0,VLOOKUP(B57,Datensammler!B:U,17,0))</f>
        <v>0</v>
      </c>
      <c r="R57" s="2">
        <f>IF(B57=0,0,VLOOKUP(B57,Datensammler!B:U,18,0))</f>
        <v>0</v>
      </c>
      <c r="S57" s="2">
        <f>IF(B57=0,0,VLOOKUP(B57,Datensammler!B:U,19,0))</f>
        <v>0</v>
      </c>
      <c r="T57" s="2">
        <f>IF(B57=0,0,VLOOKUP(B57,Datensammler!B:U,20,0))</f>
        <v>0</v>
      </c>
      <c r="U57" s="50">
        <f t="shared" ref="U57:AL57" si="60">C57</f>
        <v>0</v>
      </c>
      <c r="V57" s="50">
        <f t="shared" si="60"/>
        <v>0</v>
      </c>
      <c r="W57" s="50">
        <f t="shared" si="60"/>
        <v>0</v>
      </c>
      <c r="X57" s="50">
        <f t="shared" si="60"/>
        <v>0</v>
      </c>
      <c r="Y57" s="50">
        <f t="shared" si="60"/>
        <v>0</v>
      </c>
      <c r="Z57" s="50">
        <f t="shared" si="60"/>
        <v>0</v>
      </c>
      <c r="AA57" s="50">
        <f t="shared" si="60"/>
        <v>0</v>
      </c>
      <c r="AB57" s="50">
        <f t="shared" si="60"/>
        <v>0</v>
      </c>
      <c r="AC57" s="50">
        <f t="shared" si="60"/>
        <v>0</v>
      </c>
      <c r="AD57" s="50">
        <f t="shared" si="60"/>
        <v>0</v>
      </c>
      <c r="AE57" s="50">
        <f t="shared" si="60"/>
        <v>0</v>
      </c>
      <c r="AF57" s="50">
        <f t="shared" si="60"/>
        <v>0</v>
      </c>
      <c r="AG57" s="50">
        <f t="shared" si="60"/>
        <v>0</v>
      </c>
      <c r="AH57" s="50">
        <f t="shared" si="60"/>
        <v>0</v>
      </c>
      <c r="AI57" s="50">
        <f t="shared" si="60"/>
        <v>0</v>
      </c>
      <c r="AJ57" s="50">
        <f t="shared" si="60"/>
        <v>0</v>
      </c>
      <c r="AK57" s="50">
        <f t="shared" si="60"/>
        <v>0</v>
      </c>
      <c r="AL57" s="50">
        <f t="shared" si="60"/>
        <v>0</v>
      </c>
      <c r="AP57" s="2">
        <f t="shared" si="3"/>
        <v>0</v>
      </c>
      <c r="AQ57" s="2">
        <f>IFERROR(__xludf.DUMMYFUNCTION("IF(V57&gt;0,MIN(FILTER(U57:AL57, U57:AL57&lt;&gt;0)),0)"),0.0)</f>
        <v>0</v>
      </c>
      <c r="AS57" s="2">
        <f t="shared" si="4"/>
        <v>0</v>
      </c>
      <c r="AU57" s="2">
        <f t="shared" si="5"/>
        <v>0</v>
      </c>
      <c r="AW57" s="2">
        <f t="shared" si="6"/>
        <v>0</v>
      </c>
      <c r="AX57" s="2">
        <f>IFERROR(__xludf.DUMMYFUNCTION("IF(X57&gt;0,SMALL(FILTER(U57:AL57, U57:AL57&lt;&gt;0), 2),0)"),0.0)</f>
        <v>0</v>
      </c>
      <c r="AY57" s="2">
        <f t="shared" si="7"/>
        <v>0</v>
      </c>
      <c r="AZ57" s="2">
        <f t="shared" si="8"/>
        <v>0</v>
      </c>
      <c r="BA57" s="2">
        <f>IFERROR(__xludf.DUMMYFUNCTION("IF(Y57&gt;0,SMALL(FILTER(U57:AL57, U57:AL57&lt;&gt;0), 3),0)"),0.0)</f>
        <v>0</v>
      </c>
      <c r="BB57" s="2">
        <f t="shared" si="9"/>
        <v>0</v>
      </c>
    </row>
    <row r="58">
      <c r="A58" s="2">
        <f>Spieler!A59</f>
        <v>54</v>
      </c>
      <c r="B58" s="2" t="str">
        <f>VLOOKUP(A58,Spieler!A:F,2,0)</f>
        <v/>
      </c>
      <c r="C58" s="2">
        <f>IF(B58=0,0,VLOOKUP(B58,Datensammler!B:U,3,0))</f>
        <v>0</v>
      </c>
      <c r="D58" s="2">
        <f>IF(B58=0,0,VLOOKUP(B58,Datensammler!B:U,4,0))</f>
        <v>0</v>
      </c>
      <c r="E58" s="2">
        <f>IF(B58=0,0,VLOOKUP(B58,Datensammler!B:U,5,0))</f>
        <v>0</v>
      </c>
      <c r="F58" s="2">
        <f>IF(B58=0,0,VLOOKUP(B58,Datensammler!B:U,6,0))</f>
        <v>0</v>
      </c>
      <c r="G58" s="2">
        <f>IF(B58=0,0,VLOOKUP(B58,Datensammler!B:U,7,0))</f>
        <v>0</v>
      </c>
      <c r="H58" s="2">
        <f>IF(B58=0,0,VLOOKUP(B58,Datensammler!B:U,8,0))</f>
        <v>0</v>
      </c>
      <c r="I58" s="2">
        <f>IF(B58=0,0,VLOOKUP(B58,Datensammler!B:U,9,0))</f>
        <v>0</v>
      </c>
      <c r="J58" s="2">
        <f>IF(B58=0,0,VLOOKUP(B58,Datensammler!B:U,10,0))</f>
        <v>0</v>
      </c>
      <c r="K58" s="2">
        <f>IF(B58=0,0,VLOOKUP(B58,Datensammler!B:U,11,0))</f>
        <v>0</v>
      </c>
      <c r="L58" s="2">
        <f>IF(B58=0,0,VLOOKUP(B58,Datensammler!B:U,12,0))</f>
        <v>0</v>
      </c>
      <c r="M58" s="2">
        <f>IF(B58=0,0,VLOOKUP(B58,Datensammler!B:U,13,0))</f>
        <v>0</v>
      </c>
      <c r="N58" s="2">
        <f>IF(B58=0,0,VLOOKUP(B58,Datensammler!B:U,14,0))</f>
        <v>0</v>
      </c>
      <c r="O58" s="2">
        <f>IF(B58=0,0,VLOOKUP(B58,Datensammler!B:U,15,0))</f>
        <v>0</v>
      </c>
      <c r="P58" s="2">
        <f>IF(B58=0,0,VLOOKUP(B58,Datensammler!B:U,16,0))</f>
        <v>0</v>
      </c>
      <c r="Q58" s="2">
        <f>IF(B58=0,0,VLOOKUP(B58,Datensammler!B:U,17,0))</f>
        <v>0</v>
      </c>
      <c r="R58" s="2">
        <f>IF(B58=0,0,VLOOKUP(B58,Datensammler!B:U,18,0))</f>
        <v>0</v>
      </c>
      <c r="S58" s="2">
        <f>IF(B58=0,0,VLOOKUP(B58,Datensammler!B:U,19,0))</f>
        <v>0</v>
      </c>
      <c r="T58" s="2">
        <f>IF(B58=0,0,VLOOKUP(B58,Datensammler!B:U,20,0))</f>
        <v>0</v>
      </c>
      <c r="U58" s="50">
        <f t="shared" ref="U58:AL58" si="61">C58</f>
        <v>0</v>
      </c>
      <c r="V58" s="50">
        <f t="shared" si="61"/>
        <v>0</v>
      </c>
      <c r="W58" s="50">
        <f t="shared" si="61"/>
        <v>0</v>
      </c>
      <c r="X58" s="50">
        <f t="shared" si="61"/>
        <v>0</v>
      </c>
      <c r="Y58" s="50">
        <f t="shared" si="61"/>
        <v>0</v>
      </c>
      <c r="Z58" s="50">
        <f t="shared" si="61"/>
        <v>0</v>
      </c>
      <c r="AA58" s="50">
        <f t="shared" si="61"/>
        <v>0</v>
      </c>
      <c r="AB58" s="50">
        <f t="shared" si="61"/>
        <v>0</v>
      </c>
      <c r="AC58" s="50">
        <f t="shared" si="61"/>
        <v>0</v>
      </c>
      <c r="AD58" s="50">
        <f t="shared" si="61"/>
        <v>0</v>
      </c>
      <c r="AE58" s="50">
        <f t="shared" si="61"/>
        <v>0</v>
      </c>
      <c r="AF58" s="50">
        <f t="shared" si="61"/>
        <v>0</v>
      </c>
      <c r="AG58" s="50">
        <f t="shared" si="61"/>
        <v>0</v>
      </c>
      <c r="AH58" s="50">
        <f t="shared" si="61"/>
        <v>0</v>
      </c>
      <c r="AI58" s="50">
        <f t="shared" si="61"/>
        <v>0</v>
      </c>
      <c r="AJ58" s="50">
        <f t="shared" si="61"/>
        <v>0</v>
      </c>
      <c r="AK58" s="50">
        <f t="shared" si="61"/>
        <v>0</v>
      </c>
      <c r="AL58" s="50">
        <f t="shared" si="61"/>
        <v>0</v>
      </c>
      <c r="AP58" s="2">
        <f t="shared" si="3"/>
        <v>0</v>
      </c>
      <c r="AQ58" s="2">
        <f>IFERROR(__xludf.DUMMYFUNCTION("IF(V58&gt;0,MIN(FILTER(U58:AL58, U58:AL58&lt;&gt;0)),0)"),0.0)</f>
        <v>0</v>
      </c>
      <c r="AS58" s="2">
        <f t="shared" si="4"/>
        <v>0</v>
      </c>
      <c r="AU58" s="2">
        <f t="shared" si="5"/>
        <v>0</v>
      </c>
      <c r="AW58" s="2">
        <f t="shared" si="6"/>
        <v>0</v>
      </c>
      <c r="AX58" s="2">
        <f>IFERROR(__xludf.DUMMYFUNCTION("IF(X58&gt;0,SMALL(FILTER(U58:AL58, U58:AL58&lt;&gt;0), 2),0)"),0.0)</f>
        <v>0</v>
      </c>
      <c r="AY58" s="2">
        <f t="shared" si="7"/>
        <v>0</v>
      </c>
      <c r="AZ58" s="2">
        <f t="shared" si="8"/>
        <v>0</v>
      </c>
      <c r="BA58" s="2">
        <f>IFERROR(__xludf.DUMMYFUNCTION("IF(Y58&gt;0,SMALL(FILTER(U58:AL58, U58:AL58&lt;&gt;0), 3),0)"),0.0)</f>
        <v>0</v>
      </c>
      <c r="BB58" s="2">
        <f t="shared" si="9"/>
        <v>0</v>
      </c>
    </row>
    <row r="59">
      <c r="A59" s="2">
        <f>Spieler!A60</f>
        <v>55</v>
      </c>
      <c r="B59" s="2" t="str">
        <f>VLOOKUP(A59,Spieler!A:F,2,0)</f>
        <v/>
      </c>
      <c r="C59" s="2">
        <f>IF(B59=0,0,VLOOKUP(B59,Datensammler!B:U,3,0))</f>
        <v>0</v>
      </c>
      <c r="D59" s="2">
        <f>IF(B59=0,0,VLOOKUP(B59,Datensammler!B:U,4,0))</f>
        <v>0</v>
      </c>
      <c r="E59" s="2">
        <f>IF(B59=0,0,VLOOKUP(B59,Datensammler!B:U,5,0))</f>
        <v>0</v>
      </c>
      <c r="F59" s="2">
        <f>IF(B59=0,0,VLOOKUP(B59,Datensammler!B:U,6,0))</f>
        <v>0</v>
      </c>
      <c r="G59" s="2">
        <f>IF(B59=0,0,VLOOKUP(B59,Datensammler!B:U,7,0))</f>
        <v>0</v>
      </c>
      <c r="H59" s="2">
        <f>IF(B59=0,0,VLOOKUP(B59,Datensammler!B:U,8,0))</f>
        <v>0</v>
      </c>
      <c r="I59" s="2">
        <f>IF(B59=0,0,VLOOKUP(B59,Datensammler!B:U,9,0))</f>
        <v>0</v>
      </c>
      <c r="J59" s="2">
        <f>IF(B59=0,0,VLOOKUP(B59,Datensammler!B:U,10,0))</f>
        <v>0</v>
      </c>
      <c r="K59" s="2">
        <f>IF(B59=0,0,VLOOKUP(B59,Datensammler!B:U,11,0))</f>
        <v>0</v>
      </c>
      <c r="L59" s="2">
        <f>IF(B59=0,0,VLOOKUP(B59,Datensammler!B:U,12,0))</f>
        <v>0</v>
      </c>
      <c r="M59" s="2">
        <f>IF(B59=0,0,VLOOKUP(B59,Datensammler!B:U,13,0))</f>
        <v>0</v>
      </c>
      <c r="N59" s="2">
        <f>IF(B59=0,0,VLOOKUP(B59,Datensammler!B:U,14,0))</f>
        <v>0</v>
      </c>
      <c r="O59" s="2">
        <f>IF(B59=0,0,VLOOKUP(B59,Datensammler!B:U,15,0))</f>
        <v>0</v>
      </c>
      <c r="P59" s="2">
        <f>IF(B59=0,0,VLOOKUP(B59,Datensammler!B:U,16,0))</f>
        <v>0</v>
      </c>
      <c r="Q59" s="2">
        <f>IF(B59=0,0,VLOOKUP(B59,Datensammler!B:U,17,0))</f>
        <v>0</v>
      </c>
      <c r="R59" s="2">
        <f>IF(B59=0,0,VLOOKUP(B59,Datensammler!B:U,18,0))</f>
        <v>0</v>
      </c>
      <c r="S59" s="2">
        <f>IF(B59=0,0,VLOOKUP(B59,Datensammler!B:U,19,0))</f>
        <v>0</v>
      </c>
      <c r="T59" s="2">
        <f>IF(B59=0,0,VLOOKUP(B59,Datensammler!B:U,20,0))</f>
        <v>0</v>
      </c>
      <c r="U59" s="50">
        <f t="shared" ref="U59:AL59" si="62">C59</f>
        <v>0</v>
      </c>
      <c r="V59" s="50">
        <f t="shared" si="62"/>
        <v>0</v>
      </c>
      <c r="W59" s="50">
        <f t="shared" si="62"/>
        <v>0</v>
      </c>
      <c r="X59" s="50">
        <f t="shared" si="62"/>
        <v>0</v>
      </c>
      <c r="Y59" s="50">
        <f t="shared" si="62"/>
        <v>0</v>
      </c>
      <c r="Z59" s="50">
        <f t="shared" si="62"/>
        <v>0</v>
      </c>
      <c r="AA59" s="50">
        <f t="shared" si="62"/>
        <v>0</v>
      </c>
      <c r="AB59" s="50">
        <f t="shared" si="62"/>
        <v>0</v>
      </c>
      <c r="AC59" s="50">
        <f t="shared" si="62"/>
        <v>0</v>
      </c>
      <c r="AD59" s="50">
        <f t="shared" si="62"/>
        <v>0</v>
      </c>
      <c r="AE59" s="50">
        <f t="shared" si="62"/>
        <v>0</v>
      </c>
      <c r="AF59" s="50">
        <f t="shared" si="62"/>
        <v>0</v>
      </c>
      <c r="AG59" s="50">
        <f t="shared" si="62"/>
        <v>0</v>
      </c>
      <c r="AH59" s="50">
        <f t="shared" si="62"/>
        <v>0</v>
      </c>
      <c r="AI59" s="50">
        <f t="shared" si="62"/>
        <v>0</v>
      </c>
      <c r="AJ59" s="50">
        <f t="shared" si="62"/>
        <v>0</v>
      </c>
      <c r="AK59" s="50">
        <f t="shared" si="62"/>
        <v>0</v>
      </c>
      <c r="AL59" s="50">
        <f t="shared" si="62"/>
        <v>0</v>
      </c>
      <c r="AP59" s="2">
        <f t="shared" si="3"/>
        <v>0</v>
      </c>
      <c r="AQ59" s="2">
        <f>IFERROR(__xludf.DUMMYFUNCTION("IF(V59&gt;0,MIN(FILTER(U59:AL59, U59:AL59&lt;&gt;0)),0)"),0.0)</f>
        <v>0</v>
      </c>
      <c r="AS59" s="2">
        <f t="shared" si="4"/>
        <v>0</v>
      </c>
      <c r="AU59" s="2">
        <f t="shared" si="5"/>
        <v>0</v>
      </c>
      <c r="AW59" s="2">
        <f t="shared" si="6"/>
        <v>0</v>
      </c>
      <c r="AX59" s="2">
        <f>IFERROR(__xludf.DUMMYFUNCTION("IF(X59&gt;0,SMALL(FILTER(U59:AL59, U59:AL59&lt;&gt;0), 2),0)"),0.0)</f>
        <v>0</v>
      </c>
      <c r="AY59" s="2">
        <f t="shared" si="7"/>
        <v>0</v>
      </c>
      <c r="AZ59" s="2">
        <f t="shared" si="8"/>
        <v>0</v>
      </c>
      <c r="BA59" s="2">
        <f>IFERROR(__xludf.DUMMYFUNCTION("IF(Y59&gt;0,SMALL(FILTER(U59:AL59, U59:AL59&lt;&gt;0), 3),0)"),0.0)</f>
        <v>0</v>
      </c>
      <c r="BB59" s="2">
        <f t="shared" si="9"/>
        <v>0</v>
      </c>
    </row>
    <row r="60">
      <c r="A60" s="2">
        <f>Spieler!A61</f>
        <v>56</v>
      </c>
      <c r="B60" s="2" t="str">
        <f>VLOOKUP(A60,Spieler!A:F,2,0)</f>
        <v/>
      </c>
      <c r="C60" s="2">
        <f>IF(B60=0,0,VLOOKUP(B60,Datensammler!B:U,3,0))</f>
        <v>0</v>
      </c>
      <c r="D60" s="2">
        <f>IF(B60=0,0,VLOOKUP(B60,Datensammler!B:U,4,0))</f>
        <v>0</v>
      </c>
      <c r="E60" s="2">
        <f>IF(B60=0,0,VLOOKUP(B60,Datensammler!B:U,5,0))</f>
        <v>0</v>
      </c>
      <c r="F60" s="2">
        <f>IF(B60=0,0,VLOOKUP(B60,Datensammler!B:U,6,0))</f>
        <v>0</v>
      </c>
      <c r="G60" s="2">
        <f>IF(B60=0,0,VLOOKUP(B60,Datensammler!B:U,7,0))</f>
        <v>0</v>
      </c>
      <c r="H60" s="2">
        <f>IF(B60=0,0,VLOOKUP(B60,Datensammler!B:U,8,0))</f>
        <v>0</v>
      </c>
      <c r="I60" s="2">
        <f>IF(B60=0,0,VLOOKUP(B60,Datensammler!B:U,9,0))</f>
        <v>0</v>
      </c>
      <c r="J60" s="2">
        <f>IF(B60=0,0,VLOOKUP(B60,Datensammler!B:U,10,0))</f>
        <v>0</v>
      </c>
      <c r="K60" s="2">
        <f>IF(B60=0,0,VLOOKUP(B60,Datensammler!B:U,11,0))</f>
        <v>0</v>
      </c>
      <c r="L60" s="2">
        <f>IF(B60=0,0,VLOOKUP(B60,Datensammler!B:U,12,0))</f>
        <v>0</v>
      </c>
      <c r="M60" s="2">
        <f>IF(B60=0,0,VLOOKUP(B60,Datensammler!B:U,13,0))</f>
        <v>0</v>
      </c>
      <c r="N60" s="2">
        <f>IF(B60=0,0,VLOOKUP(B60,Datensammler!B:U,14,0))</f>
        <v>0</v>
      </c>
      <c r="O60" s="2">
        <f>IF(B60=0,0,VLOOKUP(B60,Datensammler!B:U,15,0))</f>
        <v>0</v>
      </c>
      <c r="P60" s="2">
        <f>IF(B60=0,0,VLOOKUP(B60,Datensammler!B:U,16,0))</f>
        <v>0</v>
      </c>
      <c r="Q60" s="2">
        <f>IF(B60=0,0,VLOOKUP(B60,Datensammler!B:U,17,0))</f>
        <v>0</v>
      </c>
      <c r="R60" s="2">
        <f>IF(B60=0,0,VLOOKUP(B60,Datensammler!B:U,18,0))</f>
        <v>0</v>
      </c>
      <c r="S60" s="2">
        <f>IF(B60=0,0,VLOOKUP(B60,Datensammler!B:U,19,0))</f>
        <v>0</v>
      </c>
      <c r="T60" s="2">
        <f>IF(B60=0,0,VLOOKUP(B60,Datensammler!B:U,20,0))</f>
        <v>0</v>
      </c>
      <c r="U60" s="50">
        <f t="shared" ref="U60:AL60" si="63">C60</f>
        <v>0</v>
      </c>
      <c r="V60" s="50">
        <f t="shared" si="63"/>
        <v>0</v>
      </c>
      <c r="W60" s="50">
        <f t="shared" si="63"/>
        <v>0</v>
      </c>
      <c r="X60" s="50">
        <f t="shared" si="63"/>
        <v>0</v>
      </c>
      <c r="Y60" s="50">
        <f t="shared" si="63"/>
        <v>0</v>
      </c>
      <c r="Z60" s="50">
        <f t="shared" si="63"/>
        <v>0</v>
      </c>
      <c r="AA60" s="50">
        <f t="shared" si="63"/>
        <v>0</v>
      </c>
      <c r="AB60" s="50">
        <f t="shared" si="63"/>
        <v>0</v>
      </c>
      <c r="AC60" s="50">
        <f t="shared" si="63"/>
        <v>0</v>
      </c>
      <c r="AD60" s="50">
        <f t="shared" si="63"/>
        <v>0</v>
      </c>
      <c r="AE60" s="50">
        <f t="shared" si="63"/>
        <v>0</v>
      </c>
      <c r="AF60" s="50">
        <f t="shared" si="63"/>
        <v>0</v>
      </c>
      <c r="AG60" s="50">
        <f t="shared" si="63"/>
        <v>0</v>
      </c>
      <c r="AH60" s="50">
        <f t="shared" si="63"/>
        <v>0</v>
      </c>
      <c r="AI60" s="50">
        <f t="shared" si="63"/>
        <v>0</v>
      </c>
      <c r="AJ60" s="50">
        <f t="shared" si="63"/>
        <v>0</v>
      </c>
      <c r="AK60" s="50">
        <f t="shared" si="63"/>
        <v>0</v>
      </c>
      <c r="AL60" s="50">
        <f t="shared" si="63"/>
        <v>0</v>
      </c>
      <c r="AP60" s="2">
        <f t="shared" si="3"/>
        <v>0</v>
      </c>
      <c r="AQ60" s="2">
        <f>IFERROR(__xludf.DUMMYFUNCTION("IF(V60&gt;0,MIN(FILTER(U60:AL60, U60:AL60&lt;&gt;0)),0)"),0.0)</f>
        <v>0</v>
      </c>
      <c r="AS60" s="2">
        <f t="shared" si="4"/>
        <v>0</v>
      </c>
      <c r="AU60" s="2">
        <f t="shared" si="5"/>
        <v>0</v>
      </c>
      <c r="AW60" s="2">
        <f t="shared" si="6"/>
        <v>0</v>
      </c>
      <c r="AX60" s="2">
        <f>IFERROR(__xludf.DUMMYFUNCTION("IF(X60&gt;0,SMALL(FILTER(U60:AL60, U60:AL60&lt;&gt;0), 2),0)"),0.0)</f>
        <v>0</v>
      </c>
      <c r="AY60" s="2">
        <f t="shared" si="7"/>
        <v>0</v>
      </c>
      <c r="AZ60" s="2">
        <f t="shared" si="8"/>
        <v>0</v>
      </c>
      <c r="BA60" s="2">
        <f>IFERROR(__xludf.DUMMYFUNCTION("IF(Y60&gt;0,SMALL(FILTER(U60:AL60, U60:AL60&lt;&gt;0), 3),0)"),0.0)</f>
        <v>0</v>
      </c>
      <c r="BB60" s="2">
        <f t="shared" si="9"/>
        <v>0</v>
      </c>
    </row>
    <row r="61">
      <c r="A61" s="2">
        <f>Spieler!A62</f>
        <v>57</v>
      </c>
      <c r="B61" s="2" t="str">
        <f>VLOOKUP(A61,Spieler!A:F,2,0)</f>
        <v/>
      </c>
      <c r="C61" s="2">
        <f>IF(B61=0,0,VLOOKUP(B61,Datensammler!B:U,3,0))</f>
        <v>0</v>
      </c>
      <c r="D61" s="2">
        <f>IF(B61=0,0,VLOOKUP(B61,Datensammler!B:U,4,0))</f>
        <v>0</v>
      </c>
      <c r="E61" s="2">
        <f>IF(B61=0,0,VLOOKUP(B61,Datensammler!B:U,5,0))</f>
        <v>0</v>
      </c>
      <c r="F61" s="2">
        <f>IF(B61=0,0,VLOOKUP(B61,Datensammler!B:U,6,0))</f>
        <v>0</v>
      </c>
      <c r="G61" s="2">
        <f>IF(B61=0,0,VLOOKUP(B61,Datensammler!B:U,7,0))</f>
        <v>0</v>
      </c>
      <c r="H61" s="2">
        <f>IF(B61=0,0,VLOOKUP(B61,Datensammler!B:U,8,0))</f>
        <v>0</v>
      </c>
      <c r="I61" s="2">
        <f>IF(B61=0,0,VLOOKUP(B61,Datensammler!B:U,9,0))</f>
        <v>0</v>
      </c>
      <c r="J61" s="2">
        <f>IF(B61=0,0,VLOOKUP(B61,Datensammler!B:U,10,0))</f>
        <v>0</v>
      </c>
      <c r="K61" s="2">
        <f>IF(B61=0,0,VLOOKUP(B61,Datensammler!B:U,11,0))</f>
        <v>0</v>
      </c>
      <c r="L61" s="2">
        <f>IF(B61=0,0,VLOOKUP(B61,Datensammler!B:U,12,0))</f>
        <v>0</v>
      </c>
      <c r="M61" s="2">
        <f>IF(B61=0,0,VLOOKUP(B61,Datensammler!B:U,13,0))</f>
        <v>0</v>
      </c>
      <c r="N61" s="2">
        <f>IF(B61=0,0,VLOOKUP(B61,Datensammler!B:U,14,0))</f>
        <v>0</v>
      </c>
      <c r="O61" s="2">
        <f>IF(B61=0,0,VLOOKUP(B61,Datensammler!B:U,15,0))</f>
        <v>0</v>
      </c>
      <c r="P61" s="2">
        <f>IF(B61=0,0,VLOOKUP(B61,Datensammler!B:U,16,0))</f>
        <v>0</v>
      </c>
      <c r="Q61" s="2">
        <f>IF(B61=0,0,VLOOKUP(B61,Datensammler!B:U,17,0))</f>
        <v>0</v>
      </c>
      <c r="R61" s="2">
        <f>IF(B61=0,0,VLOOKUP(B61,Datensammler!B:U,18,0))</f>
        <v>0</v>
      </c>
      <c r="S61" s="2">
        <f>IF(B61=0,0,VLOOKUP(B61,Datensammler!B:U,19,0))</f>
        <v>0</v>
      </c>
      <c r="T61" s="2">
        <f>IF(B61=0,0,VLOOKUP(B61,Datensammler!B:U,20,0))</f>
        <v>0</v>
      </c>
      <c r="U61" s="50">
        <f t="shared" ref="U61:AL61" si="64">C61</f>
        <v>0</v>
      </c>
      <c r="V61" s="50">
        <f t="shared" si="64"/>
        <v>0</v>
      </c>
      <c r="W61" s="50">
        <f t="shared" si="64"/>
        <v>0</v>
      </c>
      <c r="X61" s="50">
        <f t="shared" si="64"/>
        <v>0</v>
      </c>
      <c r="Y61" s="50">
        <f t="shared" si="64"/>
        <v>0</v>
      </c>
      <c r="Z61" s="50">
        <f t="shared" si="64"/>
        <v>0</v>
      </c>
      <c r="AA61" s="50">
        <f t="shared" si="64"/>
        <v>0</v>
      </c>
      <c r="AB61" s="50">
        <f t="shared" si="64"/>
        <v>0</v>
      </c>
      <c r="AC61" s="50">
        <f t="shared" si="64"/>
        <v>0</v>
      </c>
      <c r="AD61" s="50">
        <f t="shared" si="64"/>
        <v>0</v>
      </c>
      <c r="AE61" s="50">
        <f t="shared" si="64"/>
        <v>0</v>
      </c>
      <c r="AF61" s="50">
        <f t="shared" si="64"/>
        <v>0</v>
      </c>
      <c r="AG61" s="50">
        <f t="shared" si="64"/>
        <v>0</v>
      </c>
      <c r="AH61" s="50">
        <f t="shared" si="64"/>
        <v>0</v>
      </c>
      <c r="AI61" s="50">
        <f t="shared" si="64"/>
        <v>0</v>
      </c>
      <c r="AJ61" s="50">
        <f t="shared" si="64"/>
        <v>0</v>
      </c>
      <c r="AK61" s="50">
        <f t="shared" si="64"/>
        <v>0</v>
      </c>
      <c r="AL61" s="50">
        <f t="shared" si="64"/>
        <v>0</v>
      </c>
      <c r="AP61" s="2">
        <f t="shared" si="3"/>
        <v>0</v>
      </c>
      <c r="AQ61" s="2">
        <f>IFERROR(__xludf.DUMMYFUNCTION("IF(V61&gt;0,MIN(FILTER(U61:AL61, U61:AL61&lt;&gt;0)),0)"),0.0)</f>
        <v>0</v>
      </c>
      <c r="AS61" s="2">
        <f t="shared" si="4"/>
        <v>0</v>
      </c>
      <c r="AU61" s="2">
        <f t="shared" si="5"/>
        <v>0</v>
      </c>
      <c r="AW61" s="2">
        <f t="shared" si="6"/>
        <v>0</v>
      </c>
      <c r="AX61" s="2">
        <f>IFERROR(__xludf.DUMMYFUNCTION("IF(X61&gt;0,SMALL(FILTER(U61:AL61, U61:AL61&lt;&gt;0), 2),0)"),0.0)</f>
        <v>0</v>
      </c>
      <c r="AY61" s="2">
        <f t="shared" si="7"/>
        <v>0</v>
      </c>
      <c r="AZ61" s="2">
        <f t="shared" si="8"/>
        <v>0</v>
      </c>
      <c r="BA61" s="2">
        <f>IFERROR(__xludf.DUMMYFUNCTION("IF(Y61&gt;0,SMALL(FILTER(U61:AL61, U61:AL61&lt;&gt;0), 3),0)"),0.0)</f>
        <v>0</v>
      </c>
      <c r="BB61" s="2">
        <f t="shared" si="9"/>
        <v>0</v>
      </c>
    </row>
    <row r="62">
      <c r="A62" s="2">
        <f>Spieler!A63</f>
        <v>58</v>
      </c>
      <c r="B62" s="2" t="str">
        <f>VLOOKUP(A62,Spieler!A:F,2,0)</f>
        <v/>
      </c>
      <c r="C62" s="2">
        <f>IF(B62=0,0,VLOOKUP(B62,Datensammler!B:U,3,0))</f>
        <v>0</v>
      </c>
      <c r="D62" s="2">
        <f>IF(B62=0,0,VLOOKUP(B62,Datensammler!B:U,4,0))</f>
        <v>0</v>
      </c>
      <c r="E62" s="2">
        <f>IF(B62=0,0,VLOOKUP(B62,Datensammler!B:U,5,0))</f>
        <v>0</v>
      </c>
      <c r="F62" s="2">
        <f>IF(B62=0,0,VLOOKUP(B62,Datensammler!B:U,6,0))</f>
        <v>0</v>
      </c>
      <c r="G62" s="2">
        <f>IF(B62=0,0,VLOOKUP(B62,Datensammler!B:U,7,0))</f>
        <v>0</v>
      </c>
      <c r="H62" s="2">
        <f>IF(B62=0,0,VLOOKUP(B62,Datensammler!B:U,8,0))</f>
        <v>0</v>
      </c>
      <c r="I62" s="2">
        <f>IF(B62=0,0,VLOOKUP(B62,Datensammler!B:U,9,0))</f>
        <v>0</v>
      </c>
      <c r="J62" s="2">
        <f>IF(B62=0,0,VLOOKUP(B62,Datensammler!B:U,10,0))</f>
        <v>0</v>
      </c>
      <c r="K62" s="2">
        <f>IF(B62=0,0,VLOOKUP(B62,Datensammler!B:U,11,0))</f>
        <v>0</v>
      </c>
      <c r="L62" s="2">
        <f>IF(B62=0,0,VLOOKUP(B62,Datensammler!B:U,12,0))</f>
        <v>0</v>
      </c>
      <c r="M62" s="2">
        <f>IF(B62=0,0,VLOOKUP(B62,Datensammler!B:U,13,0))</f>
        <v>0</v>
      </c>
      <c r="N62" s="2">
        <f>IF(B62=0,0,VLOOKUP(B62,Datensammler!B:U,14,0))</f>
        <v>0</v>
      </c>
      <c r="O62" s="2">
        <f>IF(B62=0,0,VLOOKUP(B62,Datensammler!B:U,15,0))</f>
        <v>0</v>
      </c>
      <c r="P62" s="2">
        <f>IF(B62=0,0,VLOOKUP(B62,Datensammler!B:U,16,0))</f>
        <v>0</v>
      </c>
      <c r="Q62" s="2">
        <f>IF(B62=0,0,VLOOKUP(B62,Datensammler!B:U,17,0))</f>
        <v>0</v>
      </c>
      <c r="R62" s="2">
        <f>IF(B62=0,0,VLOOKUP(B62,Datensammler!B:U,18,0))</f>
        <v>0</v>
      </c>
      <c r="S62" s="2">
        <f>IF(B62=0,0,VLOOKUP(B62,Datensammler!B:U,19,0))</f>
        <v>0</v>
      </c>
      <c r="T62" s="2">
        <f>IF(B62=0,0,VLOOKUP(B62,Datensammler!B:U,20,0))</f>
        <v>0</v>
      </c>
      <c r="U62" s="50">
        <f t="shared" ref="U62:AL62" si="65">C62</f>
        <v>0</v>
      </c>
      <c r="V62" s="50">
        <f t="shared" si="65"/>
        <v>0</v>
      </c>
      <c r="W62" s="50">
        <f t="shared" si="65"/>
        <v>0</v>
      </c>
      <c r="X62" s="50">
        <f t="shared" si="65"/>
        <v>0</v>
      </c>
      <c r="Y62" s="50">
        <f t="shared" si="65"/>
        <v>0</v>
      </c>
      <c r="Z62" s="50">
        <f t="shared" si="65"/>
        <v>0</v>
      </c>
      <c r="AA62" s="50">
        <f t="shared" si="65"/>
        <v>0</v>
      </c>
      <c r="AB62" s="50">
        <f t="shared" si="65"/>
        <v>0</v>
      </c>
      <c r="AC62" s="50">
        <f t="shared" si="65"/>
        <v>0</v>
      </c>
      <c r="AD62" s="50">
        <f t="shared" si="65"/>
        <v>0</v>
      </c>
      <c r="AE62" s="50">
        <f t="shared" si="65"/>
        <v>0</v>
      </c>
      <c r="AF62" s="50">
        <f t="shared" si="65"/>
        <v>0</v>
      </c>
      <c r="AG62" s="50">
        <f t="shared" si="65"/>
        <v>0</v>
      </c>
      <c r="AH62" s="50">
        <f t="shared" si="65"/>
        <v>0</v>
      </c>
      <c r="AI62" s="50">
        <f t="shared" si="65"/>
        <v>0</v>
      </c>
      <c r="AJ62" s="50">
        <f t="shared" si="65"/>
        <v>0</v>
      </c>
      <c r="AK62" s="50">
        <f t="shared" si="65"/>
        <v>0</v>
      </c>
      <c r="AL62" s="50">
        <f t="shared" si="65"/>
        <v>0</v>
      </c>
      <c r="AP62" s="2">
        <f t="shared" si="3"/>
        <v>0</v>
      </c>
      <c r="AQ62" s="2">
        <f>IFERROR(__xludf.DUMMYFUNCTION("IF(V62&gt;0,MIN(FILTER(U62:AL62, U62:AL62&lt;&gt;0)),0)"),0.0)</f>
        <v>0</v>
      </c>
      <c r="AS62" s="2">
        <f t="shared" si="4"/>
        <v>0</v>
      </c>
      <c r="AU62" s="2">
        <f t="shared" si="5"/>
        <v>0</v>
      </c>
      <c r="AW62" s="2">
        <f t="shared" si="6"/>
        <v>0</v>
      </c>
      <c r="AX62" s="2">
        <f>IFERROR(__xludf.DUMMYFUNCTION("IF(X62&gt;0,SMALL(FILTER(U62:AL62, U62:AL62&lt;&gt;0), 2),0)"),0.0)</f>
        <v>0</v>
      </c>
      <c r="AY62" s="2">
        <f t="shared" si="7"/>
        <v>0</v>
      </c>
      <c r="AZ62" s="2">
        <f t="shared" si="8"/>
        <v>0</v>
      </c>
      <c r="BA62" s="2">
        <f>IFERROR(__xludf.DUMMYFUNCTION("IF(Y62&gt;0,SMALL(FILTER(U62:AL62, U62:AL62&lt;&gt;0), 3),0)"),0.0)</f>
        <v>0</v>
      </c>
      <c r="BB62" s="2">
        <f t="shared" si="9"/>
        <v>0</v>
      </c>
    </row>
    <row r="63">
      <c r="A63" s="2">
        <f>Spieler!A64</f>
        <v>59</v>
      </c>
      <c r="B63" s="2" t="str">
        <f>VLOOKUP(A63,Spieler!A:F,2,0)</f>
        <v/>
      </c>
      <c r="C63" s="2">
        <f>IF(B63=0,0,VLOOKUP(B63,Datensammler!B:U,3,0))</f>
        <v>0</v>
      </c>
      <c r="D63" s="2">
        <f>IF(B63=0,0,VLOOKUP(B63,Datensammler!B:U,4,0))</f>
        <v>0</v>
      </c>
      <c r="E63" s="2">
        <f>IF(B63=0,0,VLOOKUP(B63,Datensammler!B:U,5,0))</f>
        <v>0</v>
      </c>
      <c r="F63" s="2">
        <f>IF(B63=0,0,VLOOKUP(B63,Datensammler!B:U,6,0))</f>
        <v>0</v>
      </c>
      <c r="G63" s="2">
        <f>IF(B63=0,0,VLOOKUP(B63,Datensammler!B:U,7,0))</f>
        <v>0</v>
      </c>
      <c r="H63" s="2">
        <f>IF(B63=0,0,VLOOKUP(B63,Datensammler!B:U,8,0))</f>
        <v>0</v>
      </c>
      <c r="I63" s="2">
        <f>IF(B63=0,0,VLOOKUP(B63,Datensammler!B:U,9,0))</f>
        <v>0</v>
      </c>
      <c r="J63" s="2">
        <f>IF(B63=0,0,VLOOKUP(B63,Datensammler!B:U,10,0))</f>
        <v>0</v>
      </c>
      <c r="K63" s="2">
        <f>IF(B63=0,0,VLOOKUP(B63,Datensammler!B:U,11,0))</f>
        <v>0</v>
      </c>
      <c r="L63" s="2">
        <f>IF(B63=0,0,VLOOKUP(B63,Datensammler!B:U,12,0))</f>
        <v>0</v>
      </c>
      <c r="M63" s="2">
        <f>IF(B63=0,0,VLOOKUP(B63,Datensammler!B:U,13,0))</f>
        <v>0</v>
      </c>
      <c r="N63" s="2">
        <f>IF(B63=0,0,VLOOKUP(B63,Datensammler!B:U,14,0))</f>
        <v>0</v>
      </c>
      <c r="O63" s="2">
        <f>IF(B63=0,0,VLOOKUP(B63,Datensammler!B:U,15,0))</f>
        <v>0</v>
      </c>
      <c r="P63" s="2">
        <f>IF(B63=0,0,VLOOKUP(B63,Datensammler!B:U,16,0))</f>
        <v>0</v>
      </c>
      <c r="Q63" s="2">
        <f>IF(B63=0,0,VLOOKUP(B63,Datensammler!B:U,17,0))</f>
        <v>0</v>
      </c>
      <c r="R63" s="2">
        <f>IF(B63=0,0,VLOOKUP(B63,Datensammler!B:U,18,0))</f>
        <v>0</v>
      </c>
      <c r="S63" s="2">
        <f>IF(B63=0,0,VLOOKUP(B63,Datensammler!B:U,19,0))</f>
        <v>0</v>
      </c>
      <c r="T63" s="2">
        <f>IF(B63=0,0,VLOOKUP(B63,Datensammler!B:U,20,0))</f>
        <v>0</v>
      </c>
      <c r="U63" s="50">
        <f t="shared" ref="U63:AL63" si="66">C63</f>
        <v>0</v>
      </c>
      <c r="V63" s="50">
        <f t="shared" si="66"/>
        <v>0</v>
      </c>
      <c r="W63" s="50">
        <f t="shared" si="66"/>
        <v>0</v>
      </c>
      <c r="X63" s="50">
        <f t="shared" si="66"/>
        <v>0</v>
      </c>
      <c r="Y63" s="50">
        <f t="shared" si="66"/>
        <v>0</v>
      </c>
      <c r="Z63" s="50">
        <f t="shared" si="66"/>
        <v>0</v>
      </c>
      <c r="AA63" s="50">
        <f t="shared" si="66"/>
        <v>0</v>
      </c>
      <c r="AB63" s="50">
        <f t="shared" si="66"/>
        <v>0</v>
      </c>
      <c r="AC63" s="50">
        <f t="shared" si="66"/>
        <v>0</v>
      </c>
      <c r="AD63" s="50">
        <f t="shared" si="66"/>
        <v>0</v>
      </c>
      <c r="AE63" s="50">
        <f t="shared" si="66"/>
        <v>0</v>
      </c>
      <c r="AF63" s="50">
        <f t="shared" si="66"/>
        <v>0</v>
      </c>
      <c r="AG63" s="50">
        <f t="shared" si="66"/>
        <v>0</v>
      </c>
      <c r="AH63" s="50">
        <f t="shared" si="66"/>
        <v>0</v>
      </c>
      <c r="AI63" s="50">
        <f t="shared" si="66"/>
        <v>0</v>
      </c>
      <c r="AJ63" s="50">
        <f t="shared" si="66"/>
        <v>0</v>
      </c>
      <c r="AK63" s="50">
        <f t="shared" si="66"/>
        <v>0</v>
      </c>
      <c r="AL63" s="50">
        <f t="shared" si="66"/>
        <v>0</v>
      </c>
      <c r="AP63" s="2">
        <f t="shared" si="3"/>
        <v>0</v>
      </c>
      <c r="AQ63" s="2">
        <f>IFERROR(__xludf.DUMMYFUNCTION("IF(V63&gt;0,MIN(FILTER(U63:AL63, U63:AL63&lt;&gt;0)),0)"),0.0)</f>
        <v>0</v>
      </c>
      <c r="AS63" s="2">
        <f t="shared" si="4"/>
        <v>0</v>
      </c>
      <c r="AU63" s="2">
        <f t="shared" si="5"/>
        <v>0</v>
      </c>
      <c r="AW63" s="2">
        <f t="shared" si="6"/>
        <v>0</v>
      </c>
      <c r="AX63" s="2">
        <f>IFERROR(__xludf.DUMMYFUNCTION("IF(X63&gt;0,SMALL(FILTER(U63:AL63, U63:AL63&lt;&gt;0), 2),0)"),0.0)</f>
        <v>0</v>
      </c>
      <c r="AY63" s="2">
        <f t="shared" si="7"/>
        <v>0</v>
      </c>
      <c r="AZ63" s="2">
        <f t="shared" si="8"/>
        <v>0</v>
      </c>
      <c r="BA63" s="2">
        <f>IFERROR(__xludf.DUMMYFUNCTION("IF(Y63&gt;0,SMALL(FILTER(U63:AL63, U63:AL63&lt;&gt;0), 3),0)"),0.0)</f>
        <v>0</v>
      </c>
      <c r="BB63" s="2">
        <f t="shared" si="9"/>
        <v>0</v>
      </c>
    </row>
    <row r="64">
      <c r="A64" s="2">
        <f>Spieler!A65</f>
        <v>60</v>
      </c>
      <c r="B64" s="2" t="str">
        <f>VLOOKUP(A64,Spieler!A:F,2,0)</f>
        <v/>
      </c>
      <c r="C64" s="2">
        <f>IF(B64=0,0,VLOOKUP(B64,Datensammler!B:U,3,0))</f>
        <v>0</v>
      </c>
      <c r="D64" s="2">
        <f>IF(B64=0,0,VLOOKUP(B64,Datensammler!B:U,4,0))</f>
        <v>0</v>
      </c>
      <c r="E64" s="2">
        <f>IF(B64=0,0,VLOOKUP(B64,Datensammler!B:U,5,0))</f>
        <v>0</v>
      </c>
      <c r="F64" s="2">
        <f>IF(B64=0,0,VLOOKUP(B64,Datensammler!B:U,6,0))</f>
        <v>0</v>
      </c>
      <c r="G64" s="2">
        <f>IF(B64=0,0,VLOOKUP(B64,Datensammler!B:U,7,0))</f>
        <v>0</v>
      </c>
      <c r="H64" s="2">
        <f>IF(B64=0,0,VLOOKUP(B64,Datensammler!B:U,8,0))</f>
        <v>0</v>
      </c>
      <c r="I64" s="2">
        <f>IF(B64=0,0,VLOOKUP(B64,Datensammler!B:U,9,0))</f>
        <v>0</v>
      </c>
      <c r="J64" s="2">
        <f>IF(B64=0,0,VLOOKUP(B64,Datensammler!B:U,10,0))</f>
        <v>0</v>
      </c>
      <c r="K64" s="2">
        <f>IF(B64=0,0,VLOOKUP(B64,Datensammler!B:U,11,0))</f>
        <v>0</v>
      </c>
      <c r="L64" s="2">
        <f>IF(B64=0,0,VLOOKUP(B64,Datensammler!B:U,12,0))</f>
        <v>0</v>
      </c>
      <c r="M64" s="2">
        <f>IF(B64=0,0,VLOOKUP(B64,Datensammler!B:U,13,0))</f>
        <v>0</v>
      </c>
      <c r="N64" s="2">
        <f>IF(B64=0,0,VLOOKUP(B64,Datensammler!B:U,14,0))</f>
        <v>0</v>
      </c>
      <c r="O64" s="2">
        <f>IF(B64=0,0,VLOOKUP(B64,Datensammler!B:U,15,0))</f>
        <v>0</v>
      </c>
      <c r="P64" s="2">
        <f>IF(B64=0,0,VLOOKUP(B64,Datensammler!B:U,16,0))</f>
        <v>0</v>
      </c>
      <c r="Q64" s="2">
        <f>IF(B64=0,0,VLOOKUP(B64,Datensammler!B:U,17,0))</f>
        <v>0</v>
      </c>
      <c r="R64" s="2">
        <f>IF(B64=0,0,VLOOKUP(B64,Datensammler!B:U,18,0))</f>
        <v>0</v>
      </c>
      <c r="S64" s="2">
        <f>IF(B64=0,0,VLOOKUP(B64,Datensammler!B:U,19,0))</f>
        <v>0</v>
      </c>
      <c r="T64" s="2">
        <f>IF(B64=0,0,VLOOKUP(B64,Datensammler!B:U,20,0))</f>
        <v>0</v>
      </c>
      <c r="U64" s="50">
        <f t="shared" ref="U64:AL64" si="67">C64</f>
        <v>0</v>
      </c>
      <c r="V64" s="50">
        <f t="shared" si="67"/>
        <v>0</v>
      </c>
      <c r="W64" s="50">
        <f t="shared" si="67"/>
        <v>0</v>
      </c>
      <c r="X64" s="50">
        <f t="shared" si="67"/>
        <v>0</v>
      </c>
      <c r="Y64" s="50">
        <f t="shared" si="67"/>
        <v>0</v>
      </c>
      <c r="Z64" s="50">
        <f t="shared" si="67"/>
        <v>0</v>
      </c>
      <c r="AA64" s="50">
        <f t="shared" si="67"/>
        <v>0</v>
      </c>
      <c r="AB64" s="50">
        <f t="shared" si="67"/>
        <v>0</v>
      </c>
      <c r="AC64" s="50">
        <f t="shared" si="67"/>
        <v>0</v>
      </c>
      <c r="AD64" s="50">
        <f t="shared" si="67"/>
        <v>0</v>
      </c>
      <c r="AE64" s="50">
        <f t="shared" si="67"/>
        <v>0</v>
      </c>
      <c r="AF64" s="50">
        <f t="shared" si="67"/>
        <v>0</v>
      </c>
      <c r="AG64" s="50">
        <f t="shared" si="67"/>
        <v>0</v>
      </c>
      <c r="AH64" s="50">
        <f t="shared" si="67"/>
        <v>0</v>
      </c>
      <c r="AI64" s="50">
        <f t="shared" si="67"/>
        <v>0</v>
      </c>
      <c r="AJ64" s="50">
        <f t="shared" si="67"/>
        <v>0</v>
      </c>
      <c r="AK64" s="50">
        <f t="shared" si="67"/>
        <v>0</v>
      </c>
      <c r="AL64" s="50">
        <f t="shared" si="67"/>
        <v>0</v>
      </c>
      <c r="AP64" s="2">
        <f t="shared" si="3"/>
        <v>0</v>
      </c>
      <c r="AQ64" s="2">
        <f>IFERROR(__xludf.DUMMYFUNCTION("IF(V64&gt;0,MIN(FILTER(U64:AL64, U64:AL64&lt;&gt;0)),0)"),0.0)</f>
        <v>0</v>
      </c>
      <c r="AS64" s="2">
        <f t="shared" si="4"/>
        <v>0</v>
      </c>
      <c r="AU64" s="2">
        <f t="shared" si="5"/>
        <v>0</v>
      </c>
      <c r="AW64" s="2">
        <f t="shared" si="6"/>
        <v>0</v>
      </c>
      <c r="AX64" s="2">
        <f>IFERROR(__xludf.DUMMYFUNCTION("IF(X64&gt;0,SMALL(FILTER(U64:AL64, U64:AL64&lt;&gt;0), 2),0)"),0.0)</f>
        <v>0</v>
      </c>
      <c r="AY64" s="2">
        <f t="shared" si="7"/>
        <v>0</v>
      </c>
      <c r="AZ64" s="2">
        <f t="shared" si="8"/>
        <v>0</v>
      </c>
      <c r="BA64" s="2">
        <f>IFERROR(__xludf.DUMMYFUNCTION("IF(Y64&gt;0,SMALL(FILTER(U64:AL64, U64:AL64&lt;&gt;0), 3),0)"),0.0)</f>
        <v>0</v>
      </c>
      <c r="BB64" s="2">
        <f t="shared" si="9"/>
        <v>0</v>
      </c>
    </row>
    <row r="65">
      <c r="A65" s="2">
        <f>Spieler!A66</f>
        <v>61</v>
      </c>
      <c r="B65" s="2" t="str">
        <f>VLOOKUP(A65,Spieler!A:F,2,0)</f>
        <v/>
      </c>
      <c r="C65" s="2">
        <f>IF(B65=0,0,VLOOKUP(B65,Datensammler!B:U,3,0))</f>
        <v>0</v>
      </c>
      <c r="D65" s="2">
        <f>IF(B65=0,0,VLOOKUP(B65,Datensammler!B:U,4,0))</f>
        <v>0</v>
      </c>
      <c r="E65" s="2">
        <f>IF(B65=0,0,VLOOKUP(B65,Datensammler!B:U,5,0))</f>
        <v>0</v>
      </c>
      <c r="F65" s="2">
        <f>IF(B65=0,0,VLOOKUP(B65,Datensammler!B:U,6,0))</f>
        <v>0</v>
      </c>
      <c r="G65" s="2">
        <f>IF(B65=0,0,VLOOKUP(B65,Datensammler!B:U,7,0))</f>
        <v>0</v>
      </c>
      <c r="H65" s="2">
        <f>IF(B65=0,0,VLOOKUP(B65,Datensammler!B:U,8,0))</f>
        <v>0</v>
      </c>
      <c r="I65" s="2">
        <f>IF(B65=0,0,VLOOKUP(B65,Datensammler!B:U,9,0))</f>
        <v>0</v>
      </c>
      <c r="J65" s="2">
        <f>IF(B65=0,0,VLOOKUP(B65,Datensammler!B:U,10,0))</f>
        <v>0</v>
      </c>
      <c r="K65" s="2">
        <f>IF(B65=0,0,VLOOKUP(B65,Datensammler!B:U,11,0))</f>
        <v>0</v>
      </c>
      <c r="L65" s="2">
        <f>IF(B65=0,0,VLOOKUP(B65,Datensammler!B:U,12,0))</f>
        <v>0</v>
      </c>
      <c r="M65" s="2">
        <f>IF(B65=0,0,VLOOKUP(B65,Datensammler!B:U,13,0))</f>
        <v>0</v>
      </c>
      <c r="N65" s="2">
        <f>IF(B65=0,0,VLOOKUP(B65,Datensammler!B:U,14,0))</f>
        <v>0</v>
      </c>
      <c r="O65" s="2">
        <f>IF(B65=0,0,VLOOKUP(B65,Datensammler!B:U,15,0))</f>
        <v>0</v>
      </c>
      <c r="P65" s="2">
        <f>IF(B65=0,0,VLOOKUP(B65,Datensammler!B:U,16,0))</f>
        <v>0</v>
      </c>
      <c r="Q65" s="2">
        <f>IF(B65=0,0,VLOOKUP(B65,Datensammler!B:U,17,0))</f>
        <v>0</v>
      </c>
      <c r="R65" s="2">
        <f>IF(B65=0,0,VLOOKUP(B65,Datensammler!B:U,18,0))</f>
        <v>0</v>
      </c>
      <c r="S65" s="2">
        <f>IF(B65=0,0,VLOOKUP(B65,Datensammler!B:U,19,0))</f>
        <v>0</v>
      </c>
      <c r="T65" s="2">
        <f>IF(B65=0,0,VLOOKUP(B65,Datensammler!B:U,20,0))</f>
        <v>0</v>
      </c>
      <c r="U65" s="50">
        <f t="shared" ref="U65:AL65" si="68">C65</f>
        <v>0</v>
      </c>
      <c r="V65" s="50">
        <f t="shared" si="68"/>
        <v>0</v>
      </c>
      <c r="W65" s="50">
        <f t="shared" si="68"/>
        <v>0</v>
      </c>
      <c r="X65" s="50">
        <f t="shared" si="68"/>
        <v>0</v>
      </c>
      <c r="Y65" s="50">
        <f t="shared" si="68"/>
        <v>0</v>
      </c>
      <c r="Z65" s="50">
        <f t="shared" si="68"/>
        <v>0</v>
      </c>
      <c r="AA65" s="50">
        <f t="shared" si="68"/>
        <v>0</v>
      </c>
      <c r="AB65" s="50">
        <f t="shared" si="68"/>
        <v>0</v>
      </c>
      <c r="AC65" s="50">
        <f t="shared" si="68"/>
        <v>0</v>
      </c>
      <c r="AD65" s="50">
        <f t="shared" si="68"/>
        <v>0</v>
      </c>
      <c r="AE65" s="50">
        <f t="shared" si="68"/>
        <v>0</v>
      </c>
      <c r="AF65" s="50">
        <f t="shared" si="68"/>
        <v>0</v>
      </c>
      <c r="AG65" s="50">
        <f t="shared" si="68"/>
        <v>0</v>
      </c>
      <c r="AH65" s="50">
        <f t="shared" si="68"/>
        <v>0</v>
      </c>
      <c r="AI65" s="50">
        <f t="shared" si="68"/>
        <v>0</v>
      </c>
      <c r="AJ65" s="50">
        <f t="shared" si="68"/>
        <v>0</v>
      </c>
      <c r="AK65" s="50">
        <f t="shared" si="68"/>
        <v>0</v>
      </c>
      <c r="AL65" s="50">
        <f t="shared" si="68"/>
        <v>0</v>
      </c>
      <c r="AP65" s="2">
        <f t="shared" si="3"/>
        <v>0</v>
      </c>
      <c r="AQ65" s="2">
        <f>IFERROR(__xludf.DUMMYFUNCTION("IF(V65&gt;0,MIN(FILTER(U65:AL65, U65:AL65&lt;&gt;0)),0)"),0.0)</f>
        <v>0</v>
      </c>
      <c r="AS65" s="2">
        <f t="shared" si="4"/>
        <v>0</v>
      </c>
      <c r="AU65" s="2">
        <f t="shared" si="5"/>
        <v>0</v>
      </c>
      <c r="AW65" s="2">
        <f t="shared" si="6"/>
        <v>0</v>
      </c>
      <c r="AX65" s="2">
        <f>IFERROR(__xludf.DUMMYFUNCTION("IF(X65&gt;0,SMALL(FILTER(U65:AL65, U65:AL65&lt;&gt;0), 2),0)"),0.0)</f>
        <v>0</v>
      </c>
      <c r="AY65" s="2">
        <f t="shared" si="7"/>
        <v>0</v>
      </c>
      <c r="AZ65" s="2">
        <f t="shared" si="8"/>
        <v>0</v>
      </c>
      <c r="BA65" s="2">
        <f>IFERROR(__xludf.DUMMYFUNCTION("IF(Y65&gt;0,SMALL(FILTER(U65:AL65, U65:AL65&lt;&gt;0), 3),0)"),0.0)</f>
        <v>0</v>
      </c>
      <c r="BB65" s="2">
        <f t="shared" si="9"/>
        <v>0</v>
      </c>
    </row>
    <row r="66">
      <c r="A66" s="2">
        <f>Spieler!A67</f>
        <v>62</v>
      </c>
      <c r="B66" s="2" t="str">
        <f>VLOOKUP(A66,Spieler!A:F,2,0)</f>
        <v/>
      </c>
      <c r="C66" s="2">
        <f>IF(B66=0,0,VLOOKUP(B66,Datensammler!B:U,3,0))</f>
        <v>0</v>
      </c>
      <c r="D66" s="2">
        <f>IF(B66=0,0,VLOOKUP(B66,Datensammler!B:U,4,0))</f>
        <v>0</v>
      </c>
      <c r="E66" s="2">
        <f>IF(B66=0,0,VLOOKUP(B66,Datensammler!B:U,5,0))</f>
        <v>0</v>
      </c>
      <c r="F66" s="2">
        <f>IF(B66=0,0,VLOOKUP(B66,Datensammler!B:U,6,0))</f>
        <v>0</v>
      </c>
      <c r="G66" s="2">
        <f>IF(B66=0,0,VLOOKUP(B66,Datensammler!B:U,7,0))</f>
        <v>0</v>
      </c>
      <c r="H66" s="2">
        <f>IF(B66=0,0,VLOOKUP(B66,Datensammler!B:U,8,0))</f>
        <v>0</v>
      </c>
      <c r="I66" s="2">
        <f>IF(B66=0,0,VLOOKUP(B66,Datensammler!B:U,9,0))</f>
        <v>0</v>
      </c>
      <c r="J66" s="2">
        <f>IF(B66=0,0,VLOOKUP(B66,Datensammler!B:U,10,0))</f>
        <v>0</v>
      </c>
      <c r="K66" s="2">
        <f>IF(B66=0,0,VLOOKUP(B66,Datensammler!B:U,11,0))</f>
        <v>0</v>
      </c>
      <c r="L66" s="2">
        <f>IF(B66=0,0,VLOOKUP(B66,Datensammler!B:U,12,0))</f>
        <v>0</v>
      </c>
      <c r="M66" s="2">
        <f>IF(B66=0,0,VLOOKUP(B66,Datensammler!B:U,13,0))</f>
        <v>0</v>
      </c>
      <c r="N66" s="2">
        <f>IF(B66=0,0,VLOOKUP(B66,Datensammler!B:U,14,0))</f>
        <v>0</v>
      </c>
      <c r="O66" s="2">
        <f>IF(B66=0,0,VLOOKUP(B66,Datensammler!B:U,15,0))</f>
        <v>0</v>
      </c>
      <c r="P66" s="2">
        <f>IF(B66=0,0,VLOOKUP(B66,Datensammler!B:U,16,0))</f>
        <v>0</v>
      </c>
      <c r="Q66" s="2">
        <f>IF(B66=0,0,VLOOKUP(B66,Datensammler!B:U,17,0))</f>
        <v>0</v>
      </c>
      <c r="R66" s="2">
        <f>IF(B66=0,0,VLOOKUP(B66,Datensammler!B:U,18,0))</f>
        <v>0</v>
      </c>
      <c r="S66" s="2">
        <f>IF(B66=0,0,VLOOKUP(B66,Datensammler!B:U,19,0))</f>
        <v>0</v>
      </c>
      <c r="T66" s="2">
        <f>IF(B66=0,0,VLOOKUP(B66,Datensammler!B:U,20,0))</f>
        <v>0</v>
      </c>
      <c r="U66" s="50">
        <f t="shared" ref="U66:AL66" si="69">C66</f>
        <v>0</v>
      </c>
      <c r="V66" s="50">
        <f t="shared" si="69"/>
        <v>0</v>
      </c>
      <c r="W66" s="50">
        <f t="shared" si="69"/>
        <v>0</v>
      </c>
      <c r="X66" s="50">
        <f t="shared" si="69"/>
        <v>0</v>
      </c>
      <c r="Y66" s="50">
        <f t="shared" si="69"/>
        <v>0</v>
      </c>
      <c r="Z66" s="50">
        <f t="shared" si="69"/>
        <v>0</v>
      </c>
      <c r="AA66" s="50">
        <f t="shared" si="69"/>
        <v>0</v>
      </c>
      <c r="AB66" s="50">
        <f t="shared" si="69"/>
        <v>0</v>
      </c>
      <c r="AC66" s="50">
        <f t="shared" si="69"/>
        <v>0</v>
      </c>
      <c r="AD66" s="50">
        <f t="shared" si="69"/>
        <v>0</v>
      </c>
      <c r="AE66" s="50">
        <f t="shared" si="69"/>
        <v>0</v>
      </c>
      <c r="AF66" s="50">
        <f t="shared" si="69"/>
        <v>0</v>
      </c>
      <c r="AG66" s="50">
        <f t="shared" si="69"/>
        <v>0</v>
      </c>
      <c r="AH66" s="50">
        <f t="shared" si="69"/>
        <v>0</v>
      </c>
      <c r="AI66" s="50">
        <f t="shared" si="69"/>
        <v>0</v>
      </c>
      <c r="AJ66" s="50">
        <f t="shared" si="69"/>
        <v>0</v>
      </c>
      <c r="AK66" s="50">
        <f t="shared" si="69"/>
        <v>0</v>
      </c>
      <c r="AL66" s="50">
        <f t="shared" si="69"/>
        <v>0</v>
      </c>
      <c r="AP66" s="2">
        <f t="shared" si="3"/>
        <v>0</v>
      </c>
      <c r="AQ66" s="2">
        <f>IFERROR(__xludf.DUMMYFUNCTION("IF(V66&gt;0,MIN(FILTER(U66:AL66, U66:AL66&lt;&gt;0)),0)"),0.0)</f>
        <v>0</v>
      </c>
      <c r="AS66" s="2">
        <f t="shared" si="4"/>
        <v>0</v>
      </c>
      <c r="AU66" s="2">
        <f t="shared" si="5"/>
        <v>0</v>
      </c>
      <c r="AW66" s="2">
        <f t="shared" si="6"/>
        <v>0</v>
      </c>
      <c r="AX66" s="2">
        <f>IFERROR(__xludf.DUMMYFUNCTION("IF(X66&gt;0,SMALL(FILTER(U66:AL66, U66:AL66&lt;&gt;0), 2),0)"),0.0)</f>
        <v>0</v>
      </c>
      <c r="AY66" s="2">
        <f t="shared" si="7"/>
        <v>0</v>
      </c>
      <c r="AZ66" s="2">
        <f t="shared" si="8"/>
        <v>0</v>
      </c>
      <c r="BA66" s="2">
        <f>IFERROR(__xludf.DUMMYFUNCTION("IF(Y66&gt;0,SMALL(FILTER(U66:AL66, U66:AL66&lt;&gt;0), 3),0)"),0.0)</f>
        <v>0</v>
      </c>
      <c r="BB66" s="2">
        <f t="shared" si="9"/>
        <v>0</v>
      </c>
    </row>
    <row r="67">
      <c r="A67" s="2">
        <f>Spieler!A68</f>
        <v>63</v>
      </c>
      <c r="B67" s="2" t="str">
        <f>VLOOKUP(A67,Spieler!A:F,2,0)</f>
        <v/>
      </c>
      <c r="C67" s="2">
        <f>IF(B67=0,0,VLOOKUP(B67,Datensammler!B:U,3,0))</f>
        <v>0</v>
      </c>
      <c r="D67" s="2">
        <f>IF(B67=0,0,VLOOKUP(B67,Datensammler!B:U,4,0))</f>
        <v>0</v>
      </c>
      <c r="E67" s="2">
        <f>IF(B67=0,0,VLOOKUP(B67,Datensammler!B:U,5,0))</f>
        <v>0</v>
      </c>
      <c r="F67" s="2">
        <f>IF(B67=0,0,VLOOKUP(B67,Datensammler!B:U,6,0))</f>
        <v>0</v>
      </c>
      <c r="G67" s="2">
        <f>IF(B67=0,0,VLOOKUP(B67,Datensammler!B:U,7,0))</f>
        <v>0</v>
      </c>
      <c r="H67" s="2">
        <f>IF(B67=0,0,VLOOKUP(B67,Datensammler!B:U,8,0))</f>
        <v>0</v>
      </c>
      <c r="I67" s="2">
        <f>IF(B67=0,0,VLOOKUP(B67,Datensammler!B:U,9,0))</f>
        <v>0</v>
      </c>
      <c r="J67" s="2">
        <f>IF(B67=0,0,VLOOKUP(B67,Datensammler!B:U,10,0))</f>
        <v>0</v>
      </c>
      <c r="K67" s="2">
        <f>IF(B67=0,0,VLOOKUP(B67,Datensammler!B:U,11,0))</f>
        <v>0</v>
      </c>
      <c r="L67" s="2">
        <f>IF(B67=0,0,VLOOKUP(B67,Datensammler!B:U,12,0))</f>
        <v>0</v>
      </c>
      <c r="M67" s="2">
        <f>IF(B67=0,0,VLOOKUP(B67,Datensammler!B:U,13,0))</f>
        <v>0</v>
      </c>
      <c r="N67" s="2">
        <f>IF(B67=0,0,VLOOKUP(B67,Datensammler!B:U,14,0))</f>
        <v>0</v>
      </c>
      <c r="O67" s="2">
        <f>IF(B67=0,0,VLOOKUP(B67,Datensammler!B:U,15,0))</f>
        <v>0</v>
      </c>
      <c r="P67" s="2">
        <f>IF(B67=0,0,VLOOKUP(B67,Datensammler!B:U,16,0))</f>
        <v>0</v>
      </c>
      <c r="Q67" s="2">
        <f>IF(B67=0,0,VLOOKUP(B67,Datensammler!B:U,17,0))</f>
        <v>0</v>
      </c>
      <c r="R67" s="2">
        <f>IF(B67=0,0,VLOOKUP(B67,Datensammler!B:U,18,0))</f>
        <v>0</v>
      </c>
      <c r="S67" s="2">
        <f>IF(B67=0,0,VLOOKUP(B67,Datensammler!B:U,19,0))</f>
        <v>0</v>
      </c>
      <c r="T67" s="2">
        <f>IF(B67=0,0,VLOOKUP(B67,Datensammler!B:U,20,0))</f>
        <v>0</v>
      </c>
      <c r="U67" s="50">
        <f t="shared" ref="U67:AL67" si="70">C67</f>
        <v>0</v>
      </c>
      <c r="V67" s="50">
        <f t="shared" si="70"/>
        <v>0</v>
      </c>
      <c r="W67" s="50">
        <f t="shared" si="70"/>
        <v>0</v>
      </c>
      <c r="X67" s="50">
        <f t="shared" si="70"/>
        <v>0</v>
      </c>
      <c r="Y67" s="50">
        <f t="shared" si="70"/>
        <v>0</v>
      </c>
      <c r="Z67" s="50">
        <f t="shared" si="70"/>
        <v>0</v>
      </c>
      <c r="AA67" s="50">
        <f t="shared" si="70"/>
        <v>0</v>
      </c>
      <c r="AB67" s="50">
        <f t="shared" si="70"/>
        <v>0</v>
      </c>
      <c r="AC67" s="50">
        <f t="shared" si="70"/>
        <v>0</v>
      </c>
      <c r="AD67" s="50">
        <f t="shared" si="70"/>
        <v>0</v>
      </c>
      <c r="AE67" s="50">
        <f t="shared" si="70"/>
        <v>0</v>
      </c>
      <c r="AF67" s="50">
        <f t="shared" si="70"/>
        <v>0</v>
      </c>
      <c r="AG67" s="50">
        <f t="shared" si="70"/>
        <v>0</v>
      </c>
      <c r="AH67" s="50">
        <f t="shared" si="70"/>
        <v>0</v>
      </c>
      <c r="AI67" s="50">
        <f t="shared" si="70"/>
        <v>0</v>
      </c>
      <c r="AJ67" s="50">
        <f t="shared" si="70"/>
        <v>0</v>
      </c>
      <c r="AK67" s="50">
        <f t="shared" si="70"/>
        <v>0</v>
      </c>
      <c r="AL67" s="50">
        <f t="shared" si="70"/>
        <v>0</v>
      </c>
      <c r="AP67" s="2">
        <f t="shared" si="3"/>
        <v>0</v>
      </c>
      <c r="AQ67" s="2">
        <f>IFERROR(__xludf.DUMMYFUNCTION("IF(V67&gt;0,MIN(FILTER(U67:AL67, U67:AL67&lt;&gt;0)),0)"),0.0)</f>
        <v>0</v>
      </c>
      <c r="AS67" s="2">
        <f t="shared" si="4"/>
        <v>0</v>
      </c>
      <c r="AU67" s="2">
        <f t="shared" si="5"/>
        <v>0</v>
      </c>
      <c r="AW67" s="2">
        <f t="shared" si="6"/>
        <v>0</v>
      </c>
      <c r="AX67" s="2">
        <f>IFERROR(__xludf.DUMMYFUNCTION("IF(X67&gt;0,SMALL(FILTER(U67:AL67, U67:AL67&lt;&gt;0), 2),0)"),0.0)</f>
        <v>0</v>
      </c>
      <c r="AY67" s="2">
        <f t="shared" si="7"/>
        <v>0</v>
      </c>
      <c r="AZ67" s="2">
        <f t="shared" si="8"/>
        <v>0</v>
      </c>
      <c r="BA67" s="2">
        <f>IFERROR(__xludf.DUMMYFUNCTION("IF(Y67&gt;0,SMALL(FILTER(U67:AL67, U67:AL67&lt;&gt;0), 3),0)"),0.0)</f>
        <v>0</v>
      </c>
      <c r="BB67" s="2">
        <f t="shared" si="9"/>
        <v>0</v>
      </c>
    </row>
    <row r="68">
      <c r="A68" s="2">
        <f>Spieler!A69</f>
        <v>64</v>
      </c>
      <c r="B68" s="2" t="str">
        <f>VLOOKUP(A68,Spieler!A:F,2,0)</f>
        <v/>
      </c>
      <c r="C68" s="2">
        <f>IF(B68=0,0,VLOOKUP(B68,Datensammler!B:U,3,0))</f>
        <v>0</v>
      </c>
      <c r="D68" s="2">
        <f>IF(B68=0,0,VLOOKUP(B68,Datensammler!B:U,4,0))</f>
        <v>0</v>
      </c>
      <c r="E68" s="2">
        <f>IF(B68=0,0,VLOOKUP(B68,Datensammler!B:U,5,0))</f>
        <v>0</v>
      </c>
      <c r="F68" s="2">
        <f>IF(B68=0,0,VLOOKUP(B68,Datensammler!B:U,6,0))</f>
        <v>0</v>
      </c>
      <c r="G68" s="2">
        <f>IF(B68=0,0,VLOOKUP(B68,Datensammler!B:U,7,0))</f>
        <v>0</v>
      </c>
      <c r="H68" s="2">
        <f>IF(B68=0,0,VLOOKUP(B68,Datensammler!B:U,8,0))</f>
        <v>0</v>
      </c>
      <c r="I68" s="2">
        <f>IF(B68=0,0,VLOOKUP(B68,Datensammler!B:U,9,0))</f>
        <v>0</v>
      </c>
      <c r="J68" s="2">
        <f>IF(B68=0,0,VLOOKUP(B68,Datensammler!B:U,10,0))</f>
        <v>0</v>
      </c>
      <c r="K68" s="2">
        <f>IF(B68=0,0,VLOOKUP(B68,Datensammler!B:U,11,0))</f>
        <v>0</v>
      </c>
      <c r="L68" s="2">
        <f>IF(B68=0,0,VLOOKUP(B68,Datensammler!B:U,12,0))</f>
        <v>0</v>
      </c>
      <c r="M68" s="2">
        <f>IF(B68=0,0,VLOOKUP(B68,Datensammler!B:U,13,0))</f>
        <v>0</v>
      </c>
      <c r="N68" s="2">
        <f>IF(B68=0,0,VLOOKUP(B68,Datensammler!B:U,14,0))</f>
        <v>0</v>
      </c>
      <c r="O68" s="2">
        <f>IF(B68=0,0,VLOOKUP(B68,Datensammler!B:U,15,0))</f>
        <v>0</v>
      </c>
      <c r="P68" s="2">
        <f>IF(B68=0,0,VLOOKUP(B68,Datensammler!B:U,16,0))</f>
        <v>0</v>
      </c>
      <c r="Q68" s="2">
        <f>IF(B68=0,0,VLOOKUP(B68,Datensammler!B:U,17,0))</f>
        <v>0</v>
      </c>
      <c r="R68" s="2">
        <f>IF(B68=0,0,VLOOKUP(B68,Datensammler!B:U,18,0))</f>
        <v>0</v>
      </c>
      <c r="S68" s="2">
        <f>IF(B68=0,0,VLOOKUP(B68,Datensammler!B:U,19,0))</f>
        <v>0</v>
      </c>
      <c r="T68" s="2">
        <f>IF(B68=0,0,VLOOKUP(B68,Datensammler!B:U,20,0))</f>
        <v>0</v>
      </c>
      <c r="U68" s="50">
        <f t="shared" ref="U68:AL68" si="71">C68</f>
        <v>0</v>
      </c>
      <c r="V68" s="50">
        <f t="shared" si="71"/>
        <v>0</v>
      </c>
      <c r="W68" s="50">
        <f t="shared" si="71"/>
        <v>0</v>
      </c>
      <c r="X68" s="50">
        <f t="shared" si="71"/>
        <v>0</v>
      </c>
      <c r="Y68" s="50">
        <f t="shared" si="71"/>
        <v>0</v>
      </c>
      <c r="Z68" s="50">
        <f t="shared" si="71"/>
        <v>0</v>
      </c>
      <c r="AA68" s="50">
        <f t="shared" si="71"/>
        <v>0</v>
      </c>
      <c r="AB68" s="50">
        <f t="shared" si="71"/>
        <v>0</v>
      </c>
      <c r="AC68" s="50">
        <f t="shared" si="71"/>
        <v>0</v>
      </c>
      <c r="AD68" s="50">
        <f t="shared" si="71"/>
        <v>0</v>
      </c>
      <c r="AE68" s="50">
        <f t="shared" si="71"/>
        <v>0</v>
      </c>
      <c r="AF68" s="50">
        <f t="shared" si="71"/>
        <v>0</v>
      </c>
      <c r="AG68" s="50">
        <f t="shared" si="71"/>
        <v>0</v>
      </c>
      <c r="AH68" s="50">
        <f t="shared" si="71"/>
        <v>0</v>
      </c>
      <c r="AI68" s="50">
        <f t="shared" si="71"/>
        <v>0</v>
      </c>
      <c r="AJ68" s="50">
        <f t="shared" si="71"/>
        <v>0</v>
      </c>
      <c r="AK68" s="50">
        <f t="shared" si="71"/>
        <v>0</v>
      </c>
      <c r="AL68" s="50">
        <f t="shared" si="71"/>
        <v>0</v>
      </c>
      <c r="AP68" s="2">
        <f t="shared" si="3"/>
        <v>0</v>
      </c>
      <c r="AQ68" s="2">
        <f>IFERROR(__xludf.DUMMYFUNCTION("IF(V68&gt;0,MIN(FILTER(U68:AL68, U68:AL68&lt;&gt;0)),0)"),0.0)</f>
        <v>0</v>
      </c>
      <c r="AS68" s="2">
        <f t="shared" si="4"/>
        <v>0</v>
      </c>
      <c r="AU68" s="2">
        <f t="shared" si="5"/>
        <v>0</v>
      </c>
      <c r="AW68" s="2">
        <f t="shared" si="6"/>
        <v>0</v>
      </c>
      <c r="AX68" s="2">
        <f>IFERROR(__xludf.DUMMYFUNCTION("IF(X68&gt;0,SMALL(FILTER(U68:AL68, U68:AL68&lt;&gt;0), 2),0)"),0.0)</f>
        <v>0</v>
      </c>
      <c r="AY68" s="2">
        <f t="shared" si="7"/>
        <v>0</v>
      </c>
      <c r="AZ68" s="2">
        <f t="shared" si="8"/>
        <v>0</v>
      </c>
      <c r="BA68" s="2">
        <f>IFERROR(__xludf.DUMMYFUNCTION("IF(Y68&gt;0,SMALL(FILTER(U68:AL68, U68:AL68&lt;&gt;0), 3),0)"),0.0)</f>
        <v>0</v>
      </c>
      <c r="BB68" s="2">
        <f t="shared" si="9"/>
        <v>0</v>
      </c>
    </row>
    <row r="69">
      <c r="A69" s="2">
        <f>Spieler!A70</f>
        <v>65</v>
      </c>
      <c r="B69" s="2" t="str">
        <f>VLOOKUP(A69,Spieler!A:F,2,0)</f>
        <v/>
      </c>
      <c r="C69" s="2">
        <f>IF(B69=0,0,VLOOKUP(B69,Datensammler!B:U,3,0))</f>
        <v>0</v>
      </c>
      <c r="D69" s="2">
        <f>IF(B69=0,0,VLOOKUP(B69,Datensammler!B:U,4,0))</f>
        <v>0</v>
      </c>
      <c r="E69" s="2">
        <f>IF(B69=0,0,VLOOKUP(B69,Datensammler!B:U,5,0))</f>
        <v>0</v>
      </c>
      <c r="F69" s="2">
        <f>IF(B69=0,0,VLOOKUP(B69,Datensammler!B:U,6,0))</f>
        <v>0</v>
      </c>
      <c r="G69" s="2">
        <f>IF(B69=0,0,VLOOKUP(B69,Datensammler!B:U,7,0))</f>
        <v>0</v>
      </c>
      <c r="H69" s="2">
        <f>IF(B69=0,0,VLOOKUP(B69,Datensammler!B:U,8,0))</f>
        <v>0</v>
      </c>
      <c r="I69" s="2">
        <f>IF(B69=0,0,VLOOKUP(B69,Datensammler!B:U,9,0))</f>
        <v>0</v>
      </c>
      <c r="J69" s="2">
        <f>IF(B69=0,0,VLOOKUP(B69,Datensammler!B:U,10,0))</f>
        <v>0</v>
      </c>
      <c r="K69" s="2">
        <f>IF(B69=0,0,VLOOKUP(B69,Datensammler!B:U,11,0))</f>
        <v>0</v>
      </c>
      <c r="L69" s="2">
        <f>IF(B69=0,0,VLOOKUP(B69,Datensammler!B:U,12,0))</f>
        <v>0</v>
      </c>
      <c r="M69" s="2">
        <f>IF(B69=0,0,VLOOKUP(B69,Datensammler!B:U,13,0))</f>
        <v>0</v>
      </c>
      <c r="N69" s="2">
        <f>IF(B69=0,0,VLOOKUP(B69,Datensammler!B:U,14,0))</f>
        <v>0</v>
      </c>
      <c r="O69" s="2">
        <f>IF(B69=0,0,VLOOKUP(B69,Datensammler!B:U,15,0))</f>
        <v>0</v>
      </c>
      <c r="P69" s="2">
        <f>IF(B69=0,0,VLOOKUP(B69,Datensammler!B:U,16,0))</f>
        <v>0</v>
      </c>
      <c r="Q69" s="2">
        <f>IF(B69=0,0,VLOOKUP(B69,Datensammler!B:U,17,0))</f>
        <v>0</v>
      </c>
      <c r="R69" s="2">
        <f>IF(B69=0,0,VLOOKUP(B69,Datensammler!B:U,18,0))</f>
        <v>0</v>
      </c>
      <c r="S69" s="2">
        <f>IF(B69=0,0,VLOOKUP(B69,Datensammler!B:U,19,0))</f>
        <v>0</v>
      </c>
      <c r="T69" s="2">
        <f>IF(B69=0,0,VLOOKUP(B69,Datensammler!B:U,20,0))</f>
        <v>0</v>
      </c>
      <c r="U69" s="50">
        <f t="shared" ref="U69:AL69" si="72">C69</f>
        <v>0</v>
      </c>
      <c r="V69" s="50">
        <f t="shared" si="72"/>
        <v>0</v>
      </c>
      <c r="W69" s="50">
        <f t="shared" si="72"/>
        <v>0</v>
      </c>
      <c r="X69" s="50">
        <f t="shared" si="72"/>
        <v>0</v>
      </c>
      <c r="Y69" s="50">
        <f t="shared" si="72"/>
        <v>0</v>
      </c>
      <c r="Z69" s="50">
        <f t="shared" si="72"/>
        <v>0</v>
      </c>
      <c r="AA69" s="50">
        <f t="shared" si="72"/>
        <v>0</v>
      </c>
      <c r="AB69" s="50">
        <f t="shared" si="72"/>
        <v>0</v>
      </c>
      <c r="AC69" s="50">
        <f t="shared" si="72"/>
        <v>0</v>
      </c>
      <c r="AD69" s="50">
        <f t="shared" si="72"/>
        <v>0</v>
      </c>
      <c r="AE69" s="50">
        <f t="shared" si="72"/>
        <v>0</v>
      </c>
      <c r="AF69" s="50">
        <f t="shared" si="72"/>
        <v>0</v>
      </c>
      <c r="AG69" s="50">
        <f t="shared" si="72"/>
        <v>0</v>
      </c>
      <c r="AH69" s="50">
        <f t="shared" si="72"/>
        <v>0</v>
      </c>
      <c r="AI69" s="50">
        <f t="shared" si="72"/>
        <v>0</v>
      </c>
      <c r="AJ69" s="50">
        <f t="shared" si="72"/>
        <v>0</v>
      </c>
      <c r="AK69" s="50">
        <f t="shared" si="72"/>
        <v>0</v>
      </c>
      <c r="AL69" s="50">
        <f t="shared" si="72"/>
        <v>0</v>
      </c>
      <c r="AP69" s="2">
        <f t="shared" si="3"/>
        <v>0</v>
      </c>
      <c r="AQ69" s="2">
        <f>IFERROR(__xludf.DUMMYFUNCTION("IF(V69&gt;0,MIN(FILTER(U69:AL69, U69:AL69&lt;&gt;0)),0)"),0.0)</f>
        <v>0</v>
      </c>
      <c r="AS69" s="2">
        <f t="shared" si="4"/>
        <v>0</v>
      </c>
      <c r="AU69" s="2">
        <f t="shared" si="5"/>
        <v>0</v>
      </c>
      <c r="AW69" s="2">
        <f t="shared" si="6"/>
        <v>0</v>
      </c>
      <c r="AX69" s="2">
        <f>IFERROR(__xludf.DUMMYFUNCTION("IF(X69&gt;0,SMALL(FILTER(U69:AL69, U69:AL69&lt;&gt;0), 2),0)"),0.0)</f>
        <v>0</v>
      </c>
      <c r="AY69" s="2">
        <f t="shared" si="7"/>
        <v>0</v>
      </c>
      <c r="AZ69" s="2">
        <f t="shared" si="8"/>
        <v>0</v>
      </c>
      <c r="BA69" s="2">
        <f>IFERROR(__xludf.DUMMYFUNCTION("IF(Y69&gt;0,SMALL(FILTER(U69:AL69, U69:AL69&lt;&gt;0), 3),0)"),0.0)</f>
        <v>0</v>
      </c>
      <c r="BB69" s="2">
        <f t="shared" si="9"/>
        <v>0</v>
      </c>
    </row>
    <row r="70">
      <c r="A70" s="2">
        <f>Spieler!A71</f>
        <v>66</v>
      </c>
      <c r="B70" s="2" t="str">
        <f>VLOOKUP(A70,Spieler!A:F,2,0)</f>
        <v/>
      </c>
      <c r="C70" s="2">
        <f>IF(B70=0,0,VLOOKUP(B70,Datensammler!B:U,3,0))</f>
        <v>0</v>
      </c>
      <c r="D70" s="2">
        <f>IF(B70=0,0,VLOOKUP(B70,Datensammler!B:U,4,0))</f>
        <v>0</v>
      </c>
      <c r="E70" s="2">
        <f>IF(B70=0,0,VLOOKUP(B70,Datensammler!B:U,5,0))</f>
        <v>0</v>
      </c>
      <c r="F70" s="2">
        <f>IF(B70=0,0,VLOOKUP(B70,Datensammler!B:U,6,0))</f>
        <v>0</v>
      </c>
      <c r="G70" s="2">
        <f>IF(B70=0,0,VLOOKUP(B70,Datensammler!B:U,7,0))</f>
        <v>0</v>
      </c>
      <c r="H70" s="2">
        <f>IF(B70=0,0,VLOOKUP(B70,Datensammler!B:U,8,0))</f>
        <v>0</v>
      </c>
      <c r="I70" s="2">
        <f>IF(B70=0,0,VLOOKUP(B70,Datensammler!B:U,9,0))</f>
        <v>0</v>
      </c>
      <c r="J70" s="2">
        <f>IF(B70=0,0,VLOOKUP(B70,Datensammler!B:U,10,0))</f>
        <v>0</v>
      </c>
      <c r="K70" s="2">
        <f>IF(B70=0,0,VLOOKUP(B70,Datensammler!B:U,11,0))</f>
        <v>0</v>
      </c>
      <c r="L70" s="2">
        <f>IF(B70=0,0,VLOOKUP(B70,Datensammler!B:U,12,0))</f>
        <v>0</v>
      </c>
      <c r="M70" s="2">
        <f>IF(B70=0,0,VLOOKUP(B70,Datensammler!B:U,13,0))</f>
        <v>0</v>
      </c>
      <c r="N70" s="2">
        <f>IF(B70=0,0,VLOOKUP(B70,Datensammler!B:U,14,0))</f>
        <v>0</v>
      </c>
      <c r="O70" s="2">
        <f>IF(B70=0,0,VLOOKUP(B70,Datensammler!B:U,15,0))</f>
        <v>0</v>
      </c>
      <c r="P70" s="2">
        <f>IF(B70=0,0,VLOOKUP(B70,Datensammler!B:U,16,0))</f>
        <v>0</v>
      </c>
      <c r="Q70" s="2">
        <f>IF(B70=0,0,VLOOKUP(B70,Datensammler!B:U,17,0))</f>
        <v>0</v>
      </c>
      <c r="R70" s="2">
        <f>IF(B70=0,0,VLOOKUP(B70,Datensammler!B:U,18,0))</f>
        <v>0</v>
      </c>
      <c r="S70" s="2">
        <f>IF(B70=0,0,VLOOKUP(B70,Datensammler!B:U,19,0))</f>
        <v>0</v>
      </c>
      <c r="T70" s="2">
        <f>IF(B70=0,0,VLOOKUP(B70,Datensammler!B:U,20,0))</f>
        <v>0</v>
      </c>
      <c r="U70" s="50">
        <f t="shared" ref="U70:AL70" si="73">C70</f>
        <v>0</v>
      </c>
      <c r="V70" s="50">
        <f t="shared" si="73"/>
        <v>0</v>
      </c>
      <c r="W70" s="50">
        <f t="shared" si="73"/>
        <v>0</v>
      </c>
      <c r="X70" s="50">
        <f t="shared" si="73"/>
        <v>0</v>
      </c>
      <c r="Y70" s="50">
        <f t="shared" si="73"/>
        <v>0</v>
      </c>
      <c r="Z70" s="50">
        <f t="shared" si="73"/>
        <v>0</v>
      </c>
      <c r="AA70" s="50">
        <f t="shared" si="73"/>
        <v>0</v>
      </c>
      <c r="AB70" s="50">
        <f t="shared" si="73"/>
        <v>0</v>
      </c>
      <c r="AC70" s="50">
        <f t="shared" si="73"/>
        <v>0</v>
      </c>
      <c r="AD70" s="50">
        <f t="shared" si="73"/>
        <v>0</v>
      </c>
      <c r="AE70" s="50">
        <f t="shared" si="73"/>
        <v>0</v>
      </c>
      <c r="AF70" s="50">
        <f t="shared" si="73"/>
        <v>0</v>
      </c>
      <c r="AG70" s="50">
        <f t="shared" si="73"/>
        <v>0</v>
      </c>
      <c r="AH70" s="50">
        <f t="shared" si="73"/>
        <v>0</v>
      </c>
      <c r="AI70" s="50">
        <f t="shared" si="73"/>
        <v>0</v>
      </c>
      <c r="AJ70" s="50">
        <f t="shared" si="73"/>
        <v>0</v>
      </c>
      <c r="AK70" s="50">
        <f t="shared" si="73"/>
        <v>0</v>
      </c>
      <c r="AL70" s="50">
        <f t="shared" si="73"/>
        <v>0</v>
      </c>
      <c r="AP70" s="2">
        <f t="shared" si="3"/>
        <v>0</v>
      </c>
      <c r="AQ70" s="2">
        <f>IFERROR(__xludf.DUMMYFUNCTION("IF(V70&gt;0,MIN(FILTER(U70:AL70, U70:AL70&lt;&gt;0)),0)"),0.0)</f>
        <v>0</v>
      </c>
      <c r="AS70" s="2">
        <f t="shared" si="4"/>
        <v>0</v>
      </c>
      <c r="AU70" s="2">
        <f t="shared" si="5"/>
        <v>0</v>
      </c>
      <c r="AW70" s="2">
        <f t="shared" si="6"/>
        <v>0</v>
      </c>
      <c r="AX70" s="2">
        <f>IFERROR(__xludf.DUMMYFUNCTION("IF(X70&gt;0,SMALL(FILTER(U70:AL70, U70:AL70&lt;&gt;0), 2),0)"),0.0)</f>
        <v>0</v>
      </c>
      <c r="AY70" s="2">
        <f t="shared" si="7"/>
        <v>0</v>
      </c>
      <c r="AZ70" s="2">
        <f t="shared" si="8"/>
        <v>0</v>
      </c>
      <c r="BA70" s="2">
        <f>IFERROR(__xludf.DUMMYFUNCTION("IF(Y70&gt;0,SMALL(FILTER(U70:AL70, U70:AL70&lt;&gt;0), 3),0)"),0.0)</f>
        <v>0</v>
      </c>
      <c r="BB70" s="2">
        <f t="shared" si="9"/>
        <v>0</v>
      </c>
    </row>
    <row r="71">
      <c r="A71" s="2">
        <f>Spieler!A72</f>
        <v>67</v>
      </c>
      <c r="B71" s="2" t="str">
        <f>VLOOKUP(A71,Spieler!A:F,2,0)</f>
        <v/>
      </c>
      <c r="C71" s="2">
        <f>IF(B71=0,0,VLOOKUP(B71,Datensammler!B:U,3,0))</f>
        <v>0</v>
      </c>
      <c r="D71" s="2">
        <f>IF(B71=0,0,VLOOKUP(B71,Datensammler!B:U,4,0))</f>
        <v>0</v>
      </c>
      <c r="E71" s="2">
        <f>IF(B71=0,0,VLOOKUP(B71,Datensammler!B:U,5,0))</f>
        <v>0</v>
      </c>
      <c r="F71" s="2">
        <f>IF(B71=0,0,VLOOKUP(B71,Datensammler!B:U,6,0))</f>
        <v>0</v>
      </c>
      <c r="G71" s="2">
        <f>IF(B71=0,0,VLOOKUP(B71,Datensammler!B:U,7,0))</f>
        <v>0</v>
      </c>
      <c r="H71" s="2">
        <f>IF(B71=0,0,VLOOKUP(B71,Datensammler!B:U,8,0))</f>
        <v>0</v>
      </c>
      <c r="I71" s="2">
        <f>IF(B71=0,0,VLOOKUP(B71,Datensammler!B:U,9,0))</f>
        <v>0</v>
      </c>
      <c r="J71" s="2">
        <f>IF(B71=0,0,VLOOKUP(B71,Datensammler!B:U,10,0))</f>
        <v>0</v>
      </c>
      <c r="K71" s="2">
        <f>IF(B71=0,0,VLOOKUP(B71,Datensammler!B:U,11,0))</f>
        <v>0</v>
      </c>
      <c r="L71" s="2">
        <f>IF(B71=0,0,VLOOKUP(B71,Datensammler!B:U,12,0))</f>
        <v>0</v>
      </c>
      <c r="M71" s="2">
        <f>IF(B71=0,0,VLOOKUP(B71,Datensammler!B:U,13,0))</f>
        <v>0</v>
      </c>
      <c r="N71" s="2">
        <f>IF(B71=0,0,VLOOKUP(B71,Datensammler!B:U,14,0))</f>
        <v>0</v>
      </c>
      <c r="O71" s="2">
        <f>IF(B71=0,0,VLOOKUP(B71,Datensammler!B:U,15,0))</f>
        <v>0</v>
      </c>
      <c r="P71" s="2">
        <f>IF(B71=0,0,VLOOKUP(B71,Datensammler!B:U,16,0))</f>
        <v>0</v>
      </c>
      <c r="Q71" s="2">
        <f>IF(B71=0,0,VLOOKUP(B71,Datensammler!B:U,17,0))</f>
        <v>0</v>
      </c>
      <c r="R71" s="2">
        <f>IF(B71=0,0,VLOOKUP(B71,Datensammler!B:U,18,0))</f>
        <v>0</v>
      </c>
      <c r="S71" s="2">
        <f>IF(B71=0,0,VLOOKUP(B71,Datensammler!B:U,19,0))</f>
        <v>0</v>
      </c>
      <c r="T71" s="2">
        <f>IF(B71=0,0,VLOOKUP(B71,Datensammler!B:U,20,0))</f>
        <v>0</v>
      </c>
      <c r="U71" s="50">
        <f t="shared" ref="U71:AL71" si="74">C71</f>
        <v>0</v>
      </c>
      <c r="V71" s="50">
        <f t="shared" si="74"/>
        <v>0</v>
      </c>
      <c r="W71" s="50">
        <f t="shared" si="74"/>
        <v>0</v>
      </c>
      <c r="X71" s="50">
        <f t="shared" si="74"/>
        <v>0</v>
      </c>
      <c r="Y71" s="50">
        <f t="shared" si="74"/>
        <v>0</v>
      </c>
      <c r="Z71" s="50">
        <f t="shared" si="74"/>
        <v>0</v>
      </c>
      <c r="AA71" s="50">
        <f t="shared" si="74"/>
        <v>0</v>
      </c>
      <c r="AB71" s="50">
        <f t="shared" si="74"/>
        <v>0</v>
      </c>
      <c r="AC71" s="50">
        <f t="shared" si="74"/>
        <v>0</v>
      </c>
      <c r="AD71" s="50">
        <f t="shared" si="74"/>
        <v>0</v>
      </c>
      <c r="AE71" s="50">
        <f t="shared" si="74"/>
        <v>0</v>
      </c>
      <c r="AF71" s="50">
        <f t="shared" si="74"/>
        <v>0</v>
      </c>
      <c r="AG71" s="50">
        <f t="shared" si="74"/>
        <v>0</v>
      </c>
      <c r="AH71" s="50">
        <f t="shared" si="74"/>
        <v>0</v>
      </c>
      <c r="AI71" s="50">
        <f t="shared" si="74"/>
        <v>0</v>
      </c>
      <c r="AJ71" s="50">
        <f t="shared" si="74"/>
        <v>0</v>
      </c>
      <c r="AK71" s="50">
        <f t="shared" si="74"/>
        <v>0</v>
      </c>
      <c r="AL71" s="50">
        <f t="shared" si="74"/>
        <v>0</v>
      </c>
      <c r="AP71" s="2">
        <f t="shared" si="3"/>
        <v>0</v>
      </c>
      <c r="AQ71" s="2">
        <f>IFERROR(__xludf.DUMMYFUNCTION("IF(V71&gt;0,MIN(FILTER(U71:AL71, U71:AL71&lt;&gt;0)),0)"),0.0)</f>
        <v>0</v>
      </c>
      <c r="AS71" s="2">
        <f t="shared" si="4"/>
        <v>0</v>
      </c>
      <c r="AU71" s="2">
        <f t="shared" si="5"/>
        <v>0</v>
      </c>
      <c r="AW71" s="2">
        <f t="shared" si="6"/>
        <v>0</v>
      </c>
      <c r="AX71" s="2">
        <f>IFERROR(__xludf.DUMMYFUNCTION("IF(X71&gt;0,SMALL(FILTER(U71:AL71, U71:AL71&lt;&gt;0), 2),0)"),0.0)</f>
        <v>0</v>
      </c>
      <c r="AY71" s="2">
        <f t="shared" si="7"/>
        <v>0</v>
      </c>
      <c r="AZ71" s="2">
        <f t="shared" si="8"/>
        <v>0</v>
      </c>
      <c r="BA71" s="2">
        <f>IFERROR(__xludf.DUMMYFUNCTION("IF(Y71&gt;0,SMALL(FILTER(U71:AL71, U71:AL71&lt;&gt;0), 3),0)"),0.0)</f>
        <v>0</v>
      </c>
      <c r="BB71" s="2">
        <f t="shared" si="9"/>
        <v>0</v>
      </c>
    </row>
    <row r="72">
      <c r="A72" s="2">
        <f>Spieler!A73</f>
        <v>68</v>
      </c>
      <c r="B72" s="2" t="str">
        <f>VLOOKUP(A72,Spieler!A:F,2,0)</f>
        <v/>
      </c>
      <c r="C72" s="2">
        <f>IF(B72=0,0,VLOOKUP(B72,Datensammler!B:U,3,0))</f>
        <v>0</v>
      </c>
      <c r="D72" s="2">
        <f>IF(B72=0,0,VLOOKUP(B72,Datensammler!B:U,4,0))</f>
        <v>0</v>
      </c>
      <c r="E72" s="2">
        <f>IF(B72=0,0,VLOOKUP(B72,Datensammler!B:U,5,0))</f>
        <v>0</v>
      </c>
      <c r="F72" s="2">
        <f>IF(B72=0,0,VLOOKUP(B72,Datensammler!B:U,6,0))</f>
        <v>0</v>
      </c>
      <c r="G72" s="2">
        <f>IF(B72=0,0,VLOOKUP(B72,Datensammler!B:U,7,0))</f>
        <v>0</v>
      </c>
      <c r="H72" s="2">
        <f>IF(B72=0,0,VLOOKUP(B72,Datensammler!B:U,8,0))</f>
        <v>0</v>
      </c>
      <c r="I72" s="2">
        <f>IF(B72=0,0,VLOOKUP(B72,Datensammler!B:U,9,0))</f>
        <v>0</v>
      </c>
      <c r="J72" s="2">
        <f>IF(B72=0,0,VLOOKUP(B72,Datensammler!B:U,10,0))</f>
        <v>0</v>
      </c>
      <c r="K72" s="2">
        <f>IF(B72=0,0,VLOOKUP(B72,Datensammler!B:U,11,0))</f>
        <v>0</v>
      </c>
      <c r="L72" s="2">
        <f>IF(B72=0,0,VLOOKUP(B72,Datensammler!B:U,12,0))</f>
        <v>0</v>
      </c>
      <c r="M72" s="2">
        <f>IF(B72=0,0,VLOOKUP(B72,Datensammler!B:U,13,0))</f>
        <v>0</v>
      </c>
      <c r="N72" s="2">
        <f>IF(B72=0,0,VLOOKUP(B72,Datensammler!B:U,14,0))</f>
        <v>0</v>
      </c>
      <c r="O72" s="2">
        <f>IF(B72=0,0,VLOOKUP(B72,Datensammler!B:U,15,0))</f>
        <v>0</v>
      </c>
      <c r="P72" s="2">
        <f>IF(B72=0,0,VLOOKUP(B72,Datensammler!B:U,16,0))</f>
        <v>0</v>
      </c>
      <c r="Q72" s="2">
        <f>IF(B72=0,0,VLOOKUP(B72,Datensammler!B:U,17,0))</f>
        <v>0</v>
      </c>
      <c r="R72" s="2">
        <f>IF(B72=0,0,VLOOKUP(B72,Datensammler!B:U,18,0))</f>
        <v>0</v>
      </c>
      <c r="S72" s="2">
        <f>IF(B72=0,0,VLOOKUP(B72,Datensammler!B:U,19,0))</f>
        <v>0</v>
      </c>
      <c r="T72" s="2">
        <f>IF(B72=0,0,VLOOKUP(B72,Datensammler!B:U,20,0))</f>
        <v>0</v>
      </c>
      <c r="U72" s="50">
        <f t="shared" ref="U72:AL72" si="75">C72</f>
        <v>0</v>
      </c>
      <c r="V72" s="50">
        <f t="shared" si="75"/>
        <v>0</v>
      </c>
      <c r="W72" s="50">
        <f t="shared" si="75"/>
        <v>0</v>
      </c>
      <c r="X72" s="50">
        <f t="shared" si="75"/>
        <v>0</v>
      </c>
      <c r="Y72" s="50">
        <f t="shared" si="75"/>
        <v>0</v>
      </c>
      <c r="Z72" s="50">
        <f t="shared" si="75"/>
        <v>0</v>
      </c>
      <c r="AA72" s="50">
        <f t="shared" si="75"/>
        <v>0</v>
      </c>
      <c r="AB72" s="50">
        <f t="shared" si="75"/>
        <v>0</v>
      </c>
      <c r="AC72" s="50">
        <f t="shared" si="75"/>
        <v>0</v>
      </c>
      <c r="AD72" s="50">
        <f t="shared" si="75"/>
        <v>0</v>
      </c>
      <c r="AE72" s="50">
        <f t="shared" si="75"/>
        <v>0</v>
      </c>
      <c r="AF72" s="50">
        <f t="shared" si="75"/>
        <v>0</v>
      </c>
      <c r="AG72" s="50">
        <f t="shared" si="75"/>
        <v>0</v>
      </c>
      <c r="AH72" s="50">
        <f t="shared" si="75"/>
        <v>0</v>
      </c>
      <c r="AI72" s="50">
        <f t="shared" si="75"/>
        <v>0</v>
      </c>
      <c r="AJ72" s="50">
        <f t="shared" si="75"/>
        <v>0</v>
      </c>
      <c r="AK72" s="50">
        <f t="shared" si="75"/>
        <v>0</v>
      </c>
      <c r="AL72" s="50">
        <f t="shared" si="75"/>
        <v>0</v>
      </c>
      <c r="AP72" s="2">
        <f t="shared" si="3"/>
        <v>0</v>
      </c>
      <c r="AQ72" s="2">
        <f>IFERROR(__xludf.DUMMYFUNCTION("IF(V72&gt;0,MIN(FILTER(U72:AL72, U72:AL72&lt;&gt;0)),0)"),0.0)</f>
        <v>0</v>
      </c>
      <c r="AS72" s="2">
        <f t="shared" si="4"/>
        <v>0</v>
      </c>
      <c r="AU72" s="2">
        <f t="shared" si="5"/>
        <v>0</v>
      </c>
      <c r="AW72" s="2">
        <f t="shared" si="6"/>
        <v>0</v>
      </c>
      <c r="AX72" s="2">
        <f>IFERROR(__xludf.DUMMYFUNCTION("IF(X72&gt;0,SMALL(FILTER(U72:AL72, U72:AL72&lt;&gt;0), 2),0)"),0.0)</f>
        <v>0</v>
      </c>
      <c r="AY72" s="2">
        <f t="shared" si="7"/>
        <v>0</v>
      </c>
      <c r="AZ72" s="2">
        <f t="shared" si="8"/>
        <v>0</v>
      </c>
      <c r="BA72" s="2">
        <f>IFERROR(__xludf.DUMMYFUNCTION("IF(Y72&gt;0,SMALL(FILTER(U72:AL72, U72:AL72&lt;&gt;0), 3),0)"),0.0)</f>
        <v>0</v>
      </c>
      <c r="BB72" s="2">
        <f t="shared" si="9"/>
        <v>0</v>
      </c>
    </row>
    <row r="73">
      <c r="A73" s="2">
        <f>Spieler!A74</f>
        <v>69</v>
      </c>
      <c r="B73" s="2" t="str">
        <f>VLOOKUP(A73,Spieler!A:F,2,0)</f>
        <v/>
      </c>
      <c r="C73" s="2">
        <f>IF(B73=0,0,VLOOKUP(B73,Datensammler!B:U,3,0))</f>
        <v>0</v>
      </c>
      <c r="D73" s="2">
        <f>IF(B73=0,0,VLOOKUP(B73,Datensammler!B:U,4,0))</f>
        <v>0</v>
      </c>
      <c r="E73" s="2">
        <f>IF(B73=0,0,VLOOKUP(B73,Datensammler!B:U,5,0))</f>
        <v>0</v>
      </c>
      <c r="F73" s="2">
        <f>IF(B73=0,0,VLOOKUP(B73,Datensammler!B:U,6,0))</f>
        <v>0</v>
      </c>
      <c r="G73" s="2">
        <f>IF(B73=0,0,VLOOKUP(B73,Datensammler!B:U,7,0))</f>
        <v>0</v>
      </c>
      <c r="H73" s="2">
        <f>IF(B73=0,0,VLOOKUP(B73,Datensammler!B:U,8,0))</f>
        <v>0</v>
      </c>
      <c r="I73" s="2">
        <f>IF(B73=0,0,VLOOKUP(B73,Datensammler!B:U,9,0))</f>
        <v>0</v>
      </c>
      <c r="J73" s="2">
        <f>IF(B73=0,0,VLOOKUP(B73,Datensammler!B:U,10,0))</f>
        <v>0</v>
      </c>
      <c r="K73" s="2">
        <f>IF(B73=0,0,VLOOKUP(B73,Datensammler!B:U,11,0))</f>
        <v>0</v>
      </c>
      <c r="L73" s="2">
        <f>IF(B73=0,0,VLOOKUP(B73,Datensammler!B:U,12,0))</f>
        <v>0</v>
      </c>
      <c r="M73" s="2">
        <f>IF(B73=0,0,VLOOKUP(B73,Datensammler!B:U,13,0))</f>
        <v>0</v>
      </c>
      <c r="N73" s="2">
        <f>IF(B73=0,0,VLOOKUP(B73,Datensammler!B:U,14,0))</f>
        <v>0</v>
      </c>
      <c r="O73" s="2">
        <f>IF(B73=0,0,VLOOKUP(B73,Datensammler!B:U,15,0))</f>
        <v>0</v>
      </c>
      <c r="P73" s="2">
        <f>IF(B73=0,0,VLOOKUP(B73,Datensammler!B:U,16,0))</f>
        <v>0</v>
      </c>
      <c r="Q73" s="2">
        <f>IF(B73=0,0,VLOOKUP(B73,Datensammler!B:U,17,0))</f>
        <v>0</v>
      </c>
      <c r="R73" s="2">
        <f>IF(B73=0,0,VLOOKUP(B73,Datensammler!B:U,18,0))</f>
        <v>0</v>
      </c>
      <c r="S73" s="2">
        <f>IF(B73=0,0,VLOOKUP(B73,Datensammler!B:U,19,0))</f>
        <v>0</v>
      </c>
      <c r="T73" s="2">
        <f>IF(B73=0,0,VLOOKUP(B73,Datensammler!B:U,20,0))</f>
        <v>0</v>
      </c>
      <c r="U73" s="50">
        <f t="shared" ref="U73:AL73" si="76">C73</f>
        <v>0</v>
      </c>
      <c r="V73" s="50">
        <f t="shared" si="76"/>
        <v>0</v>
      </c>
      <c r="W73" s="50">
        <f t="shared" si="76"/>
        <v>0</v>
      </c>
      <c r="X73" s="50">
        <f t="shared" si="76"/>
        <v>0</v>
      </c>
      <c r="Y73" s="50">
        <f t="shared" si="76"/>
        <v>0</v>
      </c>
      <c r="Z73" s="50">
        <f t="shared" si="76"/>
        <v>0</v>
      </c>
      <c r="AA73" s="50">
        <f t="shared" si="76"/>
        <v>0</v>
      </c>
      <c r="AB73" s="50">
        <f t="shared" si="76"/>
        <v>0</v>
      </c>
      <c r="AC73" s="50">
        <f t="shared" si="76"/>
        <v>0</v>
      </c>
      <c r="AD73" s="50">
        <f t="shared" si="76"/>
        <v>0</v>
      </c>
      <c r="AE73" s="50">
        <f t="shared" si="76"/>
        <v>0</v>
      </c>
      <c r="AF73" s="50">
        <f t="shared" si="76"/>
        <v>0</v>
      </c>
      <c r="AG73" s="50">
        <f t="shared" si="76"/>
        <v>0</v>
      </c>
      <c r="AH73" s="50">
        <f t="shared" si="76"/>
        <v>0</v>
      </c>
      <c r="AI73" s="50">
        <f t="shared" si="76"/>
        <v>0</v>
      </c>
      <c r="AJ73" s="50">
        <f t="shared" si="76"/>
        <v>0</v>
      </c>
      <c r="AK73" s="50">
        <f t="shared" si="76"/>
        <v>0</v>
      </c>
      <c r="AL73" s="50">
        <f t="shared" si="76"/>
        <v>0</v>
      </c>
      <c r="AP73" s="2">
        <f t="shared" si="3"/>
        <v>0</v>
      </c>
      <c r="AQ73" s="2">
        <f>IFERROR(__xludf.DUMMYFUNCTION("IF(V73&gt;0,MIN(FILTER(U73:AL73, U73:AL73&lt;&gt;0)),0)"),0.0)</f>
        <v>0</v>
      </c>
      <c r="AS73" s="2">
        <f t="shared" si="4"/>
        <v>0</v>
      </c>
      <c r="AU73" s="2">
        <f t="shared" si="5"/>
        <v>0</v>
      </c>
      <c r="AW73" s="2">
        <f t="shared" si="6"/>
        <v>0</v>
      </c>
      <c r="AX73" s="2">
        <f>IFERROR(__xludf.DUMMYFUNCTION("IF(X73&gt;0,SMALL(FILTER(U73:AL73, U73:AL73&lt;&gt;0), 2),0)"),0.0)</f>
        <v>0</v>
      </c>
      <c r="AY73" s="2">
        <f t="shared" si="7"/>
        <v>0</v>
      </c>
      <c r="AZ73" s="2">
        <f t="shared" si="8"/>
        <v>0</v>
      </c>
      <c r="BA73" s="2">
        <f>IFERROR(__xludf.DUMMYFUNCTION("IF(Y73&gt;0,SMALL(FILTER(U73:AL73, U73:AL73&lt;&gt;0), 3),0)"),0.0)</f>
        <v>0</v>
      </c>
      <c r="BB73" s="2">
        <f t="shared" si="9"/>
        <v>0</v>
      </c>
    </row>
    <row r="74">
      <c r="A74" s="2">
        <f>Spieler!A75</f>
        <v>70</v>
      </c>
      <c r="B74" s="2" t="str">
        <f>VLOOKUP(A74,Spieler!A:F,2,0)</f>
        <v/>
      </c>
      <c r="C74" s="2">
        <f>IF(B74=0,0,VLOOKUP(B74,Datensammler!B:U,3,0))</f>
        <v>0</v>
      </c>
      <c r="D74" s="2">
        <f>IF(B74=0,0,VLOOKUP(B74,Datensammler!B:U,4,0))</f>
        <v>0</v>
      </c>
      <c r="E74" s="2">
        <f>IF(B74=0,0,VLOOKUP(B74,Datensammler!B:U,5,0))</f>
        <v>0</v>
      </c>
      <c r="F74" s="2">
        <f>IF(B74=0,0,VLOOKUP(B74,Datensammler!B:U,6,0))</f>
        <v>0</v>
      </c>
      <c r="G74" s="2">
        <f>IF(B74=0,0,VLOOKUP(B74,Datensammler!B:U,7,0))</f>
        <v>0</v>
      </c>
      <c r="H74" s="2">
        <f>IF(B74=0,0,VLOOKUP(B74,Datensammler!B:U,8,0))</f>
        <v>0</v>
      </c>
      <c r="I74" s="2">
        <f>IF(B74=0,0,VLOOKUP(B74,Datensammler!B:U,9,0))</f>
        <v>0</v>
      </c>
      <c r="J74" s="2">
        <f>IF(B74=0,0,VLOOKUP(B74,Datensammler!B:U,10,0))</f>
        <v>0</v>
      </c>
      <c r="K74" s="2">
        <f>IF(B74=0,0,VLOOKUP(B74,Datensammler!B:U,11,0))</f>
        <v>0</v>
      </c>
      <c r="L74" s="2">
        <f>IF(B74=0,0,VLOOKUP(B74,Datensammler!B:U,12,0))</f>
        <v>0</v>
      </c>
      <c r="M74" s="2">
        <f>IF(B74=0,0,VLOOKUP(B74,Datensammler!B:U,13,0))</f>
        <v>0</v>
      </c>
      <c r="N74" s="2">
        <f>IF(B74=0,0,VLOOKUP(B74,Datensammler!B:U,14,0))</f>
        <v>0</v>
      </c>
      <c r="O74" s="2">
        <f>IF(B74=0,0,VLOOKUP(B74,Datensammler!B:U,15,0))</f>
        <v>0</v>
      </c>
      <c r="P74" s="2">
        <f>IF(B74=0,0,VLOOKUP(B74,Datensammler!B:U,16,0))</f>
        <v>0</v>
      </c>
      <c r="Q74" s="2">
        <f>IF(B74=0,0,VLOOKUP(B74,Datensammler!B:U,17,0))</f>
        <v>0</v>
      </c>
      <c r="R74" s="2">
        <f>IF(B74=0,0,VLOOKUP(B74,Datensammler!B:U,18,0))</f>
        <v>0</v>
      </c>
      <c r="S74" s="2">
        <f>IF(B74=0,0,VLOOKUP(B74,Datensammler!B:U,19,0))</f>
        <v>0</v>
      </c>
      <c r="T74" s="2">
        <f>IF(B74=0,0,VLOOKUP(B74,Datensammler!B:U,20,0))</f>
        <v>0</v>
      </c>
      <c r="U74" s="50">
        <f t="shared" ref="U74:AL74" si="77">C74</f>
        <v>0</v>
      </c>
      <c r="V74" s="50">
        <f t="shared" si="77"/>
        <v>0</v>
      </c>
      <c r="W74" s="50">
        <f t="shared" si="77"/>
        <v>0</v>
      </c>
      <c r="X74" s="50">
        <f t="shared" si="77"/>
        <v>0</v>
      </c>
      <c r="Y74" s="50">
        <f t="shared" si="77"/>
        <v>0</v>
      </c>
      <c r="Z74" s="50">
        <f t="shared" si="77"/>
        <v>0</v>
      </c>
      <c r="AA74" s="50">
        <f t="shared" si="77"/>
        <v>0</v>
      </c>
      <c r="AB74" s="50">
        <f t="shared" si="77"/>
        <v>0</v>
      </c>
      <c r="AC74" s="50">
        <f t="shared" si="77"/>
        <v>0</v>
      </c>
      <c r="AD74" s="50">
        <f t="shared" si="77"/>
        <v>0</v>
      </c>
      <c r="AE74" s="50">
        <f t="shared" si="77"/>
        <v>0</v>
      </c>
      <c r="AF74" s="50">
        <f t="shared" si="77"/>
        <v>0</v>
      </c>
      <c r="AG74" s="50">
        <f t="shared" si="77"/>
        <v>0</v>
      </c>
      <c r="AH74" s="50">
        <f t="shared" si="77"/>
        <v>0</v>
      </c>
      <c r="AI74" s="50">
        <f t="shared" si="77"/>
        <v>0</v>
      </c>
      <c r="AJ74" s="50">
        <f t="shared" si="77"/>
        <v>0</v>
      </c>
      <c r="AK74" s="50">
        <f t="shared" si="77"/>
        <v>0</v>
      </c>
      <c r="AL74" s="50">
        <f t="shared" si="77"/>
        <v>0</v>
      </c>
      <c r="AP74" s="2">
        <f t="shared" si="3"/>
        <v>0</v>
      </c>
      <c r="AQ74" s="2">
        <f>IFERROR(__xludf.DUMMYFUNCTION("IF(V74&gt;0,MIN(FILTER(U74:AL74, U74:AL74&lt;&gt;0)),0)"),0.0)</f>
        <v>0</v>
      </c>
      <c r="AS74" s="2">
        <f t="shared" si="4"/>
        <v>0</v>
      </c>
      <c r="AU74" s="2">
        <f t="shared" si="5"/>
        <v>0</v>
      </c>
      <c r="AW74" s="2">
        <f t="shared" si="6"/>
        <v>0</v>
      </c>
      <c r="AX74" s="2">
        <f>IFERROR(__xludf.DUMMYFUNCTION("IF(X74&gt;0,SMALL(FILTER(U74:AL74, U74:AL74&lt;&gt;0), 2),0)"),0.0)</f>
        <v>0</v>
      </c>
      <c r="AY74" s="2">
        <f t="shared" si="7"/>
        <v>0</v>
      </c>
      <c r="AZ74" s="2">
        <f t="shared" si="8"/>
        <v>0</v>
      </c>
      <c r="BA74" s="2">
        <f>IFERROR(__xludf.DUMMYFUNCTION("IF(Y74&gt;0,SMALL(FILTER(U74:AL74, U74:AL74&lt;&gt;0), 3),0)"),0.0)</f>
        <v>0</v>
      </c>
      <c r="BB74" s="2">
        <f t="shared" si="9"/>
        <v>0</v>
      </c>
    </row>
    <row r="75">
      <c r="A75" s="2">
        <f>Spieler!A76</f>
        <v>71</v>
      </c>
      <c r="B75" s="2" t="str">
        <f>VLOOKUP(A75,Spieler!A:F,2,0)</f>
        <v/>
      </c>
      <c r="C75" s="2">
        <f>IF(B75=0,0,VLOOKUP(B75,Datensammler!B:U,3,0))</f>
        <v>0</v>
      </c>
      <c r="D75" s="2">
        <f>IF(B75=0,0,VLOOKUP(B75,Datensammler!B:U,4,0))</f>
        <v>0</v>
      </c>
      <c r="E75" s="2">
        <f>IF(B75=0,0,VLOOKUP(B75,Datensammler!B:U,5,0))</f>
        <v>0</v>
      </c>
      <c r="F75" s="2">
        <f>IF(B75=0,0,VLOOKUP(B75,Datensammler!B:U,6,0))</f>
        <v>0</v>
      </c>
      <c r="G75" s="2">
        <f>IF(B75=0,0,VLOOKUP(B75,Datensammler!B:U,7,0))</f>
        <v>0</v>
      </c>
      <c r="H75" s="2">
        <f>IF(B75=0,0,VLOOKUP(B75,Datensammler!B:U,8,0))</f>
        <v>0</v>
      </c>
      <c r="I75" s="2">
        <f>IF(B75=0,0,VLOOKUP(B75,Datensammler!B:U,9,0))</f>
        <v>0</v>
      </c>
      <c r="J75" s="2">
        <f>IF(B75=0,0,VLOOKUP(B75,Datensammler!B:U,10,0))</f>
        <v>0</v>
      </c>
      <c r="K75" s="2">
        <f>IF(B75=0,0,VLOOKUP(B75,Datensammler!B:U,11,0))</f>
        <v>0</v>
      </c>
      <c r="L75" s="2">
        <f>IF(B75=0,0,VLOOKUP(B75,Datensammler!B:U,12,0))</f>
        <v>0</v>
      </c>
      <c r="M75" s="2">
        <f>IF(B75=0,0,VLOOKUP(B75,Datensammler!B:U,13,0))</f>
        <v>0</v>
      </c>
      <c r="N75" s="2">
        <f>IF(B75=0,0,VLOOKUP(B75,Datensammler!B:U,14,0))</f>
        <v>0</v>
      </c>
      <c r="O75" s="2">
        <f>IF(B75=0,0,VLOOKUP(B75,Datensammler!B:U,15,0))</f>
        <v>0</v>
      </c>
      <c r="P75" s="2">
        <f>IF(B75=0,0,VLOOKUP(B75,Datensammler!B:U,16,0))</f>
        <v>0</v>
      </c>
      <c r="Q75" s="2">
        <f>IF(B75=0,0,VLOOKUP(B75,Datensammler!B:U,17,0))</f>
        <v>0</v>
      </c>
      <c r="R75" s="2">
        <f>IF(B75=0,0,VLOOKUP(B75,Datensammler!B:U,18,0))</f>
        <v>0</v>
      </c>
      <c r="S75" s="2">
        <f>IF(B75=0,0,VLOOKUP(B75,Datensammler!B:U,19,0))</f>
        <v>0</v>
      </c>
      <c r="T75" s="2">
        <f>IF(B75=0,0,VLOOKUP(B75,Datensammler!B:U,20,0))</f>
        <v>0</v>
      </c>
      <c r="U75" s="50">
        <f t="shared" ref="U75:AL75" si="78">C75</f>
        <v>0</v>
      </c>
      <c r="V75" s="50">
        <f t="shared" si="78"/>
        <v>0</v>
      </c>
      <c r="W75" s="50">
        <f t="shared" si="78"/>
        <v>0</v>
      </c>
      <c r="X75" s="50">
        <f t="shared" si="78"/>
        <v>0</v>
      </c>
      <c r="Y75" s="50">
        <f t="shared" si="78"/>
        <v>0</v>
      </c>
      <c r="Z75" s="50">
        <f t="shared" si="78"/>
        <v>0</v>
      </c>
      <c r="AA75" s="50">
        <f t="shared" si="78"/>
        <v>0</v>
      </c>
      <c r="AB75" s="50">
        <f t="shared" si="78"/>
        <v>0</v>
      </c>
      <c r="AC75" s="50">
        <f t="shared" si="78"/>
        <v>0</v>
      </c>
      <c r="AD75" s="50">
        <f t="shared" si="78"/>
        <v>0</v>
      </c>
      <c r="AE75" s="50">
        <f t="shared" si="78"/>
        <v>0</v>
      </c>
      <c r="AF75" s="50">
        <f t="shared" si="78"/>
        <v>0</v>
      </c>
      <c r="AG75" s="50">
        <f t="shared" si="78"/>
        <v>0</v>
      </c>
      <c r="AH75" s="50">
        <f t="shared" si="78"/>
        <v>0</v>
      </c>
      <c r="AI75" s="50">
        <f t="shared" si="78"/>
        <v>0</v>
      </c>
      <c r="AJ75" s="50">
        <f t="shared" si="78"/>
        <v>0</v>
      </c>
      <c r="AK75" s="50">
        <f t="shared" si="78"/>
        <v>0</v>
      </c>
      <c r="AL75" s="50">
        <f t="shared" si="78"/>
        <v>0</v>
      </c>
      <c r="AP75" s="2">
        <f t="shared" si="3"/>
        <v>0</v>
      </c>
      <c r="AQ75" s="2">
        <f>IFERROR(__xludf.DUMMYFUNCTION("IF(V75&gt;0,MIN(FILTER(U75:AL75, U75:AL75&lt;&gt;0)),0)"),0.0)</f>
        <v>0</v>
      </c>
      <c r="AS75" s="2">
        <f t="shared" si="4"/>
        <v>0</v>
      </c>
      <c r="AU75" s="2">
        <f t="shared" si="5"/>
        <v>0</v>
      </c>
      <c r="AW75" s="2">
        <f t="shared" si="6"/>
        <v>0</v>
      </c>
      <c r="AX75" s="2">
        <f>IFERROR(__xludf.DUMMYFUNCTION("IF(X75&gt;0,SMALL(FILTER(U75:AL75, U75:AL75&lt;&gt;0), 2),0)"),0.0)</f>
        <v>0</v>
      </c>
      <c r="AY75" s="2">
        <f t="shared" si="7"/>
        <v>0</v>
      </c>
      <c r="AZ75" s="2">
        <f t="shared" si="8"/>
        <v>0</v>
      </c>
      <c r="BA75" s="2">
        <f>IFERROR(__xludf.DUMMYFUNCTION("IF(Y75&gt;0,SMALL(FILTER(U75:AL75, U75:AL75&lt;&gt;0), 3),0)"),0.0)</f>
        <v>0</v>
      </c>
      <c r="BB75" s="2">
        <f t="shared" si="9"/>
        <v>0</v>
      </c>
    </row>
    <row r="76">
      <c r="A76" s="2">
        <f>Spieler!A77</f>
        <v>72</v>
      </c>
      <c r="B76" s="2" t="str">
        <f>VLOOKUP(A76,Spieler!A:F,2,0)</f>
        <v/>
      </c>
      <c r="C76" s="2">
        <f>IF(B76=0,0,VLOOKUP(B76,Datensammler!B:U,3,0))</f>
        <v>0</v>
      </c>
      <c r="D76" s="2">
        <f>IF(B76=0,0,VLOOKUP(B76,Datensammler!B:U,4,0))</f>
        <v>0</v>
      </c>
      <c r="E76" s="2">
        <f>IF(B76=0,0,VLOOKUP(B76,Datensammler!B:U,5,0))</f>
        <v>0</v>
      </c>
      <c r="F76" s="2">
        <f>IF(B76=0,0,VLOOKUP(B76,Datensammler!B:U,6,0))</f>
        <v>0</v>
      </c>
      <c r="G76" s="2">
        <f>IF(B76=0,0,VLOOKUP(B76,Datensammler!B:U,7,0))</f>
        <v>0</v>
      </c>
      <c r="H76" s="2">
        <f>IF(B76=0,0,VLOOKUP(B76,Datensammler!B:U,8,0))</f>
        <v>0</v>
      </c>
      <c r="I76" s="2">
        <f>IF(B76=0,0,VLOOKUP(B76,Datensammler!B:U,9,0))</f>
        <v>0</v>
      </c>
      <c r="J76" s="2">
        <f>IF(B76=0,0,VLOOKUP(B76,Datensammler!B:U,10,0))</f>
        <v>0</v>
      </c>
      <c r="K76" s="2">
        <f>IF(B76=0,0,VLOOKUP(B76,Datensammler!B:U,11,0))</f>
        <v>0</v>
      </c>
      <c r="L76" s="2">
        <f>IF(B76=0,0,VLOOKUP(B76,Datensammler!B:U,12,0))</f>
        <v>0</v>
      </c>
      <c r="M76" s="2">
        <f>IF(B76=0,0,VLOOKUP(B76,Datensammler!B:U,13,0))</f>
        <v>0</v>
      </c>
      <c r="N76" s="2">
        <f>IF(B76=0,0,VLOOKUP(B76,Datensammler!B:U,14,0))</f>
        <v>0</v>
      </c>
      <c r="O76" s="2">
        <f>IF(B76=0,0,VLOOKUP(B76,Datensammler!B:U,15,0))</f>
        <v>0</v>
      </c>
      <c r="P76" s="2">
        <f>IF(B76=0,0,VLOOKUP(B76,Datensammler!B:U,16,0))</f>
        <v>0</v>
      </c>
      <c r="Q76" s="2">
        <f>IF(B76=0,0,VLOOKUP(B76,Datensammler!B:U,17,0))</f>
        <v>0</v>
      </c>
      <c r="R76" s="2">
        <f>IF(B76=0,0,VLOOKUP(B76,Datensammler!B:U,18,0))</f>
        <v>0</v>
      </c>
      <c r="S76" s="2">
        <f>IF(B76=0,0,VLOOKUP(B76,Datensammler!B:U,19,0))</f>
        <v>0</v>
      </c>
      <c r="T76" s="2">
        <f>IF(B76=0,0,VLOOKUP(B76,Datensammler!B:U,20,0))</f>
        <v>0</v>
      </c>
      <c r="U76" s="50">
        <f t="shared" ref="U76:AL76" si="79">C76</f>
        <v>0</v>
      </c>
      <c r="V76" s="50">
        <f t="shared" si="79"/>
        <v>0</v>
      </c>
      <c r="W76" s="50">
        <f t="shared" si="79"/>
        <v>0</v>
      </c>
      <c r="X76" s="50">
        <f t="shared" si="79"/>
        <v>0</v>
      </c>
      <c r="Y76" s="50">
        <f t="shared" si="79"/>
        <v>0</v>
      </c>
      <c r="Z76" s="50">
        <f t="shared" si="79"/>
        <v>0</v>
      </c>
      <c r="AA76" s="50">
        <f t="shared" si="79"/>
        <v>0</v>
      </c>
      <c r="AB76" s="50">
        <f t="shared" si="79"/>
        <v>0</v>
      </c>
      <c r="AC76" s="50">
        <f t="shared" si="79"/>
        <v>0</v>
      </c>
      <c r="AD76" s="50">
        <f t="shared" si="79"/>
        <v>0</v>
      </c>
      <c r="AE76" s="50">
        <f t="shared" si="79"/>
        <v>0</v>
      </c>
      <c r="AF76" s="50">
        <f t="shared" si="79"/>
        <v>0</v>
      </c>
      <c r="AG76" s="50">
        <f t="shared" si="79"/>
        <v>0</v>
      </c>
      <c r="AH76" s="50">
        <f t="shared" si="79"/>
        <v>0</v>
      </c>
      <c r="AI76" s="50">
        <f t="shared" si="79"/>
        <v>0</v>
      </c>
      <c r="AJ76" s="50">
        <f t="shared" si="79"/>
        <v>0</v>
      </c>
      <c r="AK76" s="50">
        <f t="shared" si="79"/>
        <v>0</v>
      </c>
      <c r="AL76" s="50">
        <f t="shared" si="79"/>
        <v>0</v>
      </c>
      <c r="AP76" s="2">
        <f t="shared" si="3"/>
        <v>0</v>
      </c>
      <c r="AQ76" s="2">
        <f>IFERROR(__xludf.DUMMYFUNCTION("IF(V76&gt;0,MIN(FILTER(U76:AL76, U76:AL76&lt;&gt;0)),0)"),0.0)</f>
        <v>0</v>
      </c>
      <c r="AS76" s="2">
        <f t="shared" si="4"/>
        <v>0</v>
      </c>
      <c r="AU76" s="2">
        <f t="shared" si="5"/>
        <v>0</v>
      </c>
      <c r="AW76" s="2">
        <f t="shared" si="6"/>
        <v>0</v>
      </c>
      <c r="AX76" s="2">
        <f>IFERROR(__xludf.DUMMYFUNCTION("IF(X76&gt;0,SMALL(FILTER(U76:AL76, U76:AL76&lt;&gt;0), 2),0)"),0.0)</f>
        <v>0</v>
      </c>
      <c r="AY76" s="2">
        <f t="shared" si="7"/>
        <v>0</v>
      </c>
      <c r="AZ76" s="2">
        <f t="shared" si="8"/>
        <v>0</v>
      </c>
      <c r="BA76" s="2">
        <f>IFERROR(__xludf.DUMMYFUNCTION("IF(Y76&gt;0,SMALL(FILTER(U76:AL76, U76:AL76&lt;&gt;0), 3),0)"),0.0)</f>
        <v>0</v>
      </c>
      <c r="BB76" s="2">
        <f t="shared" si="9"/>
        <v>0</v>
      </c>
    </row>
    <row r="77">
      <c r="A77" s="2">
        <f>Spieler!A78</f>
        <v>73</v>
      </c>
      <c r="B77" s="2" t="str">
        <f>VLOOKUP(A77,Spieler!A:F,2,0)</f>
        <v/>
      </c>
      <c r="C77" s="2">
        <f>IF(B77=0,0,VLOOKUP(B77,Datensammler!B:U,3,0))</f>
        <v>0</v>
      </c>
      <c r="D77" s="2">
        <f>IF(B77=0,0,VLOOKUP(B77,Datensammler!B:U,4,0))</f>
        <v>0</v>
      </c>
      <c r="E77" s="2">
        <f>IF(B77=0,0,VLOOKUP(B77,Datensammler!B:U,5,0))</f>
        <v>0</v>
      </c>
      <c r="F77" s="2">
        <f>IF(B77=0,0,VLOOKUP(B77,Datensammler!B:U,6,0))</f>
        <v>0</v>
      </c>
      <c r="G77" s="2">
        <f>IF(B77=0,0,VLOOKUP(B77,Datensammler!B:U,7,0))</f>
        <v>0</v>
      </c>
      <c r="H77" s="2">
        <f>IF(B77=0,0,VLOOKUP(B77,Datensammler!B:U,8,0))</f>
        <v>0</v>
      </c>
      <c r="I77" s="2">
        <f>IF(B77=0,0,VLOOKUP(B77,Datensammler!B:U,9,0))</f>
        <v>0</v>
      </c>
      <c r="J77" s="2">
        <f>IF(B77=0,0,VLOOKUP(B77,Datensammler!B:U,10,0))</f>
        <v>0</v>
      </c>
      <c r="K77" s="2">
        <f>IF(B77=0,0,VLOOKUP(B77,Datensammler!B:U,11,0))</f>
        <v>0</v>
      </c>
      <c r="L77" s="2">
        <f>IF(B77=0,0,VLOOKUP(B77,Datensammler!B:U,12,0))</f>
        <v>0</v>
      </c>
      <c r="M77" s="2">
        <f>IF(B77=0,0,VLOOKUP(B77,Datensammler!B:U,13,0))</f>
        <v>0</v>
      </c>
      <c r="N77" s="2">
        <f>IF(B77=0,0,VLOOKUP(B77,Datensammler!B:U,14,0))</f>
        <v>0</v>
      </c>
      <c r="O77" s="2">
        <f>IF(B77=0,0,VLOOKUP(B77,Datensammler!B:U,15,0))</f>
        <v>0</v>
      </c>
      <c r="P77" s="2">
        <f>IF(B77=0,0,VLOOKUP(B77,Datensammler!B:U,16,0))</f>
        <v>0</v>
      </c>
      <c r="Q77" s="2">
        <f>IF(B77=0,0,VLOOKUP(B77,Datensammler!B:U,17,0))</f>
        <v>0</v>
      </c>
      <c r="R77" s="2">
        <f>IF(B77=0,0,VLOOKUP(B77,Datensammler!B:U,18,0))</f>
        <v>0</v>
      </c>
      <c r="S77" s="2">
        <f>IF(B77=0,0,VLOOKUP(B77,Datensammler!B:U,19,0))</f>
        <v>0</v>
      </c>
      <c r="T77" s="2">
        <f>IF(B77=0,0,VLOOKUP(B77,Datensammler!B:U,20,0))</f>
        <v>0</v>
      </c>
      <c r="U77" s="50">
        <f t="shared" ref="U77:AL77" si="80">C77</f>
        <v>0</v>
      </c>
      <c r="V77" s="50">
        <f t="shared" si="80"/>
        <v>0</v>
      </c>
      <c r="W77" s="50">
        <f t="shared" si="80"/>
        <v>0</v>
      </c>
      <c r="X77" s="50">
        <f t="shared" si="80"/>
        <v>0</v>
      </c>
      <c r="Y77" s="50">
        <f t="shared" si="80"/>
        <v>0</v>
      </c>
      <c r="Z77" s="50">
        <f t="shared" si="80"/>
        <v>0</v>
      </c>
      <c r="AA77" s="50">
        <f t="shared" si="80"/>
        <v>0</v>
      </c>
      <c r="AB77" s="50">
        <f t="shared" si="80"/>
        <v>0</v>
      </c>
      <c r="AC77" s="50">
        <f t="shared" si="80"/>
        <v>0</v>
      </c>
      <c r="AD77" s="50">
        <f t="shared" si="80"/>
        <v>0</v>
      </c>
      <c r="AE77" s="50">
        <f t="shared" si="80"/>
        <v>0</v>
      </c>
      <c r="AF77" s="50">
        <f t="shared" si="80"/>
        <v>0</v>
      </c>
      <c r="AG77" s="50">
        <f t="shared" si="80"/>
        <v>0</v>
      </c>
      <c r="AH77" s="50">
        <f t="shared" si="80"/>
        <v>0</v>
      </c>
      <c r="AI77" s="50">
        <f t="shared" si="80"/>
        <v>0</v>
      </c>
      <c r="AJ77" s="50">
        <f t="shared" si="80"/>
        <v>0</v>
      </c>
      <c r="AK77" s="50">
        <f t="shared" si="80"/>
        <v>0</v>
      </c>
      <c r="AL77" s="50">
        <f t="shared" si="80"/>
        <v>0</v>
      </c>
      <c r="AP77" s="2">
        <f t="shared" si="3"/>
        <v>0</v>
      </c>
      <c r="AQ77" s="2">
        <f>IFERROR(__xludf.DUMMYFUNCTION("IF(V77&gt;0,MIN(FILTER(U77:AL77, U77:AL77&lt;&gt;0)),0)"),0.0)</f>
        <v>0</v>
      </c>
      <c r="AS77" s="2">
        <f t="shared" si="4"/>
        <v>0</v>
      </c>
      <c r="AU77" s="2">
        <f t="shared" si="5"/>
        <v>0</v>
      </c>
      <c r="AW77" s="2">
        <f t="shared" si="6"/>
        <v>0</v>
      </c>
      <c r="AX77" s="2">
        <f>IFERROR(__xludf.DUMMYFUNCTION("IF(X77&gt;0,SMALL(FILTER(U77:AL77, U77:AL77&lt;&gt;0), 2),0)"),0.0)</f>
        <v>0</v>
      </c>
      <c r="AY77" s="2">
        <f t="shared" si="7"/>
        <v>0</v>
      </c>
      <c r="AZ77" s="2">
        <f t="shared" si="8"/>
        <v>0</v>
      </c>
      <c r="BA77" s="2">
        <f>IFERROR(__xludf.DUMMYFUNCTION("IF(Y77&gt;0,SMALL(FILTER(U77:AL77, U77:AL77&lt;&gt;0), 3),0)"),0.0)</f>
        <v>0</v>
      </c>
      <c r="BB77" s="2">
        <f t="shared" si="9"/>
        <v>0</v>
      </c>
    </row>
    <row r="78">
      <c r="A78" s="2">
        <f>Spieler!A79</f>
        <v>74</v>
      </c>
      <c r="B78" s="2" t="str">
        <f>VLOOKUP(A78,Spieler!A:F,2,0)</f>
        <v/>
      </c>
      <c r="C78" s="2">
        <f>IF(B78=0,0,VLOOKUP(B78,Datensammler!B:U,3,0))</f>
        <v>0</v>
      </c>
      <c r="D78" s="2">
        <f>IF(B78=0,0,VLOOKUP(B78,Datensammler!B:U,4,0))</f>
        <v>0</v>
      </c>
      <c r="E78" s="2">
        <f>IF(B78=0,0,VLOOKUP(B78,Datensammler!B:U,5,0))</f>
        <v>0</v>
      </c>
      <c r="F78" s="2">
        <f>IF(B78=0,0,VLOOKUP(B78,Datensammler!B:U,6,0))</f>
        <v>0</v>
      </c>
      <c r="G78" s="2">
        <f>IF(B78=0,0,VLOOKUP(B78,Datensammler!B:U,7,0))</f>
        <v>0</v>
      </c>
      <c r="H78" s="2">
        <f>IF(B78=0,0,VLOOKUP(B78,Datensammler!B:U,8,0))</f>
        <v>0</v>
      </c>
      <c r="I78" s="2">
        <f>IF(B78=0,0,VLOOKUP(B78,Datensammler!B:U,9,0))</f>
        <v>0</v>
      </c>
      <c r="J78" s="2">
        <f>IF(B78=0,0,VLOOKUP(B78,Datensammler!B:U,10,0))</f>
        <v>0</v>
      </c>
      <c r="K78" s="2">
        <f>IF(B78=0,0,VLOOKUP(B78,Datensammler!B:U,11,0))</f>
        <v>0</v>
      </c>
      <c r="L78" s="2">
        <f>IF(B78=0,0,VLOOKUP(B78,Datensammler!B:U,12,0))</f>
        <v>0</v>
      </c>
      <c r="M78" s="2">
        <f>IF(B78=0,0,VLOOKUP(B78,Datensammler!B:U,13,0))</f>
        <v>0</v>
      </c>
      <c r="N78" s="2">
        <f>IF(B78=0,0,VLOOKUP(B78,Datensammler!B:U,14,0))</f>
        <v>0</v>
      </c>
      <c r="O78" s="2">
        <f>IF(B78=0,0,VLOOKUP(B78,Datensammler!B:U,15,0))</f>
        <v>0</v>
      </c>
      <c r="P78" s="2">
        <f>IF(B78=0,0,VLOOKUP(B78,Datensammler!B:U,16,0))</f>
        <v>0</v>
      </c>
      <c r="Q78" s="2">
        <f>IF(B78=0,0,VLOOKUP(B78,Datensammler!B:U,17,0))</f>
        <v>0</v>
      </c>
      <c r="R78" s="2">
        <f>IF(B78=0,0,VLOOKUP(B78,Datensammler!B:U,18,0))</f>
        <v>0</v>
      </c>
      <c r="S78" s="2">
        <f>IF(B78=0,0,VLOOKUP(B78,Datensammler!B:U,19,0))</f>
        <v>0</v>
      </c>
      <c r="T78" s="2">
        <f>IF(B78=0,0,VLOOKUP(B78,Datensammler!B:U,20,0))</f>
        <v>0</v>
      </c>
      <c r="U78" s="50">
        <f t="shared" ref="U78:AL78" si="81">C78</f>
        <v>0</v>
      </c>
      <c r="V78" s="50">
        <f t="shared" si="81"/>
        <v>0</v>
      </c>
      <c r="W78" s="50">
        <f t="shared" si="81"/>
        <v>0</v>
      </c>
      <c r="X78" s="50">
        <f t="shared" si="81"/>
        <v>0</v>
      </c>
      <c r="Y78" s="50">
        <f t="shared" si="81"/>
        <v>0</v>
      </c>
      <c r="Z78" s="50">
        <f t="shared" si="81"/>
        <v>0</v>
      </c>
      <c r="AA78" s="50">
        <f t="shared" si="81"/>
        <v>0</v>
      </c>
      <c r="AB78" s="50">
        <f t="shared" si="81"/>
        <v>0</v>
      </c>
      <c r="AC78" s="50">
        <f t="shared" si="81"/>
        <v>0</v>
      </c>
      <c r="AD78" s="50">
        <f t="shared" si="81"/>
        <v>0</v>
      </c>
      <c r="AE78" s="50">
        <f t="shared" si="81"/>
        <v>0</v>
      </c>
      <c r="AF78" s="50">
        <f t="shared" si="81"/>
        <v>0</v>
      </c>
      <c r="AG78" s="50">
        <f t="shared" si="81"/>
        <v>0</v>
      </c>
      <c r="AH78" s="50">
        <f t="shared" si="81"/>
        <v>0</v>
      </c>
      <c r="AI78" s="50">
        <f t="shared" si="81"/>
        <v>0</v>
      </c>
      <c r="AJ78" s="50">
        <f t="shared" si="81"/>
        <v>0</v>
      </c>
      <c r="AK78" s="50">
        <f t="shared" si="81"/>
        <v>0</v>
      </c>
      <c r="AL78" s="50">
        <f t="shared" si="81"/>
        <v>0</v>
      </c>
      <c r="AP78" s="2">
        <f t="shared" si="3"/>
        <v>0</v>
      </c>
      <c r="AQ78" s="2">
        <f>IFERROR(__xludf.DUMMYFUNCTION("IF(V78&gt;0,MIN(FILTER(U78:AL78, U78:AL78&lt;&gt;0)),0)"),0.0)</f>
        <v>0</v>
      </c>
      <c r="AS78" s="2">
        <f t="shared" si="4"/>
        <v>0</v>
      </c>
      <c r="AU78" s="2">
        <f t="shared" si="5"/>
        <v>0</v>
      </c>
      <c r="AW78" s="2">
        <f t="shared" si="6"/>
        <v>0</v>
      </c>
      <c r="AX78" s="2">
        <f>IFERROR(__xludf.DUMMYFUNCTION("IF(X78&gt;0,SMALL(FILTER(U78:AL78, U78:AL78&lt;&gt;0), 2),0)"),0.0)</f>
        <v>0</v>
      </c>
      <c r="AY78" s="2">
        <f t="shared" si="7"/>
        <v>0</v>
      </c>
      <c r="AZ78" s="2">
        <f t="shared" si="8"/>
        <v>0</v>
      </c>
      <c r="BA78" s="2">
        <f>IFERROR(__xludf.DUMMYFUNCTION("IF(Y78&gt;0,SMALL(FILTER(U78:AL78, U78:AL78&lt;&gt;0), 3),0)"),0.0)</f>
        <v>0</v>
      </c>
      <c r="BB78" s="2">
        <f t="shared" si="9"/>
        <v>0</v>
      </c>
    </row>
    <row r="79">
      <c r="A79" s="2">
        <f>Spieler!A80</f>
        <v>75</v>
      </c>
      <c r="B79" s="2" t="str">
        <f>VLOOKUP(A79,Spieler!A:F,2,0)</f>
        <v/>
      </c>
      <c r="C79" s="2">
        <f>IF(B79=0,0,VLOOKUP(B79,Datensammler!B:U,3,0))</f>
        <v>0</v>
      </c>
      <c r="D79" s="2">
        <f>IF(B79=0,0,VLOOKUP(B79,Datensammler!B:U,4,0))</f>
        <v>0</v>
      </c>
      <c r="E79" s="2">
        <f>IF(B79=0,0,VLOOKUP(B79,Datensammler!B:U,5,0))</f>
        <v>0</v>
      </c>
      <c r="F79" s="2">
        <f>IF(B79=0,0,VLOOKUP(B79,Datensammler!B:U,6,0))</f>
        <v>0</v>
      </c>
      <c r="G79" s="2">
        <f>IF(B79=0,0,VLOOKUP(B79,Datensammler!B:U,7,0))</f>
        <v>0</v>
      </c>
      <c r="H79" s="2">
        <f>IF(B79=0,0,VLOOKUP(B79,Datensammler!B:U,8,0))</f>
        <v>0</v>
      </c>
      <c r="I79" s="2">
        <f>IF(B79=0,0,VLOOKUP(B79,Datensammler!B:U,9,0))</f>
        <v>0</v>
      </c>
      <c r="J79" s="2">
        <f>IF(B79=0,0,VLOOKUP(B79,Datensammler!B:U,10,0))</f>
        <v>0</v>
      </c>
      <c r="K79" s="2">
        <f>IF(B79=0,0,VLOOKUP(B79,Datensammler!B:U,11,0))</f>
        <v>0</v>
      </c>
      <c r="L79" s="2">
        <f>IF(B79=0,0,VLOOKUP(B79,Datensammler!B:U,12,0))</f>
        <v>0</v>
      </c>
      <c r="M79" s="2">
        <f>IF(B79=0,0,VLOOKUP(B79,Datensammler!B:U,13,0))</f>
        <v>0</v>
      </c>
      <c r="N79" s="2">
        <f>IF(B79=0,0,VLOOKUP(B79,Datensammler!B:U,14,0))</f>
        <v>0</v>
      </c>
      <c r="O79" s="2">
        <f>IF(B79=0,0,VLOOKUP(B79,Datensammler!B:U,15,0))</f>
        <v>0</v>
      </c>
      <c r="P79" s="2">
        <f>IF(B79=0,0,VLOOKUP(B79,Datensammler!B:U,16,0))</f>
        <v>0</v>
      </c>
      <c r="Q79" s="2">
        <f>IF(B79=0,0,VLOOKUP(B79,Datensammler!B:U,17,0))</f>
        <v>0</v>
      </c>
      <c r="R79" s="2">
        <f>IF(B79=0,0,VLOOKUP(B79,Datensammler!B:U,18,0))</f>
        <v>0</v>
      </c>
      <c r="S79" s="2">
        <f>IF(B79=0,0,VLOOKUP(B79,Datensammler!B:U,19,0))</f>
        <v>0</v>
      </c>
      <c r="T79" s="2">
        <f>IF(B79=0,0,VLOOKUP(B79,Datensammler!B:U,20,0))</f>
        <v>0</v>
      </c>
      <c r="U79" s="50">
        <f t="shared" ref="U79:AL79" si="82">C79</f>
        <v>0</v>
      </c>
      <c r="V79" s="50">
        <f t="shared" si="82"/>
        <v>0</v>
      </c>
      <c r="W79" s="50">
        <f t="shared" si="82"/>
        <v>0</v>
      </c>
      <c r="X79" s="50">
        <f t="shared" si="82"/>
        <v>0</v>
      </c>
      <c r="Y79" s="50">
        <f t="shared" si="82"/>
        <v>0</v>
      </c>
      <c r="Z79" s="50">
        <f t="shared" si="82"/>
        <v>0</v>
      </c>
      <c r="AA79" s="50">
        <f t="shared" si="82"/>
        <v>0</v>
      </c>
      <c r="AB79" s="50">
        <f t="shared" si="82"/>
        <v>0</v>
      </c>
      <c r="AC79" s="50">
        <f t="shared" si="82"/>
        <v>0</v>
      </c>
      <c r="AD79" s="50">
        <f t="shared" si="82"/>
        <v>0</v>
      </c>
      <c r="AE79" s="50">
        <f t="shared" si="82"/>
        <v>0</v>
      </c>
      <c r="AF79" s="50">
        <f t="shared" si="82"/>
        <v>0</v>
      </c>
      <c r="AG79" s="50">
        <f t="shared" si="82"/>
        <v>0</v>
      </c>
      <c r="AH79" s="50">
        <f t="shared" si="82"/>
        <v>0</v>
      </c>
      <c r="AI79" s="50">
        <f t="shared" si="82"/>
        <v>0</v>
      </c>
      <c r="AJ79" s="50">
        <f t="shared" si="82"/>
        <v>0</v>
      </c>
      <c r="AK79" s="50">
        <f t="shared" si="82"/>
        <v>0</v>
      </c>
      <c r="AL79" s="50">
        <f t="shared" si="82"/>
        <v>0</v>
      </c>
      <c r="AP79" s="2">
        <f t="shared" si="3"/>
        <v>0</v>
      </c>
      <c r="AQ79" s="2">
        <f>IFERROR(__xludf.DUMMYFUNCTION("IF(V79&gt;0,MIN(FILTER(U79:AL79, U79:AL79&lt;&gt;0)),0)"),0.0)</f>
        <v>0</v>
      </c>
      <c r="AS79" s="2">
        <f t="shared" si="4"/>
        <v>0</v>
      </c>
      <c r="AU79" s="2">
        <f t="shared" si="5"/>
        <v>0</v>
      </c>
      <c r="AW79" s="2">
        <f t="shared" si="6"/>
        <v>0</v>
      </c>
      <c r="AX79" s="2">
        <f>IFERROR(__xludf.DUMMYFUNCTION("IF(X79&gt;0,SMALL(FILTER(U79:AL79, U79:AL79&lt;&gt;0), 2),0)"),0.0)</f>
        <v>0</v>
      </c>
      <c r="AY79" s="2">
        <f t="shared" si="7"/>
        <v>0</v>
      </c>
      <c r="AZ79" s="2">
        <f t="shared" si="8"/>
        <v>0</v>
      </c>
      <c r="BA79" s="2">
        <f>IFERROR(__xludf.DUMMYFUNCTION("IF(Y79&gt;0,SMALL(FILTER(U79:AL79, U79:AL79&lt;&gt;0), 3),0)"),0.0)</f>
        <v>0</v>
      </c>
      <c r="BB79" s="2">
        <f t="shared" si="9"/>
        <v>0</v>
      </c>
    </row>
    <row r="80">
      <c r="A80" s="2">
        <f>Spieler!A81</f>
        <v>76</v>
      </c>
      <c r="B80" s="2" t="str">
        <f>VLOOKUP(A80,Spieler!A:F,2,0)</f>
        <v/>
      </c>
      <c r="C80" s="2">
        <f>IF(B80=0,0,VLOOKUP(B80,Datensammler!B:U,3,0))</f>
        <v>0</v>
      </c>
      <c r="D80" s="2">
        <f>IF(B80=0,0,VLOOKUP(B80,Datensammler!B:U,4,0))</f>
        <v>0</v>
      </c>
      <c r="E80" s="2">
        <f>IF(B80=0,0,VLOOKUP(B80,Datensammler!B:U,5,0))</f>
        <v>0</v>
      </c>
      <c r="F80" s="2">
        <f>IF(B80=0,0,VLOOKUP(B80,Datensammler!B:U,6,0))</f>
        <v>0</v>
      </c>
      <c r="G80" s="2">
        <f>IF(B80=0,0,VLOOKUP(B80,Datensammler!B:U,7,0))</f>
        <v>0</v>
      </c>
      <c r="H80" s="2">
        <f>IF(B80=0,0,VLOOKUP(B80,Datensammler!B:U,8,0))</f>
        <v>0</v>
      </c>
      <c r="I80" s="2">
        <f>IF(B80=0,0,VLOOKUP(B80,Datensammler!B:U,9,0))</f>
        <v>0</v>
      </c>
      <c r="J80" s="2">
        <f>IF(B80=0,0,VLOOKUP(B80,Datensammler!B:U,10,0))</f>
        <v>0</v>
      </c>
      <c r="K80" s="2">
        <f>IF(B80=0,0,VLOOKUP(B80,Datensammler!B:U,11,0))</f>
        <v>0</v>
      </c>
      <c r="L80" s="2">
        <f>IF(B80=0,0,VLOOKUP(B80,Datensammler!B:U,12,0))</f>
        <v>0</v>
      </c>
      <c r="M80" s="2">
        <f>IF(B80=0,0,VLOOKUP(B80,Datensammler!B:U,13,0))</f>
        <v>0</v>
      </c>
      <c r="N80" s="2">
        <f>IF(B80=0,0,VLOOKUP(B80,Datensammler!B:U,14,0))</f>
        <v>0</v>
      </c>
      <c r="O80" s="2">
        <f>IF(B80=0,0,VLOOKUP(B80,Datensammler!B:U,15,0))</f>
        <v>0</v>
      </c>
      <c r="P80" s="2">
        <f>IF(B80=0,0,VLOOKUP(B80,Datensammler!B:U,16,0))</f>
        <v>0</v>
      </c>
      <c r="Q80" s="2">
        <f>IF(B80=0,0,VLOOKUP(B80,Datensammler!B:U,17,0))</f>
        <v>0</v>
      </c>
      <c r="R80" s="2">
        <f>IF(B80=0,0,VLOOKUP(B80,Datensammler!B:U,18,0))</f>
        <v>0</v>
      </c>
      <c r="S80" s="2">
        <f>IF(B80=0,0,VLOOKUP(B80,Datensammler!B:U,19,0))</f>
        <v>0</v>
      </c>
      <c r="T80" s="2">
        <f>IF(B80=0,0,VLOOKUP(B80,Datensammler!B:U,20,0))</f>
        <v>0</v>
      </c>
      <c r="U80" s="50">
        <f t="shared" ref="U80:AL80" si="83">C80</f>
        <v>0</v>
      </c>
      <c r="V80" s="50">
        <f t="shared" si="83"/>
        <v>0</v>
      </c>
      <c r="W80" s="50">
        <f t="shared" si="83"/>
        <v>0</v>
      </c>
      <c r="X80" s="50">
        <f t="shared" si="83"/>
        <v>0</v>
      </c>
      <c r="Y80" s="50">
        <f t="shared" si="83"/>
        <v>0</v>
      </c>
      <c r="Z80" s="50">
        <f t="shared" si="83"/>
        <v>0</v>
      </c>
      <c r="AA80" s="50">
        <f t="shared" si="83"/>
        <v>0</v>
      </c>
      <c r="AB80" s="50">
        <f t="shared" si="83"/>
        <v>0</v>
      </c>
      <c r="AC80" s="50">
        <f t="shared" si="83"/>
        <v>0</v>
      </c>
      <c r="AD80" s="50">
        <f t="shared" si="83"/>
        <v>0</v>
      </c>
      <c r="AE80" s="50">
        <f t="shared" si="83"/>
        <v>0</v>
      </c>
      <c r="AF80" s="50">
        <f t="shared" si="83"/>
        <v>0</v>
      </c>
      <c r="AG80" s="50">
        <f t="shared" si="83"/>
        <v>0</v>
      </c>
      <c r="AH80" s="50">
        <f t="shared" si="83"/>
        <v>0</v>
      </c>
      <c r="AI80" s="50">
        <f t="shared" si="83"/>
        <v>0</v>
      </c>
      <c r="AJ80" s="50">
        <f t="shared" si="83"/>
        <v>0</v>
      </c>
      <c r="AK80" s="50">
        <f t="shared" si="83"/>
        <v>0</v>
      </c>
      <c r="AL80" s="50">
        <f t="shared" si="83"/>
        <v>0</v>
      </c>
      <c r="AP80" s="2">
        <f t="shared" si="3"/>
        <v>0</v>
      </c>
      <c r="AQ80" s="2">
        <f>IFERROR(__xludf.DUMMYFUNCTION("IF(V80&gt;0,MIN(FILTER(U80:AL80, U80:AL80&lt;&gt;0)),0)"),0.0)</f>
        <v>0</v>
      </c>
      <c r="AS80" s="2">
        <f t="shared" si="4"/>
        <v>0</v>
      </c>
      <c r="AU80" s="2">
        <f t="shared" si="5"/>
        <v>0</v>
      </c>
      <c r="AW80" s="2">
        <f t="shared" si="6"/>
        <v>0</v>
      </c>
      <c r="AX80" s="2">
        <f>IFERROR(__xludf.DUMMYFUNCTION("IF(X80&gt;0,SMALL(FILTER(U80:AL80, U80:AL80&lt;&gt;0), 2),0)"),0.0)</f>
        <v>0</v>
      </c>
      <c r="AY80" s="2">
        <f t="shared" si="7"/>
        <v>0</v>
      </c>
      <c r="AZ80" s="2">
        <f t="shared" si="8"/>
        <v>0</v>
      </c>
      <c r="BA80" s="2">
        <f>IFERROR(__xludf.DUMMYFUNCTION("IF(Y80&gt;0,SMALL(FILTER(U80:AL80, U80:AL80&lt;&gt;0), 3),0)"),0.0)</f>
        <v>0</v>
      </c>
      <c r="BB80" s="2">
        <f t="shared" si="9"/>
        <v>0</v>
      </c>
    </row>
    <row r="81">
      <c r="A81" s="2">
        <f>Spieler!A82</f>
        <v>77</v>
      </c>
      <c r="B81" s="2" t="str">
        <f>VLOOKUP(A81,Spieler!A:F,2,0)</f>
        <v/>
      </c>
      <c r="C81" s="2">
        <f>IF(B81=0,0,VLOOKUP(B81,Datensammler!B:U,3,0))</f>
        <v>0</v>
      </c>
      <c r="D81" s="2">
        <f>IF(B81=0,0,VLOOKUP(B81,Datensammler!B:U,4,0))</f>
        <v>0</v>
      </c>
      <c r="E81" s="2">
        <f>IF(B81=0,0,VLOOKUP(B81,Datensammler!B:U,5,0))</f>
        <v>0</v>
      </c>
      <c r="F81" s="2">
        <f>IF(B81=0,0,VLOOKUP(B81,Datensammler!B:U,6,0))</f>
        <v>0</v>
      </c>
      <c r="G81" s="2">
        <f>IF(B81=0,0,VLOOKUP(B81,Datensammler!B:U,7,0))</f>
        <v>0</v>
      </c>
      <c r="H81" s="2">
        <f>IF(B81=0,0,VLOOKUP(B81,Datensammler!B:U,8,0))</f>
        <v>0</v>
      </c>
      <c r="I81" s="2">
        <f>IF(B81=0,0,VLOOKUP(B81,Datensammler!B:U,9,0))</f>
        <v>0</v>
      </c>
      <c r="J81" s="2">
        <f>IF(B81=0,0,VLOOKUP(B81,Datensammler!B:U,10,0))</f>
        <v>0</v>
      </c>
      <c r="K81" s="2">
        <f>IF(B81=0,0,VLOOKUP(B81,Datensammler!B:U,11,0))</f>
        <v>0</v>
      </c>
      <c r="L81" s="2">
        <f>IF(B81=0,0,VLOOKUP(B81,Datensammler!B:U,12,0))</f>
        <v>0</v>
      </c>
      <c r="M81" s="2">
        <f>IF(B81=0,0,VLOOKUP(B81,Datensammler!B:U,13,0))</f>
        <v>0</v>
      </c>
      <c r="N81" s="2">
        <f>IF(B81=0,0,VLOOKUP(B81,Datensammler!B:U,14,0))</f>
        <v>0</v>
      </c>
      <c r="O81" s="2">
        <f>IF(B81=0,0,VLOOKUP(B81,Datensammler!B:U,15,0))</f>
        <v>0</v>
      </c>
      <c r="P81" s="2">
        <f>IF(B81=0,0,VLOOKUP(B81,Datensammler!B:U,16,0))</f>
        <v>0</v>
      </c>
      <c r="Q81" s="2">
        <f>IF(B81=0,0,VLOOKUP(B81,Datensammler!B:U,17,0))</f>
        <v>0</v>
      </c>
      <c r="R81" s="2">
        <f>IF(B81=0,0,VLOOKUP(B81,Datensammler!B:U,18,0))</f>
        <v>0</v>
      </c>
      <c r="S81" s="2">
        <f>IF(B81=0,0,VLOOKUP(B81,Datensammler!B:U,19,0))</f>
        <v>0</v>
      </c>
      <c r="T81" s="2">
        <f>IF(B81=0,0,VLOOKUP(B81,Datensammler!B:U,20,0))</f>
        <v>0</v>
      </c>
      <c r="U81" s="50">
        <f t="shared" ref="U81:AL81" si="84">C81</f>
        <v>0</v>
      </c>
      <c r="V81" s="50">
        <f t="shared" si="84"/>
        <v>0</v>
      </c>
      <c r="W81" s="50">
        <f t="shared" si="84"/>
        <v>0</v>
      </c>
      <c r="X81" s="50">
        <f t="shared" si="84"/>
        <v>0</v>
      </c>
      <c r="Y81" s="50">
        <f t="shared" si="84"/>
        <v>0</v>
      </c>
      <c r="Z81" s="50">
        <f t="shared" si="84"/>
        <v>0</v>
      </c>
      <c r="AA81" s="50">
        <f t="shared" si="84"/>
        <v>0</v>
      </c>
      <c r="AB81" s="50">
        <f t="shared" si="84"/>
        <v>0</v>
      </c>
      <c r="AC81" s="50">
        <f t="shared" si="84"/>
        <v>0</v>
      </c>
      <c r="AD81" s="50">
        <f t="shared" si="84"/>
        <v>0</v>
      </c>
      <c r="AE81" s="50">
        <f t="shared" si="84"/>
        <v>0</v>
      </c>
      <c r="AF81" s="50">
        <f t="shared" si="84"/>
        <v>0</v>
      </c>
      <c r="AG81" s="50">
        <f t="shared" si="84"/>
        <v>0</v>
      </c>
      <c r="AH81" s="50">
        <f t="shared" si="84"/>
        <v>0</v>
      </c>
      <c r="AI81" s="50">
        <f t="shared" si="84"/>
        <v>0</v>
      </c>
      <c r="AJ81" s="50">
        <f t="shared" si="84"/>
        <v>0</v>
      </c>
      <c r="AK81" s="50">
        <f t="shared" si="84"/>
        <v>0</v>
      </c>
      <c r="AL81" s="50">
        <f t="shared" si="84"/>
        <v>0</v>
      </c>
      <c r="AP81" s="2">
        <f t="shared" si="3"/>
        <v>0</v>
      </c>
      <c r="AQ81" s="2">
        <f>IFERROR(__xludf.DUMMYFUNCTION("IF(V81&gt;0,MIN(FILTER(U81:AL81, U81:AL81&lt;&gt;0)),0)"),0.0)</f>
        <v>0</v>
      </c>
      <c r="AS81" s="2">
        <f t="shared" si="4"/>
        <v>0</v>
      </c>
      <c r="AU81" s="2">
        <f t="shared" si="5"/>
        <v>0</v>
      </c>
      <c r="AW81" s="2">
        <f t="shared" si="6"/>
        <v>0</v>
      </c>
      <c r="AX81" s="2">
        <f>IFERROR(__xludf.DUMMYFUNCTION("IF(X81&gt;0,SMALL(FILTER(U81:AL81, U81:AL81&lt;&gt;0), 2),0)"),0.0)</f>
        <v>0</v>
      </c>
      <c r="AY81" s="2">
        <f t="shared" si="7"/>
        <v>0</v>
      </c>
      <c r="AZ81" s="2">
        <f t="shared" si="8"/>
        <v>0</v>
      </c>
      <c r="BA81" s="2">
        <f>IFERROR(__xludf.DUMMYFUNCTION("IF(Y81&gt;0,SMALL(FILTER(U81:AL81, U81:AL81&lt;&gt;0), 3),0)"),0.0)</f>
        <v>0</v>
      </c>
      <c r="BB81" s="2">
        <f t="shared" si="9"/>
        <v>0</v>
      </c>
    </row>
    <row r="82">
      <c r="A82" s="2">
        <f>Spieler!A83</f>
        <v>78</v>
      </c>
      <c r="B82" s="2" t="str">
        <f>VLOOKUP(A82,Spieler!A:F,2,0)</f>
        <v/>
      </c>
      <c r="C82" s="2">
        <f>IF(B82=0,0,VLOOKUP(B82,Datensammler!B:U,3,0))</f>
        <v>0</v>
      </c>
      <c r="D82" s="2">
        <f>IF(B82=0,0,VLOOKUP(B82,Datensammler!B:U,4,0))</f>
        <v>0</v>
      </c>
      <c r="E82" s="2">
        <f>IF(B82=0,0,VLOOKUP(B82,Datensammler!B:U,5,0))</f>
        <v>0</v>
      </c>
      <c r="F82" s="2">
        <f>IF(B82=0,0,VLOOKUP(B82,Datensammler!B:U,6,0))</f>
        <v>0</v>
      </c>
      <c r="G82" s="2">
        <f>IF(B82=0,0,VLOOKUP(B82,Datensammler!B:U,7,0))</f>
        <v>0</v>
      </c>
      <c r="H82" s="2">
        <f>IF(B82=0,0,VLOOKUP(B82,Datensammler!B:U,8,0))</f>
        <v>0</v>
      </c>
      <c r="I82" s="2">
        <f>IF(B82=0,0,VLOOKUP(B82,Datensammler!B:U,9,0))</f>
        <v>0</v>
      </c>
      <c r="J82" s="2">
        <f>IF(B82=0,0,VLOOKUP(B82,Datensammler!B:U,10,0))</f>
        <v>0</v>
      </c>
      <c r="K82" s="2">
        <f>IF(B82=0,0,VLOOKUP(B82,Datensammler!B:U,11,0))</f>
        <v>0</v>
      </c>
      <c r="L82" s="2">
        <f>IF(B82=0,0,VLOOKUP(B82,Datensammler!B:U,12,0))</f>
        <v>0</v>
      </c>
      <c r="M82" s="2">
        <f>IF(B82=0,0,VLOOKUP(B82,Datensammler!B:U,13,0))</f>
        <v>0</v>
      </c>
      <c r="N82" s="2">
        <f>IF(B82=0,0,VLOOKUP(B82,Datensammler!B:U,14,0))</f>
        <v>0</v>
      </c>
      <c r="O82" s="2">
        <f>IF(B82=0,0,VLOOKUP(B82,Datensammler!B:U,15,0))</f>
        <v>0</v>
      </c>
      <c r="P82" s="2">
        <f>IF(B82=0,0,VLOOKUP(B82,Datensammler!B:U,16,0))</f>
        <v>0</v>
      </c>
      <c r="Q82" s="2">
        <f>IF(B82=0,0,VLOOKUP(B82,Datensammler!B:U,17,0))</f>
        <v>0</v>
      </c>
      <c r="R82" s="2">
        <f>IF(B82=0,0,VLOOKUP(B82,Datensammler!B:U,18,0))</f>
        <v>0</v>
      </c>
      <c r="S82" s="2">
        <f>IF(B82=0,0,VLOOKUP(B82,Datensammler!B:U,19,0))</f>
        <v>0</v>
      </c>
      <c r="T82" s="2">
        <f>IF(B82=0,0,VLOOKUP(B82,Datensammler!B:U,20,0))</f>
        <v>0</v>
      </c>
      <c r="U82" s="50">
        <f t="shared" ref="U82:AL82" si="85">C82</f>
        <v>0</v>
      </c>
      <c r="V82" s="50">
        <f t="shared" si="85"/>
        <v>0</v>
      </c>
      <c r="W82" s="50">
        <f t="shared" si="85"/>
        <v>0</v>
      </c>
      <c r="X82" s="50">
        <f t="shared" si="85"/>
        <v>0</v>
      </c>
      <c r="Y82" s="50">
        <f t="shared" si="85"/>
        <v>0</v>
      </c>
      <c r="Z82" s="50">
        <f t="shared" si="85"/>
        <v>0</v>
      </c>
      <c r="AA82" s="50">
        <f t="shared" si="85"/>
        <v>0</v>
      </c>
      <c r="AB82" s="50">
        <f t="shared" si="85"/>
        <v>0</v>
      </c>
      <c r="AC82" s="50">
        <f t="shared" si="85"/>
        <v>0</v>
      </c>
      <c r="AD82" s="50">
        <f t="shared" si="85"/>
        <v>0</v>
      </c>
      <c r="AE82" s="50">
        <f t="shared" si="85"/>
        <v>0</v>
      </c>
      <c r="AF82" s="50">
        <f t="shared" si="85"/>
        <v>0</v>
      </c>
      <c r="AG82" s="50">
        <f t="shared" si="85"/>
        <v>0</v>
      </c>
      <c r="AH82" s="50">
        <f t="shared" si="85"/>
        <v>0</v>
      </c>
      <c r="AI82" s="50">
        <f t="shared" si="85"/>
        <v>0</v>
      </c>
      <c r="AJ82" s="50">
        <f t="shared" si="85"/>
        <v>0</v>
      </c>
      <c r="AK82" s="50">
        <f t="shared" si="85"/>
        <v>0</v>
      </c>
      <c r="AL82" s="50">
        <f t="shared" si="85"/>
        <v>0</v>
      </c>
      <c r="AP82" s="2">
        <f t="shared" si="3"/>
        <v>0</v>
      </c>
      <c r="AQ82" s="2">
        <f>IFERROR(__xludf.DUMMYFUNCTION("IF(V82&gt;0,MIN(FILTER(U82:AL82, U82:AL82&lt;&gt;0)),0)"),0.0)</f>
        <v>0</v>
      </c>
      <c r="AS82" s="2">
        <f t="shared" si="4"/>
        <v>0</v>
      </c>
      <c r="AU82" s="2">
        <f t="shared" si="5"/>
        <v>0</v>
      </c>
      <c r="AW82" s="2">
        <f t="shared" si="6"/>
        <v>0</v>
      </c>
      <c r="AX82" s="2">
        <f>IFERROR(__xludf.DUMMYFUNCTION("IF(X82&gt;0,SMALL(FILTER(U82:AL82, U82:AL82&lt;&gt;0), 2),0)"),0.0)</f>
        <v>0</v>
      </c>
      <c r="AY82" s="2">
        <f t="shared" si="7"/>
        <v>0</v>
      </c>
      <c r="AZ82" s="2">
        <f t="shared" si="8"/>
        <v>0</v>
      </c>
      <c r="BA82" s="2">
        <f>IFERROR(__xludf.DUMMYFUNCTION("IF(Y82&gt;0,SMALL(FILTER(U82:AL82, U82:AL82&lt;&gt;0), 3),0)"),0.0)</f>
        <v>0</v>
      </c>
      <c r="BB82" s="2">
        <f t="shared" si="9"/>
        <v>0</v>
      </c>
    </row>
    <row r="83">
      <c r="A83" s="2">
        <f>Spieler!A84</f>
        <v>79</v>
      </c>
      <c r="B83" s="2" t="str">
        <f>VLOOKUP(A83,Spieler!A:F,2,0)</f>
        <v/>
      </c>
      <c r="C83" s="2">
        <f>IF(B83=0,0,VLOOKUP(B83,Datensammler!B:U,3,0))</f>
        <v>0</v>
      </c>
      <c r="D83" s="2">
        <f>IF(B83=0,0,VLOOKUP(B83,Datensammler!B:U,4,0))</f>
        <v>0</v>
      </c>
      <c r="E83" s="2">
        <f>IF(B83=0,0,VLOOKUP(B83,Datensammler!B:U,5,0))</f>
        <v>0</v>
      </c>
      <c r="F83" s="2">
        <f>IF(B83=0,0,VLOOKUP(B83,Datensammler!B:U,6,0))</f>
        <v>0</v>
      </c>
      <c r="G83" s="2">
        <f>IF(B83=0,0,VLOOKUP(B83,Datensammler!B:U,7,0))</f>
        <v>0</v>
      </c>
      <c r="H83" s="2">
        <f>IF(B83=0,0,VLOOKUP(B83,Datensammler!B:U,8,0))</f>
        <v>0</v>
      </c>
      <c r="I83" s="2">
        <f>IF(B83=0,0,VLOOKUP(B83,Datensammler!B:U,9,0))</f>
        <v>0</v>
      </c>
      <c r="J83" s="2">
        <f>IF(B83=0,0,VLOOKUP(B83,Datensammler!B:U,10,0))</f>
        <v>0</v>
      </c>
      <c r="K83" s="2">
        <f>IF(B83=0,0,VLOOKUP(B83,Datensammler!B:U,11,0))</f>
        <v>0</v>
      </c>
      <c r="L83" s="2">
        <f>IF(B83=0,0,VLOOKUP(B83,Datensammler!B:U,12,0))</f>
        <v>0</v>
      </c>
      <c r="M83" s="2">
        <f>IF(B83=0,0,VLOOKUP(B83,Datensammler!B:U,13,0))</f>
        <v>0</v>
      </c>
      <c r="N83" s="2">
        <f>IF(B83=0,0,VLOOKUP(B83,Datensammler!B:U,14,0))</f>
        <v>0</v>
      </c>
      <c r="O83" s="2">
        <f>IF(B83=0,0,VLOOKUP(B83,Datensammler!B:U,15,0))</f>
        <v>0</v>
      </c>
      <c r="P83" s="2">
        <f>IF(B83=0,0,VLOOKUP(B83,Datensammler!B:U,16,0))</f>
        <v>0</v>
      </c>
      <c r="Q83" s="2">
        <f>IF(B83=0,0,VLOOKUP(B83,Datensammler!B:U,17,0))</f>
        <v>0</v>
      </c>
      <c r="R83" s="2">
        <f>IF(B83=0,0,VLOOKUP(B83,Datensammler!B:U,18,0))</f>
        <v>0</v>
      </c>
      <c r="S83" s="2">
        <f>IF(B83=0,0,VLOOKUP(B83,Datensammler!B:U,19,0))</f>
        <v>0</v>
      </c>
      <c r="T83" s="2">
        <f>IF(B83=0,0,VLOOKUP(B83,Datensammler!B:U,20,0))</f>
        <v>0</v>
      </c>
      <c r="U83" s="50">
        <f t="shared" ref="U83:AL83" si="86">C83</f>
        <v>0</v>
      </c>
      <c r="V83" s="50">
        <f t="shared" si="86"/>
        <v>0</v>
      </c>
      <c r="W83" s="50">
        <f t="shared" si="86"/>
        <v>0</v>
      </c>
      <c r="X83" s="50">
        <f t="shared" si="86"/>
        <v>0</v>
      </c>
      <c r="Y83" s="50">
        <f t="shared" si="86"/>
        <v>0</v>
      </c>
      <c r="Z83" s="50">
        <f t="shared" si="86"/>
        <v>0</v>
      </c>
      <c r="AA83" s="50">
        <f t="shared" si="86"/>
        <v>0</v>
      </c>
      <c r="AB83" s="50">
        <f t="shared" si="86"/>
        <v>0</v>
      </c>
      <c r="AC83" s="50">
        <f t="shared" si="86"/>
        <v>0</v>
      </c>
      <c r="AD83" s="50">
        <f t="shared" si="86"/>
        <v>0</v>
      </c>
      <c r="AE83" s="50">
        <f t="shared" si="86"/>
        <v>0</v>
      </c>
      <c r="AF83" s="50">
        <f t="shared" si="86"/>
        <v>0</v>
      </c>
      <c r="AG83" s="50">
        <f t="shared" si="86"/>
        <v>0</v>
      </c>
      <c r="AH83" s="50">
        <f t="shared" si="86"/>
        <v>0</v>
      </c>
      <c r="AI83" s="50">
        <f t="shared" si="86"/>
        <v>0</v>
      </c>
      <c r="AJ83" s="50">
        <f t="shared" si="86"/>
        <v>0</v>
      </c>
      <c r="AK83" s="50">
        <f t="shared" si="86"/>
        <v>0</v>
      </c>
      <c r="AL83" s="50">
        <f t="shared" si="86"/>
        <v>0</v>
      </c>
      <c r="AP83" s="2">
        <f t="shared" si="3"/>
        <v>0</v>
      </c>
      <c r="AQ83" s="2">
        <f>IFERROR(__xludf.DUMMYFUNCTION("IF(V83&gt;0,MIN(FILTER(U83:AL83, U83:AL83&lt;&gt;0)),0)"),0.0)</f>
        <v>0</v>
      </c>
      <c r="AS83" s="2">
        <f t="shared" si="4"/>
        <v>0</v>
      </c>
      <c r="AU83" s="2">
        <f t="shared" si="5"/>
        <v>0</v>
      </c>
      <c r="AW83" s="2">
        <f t="shared" si="6"/>
        <v>0</v>
      </c>
      <c r="AX83" s="2">
        <f>IFERROR(__xludf.DUMMYFUNCTION("IF(X83&gt;0,SMALL(FILTER(U83:AL83, U83:AL83&lt;&gt;0), 2),0)"),0.0)</f>
        <v>0</v>
      </c>
      <c r="AY83" s="2">
        <f t="shared" si="7"/>
        <v>0</v>
      </c>
      <c r="AZ83" s="2">
        <f t="shared" si="8"/>
        <v>0</v>
      </c>
      <c r="BA83" s="2">
        <f>IFERROR(__xludf.DUMMYFUNCTION("IF(Y83&gt;0,SMALL(FILTER(U83:AL83, U83:AL83&lt;&gt;0), 3),0)"),0.0)</f>
        <v>0</v>
      </c>
      <c r="BB83" s="2">
        <f t="shared" si="9"/>
        <v>0</v>
      </c>
    </row>
    <row r="84">
      <c r="A84" s="2">
        <f>Spieler!A85</f>
        <v>80</v>
      </c>
      <c r="B84" s="2" t="str">
        <f>VLOOKUP(A84,Spieler!A:F,2,0)</f>
        <v/>
      </c>
      <c r="C84" s="2">
        <f>IF(B84=0,0,VLOOKUP(B84,Datensammler!B:U,3,0))</f>
        <v>0</v>
      </c>
      <c r="D84" s="2">
        <f>IF(B84=0,0,VLOOKUP(B84,Datensammler!B:U,4,0))</f>
        <v>0</v>
      </c>
      <c r="E84" s="2">
        <f>IF(B84=0,0,VLOOKUP(B84,Datensammler!B:U,5,0))</f>
        <v>0</v>
      </c>
      <c r="F84" s="2">
        <f>IF(B84=0,0,VLOOKUP(B84,Datensammler!B:U,6,0))</f>
        <v>0</v>
      </c>
      <c r="G84" s="2">
        <f>IF(B84=0,0,VLOOKUP(B84,Datensammler!B:U,7,0))</f>
        <v>0</v>
      </c>
      <c r="H84" s="2">
        <f>IF(B84=0,0,VLOOKUP(B84,Datensammler!B:U,8,0))</f>
        <v>0</v>
      </c>
      <c r="I84" s="2">
        <f>IF(B84=0,0,VLOOKUP(B84,Datensammler!B:U,9,0))</f>
        <v>0</v>
      </c>
      <c r="J84" s="2">
        <f>IF(B84=0,0,VLOOKUP(B84,Datensammler!B:U,10,0))</f>
        <v>0</v>
      </c>
      <c r="K84" s="2">
        <f>IF(B84=0,0,VLOOKUP(B84,Datensammler!B:U,11,0))</f>
        <v>0</v>
      </c>
      <c r="L84" s="2">
        <f>IF(B84=0,0,VLOOKUP(B84,Datensammler!B:U,12,0))</f>
        <v>0</v>
      </c>
      <c r="M84" s="2">
        <f>IF(B84=0,0,VLOOKUP(B84,Datensammler!B:U,13,0))</f>
        <v>0</v>
      </c>
      <c r="N84" s="2">
        <f>IF(B84=0,0,VLOOKUP(B84,Datensammler!B:U,14,0))</f>
        <v>0</v>
      </c>
      <c r="O84" s="2">
        <f>IF(B84=0,0,VLOOKUP(B84,Datensammler!B:U,15,0))</f>
        <v>0</v>
      </c>
      <c r="P84" s="2">
        <f>IF(B84=0,0,VLOOKUP(B84,Datensammler!B:U,16,0))</f>
        <v>0</v>
      </c>
      <c r="Q84" s="2">
        <f>IF(B84=0,0,VLOOKUP(B84,Datensammler!B:U,17,0))</f>
        <v>0</v>
      </c>
      <c r="R84" s="2">
        <f>IF(B84=0,0,VLOOKUP(B84,Datensammler!B:U,18,0))</f>
        <v>0</v>
      </c>
      <c r="S84" s="2">
        <f>IF(B84=0,0,VLOOKUP(B84,Datensammler!B:U,19,0))</f>
        <v>0</v>
      </c>
      <c r="T84" s="2">
        <f>IF(B84=0,0,VLOOKUP(B84,Datensammler!B:U,20,0))</f>
        <v>0</v>
      </c>
      <c r="U84" s="50">
        <f t="shared" ref="U84:AL84" si="87">C84</f>
        <v>0</v>
      </c>
      <c r="V84" s="50">
        <f t="shared" si="87"/>
        <v>0</v>
      </c>
      <c r="W84" s="50">
        <f t="shared" si="87"/>
        <v>0</v>
      </c>
      <c r="X84" s="50">
        <f t="shared" si="87"/>
        <v>0</v>
      </c>
      <c r="Y84" s="50">
        <f t="shared" si="87"/>
        <v>0</v>
      </c>
      <c r="Z84" s="50">
        <f t="shared" si="87"/>
        <v>0</v>
      </c>
      <c r="AA84" s="50">
        <f t="shared" si="87"/>
        <v>0</v>
      </c>
      <c r="AB84" s="50">
        <f t="shared" si="87"/>
        <v>0</v>
      </c>
      <c r="AC84" s="50">
        <f t="shared" si="87"/>
        <v>0</v>
      </c>
      <c r="AD84" s="50">
        <f t="shared" si="87"/>
        <v>0</v>
      </c>
      <c r="AE84" s="50">
        <f t="shared" si="87"/>
        <v>0</v>
      </c>
      <c r="AF84" s="50">
        <f t="shared" si="87"/>
        <v>0</v>
      </c>
      <c r="AG84" s="50">
        <f t="shared" si="87"/>
        <v>0</v>
      </c>
      <c r="AH84" s="50">
        <f t="shared" si="87"/>
        <v>0</v>
      </c>
      <c r="AI84" s="50">
        <f t="shared" si="87"/>
        <v>0</v>
      </c>
      <c r="AJ84" s="50">
        <f t="shared" si="87"/>
        <v>0</v>
      </c>
      <c r="AK84" s="50">
        <f t="shared" si="87"/>
        <v>0</v>
      </c>
      <c r="AL84" s="50">
        <f t="shared" si="87"/>
        <v>0</v>
      </c>
      <c r="AP84" s="2">
        <f t="shared" si="3"/>
        <v>0</v>
      </c>
      <c r="AQ84" s="2">
        <f>IFERROR(__xludf.DUMMYFUNCTION("IF(V84&gt;0,MIN(FILTER(U84:AL84, U84:AL84&lt;&gt;0)),0)"),0.0)</f>
        <v>0</v>
      </c>
      <c r="AS84" s="2">
        <f t="shared" si="4"/>
        <v>0</v>
      </c>
      <c r="AU84" s="2">
        <f t="shared" si="5"/>
        <v>0</v>
      </c>
      <c r="AW84" s="2">
        <f t="shared" si="6"/>
        <v>0</v>
      </c>
      <c r="AX84" s="2">
        <f>IFERROR(__xludf.DUMMYFUNCTION("IF(X84&gt;0,SMALL(FILTER(U84:AL84, U84:AL84&lt;&gt;0), 2),0)"),0.0)</f>
        <v>0</v>
      </c>
      <c r="AY84" s="2">
        <f t="shared" si="7"/>
        <v>0</v>
      </c>
      <c r="AZ84" s="2">
        <f t="shared" si="8"/>
        <v>0</v>
      </c>
      <c r="BA84" s="2">
        <f>IFERROR(__xludf.DUMMYFUNCTION("IF(Y84&gt;0,SMALL(FILTER(U84:AL84, U84:AL84&lt;&gt;0), 3),0)"),0.0)</f>
        <v>0</v>
      </c>
      <c r="BB84" s="2">
        <f t="shared" si="9"/>
        <v>0</v>
      </c>
    </row>
    <row r="85">
      <c r="A85" s="2">
        <f>Spieler!A86</f>
        <v>81</v>
      </c>
      <c r="B85" s="2" t="str">
        <f>VLOOKUP(A85,Spieler!A:F,2,0)</f>
        <v/>
      </c>
      <c r="C85" s="2">
        <f>IF(B85=0,0,VLOOKUP(B85,Datensammler!B:U,3,0))</f>
        <v>0</v>
      </c>
      <c r="D85" s="2">
        <f>IF(B85=0,0,VLOOKUP(B85,Datensammler!B:U,4,0))</f>
        <v>0</v>
      </c>
      <c r="E85" s="2">
        <f>IF(B85=0,0,VLOOKUP(B85,Datensammler!B:U,5,0))</f>
        <v>0</v>
      </c>
      <c r="F85" s="2">
        <f>IF(B85=0,0,VLOOKUP(B85,Datensammler!B:U,6,0))</f>
        <v>0</v>
      </c>
      <c r="G85" s="2">
        <f>IF(B85=0,0,VLOOKUP(B85,Datensammler!B:U,7,0))</f>
        <v>0</v>
      </c>
      <c r="H85" s="2">
        <f>IF(B85=0,0,VLOOKUP(B85,Datensammler!B:U,8,0))</f>
        <v>0</v>
      </c>
      <c r="I85" s="2">
        <f>IF(B85=0,0,VLOOKUP(B85,Datensammler!B:U,9,0))</f>
        <v>0</v>
      </c>
      <c r="J85" s="2">
        <f>IF(B85=0,0,VLOOKUP(B85,Datensammler!B:U,10,0))</f>
        <v>0</v>
      </c>
      <c r="K85" s="2">
        <f>IF(B85=0,0,VLOOKUP(B85,Datensammler!B:U,11,0))</f>
        <v>0</v>
      </c>
      <c r="L85" s="2">
        <f>IF(B85=0,0,VLOOKUP(B85,Datensammler!B:U,12,0))</f>
        <v>0</v>
      </c>
      <c r="M85" s="2">
        <f>IF(B85=0,0,VLOOKUP(B85,Datensammler!B:U,13,0))</f>
        <v>0</v>
      </c>
      <c r="N85" s="2">
        <f>IF(B85=0,0,VLOOKUP(B85,Datensammler!B:U,14,0))</f>
        <v>0</v>
      </c>
      <c r="O85" s="2">
        <f>IF(B85=0,0,VLOOKUP(B85,Datensammler!B:U,15,0))</f>
        <v>0</v>
      </c>
      <c r="P85" s="2">
        <f>IF(B85=0,0,VLOOKUP(B85,Datensammler!B:U,16,0))</f>
        <v>0</v>
      </c>
      <c r="Q85" s="2">
        <f>IF(B85=0,0,VLOOKUP(B85,Datensammler!B:U,17,0))</f>
        <v>0</v>
      </c>
      <c r="R85" s="2">
        <f>IF(B85=0,0,VLOOKUP(B85,Datensammler!B:U,18,0))</f>
        <v>0</v>
      </c>
      <c r="S85" s="2">
        <f>IF(B85=0,0,VLOOKUP(B85,Datensammler!B:U,19,0))</f>
        <v>0</v>
      </c>
      <c r="T85" s="2">
        <f>IF(B85=0,0,VLOOKUP(B85,Datensammler!B:U,20,0))</f>
        <v>0</v>
      </c>
      <c r="U85" s="50">
        <f t="shared" ref="U85:AL85" si="88">C85</f>
        <v>0</v>
      </c>
      <c r="V85" s="50">
        <f t="shared" si="88"/>
        <v>0</v>
      </c>
      <c r="W85" s="50">
        <f t="shared" si="88"/>
        <v>0</v>
      </c>
      <c r="X85" s="50">
        <f t="shared" si="88"/>
        <v>0</v>
      </c>
      <c r="Y85" s="50">
        <f t="shared" si="88"/>
        <v>0</v>
      </c>
      <c r="Z85" s="50">
        <f t="shared" si="88"/>
        <v>0</v>
      </c>
      <c r="AA85" s="50">
        <f t="shared" si="88"/>
        <v>0</v>
      </c>
      <c r="AB85" s="50">
        <f t="shared" si="88"/>
        <v>0</v>
      </c>
      <c r="AC85" s="50">
        <f t="shared" si="88"/>
        <v>0</v>
      </c>
      <c r="AD85" s="50">
        <f t="shared" si="88"/>
        <v>0</v>
      </c>
      <c r="AE85" s="50">
        <f t="shared" si="88"/>
        <v>0</v>
      </c>
      <c r="AF85" s="50">
        <f t="shared" si="88"/>
        <v>0</v>
      </c>
      <c r="AG85" s="50">
        <f t="shared" si="88"/>
        <v>0</v>
      </c>
      <c r="AH85" s="50">
        <f t="shared" si="88"/>
        <v>0</v>
      </c>
      <c r="AI85" s="50">
        <f t="shared" si="88"/>
        <v>0</v>
      </c>
      <c r="AJ85" s="50">
        <f t="shared" si="88"/>
        <v>0</v>
      </c>
      <c r="AK85" s="50">
        <f t="shared" si="88"/>
        <v>0</v>
      </c>
      <c r="AL85" s="50">
        <f t="shared" si="88"/>
        <v>0</v>
      </c>
      <c r="AP85" s="2">
        <f t="shared" si="3"/>
        <v>0</v>
      </c>
      <c r="AQ85" s="2">
        <f>IFERROR(__xludf.DUMMYFUNCTION("IF(V85&gt;0,MIN(FILTER(U85:AL85, U85:AL85&lt;&gt;0)),0)"),0.0)</f>
        <v>0</v>
      </c>
      <c r="AS85" s="2">
        <f t="shared" si="4"/>
        <v>0</v>
      </c>
      <c r="AU85" s="2">
        <f t="shared" si="5"/>
        <v>0</v>
      </c>
      <c r="AW85" s="2">
        <f t="shared" si="6"/>
        <v>0</v>
      </c>
      <c r="AX85" s="2">
        <f>IFERROR(__xludf.DUMMYFUNCTION("IF(X85&gt;0,SMALL(FILTER(U85:AL85, U85:AL85&lt;&gt;0), 2),0)"),0.0)</f>
        <v>0</v>
      </c>
      <c r="AY85" s="2">
        <f t="shared" si="7"/>
        <v>0</v>
      </c>
      <c r="AZ85" s="2">
        <f t="shared" si="8"/>
        <v>0</v>
      </c>
      <c r="BA85" s="2">
        <f>IFERROR(__xludf.DUMMYFUNCTION("IF(Y85&gt;0,SMALL(FILTER(U85:AL85, U85:AL85&lt;&gt;0), 3),0)"),0.0)</f>
        <v>0</v>
      </c>
      <c r="BB85" s="2">
        <f t="shared" si="9"/>
        <v>0</v>
      </c>
    </row>
    <row r="86">
      <c r="A86" s="2">
        <f>Spieler!A87</f>
        <v>82</v>
      </c>
      <c r="B86" s="2" t="str">
        <f>VLOOKUP(A86,Spieler!A:F,2,0)</f>
        <v/>
      </c>
      <c r="C86" s="2">
        <f>IF(B86=0,0,VLOOKUP(B86,Datensammler!B:U,3,0))</f>
        <v>0</v>
      </c>
      <c r="D86" s="2">
        <f>IF(B86=0,0,VLOOKUP(B86,Datensammler!B:U,4,0))</f>
        <v>0</v>
      </c>
      <c r="E86" s="2">
        <f>IF(B86=0,0,VLOOKUP(B86,Datensammler!B:U,5,0))</f>
        <v>0</v>
      </c>
      <c r="F86" s="2">
        <f>IF(B86=0,0,VLOOKUP(B86,Datensammler!B:U,6,0))</f>
        <v>0</v>
      </c>
      <c r="G86" s="2">
        <f>IF(B86=0,0,VLOOKUP(B86,Datensammler!B:U,7,0))</f>
        <v>0</v>
      </c>
      <c r="H86" s="2">
        <f>IF(B86=0,0,VLOOKUP(B86,Datensammler!B:U,8,0))</f>
        <v>0</v>
      </c>
      <c r="I86" s="2">
        <f>IF(B86=0,0,VLOOKUP(B86,Datensammler!B:U,9,0))</f>
        <v>0</v>
      </c>
      <c r="J86" s="2">
        <f>IF(B86=0,0,VLOOKUP(B86,Datensammler!B:U,10,0))</f>
        <v>0</v>
      </c>
      <c r="K86" s="2">
        <f>IF(B86=0,0,VLOOKUP(B86,Datensammler!B:U,11,0))</f>
        <v>0</v>
      </c>
      <c r="L86" s="2">
        <f>IF(B86=0,0,VLOOKUP(B86,Datensammler!B:U,12,0))</f>
        <v>0</v>
      </c>
      <c r="M86" s="2">
        <f>IF(B86=0,0,VLOOKUP(B86,Datensammler!B:U,13,0))</f>
        <v>0</v>
      </c>
      <c r="N86" s="2">
        <f>IF(B86=0,0,VLOOKUP(B86,Datensammler!B:U,14,0))</f>
        <v>0</v>
      </c>
      <c r="O86" s="2">
        <f>IF(B86=0,0,VLOOKUP(B86,Datensammler!B:U,15,0))</f>
        <v>0</v>
      </c>
      <c r="P86" s="2">
        <f>IF(B86=0,0,VLOOKUP(B86,Datensammler!B:U,16,0))</f>
        <v>0</v>
      </c>
      <c r="Q86" s="2">
        <f>IF(B86=0,0,VLOOKUP(B86,Datensammler!B:U,17,0))</f>
        <v>0</v>
      </c>
      <c r="R86" s="2">
        <f>IF(B86=0,0,VLOOKUP(B86,Datensammler!B:U,18,0))</f>
        <v>0</v>
      </c>
      <c r="S86" s="2">
        <f>IF(B86=0,0,VLOOKUP(B86,Datensammler!B:U,19,0))</f>
        <v>0</v>
      </c>
      <c r="T86" s="2">
        <f>IF(B86=0,0,VLOOKUP(B86,Datensammler!B:U,20,0))</f>
        <v>0</v>
      </c>
      <c r="U86" s="50">
        <f t="shared" ref="U86:AL86" si="89">C86</f>
        <v>0</v>
      </c>
      <c r="V86" s="50">
        <f t="shared" si="89"/>
        <v>0</v>
      </c>
      <c r="W86" s="50">
        <f t="shared" si="89"/>
        <v>0</v>
      </c>
      <c r="X86" s="50">
        <f t="shared" si="89"/>
        <v>0</v>
      </c>
      <c r="Y86" s="50">
        <f t="shared" si="89"/>
        <v>0</v>
      </c>
      <c r="Z86" s="50">
        <f t="shared" si="89"/>
        <v>0</v>
      </c>
      <c r="AA86" s="50">
        <f t="shared" si="89"/>
        <v>0</v>
      </c>
      <c r="AB86" s="50">
        <f t="shared" si="89"/>
        <v>0</v>
      </c>
      <c r="AC86" s="50">
        <f t="shared" si="89"/>
        <v>0</v>
      </c>
      <c r="AD86" s="50">
        <f t="shared" si="89"/>
        <v>0</v>
      </c>
      <c r="AE86" s="50">
        <f t="shared" si="89"/>
        <v>0</v>
      </c>
      <c r="AF86" s="50">
        <f t="shared" si="89"/>
        <v>0</v>
      </c>
      <c r="AG86" s="50">
        <f t="shared" si="89"/>
        <v>0</v>
      </c>
      <c r="AH86" s="50">
        <f t="shared" si="89"/>
        <v>0</v>
      </c>
      <c r="AI86" s="50">
        <f t="shared" si="89"/>
        <v>0</v>
      </c>
      <c r="AJ86" s="50">
        <f t="shared" si="89"/>
        <v>0</v>
      </c>
      <c r="AK86" s="50">
        <f t="shared" si="89"/>
        <v>0</v>
      </c>
      <c r="AL86" s="50">
        <f t="shared" si="89"/>
        <v>0</v>
      </c>
      <c r="AP86" s="2">
        <f t="shared" si="3"/>
        <v>0</v>
      </c>
      <c r="AQ86" s="2">
        <f>IFERROR(__xludf.DUMMYFUNCTION("IF(V86&gt;0,MIN(FILTER(U86:AL86, U86:AL86&lt;&gt;0)),0)"),0.0)</f>
        <v>0</v>
      </c>
      <c r="AS86" s="2">
        <f t="shared" si="4"/>
        <v>0</v>
      </c>
      <c r="AU86" s="2">
        <f t="shared" si="5"/>
        <v>0</v>
      </c>
      <c r="AW86" s="2">
        <f t="shared" si="6"/>
        <v>0</v>
      </c>
      <c r="AX86" s="2">
        <f>IFERROR(__xludf.DUMMYFUNCTION("IF(X86&gt;0,SMALL(FILTER(U86:AL86, U86:AL86&lt;&gt;0), 2),0)"),0.0)</f>
        <v>0</v>
      </c>
      <c r="AY86" s="2">
        <f t="shared" si="7"/>
        <v>0</v>
      </c>
      <c r="AZ86" s="2">
        <f t="shared" si="8"/>
        <v>0</v>
      </c>
      <c r="BA86" s="2">
        <f>IFERROR(__xludf.DUMMYFUNCTION("IF(Y86&gt;0,SMALL(FILTER(U86:AL86, U86:AL86&lt;&gt;0), 3),0)"),0.0)</f>
        <v>0</v>
      </c>
      <c r="BB86" s="2">
        <f t="shared" si="9"/>
        <v>0</v>
      </c>
    </row>
    <row r="87">
      <c r="A87" s="2">
        <f>Spieler!A88</f>
        <v>83</v>
      </c>
      <c r="B87" s="2" t="str">
        <f>VLOOKUP(A87,Spieler!A:F,2,0)</f>
        <v/>
      </c>
      <c r="C87" s="2">
        <f>IF(B87=0,0,VLOOKUP(B87,Datensammler!B:U,3,0))</f>
        <v>0</v>
      </c>
      <c r="D87" s="2">
        <f>IF(B87=0,0,VLOOKUP(B87,Datensammler!B:U,4,0))</f>
        <v>0</v>
      </c>
      <c r="E87" s="2">
        <f>IF(B87=0,0,VLOOKUP(B87,Datensammler!B:U,5,0))</f>
        <v>0</v>
      </c>
      <c r="F87" s="2">
        <f>IF(B87=0,0,VLOOKUP(B87,Datensammler!B:U,6,0))</f>
        <v>0</v>
      </c>
      <c r="G87" s="2">
        <f>IF(B87=0,0,VLOOKUP(B87,Datensammler!B:U,7,0))</f>
        <v>0</v>
      </c>
      <c r="H87" s="2">
        <f>IF(B87=0,0,VLOOKUP(B87,Datensammler!B:U,8,0))</f>
        <v>0</v>
      </c>
      <c r="I87" s="2">
        <f>IF(B87=0,0,VLOOKUP(B87,Datensammler!B:U,9,0))</f>
        <v>0</v>
      </c>
      <c r="J87" s="2">
        <f>IF(B87=0,0,VLOOKUP(B87,Datensammler!B:U,10,0))</f>
        <v>0</v>
      </c>
      <c r="K87" s="2">
        <f>IF(B87=0,0,VLOOKUP(B87,Datensammler!B:U,11,0))</f>
        <v>0</v>
      </c>
      <c r="L87" s="2">
        <f>IF(B87=0,0,VLOOKUP(B87,Datensammler!B:U,12,0))</f>
        <v>0</v>
      </c>
      <c r="M87" s="2">
        <f>IF(B87=0,0,VLOOKUP(B87,Datensammler!B:U,13,0))</f>
        <v>0</v>
      </c>
      <c r="N87" s="2">
        <f>IF(B87=0,0,VLOOKUP(B87,Datensammler!B:U,14,0))</f>
        <v>0</v>
      </c>
      <c r="O87" s="2">
        <f>IF(B87=0,0,VLOOKUP(B87,Datensammler!B:U,15,0))</f>
        <v>0</v>
      </c>
      <c r="P87" s="2">
        <f>IF(B87=0,0,VLOOKUP(B87,Datensammler!B:U,16,0))</f>
        <v>0</v>
      </c>
      <c r="Q87" s="2">
        <f>IF(B87=0,0,VLOOKUP(B87,Datensammler!B:U,17,0))</f>
        <v>0</v>
      </c>
      <c r="R87" s="2">
        <f>IF(B87=0,0,VLOOKUP(B87,Datensammler!B:U,18,0))</f>
        <v>0</v>
      </c>
      <c r="S87" s="2">
        <f>IF(B87=0,0,VLOOKUP(B87,Datensammler!B:U,19,0))</f>
        <v>0</v>
      </c>
      <c r="T87" s="2">
        <f>IF(B87=0,0,VLOOKUP(B87,Datensammler!B:U,20,0))</f>
        <v>0</v>
      </c>
      <c r="U87" s="50">
        <f t="shared" ref="U87:AL87" si="90">C87</f>
        <v>0</v>
      </c>
      <c r="V87" s="50">
        <f t="shared" si="90"/>
        <v>0</v>
      </c>
      <c r="W87" s="50">
        <f t="shared" si="90"/>
        <v>0</v>
      </c>
      <c r="X87" s="50">
        <f t="shared" si="90"/>
        <v>0</v>
      </c>
      <c r="Y87" s="50">
        <f t="shared" si="90"/>
        <v>0</v>
      </c>
      <c r="Z87" s="50">
        <f t="shared" si="90"/>
        <v>0</v>
      </c>
      <c r="AA87" s="50">
        <f t="shared" si="90"/>
        <v>0</v>
      </c>
      <c r="AB87" s="50">
        <f t="shared" si="90"/>
        <v>0</v>
      </c>
      <c r="AC87" s="50">
        <f t="shared" si="90"/>
        <v>0</v>
      </c>
      <c r="AD87" s="50">
        <f t="shared" si="90"/>
        <v>0</v>
      </c>
      <c r="AE87" s="50">
        <f t="shared" si="90"/>
        <v>0</v>
      </c>
      <c r="AF87" s="50">
        <f t="shared" si="90"/>
        <v>0</v>
      </c>
      <c r="AG87" s="50">
        <f t="shared" si="90"/>
        <v>0</v>
      </c>
      <c r="AH87" s="50">
        <f t="shared" si="90"/>
        <v>0</v>
      </c>
      <c r="AI87" s="50">
        <f t="shared" si="90"/>
        <v>0</v>
      </c>
      <c r="AJ87" s="50">
        <f t="shared" si="90"/>
        <v>0</v>
      </c>
      <c r="AK87" s="50">
        <f t="shared" si="90"/>
        <v>0</v>
      </c>
      <c r="AL87" s="50">
        <f t="shared" si="90"/>
        <v>0</v>
      </c>
      <c r="AP87" s="2">
        <f t="shared" si="3"/>
        <v>0</v>
      </c>
      <c r="AQ87" s="2">
        <f>IFERROR(__xludf.DUMMYFUNCTION("IF(V87&gt;0,MIN(FILTER(U87:AL87, U87:AL87&lt;&gt;0)),0)"),0.0)</f>
        <v>0</v>
      </c>
      <c r="AS87" s="2">
        <f t="shared" si="4"/>
        <v>0</v>
      </c>
      <c r="AU87" s="2">
        <f t="shared" si="5"/>
        <v>0</v>
      </c>
      <c r="AW87" s="2">
        <f t="shared" si="6"/>
        <v>0</v>
      </c>
      <c r="AX87" s="2">
        <f>IFERROR(__xludf.DUMMYFUNCTION("IF(X87&gt;0,SMALL(FILTER(U87:AL87, U87:AL87&lt;&gt;0), 2),0)"),0.0)</f>
        <v>0</v>
      </c>
      <c r="AY87" s="2">
        <f t="shared" si="7"/>
        <v>0</v>
      </c>
      <c r="AZ87" s="2">
        <f t="shared" si="8"/>
        <v>0</v>
      </c>
      <c r="BA87" s="2">
        <f>IFERROR(__xludf.DUMMYFUNCTION("IF(Y87&gt;0,SMALL(FILTER(U87:AL87, U87:AL87&lt;&gt;0), 3),0)"),0.0)</f>
        <v>0</v>
      </c>
      <c r="BB87" s="2">
        <f t="shared" si="9"/>
        <v>0</v>
      </c>
    </row>
    <row r="88">
      <c r="A88" s="2">
        <f>Spieler!A89</f>
        <v>84</v>
      </c>
      <c r="B88" s="2" t="str">
        <f>VLOOKUP(A88,Spieler!A:F,2,0)</f>
        <v/>
      </c>
      <c r="C88" s="2">
        <f>IF(B88=0,0,VLOOKUP(B88,Datensammler!B:U,3,0))</f>
        <v>0</v>
      </c>
      <c r="D88" s="2">
        <f>IF(B88=0,0,VLOOKUP(B88,Datensammler!B:U,4,0))</f>
        <v>0</v>
      </c>
      <c r="E88" s="2">
        <f>IF(B88=0,0,VLOOKUP(B88,Datensammler!B:U,5,0))</f>
        <v>0</v>
      </c>
      <c r="F88" s="2">
        <f>IF(B88=0,0,VLOOKUP(B88,Datensammler!B:U,6,0))</f>
        <v>0</v>
      </c>
      <c r="G88" s="2">
        <f>IF(B88=0,0,VLOOKUP(B88,Datensammler!B:U,7,0))</f>
        <v>0</v>
      </c>
      <c r="H88" s="2">
        <f>IF(B88=0,0,VLOOKUP(B88,Datensammler!B:U,8,0))</f>
        <v>0</v>
      </c>
      <c r="I88" s="2">
        <f>IF(B88=0,0,VLOOKUP(B88,Datensammler!B:U,9,0))</f>
        <v>0</v>
      </c>
      <c r="J88" s="2">
        <f>IF(B88=0,0,VLOOKUP(B88,Datensammler!B:U,10,0))</f>
        <v>0</v>
      </c>
      <c r="K88" s="2">
        <f>IF(B88=0,0,VLOOKUP(B88,Datensammler!B:U,11,0))</f>
        <v>0</v>
      </c>
      <c r="L88" s="2">
        <f>IF(B88=0,0,VLOOKUP(B88,Datensammler!B:U,12,0))</f>
        <v>0</v>
      </c>
      <c r="M88" s="2">
        <f>IF(B88=0,0,VLOOKUP(B88,Datensammler!B:U,13,0))</f>
        <v>0</v>
      </c>
      <c r="N88" s="2">
        <f>IF(B88=0,0,VLOOKUP(B88,Datensammler!B:U,14,0))</f>
        <v>0</v>
      </c>
      <c r="O88" s="2">
        <f>IF(B88=0,0,VLOOKUP(B88,Datensammler!B:U,15,0))</f>
        <v>0</v>
      </c>
      <c r="P88" s="2">
        <f>IF(B88=0,0,VLOOKUP(B88,Datensammler!B:U,16,0))</f>
        <v>0</v>
      </c>
      <c r="Q88" s="2">
        <f>IF(B88=0,0,VLOOKUP(B88,Datensammler!B:U,17,0))</f>
        <v>0</v>
      </c>
      <c r="R88" s="2">
        <f>IF(B88=0,0,VLOOKUP(B88,Datensammler!B:U,18,0))</f>
        <v>0</v>
      </c>
      <c r="S88" s="2">
        <f>IF(B88=0,0,VLOOKUP(B88,Datensammler!B:U,19,0))</f>
        <v>0</v>
      </c>
      <c r="T88" s="2">
        <f>IF(B88=0,0,VLOOKUP(B88,Datensammler!B:U,20,0))</f>
        <v>0</v>
      </c>
      <c r="U88" s="50">
        <f t="shared" ref="U88:AL88" si="91">C88</f>
        <v>0</v>
      </c>
      <c r="V88" s="50">
        <f t="shared" si="91"/>
        <v>0</v>
      </c>
      <c r="W88" s="50">
        <f t="shared" si="91"/>
        <v>0</v>
      </c>
      <c r="X88" s="50">
        <f t="shared" si="91"/>
        <v>0</v>
      </c>
      <c r="Y88" s="50">
        <f t="shared" si="91"/>
        <v>0</v>
      </c>
      <c r="Z88" s="50">
        <f t="shared" si="91"/>
        <v>0</v>
      </c>
      <c r="AA88" s="50">
        <f t="shared" si="91"/>
        <v>0</v>
      </c>
      <c r="AB88" s="50">
        <f t="shared" si="91"/>
        <v>0</v>
      </c>
      <c r="AC88" s="50">
        <f t="shared" si="91"/>
        <v>0</v>
      </c>
      <c r="AD88" s="50">
        <f t="shared" si="91"/>
        <v>0</v>
      </c>
      <c r="AE88" s="50">
        <f t="shared" si="91"/>
        <v>0</v>
      </c>
      <c r="AF88" s="50">
        <f t="shared" si="91"/>
        <v>0</v>
      </c>
      <c r="AG88" s="50">
        <f t="shared" si="91"/>
        <v>0</v>
      </c>
      <c r="AH88" s="50">
        <f t="shared" si="91"/>
        <v>0</v>
      </c>
      <c r="AI88" s="50">
        <f t="shared" si="91"/>
        <v>0</v>
      </c>
      <c r="AJ88" s="50">
        <f t="shared" si="91"/>
        <v>0</v>
      </c>
      <c r="AK88" s="50">
        <f t="shared" si="91"/>
        <v>0</v>
      </c>
      <c r="AL88" s="50">
        <f t="shared" si="91"/>
        <v>0</v>
      </c>
      <c r="AP88" s="2">
        <f t="shared" si="3"/>
        <v>0</v>
      </c>
      <c r="AQ88" s="2">
        <f>IFERROR(__xludf.DUMMYFUNCTION("IF(V88&gt;0,MIN(FILTER(U88:AL88, U88:AL88&lt;&gt;0)),0)"),0.0)</f>
        <v>0</v>
      </c>
      <c r="AS88" s="2">
        <f t="shared" si="4"/>
        <v>0</v>
      </c>
      <c r="AU88" s="2">
        <f t="shared" si="5"/>
        <v>0</v>
      </c>
      <c r="AW88" s="2">
        <f t="shared" si="6"/>
        <v>0</v>
      </c>
      <c r="AX88" s="2">
        <f>IFERROR(__xludf.DUMMYFUNCTION("IF(X88&gt;0,SMALL(FILTER(U88:AL88, U88:AL88&lt;&gt;0), 2),0)"),0.0)</f>
        <v>0</v>
      </c>
      <c r="AY88" s="2">
        <f t="shared" si="7"/>
        <v>0</v>
      </c>
      <c r="AZ88" s="2">
        <f t="shared" si="8"/>
        <v>0</v>
      </c>
      <c r="BA88" s="2">
        <f>IFERROR(__xludf.DUMMYFUNCTION("IF(Y88&gt;0,SMALL(FILTER(U88:AL88, U88:AL88&lt;&gt;0), 3),0)"),0.0)</f>
        <v>0</v>
      </c>
      <c r="BB88" s="2">
        <f t="shared" si="9"/>
        <v>0</v>
      </c>
    </row>
    <row r="89">
      <c r="A89" s="2">
        <f>Spieler!A90</f>
        <v>85</v>
      </c>
      <c r="B89" s="2" t="str">
        <f>VLOOKUP(A89,Spieler!A:F,2,0)</f>
        <v/>
      </c>
      <c r="C89" s="2">
        <f>IF(B89=0,0,VLOOKUP(B89,Datensammler!B:U,3,0))</f>
        <v>0</v>
      </c>
      <c r="D89" s="2">
        <f>IF(B89=0,0,VLOOKUP(B89,Datensammler!B:U,4,0))</f>
        <v>0</v>
      </c>
      <c r="E89" s="2">
        <f>IF(B89=0,0,VLOOKUP(B89,Datensammler!B:U,5,0))</f>
        <v>0</v>
      </c>
      <c r="F89" s="2">
        <f>IF(B89=0,0,VLOOKUP(B89,Datensammler!B:U,6,0))</f>
        <v>0</v>
      </c>
      <c r="G89" s="2">
        <f>IF(B89=0,0,VLOOKUP(B89,Datensammler!B:U,7,0))</f>
        <v>0</v>
      </c>
      <c r="H89" s="2">
        <f>IF(B89=0,0,VLOOKUP(B89,Datensammler!B:U,8,0))</f>
        <v>0</v>
      </c>
      <c r="I89" s="2">
        <f>IF(B89=0,0,VLOOKUP(B89,Datensammler!B:U,9,0))</f>
        <v>0</v>
      </c>
      <c r="J89" s="2">
        <f>IF(B89=0,0,VLOOKUP(B89,Datensammler!B:U,10,0))</f>
        <v>0</v>
      </c>
      <c r="K89" s="2">
        <f>IF(B89=0,0,VLOOKUP(B89,Datensammler!B:U,11,0))</f>
        <v>0</v>
      </c>
      <c r="L89" s="2">
        <f>IF(B89=0,0,VLOOKUP(B89,Datensammler!B:U,12,0))</f>
        <v>0</v>
      </c>
      <c r="M89" s="2">
        <f>IF(B89=0,0,VLOOKUP(B89,Datensammler!B:U,13,0))</f>
        <v>0</v>
      </c>
      <c r="N89" s="2">
        <f>IF(B89=0,0,VLOOKUP(B89,Datensammler!B:U,14,0))</f>
        <v>0</v>
      </c>
      <c r="O89" s="2">
        <f>IF(B89=0,0,VLOOKUP(B89,Datensammler!B:U,15,0))</f>
        <v>0</v>
      </c>
      <c r="P89" s="2">
        <f>IF(B89=0,0,VLOOKUP(B89,Datensammler!B:U,16,0))</f>
        <v>0</v>
      </c>
      <c r="Q89" s="2">
        <f>IF(B89=0,0,VLOOKUP(B89,Datensammler!B:U,17,0))</f>
        <v>0</v>
      </c>
      <c r="R89" s="2">
        <f>IF(B89=0,0,VLOOKUP(B89,Datensammler!B:U,18,0))</f>
        <v>0</v>
      </c>
      <c r="S89" s="2">
        <f>IF(B89=0,0,VLOOKUP(B89,Datensammler!B:U,19,0))</f>
        <v>0</v>
      </c>
      <c r="T89" s="2">
        <f>IF(B89=0,0,VLOOKUP(B89,Datensammler!B:U,20,0))</f>
        <v>0</v>
      </c>
      <c r="U89" s="50">
        <f t="shared" ref="U89:AL89" si="92">C89</f>
        <v>0</v>
      </c>
      <c r="V89" s="50">
        <f t="shared" si="92"/>
        <v>0</v>
      </c>
      <c r="W89" s="50">
        <f t="shared" si="92"/>
        <v>0</v>
      </c>
      <c r="X89" s="50">
        <f t="shared" si="92"/>
        <v>0</v>
      </c>
      <c r="Y89" s="50">
        <f t="shared" si="92"/>
        <v>0</v>
      </c>
      <c r="Z89" s="50">
        <f t="shared" si="92"/>
        <v>0</v>
      </c>
      <c r="AA89" s="50">
        <f t="shared" si="92"/>
        <v>0</v>
      </c>
      <c r="AB89" s="50">
        <f t="shared" si="92"/>
        <v>0</v>
      </c>
      <c r="AC89" s="50">
        <f t="shared" si="92"/>
        <v>0</v>
      </c>
      <c r="AD89" s="50">
        <f t="shared" si="92"/>
        <v>0</v>
      </c>
      <c r="AE89" s="50">
        <f t="shared" si="92"/>
        <v>0</v>
      </c>
      <c r="AF89" s="50">
        <f t="shared" si="92"/>
        <v>0</v>
      </c>
      <c r="AG89" s="50">
        <f t="shared" si="92"/>
        <v>0</v>
      </c>
      <c r="AH89" s="50">
        <f t="shared" si="92"/>
        <v>0</v>
      </c>
      <c r="AI89" s="50">
        <f t="shared" si="92"/>
        <v>0</v>
      </c>
      <c r="AJ89" s="50">
        <f t="shared" si="92"/>
        <v>0</v>
      </c>
      <c r="AK89" s="50">
        <f t="shared" si="92"/>
        <v>0</v>
      </c>
      <c r="AL89" s="50">
        <f t="shared" si="92"/>
        <v>0</v>
      </c>
      <c r="AP89" s="2">
        <f t="shared" si="3"/>
        <v>0</v>
      </c>
      <c r="AQ89" s="2">
        <f>IFERROR(__xludf.DUMMYFUNCTION("IF(V89&gt;0,MIN(FILTER(U89:AL89, U89:AL89&lt;&gt;0)),0)"),0.0)</f>
        <v>0</v>
      </c>
      <c r="AS89" s="2">
        <f t="shared" si="4"/>
        <v>0</v>
      </c>
      <c r="AU89" s="2">
        <f t="shared" si="5"/>
        <v>0</v>
      </c>
      <c r="AW89" s="2">
        <f t="shared" si="6"/>
        <v>0</v>
      </c>
      <c r="AX89" s="2">
        <f>IFERROR(__xludf.DUMMYFUNCTION("IF(X89&gt;0,SMALL(FILTER(U89:AL89, U89:AL89&lt;&gt;0), 2),0)"),0.0)</f>
        <v>0</v>
      </c>
      <c r="AY89" s="2">
        <f t="shared" si="7"/>
        <v>0</v>
      </c>
      <c r="AZ89" s="2">
        <f t="shared" si="8"/>
        <v>0</v>
      </c>
      <c r="BA89" s="2">
        <f>IFERROR(__xludf.DUMMYFUNCTION("IF(Y89&gt;0,SMALL(FILTER(U89:AL89, U89:AL89&lt;&gt;0), 3),0)"),0.0)</f>
        <v>0</v>
      </c>
      <c r="BB89" s="2">
        <f t="shared" si="9"/>
        <v>0</v>
      </c>
    </row>
    <row r="90">
      <c r="A90" s="2">
        <f>Spieler!A91</f>
        <v>86</v>
      </c>
      <c r="B90" s="2" t="str">
        <f>VLOOKUP(A90,Spieler!A:F,2,0)</f>
        <v/>
      </c>
      <c r="C90" s="2">
        <f>IF(B90=0,0,VLOOKUP(B90,Datensammler!B:U,3,0))</f>
        <v>0</v>
      </c>
      <c r="D90" s="2">
        <f>IF(B90=0,0,VLOOKUP(B90,Datensammler!B:U,4,0))</f>
        <v>0</v>
      </c>
      <c r="E90" s="2">
        <f>IF(B90=0,0,VLOOKUP(B90,Datensammler!B:U,5,0))</f>
        <v>0</v>
      </c>
      <c r="F90" s="2">
        <f>IF(B90=0,0,VLOOKUP(B90,Datensammler!B:U,6,0))</f>
        <v>0</v>
      </c>
      <c r="G90" s="2">
        <f>IF(B90=0,0,VLOOKUP(B90,Datensammler!B:U,7,0))</f>
        <v>0</v>
      </c>
      <c r="H90" s="2">
        <f>IF(B90=0,0,VLOOKUP(B90,Datensammler!B:U,8,0))</f>
        <v>0</v>
      </c>
      <c r="I90" s="2">
        <f>IF(B90=0,0,VLOOKUP(B90,Datensammler!B:U,9,0))</f>
        <v>0</v>
      </c>
      <c r="J90" s="2">
        <f>IF(B90=0,0,VLOOKUP(B90,Datensammler!B:U,10,0))</f>
        <v>0</v>
      </c>
      <c r="K90" s="2">
        <f>IF(B90=0,0,VLOOKUP(B90,Datensammler!B:U,11,0))</f>
        <v>0</v>
      </c>
      <c r="L90" s="2">
        <f>IF(B90=0,0,VLOOKUP(B90,Datensammler!B:U,12,0))</f>
        <v>0</v>
      </c>
      <c r="M90" s="2">
        <f>IF(B90=0,0,VLOOKUP(B90,Datensammler!B:U,13,0))</f>
        <v>0</v>
      </c>
      <c r="N90" s="2">
        <f>IF(B90=0,0,VLOOKUP(B90,Datensammler!B:U,14,0))</f>
        <v>0</v>
      </c>
      <c r="O90" s="2">
        <f>IF(B90=0,0,VLOOKUP(B90,Datensammler!B:U,15,0))</f>
        <v>0</v>
      </c>
      <c r="P90" s="2">
        <f>IF(B90=0,0,VLOOKUP(B90,Datensammler!B:U,16,0))</f>
        <v>0</v>
      </c>
      <c r="Q90" s="2">
        <f>IF(B90=0,0,VLOOKUP(B90,Datensammler!B:U,17,0))</f>
        <v>0</v>
      </c>
      <c r="R90" s="2">
        <f>IF(B90=0,0,VLOOKUP(B90,Datensammler!B:U,18,0))</f>
        <v>0</v>
      </c>
      <c r="S90" s="2">
        <f>IF(B90=0,0,VLOOKUP(B90,Datensammler!B:U,19,0))</f>
        <v>0</v>
      </c>
      <c r="T90" s="2">
        <f>IF(B90=0,0,VLOOKUP(B90,Datensammler!B:U,20,0))</f>
        <v>0</v>
      </c>
      <c r="U90" s="50">
        <f t="shared" ref="U90:AL90" si="93">C90</f>
        <v>0</v>
      </c>
      <c r="V90" s="50">
        <f t="shared" si="93"/>
        <v>0</v>
      </c>
      <c r="W90" s="50">
        <f t="shared" si="93"/>
        <v>0</v>
      </c>
      <c r="X90" s="50">
        <f t="shared" si="93"/>
        <v>0</v>
      </c>
      <c r="Y90" s="50">
        <f t="shared" si="93"/>
        <v>0</v>
      </c>
      <c r="Z90" s="50">
        <f t="shared" si="93"/>
        <v>0</v>
      </c>
      <c r="AA90" s="50">
        <f t="shared" si="93"/>
        <v>0</v>
      </c>
      <c r="AB90" s="50">
        <f t="shared" si="93"/>
        <v>0</v>
      </c>
      <c r="AC90" s="50">
        <f t="shared" si="93"/>
        <v>0</v>
      </c>
      <c r="AD90" s="50">
        <f t="shared" si="93"/>
        <v>0</v>
      </c>
      <c r="AE90" s="50">
        <f t="shared" si="93"/>
        <v>0</v>
      </c>
      <c r="AF90" s="50">
        <f t="shared" si="93"/>
        <v>0</v>
      </c>
      <c r="AG90" s="50">
        <f t="shared" si="93"/>
        <v>0</v>
      </c>
      <c r="AH90" s="50">
        <f t="shared" si="93"/>
        <v>0</v>
      </c>
      <c r="AI90" s="50">
        <f t="shared" si="93"/>
        <v>0</v>
      </c>
      <c r="AJ90" s="50">
        <f t="shared" si="93"/>
        <v>0</v>
      </c>
      <c r="AK90" s="50">
        <f t="shared" si="93"/>
        <v>0</v>
      </c>
      <c r="AL90" s="50">
        <f t="shared" si="93"/>
        <v>0</v>
      </c>
      <c r="AP90" s="2">
        <f t="shared" si="3"/>
        <v>0</v>
      </c>
      <c r="AQ90" s="2">
        <f>IFERROR(__xludf.DUMMYFUNCTION("IF(V90&gt;0,MIN(FILTER(U90:AL90, U90:AL90&lt;&gt;0)),0)"),0.0)</f>
        <v>0</v>
      </c>
      <c r="AS90" s="2">
        <f t="shared" si="4"/>
        <v>0</v>
      </c>
      <c r="AU90" s="2">
        <f t="shared" si="5"/>
        <v>0</v>
      </c>
      <c r="AW90" s="2">
        <f t="shared" si="6"/>
        <v>0</v>
      </c>
      <c r="AX90" s="2">
        <f>IFERROR(__xludf.DUMMYFUNCTION("IF(X90&gt;0,SMALL(FILTER(U90:AL90, U90:AL90&lt;&gt;0), 2),0)"),0.0)</f>
        <v>0</v>
      </c>
      <c r="AY90" s="2">
        <f t="shared" si="7"/>
        <v>0</v>
      </c>
      <c r="AZ90" s="2">
        <f t="shared" si="8"/>
        <v>0</v>
      </c>
      <c r="BA90" s="2">
        <f>IFERROR(__xludf.DUMMYFUNCTION("IF(Y90&gt;0,SMALL(FILTER(U90:AL90, U90:AL90&lt;&gt;0), 3),0)"),0.0)</f>
        <v>0</v>
      </c>
      <c r="BB90" s="2">
        <f t="shared" si="9"/>
        <v>0</v>
      </c>
    </row>
    <row r="91">
      <c r="A91" s="2">
        <f>Spieler!A92</f>
        <v>87</v>
      </c>
      <c r="B91" s="2" t="str">
        <f>VLOOKUP(A91,Spieler!A:F,2,0)</f>
        <v/>
      </c>
      <c r="C91" s="2">
        <f>IF(B91=0,0,VLOOKUP(B91,Datensammler!B:U,3,0))</f>
        <v>0</v>
      </c>
      <c r="D91" s="2">
        <f>IF(B91=0,0,VLOOKUP(B91,Datensammler!B:U,4,0))</f>
        <v>0</v>
      </c>
      <c r="E91" s="2">
        <f>IF(B91=0,0,VLOOKUP(B91,Datensammler!B:U,5,0))</f>
        <v>0</v>
      </c>
      <c r="F91" s="2">
        <f>IF(B91=0,0,VLOOKUP(B91,Datensammler!B:U,6,0))</f>
        <v>0</v>
      </c>
      <c r="G91" s="2">
        <f>IF(B91=0,0,VLOOKUP(B91,Datensammler!B:U,7,0))</f>
        <v>0</v>
      </c>
      <c r="H91" s="2">
        <f>IF(B91=0,0,VLOOKUP(B91,Datensammler!B:U,8,0))</f>
        <v>0</v>
      </c>
      <c r="I91" s="2">
        <f>IF(B91=0,0,VLOOKUP(B91,Datensammler!B:U,9,0))</f>
        <v>0</v>
      </c>
      <c r="J91" s="2">
        <f>IF(B91=0,0,VLOOKUP(B91,Datensammler!B:U,10,0))</f>
        <v>0</v>
      </c>
      <c r="K91" s="2">
        <f>IF(B91=0,0,VLOOKUP(B91,Datensammler!B:U,11,0))</f>
        <v>0</v>
      </c>
      <c r="L91" s="2">
        <f>IF(B91=0,0,VLOOKUP(B91,Datensammler!B:U,12,0))</f>
        <v>0</v>
      </c>
      <c r="M91" s="2">
        <f>IF(B91=0,0,VLOOKUP(B91,Datensammler!B:U,13,0))</f>
        <v>0</v>
      </c>
      <c r="N91" s="2">
        <f>IF(B91=0,0,VLOOKUP(B91,Datensammler!B:U,14,0))</f>
        <v>0</v>
      </c>
      <c r="O91" s="2">
        <f>IF(B91=0,0,VLOOKUP(B91,Datensammler!B:U,15,0))</f>
        <v>0</v>
      </c>
      <c r="P91" s="2">
        <f>IF(B91=0,0,VLOOKUP(B91,Datensammler!B:U,16,0))</f>
        <v>0</v>
      </c>
      <c r="Q91" s="2">
        <f>IF(B91=0,0,VLOOKUP(B91,Datensammler!B:U,17,0))</f>
        <v>0</v>
      </c>
      <c r="R91" s="2">
        <f>IF(B91=0,0,VLOOKUP(B91,Datensammler!B:U,18,0))</f>
        <v>0</v>
      </c>
      <c r="S91" s="2">
        <f>IF(B91=0,0,VLOOKUP(B91,Datensammler!B:U,19,0))</f>
        <v>0</v>
      </c>
      <c r="T91" s="2">
        <f>IF(B91=0,0,VLOOKUP(B91,Datensammler!B:U,20,0))</f>
        <v>0</v>
      </c>
      <c r="U91" s="50">
        <f t="shared" ref="U91:AL91" si="94">C91</f>
        <v>0</v>
      </c>
      <c r="V91" s="50">
        <f t="shared" si="94"/>
        <v>0</v>
      </c>
      <c r="W91" s="50">
        <f t="shared" si="94"/>
        <v>0</v>
      </c>
      <c r="X91" s="50">
        <f t="shared" si="94"/>
        <v>0</v>
      </c>
      <c r="Y91" s="50">
        <f t="shared" si="94"/>
        <v>0</v>
      </c>
      <c r="Z91" s="50">
        <f t="shared" si="94"/>
        <v>0</v>
      </c>
      <c r="AA91" s="50">
        <f t="shared" si="94"/>
        <v>0</v>
      </c>
      <c r="AB91" s="50">
        <f t="shared" si="94"/>
        <v>0</v>
      </c>
      <c r="AC91" s="50">
        <f t="shared" si="94"/>
        <v>0</v>
      </c>
      <c r="AD91" s="50">
        <f t="shared" si="94"/>
        <v>0</v>
      </c>
      <c r="AE91" s="50">
        <f t="shared" si="94"/>
        <v>0</v>
      </c>
      <c r="AF91" s="50">
        <f t="shared" si="94"/>
        <v>0</v>
      </c>
      <c r="AG91" s="50">
        <f t="shared" si="94"/>
        <v>0</v>
      </c>
      <c r="AH91" s="50">
        <f t="shared" si="94"/>
        <v>0</v>
      </c>
      <c r="AI91" s="50">
        <f t="shared" si="94"/>
        <v>0</v>
      </c>
      <c r="AJ91" s="50">
        <f t="shared" si="94"/>
        <v>0</v>
      </c>
      <c r="AK91" s="50">
        <f t="shared" si="94"/>
        <v>0</v>
      </c>
      <c r="AL91" s="50">
        <f t="shared" si="94"/>
        <v>0</v>
      </c>
      <c r="AP91" s="2">
        <f t="shared" si="3"/>
        <v>0</v>
      </c>
      <c r="AQ91" s="2">
        <f>IFERROR(__xludf.DUMMYFUNCTION("IF(V91&gt;0,MIN(FILTER(U91:AL91, U91:AL91&lt;&gt;0)),0)"),0.0)</f>
        <v>0</v>
      </c>
      <c r="AS91" s="2">
        <f t="shared" si="4"/>
        <v>0</v>
      </c>
      <c r="AU91" s="2">
        <f t="shared" si="5"/>
        <v>0</v>
      </c>
      <c r="AW91" s="2">
        <f t="shared" si="6"/>
        <v>0</v>
      </c>
      <c r="AX91" s="2">
        <f>IFERROR(__xludf.DUMMYFUNCTION("IF(X91&gt;0,SMALL(FILTER(U91:AL91, U91:AL91&lt;&gt;0), 2),0)"),0.0)</f>
        <v>0</v>
      </c>
      <c r="AY91" s="2">
        <f t="shared" si="7"/>
        <v>0</v>
      </c>
      <c r="AZ91" s="2">
        <f t="shared" si="8"/>
        <v>0</v>
      </c>
      <c r="BA91" s="2">
        <f>IFERROR(__xludf.DUMMYFUNCTION("IF(Y91&gt;0,SMALL(FILTER(U91:AL91, U91:AL91&lt;&gt;0), 3),0)"),0.0)</f>
        <v>0</v>
      </c>
      <c r="BB91" s="2">
        <f t="shared" si="9"/>
        <v>0</v>
      </c>
    </row>
    <row r="92">
      <c r="A92" s="2">
        <f>Spieler!A93</f>
        <v>88</v>
      </c>
      <c r="B92" s="2" t="str">
        <f>VLOOKUP(A92,Spieler!A:F,2,0)</f>
        <v/>
      </c>
      <c r="C92" s="2">
        <f>IF(B92=0,0,VLOOKUP(B92,Datensammler!B:U,3,0))</f>
        <v>0</v>
      </c>
      <c r="D92" s="2">
        <f>IF(B92=0,0,VLOOKUP(B92,Datensammler!B:U,4,0))</f>
        <v>0</v>
      </c>
      <c r="E92" s="2">
        <f>IF(B92=0,0,VLOOKUP(B92,Datensammler!B:U,5,0))</f>
        <v>0</v>
      </c>
      <c r="F92" s="2">
        <f>IF(B92=0,0,VLOOKUP(B92,Datensammler!B:U,6,0))</f>
        <v>0</v>
      </c>
      <c r="G92" s="2">
        <f>IF(B92=0,0,VLOOKUP(B92,Datensammler!B:U,7,0))</f>
        <v>0</v>
      </c>
      <c r="H92" s="2">
        <f>IF(B92=0,0,VLOOKUP(B92,Datensammler!B:U,8,0))</f>
        <v>0</v>
      </c>
      <c r="I92" s="2">
        <f>IF(B92=0,0,VLOOKUP(B92,Datensammler!B:U,9,0))</f>
        <v>0</v>
      </c>
      <c r="J92" s="2">
        <f>IF(B92=0,0,VLOOKUP(B92,Datensammler!B:U,10,0))</f>
        <v>0</v>
      </c>
      <c r="K92" s="2">
        <f>IF(B92=0,0,VLOOKUP(B92,Datensammler!B:U,11,0))</f>
        <v>0</v>
      </c>
      <c r="L92" s="2">
        <f>IF(B92=0,0,VLOOKUP(B92,Datensammler!B:U,12,0))</f>
        <v>0</v>
      </c>
      <c r="M92" s="2">
        <f>IF(B92=0,0,VLOOKUP(B92,Datensammler!B:U,13,0))</f>
        <v>0</v>
      </c>
      <c r="N92" s="2">
        <f>IF(B92=0,0,VLOOKUP(B92,Datensammler!B:U,14,0))</f>
        <v>0</v>
      </c>
      <c r="O92" s="2">
        <f>IF(B92=0,0,VLOOKUP(B92,Datensammler!B:U,15,0))</f>
        <v>0</v>
      </c>
      <c r="P92" s="2">
        <f>IF(B92=0,0,VLOOKUP(B92,Datensammler!B:U,16,0))</f>
        <v>0</v>
      </c>
      <c r="Q92" s="2">
        <f>IF(B92=0,0,VLOOKUP(B92,Datensammler!B:U,17,0))</f>
        <v>0</v>
      </c>
      <c r="R92" s="2">
        <f>IF(B92=0,0,VLOOKUP(B92,Datensammler!B:U,18,0))</f>
        <v>0</v>
      </c>
      <c r="S92" s="2">
        <f>IF(B92=0,0,VLOOKUP(B92,Datensammler!B:U,19,0))</f>
        <v>0</v>
      </c>
      <c r="T92" s="2">
        <f>IF(B92=0,0,VLOOKUP(B92,Datensammler!B:U,20,0))</f>
        <v>0</v>
      </c>
      <c r="U92" s="50">
        <f t="shared" ref="U92:AL92" si="95">C92</f>
        <v>0</v>
      </c>
      <c r="V92" s="50">
        <f t="shared" si="95"/>
        <v>0</v>
      </c>
      <c r="W92" s="50">
        <f t="shared" si="95"/>
        <v>0</v>
      </c>
      <c r="X92" s="50">
        <f t="shared" si="95"/>
        <v>0</v>
      </c>
      <c r="Y92" s="50">
        <f t="shared" si="95"/>
        <v>0</v>
      </c>
      <c r="Z92" s="50">
        <f t="shared" si="95"/>
        <v>0</v>
      </c>
      <c r="AA92" s="50">
        <f t="shared" si="95"/>
        <v>0</v>
      </c>
      <c r="AB92" s="50">
        <f t="shared" si="95"/>
        <v>0</v>
      </c>
      <c r="AC92" s="50">
        <f t="shared" si="95"/>
        <v>0</v>
      </c>
      <c r="AD92" s="50">
        <f t="shared" si="95"/>
        <v>0</v>
      </c>
      <c r="AE92" s="50">
        <f t="shared" si="95"/>
        <v>0</v>
      </c>
      <c r="AF92" s="50">
        <f t="shared" si="95"/>
        <v>0</v>
      </c>
      <c r="AG92" s="50">
        <f t="shared" si="95"/>
        <v>0</v>
      </c>
      <c r="AH92" s="50">
        <f t="shared" si="95"/>
        <v>0</v>
      </c>
      <c r="AI92" s="50">
        <f t="shared" si="95"/>
        <v>0</v>
      </c>
      <c r="AJ92" s="50">
        <f t="shared" si="95"/>
        <v>0</v>
      </c>
      <c r="AK92" s="50">
        <f t="shared" si="95"/>
        <v>0</v>
      </c>
      <c r="AL92" s="50">
        <f t="shared" si="95"/>
        <v>0</v>
      </c>
      <c r="AP92" s="2">
        <f t="shared" si="3"/>
        <v>0</v>
      </c>
      <c r="AQ92" s="2">
        <f>IFERROR(__xludf.DUMMYFUNCTION("IF(V92&gt;0,MIN(FILTER(U92:AL92, U92:AL92&lt;&gt;0)),0)"),0.0)</f>
        <v>0</v>
      </c>
      <c r="AS92" s="2">
        <f t="shared" si="4"/>
        <v>0</v>
      </c>
      <c r="AU92" s="2">
        <f t="shared" si="5"/>
        <v>0</v>
      </c>
      <c r="AW92" s="2">
        <f t="shared" si="6"/>
        <v>0</v>
      </c>
      <c r="AX92" s="2">
        <f>IFERROR(__xludf.DUMMYFUNCTION("IF(X92&gt;0,SMALL(FILTER(U92:AL92, U92:AL92&lt;&gt;0), 2),0)"),0.0)</f>
        <v>0</v>
      </c>
      <c r="AY92" s="2">
        <f t="shared" si="7"/>
        <v>0</v>
      </c>
      <c r="AZ92" s="2">
        <f t="shared" si="8"/>
        <v>0</v>
      </c>
      <c r="BA92" s="2">
        <f>IFERROR(__xludf.DUMMYFUNCTION("IF(Y92&gt;0,SMALL(FILTER(U92:AL92, U92:AL92&lt;&gt;0), 3),0)"),0.0)</f>
        <v>0</v>
      </c>
      <c r="BB92" s="2">
        <f t="shared" si="9"/>
        <v>0</v>
      </c>
    </row>
    <row r="93">
      <c r="A93" s="2">
        <f>Spieler!A94</f>
        <v>89</v>
      </c>
      <c r="B93" s="2" t="str">
        <f>VLOOKUP(A93,Spieler!A:F,2,0)</f>
        <v/>
      </c>
      <c r="C93" s="2">
        <f>IF(B93=0,0,VLOOKUP(B93,Datensammler!B:U,3,0))</f>
        <v>0</v>
      </c>
      <c r="D93" s="2">
        <f>IF(B93=0,0,VLOOKUP(B93,Datensammler!B:U,4,0))</f>
        <v>0</v>
      </c>
      <c r="E93" s="2">
        <f>IF(B93=0,0,VLOOKUP(B93,Datensammler!B:U,5,0))</f>
        <v>0</v>
      </c>
      <c r="F93" s="2">
        <f>IF(B93=0,0,VLOOKUP(B93,Datensammler!B:U,6,0))</f>
        <v>0</v>
      </c>
      <c r="G93" s="2">
        <f>IF(B93=0,0,VLOOKUP(B93,Datensammler!B:U,7,0))</f>
        <v>0</v>
      </c>
      <c r="H93" s="2">
        <f>IF(B93=0,0,VLOOKUP(B93,Datensammler!B:U,8,0))</f>
        <v>0</v>
      </c>
      <c r="I93" s="2">
        <f>IF(B93=0,0,VLOOKUP(B93,Datensammler!B:U,9,0))</f>
        <v>0</v>
      </c>
      <c r="J93" s="2">
        <f>IF(B93=0,0,VLOOKUP(B93,Datensammler!B:U,10,0))</f>
        <v>0</v>
      </c>
      <c r="K93" s="2">
        <f>IF(B93=0,0,VLOOKUP(B93,Datensammler!B:U,11,0))</f>
        <v>0</v>
      </c>
      <c r="L93" s="2">
        <f>IF(B93=0,0,VLOOKUP(B93,Datensammler!B:U,12,0))</f>
        <v>0</v>
      </c>
      <c r="M93" s="2">
        <f>IF(B93=0,0,VLOOKUP(B93,Datensammler!B:U,13,0))</f>
        <v>0</v>
      </c>
      <c r="N93" s="2">
        <f>IF(B93=0,0,VLOOKUP(B93,Datensammler!B:U,14,0))</f>
        <v>0</v>
      </c>
      <c r="O93" s="2">
        <f>IF(B93=0,0,VLOOKUP(B93,Datensammler!B:U,15,0))</f>
        <v>0</v>
      </c>
      <c r="P93" s="2">
        <f>IF(B93=0,0,VLOOKUP(B93,Datensammler!B:U,16,0))</f>
        <v>0</v>
      </c>
      <c r="Q93" s="2">
        <f>IF(B93=0,0,VLOOKUP(B93,Datensammler!B:U,17,0))</f>
        <v>0</v>
      </c>
      <c r="R93" s="2">
        <f>IF(B93=0,0,VLOOKUP(B93,Datensammler!B:U,18,0))</f>
        <v>0</v>
      </c>
      <c r="S93" s="2">
        <f>IF(B93=0,0,VLOOKUP(B93,Datensammler!B:U,19,0))</f>
        <v>0</v>
      </c>
      <c r="T93" s="2">
        <f>IF(B93=0,0,VLOOKUP(B93,Datensammler!B:U,20,0))</f>
        <v>0</v>
      </c>
      <c r="U93" s="50">
        <f t="shared" ref="U93:AL93" si="96">C93</f>
        <v>0</v>
      </c>
      <c r="V93" s="50">
        <f t="shared" si="96"/>
        <v>0</v>
      </c>
      <c r="W93" s="50">
        <f t="shared" si="96"/>
        <v>0</v>
      </c>
      <c r="X93" s="50">
        <f t="shared" si="96"/>
        <v>0</v>
      </c>
      <c r="Y93" s="50">
        <f t="shared" si="96"/>
        <v>0</v>
      </c>
      <c r="Z93" s="50">
        <f t="shared" si="96"/>
        <v>0</v>
      </c>
      <c r="AA93" s="50">
        <f t="shared" si="96"/>
        <v>0</v>
      </c>
      <c r="AB93" s="50">
        <f t="shared" si="96"/>
        <v>0</v>
      </c>
      <c r="AC93" s="50">
        <f t="shared" si="96"/>
        <v>0</v>
      </c>
      <c r="AD93" s="50">
        <f t="shared" si="96"/>
        <v>0</v>
      </c>
      <c r="AE93" s="50">
        <f t="shared" si="96"/>
        <v>0</v>
      </c>
      <c r="AF93" s="50">
        <f t="shared" si="96"/>
        <v>0</v>
      </c>
      <c r="AG93" s="50">
        <f t="shared" si="96"/>
        <v>0</v>
      </c>
      <c r="AH93" s="50">
        <f t="shared" si="96"/>
        <v>0</v>
      </c>
      <c r="AI93" s="50">
        <f t="shared" si="96"/>
        <v>0</v>
      </c>
      <c r="AJ93" s="50">
        <f t="shared" si="96"/>
        <v>0</v>
      </c>
      <c r="AK93" s="50">
        <f t="shared" si="96"/>
        <v>0</v>
      </c>
      <c r="AL93" s="50">
        <f t="shared" si="96"/>
        <v>0</v>
      </c>
      <c r="AP93" s="2">
        <f t="shared" si="3"/>
        <v>0</v>
      </c>
      <c r="AQ93" s="2">
        <f>IFERROR(__xludf.DUMMYFUNCTION("IF(V93&gt;0,MIN(FILTER(U93:AL93, U93:AL93&lt;&gt;0)),0)"),0.0)</f>
        <v>0</v>
      </c>
      <c r="AS93" s="2">
        <f t="shared" si="4"/>
        <v>0</v>
      </c>
      <c r="AU93" s="2">
        <f t="shared" si="5"/>
        <v>0</v>
      </c>
      <c r="AW93" s="2">
        <f t="shared" si="6"/>
        <v>0</v>
      </c>
      <c r="AX93" s="2">
        <f>IFERROR(__xludf.DUMMYFUNCTION("IF(X93&gt;0,SMALL(FILTER(U93:AL93, U93:AL93&lt;&gt;0), 2),0)"),0.0)</f>
        <v>0</v>
      </c>
      <c r="AY93" s="2">
        <f t="shared" si="7"/>
        <v>0</v>
      </c>
      <c r="AZ93" s="2">
        <f t="shared" si="8"/>
        <v>0</v>
      </c>
      <c r="BA93" s="2">
        <f>IFERROR(__xludf.DUMMYFUNCTION("IF(Y93&gt;0,SMALL(FILTER(U93:AL93, U93:AL93&lt;&gt;0), 3),0)"),0.0)</f>
        <v>0</v>
      </c>
      <c r="BB93" s="2">
        <f t="shared" si="9"/>
        <v>0</v>
      </c>
    </row>
    <row r="94">
      <c r="A94" s="2">
        <f>Spieler!A95</f>
        <v>90</v>
      </c>
      <c r="B94" s="2" t="str">
        <f>VLOOKUP(A94,Spieler!A:F,2,0)</f>
        <v/>
      </c>
      <c r="C94" s="2">
        <f>IF(B94=0,0,VLOOKUP(B94,Datensammler!B:U,3,0))</f>
        <v>0</v>
      </c>
      <c r="D94" s="2">
        <f>IF(B94=0,0,VLOOKUP(B94,Datensammler!B:U,4,0))</f>
        <v>0</v>
      </c>
      <c r="E94" s="2">
        <f>IF(B94=0,0,VLOOKUP(B94,Datensammler!B:U,5,0))</f>
        <v>0</v>
      </c>
      <c r="F94" s="2">
        <f>IF(B94=0,0,VLOOKUP(B94,Datensammler!B:U,6,0))</f>
        <v>0</v>
      </c>
      <c r="G94" s="2">
        <f>IF(B94=0,0,VLOOKUP(B94,Datensammler!B:U,7,0))</f>
        <v>0</v>
      </c>
      <c r="H94" s="2">
        <f>IF(B94=0,0,VLOOKUP(B94,Datensammler!B:U,8,0))</f>
        <v>0</v>
      </c>
      <c r="I94" s="2">
        <f>IF(B94=0,0,VLOOKUP(B94,Datensammler!B:U,9,0))</f>
        <v>0</v>
      </c>
      <c r="J94" s="2">
        <f>IF(B94=0,0,VLOOKUP(B94,Datensammler!B:U,10,0))</f>
        <v>0</v>
      </c>
      <c r="K94" s="2">
        <f>IF(B94=0,0,VLOOKUP(B94,Datensammler!B:U,11,0))</f>
        <v>0</v>
      </c>
      <c r="L94" s="2">
        <f>IF(B94=0,0,VLOOKUP(B94,Datensammler!B:U,12,0))</f>
        <v>0</v>
      </c>
      <c r="M94" s="2">
        <f>IF(B94=0,0,VLOOKUP(B94,Datensammler!B:U,13,0))</f>
        <v>0</v>
      </c>
      <c r="N94" s="2">
        <f>IF(B94=0,0,VLOOKUP(B94,Datensammler!B:U,14,0))</f>
        <v>0</v>
      </c>
      <c r="O94" s="2">
        <f>IF(B94=0,0,VLOOKUP(B94,Datensammler!B:U,15,0))</f>
        <v>0</v>
      </c>
      <c r="P94" s="2">
        <f>IF(B94=0,0,VLOOKUP(B94,Datensammler!B:U,16,0))</f>
        <v>0</v>
      </c>
      <c r="Q94" s="2">
        <f>IF(B94=0,0,VLOOKUP(B94,Datensammler!B:U,17,0))</f>
        <v>0</v>
      </c>
      <c r="R94" s="2">
        <f>IF(B94=0,0,VLOOKUP(B94,Datensammler!B:U,18,0))</f>
        <v>0</v>
      </c>
      <c r="S94" s="2">
        <f>IF(B94=0,0,VLOOKUP(B94,Datensammler!B:U,19,0))</f>
        <v>0</v>
      </c>
      <c r="T94" s="2">
        <f>IF(B94=0,0,VLOOKUP(B94,Datensammler!B:U,20,0))</f>
        <v>0</v>
      </c>
      <c r="U94" s="50">
        <f t="shared" ref="U94:AL94" si="97">C94</f>
        <v>0</v>
      </c>
      <c r="V94" s="50">
        <f t="shared" si="97"/>
        <v>0</v>
      </c>
      <c r="W94" s="50">
        <f t="shared" si="97"/>
        <v>0</v>
      </c>
      <c r="X94" s="50">
        <f t="shared" si="97"/>
        <v>0</v>
      </c>
      <c r="Y94" s="50">
        <f t="shared" si="97"/>
        <v>0</v>
      </c>
      <c r="Z94" s="50">
        <f t="shared" si="97"/>
        <v>0</v>
      </c>
      <c r="AA94" s="50">
        <f t="shared" si="97"/>
        <v>0</v>
      </c>
      <c r="AB94" s="50">
        <f t="shared" si="97"/>
        <v>0</v>
      </c>
      <c r="AC94" s="50">
        <f t="shared" si="97"/>
        <v>0</v>
      </c>
      <c r="AD94" s="50">
        <f t="shared" si="97"/>
        <v>0</v>
      </c>
      <c r="AE94" s="50">
        <f t="shared" si="97"/>
        <v>0</v>
      </c>
      <c r="AF94" s="50">
        <f t="shared" si="97"/>
        <v>0</v>
      </c>
      <c r="AG94" s="50">
        <f t="shared" si="97"/>
        <v>0</v>
      </c>
      <c r="AH94" s="50">
        <f t="shared" si="97"/>
        <v>0</v>
      </c>
      <c r="AI94" s="50">
        <f t="shared" si="97"/>
        <v>0</v>
      </c>
      <c r="AJ94" s="50">
        <f t="shared" si="97"/>
        <v>0</v>
      </c>
      <c r="AK94" s="50">
        <f t="shared" si="97"/>
        <v>0</v>
      </c>
      <c r="AL94" s="50">
        <f t="shared" si="97"/>
        <v>0</v>
      </c>
      <c r="AP94" s="2">
        <f t="shared" si="3"/>
        <v>0</v>
      </c>
      <c r="AQ94" s="2">
        <f>IFERROR(__xludf.DUMMYFUNCTION("IF(V94&gt;0,MIN(FILTER(U94:AL94, U94:AL94&lt;&gt;0)),0)"),0.0)</f>
        <v>0</v>
      </c>
      <c r="AS94" s="2">
        <f t="shared" si="4"/>
        <v>0</v>
      </c>
      <c r="AU94" s="2">
        <f t="shared" si="5"/>
        <v>0</v>
      </c>
      <c r="AW94" s="2">
        <f t="shared" si="6"/>
        <v>0</v>
      </c>
      <c r="AX94" s="2">
        <f>IFERROR(__xludf.DUMMYFUNCTION("IF(X94&gt;0,SMALL(FILTER(U94:AL94, U94:AL94&lt;&gt;0), 2),0)"),0.0)</f>
        <v>0</v>
      </c>
      <c r="AY94" s="2">
        <f t="shared" si="7"/>
        <v>0</v>
      </c>
      <c r="AZ94" s="2">
        <f t="shared" si="8"/>
        <v>0</v>
      </c>
      <c r="BA94" s="2">
        <f>IFERROR(__xludf.DUMMYFUNCTION("IF(Y94&gt;0,SMALL(FILTER(U94:AL94, U94:AL94&lt;&gt;0), 3),0)"),0.0)</f>
        <v>0</v>
      </c>
      <c r="BB94" s="2">
        <f t="shared" si="9"/>
        <v>0</v>
      </c>
    </row>
    <row r="95">
      <c r="A95" s="2">
        <f>Spieler!A96</f>
        <v>91</v>
      </c>
      <c r="B95" s="2" t="str">
        <f>VLOOKUP(A95,Spieler!A:F,2,0)</f>
        <v/>
      </c>
      <c r="C95" s="2">
        <f>IF(B95=0,0,VLOOKUP(B95,Datensammler!B:U,3,0))</f>
        <v>0</v>
      </c>
      <c r="D95" s="2">
        <f>IF(B95=0,0,VLOOKUP(B95,Datensammler!B:U,4,0))</f>
        <v>0</v>
      </c>
      <c r="E95" s="2">
        <f>IF(B95=0,0,VLOOKUP(B95,Datensammler!B:U,5,0))</f>
        <v>0</v>
      </c>
      <c r="F95" s="2">
        <f>IF(B95=0,0,VLOOKUP(B95,Datensammler!B:U,6,0))</f>
        <v>0</v>
      </c>
      <c r="G95" s="2">
        <f>IF(B95=0,0,VLOOKUP(B95,Datensammler!B:U,7,0))</f>
        <v>0</v>
      </c>
      <c r="H95" s="2">
        <f>IF(B95=0,0,VLOOKUP(B95,Datensammler!B:U,8,0))</f>
        <v>0</v>
      </c>
      <c r="I95" s="2">
        <f>IF(B95=0,0,VLOOKUP(B95,Datensammler!B:U,9,0))</f>
        <v>0</v>
      </c>
      <c r="J95" s="2">
        <f>IF(B95=0,0,VLOOKUP(B95,Datensammler!B:U,10,0))</f>
        <v>0</v>
      </c>
      <c r="K95" s="2">
        <f>IF(B95=0,0,VLOOKUP(B95,Datensammler!B:U,11,0))</f>
        <v>0</v>
      </c>
      <c r="L95" s="2">
        <f>IF(B95=0,0,VLOOKUP(B95,Datensammler!B:U,12,0))</f>
        <v>0</v>
      </c>
      <c r="M95" s="2">
        <f>IF(B95=0,0,VLOOKUP(B95,Datensammler!B:U,13,0))</f>
        <v>0</v>
      </c>
      <c r="N95" s="2">
        <f>IF(B95=0,0,VLOOKUP(B95,Datensammler!B:U,14,0))</f>
        <v>0</v>
      </c>
      <c r="O95" s="2">
        <f>IF(B95=0,0,VLOOKUP(B95,Datensammler!B:U,15,0))</f>
        <v>0</v>
      </c>
      <c r="P95" s="2">
        <f>IF(B95=0,0,VLOOKUP(B95,Datensammler!B:U,16,0))</f>
        <v>0</v>
      </c>
      <c r="Q95" s="2">
        <f>IF(B95=0,0,VLOOKUP(B95,Datensammler!B:U,17,0))</f>
        <v>0</v>
      </c>
      <c r="R95" s="2">
        <f>IF(B95=0,0,VLOOKUP(B95,Datensammler!B:U,18,0))</f>
        <v>0</v>
      </c>
      <c r="S95" s="2">
        <f>IF(B95=0,0,VLOOKUP(B95,Datensammler!B:U,19,0))</f>
        <v>0</v>
      </c>
      <c r="T95" s="2">
        <f>IF(B95=0,0,VLOOKUP(B95,Datensammler!B:U,20,0))</f>
        <v>0</v>
      </c>
      <c r="U95" s="50">
        <f t="shared" ref="U95:AL95" si="98">C95</f>
        <v>0</v>
      </c>
      <c r="V95" s="50">
        <f t="shared" si="98"/>
        <v>0</v>
      </c>
      <c r="W95" s="50">
        <f t="shared" si="98"/>
        <v>0</v>
      </c>
      <c r="X95" s="50">
        <f t="shared" si="98"/>
        <v>0</v>
      </c>
      <c r="Y95" s="50">
        <f t="shared" si="98"/>
        <v>0</v>
      </c>
      <c r="Z95" s="50">
        <f t="shared" si="98"/>
        <v>0</v>
      </c>
      <c r="AA95" s="50">
        <f t="shared" si="98"/>
        <v>0</v>
      </c>
      <c r="AB95" s="50">
        <f t="shared" si="98"/>
        <v>0</v>
      </c>
      <c r="AC95" s="50">
        <f t="shared" si="98"/>
        <v>0</v>
      </c>
      <c r="AD95" s="50">
        <f t="shared" si="98"/>
        <v>0</v>
      </c>
      <c r="AE95" s="50">
        <f t="shared" si="98"/>
        <v>0</v>
      </c>
      <c r="AF95" s="50">
        <f t="shared" si="98"/>
        <v>0</v>
      </c>
      <c r="AG95" s="50">
        <f t="shared" si="98"/>
        <v>0</v>
      </c>
      <c r="AH95" s="50">
        <f t="shared" si="98"/>
        <v>0</v>
      </c>
      <c r="AI95" s="50">
        <f t="shared" si="98"/>
        <v>0</v>
      </c>
      <c r="AJ95" s="50">
        <f t="shared" si="98"/>
        <v>0</v>
      </c>
      <c r="AK95" s="50">
        <f t="shared" si="98"/>
        <v>0</v>
      </c>
      <c r="AL95" s="50">
        <f t="shared" si="98"/>
        <v>0</v>
      </c>
      <c r="AP95" s="2">
        <f t="shared" si="3"/>
        <v>0</v>
      </c>
      <c r="AQ95" s="2">
        <f>IFERROR(__xludf.DUMMYFUNCTION("IF(V95&gt;0,MIN(FILTER(U95:AL95, U95:AL95&lt;&gt;0)),0)"),0.0)</f>
        <v>0</v>
      </c>
      <c r="AS95" s="2">
        <f t="shared" si="4"/>
        <v>0</v>
      </c>
      <c r="AU95" s="2">
        <f t="shared" si="5"/>
        <v>0</v>
      </c>
      <c r="AW95" s="2">
        <f t="shared" si="6"/>
        <v>0</v>
      </c>
      <c r="AX95" s="2">
        <f>IFERROR(__xludf.DUMMYFUNCTION("IF(X95&gt;0,SMALL(FILTER(U95:AL95, U95:AL95&lt;&gt;0), 2),0)"),0.0)</f>
        <v>0</v>
      </c>
      <c r="AY95" s="2">
        <f t="shared" si="7"/>
        <v>0</v>
      </c>
      <c r="AZ95" s="2">
        <f t="shared" si="8"/>
        <v>0</v>
      </c>
      <c r="BA95" s="2">
        <f>IFERROR(__xludf.DUMMYFUNCTION("IF(Y95&gt;0,SMALL(FILTER(U95:AL95, U95:AL95&lt;&gt;0), 3),0)"),0.0)</f>
        <v>0</v>
      </c>
      <c r="BB95" s="2">
        <f t="shared" si="9"/>
        <v>0</v>
      </c>
    </row>
    <row r="96">
      <c r="A96" s="2">
        <f>Spieler!A97</f>
        <v>92</v>
      </c>
      <c r="B96" s="2" t="str">
        <f>VLOOKUP(A96,Spieler!A:F,2,0)</f>
        <v/>
      </c>
      <c r="C96" s="2">
        <f>IF(B96=0,0,VLOOKUP(B96,Datensammler!B:U,3,0))</f>
        <v>0</v>
      </c>
      <c r="D96" s="2">
        <f>IF(B96=0,0,VLOOKUP(B96,Datensammler!B:U,4,0))</f>
        <v>0</v>
      </c>
      <c r="E96" s="2">
        <f>IF(B96=0,0,VLOOKUP(B96,Datensammler!B:U,5,0))</f>
        <v>0</v>
      </c>
      <c r="F96" s="2">
        <f>IF(B96=0,0,VLOOKUP(B96,Datensammler!B:U,6,0))</f>
        <v>0</v>
      </c>
      <c r="G96" s="2">
        <f>IF(B96=0,0,VLOOKUP(B96,Datensammler!B:U,7,0))</f>
        <v>0</v>
      </c>
      <c r="H96" s="2">
        <f>IF(B96=0,0,VLOOKUP(B96,Datensammler!B:U,8,0))</f>
        <v>0</v>
      </c>
      <c r="I96" s="2">
        <f>IF(B96=0,0,VLOOKUP(B96,Datensammler!B:U,9,0))</f>
        <v>0</v>
      </c>
      <c r="J96" s="2">
        <f>IF(B96=0,0,VLOOKUP(B96,Datensammler!B:U,10,0))</f>
        <v>0</v>
      </c>
      <c r="K96" s="2">
        <f>IF(B96=0,0,VLOOKUP(B96,Datensammler!B:U,11,0))</f>
        <v>0</v>
      </c>
      <c r="L96" s="2">
        <f>IF(B96=0,0,VLOOKUP(B96,Datensammler!B:U,12,0))</f>
        <v>0</v>
      </c>
      <c r="M96" s="2">
        <f>IF(B96=0,0,VLOOKUP(B96,Datensammler!B:U,13,0))</f>
        <v>0</v>
      </c>
      <c r="N96" s="2">
        <f>IF(B96=0,0,VLOOKUP(B96,Datensammler!B:U,14,0))</f>
        <v>0</v>
      </c>
      <c r="O96" s="2">
        <f>IF(B96=0,0,VLOOKUP(B96,Datensammler!B:U,15,0))</f>
        <v>0</v>
      </c>
      <c r="P96" s="2">
        <f>IF(B96=0,0,VLOOKUP(B96,Datensammler!B:U,16,0))</f>
        <v>0</v>
      </c>
      <c r="Q96" s="2">
        <f>IF(B96=0,0,VLOOKUP(B96,Datensammler!B:U,17,0))</f>
        <v>0</v>
      </c>
      <c r="R96" s="2">
        <f>IF(B96=0,0,VLOOKUP(B96,Datensammler!B:U,18,0))</f>
        <v>0</v>
      </c>
      <c r="S96" s="2">
        <f>IF(B96=0,0,VLOOKUP(B96,Datensammler!B:U,19,0))</f>
        <v>0</v>
      </c>
      <c r="T96" s="2">
        <f>IF(B96=0,0,VLOOKUP(B96,Datensammler!B:U,20,0))</f>
        <v>0</v>
      </c>
      <c r="U96" s="50">
        <f t="shared" ref="U96:AL96" si="99">C96</f>
        <v>0</v>
      </c>
      <c r="V96" s="50">
        <f t="shared" si="99"/>
        <v>0</v>
      </c>
      <c r="W96" s="50">
        <f t="shared" si="99"/>
        <v>0</v>
      </c>
      <c r="X96" s="50">
        <f t="shared" si="99"/>
        <v>0</v>
      </c>
      <c r="Y96" s="50">
        <f t="shared" si="99"/>
        <v>0</v>
      </c>
      <c r="Z96" s="50">
        <f t="shared" si="99"/>
        <v>0</v>
      </c>
      <c r="AA96" s="50">
        <f t="shared" si="99"/>
        <v>0</v>
      </c>
      <c r="AB96" s="50">
        <f t="shared" si="99"/>
        <v>0</v>
      </c>
      <c r="AC96" s="50">
        <f t="shared" si="99"/>
        <v>0</v>
      </c>
      <c r="AD96" s="50">
        <f t="shared" si="99"/>
        <v>0</v>
      </c>
      <c r="AE96" s="50">
        <f t="shared" si="99"/>
        <v>0</v>
      </c>
      <c r="AF96" s="50">
        <f t="shared" si="99"/>
        <v>0</v>
      </c>
      <c r="AG96" s="50">
        <f t="shared" si="99"/>
        <v>0</v>
      </c>
      <c r="AH96" s="50">
        <f t="shared" si="99"/>
        <v>0</v>
      </c>
      <c r="AI96" s="50">
        <f t="shared" si="99"/>
        <v>0</v>
      </c>
      <c r="AJ96" s="50">
        <f t="shared" si="99"/>
        <v>0</v>
      </c>
      <c r="AK96" s="50">
        <f t="shared" si="99"/>
        <v>0</v>
      </c>
      <c r="AL96" s="50">
        <f t="shared" si="99"/>
        <v>0</v>
      </c>
      <c r="AP96" s="2">
        <f t="shared" si="3"/>
        <v>0</v>
      </c>
      <c r="AQ96" s="2">
        <f>IFERROR(__xludf.DUMMYFUNCTION("IF(V96&gt;0,MIN(FILTER(U96:AL96, U96:AL96&lt;&gt;0)),0)"),0.0)</f>
        <v>0</v>
      </c>
      <c r="AS96" s="2">
        <f t="shared" si="4"/>
        <v>0</v>
      </c>
      <c r="AU96" s="2">
        <f t="shared" si="5"/>
        <v>0</v>
      </c>
      <c r="AW96" s="2">
        <f t="shared" si="6"/>
        <v>0</v>
      </c>
      <c r="AX96" s="2">
        <f>IFERROR(__xludf.DUMMYFUNCTION("IF(X96&gt;0,SMALL(FILTER(U96:AL96, U96:AL96&lt;&gt;0), 2),0)"),0.0)</f>
        <v>0</v>
      </c>
      <c r="AY96" s="2">
        <f t="shared" si="7"/>
        <v>0</v>
      </c>
      <c r="AZ96" s="2">
        <f t="shared" si="8"/>
        <v>0</v>
      </c>
      <c r="BA96" s="2">
        <f>IFERROR(__xludf.DUMMYFUNCTION("IF(Y96&gt;0,SMALL(FILTER(U96:AL96, U96:AL96&lt;&gt;0), 3),0)"),0.0)</f>
        <v>0</v>
      </c>
      <c r="BB96" s="2">
        <f t="shared" si="9"/>
        <v>0</v>
      </c>
    </row>
    <row r="97">
      <c r="A97" s="2">
        <f>Spieler!A98</f>
        <v>93</v>
      </c>
      <c r="B97" s="2" t="str">
        <f>VLOOKUP(A97,Spieler!A:F,2,0)</f>
        <v/>
      </c>
      <c r="C97" s="2">
        <f>IF(B97=0,0,VLOOKUP(B97,Datensammler!B:U,3,0))</f>
        <v>0</v>
      </c>
      <c r="D97" s="2">
        <f>IF(B97=0,0,VLOOKUP(B97,Datensammler!B:U,4,0))</f>
        <v>0</v>
      </c>
      <c r="E97" s="2">
        <f>IF(B97=0,0,VLOOKUP(B97,Datensammler!B:U,5,0))</f>
        <v>0</v>
      </c>
      <c r="F97" s="2">
        <f>IF(B97=0,0,VLOOKUP(B97,Datensammler!B:U,6,0))</f>
        <v>0</v>
      </c>
      <c r="G97" s="2">
        <f>IF(B97=0,0,VLOOKUP(B97,Datensammler!B:U,7,0))</f>
        <v>0</v>
      </c>
      <c r="H97" s="2">
        <f>IF(B97=0,0,VLOOKUP(B97,Datensammler!B:U,8,0))</f>
        <v>0</v>
      </c>
      <c r="I97" s="2">
        <f>IF(B97=0,0,VLOOKUP(B97,Datensammler!B:U,9,0))</f>
        <v>0</v>
      </c>
      <c r="J97" s="2">
        <f>IF(B97=0,0,VLOOKUP(B97,Datensammler!B:U,10,0))</f>
        <v>0</v>
      </c>
      <c r="K97" s="2">
        <f>IF(B97=0,0,VLOOKUP(B97,Datensammler!B:U,11,0))</f>
        <v>0</v>
      </c>
      <c r="L97" s="2">
        <f>IF(B97=0,0,VLOOKUP(B97,Datensammler!B:U,12,0))</f>
        <v>0</v>
      </c>
      <c r="M97" s="2">
        <f>IF(B97=0,0,VLOOKUP(B97,Datensammler!B:U,13,0))</f>
        <v>0</v>
      </c>
      <c r="N97" s="2">
        <f>IF(B97=0,0,VLOOKUP(B97,Datensammler!B:U,14,0))</f>
        <v>0</v>
      </c>
      <c r="O97" s="2">
        <f>IF(B97=0,0,VLOOKUP(B97,Datensammler!B:U,15,0))</f>
        <v>0</v>
      </c>
      <c r="P97" s="2">
        <f>IF(B97=0,0,VLOOKUP(B97,Datensammler!B:U,16,0))</f>
        <v>0</v>
      </c>
      <c r="Q97" s="2">
        <f>IF(B97=0,0,VLOOKUP(B97,Datensammler!B:U,17,0))</f>
        <v>0</v>
      </c>
      <c r="R97" s="2">
        <f>IF(B97=0,0,VLOOKUP(B97,Datensammler!B:U,18,0))</f>
        <v>0</v>
      </c>
      <c r="S97" s="2">
        <f>IF(B97=0,0,VLOOKUP(B97,Datensammler!B:U,19,0))</f>
        <v>0</v>
      </c>
      <c r="T97" s="2">
        <f>IF(B97=0,0,VLOOKUP(B97,Datensammler!B:U,20,0))</f>
        <v>0</v>
      </c>
      <c r="U97" s="50">
        <f t="shared" ref="U97:AL97" si="100">C97</f>
        <v>0</v>
      </c>
      <c r="V97" s="50">
        <f t="shared" si="100"/>
        <v>0</v>
      </c>
      <c r="W97" s="50">
        <f t="shared" si="100"/>
        <v>0</v>
      </c>
      <c r="X97" s="50">
        <f t="shared" si="100"/>
        <v>0</v>
      </c>
      <c r="Y97" s="50">
        <f t="shared" si="100"/>
        <v>0</v>
      </c>
      <c r="Z97" s="50">
        <f t="shared" si="100"/>
        <v>0</v>
      </c>
      <c r="AA97" s="50">
        <f t="shared" si="100"/>
        <v>0</v>
      </c>
      <c r="AB97" s="50">
        <f t="shared" si="100"/>
        <v>0</v>
      </c>
      <c r="AC97" s="50">
        <f t="shared" si="100"/>
        <v>0</v>
      </c>
      <c r="AD97" s="50">
        <f t="shared" si="100"/>
        <v>0</v>
      </c>
      <c r="AE97" s="50">
        <f t="shared" si="100"/>
        <v>0</v>
      </c>
      <c r="AF97" s="50">
        <f t="shared" si="100"/>
        <v>0</v>
      </c>
      <c r="AG97" s="50">
        <f t="shared" si="100"/>
        <v>0</v>
      </c>
      <c r="AH97" s="50">
        <f t="shared" si="100"/>
        <v>0</v>
      </c>
      <c r="AI97" s="50">
        <f t="shared" si="100"/>
        <v>0</v>
      </c>
      <c r="AJ97" s="50">
        <f t="shared" si="100"/>
        <v>0</v>
      </c>
      <c r="AK97" s="50">
        <f t="shared" si="100"/>
        <v>0</v>
      </c>
      <c r="AL97" s="50">
        <f t="shared" si="100"/>
        <v>0</v>
      </c>
      <c r="AP97" s="2">
        <f t="shared" si="3"/>
        <v>0</v>
      </c>
      <c r="AQ97" s="2">
        <f>IFERROR(__xludf.DUMMYFUNCTION("IF(V97&gt;0,MIN(FILTER(U97:AL97, U97:AL97&lt;&gt;0)),0)"),0.0)</f>
        <v>0</v>
      </c>
      <c r="AS97" s="2">
        <f t="shared" si="4"/>
        <v>0</v>
      </c>
      <c r="AU97" s="2">
        <f t="shared" si="5"/>
        <v>0</v>
      </c>
      <c r="AW97" s="2">
        <f t="shared" si="6"/>
        <v>0</v>
      </c>
      <c r="AX97" s="2">
        <f>IFERROR(__xludf.DUMMYFUNCTION("IF(X97&gt;0,SMALL(FILTER(U97:AL97, U97:AL97&lt;&gt;0), 2),0)"),0.0)</f>
        <v>0</v>
      </c>
      <c r="AY97" s="2">
        <f t="shared" si="7"/>
        <v>0</v>
      </c>
      <c r="AZ97" s="2">
        <f t="shared" si="8"/>
        <v>0</v>
      </c>
      <c r="BA97" s="2">
        <f>IFERROR(__xludf.DUMMYFUNCTION("IF(Y97&gt;0,SMALL(FILTER(U97:AL97, U97:AL97&lt;&gt;0), 3),0)"),0.0)</f>
        <v>0</v>
      </c>
      <c r="BB97" s="2">
        <f t="shared" si="9"/>
        <v>0</v>
      </c>
    </row>
    <row r="98">
      <c r="A98" s="2">
        <f>Spieler!A99</f>
        <v>94</v>
      </c>
      <c r="B98" s="2" t="str">
        <f>VLOOKUP(A98,Spieler!A:F,2,0)</f>
        <v/>
      </c>
      <c r="C98" s="2">
        <f>IF(B98=0,0,VLOOKUP(B98,Datensammler!B:U,3,0))</f>
        <v>0</v>
      </c>
      <c r="D98" s="2">
        <f>IF(B98=0,0,VLOOKUP(B98,Datensammler!B:U,4,0))</f>
        <v>0</v>
      </c>
      <c r="E98" s="2">
        <f>IF(B98=0,0,VLOOKUP(B98,Datensammler!B:U,5,0))</f>
        <v>0</v>
      </c>
      <c r="F98" s="2">
        <f>IF(B98=0,0,VLOOKUP(B98,Datensammler!B:U,6,0))</f>
        <v>0</v>
      </c>
      <c r="G98" s="2">
        <f>IF(B98=0,0,VLOOKUP(B98,Datensammler!B:U,7,0))</f>
        <v>0</v>
      </c>
      <c r="H98" s="2">
        <f>IF(B98=0,0,VLOOKUP(B98,Datensammler!B:U,8,0))</f>
        <v>0</v>
      </c>
      <c r="I98" s="2">
        <f>IF(B98=0,0,VLOOKUP(B98,Datensammler!B:U,9,0))</f>
        <v>0</v>
      </c>
      <c r="J98" s="2">
        <f>IF(B98=0,0,VLOOKUP(B98,Datensammler!B:U,10,0))</f>
        <v>0</v>
      </c>
      <c r="K98" s="2">
        <f>IF(B98=0,0,VLOOKUP(B98,Datensammler!B:U,11,0))</f>
        <v>0</v>
      </c>
      <c r="L98" s="2">
        <f>IF(B98=0,0,VLOOKUP(B98,Datensammler!B:U,12,0))</f>
        <v>0</v>
      </c>
      <c r="M98" s="2">
        <f>IF(B98=0,0,VLOOKUP(B98,Datensammler!B:U,13,0))</f>
        <v>0</v>
      </c>
      <c r="N98" s="2">
        <f>IF(B98=0,0,VLOOKUP(B98,Datensammler!B:U,14,0))</f>
        <v>0</v>
      </c>
      <c r="O98" s="2">
        <f>IF(B98=0,0,VLOOKUP(B98,Datensammler!B:U,15,0))</f>
        <v>0</v>
      </c>
      <c r="P98" s="2">
        <f>IF(B98=0,0,VLOOKUP(B98,Datensammler!B:U,16,0))</f>
        <v>0</v>
      </c>
      <c r="Q98" s="2">
        <f>IF(B98=0,0,VLOOKUP(B98,Datensammler!B:U,17,0))</f>
        <v>0</v>
      </c>
      <c r="R98" s="2">
        <f>IF(B98=0,0,VLOOKUP(B98,Datensammler!B:U,18,0))</f>
        <v>0</v>
      </c>
      <c r="S98" s="2">
        <f>IF(B98=0,0,VLOOKUP(B98,Datensammler!B:U,19,0))</f>
        <v>0</v>
      </c>
      <c r="T98" s="2">
        <f>IF(B98=0,0,VLOOKUP(B98,Datensammler!B:U,20,0))</f>
        <v>0</v>
      </c>
      <c r="U98" s="50">
        <f t="shared" ref="U98:AL98" si="101">C98</f>
        <v>0</v>
      </c>
      <c r="V98" s="50">
        <f t="shared" si="101"/>
        <v>0</v>
      </c>
      <c r="W98" s="50">
        <f t="shared" si="101"/>
        <v>0</v>
      </c>
      <c r="X98" s="50">
        <f t="shared" si="101"/>
        <v>0</v>
      </c>
      <c r="Y98" s="50">
        <f t="shared" si="101"/>
        <v>0</v>
      </c>
      <c r="Z98" s="50">
        <f t="shared" si="101"/>
        <v>0</v>
      </c>
      <c r="AA98" s="50">
        <f t="shared" si="101"/>
        <v>0</v>
      </c>
      <c r="AB98" s="50">
        <f t="shared" si="101"/>
        <v>0</v>
      </c>
      <c r="AC98" s="50">
        <f t="shared" si="101"/>
        <v>0</v>
      </c>
      <c r="AD98" s="50">
        <f t="shared" si="101"/>
        <v>0</v>
      </c>
      <c r="AE98" s="50">
        <f t="shared" si="101"/>
        <v>0</v>
      </c>
      <c r="AF98" s="50">
        <f t="shared" si="101"/>
        <v>0</v>
      </c>
      <c r="AG98" s="50">
        <f t="shared" si="101"/>
        <v>0</v>
      </c>
      <c r="AH98" s="50">
        <f t="shared" si="101"/>
        <v>0</v>
      </c>
      <c r="AI98" s="50">
        <f t="shared" si="101"/>
        <v>0</v>
      </c>
      <c r="AJ98" s="50">
        <f t="shared" si="101"/>
        <v>0</v>
      </c>
      <c r="AK98" s="50">
        <f t="shared" si="101"/>
        <v>0</v>
      </c>
      <c r="AL98" s="50">
        <f t="shared" si="101"/>
        <v>0</v>
      </c>
      <c r="AP98" s="2">
        <f t="shared" si="3"/>
        <v>0</v>
      </c>
      <c r="AQ98" s="2">
        <f>IFERROR(__xludf.DUMMYFUNCTION("IF(V98&gt;0,MIN(FILTER(U98:AL98, U98:AL98&lt;&gt;0)),0)"),0.0)</f>
        <v>0</v>
      </c>
      <c r="AS98" s="2">
        <f t="shared" si="4"/>
        <v>0</v>
      </c>
      <c r="AU98" s="2">
        <f t="shared" si="5"/>
        <v>0</v>
      </c>
      <c r="AW98" s="2">
        <f t="shared" si="6"/>
        <v>0</v>
      </c>
      <c r="AX98" s="2">
        <f>IFERROR(__xludf.DUMMYFUNCTION("IF(X98&gt;0,SMALL(FILTER(U98:AL98, U98:AL98&lt;&gt;0), 2),0)"),0.0)</f>
        <v>0</v>
      </c>
      <c r="AY98" s="2">
        <f t="shared" si="7"/>
        <v>0</v>
      </c>
      <c r="AZ98" s="2">
        <f t="shared" si="8"/>
        <v>0</v>
      </c>
      <c r="BA98" s="2">
        <f>IFERROR(__xludf.DUMMYFUNCTION("IF(Y98&gt;0,SMALL(FILTER(U98:AL98, U98:AL98&lt;&gt;0), 3),0)"),0.0)</f>
        <v>0</v>
      </c>
      <c r="BB98" s="2">
        <f t="shared" si="9"/>
        <v>0</v>
      </c>
    </row>
    <row r="99">
      <c r="A99" s="2">
        <f>Spieler!A100</f>
        <v>95</v>
      </c>
      <c r="B99" s="2" t="str">
        <f>VLOOKUP(A99,Spieler!A:F,2,0)</f>
        <v/>
      </c>
      <c r="C99" s="2">
        <f>IF(B99=0,0,VLOOKUP(B99,Datensammler!B:U,3,0))</f>
        <v>0</v>
      </c>
      <c r="D99" s="2">
        <f>IF(B99=0,0,VLOOKUP(B99,Datensammler!B:U,4,0))</f>
        <v>0</v>
      </c>
      <c r="E99" s="2">
        <f>IF(B99=0,0,VLOOKUP(B99,Datensammler!B:U,5,0))</f>
        <v>0</v>
      </c>
      <c r="F99" s="2">
        <f>IF(B99=0,0,VLOOKUP(B99,Datensammler!B:U,6,0))</f>
        <v>0</v>
      </c>
      <c r="G99" s="2">
        <f>IF(B99=0,0,VLOOKUP(B99,Datensammler!B:U,7,0))</f>
        <v>0</v>
      </c>
      <c r="H99" s="2">
        <f>IF(B99=0,0,VLOOKUP(B99,Datensammler!B:U,8,0))</f>
        <v>0</v>
      </c>
      <c r="I99" s="2">
        <f>IF(B99=0,0,VLOOKUP(B99,Datensammler!B:U,9,0))</f>
        <v>0</v>
      </c>
      <c r="J99" s="2">
        <f>IF(B99=0,0,VLOOKUP(B99,Datensammler!B:U,10,0))</f>
        <v>0</v>
      </c>
      <c r="K99" s="2">
        <f>IF(B99=0,0,VLOOKUP(B99,Datensammler!B:U,11,0))</f>
        <v>0</v>
      </c>
      <c r="L99" s="2">
        <f>IF(B99=0,0,VLOOKUP(B99,Datensammler!B:U,12,0))</f>
        <v>0</v>
      </c>
      <c r="M99" s="2">
        <f>IF(B99=0,0,VLOOKUP(B99,Datensammler!B:U,13,0))</f>
        <v>0</v>
      </c>
      <c r="N99" s="2">
        <f>IF(B99=0,0,VLOOKUP(B99,Datensammler!B:U,14,0))</f>
        <v>0</v>
      </c>
      <c r="O99" s="2">
        <f>IF(B99=0,0,VLOOKUP(B99,Datensammler!B:U,15,0))</f>
        <v>0</v>
      </c>
      <c r="P99" s="2">
        <f>IF(B99=0,0,VLOOKUP(B99,Datensammler!B:U,16,0))</f>
        <v>0</v>
      </c>
      <c r="Q99" s="2">
        <f>IF(B99=0,0,VLOOKUP(B99,Datensammler!B:U,17,0))</f>
        <v>0</v>
      </c>
      <c r="R99" s="2">
        <f>IF(B99=0,0,VLOOKUP(B99,Datensammler!B:U,18,0))</f>
        <v>0</v>
      </c>
      <c r="S99" s="2">
        <f>IF(B99=0,0,VLOOKUP(B99,Datensammler!B:U,19,0))</f>
        <v>0</v>
      </c>
      <c r="T99" s="2">
        <f>IF(B99=0,0,VLOOKUP(B99,Datensammler!B:U,20,0))</f>
        <v>0</v>
      </c>
      <c r="U99" s="50">
        <f t="shared" ref="U99:AL99" si="102">C99</f>
        <v>0</v>
      </c>
      <c r="V99" s="50">
        <f t="shared" si="102"/>
        <v>0</v>
      </c>
      <c r="W99" s="50">
        <f t="shared" si="102"/>
        <v>0</v>
      </c>
      <c r="X99" s="50">
        <f t="shared" si="102"/>
        <v>0</v>
      </c>
      <c r="Y99" s="50">
        <f t="shared" si="102"/>
        <v>0</v>
      </c>
      <c r="Z99" s="50">
        <f t="shared" si="102"/>
        <v>0</v>
      </c>
      <c r="AA99" s="50">
        <f t="shared" si="102"/>
        <v>0</v>
      </c>
      <c r="AB99" s="50">
        <f t="shared" si="102"/>
        <v>0</v>
      </c>
      <c r="AC99" s="50">
        <f t="shared" si="102"/>
        <v>0</v>
      </c>
      <c r="AD99" s="50">
        <f t="shared" si="102"/>
        <v>0</v>
      </c>
      <c r="AE99" s="50">
        <f t="shared" si="102"/>
        <v>0</v>
      </c>
      <c r="AF99" s="50">
        <f t="shared" si="102"/>
        <v>0</v>
      </c>
      <c r="AG99" s="50">
        <f t="shared" si="102"/>
        <v>0</v>
      </c>
      <c r="AH99" s="50">
        <f t="shared" si="102"/>
        <v>0</v>
      </c>
      <c r="AI99" s="50">
        <f t="shared" si="102"/>
        <v>0</v>
      </c>
      <c r="AJ99" s="50">
        <f t="shared" si="102"/>
        <v>0</v>
      </c>
      <c r="AK99" s="50">
        <f t="shared" si="102"/>
        <v>0</v>
      </c>
      <c r="AL99" s="50">
        <f t="shared" si="102"/>
        <v>0</v>
      </c>
      <c r="AP99" s="2">
        <f t="shared" si="3"/>
        <v>0</v>
      </c>
      <c r="AQ99" s="2">
        <f>IFERROR(__xludf.DUMMYFUNCTION("IF(V99&gt;0,MIN(FILTER(U99:AL99, U99:AL99&lt;&gt;0)),0)"),0.0)</f>
        <v>0</v>
      </c>
      <c r="AS99" s="2">
        <f t="shared" si="4"/>
        <v>0</v>
      </c>
      <c r="AU99" s="2">
        <f t="shared" si="5"/>
        <v>0</v>
      </c>
      <c r="AW99" s="2">
        <f t="shared" si="6"/>
        <v>0</v>
      </c>
      <c r="AX99" s="2">
        <f>IFERROR(__xludf.DUMMYFUNCTION("IF(X99&gt;0,SMALL(FILTER(U99:AL99, U99:AL99&lt;&gt;0), 2),0)"),0.0)</f>
        <v>0</v>
      </c>
      <c r="AY99" s="2">
        <f t="shared" si="7"/>
        <v>0</v>
      </c>
      <c r="AZ99" s="2">
        <f t="shared" si="8"/>
        <v>0</v>
      </c>
      <c r="BA99" s="2">
        <f>IFERROR(__xludf.DUMMYFUNCTION("IF(Y99&gt;0,SMALL(FILTER(U99:AL99, U99:AL99&lt;&gt;0), 3),0)"),0.0)</f>
        <v>0</v>
      </c>
      <c r="BB99" s="2">
        <f t="shared" si="9"/>
        <v>0</v>
      </c>
    </row>
    <row r="100">
      <c r="A100" s="2">
        <f>Spieler!A101</f>
        <v>96</v>
      </c>
      <c r="B100" s="2" t="str">
        <f>VLOOKUP(A100,Spieler!A:F,2,0)</f>
        <v/>
      </c>
      <c r="C100" s="2">
        <f>IF(B100=0,0,VLOOKUP(B100,Datensammler!B:U,3,0))</f>
        <v>0</v>
      </c>
      <c r="D100" s="2">
        <f>IF(B100=0,0,VLOOKUP(B100,Datensammler!B:U,4,0))</f>
        <v>0</v>
      </c>
      <c r="E100" s="2">
        <f>IF(B100=0,0,VLOOKUP(B100,Datensammler!B:U,5,0))</f>
        <v>0</v>
      </c>
      <c r="F100" s="2">
        <f>IF(B100=0,0,VLOOKUP(B100,Datensammler!B:U,6,0))</f>
        <v>0</v>
      </c>
      <c r="G100" s="2">
        <f>IF(B100=0,0,VLOOKUP(B100,Datensammler!B:U,7,0))</f>
        <v>0</v>
      </c>
      <c r="H100" s="2">
        <f>IF(B100=0,0,VLOOKUP(B100,Datensammler!B:U,8,0))</f>
        <v>0</v>
      </c>
      <c r="I100" s="2">
        <f>IF(B100=0,0,VLOOKUP(B100,Datensammler!B:U,9,0))</f>
        <v>0</v>
      </c>
      <c r="J100" s="2">
        <f>IF(B100=0,0,VLOOKUP(B100,Datensammler!B:U,10,0))</f>
        <v>0</v>
      </c>
      <c r="K100" s="2">
        <f>IF(B100=0,0,VLOOKUP(B100,Datensammler!B:U,11,0))</f>
        <v>0</v>
      </c>
      <c r="L100" s="2">
        <f>IF(B100=0,0,VLOOKUP(B100,Datensammler!B:U,12,0))</f>
        <v>0</v>
      </c>
      <c r="M100" s="2">
        <f>IF(B100=0,0,VLOOKUP(B100,Datensammler!B:U,13,0))</f>
        <v>0</v>
      </c>
      <c r="N100" s="2">
        <f>IF(B100=0,0,VLOOKUP(B100,Datensammler!B:U,14,0))</f>
        <v>0</v>
      </c>
      <c r="O100" s="2">
        <f>IF(B100=0,0,VLOOKUP(B100,Datensammler!B:U,15,0))</f>
        <v>0</v>
      </c>
      <c r="P100" s="2">
        <f>IF(B100=0,0,VLOOKUP(B100,Datensammler!B:U,16,0))</f>
        <v>0</v>
      </c>
      <c r="Q100" s="2">
        <f>IF(B100=0,0,VLOOKUP(B100,Datensammler!B:U,17,0))</f>
        <v>0</v>
      </c>
      <c r="R100" s="2">
        <f>IF(B100=0,0,VLOOKUP(B100,Datensammler!B:U,18,0))</f>
        <v>0</v>
      </c>
      <c r="S100" s="2">
        <f>IF(B100=0,0,VLOOKUP(B100,Datensammler!B:U,19,0))</f>
        <v>0</v>
      </c>
      <c r="T100" s="2">
        <f>IF(B100=0,0,VLOOKUP(B100,Datensammler!B:U,20,0))</f>
        <v>0</v>
      </c>
      <c r="U100" s="50">
        <f t="shared" ref="U100:AL100" si="103">C100</f>
        <v>0</v>
      </c>
      <c r="V100" s="50">
        <f t="shared" si="103"/>
        <v>0</v>
      </c>
      <c r="W100" s="50">
        <f t="shared" si="103"/>
        <v>0</v>
      </c>
      <c r="X100" s="50">
        <f t="shared" si="103"/>
        <v>0</v>
      </c>
      <c r="Y100" s="50">
        <f t="shared" si="103"/>
        <v>0</v>
      </c>
      <c r="Z100" s="50">
        <f t="shared" si="103"/>
        <v>0</v>
      </c>
      <c r="AA100" s="50">
        <f t="shared" si="103"/>
        <v>0</v>
      </c>
      <c r="AB100" s="50">
        <f t="shared" si="103"/>
        <v>0</v>
      </c>
      <c r="AC100" s="50">
        <f t="shared" si="103"/>
        <v>0</v>
      </c>
      <c r="AD100" s="50">
        <f t="shared" si="103"/>
        <v>0</v>
      </c>
      <c r="AE100" s="50">
        <f t="shared" si="103"/>
        <v>0</v>
      </c>
      <c r="AF100" s="50">
        <f t="shared" si="103"/>
        <v>0</v>
      </c>
      <c r="AG100" s="50">
        <f t="shared" si="103"/>
        <v>0</v>
      </c>
      <c r="AH100" s="50">
        <f t="shared" si="103"/>
        <v>0</v>
      </c>
      <c r="AI100" s="50">
        <f t="shared" si="103"/>
        <v>0</v>
      </c>
      <c r="AJ100" s="50">
        <f t="shared" si="103"/>
        <v>0</v>
      </c>
      <c r="AK100" s="50">
        <f t="shared" si="103"/>
        <v>0</v>
      </c>
      <c r="AL100" s="50">
        <f t="shared" si="103"/>
        <v>0</v>
      </c>
      <c r="AP100" s="2">
        <f t="shared" si="3"/>
        <v>0</v>
      </c>
      <c r="AQ100" s="2">
        <f>IFERROR(__xludf.DUMMYFUNCTION("IF(V100&gt;0,MIN(FILTER(U100:AL100, U100:AL100&lt;&gt;0)),0)"),0.0)</f>
        <v>0</v>
      </c>
      <c r="AS100" s="2">
        <f t="shared" si="4"/>
        <v>0</v>
      </c>
      <c r="AU100" s="2">
        <f t="shared" si="5"/>
        <v>0</v>
      </c>
      <c r="AW100" s="2">
        <f t="shared" si="6"/>
        <v>0</v>
      </c>
      <c r="AX100" s="2">
        <f>IFERROR(__xludf.DUMMYFUNCTION("IF(X100&gt;0,SMALL(FILTER(U100:AL100, U100:AL100&lt;&gt;0), 2),0)"),0.0)</f>
        <v>0</v>
      </c>
      <c r="AY100" s="2">
        <f t="shared" si="7"/>
        <v>0</v>
      </c>
      <c r="AZ100" s="2">
        <f t="shared" si="8"/>
        <v>0</v>
      </c>
      <c r="BA100" s="2">
        <f>IFERROR(__xludf.DUMMYFUNCTION("IF(Y100&gt;0,SMALL(FILTER(U100:AL100, U100:AL100&lt;&gt;0), 3),0)"),0.0)</f>
        <v>0</v>
      </c>
      <c r="BB100" s="2">
        <f t="shared" si="9"/>
        <v>0</v>
      </c>
    </row>
    <row r="101">
      <c r="A101" s="2">
        <f>Spieler!A102</f>
        <v>97</v>
      </c>
      <c r="B101" s="2" t="str">
        <f>VLOOKUP(A101,Spieler!A:F,2,0)</f>
        <v/>
      </c>
      <c r="C101" s="2">
        <f>IF(B101=0,0,VLOOKUP(B101,Datensammler!B:U,3,0))</f>
        <v>0</v>
      </c>
      <c r="D101" s="2">
        <f>IF(B101=0,0,VLOOKUP(B101,Datensammler!B:U,4,0))</f>
        <v>0</v>
      </c>
      <c r="E101" s="2">
        <f>IF(B101=0,0,VLOOKUP(B101,Datensammler!B:U,5,0))</f>
        <v>0</v>
      </c>
      <c r="F101" s="2">
        <f>IF(B101=0,0,VLOOKUP(B101,Datensammler!B:U,6,0))</f>
        <v>0</v>
      </c>
      <c r="G101" s="2">
        <f>IF(B101=0,0,VLOOKUP(B101,Datensammler!B:U,7,0))</f>
        <v>0</v>
      </c>
      <c r="H101" s="2">
        <f>IF(B101=0,0,VLOOKUP(B101,Datensammler!B:U,8,0))</f>
        <v>0</v>
      </c>
      <c r="I101" s="2">
        <f>IF(B101=0,0,VLOOKUP(B101,Datensammler!B:U,9,0))</f>
        <v>0</v>
      </c>
      <c r="J101" s="2">
        <f>IF(B101=0,0,VLOOKUP(B101,Datensammler!B:U,10,0))</f>
        <v>0</v>
      </c>
      <c r="K101" s="2">
        <f>IF(B101=0,0,VLOOKUP(B101,Datensammler!B:U,11,0))</f>
        <v>0</v>
      </c>
      <c r="L101" s="2">
        <f>IF(B101=0,0,VLOOKUP(B101,Datensammler!B:U,12,0))</f>
        <v>0</v>
      </c>
      <c r="M101" s="2">
        <f>IF(B101=0,0,VLOOKUP(B101,Datensammler!B:U,13,0))</f>
        <v>0</v>
      </c>
      <c r="N101" s="2">
        <f>IF(B101=0,0,VLOOKUP(B101,Datensammler!B:U,14,0))</f>
        <v>0</v>
      </c>
      <c r="O101" s="2">
        <f>IF(B101=0,0,VLOOKUP(B101,Datensammler!B:U,15,0))</f>
        <v>0</v>
      </c>
      <c r="P101" s="2">
        <f>IF(B101=0,0,VLOOKUP(B101,Datensammler!B:U,16,0))</f>
        <v>0</v>
      </c>
      <c r="Q101" s="2">
        <f>IF(B101=0,0,VLOOKUP(B101,Datensammler!B:U,17,0))</f>
        <v>0</v>
      </c>
      <c r="R101" s="2">
        <f>IF(B101=0,0,VLOOKUP(B101,Datensammler!B:U,18,0))</f>
        <v>0</v>
      </c>
      <c r="S101" s="2">
        <f>IF(B101=0,0,VLOOKUP(B101,Datensammler!B:U,19,0))</f>
        <v>0</v>
      </c>
      <c r="T101" s="2">
        <f>IF(B101=0,0,VLOOKUP(B101,Datensammler!B:U,20,0))</f>
        <v>0</v>
      </c>
      <c r="U101" s="50">
        <f t="shared" ref="U101:AL101" si="104">C101</f>
        <v>0</v>
      </c>
      <c r="V101" s="50">
        <f t="shared" si="104"/>
        <v>0</v>
      </c>
      <c r="W101" s="50">
        <f t="shared" si="104"/>
        <v>0</v>
      </c>
      <c r="X101" s="50">
        <f t="shared" si="104"/>
        <v>0</v>
      </c>
      <c r="Y101" s="50">
        <f t="shared" si="104"/>
        <v>0</v>
      </c>
      <c r="Z101" s="50">
        <f t="shared" si="104"/>
        <v>0</v>
      </c>
      <c r="AA101" s="50">
        <f t="shared" si="104"/>
        <v>0</v>
      </c>
      <c r="AB101" s="50">
        <f t="shared" si="104"/>
        <v>0</v>
      </c>
      <c r="AC101" s="50">
        <f t="shared" si="104"/>
        <v>0</v>
      </c>
      <c r="AD101" s="50">
        <f t="shared" si="104"/>
        <v>0</v>
      </c>
      <c r="AE101" s="50">
        <f t="shared" si="104"/>
        <v>0</v>
      </c>
      <c r="AF101" s="50">
        <f t="shared" si="104"/>
        <v>0</v>
      </c>
      <c r="AG101" s="50">
        <f t="shared" si="104"/>
        <v>0</v>
      </c>
      <c r="AH101" s="50">
        <f t="shared" si="104"/>
        <v>0</v>
      </c>
      <c r="AI101" s="50">
        <f t="shared" si="104"/>
        <v>0</v>
      </c>
      <c r="AJ101" s="50">
        <f t="shared" si="104"/>
        <v>0</v>
      </c>
      <c r="AK101" s="50">
        <f t="shared" si="104"/>
        <v>0</v>
      </c>
      <c r="AL101" s="50">
        <f t="shared" si="104"/>
        <v>0</v>
      </c>
      <c r="AP101" s="2">
        <f t="shared" si="3"/>
        <v>0</v>
      </c>
      <c r="AQ101" s="2">
        <f>IFERROR(__xludf.DUMMYFUNCTION("IF(V101&gt;0,MIN(FILTER(U101:AL101, U101:AL101&lt;&gt;0)),0)"),0.0)</f>
        <v>0</v>
      </c>
      <c r="AS101" s="2">
        <f t="shared" si="4"/>
        <v>0</v>
      </c>
      <c r="AU101" s="2">
        <f t="shared" si="5"/>
        <v>0</v>
      </c>
      <c r="AW101" s="2">
        <f t="shared" si="6"/>
        <v>0</v>
      </c>
      <c r="AX101" s="2">
        <f>IFERROR(__xludf.DUMMYFUNCTION("IF(X101&gt;0,SMALL(FILTER(U101:AL101, U101:AL101&lt;&gt;0), 2),0)"),0.0)</f>
        <v>0</v>
      </c>
      <c r="AY101" s="2">
        <f t="shared" si="7"/>
        <v>0</v>
      </c>
      <c r="AZ101" s="2">
        <f t="shared" si="8"/>
        <v>0</v>
      </c>
      <c r="BA101" s="2">
        <f>IFERROR(__xludf.DUMMYFUNCTION("IF(Y101&gt;0,SMALL(FILTER(U101:AL101, U101:AL101&lt;&gt;0), 3),0)"),0.0)</f>
        <v>0</v>
      </c>
      <c r="BB101" s="2">
        <f t="shared" si="9"/>
        <v>0</v>
      </c>
    </row>
    <row r="102">
      <c r="A102" s="2">
        <f>Spieler!A103</f>
        <v>98</v>
      </c>
      <c r="B102" s="2" t="str">
        <f>VLOOKUP(A102,Spieler!A:F,2,0)</f>
        <v/>
      </c>
      <c r="C102" s="2">
        <f>IF(B102=0,0,VLOOKUP(B102,Datensammler!B:U,3,0))</f>
        <v>0</v>
      </c>
      <c r="D102" s="2">
        <f>IF(B102=0,0,VLOOKUP(B102,Datensammler!B:U,4,0))</f>
        <v>0</v>
      </c>
      <c r="E102" s="2">
        <f>IF(B102=0,0,VLOOKUP(B102,Datensammler!B:U,5,0))</f>
        <v>0</v>
      </c>
      <c r="F102" s="2">
        <f>IF(B102=0,0,VLOOKUP(B102,Datensammler!B:U,6,0))</f>
        <v>0</v>
      </c>
      <c r="G102" s="2">
        <f>IF(B102=0,0,VLOOKUP(B102,Datensammler!B:U,7,0))</f>
        <v>0</v>
      </c>
      <c r="H102" s="2">
        <f>IF(B102=0,0,VLOOKUP(B102,Datensammler!B:U,8,0))</f>
        <v>0</v>
      </c>
      <c r="I102" s="2">
        <f>IF(B102=0,0,VLOOKUP(B102,Datensammler!B:U,9,0))</f>
        <v>0</v>
      </c>
      <c r="J102" s="2">
        <f>IF(B102=0,0,VLOOKUP(B102,Datensammler!B:U,10,0))</f>
        <v>0</v>
      </c>
      <c r="K102" s="2">
        <f>IF(B102=0,0,VLOOKUP(B102,Datensammler!B:U,11,0))</f>
        <v>0</v>
      </c>
      <c r="L102" s="2">
        <f>IF(B102=0,0,VLOOKUP(B102,Datensammler!B:U,12,0))</f>
        <v>0</v>
      </c>
      <c r="M102" s="2">
        <f>IF(B102=0,0,VLOOKUP(B102,Datensammler!B:U,13,0))</f>
        <v>0</v>
      </c>
      <c r="N102" s="2">
        <f>IF(B102=0,0,VLOOKUP(B102,Datensammler!B:U,14,0))</f>
        <v>0</v>
      </c>
      <c r="O102" s="2">
        <f>IF(B102=0,0,VLOOKUP(B102,Datensammler!B:U,15,0))</f>
        <v>0</v>
      </c>
      <c r="P102" s="2">
        <f>IF(B102=0,0,VLOOKUP(B102,Datensammler!B:U,16,0))</f>
        <v>0</v>
      </c>
      <c r="Q102" s="2">
        <f>IF(B102=0,0,VLOOKUP(B102,Datensammler!B:U,17,0))</f>
        <v>0</v>
      </c>
      <c r="R102" s="2">
        <f>IF(B102=0,0,VLOOKUP(B102,Datensammler!B:U,18,0))</f>
        <v>0</v>
      </c>
      <c r="S102" s="2">
        <f>IF(B102=0,0,VLOOKUP(B102,Datensammler!B:U,19,0))</f>
        <v>0</v>
      </c>
      <c r="T102" s="2">
        <f>IF(B102=0,0,VLOOKUP(B102,Datensammler!B:U,20,0))</f>
        <v>0</v>
      </c>
      <c r="U102" s="50">
        <f t="shared" ref="U102:AL102" si="105">C102</f>
        <v>0</v>
      </c>
      <c r="V102" s="50">
        <f t="shared" si="105"/>
        <v>0</v>
      </c>
      <c r="W102" s="50">
        <f t="shared" si="105"/>
        <v>0</v>
      </c>
      <c r="X102" s="50">
        <f t="shared" si="105"/>
        <v>0</v>
      </c>
      <c r="Y102" s="50">
        <f t="shared" si="105"/>
        <v>0</v>
      </c>
      <c r="Z102" s="50">
        <f t="shared" si="105"/>
        <v>0</v>
      </c>
      <c r="AA102" s="50">
        <f t="shared" si="105"/>
        <v>0</v>
      </c>
      <c r="AB102" s="50">
        <f t="shared" si="105"/>
        <v>0</v>
      </c>
      <c r="AC102" s="50">
        <f t="shared" si="105"/>
        <v>0</v>
      </c>
      <c r="AD102" s="50">
        <f t="shared" si="105"/>
        <v>0</v>
      </c>
      <c r="AE102" s="50">
        <f t="shared" si="105"/>
        <v>0</v>
      </c>
      <c r="AF102" s="50">
        <f t="shared" si="105"/>
        <v>0</v>
      </c>
      <c r="AG102" s="50">
        <f t="shared" si="105"/>
        <v>0</v>
      </c>
      <c r="AH102" s="50">
        <f t="shared" si="105"/>
        <v>0</v>
      </c>
      <c r="AI102" s="50">
        <f t="shared" si="105"/>
        <v>0</v>
      </c>
      <c r="AJ102" s="50">
        <f t="shared" si="105"/>
        <v>0</v>
      </c>
      <c r="AK102" s="50">
        <f t="shared" si="105"/>
        <v>0</v>
      </c>
      <c r="AL102" s="50">
        <f t="shared" si="105"/>
        <v>0</v>
      </c>
      <c r="AP102" s="2">
        <f t="shared" si="3"/>
        <v>0</v>
      </c>
      <c r="AQ102" s="2">
        <f>IFERROR(__xludf.DUMMYFUNCTION("IF(V102&gt;0,MIN(FILTER(U102:AL102, U102:AL102&lt;&gt;0)),0)"),0.0)</f>
        <v>0</v>
      </c>
      <c r="AS102" s="2">
        <f t="shared" si="4"/>
        <v>0</v>
      </c>
      <c r="AU102" s="2">
        <f t="shared" si="5"/>
        <v>0</v>
      </c>
      <c r="AW102" s="2">
        <f t="shared" si="6"/>
        <v>0</v>
      </c>
      <c r="AX102" s="2">
        <f>IFERROR(__xludf.DUMMYFUNCTION("IF(X102&gt;0,SMALL(FILTER(U102:AL102, U102:AL102&lt;&gt;0), 2),0)"),0.0)</f>
        <v>0</v>
      </c>
      <c r="AY102" s="2">
        <f t="shared" si="7"/>
        <v>0</v>
      </c>
      <c r="AZ102" s="2">
        <f t="shared" si="8"/>
        <v>0</v>
      </c>
      <c r="BA102" s="2">
        <f>IFERROR(__xludf.DUMMYFUNCTION("IF(Y102&gt;0,SMALL(FILTER(U102:AL102, U102:AL102&lt;&gt;0), 3),0)"),0.0)</f>
        <v>0</v>
      </c>
      <c r="BB102" s="2">
        <f t="shared" si="9"/>
        <v>0</v>
      </c>
    </row>
    <row r="103">
      <c r="A103" s="2">
        <f>Spieler!A104</f>
        <v>99</v>
      </c>
      <c r="B103" s="2" t="str">
        <f>VLOOKUP(A103,Spieler!A:F,2,0)</f>
        <v/>
      </c>
      <c r="C103" s="2">
        <f>IF(B103=0,0,VLOOKUP(B103,Datensammler!B:U,3,0))</f>
        <v>0</v>
      </c>
      <c r="D103" s="2">
        <f>IF(B103=0,0,VLOOKUP(B103,Datensammler!B:U,4,0))</f>
        <v>0</v>
      </c>
      <c r="E103" s="2">
        <f>IF(B103=0,0,VLOOKUP(B103,Datensammler!B:U,5,0))</f>
        <v>0</v>
      </c>
      <c r="F103" s="2">
        <f>IF(B103=0,0,VLOOKUP(B103,Datensammler!B:U,6,0))</f>
        <v>0</v>
      </c>
      <c r="G103" s="2">
        <f>IF(B103=0,0,VLOOKUP(B103,Datensammler!B:U,7,0))</f>
        <v>0</v>
      </c>
      <c r="H103" s="2">
        <f>IF(B103=0,0,VLOOKUP(B103,Datensammler!B:U,8,0))</f>
        <v>0</v>
      </c>
      <c r="I103" s="2">
        <f>IF(B103=0,0,VLOOKUP(B103,Datensammler!B:U,9,0))</f>
        <v>0</v>
      </c>
      <c r="J103" s="2">
        <f>IF(B103=0,0,VLOOKUP(B103,Datensammler!B:U,10,0))</f>
        <v>0</v>
      </c>
      <c r="K103" s="2">
        <f>IF(B103=0,0,VLOOKUP(B103,Datensammler!B:U,11,0))</f>
        <v>0</v>
      </c>
      <c r="L103" s="2">
        <f>IF(B103=0,0,VLOOKUP(B103,Datensammler!B:U,12,0))</f>
        <v>0</v>
      </c>
      <c r="M103" s="2">
        <f>IF(B103=0,0,VLOOKUP(B103,Datensammler!B:U,13,0))</f>
        <v>0</v>
      </c>
      <c r="N103" s="2">
        <f>IF(B103=0,0,VLOOKUP(B103,Datensammler!B:U,14,0))</f>
        <v>0</v>
      </c>
      <c r="O103" s="2">
        <f>IF(B103=0,0,VLOOKUP(B103,Datensammler!B:U,15,0))</f>
        <v>0</v>
      </c>
      <c r="P103" s="2">
        <f>IF(B103=0,0,VLOOKUP(B103,Datensammler!B:U,16,0))</f>
        <v>0</v>
      </c>
      <c r="Q103" s="2">
        <f>IF(B103=0,0,VLOOKUP(B103,Datensammler!B:U,17,0))</f>
        <v>0</v>
      </c>
      <c r="R103" s="2">
        <f>IF(B103=0,0,VLOOKUP(B103,Datensammler!B:U,18,0))</f>
        <v>0</v>
      </c>
      <c r="S103" s="2">
        <f>IF(B103=0,0,VLOOKUP(B103,Datensammler!B:U,19,0))</f>
        <v>0</v>
      </c>
      <c r="T103" s="2">
        <f>IF(B103=0,0,VLOOKUP(B103,Datensammler!B:U,20,0))</f>
        <v>0</v>
      </c>
      <c r="U103" s="50">
        <f t="shared" ref="U103:AL103" si="106">C103</f>
        <v>0</v>
      </c>
      <c r="V103" s="50">
        <f t="shared" si="106"/>
        <v>0</v>
      </c>
      <c r="W103" s="50">
        <f t="shared" si="106"/>
        <v>0</v>
      </c>
      <c r="X103" s="50">
        <f t="shared" si="106"/>
        <v>0</v>
      </c>
      <c r="Y103" s="50">
        <f t="shared" si="106"/>
        <v>0</v>
      </c>
      <c r="Z103" s="50">
        <f t="shared" si="106"/>
        <v>0</v>
      </c>
      <c r="AA103" s="50">
        <f t="shared" si="106"/>
        <v>0</v>
      </c>
      <c r="AB103" s="50">
        <f t="shared" si="106"/>
        <v>0</v>
      </c>
      <c r="AC103" s="50">
        <f t="shared" si="106"/>
        <v>0</v>
      </c>
      <c r="AD103" s="50">
        <f t="shared" si="106"/>
        <v>0</v>
      </c>
      <c r="AE103" s="50">
        <f t="shared" si="106"/>
        <v>0</v>
      </c>
      <c r="AF103" s="50">
        <f t="shared" si="106"/>
        <v>0</v>
      </c>
      <c r="AG103" s="50">
        <f t="shared" si="106"/>
        <v>0</v>
      </c>
      <c r="AH103" s="50">
        <f t="shared" si="106"/>
        <v>0</v>
      </c>
      <c r="AI103" s="50">
        <f t="shared" si="106"/>
        <v>0</v>
      </c>
      <c r="AJ103" s="50">
        <f t="shared" si="106"/>
        <v>0</v>
      </c>
      <c r="AK103" s="50">
        <f t="shared" si="106"/>
        <v>0</v>
      </c>
      <c r="AL103" s="50">
        <f t="shared" si="106"/>
        <v>0</v>
      </c>
      <c r="AP103" s="2">
        <f t="shared" si="3"/>
        <v>0</v>
      </c>
      <c r="AQ103" s="2">
        <f>IFERROR(__xludf.DUMMYFUNCTION("IF(V103&gt;0,MIN(FILTER(U103:AL103, U103:AL103&lt;&gt;0)),0)"),0.0)</f>
        <v>0</v>
      </c>
      <c r="AS103" s="2">
        <f t="shared" si="4"/>
        <v>0</v>
      </c>
      <c r="AU103" s="2">
        <f t="shared" si="5"/>
        <v>0</v>
      </c>
      <c r="AW103" s="2">
        <f t="shared" si="6"/>
        <v>0</v>
      </c>
      <c r="AX103" s="2">
        <f>IFERROR(__xludf.DUMMYFUNCTION("IF(X103&gt;0,SMALL(FILTER(U103:AL103, U103:AL103&lt;&gt;0), 2),0)"),0.0)</f>
        <v>0</v>
      </c>
      <c r="AY103" s="2">
        <f t="shared" si="7"/>
        <v>0</v>
      </c>
      <c r="AZ103" s="2">
        <f t="shared" si="8"/>
        <v>0</v>
      </c>
      <c r="BA103" s="2">
        <f>IFERROR(__xludf.DUMMYFUNCTION("IF(Y103&gt;0,SMALL(FILTER(U103:AL103, U103:AL103&lt;&gt;0), 3),0)"),0.0)</f>
        <v>0</v>
      </c>
      <c r="BB103" s="2">
        <f t="shared" si="9"/>
        <v>0</v>
      </c>
    </row>
    <row r="104">
      <c r="A104" s="2">
        <f>Spieler!A105</f>
        <v>100</v>
      </c>
      <c r="B104" s="2" t="str">
        <f>VLOOKUP(A104,Spieler!A:F,2,0)</f>
        <v/>
      </c>
      <c r="C104" s="2">
        <f>IF(B104=0,0,VLOOKUP(B104,Datensammler!B:U,3,0))</f>
        <v>0</v>
      </c>
      <c r="D104" s="2">
        <f>IF(B104=0,0,VLOOKUP(B104,Datensammler!B:U,4,0))</f>
        <v>0</v>
      </c>
      <c r="E104" s="2">
        <f>IF(B104=0,0,VLOOKUP(B104,Datensammler!B:U,5,0))</f>
        <v>0</v>
      </c>
      <c r="F104" s="2">
        <f>IF(B104=0,0,VLOOKUP(B104,Datensammler!B:U,6,0))</f>
        <v>0</v>
      </c>
      <c r="G104" s="2">
        <f>IF(B104=0,0,VLOOKUP(B104,Datensammler!B:U,7,0))</f>
        <v>0</v>
      </c>
      <c r="H104" s="2">
        <f>IF(B104=0,0,VLOOKUP(B104,Datensammler!B:U,8,0))</f>
        <v>0</v>
      </c>
      <c r="I104" s="2">
        <f>IF(B104=0,0,VLOOKUP(B104,Datensammler!B:U,9,0))</f>
        <v>0</v>
      </c>
      <c r="J104" s="2">
        <f>IF(B104=0,0,VLOOKUP(B104,Datensammler!B:U,10,0))</f>
        <v>0</v>
      </c>
      <c r="K104" s="2">
        <f>IF(B104=0,0,VLOOKUP(B104,Datensammler!B:U,11,0))</f>
        <v>0</v>
      </c>
      <c r="L104" s="2">
        <f>IF(B104=0,0,VLOOKUP(B104,Datensammler!B:U,12,0))</f>
        <v>0</v>
      </c>
      <c r="M104" s="2">
        <f>IF(B104=0,0,VLOOKUP(B104,Datensammler!B:U,13,0))</f>
        <v>0</v>
      </c>
      <c r="N104" s="2">
        <f>IF(B104=0,0,VLOOKUP(B104,Datensammler!B:U,14,0))</f>
        <v>0</v>
      </c>
      <c r="O104" s="2">
        <f>IF(B104=0,0,VLOOKUP(B104,Datensammler!B:U,15,0))</f>
        <v>0</v>
      </c>
      <c r="P104" s="2">
        <f>IF(B104=0,0,VLOOKUP(B104,Datensammler!B:U,16,0))</f>
        <v>0</v>
      </c>
      <c r="Q104" s="2">
        <f>IF(B104=0,0,VLOOKUP(B104,Datensammler!B:U,17,0))</f>
        <v>0</v>
      </c>
      <c r="R104" s="2">
        <f>IF(B104=0,0,VLOOKUP(B104,Datensammler!B:U,18,0))</f>
        <v>0</v>
      </c>
      <c r="S104" s="2">
        <f>IF(B104=0,0,VLOOKUP(B104,Datensammler!B:U,19,0))</f>
        <v>0</v>
      </c>
      <c r="T104" s="2">
        <f>IF(B104=0,0,VLOOKUP(B104,Datensammler!B:U,20,0))</f>
        <v>0</v>
      </c>
      <c r="U104" s="50">
        <f t="shared" ref="U104:AL104" si="107">C104</f>
        <v>0</v>
      </c>
      <c r="V104" s="50">
        <f t="shared" si="107"/>
        <v>0</v>
      </c>
      <c r="W104" s="50">
        <f t="shared" si="107"/>
        <v>0</v>
      </c>
      <c r="X104" s="50">
        <f t="shared" si="107"/>
        <v>0</v>
      </c>
      <c r="Y104" s="50">
        <f t="shared" si="107"/>
        <v>0</v>
      </c>
      <c r="Z104" s="50">
        <f t="shared" si="107"/>
        <v>0</v>
      </c>
      <c r="AA104" s="50">
        <f t="shared" si="107"/>
        <v>0</v>
      </c>
      <c r="AB104" s="50">
        <f t="shared" si="107"/>
        <v>0</v>
      </c>
      <c r="AC104" s="50">
        <f t="shared" si="107"/>
        <v>0</v>
      </c>
      <c r="AD104" s="50">
        <f t="shared" si="107"/>
        <v>0</v>
      </c>
      <c r="AE104" s="50">
        <f t="shared" si="107"/>
        <v>0</v>
      </c>
      <c r="AF104" s="50">
        <f t="shared" si="107"/>
        <v>0</v>
      </c>
      <c r="AG104" s="50">
        <f t="shared" si="107"/>
        <v>0</v>
      </c>
      <c r="AH104" s="50">
        <f t="shared" si="107"/>
        <v>0</v>
      </c>
      <c r="AI104" s="50">
        <f t="shared" si="107"/>
        <v>0</v>
      </c>
      <c r="AJ104" s="50">
        <f t="shared" si="107"/>
        <v>0</v>
      </c>
      <c r="AK104" s="50">
        <f t="shared" si="107"/>
        <v>0</v>
      </c>
      <c r="AL104" s="50">
        <f t="shared" si="107"/>
        <v>0</v>
      </c>
      <c r="AP104" s="2">
        <f t="shared" si="3"/>
        <v>0</v>
      </c>
      <c r="AQ104" s="2">
        <f>IFERROR(__xludf.DUMMYFUNCTION("IF(V104&gt;0,MIN(FILTER(U104:AL104, U104:AL104&lt;&gt;0)),0)"),0.0)</f>
        <v>0</v>
      </c>
      <c r="AS104" s="2">
        <f t="shared" si="4"/>
        <v>0</v>
      </c>
      <c r="AU104" s="2">
        <f t="shared" si="5"/>
        <v>0</v>
      </c>
      <c r="AW104" s="2">
        <f t="shared" si="6"/>
        <v>0</v>
      </c>
      <c r="AX104" s="2">
        <f>IFERROR(__xludf.DUMMYFUNCTION("IF(X104&gt;0,SMALL(FILTER(U104:AL104, U104:AL104&lt;&gt;0), 2),0)"),0.0)</f>
        <v>0</v>
      </c>
      <c r="AY104" s="2">
        <f t="shared" si="7"/>
        <v>0</v>
      </c>
      <c r="AZ104" s="2">
        <f t="shared" si="8"/>
        <v>0</v>
      </c>
      <c r="BA104" s="2">
        <f>IFERROR(__xludf.DUMMYFUNCTION("IF(Y104&gt;0,SMALL(FILTER(U104:AL104, U104:AL104&lt;&gt;0), 3),0)"),0.0)</f>
        <v>0</v>
      </c>
      <c r="BB104" s="2">
        <f t="shared" si="9"/>
        <v>0</v>
      </c>
    </row>
    <row r="105">
      <c r="A105" s="2">
        <f>Spieler!A106</f>
        <v>101</v>
      </c>
      <c r="B105" s="2" t="str">
        <f>VLOOKUP(A105,Spieler!A:F,2,0)</f>
        <v/>
      </c>
      <c r="C105" s="2">
        <f>IF(B105=0,0,VLOOKUP(B105,Datensammler!B:U,3,0))</f>
        <v>0</v>
      </c>
      <c r="D105" s="2">
        <f>IF(B105=0,0,VLOOKUP(B105,Datensammler!B:U,4,0))</f>
        <v>0</v>
      </c>
      <c r="E105" s="2">
        <f>IF(B105=0,0,VLOOKUP(B105,Datensammler!B:U,5,0))</f>
        <v>0</v>
      </c>
      <c r="F105" s="2">
        <f>IF(B105=0,0,VLOOKUP(B105,Datensammler!B:U,6,0))</f>
        <v>0</v>
      </c>
      <c r="G105" s="2">
        <f>IF(B105=0,0,VLOOKUP(B105,Datensammler!B:U,7,0))</f>
        <v>0</v>
      </c>
      <c r="H105" s="2">
        <f>IF(B105=0,0,VLOOKUP(B105,Datensammler!B:U,8,0))</f>
        <v>0</v>
      </c>
      <c r="I105" s="2">
        <f>IF(B105=0,0,VLOOKUP(B105,Datensammler!B:U,9,0))</f>
        <v>0</v>
      </c>
      <c r="J105" s="2">
        <f>IF(B105=0,0,VLOOKUP(B105,Datensammler!B:U,10,0))</f>
        <v>0</v>
      </c>
      <c r="K105" s="2">
        <f>IF(B105=0,0,VLOOKUP(B105,Datensammler!B:U,11,0))</f>
        <v>0</v>
      </c>
      <c r="L105" s="2">
        <f>IF(B105=0,0,VLOOKUP(B105,Datensammler!B:U,12,0))</f>
        <v>0</v>
      </c>
      <c r="M105" s="2">
        <f>IF(B105=0,0,VLOOKUP(B105,Datensammler!B:U,13,0))</f>
        <v>0</v>
      </c>
      <c r="N105" s="2">
        <f>IF(B105=0,0,VLOOKUP(B105,Datensammler!B:U,14,0))</f>
        <v>0</v>
      </c>
      <c r="O105" s="2">
        <f>IF(B105=0,0,VLOOKUP(B105,Datensammler!B:U,15,0))</f>
        <v>0</v>
      </c>
      <c r="P105" s="2">
        <f>IF(B105=0,0,VLOOKUP(B105,Datensammler!B:U,16,0))</f>
        <v>0</v>
      </c>
      <c r="Q105" s="2">
        <f>IF(B105=0,0,VLOOKUP(B105,Datensammler!B:U,17,0))</f>
        <v>0</v>
      </c>
      <c r="R105" s="2">
        <f>IF(B105=0,0,VLOOKUP(B105,Datensammler!B:U,18,0))</f>
        <v>0</v>
      </c>
      <c r="S105" s="2">
        <f>IF(B105=0,0,VLOOKUP(B105,Datensammler!B:U,19,0))</f>
        <v>0</v>
      </c>
      <c r="T105" s="2">
        <f>IF(B105=0,0,VLOOKUP(B105,Datensammler!B:U,20,0))</f>
        <v>0</v>
      </c>
      <c r="U105" s="50">
        <f t="shared" ref="U105:AL105" si="108">C105</f>
        <v>0</v>
      </c>
      <c r="V105" s="50">
        <f t="shared" si="108"/>
        <v>0</v>
      </c>
      <c r="W105" s="50">
        <f t="shared" si="108"/>
        <v>0</v>
      </c>
      <c r="X105" s="50">
        <f t="shared" si="108"/>
        <v>0</v>
      </c>
      <c r="Y105" s="50">
        <f t="shared" si="108"/>
        <v>0</v>
      </c>
      <c r="Z105" s="50">
        <f t="shared" si="108"/>
        <v>0</v>
      </c>
      <c r="AA105" s="50">
        <f t="shared" si="108"/>
        <v>0</v>
      </c>
      <c r="AB105" s="50">
        <f t="shared" si="108"/>
        <v>0</v>
      </c>
      <c r="AC105" s="50">
        <f t="shared" si="108"/>
        <v>0</v>
      </c>
      <c r="AD105" s="50">
        <f t="shared" si="108"/>
        <v>0</v>
      </c>
      <c r="AE105" s="50">
        <f t="shared" si="108"/>
        <v>0</v>
      </c>
      <c r="AF105" s="50">
        <f t="shared" si="108"/>
        <v>0</v>
      </c>
      <c r="AG105" s="50">
        <f t="shared" si="108"/>
        <v>0</v>
      </c>
      <c r="AH105" s="50">
        <f t="shared" si="108"/>
        <v>0</v>
      </c>
      <c r="AI105" s="50">
        <f t="shared" si="108"/>
        <v>0</v>
      </c>
      <c r="AJ105" s="50">
        <f t="shared" si="108"/>
        <v>0</v>
      </c>
      <c r="AK105" s="50">
        <f t="shared" si="108"/>
        <v>0</v>
      </c>
      <c r="AL105" s="50">
        <f t="shared" si="108"/>
        <v>0</v>
      </c>
      <c r="AP105" s="2">
        <f t="shared" si="3"/>
        <v>0</v>
      </c>
      <c r="AQ105" s="2">
        <f>IFERROR(__xludf.DUMMYFUNCTION("IF(V105&gt;0,MIN(FILTER(U105:AL105, U105:AL105&lt;&gt;0)),0)"),0.0)</f>
        <v>0</v>
      </c>
      <c r="AS105" s="2">
        <f t="shared" si="4"/>
        <v>0</v>
      </c>
      <c r="AU105" s="2">
        <f t="shared" si="5"/>
        <v>0</v>
      </c>
      <c r="AW105" s="2">
        <f t="shared" si="6"/>
        <v>0</v>
      </c>
      <c r="AX105" s="2">
        <f>IFERROR(__xludf.DUMMYFUNCTION("IF(X105&gt;0,SMALL(FILTER(U105:AL105, U105:AL105&lt;&gt;0), 2),0)"),0.0)</f>
        <v>0</v>
      </c>
      <c r="AY105" s="2">
        <f t="shared" si="7"/>
        <v>0</v>
      </c>
      <c r="AZ105" s="2">
        <f t="shared" si="8"/>
        <v>0</v>
      </c>
      <c r="BA105" s="2">
        <f>IFERROR(__xludf.DUMMYFUNCTION("IF(Y105&gt;0,SMALL(FILTER(U105:AL105, U105:AL105&lt;&gt;0), 3),0)"),0.0)</f>
        <v>0</v>
      </c>
      <c r="BB105" s="2">
        <f t="shared" si="9"/>
        <v>0</v>
      </c>
    </row>
    <row r="106">
      <c r="A106" s="2">
        <f>Spieler!A107</f>
        <v>102</v>
      </c>
      <c r="B106" s="2" t="str">
        <f>VLOOKUP(A106,Spieler!A:F,2,0)</f>
        <v/>
      </c>
      <c r="C106" s="2">
        <f>IF(B106=0,0,VLOOKUP(B106,Datensammler!B:U,3,0))</f>
        <v>0</v>
      </c>
      <c r="D106" s="2">
        <f>IF(B106=0,0,VLOOKUP(B106,Datensammler!B:U,4,0))</f>
        <v>0</v>
      </c>
      <c r="E106" s="2">
        <f>IF(B106=0,0,VLOOKUP(B106,Datensammler!B:U,5,0))</f>
        <v>0</v>
      </c>
      <c r="F106" s="2">
        <f>IF(B106=0,0,VLOOKUP(B106,Datensammler!B:U,6,0))</f>
        <v>0</v>
      </c>
      <c r="G106" s="2">
        <f>IF(B106=0,0,VLOOKUP(B106,Datensammler!B:U,7,0))</f>
        <v>0</v>
      </c>
      <c r="H106" s="2">
        <f>IF(B106=0,0,VLOOKUP(B106,Datensammler!B:U,8,0))</f>
        <v>0</v>
      </c>
      <c r="I106" s="2">
        <f>IF(B106=0,0,VLOOKUP(B106,Datensammler!B:U,9,0))</f>
        <v>0</v>
      </c>
      <c r="J106" s="2">
        <f>IF(B106=0,0,VLOOKUP(B106,Datensammler!B:U,10,0))</f>
        <v>0</v>
      </c>
      <c r="K106" s="2">
        <f>IF(B106=0,0,VLOOKUP(B106,Datensammler!B:U,11,0))</f>
        <v>0</v>
      </c>
      <c r="L106" s="2">
        <f>IF(B106=0,0,VLOOKUP(B106,Datensammler!B:U,12,0))</f>
        <v>0</v>
      </c>
      <c r="M106" s="2">
        <f>IF(B106=0,0,VLOOKUP(B106,Datensammler!B:U,13,0))</f>
        <v>0</v>
      </c>
      <c r="N106" s="2">
        <f>IF(B106=0,0,VLOOKUP(B106,Datensammler!B:U,14,0))</f>
        <v>0</v>
      </c>
      <c r="O106" s="2">
        <f>IF(B106=0,0,VLOOKUP(B106,Datensammler!B:U,15,0))</f>
        <v>0</v>
      </c>
      <c r="P106" s="2">
        <f>IF(B106=0,0,VLOOKUP(B106,Datensammler!B:U,16,0))</f>
        <v>0</v>
      </c>
      <c r="Q106" s="2">
        <f>IF(B106=0,0,VLOOKUP(B106,Datensammler!B:U,17,0))</f>
        <v>0</v>
      </c>
      <c r="R106" s="2">
        <f>IF(B106=0,0,VLOOKUP(B106,Datensammler!B:U,18,0))</f>
        <v>0</v>
      </c>
      <c r="S106" s="2">
        <f>IF(B106=0,0,VLOOKUP(B106,Datensammler!B:U,19,0))</f>
        <v>0</v>
      </c>
      <c r="T106" s="2">
        <f>IF(B106=0,0,VLOOKUP(B106,Datensammler!B:U,20,0))</f>
        <v>0</v>
      </c>
      <c r="U106" s="50">
        <f t="shared" ref="U106:AL106" si="109">C106</f>
        <v>0</v>
      </c>
      <c r="V106" s="50">
        <f t="shared" si="109"/>
        <v>0</v>
      </c>
      <c r="W106" s="50">
        <f t="shared" si="109"/>
        <v>0</v>
      </c>
      <c r="X106" s="50">
        <f t="shared" si="109"/>
        <v>0</v>
      </c>
      <c r="Y106" s="50">
        <f t="shared" si="109"/>
        <v>0</v>
      </c>
      <c r="Z106" s="50">
        <f t="shared" si="109"/>
        <v>0</v>
      </c>
      <c r="AA106" s="50">
        <f t="shared" si="109"/>
        <v>0</v>
      </c>
      <c r="AB106" s="50">
        <f t="shared" si="109"/>
        <v>0</v>
      </c>
      <c r="AC106" s="50">
        <f t="shared" si="109"/>
        <v>0</v>
      </c>
      <c r="AD106" s="50">
        <f t="shared" si="109"/>
        <v>0</v>
      </c>
      <c r="AE106" s="50">
        <f t="shared" si="109"/>
        <v>0</v>
      </c>
      <c r="AF106" s="50">
        <f t="shared" si="109"/>
        <v>0</v>
      </c>
      <c r="AG106" s="50">
        <f t="shared" si="109"/>
        <v>0</v>
      </c>
      <c r="AH106" s="50">
        <f t="shared" si="109"/>
        <v>0</v>
      </c>
      <c r="AI106" s="50">
        <f t="shared" si="109"/>
        <v>0</v>
      </c>
      <c r="AJ106" s="50">
        <f t="shared" si="109"/>
        <v>0</v>
      </c>
      <c r="AK106" s="50">
        <f t="shared" si="109"/>
        <v>0</v>
      </c>
      <c r="AL106" s="50">
        <f t="shared" si="109"/>
        <v>0</v>
      </c>
      <c r="AP106" s="2">
        <f t="shared" si="3"/>
        <v>0</v>
      </c>
      <c r="AQ106" s="2">
        <f>IFERROR(__xludf.DUMMYFUNCTION("IF(V106&gt;0,MIN(FILTER(U106:AL106, U106:AL106&lt;&gt;0)),0)"),0.0)</f>
        <v>0</v>
      </c>
      <c r="AS106" s="2">
        <f t="shared" si="4"/>
        <v>0</v>
      </c>
      <c r="AU106" s="2">
        <f t="shared" si="5"/>
        <v>0</v>
      </c>
      <c r="AW106" s="2">
        <f t="shared" si="6"/>
        <v>0</v>
      </c>
      <c r="AX106" s="2">
        <f>IFERROR(__xludf.DUMMYFUNCTION("IF(X106&gt;0,SMALL(FILTER(U106:AL106, U106:AL106&lt;&gt;0), 2),0)"),0.0)</f>
        <v>0</v>
      </c>
      <c r="AY106" s="2">
        <f t="shared" si="7"/>
        <v>0</v>
      </c>
      <c r="AZ106" s="2">
        <f t="shared" si="8"/>
        <v>0</v>
      </c>
      <c r="BA106" s="2">
        <f>IFERROR(__xludf.DUMMYFUNCTION("IF(Y106&gt;0,SMALL(FILTER(U106:AL106, U106:AL106&lt;&gt;0), 3),0)"),0.0)</f>
        <v>0</v>
      </c>
      <c r="BB106" s="2">
        <f t="shared" si="9"/>
        <v>0</v>
      </c>
    </row>
    <row r="107">
      <c r="A107" s="2">
        <f>Spieler!A108</f>
        <v>103</v>
      </c>
      <c r="B107" s="2" t="str">
        <f>VLOOKUP(A107,Spieler!A:F,2,0)</f>
        <v/>
      </c>
      <c r="C107" s="2">
        <f>IF(B107=0,0,VLOOKUP(B107,Datensammler!B:U,3,0))</f>
        <v>0</v>
      </c>
      <c r="D107" s="2">
        <f>IF(B107=0,0,VLOOKUP(B107,Datensammler!B:U,4,0))</f>
        <v>0</v>
      </c>
      <c r="E107" s="2">
        <f>IF(B107=0,0,VLOOKUP(B107,Datensammler!B:U,5,0))</f>
        <v>0</v>
      </c>
      <c r="F107" s="2">
        <f>IF(B107=0,0,VLOOKUP(B107,Datensammler!B:U,6,0))</f>
        <v>0</v>
      </c>
      <c r="G107" s="2">
        <f>IF(B107=0,0,VLOOKUP(B107,Datensammler!B:U,7,0))</f>
        <v>0</v>
      </c>
      <c r="H107" s="2">
        <f>IF(B107=0,0,VLOOKUP(B107,Datensammler!B:U,8,0))</f>
        <v>0</v>
      </c>
      <c r="I107" s="2">
        <f>IF(B107=0,0,VLOOKUP(B107,Datensammler!B:U,9,0))</f>
        <v>0</v>
      </c>
      <c r="J107" s="2">
        <f>IF(B107=0,0,VLOOKUP(B107,Datensammler!B:U,10,0))</f>
        <v>0</v>
      </c>
      <c r="K107" s="2">
        <f>IF(B107=0,0,VLOOKUP(B107,Datensammler!B:U,11,0))</f>
        <v>0</v>
      </c>
      <c r="L107" s="2">
        <f>IF(B107=0,0,VLOOKUP(B107,Datensammler!B:U,12,0))</f>
        <v>0</v>
      </c>
      <c r="M107" s="2">
        <f>IF(B107=0,0,VLOOKUP(B107,Datensammler!B:U,13,0))</f>
        <v>0</v>
      </c>
      <c r="N107" s="2">
        <f>IF(B107=0,0,VLOOKUP(B107,Datensammler!B:U,14,0))</f>
        <v>0</v>
      </c>
      <c r="O107" s="2">
        <f>IF(B107=0,0,VLOOKUP(B107,Datensammler!B:U,15,0))</f>
        <v>0</v>
      </c>
      <c r="P107" s="2">
        <f>IF(B107=0,0,VLOOKUP(B107,Datensammler!B:U,16,0))</f>
        <v>0</v>
      </c>
      <c r="Q107" s="2">
        <f>IF(B107=0,0,VLOOKUP(B107,Datensammler!B:U,17,0))</f>
        <v>0</v>
      </c>
      <c r="R107" s="2">
        <f>IF(B107=0,0,VLOOKUP(B107,Datensammler!B:U,18,0))</f>
        <v>0</v>
      </c>
      <c r="S107" s="2">
        <f>IF(B107=0,0,VLOOKUP(B107,Datensammler!B:U,19,0))</f>
        <v>0</v>
      </c>
      <c r="T107" s="2">
        <f>IF(B107=0,0,VLOOKUP(B107,Datensammler!B:U,20,0))</f>
        <v>0</v>
      </c>
      <c r="U107" s="50">
        <f t="shared" ref="U107:AL107" si="110">C107</f>
        <v>0</v>
      </c>
      <c r="V107" s="50">
        <f t="shared" si="110"/>
        <v>0</v>
      </c>
      <c r="W107" s="50">
        <f t="shared" si="110"/>
        <v>0</v>
      </c>
      <c r="X107" s="50">
        <f t="shared" si="110"/>
        <v>0</v>
      </c>
      <c r="Y107" s="50">
        <f t="shared" si="110"/>
        <v>0</v>
      </c>
      <c r="Z107" s="50">
        <f t="shared" si="110"/>
        <v>0</v>
      </c>
      <c r="AA107" s="50">
        <f t="shared" si="110"/>
        <v>0</v>
      </c>
      <c r="AB107" s="50">
        <f t="shared" si="110"/>
        <v>0</v>
      </c>
      <c r="AC107" s="50">
        <f t="shared" si="110"/>
        <v>0</v>
      </c>
      <c r="AD107" s="50">
        <f t="shared" si="110"/>
        <v>0</v>
      </c>
      <c r="AE107" s="50">
        <f t="shared" si="110"/>
        <v>0</v>
      </c>
      <c r="AF107" s="50">
        <f t="shared" si="110"/>
        <v>0</v>
      </c>
      <c r="AG107" s="50">
        <f t="shared" si="110"/>
        <v>0</v>
      </c>
      <c r="AH107" s="50">
        <f t="shared" si="110"/>
        <v>0</v>
      </c>
      <c r="AI107" s="50">
        <f t="shared" si="110"/>
        <v>0</v>
      </c>
      <c r="AJ107" s="50">
        <f t="shared" si="110"/>
        <v>0</v>
      </c>
      <c r="AK107" s="50">
        <f t="shared" si="110"/>
        <v>0</v>
      </c>
      <c r="AL107" s="50">
        <f t="shared" si="110"/>
        <v>0</v>
      </c>
      <c r="AP107" s="2">
        <f t="shared" si="3"/>
        <v>0</v>
      </c>
      <c r="AQ107" s="2">
        <f>IFERROR(__xludf.DUMMYFUNCTION("IF(V107&gt;0,MIN(FILTER(U107:AL107, U107:AL107&lt;&gt;0)),0)"),0.0)</f>
        <v>0</v>
      </c>
      <c r="AS107" s="2">
        <f t="shared" si="4"/>
        <v>0</v>
      </c>
      <c r="AU107" s="2">
        <f t="shared" si="5"/>
        <v>0</v>
      </c>
      <c r="AW107" s="2">
        <f t="shared" si="6"/>
        <v>0</v>
      </c>
      <c r="AX107" s="2">
        <f>IFERROR(__xludf.DUMMYFUNCTION("IF(X107&gt;0,SMALL(FILTER(U107:AL107, U107:AL107&lt;&gt;0), 2),0)"),0.0)</f>
        <v>0</v>
      </c>
      <c r="AY107" s="2">
        <f t="shared" si="7"/>
        <v>0</v>
      </c>
      <c r="AZ107" s="2">
        <f t="shared" si="8"/>
        <v>0</v>
      </c>
      <c r="BA107" s="2">
        <f>IFERROR(__xludf.DUMMYFUNCTION("IF(Y107&gt;0,SMALL(FILTER(U107:AL107, U107:AL107&lt;&gt;0), 3),0)"),0.0)</f>
        <v>0</v>
      </c>
      <c r="BB107" s="2">
        <f t="shared" si="9"/>
        <v>0</v>
      </c>
    </row>
    <row r="108">
      <c r="A108" s="2">
        <f>Spieler!A109</f>
        <v>104</v>
      </c>
      <c r="B108" s="2" t="str">
        <f>VLOOKUP(A108,Spieler!A:F,2,0)</f>
        <v/>
      </c>
      <c r="C108" s="2">
        <f>IF(B108=0,0,VLOOKUP(B108,Datensammler!B:U,3,0))</f>
        <v>0</v>
      </c>
      <c r="D108" s="2">
        <f>IF(B108=0,0,VLOOKUP(B108,Datensammler!B:U,4,0))</f>
        <v>0</v>
      </c>
      <c r="E108" s="2">
        <f>IF(B108=0,0,VLOOKUP(B108,Datensammler!B:U,5,0))</f>
        <v>0</v>
      </c>
      <c r="F108" s="2">
        <f>IF(B108=0,0,VLOOKUP(B108,Datensammler!B:U,6,0))</f>
        <v>0</v>
      </c>
      <c r="G108" s="2">
        <f>IF(B108=0,0,VLOOKUP(B108,Datensammler!B:U,7,0))</f>
        <v>0</v>
      </c>
      <c r="H108" s="2">
        <f>IF(B108=0,0,VLOOKUP(B108,Datensammler!B:U,8,0))</f>
        <v>0</v>
      </c>
      <c r="I108" s="2">
        <f>IF(B108=0,0,VLOOKUP(B108,Datensammler!B:U,9,0))</f>
        <v>0</v>
      </c>
      <c r="J108" s="2">
        <f>IF(B108=0,0,VLOOKUP(B108,Datensammler!B:U,10,0))</f>
        <v>0</v>
      </c>
      <c r="K108" s="2">
        <f>IF(B108=0,0,VLOOKUP(B108,Datensammler!B:U,11,0))</f>
        <v>0</v>
      </c>
      <c r="L108" s="2">
        <f>IF(B108=0,0,VLOOKUP(B108,Datensammler!B:U,12,0))</f>
        <v>0</v>
      </c>
      <c r="M108" s="2">
        <f>IF(B108=0,0,VLOOKUP(B108,Datensammler!B:U,13,0))</f>
        <v>0</v>
      </c>
      <c r="N108" s="2">
        <f>IF(B108=0,0,VLOOKUP(B108,Datensammler!B:U,14,0))</f>
        <v>0</v>
      </c>
      <c r="O108" s="2">
        <f>IF(B108=0,0,VLOOKUP(B108,Datensammler!B:U,15,0))</f>
        <v>0</v>
      </c>
      <c r="P108" s="2">
        <f>IF(B108=0,0,VLOOKUP(B108,Datensammler!B:U,16,0))</f>
        <v>0</v>
      </c>
      <c r="Q108" s="2">
        <f>IF(B108=0,0,VLOOKUP(B108,Datensammler!B:U,17,0))</f>
        <v>0</v>
      </c>
      <c r="R108" s="2">
        <f>IF(B108=0,0,VLOOKUP(B108,Datensammler!B:U,18,0))</f>
        <v>0</v>
      </c>
      <c r="S108" s="2">
        <f>IF(B108=0,0,VLOOKUP(B108,Datensammler!B:U,19,0))</f>
        <v>0</v>
      </c>
      <c r="T108" s="2">
        <f>IF(B108=0,0,VLOOKUP(B108,Datensammler!B:U,20,0))</f>
        <v>0</v>
      </c>
      <c r="U108" s="50">
        <f t="shared" ref="U108:AL108" si="111">C108</f>
        <v>0</v>
      </c>
      <c r="V108" s="50">
        <f t="shared" si="111"/>
        <v>0</v>
      </c>
      <c r="W108" s="50">
        <f t="shared" si="111"/>
        <v>0</v>
      </c>
      <c r="X108" s="50">
        <f t="shared" si="111"/>
        <v>0</v>
      </c>
      <c r="Y108" s="50">
        <f t="shared" si="111"/>
        <v>0</v>
      </c>
      <c r="Z108" s="50">
        <f t="shared" si="111"/>
        <v>0</v>
      </c>
      <c r="AA108" s="50">
        <f t="shared" si="111"/>
        <v>0</v>
      </c>
      <c r="AB108" s="50">
        <f t="shared" si="111"/>
        <v>0</v>
      </c>
      <c r="AC108" s="50">
        <f t="shared" si="111"/>
        <v>0</v>
      </c>
      <c r="AD108" s="50">
        <f t="shared" si="111"/>
        <v>0</v>
      </c>
      <c r="AE108" s="50">
        <f t="shared" si="111"/>
        <v>0</v>
      </c>
      <c r="AF108" s="50">
        <f t="shared" si="111"/>
        <v>0</v>
      </c>
      <c r="AG108" s="50">
        <f t="shared" si="111"/>
        <v>0</v>
      </c>
      <c r="AH108" s="50">
        <f t="shared" si="111"/>
        <v>0</v>
      </c>
      <c r="AI108" s="50">
        <f t="shared" si="111"/>
        <v>0</v>
      </c>
      <c r="AJ108" s="50">
        <f t="shared" si="111"/>
        <v>0</v>
      </c>
      <c r="AK108" s="50">
        <f t="shared" si="111"/>
        <v>0</v>
      </c>
      <c r="AL108" s="50">
        <f t="shared" si="111"/>
        <v>0</v>
      </c>
      <c r="AP108" s="2">
        <f t="shared" si="3"/>
        <v>0</v>
      </c>
      <c r="AQ108" s="2">
        <f>IFERROR(__xludf.DUMMYFUNCTION("IF(V108&gt;0,MIN(FILTER(U108:AL108, U108:AL108&lt;&gt;0)),0)"),0.0)</f>
        <v>0</v>
      </c>
      <c r="AS108" s="2">
        <f t="shared" si="4"/>
        <v>0</v>
      </c>
      <c r="AU108" s="2">
        <f t="shared" si="5"/>
        <v>0</v>
      </c>
      <c r="AW108" s="2">
        <f t="shared" si="6"/>
        <v>0</v>
      </c>
      <c r="AX108" s="2">
        <f>IFERROR(__xludf.DUMMYFUNCTION("IF(X108&gt;0,SMALL(FILTER(U108:AL108, U108:AL108&lt;&gt;0), 2),0)"),0.0)</f>
        <v>0</v>
      </c>
      <c r="AY108" s="2">
        <f t="shared" si="7"/>
        <v>0</v>
      </c>
      <c r="AZ108" s="2">
        <f t="shared" si="8"/>
        <v>0</v>
      </c>
      <c r="BA108" s="2">
        <f>IFERROR(__xludf.DUMMYFUNCTION("IF(Y108&gt;0,SMALL(FILTER(U108:AL108, U108:AL108&lt;&gt;0), 3),0)"),0.0)</f>
        <v>0</v>
      </c>
      <c r="BB108" s="2">
        <f t="shared" si="9"/>
        <v>0</v>
      </c>
    </row>
    <row r="109">
      <c r="A109" s="2">
        <f>Spieler!A110</f>
        <v>105</v>
      </c>
      <c r="B109" s="2" t="str">
        <f>VLOOKUP(A109,Spieler!A:F,2,0)</f>
        <v/>
      </c>
      <c r="C109" s="2">
        <f>IF(B109=0,0,VLOOKUP(B109,Datensammler!B:U,3,0))</f>
        <v>0</v>
      </c>
      <c r="D109" s="2">
        <f>IF(B109=0,0,VLOOKUP(B109,Datensammler!B:U,4,0))</f>
        <v>0</v>
      </c>
      <c r="E109" s="2">
        <f>IF(B109=0,0,VLOOKUP(B109,Datensammler!B:U,5,0))</f>
        <v>0</v>
      </c>
      <c r="F109" s="2">
        <f>IF(B109=0,0,VLOOKUP(B109,Datensammler!B:U,6,0))</f>
        <v>0</v>
      </c>
      <c r="G109" s="2">
        <f>IF(B109=0,0,VLOOKUP(B109,Datensammler!B:U,7,0))</f>
        <v>0</v>
      </c>
      <c r="H109" s="2">
        <f>IF(B109=0,0,VLOOKUP(B109,Datensammler!B:U,8,0))</f>
        <v>0</v>
      </c>
      <c r="I109" s="2">
        <f>IF(B109=0,0,VLOOKUP(B109,Datensammler!B:U,9,0))</f>
        <v>0</v>
      </c>
      <c r="J109" s="2">
        <f>IF(B109=0,0,VLOOKUP(B109,Datensammler!B:U,10,0))</f>
        <v>0</v>
      </c>
      <c r="K109" s="2">
        <f>IF(B109=0,0,VLOOKUP(B109,Datensammler!B:U,11,0))</f>
        <v>0</v>
      </c>
      <c r="L109" s="2">
        <f>IF(B109=0,0,VLOOKUP(B109,Datensammler!B:U,12,0))</f>
        <v>0</v>
      </c>
      <c r="M109" s="2">
        <f>IF(B109=0,0,VLOOKUP(B109,Datensammler!B:U,13,0))</f>
        <v>0</v>
      </c>
      <c r="N109" s="2">
        <f>IF(B109=0,0,VLOOKUP(B109,Datensammler!B:U,14,0))</f>
        <v>0</v>
      </c>
      <c r="O109" s="2">
        <f>IF(B109=0,0,VLOOKUP(B109,Datensammler!B:U,15,0))</f>
        <v>0</v>
      </c>
      <c r="P109" s="2">
        <f>IF(B109=0,0,VLOOKUP(B109,Datensammler!B:U,16,0))</f>
        <v>0</v>
      </c>
      <c r="Q109" s="2">
        <f>IF(B109=0,0,VLOOKUP(B109,Datensammler!B:U,17,0))</f>
        <v>0</v>
      </c>
      <c r="R109" s="2">
        <f>IF(B109=0,0,VLOOKUP(B109,Datensammler!B:U,18,0))</f>
        <v>0</v>
      </c>
      <c r="S109" s="2">
        <f>IF(B109=0,0,VLOOKUP(B109,Datensammler!B:U,19,0))</f>
        <v>0</v>
      </c>
      <c r="T109" s="2">
        <f>IF(B109=0,0,VLOOKUP(B109,Datensammler!B:U,20,0))</f>
        <v>0</v>
      </c>
      <c r="U109" s="50">
        <f t="shared" ref="U109:AL109" si="112">C109</f>
        <v>0</v>
      </c>
      <c r="V109" s="50">
        <f t="shared" si="112"/>
        <v>0</v>
      </c>
      <c r="W109" s="50">
        <f t="shared" si="112"/>
        <v>0</v>
      </c>
      <c r="X109" s="50">
        <f t="shared" si="112"/>
        <v>0</v>
      </c>
      <c r="Y109" s="50">
        <f t="shared" si="112"/>
        <v>0</v>
      </c>
      <c r="Z109" s="50">
        <f t="shared" si="112"/>
        <v>0</v>
      </c>
      <c r="AA109" s="50">
        <f t="shared" si="112"/>
        <v>0</v>
      </c>
      <c r="AB109" s="50">
        <f t="shared" si="112"/>
        <v>0</v>
      </c>
      <c r="AC109" s="50">
        <f t="shared" si="112"/>
        <v>0</v>
      </c>
      <c r="AD109" s="50">
        <f t="shared" si="112"/>
        <v>0</v>
      </c>
      <c r="AE109" s="50">
        <f t="shared" si="112"/>
        <v>0</v>
      </c>
      <c r="AF109" s="50">
        <f t="shared" si="112"/>
        <v>0</v>
      </c>
      <c r="AG109" s="50">
        <f t="shared" si="112"/>
        <v>0</v>
      </c>
      <c r="AH109" s="50">
        <f t="shared" si="112"/>
        <v>0</v>
      </c>
      <c r="AI109" s="50">
        <f t="shared" si="112"/>
        <v>0</v>
      </c>
      <c r="AJ109" s="50">
        <f t="shared" si="112"/>
        <v>0</v>
      </c>
      <c r="AK109" s="50">
        <f t="shared" si="112"/>
        <v>0</v>
      </c>
      <c r="AL109" s="50">
        <f t="shared" si="112"/>
        <v>0</v>
      </c>
      <c r="AP109" s="2">
        <f t="shared" si="3"/>
        <v>0</v>
      </c>
      <c r="AQ109" s="2">
        <f>IFERROR(__xludf.DUMMYFUNCTION("IF(V109&gt;0,MIN(FILTER(U109:AL109, U109:AL109&lt;&gt;0)),0)"),0.0)</f>
        <v>0</v>
      </c>
      <c r="AS109" s="2">
        <f t="shared" si="4"/>
        <v>0</v>
      </c>
      <c r="AU109" s="2">
        <f t="shared" si="5"/>
        <v>0</v>
      </c>
      <c r="AW109" s="2">
        <f t="shared" si="6"/>
        <v>0</v>
      </c>
      <c r="AX109" s="2">
        <f>IFERROR(__xludf.DUMMYFUNCTION("IF(X109&gt;0,SMALL(FILTER(U109:AL109, U109:AL109&lt;&gt;0), 2),0)"),0.0)</f>
        <v>0</v>
      </c>
      <c r="AY109" s="2">
        <f t="shared" si="7"/>
        <v>0</v>
      </c>
      <c r="AZ109" s="2">
        <f t="shared" si="8"/>
        <v>0</v>
      </c>
      <c r="BA109" s="2">
        <f>IFERROR(__xludf.DUMMYFUNCTION("IF(Y109&gt;0,SMALL(FILTER(U109:AL109, U109:AL109&lt;&gt;0), 3),0)"),0.0)</f>
        <v>0</v>
      </c>
      <c r="BB109" s="2">
        <f t="shared" si="9"/>
        <v>0</v>
      </c>
    </row>
    <row r="110">
      <c r="A110" s="2">
        <f>Spieler!A111</f>
        <v>106</v>
      </c>
      <c r="B110" s="2" t="str">
        <f>VLOOKUP(A110,Spieler!A:F,2,0)</f>
        <v/>
      </c>
      <c r="C110" s="2">
        <f>IF(B110=0,0,VLOOKUP(B110,Datensammler!B:U,3,0))</f>
        <v>0</v>
      </c>
      <c r="D110" s="2">
        <f>IF(B110=0,0,VLOOKUP(B110,Datensammler!B:U,4,0))</f>
        <v>0</v>
      </c>
      <c r="E110" s="2">
        <f>IF(B110=0,0,VLOOKUP(B110,Datensammler!B:U,5,0))</f>
        <v>0</v>
      </c>
      <c r="F110" s="2">
        <f>IF(B110=0,0,VLOOKUP(B110,Datensammler!B:U,6,0))</f>
        <v>0</v>
      </c>
      <c r="G110" s="2">
        <f>IF(B110=0,0,VLOOKUP(B110,Datensammler!B:U,7,0))</f>
        <v>0</v>
      </c>
      <c r="H110" s="2">
        <f>IF(B110=0,0,VLOOKUP(B110,Datensammler!B:U,8,0))</f>
        <v>0</v>
      </c>
      <c r="I110" s="2">
        <f>IF(B110=0,0,VLOOKUP(B110,Datensammler!B:U,9,0))</f>
        <v>0</v>
      </c>
      <c r="J110" s="2">
        <f>IF(B110=0,0,VLOOKUP(B110,Datensammler!B:U,10,0))</f>
        <v>0</v>
      </c>
      <c r="K110" s="2">
        <f>IF(B110=0,0,VLOOKUP(B110,Datensammler!B:U,11,0))</f>
        <v>0</v>
      </c>
      <c r="L110" s="2">
        <f>IF(B110=0,0,VLOOKUP(B110,Datensammler!B:U,12,0))</f>
        <v>0</v>
      </c>
      <c r="M110" s="2">
        <f>IF(B110=0,0,VLOOKUP(B110,Datensammler!B:U,13,0))</f>
        <v>0</v>
      </c>
      <c r="N110" s="2">
        <f>IF(B110=0,0,VLOOKUP(B110,Datensammler!B:U,14,0))</f>
        <v>0</v>
      </c>
      <c r="O110" s="2">
        <f>IF(B110=0,0,VLOOKUP(B110,Datensammler!B:U,15,0))</f>
        <v>0</v>
      </c>
      <c r="P110" s="2">
        <f>IF(B110=0,0,VLOOKUP(B110,Datensammler!B:U,16,0))</f>
        <v>0</v>
      </c>
      <c r="Q110" s="2">
        <f>IF(B110=0,0,VLOOKUP(B110,Datensammler!B:U,17,0))</f>
        <v>0</v>
      </c>
      <c r="R110" s="2">
        <f>IF(B110=0,0,VLOOKUP(B110,Datensammler!B:U,18,0))</f>
        <v>0</v>
      </c>
      <c r="S110" s="2">
        <f>IF(B110=0,0,VLOOKUP(B110,Datensammler!B:U,19,0))</f>
        <v>0</v>
      </c>
      <c r="T110" s="2">
        <f>IF(B110=0,0,VLOOKUP(B110,Datensammler!B:U,20,0))</f>
        <v>0</v>
      </c>
      <c r="U110" s="50">
        <f t="shared" ref="U110:AL110" si="113">C110</f>
        <v>0</v>
      </c>
      <c r="V110" s="50">
        <f t="shared" si="113"/>
        <v>0</v>
      </c>
      <c r="W110" s="50">
        <f t="shared" si="113"/>
        <v>0</v>
      </c>
      <c r="X110" s="50">
        <f t="shared" si="113"/>
        <v>0</v>
      </c>
      <c r="Y110" s="50">
        <f t="shared" si="113"/>
        <v>0</v>
      </c>
      <c r="Z110" s="50">
        <f t="shared" si="113"/>
        <v>0</v>
      </c>
      <c r="AA110" s="50">
        <f t="shared" si="113"/>
        <v>0</v>
      </c>
      <c r="AB110" s="50">
        <f t="shared" si="113"/>
        <v>0</v>
      </c>
      <c r="AC110" s="50">
        <f t="shared" si="113"/>
        <v>0</v>
      </c>
      <c r="AD110" s="50">
        <f t="shared" si="113"/>
        <v>0</v>
      </c>
      <c r="AE110" s="50">
        <f t="shared" si="113"/>
        <v>0</v>
      </c>
      <c r="AF110" s="50">
        <f t="shared" si="113"/>
        <v>0</v>
      </c>
      <c r="AG110" s="50">
        <f t="shared" si="113"/>
        <v>0</v>
      </c>
      <c r="AH110" s="50">
        <f t="shared" si="113"/>
        <v>0</v>
      </c>
      <c r="AI110" s="50">
        <f t="shared" si="113"/>
        <v>0</v>
      </c>
      <c r="AJ110" s="50">
        <f t="shared" si="113"/>
        <v>0</v>
      </c>
      <c r="AK110" s="50">
        <f t="shared" si="113"/>
        <v>0</v>
      </c>
      <c r="AL110" s="50">
        <f t="shared" si="113"/>
        <v>0</v>
      </c>
      <c r="AP110" s="2">
        <f t="shared" si="3"/>
        <v>0</v>
      </c>
      <c r="AQ110" s="2">
        <f>IFERROR(__xludf.DUMMYFUNCTION("IF(V110&gt;0,MIN(FILTER(U110:AL110, U110:AL110&lt;&gt;0)),0)"),0.0)</f>
        <v>0</v>
      </c>
      <c r="AS110" s="2">
        <f t="shared" si="4"/>
        <v>0</v>
      </c>
      <c r="AU110" s="2">
        <f t="shared" si="5"/>
        <v>0</v>
      </c>
      <c r="AW110" s="2">
        <f t="shared" si="6"/>
        <v>0</v>
      </c>
      <c r="AX110" s="2">
        <f>IFERROR(__xludf.DUMMYFUNCTION("IF(X110&gt;0,SMALL(FILTER(U110:AL110, U110:AL110&lt;&gt;0), 2),0)"),0.0)</f>
        <v>0</v>
      </c>
      <c r="AY110" s="2">
        <f t="shared" si="7"/>
        <v>0</v>
      </c>
      <c r="AZ110" s="2">
        <f t="shared" si="8"/>
        <v>0</v>
      </c>
      <c r="BA110" s="2">
        <f>IFERROR(__xludf.DUMMYFUNCTION("IF(Y110&gt;0,SMALL(FILTER(U110:AL110, U110:AL110&lt;&gt;0), 3),0)"),0.0)</f>
        <v>0</v>
      </c>
      <c r="BB110" s="2">
        <f t="shared" si="9"/>
        <v>0</v>
      </c>
    </row>
    <row r="111">
      <c r="A111" s="2">
        <f>Spieler!A112</f>
        <v>107</v>
      </c>
      <c r="B111" s="2" t="str">
        <f>VLOOKUP(A111,Spieler!A:F,2,0)</f>
        <v/>
      </c>
      <c r="C111" s="2">
        <f>IF(B111=0,0,VLOOKUP(B111,Datensammler!B:U,3,0))</f>
        <v>0</v>
      </c>
      <c r="D111" s="2">
        <f>IF(B111=0,0,VLOOKUP(B111,Datensammler!B:U,4,0))</f>
        <v>0</v>
      </c>
      <c r="E111" s="2">
        <f>IF(B111=0,0,VLOOKUP(B111,Datensammler!B:U,5,0))</f>
        <v>0</v>
      </c>
      <c r="F111" s="2">
        <f>IF(B111=0,0,VLOOKUP(B111,Datensammler!B:U,6,0))</f>
        <v>0</v>
      </c>
      <c r="G111" s="2">
        <f>IF(B111=0,0,VLOOKUP(B111,Datensammler!B:U,7,0))</f>
        <v>0</v>
      </c>
      <c r="H111" s="2">
        <f>IF(B111=0,0,VLOOKUP(B111,Datensammler!B:U,8,0))</f>
        <v>0</v>
      </c>
      <c r="I111" s="2">
        <f>IF(B111=0,0,VLOOKUP(B111,Datensammler!B:U,9,0))</f>
        <v>0</v>
      </c>
      <c r="J111" s="2">
        <f>IF(B111=0,0,VLOOKUP(B111,Datensammler!B:U,10,0))</f>
        <v>0</v>
      </c>
      <c r="K111" s="2">
        <f>IF(B111=0,0,VLOOKUP(B111,Datensammler!B:U,11,0))</f>
        <v>0</v>
      </c>
      <c r="L111" s="2">
        <f>IF(B111=0,0,VLOOKUP(B111,Datensammler!B:U,12,0))</f>
        <v>0</v>
      </c>
      <c r="M111" s="2">
        <f>IF(B111=0,0,VLOOKUP(B111,Datensammler!B:U,13,0))</f>
        <v>0</v>
      </c>
      <c r="N111" s="2">
        <f>IF(B111=0,0,VLOOKUP(B111,Datensammler!B:U,14,0))</f>
        <v>0</v>
      </c>
      <c r="O111" s="2">
        <f>IF(B111=0,0,VLOOKUP(B111,Datensammler!B:U,15,0))</f>
        <v>0</v>
      </c>
      <c r="P111" s="2">
        <f>IF(B111=0,0,VLOOKUP(B111,Datensammler!B:U,16,0))</f>
        <v>0</v>
      </c>
      <c r="Q111" s="2">
        <f>IF(B111=0,0,VLOOKUP(B111,Datensammler!B:U,17,0))</f>
        <v>0</v>
      </c>
      <c r="R111" s="2">
        <f>IF(B111=0,0,VLOOKUP(B111,Datensammler!B:U,18,0))</f>
        <v>0</v>
      </c>
      <c r="S111" s="2">
        <f>IF(B111=0,0,VLOOKUP(B111,Datensammler!B:U,19,0))</f>
        <v>0</v>
      </c>
      <c r="T111" s="2">
        <f>IF(B111=0,0,VLOOKUP(B111,Datensammler!B:U,20,0))</f>
        <v>0</v>
      </c>
      <c r="U111" s="50">
        <f t="shared" ref="U111:AL111" si="114">C111</f>
        <v>0</v>
      </c>
      <c r="V111" s="50">
        <f t="shared" si="114"/>
        <v>0</v>
      </c>
      <c r="W111" s="50">
        <f t="shared" si="114"/>
        <v>0</v>
      </c>
      <c r="X111" s="50">
        <f t="shared" si="114"/>
        <v>0</v>
      </c>
      <c r="Y111" s="50">
        <f t="shared" si="114"/>
        <v>0</v>
      </c>
      <c r="Z111" s="50">
        <f t="shared" si="114"/>
        <v>0</v>
      </c>
      <c r="AA111" s="50">
        <f t="shared" si="114"/>
        <v>0</v>
      </c>
      <c r="AB111" s="50">
        <f t="shared" si="114"/>
        <v>0</v>
      </c>
      <c r="AC111" s="50">
        <f t="shared" si="114"/>
        <v>0</v>
      </c>
      <c r="AD111" s="50">
        <f t="shared" si="114"/>
        <v>0</v>
      </c>
      <c r="AE111" s="50">
        <f t="shared" si="114"/>
        <v>0</v>
      </c>
      <c r="AF111" s="50">
        <f t="shared" si="114"/>
        <v>0</v>
      </c>
      <c r="AG111" s="50">
        <f t="shared" si="114"/>
        <v>0</v>
      </c>
      <c r="AH111" s="50">
        <f t="shared" si="114"/>
        <v>0</v>
      </c>
      <c r="AI111" s="50">
        <f t="shared" si="114"/>
        <v>0</v>
      </c>
      <c r="AJ111" s="50">
        <f t="shared" si="114"/>
        <v>0</v>
      </c>
      <c r="AK111" s="50">
        <f t="shared" si="114"/>
        <v>0</v>
      </c>
      <c r="AL111" s="50">
        <f t="shared" si="114"/>
        <v>0</v>
      </c>
      <c r="AP111" s="2">
        <f t="shared" si="3"/>
        <v>0</v>
      </c>
      <c r="AQ111" s="2">
        <f>IFERROR(__xludf.DUMMYFUNCTION("IF(V111&gt;0,MIN(FILTER(U111:AL111, U111:AL111&lt;&gt;0)),0)"),0.0)</f>
        <v>0</v>
      </c>
      <c r="AS111" s="2">
        <f t="shared" si="4"/>
        <v>0</v>
      </c>
      <c r="AU111" s="2">
        <f t="shared" si="5"/>
        <v>0</v>
      </c>
      <c r="AW111" s="2">
        <f t="shared" si="6"/>
        <v>0</v>
      </c>
      <c r="AX111" s="2">
        <f>IFERROR(__xludf.DUMMYFUNCTION("IF(X111&gt;0,SMALL(FILTER(U111:AL111, U111:AL111&lt;&gt;0), 2),0)"),0.0)</f>
        <v>0</v>
      </c>
      <c r="AY111" s="2">
        <f t="shared" si="7"/>
        <v>0</v>
      </c>
      <c r="AZ111" s="2">
        <f t="shared" si="8"/>
        <v>0</v>
      </c>
      <c r="BA111" s="2">
        <f>IFERROR(__xludf.DUMMYFUNCTION("IF(Y111&gt;0,SMALL(FILTER(U111:AL111, U111:AL111&lt;&gt;0), 3),0)"),0.0)</f>
        <v>0</v>
      </c>
      <c r="BB111" s="2">
        <f t="shared" si="9"/>
        <v>0</v>
      </c>
    </row>
    <row r="112">
      <c r="A112" s="2">
        <f>Spieler!A113</f>
        <v>108</v>
      </c>
      <c r="B112" s="2" t="str">
        <f>VLOOKUP(A112,Spieler!A:F,2,0)</f>
        <v/>
      </c>
      <c r="C112" s="2">
        <f>IF(B112=0,0,VLOOKUP(B112,Datensammler!B:U,3,0))</f>
        <v>0</v>
      </c>
      <c r="D112" s="2">
        <f>IF(B112=0,0,VLOOKUP(B112,Datensammler!B:U,4,0))</f>
        <v>0</v>
      </c>
      <c r="E112" s="2">
        <f>IF(B112=0,0,VLOOKUP(B112,Datensammler!B:U,5,0))</f>
        <v>0</v>
      </c>
      <c r="F112" s="2">
        <f>IF(B112=0,0,VLOOKUP(B112,Datensammler!B:U,6,0))</f>
        <v>0</v>
      </c>
      <c r="G112" s="2">
        <f>IF(B112=0,0,VLOOKUP(B112,Datensammler!B:U,7,0))</f>
        <v>0</v>
      </c>
      <c r="H112" s="2">
        <f>IF(B112=0,0,VLOOKUP(B112,Datensammler!B:U,8,0))</f>
        <v>0</v>
      </c>
      <c r="I112" s="2">
        <f>IF(B112=0,0,VLOOKUP(B112,Datensammler!B:U,9,0))</f>
        <v>0</v>
      </c>
      <c r="J112" s="2">
        <f>IF(B112=0,0,VLOOKUP(B112,Datensammler!B:U,10,0))</f>
        <v>0</v>
      </c>
      <c r="K112" s="2">
        <f>IF(B112=0,0,VLOOKUP(B112,Datensammler!B:U,11,0))</f>
        <v>0</v>
      </c>
      <c r="L112" s="2">
        <f>IF(B112=0,0,VLOOKUP(B112,Datensammler!B:U,12,0))</f>
        <v>0</v>
      </c>
      <c r="M112" s="2">
        <f>IF(B112=0,0,VLOOKUP(B112,Datensammler!B:U,13,0))</f>
        <v>0</v>
      </c>
      <c r="N112" s="2">
        <f>IF(B112=0,0,VLOOKUP(B112,Datensammler!B:U,14,0))</f>
        <v>0</v>
      </c>
      <c r="O112" s="2">
        <f>IF(B112=0,0,VLOOKUP(B112,Datensammler!B:U,15,0))</f>
        <v>0</v>
      </c>
      <c r="P112" s="2">
        <f>IF(B112=0,0,VLOOKUP(B112,Datensammler!B:U,16,0))</f>
        <v>0</v>
      </c>
      <c r="Q112" s="2">
        <f>IF(B112=0,0,VLOOKUP(B112,Datensammler!B:U,17,0))</f>
        <v>0</v>
      </c>
      <c r="R112" s="2">
        <f>IF(B112=0,0,VLOOKUP(B112,Datensammler!B:U,18,0))</f>
        <v>0</v>
      </c>
      <c r="S112" s="2">
        <f>IF(B112=0,0,VLOOKUP(B112,Datensammler!B:U,19,0))</f>
        <v>0</v>
      </c>
      <c r="T112" s="2">
        <f>IF(B112=0,0,VLOOKUP(B112,Datensammler!B:U,20,0))</f>
        <v>0</v>
      </c>
      <c r="U112" s="50">
        <f t="shared" ref="U112:AL112" si="115">C112</f>
        <v>0</v>
      </c>
      <c r="V112" s="50">
        <f t="shared" si="115"/>
        <v>0</v>
      </c>
      <c r="W112" s="50">
        <f t="shared" si="115"/>
        <v>0</v>
      </c>
      <c r="X112" s="50">
        <f t="shared" si="115"/>
        <v>0</v>
      </c>
      <c r="Y112" s="50">
        <f t="shared" si="115"/>
        <v>0</v>
      </c>
      <c r="Z112" s="50">
        <f t="shared" si="115"/>
        <v>0</v>
      </c>
      <c r="AA112" s="50">
        <f t="shared" si="115"/>
        <v>0</v>
      </c>
      <c r="AB112" s="50">
        <f t="shared" si="115"/>
        <v>0</v>
      </c>
      <c r="AC112" s="50">
        <f t="shared" si="115"/>
        <v>0</v>
      </c>
      <c r="AD112" s="50">
        <f t="shared" si="115"/>
        <v>0</v>
      </c>
      <c r="AE112" s="50">
        <f t="shared" si="115"/>
        <v>0</v>
      </c>
      <c r="AF112" s="50">
        <f t="shared" si="115"/>
        <v>0</v>
      </c>
      <c r="AG112" s="50">
        <f t="shared" si="115"/>
        <v>0</v>
      </c>
      <c r="AH112" s="50">
        <f t="shared" si="115"/>
        <v>0</v>
      </c>
      <c r="AI112" s="50">
        <f t="shared" si="115"/>
        <v>0</v>
      </c>
      <c r="AJ112" s="50">
        <f t="shared" si="115"/>
        <v>0</v>
      </c>
      <c r="AK112" s="50">
        <f t="shared" si="115"/>
        <v>0</v>
      </c>
      <c r="AL112" s="50">
        <f t="shared" si="115"/>
        <v>0</v>
      </c>
      <c r="AP112" s="2">
        <f t="shared" si="3"/>
        <v>0</v>
      </c>
      <c r="AQ112" s="2">
        <f>IFERROR(__xludf.DUMMYFUNCTION("IF(V112&gt;0,MIN(FILTER(U112:AL112, U112:AL112&lt;&gt;0)),0)"),0.0)</f>
        <v>0</v>
      </c>
      <c r="AS112" s="2">
        <f t="shared" si="4"/>
        <v>0</v>
      </c>
      <c r="AU112" s="2">
        <f t="shared" si="5"/>
        <v>0</v>
      </c>
      <c r="AW112" s="2">
        <f t="shared" si="6"/>
        <v>0</v>
      </c>
      <c r="AX112" s="2">
        <f>IFERROR(__xludf.DUMMYFUNCTION("IF(X112&gt;0,SMALL(FILTER(U112:AL112, U112:AL112&lt;&gt;0), 2),0)"),0.0)</f>
        <v>0</v>
      </c>
      <c r="AY112" s="2">
        <f t="shared" si="7"/>
        <v>0</v>
      </c>
      <c r="AZ112" s="2">
        <f t="shared" si="8"/>
        <v>0</v>
      </c>
      <c r="BA112" s="2">
        <f>IFERROR(__xludf.DUMMYFUNCTION("IF(Y112&gt;0,SMALL(FILTER(U112:AL112, U112:AL112&lt;&gt;0), 3),0)"),0.0)</f>
        <v>0</v>
      </c>
      <c r="BB112" s="2">
        <f t="shared" si="9"/>
        <v>0</v>
      </c>
    </row>
    <row r="113">
      <c r="A113" s="2">
        <f>Spieler!A114</f>
        <v>109</v>
      </c>
      <c r="B113" s="2" t="str">
        <f>VLOOKUP(A113,Spieler!A:F,2,0)</f>
        <v/>
      </c>
      <c r="C113" s="2">
        <f>IF(B113=0,0,VLOOKUP(B113,Datensammler!B:U,3,0))</f>
        <v>0</v>
      </c>
      <c r="D113" s="2">
        <f>IF(B113=0,0,VLOOKUP(B113,Datensammler!B:U,4,0))</f>
        <v>0</v>
      </c>
      <c r="E113" s="2">
        <f>IF(B113=0,0,VLOOKUP(B113,Datensammler!B:U,5,0))</f>
        <v>0</v>
      </c>
      <c r="F113" s="2">
        <f>IF(B113=0,0,VLOOKUP(B113,Datensammler!B:U,6,0))</f>
        <v>0</v>
      </c>
      <c r="G113" s="2">
        <f>IF(B113=0,0,VLOOKUP(B113,Datensammler!B:U,7,0))</f>
        <v>0</v>
      </c>
      <c r="H113" s="2">
        <f>IF(B113=0,0,VLOOKUP(B113,Datensammler!B:U,8,0))</f>
        <v>0</v>
      </c>
      <c r="I113" s="2">
        <f>IF(B113=0,0,VLOOKUP(B113,Datensammler!B:U,9,0))</f>
        <v>0</v>
      </c>
      <c r="J113" s="2">
        <f>IF(B113=0,0,VLOOKUP(B113,Datensammler!B:U,10,0))</f>
        <v>0</v>
      </c>
      <c r="K113" s="2">
        <f>IF(B113=0,0,VLOOKUP(B113,Datensammler!B:U,11,0))</f>
        <v>0</v>
      </c>
      <c r="L113" s="2">
        <f>IF(B113=0,0,VLOOKUP(B113,Datensammler!B:U,12,0))</f>
        <v>0</v>
      </c>
      <c r="M113" s="2">
        <f>IF(B113=0,0,VLOOKUP(B113,Datensammler!B:U,13,0))</f>
        <v>0</v>
      </c>
      <c r="N113" s="2">
        <f>IF(B113=0,0,VLOOKUP(B113,Datensammler!B:U,14,0))</f>
        <v>0</v>
      </c>
      <c r="O113" s="2">
        <f>IF(B113=0,0,VLOOKUP(B113,Datensammler!B:U,15,0))</f>
        <v>0</v>
      </c>
      <c r="P113" s="2">
        <f>IF(B113=0,0,VLOOKUP(B113,Datensammler!B:U,16,0))</f>
        <v>0</v>
      </c>
      <c r="Q113" s="2">
        <f>IF(B113=0,0,VLOOKUP(B113,Datensammler!B:U,17,0))</f>
        <v>0</v>
      </c>
      <c r="R113" s="2">
        <f>IF(B113=0,0,VLOOKUP(B113,Datensammler!B:U,18,0))</f>
        <v>0</v>
      </c>
      <c r="S113" s="2">
        <f>IF(B113=0,0,VLOOKUP(B113,Datensammler!B:U,19,0))</f>
        <v>0</v>
      </c>
      <c r="T113" s="2">
        <f>IF(B113=0,0,VLOOKUP(B113,Datensammler!B:U,20,0))</f>
        <v>0</v>
      </c>
      <c r="U113" s="50">
        <f t="shared" ref="U113:AL113" si="116">C113</f>
        <v>0</v>
      </c>
      <c r="V113" s="50">
        <f t="shared" si="116"/>
        <v>0</v>
      </c>
      <c r="W113" s="50">
        <f t="shared" si="116"/>
        <v>0</v>
      </c>
      <c r="X113" s="50">
        <f t="shared" si="116"/>
        <v>0</v>
      </c>
      <c r="Y113" s="50">
        <f t="shared" si="116"/>
        <v>0</v>
      </c>
      <c r="Z113" s="50">
        <f t="shared" si="116"/>
        <v>0</v>
      </c>
      <c r="AA113" s="50">
        <f t="shared" si="116"/>
        <v>0</v>
      </c>
      <c r="AB113" s="50">
        <f t="shared" si="116"/>
        <v>0</v>
      </c>
      <c r="AC113" s="50">
        <f t="shared" si="116"/>
        <v>0</v>
      </c>
      <c r="AD113" s="50">
        <f t="shared" si="116"/>
        <v>0</v>
      </c>
      <c r="AE113" s="50">
        <f t="shared" si="116"/>
        <v>0</v>
      </c>
      <c r="AF113" s="50">
        <f t="shared" si="116"/>
        <v>0</v>
      </c>
      <c r="AG113" s="50">
        <f t="shared" si="116"/>
        <v>0</v>
      </c>
      <c r="AH113" s="50">
        <f t="shared" si="116"/>
        <v>0</v>
      </c>
      <c r="AI113" s="50">
        <f t="shared" si="116"/>
        <v>0</v>
      </c>
      <c r="AJ113" s="50">
        <f t="shared" si="116"/>
        <v>0</v>
      </c>
      <c r="AK113" s="50">
        <f t="shared" si="116"/>
        <v>0</v>
      </c>
      <c r="AL113" s="50">
        <f t="shared" si="116"/>
        <v>0</v>
      </c>
      <c r="AP113" s="2">
        <f t="shared" si="3"/>
        <v>0</v>
      </c>
      <c r="AQ113" s="2">
        <f>IFERROR(__xludf.DUMMYFUNCTION("IF(V113&gt;0,MIN(FILTER(U113:AL113, U113:AL113&lt;&gt;0)),0)"),0.0)</f>
        <v>0</v>
      </c>
      <c r="AS113" s="2">
        <f t="shared" si="4"/>
        <v>0</v>
      </c>
      <c r="AU113" s="2">
        <f t="shared" si="5"/>
        <v>0</v>
      </c>
      <c r="AW113" s="2">
        <f t="shared" si="6"/>
        <v>0</v>
      </c>
      <c r="AX113" s="2">
        <f>IFERROR(__xludf.DUMMYFUNCTION("IF(X113&gt;0,SMALL(FILTER(U113:AL113, U113:AL113&lt;&gt;0), 2),0)"),0.0)</f>
        <v>0</v>
      </c>
      <c r="AY113" s="2">
        <f t="shared" si="7"/>
        <v>0</v>
      </c>
      <c r="AZ113" s="2">
        <f t="shared" si="8"/>
        <v>0</v>
      </c>
      <c r="BA113" s="2">
        <f>IFERROR(__xludf.DUMMYFUNCTION("IF(Y113&gt;0,SMALL(FILTER(U113:AL113, U113:AL113&lt;&gt;0), 3),0)"),0.0)</f>
        <v>0</v>
      </c>
      <c r="BB113" s="2">
        <f t="shared" si="9"/>
        <v>0</v>
      </c>
    </row>
    <row r="114">
      <c r="A114" s="2">
        <f>Spieler!A115</f>
        <v>110</v>
      </c>
      <c r="B114" s="2" t="str">
        <f>VLOOKUP(A114,Spieler!A:F,2,0)</f>
        <v/>
      </c>
      <c r="C114" s="2">
        <f>IF(B114=0,0,VLOOKUP(B114,Datensammler!B:U,3,0))</f>
        <v>0</v>
      </c>
      <c r="D114" s="2">
        <f>IF(B114=0,0,VLOOKUP(B114,Datensammler!B:U,4,0))</f>
        <v>0</v>
      </c>
      <c r="E114" s="2">
        <f>IF(B114=0,0,VLOOKUP(B114,Datensammler!B:U,5,0))</f>
        <v>0</v>
      </c>
      <c r="F114" s="2">
        <f>IF(B114=0,0,VLOOKUP(B114,Datensammler!B:U,6,0))</f>
        <v>0</v>
      </c>
      <c r="G114" s="2">
        <f>IF(B114=0,0,VLOOKUP(B114,Datensammler!B:U,7,0))</f>
        <v>0</v>
      </c>
      <c r="H114" s="2">
        <f>IF(B114=0,0,VLOOKUP(B114,Datensammler!B:U,8,0))</f>
        <v>0</v>
      </c>
      <c r="I114" s="2">
        <f>IF(B114=0,0,VLOOKUP(B114,Datensammler!B:U,9,0))</f>
        <v>0</v>
      </c>
      <c r="J114" s="2">
        <f>IF(B114=0,0,VLOOKUP(B114,Datensammler!B:U,10,0))</f>
        <v>0</v>
      </c>
      <c r="K114" s="2">
        <f>IF(B114=0,0,VLOOKUP(B114,Datensammler!B:U,11,0))</f>
        <v>0</v>
      </c>
      <c r="L114" s="2">
        <f>IF(B114=0,0,VLOOKUP(B114,Datensammler!B:U,12,0))</f>
        <v>0</v>
      </c>
      <c r="M114" s="2">
        <f>IF(B114=0,0,VLOOKUP(B114,Datensammler!B:U,13,0))</f>
        <v>0</v>
      </c>
      <c r="N114" s="2">
        <f>IF(B114=0,0,VLOOKUP(B114,Datensammler!B:U,14,0))</f>
        <v>0</v>
      </c>
      <c r="O114" s="2">
        <f>IF(B114=0,0,VLOOKUP(B114,Datensammler!B:U,15,0))</f>
        <v>0</v>
      </c>
      <c r="P114" s="2">
        <f>IF(B114=0,0,VLOOKUP(B114,Datensammler!B:U,16,0))</f>
        <v>0</v>
      </c>
      <c r="Q114" s="2">
        <f>IF(B114=0,0,VLOOKUP(B114,Datensammler!B:U,17,0))</f>
        <v>0</v>
      </c>
      <c r="R114" s="2">
        <f>IF(B114=0,0,VLOOKUP(B114,Datensammler!B:U,18,0))</f>
        <v>0</v>
      </c>
      <c r="S114" s="2">
        <f>IF(B114=0,0,VLOOKUP(B114,Datensammler!B:U,19,0))</f>
        <v>0</v>
      </c>
      <c r="T114" s="2">
        <f>IF(B114=0,0,VLOOKUP(B114,Datensammler!B:U,20,0))</f>
        <v>0</v>
      </c>
      <c r="U114" s="50">
        <f t="shared" ref="U114:AL114" si="117">C114</f>
        <v>0</v>
      </c>
      <c r="V114" s="50">
        <f t="shared" si="117"/>
        <v>0</v>
      </c>
      <c r="W114" s="50">
        <f t="shared" si="117"/>
        <v>0</v>
      </c>
      <c r="X114" s="50">
        <f t="shared" si="117"/>
        <v>0</v>
      </c>
      <c r="Y114" s="50">
        <f t="shared" si="117"/>
        <v>0</v>
      </c>
      <c r="Z114" s="50">
        <f t="shared" si="117"/>
        <v>0</v>
      </c>
      <c r="AA114" s="50">
        <f t="shared" si="117"/>
        <v>0</v>
      </c>
      <c r="AB114" s="50">
        <f t="shared" si="117"/>
        <v>0</v>
      </c>
      <c r="AC114" s="50">
        <f t="shared" si="117"/>
        <v>0</v>
      </c>
      <c r="AD114" s="50">
        <f t="shared" si="117"/>
        <v>0</v>
      </c>
      <c r="AE114" s="50">
        <f t="shared" si="117"/>
        <v>0</v>
      </c>
      <c r="AF114" s="50">
        <f t="shared" si="117"/>
        <v>0</v>
      </c>
      <c r="AG114" s="50">
        <f t="shared" si="117"/>
        <v>0</v>
      </c>
      <c r="AH114" s="50">
        <f t="shared" si="117"/>
        <v>0</v>
      </c>
      <c r="AI114" s="50">
        <f t="shared" si="117"/>
        <v>0</v>
      </c>
      <c r="AJ114" s="50">
        <f t="shared" si="117"/>
        <v>0</v>
      </c>
      <c r="AK114" s="50">
        <f t="shared" si="117"/>
        <v>0</v>
      </c>
      <c r="AL114" s="50">
        <f t="shared" si="117"/>
        <v>0</v>
      </c>
      <c r="AP114" s="2">
        <f t="shared" si="3"/>
        <v>0</v>
      </c>
      <c r="AQ114" s="2">
        <f>IFERROR(__xludf.DUMMYFUNCTION("IF(V114&gt;0,MIN(FILTER(U114:AL114, U114:AL114&lt;&gt;0)),0)"),0.0)</f>
        <v>0</v>
      </c>
      <c r="AS114" s="2">
        <f t="shared" si="4"/>
        <v>0</v>
      </c>
      <c r="AU114" s="2">
        <f t="shared" si="5"/>
        <v>0</v>
      </c>
      <c r="AW114" s="2">
        <f t="shared" si="6"/>
        <v>0</v>
      </c>
      <c r="AX114" s="2">
        <f>IFERROR(__xludf.DUMMYFUNCTION("IF(X114&gt;0,SMALL(FILTER(U114:AL114, U114:AL114&lt;&gt;0), 2),0)"),0.0)</f>
        <v>0</v>
      </c>
      <c r="AY114" s="2">
        <f t="shared" si="7"/>
        <v>0</v>
      </c>
      <c r="AZ114" s="2">
        <f t="shared" si="8"/>
        <v>0</v>
      </c>
      <c r="BA114" s="2">
        <f>IFERROR(__xludf.DUMMYFUNCTION("IF(Y114&gt;0,SMALL(FILTER(U114:AL114, U114:AL114&lt;&gt;0), 3),0)"),0.0)</f>
        <v>0</v>
      </c>
      <c r="BB114" s="2">
        <f t="shared" si="9"/>
        <v>0</v>
      </c>
    </row>
    <row r="115">
      <c r="A115" s="2">
        <f>Spieler!A116</f>
        <v>111</v>
      </c>
      <c r="B115" s="2" t="str">
        <f>VLOOKUP(A115,Spieler!A:F,2,0)</f>
        <v/>
      </c>
      <c r="C115" s="2">
        <f>IF(B115=0,0,VLOOKUP(B115,Datensammler!B:U,3,0))</f>
        <v>0</v>
      </c>
      <c r="D115" s="2">
        <f>IF(B115=0,0,VLOOKUP(B115,Datensammler!B:U,4,0))</f>
        <v>0</v>
      </c>
      <c r="E115" s="2">
        <f>IF(B115=0,0,VLOOKUP(B115,Datensammler!B:U,5,0))</f>
        <v>0</v>
      </c>
      <c r="F115" s="2">
        <f>IF(B115=0,0,VLOOKUP(B115,Datensammler!B:U,6,0))</f>
        <v>0</v>
      </c>
      <c r="G115" s="2">
        <f>IF(B115=0,0,VLOOKUP(B115,Datensammler!B:U,7,0))</f>
        <v>0</v>
      </c>
      <c r="H115" s="2">
        <f>IF(B115=0,0,VLOOKUP(B115,Datensammler!B:U,8,0))</f>
        <v>0</v>
      </c>
      <c r="I115" s="2">
        <f>IF(B115=0,0,VLOOKUP(B115,Datensammler!B:U,9,0))</f>
        <v>0</v>
      </c>
      <c r="J115" s="2">
        <f>IF(B115=0,0,VLOOKUP(B115,Datensammler!B:U,10,0))</f>
        <v>0</v>
      </c>
      <c r="K115" s="2">
        <f>IF(B115=0,0,VLOOKUP(B115,Datensammler!B:U,11,0))</f>
        <v>0</v>
      </c>
      <c r="L115" s="2">
        <f>IF(B115=0,0,VLOOKUP(B115,Datensammler!B:U,12,0))</f>
        <v>0</v>
      </c>
      <c r="M115" s="2">
        <f>IF(B115=0,0,VLOOKUP(B115,Datensammler!B:U,13,0))</f>
        <v>0</v>
      </c>
      <c r="N115" s="2">
        <f>IF(B115=0,0,VLOOKUP(B115,Datensammler!B:U,14,0))</f>
        <v>0</v>
      </c>
      <c r="O115" s="2">
        <f>IF(B115=0,0,VLOOKUP(B115,Datensammler!B:U,15,0))</f>
        <v>0</v>
      </c>
      <c r="P115" s="2">
        <f>IF(B115=0,0,VLOOKUP(B115,Datensammler!B:U,16,0))</f>
        <v>0</v>
      </c>
      <c r="Q115" s="2">
        <f>IF(B115=0,0,VLOOKUP(B115,Datensammler!B:U,17,0))</f>
        <v>0</v>
      </c>
      <c r="R115" s="2">
        <f>IF(B115=0,0,VLOOKUP(B115,Datensammler!B:U,18,0))</f>
        <v>0</v>
      </c>
      <c r="S115" s="2">
        <f>IF(B115=0,0,VLOOKUP(B115,Datensammler!B:U,19,0))</f>
        <v>0</v>
      </c>
      <c r="T115" s="2">
        <f>IF(B115=0,0,VLOOKUP(B115,Datensammler!B:U,20,0))</f>
        <v>0</v>
      </c>
      <c r="U115" s="50">
        <f t="shared" ref="U115:AL115" si="118">C115</f>
        <v>0</v>
      </c>
      <c r="V115" s="50">
        <f t="shared" si="118"/>
        <v>0</v>
      </c>
      <c r="W115" s="50">
        <f t="shared" si="118"/>
        <v>0</v>
      </c>
      <c r="X115" s="50">
        <f t="shared" si="118"/>
        <v>0</v>
      </c>
      <c r="Y115" s="50">
        <f t="shared" si="118"/>
        <v>0</v>
      </c>
      <c r="Z115" s="50">
        <f t="shared" si="118"/>
        <v>0</v>
      </c>
      <c r="AA115" s="50">
        <f t="shared" si="118"/>
        <v>0</v>
      </c>
      <c r="AB115" s="50">
        <f t="shared" si="118"/>
        <v>0</v>
      </c>
      <c r="AC115" s="50">
        <f t="shared" si="118"/>
        <v>0</v>
      </c>
      <c r="AD115" s="50">
        <f t="shared" si="118"/>
        <v>0</v>
      </c>
      <c r="AE115" s="50">
        <f t="shared" si="118"/>
        <v>0</v>
      </c>
      <c r="AF115" s="50">
        <f t="shared" si="118"/>
        <v>0</v>
      </c>
      <c r="AG115" s="50">
        <f t="shared" si="118"/>
        <v>0</v>
      </c>
      <c r="AH115" s="50">
        <f t="shared" si="118"/>
        <v>0</v>
      </c>
      <c r="AI115" s="50">
        <f t="shared" si="118"/>
        <v>0</v>
      </c>
      <c r="AJ115" s="50">
        <f t="shared" si="118"/>
        <v>0</v>
      </c>
      <c r="AK115" s="50">
        <f t="shared" si="118"/>
        <v>0</v>
      </c>
      <c r="AL115" s="50">
        <f t="shared" si="118"/>
        <v>0</v>
      </c>
      <c r="AP115" s="2">
        <f t="shared" si="3"/>
        <v>0</v>
      </c>
      <c r="AQ115" s="2">
        <f>IFERROR(__xludf.DUMMYFUNCTION("IF(V115&gt;0,MIN(FILTER(U115:AL115, U115:AL115&lt;&gt;0)),0)"),0.0)</f>
        <v>0</v>
      </c>
      <c r="AS115" s="2">
        <f t="shared" si="4"/>
        <v>0</v>
      </c>
      <c r="AU115" s="2">
        <f t="shared" si="5"/>
        <v>0</v>
      </c>
      <c r="AW115" s="2">
        <f t="shared" si="6"/>
        <v>0</v>
      </c>
      <c r="AX115" s="2">
        <f>IFERROR(__xludf.DUMMYFUNCTION("IF(X115&gt;0,SMALL(FILTER(U115:AL115, U115:AL115&lt;&gt;0), 2),0)"),0.0)</f>
        <v>0</v>
      </c>
      <c r="AY115" s="2">
        <f t="shared" si="7"/>
        <v>0</v>
      </c>
      <c r="AZ115" s="2">
        <f t="shared" si="8"/>
        <v>0</v>
      </c>
      <c r="BA115" s="2">
        <f>IFERROR(__xludf.DUMMYFUNCTION("IF(Y115&gt;0,SMALL(FILTER(U115:AL115, U115:AL115&lt;&gt;0), 3),0)"),0.0)</f>
        <v>0</v>
      </c>
      <c r="BB115" s="2">
        <f t="shared" si="9"/>
        <v>0</v>
      </c>
    </row>
    <row r="116">
      <c r="A116" s="2">
        <f>Spieler!A117</f>
        <v>112</v>
      </c>
      <c r="B116" s="2" t="str">
        <f>VLOOKUP(A116,Spieler!A:F,2,0)</f>
        <v/>
      </c>
      <c r="C116" s="2">
        <f>IF(B116=0,0,VLOOKUP(B116,Datensammler!B:U,3,0))</f>
        <v>0</v>
      </c>
      <c r="D116" s="2">
        <f>IF(B116=0,0,VLOOKUP(B116,Datensammler!B:U,4,0))</f>
        <v>0</v>
      </c>
      <c r="E116" s="2">
        <f>IF(B116=0,0,VLOOKUP(B116,Datensammler!B:U,5,0))</f>
        <v>0</v>
      </c>
      <c r="F116" s="2">
        <f>IF(B116=0,0,VLOOKUP(B116,Datensammler!B:U,6,0))</f>
        <v>0</v>
      </c>
      <c r="G116" s="2">
        <f>IF(B116=0,0,VLOOKUP(B116,Datensammler!B:U,7,0))</f>
        <v>0</v>
      </c>
      <c r="H116" s="2">
        <f>IF(B116=0,0,VLOOKUP(B116,Datensammler!B:U,8,0))</f>
        <v>0</v>
      </c>
      <c r="I116" s="2">
        <f>IF(B116=0,0,VLOOKUP(B116,Datensammler!B:U,9,0))</f>
        <v>0</v>
      </c>
      <c r="J116" s="2">
        <f>IF(B116=0,0,VLOOKUP(B116,Datensammler!B:U,10,0))</f>
        <v>0</v>
      </c>
      <c r="K116" s="2">
        <f>IF(B116=0,0,VLOOKUP(B116,Datensammler!B:U,11,0))</f>
        <v>0</v>
      </c>
      <c r="L116" s="2">
        <f>IF(B116=0,0,VLOOKUP(B116,Datensammler!B:U,12,0))</f>
        <v>0</v>
      </c>
      <c r="M116" s="2">
        <f>IF(B116=0,0,VLOOKUP(B116,Datensammler!B:U,13,0))</f>
        <v>0</v>
      </c>
      <c r="N116" s="2">
        <f>IF(B116=0,0,VLOOKUP(B116,Datensammler!B:U,14,0))</f>
        <v>0</v>
      </c>
      <c r="O116" s="2">
        <f>IF(B116=0,0,VLOOKUP(B116,Datensammler!B:U,15,0))</f>
        <v>0</v>
      </c>
      <c r="P116" s="2">
        <f>IF(B116=0,0,VLOOKUP(B116,Datensammler!B:U,16,0))</f>
        <v>0</v>
      </c>
      <c r="Q116" s="2">
        <f>IF(B116=0,0,VLOOKUP(B116,Datensammler!B:U,17,0))</f>
        <v>0</v>
      </c>
      <c r="R116" s="2">
        <f>IF(B116=0,0,VLOOKUP(B116,Datensammler!B:U,18,0))</f>
        <v>0</v>
      </c>
      <c r="S116" s="2">
        <f>IF(B116=0,0,VLOOKUP(B116,Datensammler!B:U,19,0))</f>
        <v>0</v>
      </c>
      <c r="T116" s="2">
        <f>IF(B116=0,0,VLOOKUP(B116,Datensammler!B:U,20,0))</f>
        <v>0</v>
      </c>
      <c r="U116" s="50">
        <f t="shared" ref="U116:AL116" si="119">C116</f>
        <v>0</v>
      </c>
      <c r="V116" s="50">
        <f t="shared" si="119"/>
        <v>0</v>
      </c>
      <c r="W116" s="50">
        <f t="shared" si="119"/>
        <v>0</v>
      </c>
      <c r="X116" s="50">
        <f t="shared" si="119"/>
        <v>0</v>
      </c>
      <c r="Y116" s="50">
        <f t="shared" si="119"/>
        <v>0</v>
      </c>
      <c r="Z116" s="50">
        <f t="shared" si="119"/>
        <v>0</v>
      </c>
      <c r="AA116" s="50">
        <f t="shared" si="119"/>
        <v>0</v>
      </c>
      <c r="AB116" s="50">
        <f t="shared" si="119"/>
        <v>0</v>
      </c>
      <c r="AC116" s="50">
        <f t="shared" si="119"/>
        <v>0</v>
      </c>
      <c r="AD116" s="50">
        <f t="shared" si="119"/>
        <v>0</v>
      </c>
      <c r="AE116" s="50">
        <f t="shared" si="119"/>
        <v>0</v>
      </c>
      <c r="AF116" s="50">
        <f t="shared" si="119"/>
        <v>0</v>
      </c>
      <c r="AG116" s="50">
        <f t="shared" si="119"/>
        <v>0</v>
      </c>
      <c r="AH116" s="50">
        <f t="shared" si="119"/>
        <v>0</v>
      </c>
      <c r="AI116" s="50">
        <f t="shared" si="119"/>
        <v>0</v>
      </c>
      <c r="AJ116" s="50">
        <f t="shared" si="119"/>
        <v>0</v>
      </c>
      <c r="AK116" s="50">
        <f t="shared" si="119"/>
        <v>0</v>
      </c>
      <c r="AL116" s="50">
        <f t="shared" si="119"/>
        <v>0</v>
      </c>
      <c r="AP116" s="2">
        <f t="shared" si="3"/>
        <v>0</v>
      </c>
      <c r="AQ116" s="2">
        <f>IFERROR(__xludf.DUMMYFUNCTION("IF(V116&gt;0,MIN(FILTER(U116:AL116, U116:AL116&lt;&gt;0)),0)"),0.0)</f>
        <v>0</v>
      </c>
      <c r="AS116" s="2">
        <f t="shared" si="4"/>
        <v>0</v>
      </c>
      <c r="AU116" s="2">
        <f t="shared" si="5"/>
        <v>0</v>
      </c>
      <c r="AW116" s="2">
        <f t="shared" si="6"/>
        <v>0</v>
      </c>
      <c r="AX116" s="2">
        <f>IFERROR(__xludf.DUMMYFUNCTION("IF(X116&gt;0,SMALL(FILTER(U116:AL116, U116:AL116&lt;&gt;0), 2),0)"),0.0)</f>
        <v>0</v>
      </c>
      <c r="AY116" s="2">
        <f t="shared" si="7"/>
        <v>0</v>
      </c>
      <c r="AZ116" s="2">
        <f t="shared" si="8"/>
        <v>0</v>
      </c>
      <c r="BA116" s="2">
        <f>IFERROR(__xludf.DUMMYFUNCTION("IF(Y116&gt;0,SMALL(FILTER(U116:AL116, U116:AL116&lt;&gt;0), 3),0)"),0.0)</f>
        <v>0</v>
      </c>
      <c r="BB116" s="2">
        <f t="shared" si="9"/>
        <v>0</v>
      </c>
    </row>
    <row r="117">
      <c r="A117" s="2">
        <f>Spieler!A118</f>
        <v>113</v>
      </c>
      <c r="B117" s="2" t="str">
        <f>VLOOKUP(A117,Spieler!A:F,2,0)</f>
        <v/>
      </c>
      <c r="C117" s="2">
        <f>IF(B117=0,0,VLOOKUP(B117,Datensammler!B:U,3,0))</f>
        <v>0</v>
      </c>
      <c r="D117" s="2">
        <f>IF(B117=0,0,VLOOKUP(B117,Datensammler!B:U,4,0))</f>
        <v>0</v>
      </c>
      <c r="E117" s="2">
        <f>IF(B117=0,0,VLOOKUP(B117,Datensammler!B:U,5,0))</f>
        <v>0</v>
      </c>
      <c r="F117" s="2">
        <f>IF(B117=0,0,VLOOKUP(B117,Datensammler!B:U,6,0))</f>
        <v>0</v>
      </c>
      <c r="G117" s="2">
        <f>IF(B117=0,0,VLOOKUP(B117,Datensammler!B:U,7,0))</f>
        <v>0</v>
      </c>
      <c r="H117" s="2">
        <f>IF(B117=0,0,VLOOKUP(B117,Datensammler!B:U,8,0))</f>
        <v>0</v>
      </c>
      <c r="I117" s="2">
        <f>IF(B117=0,0,VLOOKUP(B117,Datensammler!B:U,9,0))</f>
        <v>0</v>
      </c>
      <c r="J117" s="2">
        <f>IF(B117=0,0,VLOOKUP(B117,Datensammler!B:U,10,0))</f>
        <v>0</v>
      </c>
      <c r="K117" s="2">
        <f>IF(B117=0,0,VLOOKUP(B117,Datensammler!B:U,11,0))</f>
        <v>0</v>
      </c>
      <c r="L117" s="2">
        <f>IF(B117=0,0,VLOOKUP(B117,Datensammler!B:U,12,0))</f>
        <v>0</v>
      </c>
      <c r="M117" s="2">
        <f>IF(B117=0,0,VLOOKUP(B117,Datensammler!B:U,13,0))</f>
        <v>0</v>
      </c>
      <c r="N117" s="2">
        <f>IF(B117=0,0,VLOOKUP(B117,Datensammler!B:U,14,0))</f>
        <v>0</v>
      </c>
      <c r="O117" s="2">
        <f>IF(B117=0,0,VLOOKUP(B117,Datensammler!B:U,15,0))</f>
        <v>0</v>
      </c>
      <c r="P117" s="2">
        <f>IF(B117=0,0,VLOOKUP(B117,Datensammler!B:U,16,0))</f>
        <v>0</v>
      </c>
      <c r="Q117" s="2">
        <f>IF(B117=0,0,VLOOKUP(B117,Datensammler!B:U,17,0))</f>
        <v>0</v>
      </c>
      <c r="R117" s="2">
        <f>IF(B117=0,0,VLOOKUP(B117,Datensammler!B:U,18,0))</f>
        <v>0</v>
      </c>
      <c r="S117" s="2">
        <f>IF(B117=0,0,VLOOKUP(B117,Datensammler!B:U,19,0))</f>
        <v>0</v>
      </c>
      <c r="T117" s="2">
        <f>IF(B117=0,0,VLOOKUP(B117,Datensammler!B:U,20,0))</f>
        <v>0</v>
      </c>
      <c r="U117" s="50">
        <f t="shared" ref="U117:AL117" si="120">C117</f>
        <v>0</v>
      </c>
      <c r="V117" s="50">
        <f t="shared" si="120"/>
        <v>0</v>
      </c>
      <c r="W117" s="50">
        <f t="shared" si="120"/>
        <v>0</v>
      </c>
      <c r="X117" s="50">
        <f t="shared" si="120"/>
        <v>0</v>
      </c>
      <c r="Y117" s="50">
        <f t="shared" si="120"/>
        <v>0</v>
      </c>
      <c r="Z117" s="50">
        <f t="shared" si="120"/>
        <v>0</v>
      </c>
      <c r="AA117" s="50">
        <f t="shared" si="120"/>
        <v>0</v>
      </c>
      <c r="AB117" s="50">
        <f t="shared" si="120"/>
        <v>0</v>
      </c>
      <c r="AC117" s="50">
        <f t="shared" si="120"/>
        <v>0</v>
      </c>
      <c r="AD117" s="50">
        <f t="shared" si="120"/>
        <v>0</v>
      </c>
      <c r="AE117" s="50">
        <f t="shared" si="120"/>
        <v>0</v>
      </c>
      <c r="AF117" s="50">
        <f t="shared" si="120"/>
        <v>0</v>
      </c>
      <c r="AG117" s="50">
        <f t="shared" si="120"/>
        <v>0</v>
      </c>
      <c r="AH117" s="50">
        <f t="shared" si="120"/>
        <v>0</v>
      </c>
      <c r="AI117" s="50">
        <f t="shared" si="120"/>
        <v>0</v>
      </c>
      <c r="AJ117" s="50">
        <f t="shared" si="120"/>
        <v>0</v>
      </c>
      <c r="AK117" s="50">
        <f t="shared" si="120"/>
        <v>0</v>
      </c>
      <c r="AL117" s="50">
        <f t="shared" si="120"/>
        <v>0</v>
      </c>
      <c r="AP117" s="2">
        <f t="shared" si="3"/>
        <v>0</v>
      </c>
      <c r="AQ117" s="2">
        <f>IFERROR(__xludf.DUMMYFUNCTION("IF(V117&gt;0,MIN(FILTER(U117:AL117, U117:AL117&lt;&gt;0)),0)"),0.0)</f>
        <v>0</v>
      </c>
      <c r="AS117" s="2">
        <f t="shared" si="4"/>
        <v>0</v>
      </c>
      <c r="AU117" s="2">
        <f t="shared" si="5"/>
        <v>0</v>
      </c>
      <c r="AW117" s="2">
        <f t="shared" si="6"/>
        <v>0</v>
      </c>
      <c r="AX117" s="2">
        <f>IFERROR(__xludf.DUMMYFUNCTION("IF(X117&gt;0,SMALL(FILTER(U117:AL117, U117:AL117&lt;&gt;0), 2),0)"),0.0)</f>
        <v>0</v>
      </c>
      <c r="AY117" s="2">
        <f t="shared" si="7"/>
        <v>0</v>
      </c>
      <c r="AZ117" s="2">
        <f t="shared" si="8"/>
        <v>0</v>
      </c>
      <c r="BA117" s="2">
        <f>IFERROR(__xludf.DUMMYFUNCTION("IF(Y117&gt;0,SMALL(FILTER(U117:AL117, U117:AL117&lt;&gt;0), 3),0)"),0.0)</f>
        <v>0</v>
      </c>
      <c r="BB117" s="2">
        <f t="shared" si="9"/>
        <v>0</v>
      </c>
    </row>
    <row r="118">
      <c r="A118" s="2">
        <f>Spieler!A119</f>
        <v>114</v>
      </c>
      <c r="B118" s="2" t="str">
        <f>VLOOKUP(A118,Spieler!A:F,2,0)</f>
        <v/>
      </c>
      <c r="C118" s="2">
        <f>IF(B118=0,0,VLOOKUP(B118,Datensammler!B:U,3,0))</f>
        <v>0</v>
      </c>
      <c r="D118" s="2">
        <f>IF(B118=0,0,VLOOKUP(B118,Datensammler!B:U,4,0))</f>
        <v>0</v>
      </c>
      <c r="E118" s="2">
        <f>IF(B118=0,0,VLOOKUP(B118,Datensammler!B:U,5,0))</f>
        <v>0</v>
      </c>
      <c r="F118" s="2">
        <f>IF(B118=0,0,VLOOKUP(B118,Datensammler!B:U,6,0))</f>
        <v>0</v>
      </c>
      <c r="G118" s="2">
        <f>IF(B118=0,0,VLOOKUP(B118,Datensammler!B:U,7,0))</f>
        <v>0</v>
      </c>
      <c r="H118" s="2">
        <f>IF(B118=0,0,VLOOKUP(B118,Datensammler!B:U,8,0))</f>
        <v>0</v>
      </c>
      <c r="I118" s="2">
        <f>IF(B118=0,0,VLOOKUP(B118,Datensammler!B:U,9,0))</f>
        <v>0</v>
      </c>
      <c r="J118" s="2">
        <f>IF(B118=0,0,VLOOKUP(B118,Datensammler!B:U,10,0))</f>
        <v>0</v>
      </c>
      <c r="K118" s="2">
        <f>IF(B118=0,0,VLOOKUP(B118,Datensammler!B:U,11,0))</f>
        <v>0</v>
      </c>
      <c r="L118" s="2">
        <f>IF(B118=0,0,VLOOKUP(B118,Datensammler!B:U,12,0))</f>
        <v>0</v>
      </c>
      <c r="M118" s="2">
        <f>IF(B118=0,0,VLOOKUP(B118,Datensammler!B:U,13,0))</f>
        <v>0</v>
      </c>
      <c r="N118" s="2">
        <f>IF(B118=0,0,VLOOKUP(B118,Datensammler!B:U,14,0))</f>
        <v>0</v>
      </c>
      <c r="O118" s="2">
        <f>IF(B118=0,0,VLOOKUP(B118,Datensammler!B:U,15,0))</f>
        <v>0</v>
      </c>
      <c r="P118" s="2">
        <f>IF(B118=0,0,VLOOKUP(B118,Datensammler!B:U,16,0))</f>
        <v>0</v>
      </c>
      <c r="Q118" s="2">
        <f>IF(B118=0,0,VLOOKUP(B118,Datensammler!B:U,17,0))</f>
        <v>0</v>
      </c>
      <c r="R118" s="2">
        <f>IF(B118=0,0,VLOOKUP(B118,Datensammler!B:U,18,0))</f>
        <v>0</v>
      </c>
      <c r="S118" s="2">
        <f>IF(B118=0,0,VLOOKUP(B118,Datensammler!B:U,19,0))</f>
        <v>0</v>
      </c>
      <c r="T118" s="2">
        <f>IF(B118=0,0,VLOOKUP(B118,Datensammler!B:U,20,0))</f>
        <v>0</v>
      </c>
      <c r="U118" s="50">
        <f t="shared" ref="U118:AL118" si="121">C118</f>
        <v>0</v>
      </c>
      <c r="V118" s="50">
        <f t="shared" si="121"/>
        <v>0</v>
      </c>
      <c r="W118" s="50">
        <f t="shared" si="121"/>
        <v>0</v>
      </c>
      <c r="X118" s="50">
        <f t="shared" si="121"/>
        <v>0</v>
      </c>
      <c r="Y118" s="50">
        <f t="shared" si="121"/>
        <v>0</v>
      </c>
      <c r="Z118" s="50">
        <f t="shared" si="121"/>
        <v>0</v>
      </c>
      <c r="AA118" s="50">
        <f t="shared" si="121"/>
        <v>0</v>
      </c>
      <c r="AB118" s="50">
        <f t="shared" si="121"/>
        <v>0</v>
      </c>
      <c r="AC118" s="50">
        <f t="shared" si="121"/>
        <v>0</v>
      </c>
      <c r="AD118" s="50">
        <f t="shared" si="121"/>
        <v>0</v>
      </c>
      <c r="AE118" s="50">
        <f t="shared" si="121"/>
        <v>0</v>
      </c>
      <c r="AF118" s="50">
        <f t="shared" si="121"/>
        <v>0</v>
      </c>
      <c r="AG118" s="50">
        <f t="shared" si="121"/>
        <v>0</v>
      </c>
      <c r="AH118" s="50">
        <f t="shared" si="121"/>
        <v>0</v>
      </c>
      <c r="AI118" s="50">
        <f t="shared" si="121"/>
        <v>0</v>
      </c>
      <c r="AJ118" s="50">
        <f t="shared" si="121"/>
        <v>0</v>
      </c>
      <c r="AK118" s="50">
        <f t="shared" si="121"/>
        <v>0</v>
      </c>
      <c r="AL118" s="50">
        <f t="shared" si="121"/>
        <v>0</v>
      </c>
      <c r="AP118" s="2">
        <f t="shared" si="3"/>
        <v>0</v>
      </c>
      <c r="AQ118" s="2">
        <f>IFERROR(__xludf.DUMMYFUNCTION("IF(V118&gt;0,MIN(FILTER(U118:AL118, U118:AL118&lt;&gt;0)),0)"),0.0)</f>
        <v>0</v>
      </c>
      <c r="AS118" s="2">
        <f t="shared" si="4"/>
        <v>0</v>
      </c>
      <c r="AU118" s="2">
        <f t="shared" si="5"/>
        <v>0</v>
      </c>
      <c r="AW118" s="2">
        <f t="shared" si="6"/>
        <v>0</v>
      </c>
      <c r="AX118" s="2">
        <f>IFERROR(__xludf.DUMMYFUNCTION("IF(X118&gt;0,SMALL(FILTER(U118:AL118, U118:AL118&lt;&gt;0), 2),0)"),0.0)</f>
        <v>0</v>
      </c>
      <c r="AY118" s="2">
        <f t="shared" si="7"/>
        <v>0</v>
      </c>
      <c r="AZ118" s="2">
        <f t="shared" si="8"/>
        <v>0</v>
      </c>
      <c r="BA118" s="2">
        <f>IFERROR(__xludf.DUMMYFUNCTION("IF(Y118&gt;0,SMALL(FILTER(U118:AL118, U118:AL118&lt;&gt;0), 3),0)"),0.0)</f>
        <v>0</v>
      </c>
      <c r="BB118" s="2">
        <f t="shared" si="9"/>
        <v>0</v>
      </c>
    </row>
    <row r="119">
      <c r="A119" s="2">
        <f>Spieler!A120</f>
        <v>115</v>
      </c>
      <c r="B119" s="2" t="str">
        <f>VLOOKUP(A119,Spieler!A:F,2,0)</f>
        <v/>
      </c>
      <c r="C119" s="2">
        <f>IF(B119=0,0,VLOOKUP(B119,Datensammler!B:U,3,0))</f>
        <v>0</v>
      </c>
      <c r="D119" s="2">
        <f>IF(B119=0,0,VLOOKUP(B119,Datensammler!B:U,4,0))</f>
        <v>0</v>
      </c>
      <c r="E119" s="2">
        <f>IF(B119=0,0,VLOOKUP(B119,Datensammler!B:U,5,0))</f>
        <v>0</v>
      </c>
      <c r="F119" s="2">
        <f>IF(B119=0,0,VLOOKUP(B119,Datensammler!B:U,6,0))</f>
        <v>0</v>
      </c>
      <c r="G119" s="2">
        <f>IF(B119=0,0,VLOOKUP(B119,Datensammler!B:U,7,0))</f>
        <v>0</v>
      </c>
      <c r="H119" s="2">
        <f>IF(B119=0,0,VLOOKUP(B119,Datensammler!B:U,8,0))</f>
        <v>0</v>
      </c>
      <c r="I119" s="2">
        <f>IF(B119=0,0,VLOOKUP(B119,Datensammler!B:U,9,0))</f>
        <v>0</v>
      </c>
      <c r="J119" s="2">
        <f>IF(B119=0,0,VLOOKUP(B119,Datensammler!B:U,10,0))</f>
        <v>0</v>
      </c>
      <c r="K119" s="2">
        <f>IF(B119=0,0,VLOOKUP(B119,Datensammler!B:U,11,0))</f>
        <v>0</v>
      </c>
      <c r="L119" s="2">
        <f>IF(B119=0,0,VLOOKUP(B119,Datensammler!B:U,12,0))</f>
        <v>0</v>
      </c>
      <c r="M119" s="2">
        <f>IF(B119=0,0,VLOOKUP(B119,Datensammler!B:U,13,0))</f>
        <v>0</v>
      </c>
      <c r="N119" s="2">
        <f>IF(B119=0,0,VLOOKUP(B119,Datensammler!B:U,14,0))</f>
        <v>0</v>
      </c>
      <c r="O119" s="2">
        <f>IF(B119=0,0,VLOOKUP(B119,Datensammler!B:U,15,0))</f>
        <v>0</v>
      </c>
      <c r="P119" s="2">
        <f>IF(B119=0,0,VLOOKUP(B119,Datensammler!B:U,16,0))</f>
        <v>0</v>
      </c>
      <c r="Q119" s="2">
        <f>IF(B119=0,0,VLOOKUP(B119,Datensammler!B:U,17,0))</f>
        <v>0</v>
      </c>
      <c r="R119" s="2">
        <f>IF(B119=0,0,VLOOKUP(B119,Datensammler!B:U,18,0))</f>
        <v>0</v>
      </c>
      <c r="S119" s="2">
        <f>IF(B119=0,0,VLOOKUP(B119,Datensammler!B:U,19,0))</f>
        <v>0</v>
      </c>
      <c r="T119" s="2">
        <f>IF(B119=0,0,VLOOKUP(B119,Datensammler!B:U,20,0))</f>
        <v>0</v>
      </c>
      <c r="U119" s="50">
        <f t="shared" ref="U119:AL119" si="122">C119</f>
        <v>0</v>
      </c>
      <c r="V119" s="50">
        <f t="shared" si="122"/>
        <v>0</v>
      </c>
      <c r="W119" s="50">
        <f t="shared" si="122"/>
        <v>0</v>
      </c>
      <c r="X119" s="50">
        <f t="shared" si="122"/>
        <v>0</v>
      </c>
      <c r="Y119" s="50">
        <f t="shared" si="122"/>
        <v>0</v>
      </c>
      <c r="Z119" s="50">
        <f t="shared" si="122"/>
        <v>0</v>
      </c>
      <c r="AA119" s="50">
        <f t="shared" si="122"/>
        <v>0</v>
      </c>
      <c r="AB119" s="50">
        <f t="shared" si="122"/>
        <v>0</v>
      </c>
      <c r="AC119" s="50">
        <f t="shared" si="122"/>
        <v>0</v>
      </c>
      <c r="AD119" s="50">
        <f t="shared" si="122"/>
        <v>0</v>
      </c>
      <c r="AE119" s="50">
        <f t="shared" si="122"/>
        <v>0</v>
      </c>
      <c r="AF119" s="50">
        <f t="shared" si="122"/>
        <v>0</v>
      </c>
      <c r="AG119" s="50">
        <f t="shared" si="122"/>
        <v>0</v>
      </c>
      <c r="AH119" s="50">
        <f t="shared" si="122"/>
        <v>0</v>
      </c>
      <c r="AI119" s="50">
        <f t="shared" si="122"/>
        <v>0</v>
      </c>
      <c r="AJ119" s="50">
        <f t="shared" si="122"/>
        <v>0</v>
      </c>
      <c r="AK119" s="50">
        <f t="shared" si="122"/>
        <v>0</v>
      </c>
      <c r="AL119" s="50">
        <f t="shared" si="122"/>
        <v>0</v>
      </c>
      <c r="AP119" s="2">
        <f t="shared" si="3"/>
        <v>0</v>
      </c>
      <c r="AQ119" s="2">
        <f>IFERROR(__xludf.DUMMYFUNCTION("IF(V119&gt;0,MIN(FILTER(U119:AL119, U119:AL119&lt;&gt;0)),0)"),0.0)</f>
        <v>0</v>
      </c>
      <c r="AS119" s="2">
        <f t="shared" si="4"/>
        <v>0</v>
      </c>
      <c r="AU119" s="2">
        <f t="shared" si="5"/>
        <v>0</v>
      </c>
      <c r="AW119" s="2">
        <f t="shared" si="6"/>
        <v>0</v>
      </c>
      <c r="AX119" s="2">
        <f>IFERROR(__xludf.DUMMYFUNCTION("IF(X119&gt;0,SMALL(FILTER(U119:AL119, U119:AL119&lt;&gt;0), 2),0)"),0.0)</f>
        <v>0</v>
      </c>
      <c r="AY119" s="2">
        <f t="shared" si="7"/>
        <v>0</v>
      </c>
      <c r="AZ119" s="2">
        <f t="shared" si="8"/>
        <v>0</v>
      </c>
      <c r="BA119" s="2">
        <f>IFERROR(__xludf.DUMMYFUNCTION("IF(Y119&gt;0,SMALL(FILTER(U119:AL119, U119:AL119&lt;&gt;0), 3),0)"),0.0)</f>
        <v>0</v>
      </c>
      <c r="BB119" s="2">
        <f t="shared" si="9"/>
        <v>0</v>
      </c>
    </row>
    <row r="120">
      <c r="A120" s="2">
        <f>Spieler!A121</f>
        <v>116</v>
      </c>
      <c r="B120" s="2" t="str">
        <f>VLOOKUP(A120,Spieler!A:F,2,0)</f>
        <v/>
      </c>
      <c r="C120" s="2">
        <f>IF(B120=0,0,VLOOKUP(B120,Datensammler!B:U,3,0))</f>
        <v>0</v>
      </c>
      <c r="D120" s="2">
        <f>IF(B120=0,0,VLOOKUP(B120,Datensammler!B:U,4,0))</f>
        <v>0</v>
      </c>
      <c r="E120" s="2">
        <f>IF(B120=0,0,VLOOKUP(B120,Datensammler!B:U,5,0))</f>
        <v>0</v>
      </c>
      <c r="F120" s="2">
        <f>IF(B120=0,0,VLOOKUP(B120,Datensammler!B:U,6,0))</f>
        <v>0</v>
      </c>
      <c r="G120" s="2">
        <f>IF(B120=0,0,VLOOKUP(B120,Datensammler!B:U,7,0))</f>
        <v>0</v>
      </c>
      <c r="H120" s="2">
        <f>IF(B120=0,0,VLOOKUP(B120,Datensammler!B:U,8,0))</f>
        <v>0</v>
      </c>
      <c r="I120" s="2">
        <f>IF(B120=0,0,VLOOKUP(B120,Datensammler!B:U,9,0))</f>
        <v>0</v>
      </c>
      <c r="J120" s="2">
        <f>IF(B120=0,0,VLOOKUP(B120,Datensammler!B:U,10,0))</f>
        <v>0</v>
      </c>
      <c r="K120" s="2">
        <f>IF(B120=0,0,VLOOKUP(B120,Datensammler!B:U,11,0))</f>
        <v>0</v>
      </c>
      <c r="L120" s="2">
        <f>IF(B120=0,0,VLOOKUP(B120,Datensammler!B:U,12,0))</f>
        <v>0</v>
      </c>
      <c r="M120" s="2">
        <f>IF(B120=0,0,VLOOKUP(B120,Datensammler!B:U,13,0))</f>
        <v>0</v>
      </c>
      <c r="N120" s="2">
        <f>IF(B120=0,0,VLOOKUP(B120,Datensammler!B:U,14,0))</f>
        <v>0</v>
      </c>
      <c r="O120" s="2">
        <f>IF(B120=0,0,VLOOKUP(B120,Datensammler!B:U,15,0))</f>
        <v>0</v>
      </c>
      <c r="P120" s="2">
        <f>IF(B120=0,0,VLOOKUP(B120,Datensammler!B:U,16,0))</f>
        <v>0</v>
      </c>
      <c r="Q120" s="2">
        <f>IF(B120=0,0,VLOOKUP(B120,Datensammler!B:U,17,0))</f>
        <v>0</v>
      </c>
      <c r="R120" s="2">
        <f>IF(B120=0,0,VLOOKUP(B120,Datensammler!B:U,18,0))</f>
        <v>0</v>
      </c>
      <c r="S120" s="2">
        <f>IF(B120=0,0,VLOOKUP(B120,Datensammler!B:U,19,0))</f>
        <v>0</v>
      </c>
      <c r="T120" s="2">
        <f>IF(B120=0,0,VLOOKUP(B120,Datensammler!B:U,20,0))</f>
        <v>0</v>
      </c>
      <c r="U120" s="50">
        <f t="shared" ref="U120:AL120" si="123">C120</f>
        <v>0</v>
      </c>
      <c r="V120" s="50">
        <f t="shared" si="123"/>
        <v>0</v>
      </c>
      <c r="W120" s="50">
        <f t="shared" si="123"/>
        <v>0</v>
      </c>
      <c r="X120" s="50">
        <f t="shared" si="123"/>
        <v>0</v>
      </c>
      <c r="Y120" s="50">
        <f t="shared" si="123"/>
        <v>0</v>
      </c>
      <c r="Z120" s="50">
        <f t="shared" si="123"/>
        <v>0</v>
      </c>
      <c r="AA120" s="50">
        <f t="shared" si="123"/>
        <v>0</v>
      </c>
      <c r="AB120" s="50">
        <f t="shared" si="123"/>
        <v>0</v>
      </c>
      <c r="AC120" s="50">
        <f t="shared" si="123"/>
        <v>0</v>
      </c>
      <c r="AD120" s="50">
        <f t="shared" si="123"/>
        <v>0</v>
      </c>
      <c r="AE120" s="50">
        <f t="shared" si="123"/>
        <v>0</v>
      </c>
      <c r="AF120" s="50">
        <f t="shared" si="123"/>
        <v>0</v>
      </c>
      <c r="AG120" s="50">
        <f t="shared" si="123"/>
        <v>0</v>
      </c>
      <c r="AH120" s="50">
        <f t="shared" si="123"/>
        <v>0</v>
      </c>
      <c r="AI120" s="50">
        <f t="shared" si="123"/>
        <v>0</v>
      </c>
      <c r="AJ120" s="50">
        <f t="shared" si="123"/>
        <v>0</v>
      </c>
      <c r="AK120" s="50">
        <f t="shared" si="123"/>
        <v>0</v>
      </c>
      <c r="AL120" s="50">
        <f t="shared" si="123"/>
        <v>0</v>
      </c>
      <c r="AP120" s="2">
        <f t="shared" si="3"/>
        <v>0</v>
      </c>
      <c r="AQ120" s="2">
        <f>IFERROR(__xludf.DUMMYFUNCTION("IF(V120&gt;0,MIN(FILTER(U120:AL120, U120:AL120&lt;&gt;0)),0)"),0.0)</f>
        <v>0</v>
      </c>
      <c r="AS120" s="2">
        <f t="shared" si="4"/>
        <v>0</v>
      </c>
      <c r="AU120" s="2">
        <f t="shared" si="5"/>
        <v>0</v>
      </c>
      <c r="AW120" s="2">
        <f t="shared" si="6"/>
        <v>0</v>
      </c>
      <c r="AX120" s="2">
        <f>IFERROR(__xludf.DUMMYFUNCTION("IF(X120&gt;0,SMALL(FILTER(U120:AL120, U120:AL120&lt;&gt;0), 2),0)"),0.0)</f>
        <v>0</v>
      </c>
      <c r="AY120" s="2">
        <f t="shared" si="7"/>
        <v>0</v>
      </c>
      <c r="AZ120" s="2">
        <f t="shared" si="8"/>
        <v>0</v>
      </c>
      <c r="BA120" s="2">
        <f>IFERROR(__xludf.DUMMYFUNCTION("IF(Y120&gt;0,SMALL(FILTER(U120:AL120, U120:AL120&lt;&gt;0), 3),0)"),0.0)</f>
        <v>0</v>
      </c>
      <c r="BB120" s="2">
        <f t="shared" si="9"/>
        <v>0</v>
      </c>
    </row>
    <row r="121">
      <c r="A121" s="2">
        <f>Spieler!A122</f>
        <v>117</v>
      </c>
      <c r="B121" s="2" t="str">
        <f>VLOOKUP(A121,Spieler!A:F,2,0)</f>
        <v/>
      </c>
      <c r="C121" s="2">
        <f>IF(B121=0,0,VLOOKUP(B121,Datensammler!B:U,3,0))</f>
        <v>0</v>
      </c>
      <c r="D121" s="2">
        <f>IF(B121=0,0,VLOOKUP(B121,Datensammler!B:U,4,0))</f>
        <v>0</v>
      </c>
      <c r="E121" s="2">
        <f>IF(B121=0,0,VLOOKUP(B121,Datensammler!B:U,5,0))</f>
        <v>0</v>
      </c>
      <c r="F121" s="2">
        <f>IF(B121=0,0,VLOOKUP(B121,Datensammler!B:U,6,0))</f>
        <v>0</v>
      </c>
      <c r="G121" s="2">
        <f>IF(B121=0,0,VLOOKUP(B121,Datensammler!B:U,7,0))</f>
        <v>0</v>
      </c>
      <c r="H121" s="2">
        <f>IF(B121=0,0,VLOOKUP(B121,Datensammler!B:U,8,0))</f>
        <v>0</v>
      </c>
      <c r="I121" s="2">
        <f>IF(B121=0,0,VLOOKUP(B121,Datensammler!B:U,9,0))</f>
        <v>0</v>
      </c>
      <c r="J121" s="2">
        <f>IF(B121=0,0,VLOOKUP(B121,Datensammler!B:U,10,0))</f>
        <v>0</v>
      </c>
      <c r="K121" s="2">
        <f>IF(B121=0,0,VLOOKUP(B121,Datensammler!B:U,11,0))</f>
        <v>0</v>
      </c>
      <c r="L121" s="2">
        <f>IF(B121=0,0,VLOOKUP(B121,Datensammler!B:U,12,0))</f>
        <v>0</v>
      </c>
      <c r="M121" s="2">
        <f>IF(B121=0,0,VLOOKUP(B121,Datensammler!B:U,13,0))</f>
        <v>0</v>
      </c>
      <c r="N121" s="2">
        <f>IF(B121=0,0,VLOOKUP(B121,Datensammler!B:U,14,0))</f>
        <v>0</v>
      </c>
      <c r="O121" s="2">
        <f>IF(B121=0,0,VLOOKUP(B121,Datensammler!B:U,15,0))</f>
        <v>0</v>
      </c>
      <c r="P121" s="2">
        <f>IF(B121=0,0,VLOOKUP(B121,Datensammler!B:U,16,0))</f>
        <v>0</v>
      </c>
      <c r="Q121" s="2">
        <f>IF(B121=0,0,VLOOKUP(B121,Datensammler!B:U,17,0))</f>
        <v>0</v>
      </c>
      <c r="R121" s="2">
        <f>IF(B121=0,0,VLOOKUP(B121,Datensammler!B:U,18,0))</f>
        <v>0</v>
      </c>
      <c r="S121" s="2">
        <f>IF(B121=0,0,VLOOKUP(B121,Datensammler!B:U,19,0))</f>
        <v>0</v>
      </c>
      <c r="T121" s="2">
        <f>IF(B121=0,0,VLOOKUP(B121,Datensammler!B:U,20,0))</f>
        <v>0</v>
      </c>
      <c r="U121" s="50">
        <f t="shared" ref="U121:AL121" si="124">C121</f>
        <v>0</v>
      </c>
      <c r="V121" s="50">
        <f t="shared" si="124"/>
        <v>0</v>
      </c>
      <c r="W121" s="50">
        <f t="shared" si="124"/>
        <v>0</v>
      </c>
      <c r="X121" s="50">
        <f t="shared" si="124"/>
        <v>0</v>
      </c>
      <c r="Y121" s="50">
        <f t="shared" si="124"/>
        <v>0</v>
      </c>
      <c r="Z121" s="50">
        <f t="shared" si="124"/>
        <v>0</v>
      </c>
      <c r="AA121" s="50">
        <f t="shared" si="124"/>
        <v>0</v>
      </c>
      <c r="AB121" s="50">
        <f t="shared" si="124"/>
        <v>0</v>
      </c>
      <c r="AC121" s="50">
        <f t="shared" si="124"/>
        <v>0</v>
      </c>
      <c r="AD121" s="50">
        <f t="shared" si="124"/>
        <v>0</v>
      </c>
      <c r="AE121" s="50">
        <f t="shared" si="124"/>
        <v>0</v>
      </c>
      <c r="AF121" s="50">
        <f t="shared" si="124"/>
        <v>0</v>
      </c>
      <c r="AG121" s="50">
        <f t="shared" si="124"/>
        <v>0</v>
      </c>
      <c r="AH121" s="50">
        <f t="shared" si="124"/>
        <v>0</v>
      </c>
      <c r="AI121" s="50">
        <f t="shared" si="124"/>
        <v>0</v>
      </c>
      <c r="AJ121" s="50">
        <f t="shared" si="124"/>
        <v>0</v>
      </c>
      <c r="AK121" s="50">
        <f t="shared" si="124"/>
        <v>0</v>
      </c>
      <c r="AL121" s="50">
        <f t="shared" si="124"/>
        <v>0</v>
      </c>
      <c r="AP121" s="2">
        <f t="shared" si="3"/>
        <v>0</v>
      </c>
      <c r="AQ121" s="2">
        <f>IFERROR(__xludf.DUMMYFUNCTION("IF(V121&gt;0,MIN(FILTER(U121:AL121, U121:AL121&lt;&gt;0)),0)"),0.0)</f>
        <v>0</v>
      </c>
      <c r="AS121" s="2">
        <f t="shared" si="4"/>
        <v>0</v>
      </c>
      <c r="AU121" s="2">
        <f t="shared" si="5"/>
        <v>0</v>
      </c>
      <c r="AW121" s="2">
        <f t="shared" si="6"/>
        <v>0</v>
      </c>
      <c r="AX121" s="2">
        <f>IFERROR(__xludf.DUMMYFUNCTION("IF(X121&gt;0,SMALL(FILTER(U121:AL121, U121:AL121&lt;&gt;0), 2),0)"),0.0)</f>
        <v>0</v>
      </c>
      <c r="AY121" s="2">
        <f t="shared" si="7"/>
        <v>0</v>
      </c>
      <c r="AZ121" s="2">
        <f t="shared" si="8"/>
        <v>0</v>
      </c>
      <c r="BA121" s="2">
        <f>IFERROR(__xludf.DUMMYFUNCTION("IF(Y121&gt;0,SMALL(FILTER(U121:AL121, U121:AL121&lt;&gt;0), 3),0)"),0.0)</f>
        <v>0</v>
      </c>
      <c r="BB121" s="2">
        <f t="shared" si="9"/>
        <v>0</v>
      </c>
    </row>
    <row r="122">
      <c r="A122" s="2">
        <f>Spieler!A123</f>
        <v>118</v>
      </c>
      <c r="B122" s="2" t="str">
        <f>VLOOKUP(A122,Spieler!A:F,2,0)</f>
        <v/>
      </c>
      <c r="C122" s="2">
        <f>IF(B122=0,0,VLOOKUP(B122,Datensammler!B:U,3,0))</f>
        <v>0</v>
      </c>
      <c r="D122" s="2">
        <f>IF(B122=0,0,VLOOKUP(B122,Datensammler!B:U,4,0))</f>
        <v>0</v>
      </c>
      <c r="E122" s="2">
        <f>IF(B122=0,0,VLOOKUP(B122,Datensammler!B:U,5,0))</f>
        <v>0</v>
      </c>
      <c r="F122" s="2">
        <f>IF(B122=0,0,VLOOKUP(B122,Datensammler!B:U,6,0))</f>
        <v>0</v>
      </c>
      <c r="G122" s="2">
        <f>IF(B122=0,0,VLOOKUP(B122,Datensammler!B:U,7,0))</f>
        <v>0</v>
      </c>
      <c r="H122" s="2">
        <f>IF(B122=0,0,VLOOKUP(B122,Datensammler!B:U,8,0))</f>
        <v>0</v>
      </c>
      <c r="I122" s="2">
        <f>IF(B122=0,0,VLOOKUP(B122,Datensammler!B:U,9,0))</f>
        <v>0</v>
      </c>
      <c r="J122" s="2">
        <f>IF(B122=0,0,VLOOKUP(B122,Datensammler!B:U,10,0))</f>
        <v>0</v>
      </c>
      <c r="K122" s="2">
        <f>IF(B122=0,0,VLOOKUP(B122,Datensammler!B:U,11,0))</f>
        <v>0</v>
      </c>
      <c r="L122" s="2">
        <f>IF(B122=0,0,VLOOKUP(B122,Datensammler!B:U,12,0))</f>
        <v>0</v>
      </c>
      <c r="M122" s="2">
        <f>IF(B122=0,0,VLOOKUP(B122,Datensammler!B:U,13,0))</f>
        <v>0</v>
      </c>
      <c r="N122" s="2">
        <f>IF(B122=0,0,VLOOKUP(B122,Datensammler!B:U,14,0))</f>
        <v>0</v>
      </c>
      <c r="O122" s="2">
        <f>IF(B122=0,0,VLOOKUP(B122,Datensammler!B:U,15,0))</f>
        <v>0</v>
      </c>
      <c r="P122" s="2">
        <f>IF(B122=0,0,VLOOKUP(B122,Datensammler!B:U,16,0))</f>
        <v>0</v>
      </c>
      <c r="Q122" s="2">
        <f>IF(B122=0,0,VLOOKUP(B122,Datensammler!B:U,17,0))</f>
        <v>0</v>
      </c>
      <c r="R122" s="2">
        <f>IF(B122=0,0,VLOOKUP(B122,Datensammler!B:U,18,0))</f>
        <v>0</v>
      </c>
      <c r="S122" s="2">
        <f>IF(B122=0,0,VLOOKUP(B122,Datensammler!B:U,19,0))</f>
        <v>0</v>
      </c>
      <c r="T122" s="2">
        <f>IF(B122=0,0,VLOOKUP(B122,Datensammler!B:U,20,0))</f>
        <v>0</v>
      </c>
      <c r="U122" s="50">
        <f t="shared" ref="U122:AL122" si="125">C122</f>
        <v>0</v>
      </c>
      <c r="V122" s="50">
        <f t="shared" si="125"/>
        <v>0</v>
      </c>
      <c r="W122" s="50">
        <f t="shared" si="125"/>
        <v>0</v>
      </c>
      <c r="X122" s="50">
        <f t="shared" si="125"/>
        <v>0</v>
      </c>
      <c r="Y122" s="50">
        <f t="shared" si="125"/>
        <v>0</v>
      </c>
      <c r="Z122" s="50">
        <f t="shared" si="125"/>
        <v>0</v>
      </c>
      <c r="AA122" s="50">
        <f t="shared" si="125"/>
        <v>0</v>
      </c>
      <c r="AB122" s="50">
        <f t="shared" si="125"/>
        <v>0</v>
      </c>
      <c r="AC122" s="50">
        <f t="shared" si="125"/>
        <v>0</v>
      </c>
      <c r="AD122" s="50">
        <f t="shared" si="125"/>
        <v>0</v>
      </c>
      <c r="AE122" s="50">
        <f t="shared" si="125"/>
        <v>0</v>
      </c>
      <c r="AF122" s="50">
        <f t="shared" si="125"/>
        <v>0</v>
      </c>
      <c r="AG122" s="50">
        <f t="shared" si="125"/>
        <v>0</v>
      </c>
      <c r="AH122" s="50">
        <f t="shared" si="125"/>
        <v>0</v>
      </c>
      <c r="AI122" s="50">
        <f t="shared" si="125"/>
        <v>0</v>
      </c>
      <c r="AJ122" s="50">
        <f t="shared" si="125"/>
        <v>0</v>
      </c>
      <c r="AK122" s="50">
        <f t="shared" si="125"/>
        <v>0</v>
      </c>
      <c r="AL122" s="50">
        <f t="shared" si="125"/>
        <v>0</v>
      </c>
      <c r="AP122" s="2">
        <f t="shared" si="3"/>
        <v>0</v>
      </c>
      <c r="AQ122" s="2">
        <f>IFERROR(__xludf.DUMMYFUNCTION("IF(V122&gt;0,MIN(FILTER(U122:AL122, U122:AL122&lt;&gt;0)),0)"),0.0)</f>
        <v>0</v>
      </c>
      <c r="AS122" s="2">
        <f t="shared" si="4"/>
        <v>0</v>
      </c>
      <c r="AU122" s="2">
        <f t="shared" si="5"/>
        <v>0</v>
      </c>
      <c r="AW122" s="2">
        <f t="shared" si="6"/>
        <v>0</v>
      </c>
      <c r="AX122" s="2">
        <f>IFERROR(__xludf.DUMMYFUNCTION("IF(X122&gt;0,SMALL(FILTER(U122:AL122, U122:AL122&lt;&gt;0), 2),0)"),0.0)</f>
        <v>0</v>
      </c>
      <c r="AY122" s="2">
        <f t="shared" si="7"/>
        <v>0</v>
      </c>
      <c r="AZ122" s="2">
        <f t="shared" si="8"/>
        <v>0</v>
      </c>
      <c r="BA122" s="2">
        <f>IFERROR(__xludf.DUMMYFUNCTION("IF(Y122&gt;0,SMALL(FILTER(U122:AL122, U122:AL122&lt;&gt;0), 3),0)"),0.0)</f>
        <v>0</v>
      </c>
      <c r="BB122" s="2">
        <f t="shared" si="9"/>
        <v>0</v>
      </c>
    </row>
    <row r="123">
      <c r="A123" s="2">
        <f>Spieler!A124</f>
        <v>119</v>
      </c>
      <c r="B123" s="2" t="str">
        <f>VLOOKUP(A123,Spieler!A:F,2,0)</f>
        <v/>
      </c>
      <c r="C123" s="2">
        <f>IF(B123=0,0,VLOOKUP(B123,Datensammler!B:U,3,0))</f>
        <v>0</v>
      </c>
      <c r="D123" s="2">
        <f>IF(B123=0,0,VLOOKUP(B123,Datensammler!B:U,4,0))</f>
        <v>0</v>
      </c>
      <c r="E123" s="2">
        <f>IF(B123=0,0,VLOOKUP(B123,Datensammler!B:U,5,0))</f>
        <v>0</v>
      </c>
      <c r="F123" s="2">
        <f>IF(B123=0,0,VLOOKUP(B123,Datensammler!B:U,6,0))</f>
        <v>0</v>
      </c>
      <c r="G123" s="2">
        <f>IF(B123=0,0,VLOOKUP(B123,Datensammler!B:U,7,0))</f>
        <v>0</v>
      </c>
      <c r="H123" s="2">
        <f>IF(B123=0,0,VLOOKUP(B123,Datensammler!B:U,8,0))</f>
        <v>0</v>
      </c>
      <c r="I123" s="2">
        <f>IF(B123=0,0,VLOOKUP(B123,Datensammler!B:U,9,0))</f>
        <v>0</v>
      </c>
      <c r="J123" s="2">
        <f>IF(B123=0,0,VLOOKUP(B123,Datensammler!B:U,10,0))</f>
        <v>0</v>
      </c>
      <c r="K123" s="2">
        <f>IF(B123=0,0,VLOOKUP(B123,Datensammler!B:U,11,0))</f>
        <v>0</v>
      </c>
      <c r="L123" s="2">
        <f>IF(B123=0,0,VLOOKUP(B123,Datensammler!B:U,12,0))</f>
        <v>0</v>
      </c>
      <c r="M123" s="2">
        <f>IF(B123=0,0,VLOOKUP(B123,Datensammler!B:U,13,0))</f>
        <v>0</v>
      </c>
      <c r="N123" s="2">
        <f>IF(B123=0,0,VLOOKUP(B123,Datensammler!B:U,14,0))</f>
        <v>0</v>
      </c>
      <c r="O123" s="2">
        <f>IF(B123=0,0,VLOOKUP(B123,Datensammler!B:U,15,0))</f>
        <v>0</v>
      </c>
      <c r="P123" s="2">
        <f>IF(B123=0,0,VLOOKUP(B123,Datensammler!B:U,16,0))</f>
        <v>0</v>
      </c>
      <c r="Q123" s="2">
        <f>IF(B123=0,0,VLOOKUP(B123,Datensammler!B:U,17,0))</f>
        <v>0</v>
      </c>
      <c r="R123" s="2">
        <f>IF(B123=0,0,VLOOKUP(B123,Datensammler!B:U,18,0))</f>
        <v>0</v>
      </c>
      <c r="S123" s="2">
        <f>IF(B123=0,0,VLOOKUP(B123,Datensammler!B:U,19,0))</f>
        <v>0</v>
      </c>
      <c r="T123" s="2">
        <f>IF(B123=0,0,VLOOKUP(B123,Datensammler!B:U,20,0))</f>
        <v>0</v>
      </c>
      <c r="U123" s="50">
        <f t="shared" ref="U123:AL123" si="126">C123</f>
        <v>0</v>
      </c>
      <c r="V123" s="50">
        <f t="shared" si="126"/>
        <v>0</v>
      </c>
      <c r="W123" s="50">
        <f t="shared" si="126"/>
        <v>0</v>
      </c>
      <c r="X123" s="50">
        <f t="shared" si="126"/>
        <v>0</v>
      </c>
      <c r="Y123" s="50">
        <f t="shared" si="126"/>
        <v>0</v>
      </c>
      <c r="Z123" s="50">
        <f t="shared" si="126"/>
        <v>0</v>
      </c>
      <c r="AA123" s="50">
        <f t="shared" si="126"/>
        <v>0</v>
      </c>
      <c r="AB123" s="50">
        <f t="shared" si="126"/>
        <v>0</v>
      </c>
      <c r="AC123" s="50">
        <f t="shared" si="126"/>
        <v>0</v>
      </c>
      <c r="AD123" s="50">
        <f t="shared" si="126"/>
        <v>0</v>
      </c>
      <c r="AE123" s="50">
        <f t="shared" si="126"/>
        <v>0</v>
      </c>
      <c r="AF123" s="50">
        <f t="shared" si="126"/>
        <v>0</v>
      </c>
      <c r="AG123" s="50">
        <f t="shared" si="126"/>
        <v>0</v>
      </c>
      <c r="AH123" s="50">
        <f t="shared" si="126"/>
        <v>0</v>
      </c>
      <c r="AI123" s="50">
        <f t="shared" si="126"/>
        <v>0</v>
      </c>
      <c r="AJ123" s="50">
        <f t="shared" si="126"/>
        <v>0</v>
      </c>
      <c r="AK123" s="50">
        <f t="shared" si="126"/>
        <v>0</v>
      </c>
      <c r="AL123" s="50">
        <f t="shared" si="126"/>
        <v>0</v>
      </c>
      <c r="AP123" s="2">
        <f t="shared" si="3"/>
        <v>0</v>
      </c>
      <c r="AQ123" s="2">
        <f>IFERROR(__xludf.DUMMYFUNCTION("IF(V123&gt;0,MIN(FILTER(U123:AL123, U123:AL123&lt;&gt;0)),0)"),0.0)</f>
        <v>0</v>
      </c>
      <c r="AS123" s="2">
        <f t="shared" si="4"/>
        <v>0</v>
      </c>
      <c r="AU123" s="2">
        <f t="shared" si="5"/>
        <v>0</v>
      </c>
      <c r="AW123" s="2">
        <f t="shared" si="6"/>
        <v>0</v>
      </c>
      <c r="AX123" s="2">
        <f>IFERROR(__xludf.DUMMYFUNCTION("IF(X123&gt;0,SMALL(FILTER(U123:AL123, U123:AL123&lt;&gt;0), 2),0)"),0.0)</f>
        <v>0</v>
      </c>
      <c r="AY123" s="2">
        <f t="shared" si="7"/>
        <v>0</v>
      </c>
      <c r="AZ123" s="2">
        <f t="shared" si="8"/>
        <v>0</v>
      </c>
      <c r="BA123" s="2">
        <f>IFERROR(__xludf.DUMMYFUNCTION("IF(Y123&gt;0,SMALL(FILTER(U123:AL123, U123:AL123&lt;&gt;0), 3),0)"),0.0)</f>
        <v>0</v>
      </c>
      <c r="BB123" s="2">
        <f t="shared" si="9"/>
        <v>0</v>
      </c>
    </row>
    <row r="124">
      <c r="A124" s="2">
        <f>Spieler!A125</f>
        <v>120</v>
      </c>
      <c r="B124" s="2" t="str">
        <f>VLOOKUP(A124,Spieler!A:F,2,0)</f>
        <v/>
      </c>
      <c r="C124" s="2">
        <f>IF(B124=0,0,VLOOKUP(B124,Datensammler!B:U,3,0))</f>
        <v>0</v>
      </c>
      <c r="D124" s="2">
        <f>IF(B124=0,0,VLOOKUP(B124,Datensammler!B:U,4,0))</f>
        <v>0</v>
      </c>
      <c r="E124" s="2">
        <f>IF(B124=0,0,VLOOKUP(B124,Datensammler!B:U,5,0))</f>
        <v>0</v>
      </c>
      <c r="F124" s="2">
        <f>IF(B124=0,0,VLOOKUP(B124,Datensammler!B:U,6,0))</f>
        <v>0</v>
      </c>
      <c r="G124" s="2">
        <f>IF(B124=0,0,VLOOKUP(B124,Datensammler!B:U,7,0))</f>
        <v>0</v>
      </c>
      <c r="H124" s="2">
        <f>IF(B124=0,0,VLOOKUP(B124,Datensammler!B:U,8,0))</f>
        <v>0</v>
      </c>
      <c r="I124" s="2">
        <f>IF(B124=0,0,VLOOKUP(B124,Datensammler!B:U,9,0))</f>
        <v>0</v>
      </c>
      <c r="J124" s="2">
        <f>IF(B124=0,0,VLOOKUP(B124,Datensammler!B:U,10,0))</f>
        <v>0</v>
      </c>
      <c r="K124" s="2">
        <f>IF(B124=0,0,VLOOKUP(B124,Datensammler!B:U,11,0))</f>
        <v>0</v>
      </c>
      <c r="L124" s="2">
        <f>IF(B124=0,0,VLOOKUP(B124,Datensammler!B:U,12,0))</f>
        <v>0</v>
      </c>
      <c r="M124" s="2">
        <f>IF(B124=0,0,VLOOKUP(B124,Datensammler!B:U,13,0))</f>
        <v>0</v>
      </c>
      <c r="N124" s="2">
        <f>IF(B124=0,0,VLOOKUP(B124,Datensammler!B:U,14,0))</f>
        <v>0</v>
      </c>
      <c r="O124" s="2">
        <f>IF(B124=0,0,VLOOKUP(B124,Datensammler!B:U,15,0))</f>
        <v>0</v>
      </c>
      <c r="P124" s="2">
        <f>IF(B124=0,0,VLOOKUP(B124,Datensammler!B:U,16,0))</f>
        <v>0</v>
      </c>
      <c r="Q124" s="2">
        <f>IF(B124=0,0,VLOOKUP(B124,Datensammler!B:U,17,0))</f>
        <v>0</v>
      </c>
      <c r="R124" s="2">
        <f>IF(B124=0,0,VLOOKUP(B124,Datensammler!B:U,18,0))</f>
        <v>0</v>
      </c>
      <c r="S124" s="2">
        <f>IF(B124=0,0,VLOOKUP(B124,Datensammler!B:U,19,0))</f>
        <v>0</v>
      </c>
      <c r="T124" s="2">
        <f>IF(B124=0,0,VLOOKUP(B124,Datensammler!B:U,20,0))</f>
        <v>0</v>
      </c>
      <c r="U124" s="50">
        <f t="shared" ref="U124:AL124" si="127">C124</f>
        <v>0</v>
      </c>
      <c r="V124" s="50">
        <f t="shared" si="127"/>
        <v>0</v>
      </c>
      <c r="W124" s="50">
        <f t="shared" si="127"/>
        <v>0</v>
      </c>
      <c r="X124" s="50">
        <f t="shared" si="127"/>
        <v>0</v>
      </c>
      <c r="Y124" s="50">
        <f t="shared" si="127"/>
        <v>0</v>
      </c>
      <c r="Z124" s="50">
        <f t="shared" si="127"/>
        <v>0</v>
      </c>
      <c r="AA124" s="50">
        <f t="shared" si="127"/>
        <v>0</v>
      </c>
      <c r="AB124" s="50">
        <f t="shared" si="127"/>
        <v>0</v>
      </c>
      <c r="AC124" s="50">
        <f t="shared" si="127"/>
        <v>0</v>
      </c>
      <c r="AD124" s="50">
        <f t="shared" si="127"/>
        <v>0</v>
      </c>
      <c r="AE124" s="50">
        <f t="shared" si="127"/>
        <v>0</v>
      </c>
      <c r="AF124" s="50">
        <f t="shared" si="127"/>
        <v>0</v>
      </c>
      <c r="AG124" s="50">
        <f t="shared" si="127"/>
        <v>0</v>
      </c>
      <c r="AH124" s="50">
        <f t="shared" si="127"/>
        <v>0</v>
      </c>
      <c r="AI124" s="50">
        <f t="shared" si="127"/>
        <v>0</v>
      </c>
      <c r="AJ124" s="50">
        <f t="shared" si="127"/>
        <v>0</v>
      </c>
      <c r="AK124" s="50">
        <f t="shared" si="127"/>
        <v>0</v>
      </c>
      <c r="AL124" s="50">
        <f t="shared" si="127"/>
        <v>0</v>
      </c>
      <c r="AP124" s="2">
        <f t="shared" si="3"/>
        <v>0</v>
      </c>
      <c r="AQ124" s="2">
        <f>IFERROR(__xludf.DUMMYFUNCTION("IF(V124&gt;0,MIN(FILTER(U124:AL124, U124:AL124&lt;&gt;0)),0)"),0.0)</f>
        <v>0</v>
      </c>
      <c r="AS124" s="2">
        <f t="shared" si="4"/>
        <v>0</v>
      </c>
      <c r="AU124" s="2">
        <f t="shared" si="5"/>
        <v>0</v>
      </c>
      <c r="AW124" s="2">
        <f t="shared" si="6"/>
        <v>0</v>
      </c>
      <c r="AX124" s="2">
        <f>IFERROR(__xludf.DUMMYFUNCTION("IF(X124&gt;0,SMALL(FILTER(U124:AL124, U124:AL124&lt;&gt;0), 2),0)"),0.0)</f>
        <v>0</v>
      </c>
      <c r="AY124" s="2">
        <f t="shared" si="7"/>
        <v>0</v>
      </c>
      <c r="AZ124" s="2">
        <f t="shared" si="8"/>
        <v>0</v>
      </c>
      <c r="BA124" s="2">
        <f>IFERROR(__xludf.DUMMYFUNCTION("IF(Y124&gt;0,SMALL(FILTER(U124:AL124, U124:AL124&lt;&gt;0), 3),0)"),0.0)</f>
        <v>0</v>
      </c>
      <c r="BB124" s="2">
        <f t="shared" si="9"/>
        <v>0</v>
      </c>
    </row>
    <row r="125">
      <c r="A125" s="2">
        <f>Spieler!A126</f>
        <v>121</v>
      </c>
      <c r="B125" s="2" t="str">
        <f>VLOOKUP(A125,Spieler!A:F,2,0)</f>
        <v/>
      </c>
      <c r="C125" s="2">
        <f>IF(B125=0,0,VLOOKUP(B125,Datensammler!B:U,3,0))</f>
        <v>0</v>
      </c>
      <c r="D125" s="2">
        <f>IF(B125=0,0,VLOOKUP(B125,Datensammler!B:U,4,0))</f>
        <v>0</v>
      </c>
      <c r="E125" s="2">
        <f>IF(B125=0,0,VLOOKUP(B125,Datensammler!B:U,5,0))</f>
        <v>0</v>
      </c>
      <c r="F125" s="2">
        <f>IF(B125=0,0,VLOOKUP(B125,Datensammler!B:U,6,0))</f>
        <v>0</v>
      </c>
      <c r="G125" s="2">
        <f>IF(B125=0,0,VLOOKUP(B125,Datensammler!B:U,7,0))</f>
        <v>0</v>
      </c>
      <c r="H125" s="2">
        <f>IF(B125=0,0,VLOOKUP(B125,Datensammler!B:U,8,0))</f>
        <v>0</v>
      </c>
      <c r="I125" s="2">
        <f>IF(B125=0,0,VLOOKUP(B125,Datensammler!B:U,9,0))</f>
        <v>0</v>
      </c>
      <c r="J125" s="2">
        <f>IF(B125=0,0,VLOOKUP(B125,Datensammler!B:U,10,0))</f>
        <v>0</v>
      </c>
      <c r="K125" s="2">
        <f>IF(B125=0,0,VLOOKUP(B125,Datensammler!B:U,11,0))</f>
        <v>0</v>
      </c>
      <c r="L125" s="2">
        <f>IF(B125=0,0,VLOOKUP(B125,Datensammler!B:U,12,0))</f>
        <v>0</v>
      </c>
      <c r="M125" s="2">
        <f>IF(B125=0,0,VLOOKUP(B125,Datensammler!B:U,13,0))</f>
        <v>0</v>
      </c>
      <c r="N125" s="2">
        <f>IF(B125=0,0,VLOOKUP(B125,Datensammler!B:U,14,0))</f>
        <v>0</v>
      </c>
      <c r="O125" s="2">
        <f>IF(B125=0,0,VLOOKUP(B125,Datensammler!B:U,15,0))</f>
        <v>0</v>
      </c>
      <c r="P125" s="2">
        <f>IF(B125=0,0,VLOOKUP(B125,Datensammler!B:U,16,0))</f>
        <v>0</v>
      </c>
      <c r="Q125" s="2">
        <f>IF(B125=0,0,VLOOKUP(B125,Datensammler!B:U,17,0))</f>
        <v>0</v>
      </c>
      <c r="R125" s="2">
        <f>IF(B125=0,0,VLOOKUP(B125,Datensammler!B:U,18,0))</f>
        <v>0</v>
      </c>
      <c r="S125" s="2">
        <f>IF(B125=0,0,VLOOKUP(B125,Datensammler!B:U,19,0))</f>
        <v>0</v>
      </c>
      <c r="T125" s="2">
        <f>IF(B125=0,0,VLOOKUP(B125,Datensammler!B:U,20,0))</f>
        <v>0</v>
      </c>
      <c r="U125" s="50">
        <f t="shared" ref="U125:AL125" si="128">C125</f>
        <v>0</v>
      </c>
      <c r="V125" s="50">
        <f t="shared" si="128"/>
        <v>0</v>
      </c>
      <c r="W125" s="50">
        <f t="shared" si="128"/>
        <v>0</v>
      </c>
      <c r="X125" s="50">
        <f t="shared" si="128"/>
        <v>0</v>
      </c>
      <c r="Y125" s="50">
        <f t="shared" si="128"/>
        <v>0</v>
      </c>
      <c r="Z125" s="50">
        <f t="shared" si="128"/>
        <v>0</v>
      </c>
      <c r="AA125" s="50">
        <f t="shared" si="128"/>
        <v>0</v>
      </c>
      <c r="AB125" s="50">
        <f t="shared" si="128"/>
        <v>0</v>
      </c>
      <c r="AC125" s="50">
        <f t="shared" si="128"/>
        <v>0</v>
      </c>
      <c r="AD125" s="50">
        <f t="shared" si="128"/>
        <v>0</v>
      </c>
      <c r="AE125" s="50">
        <f t="shared" si="128"/>
        <v>0</v>
      </c>
      <c r="AF125" s="50">
        <f t="shared" si="128"/>
        <v>0</v>
      </c>
      <c r="AG125" s="50">
        <f t="shared" si="128"/>
        <v>0</v>
      </c>
      <c r="AH125" s="50">
        <f t="shared" si="128"/>
        <v>0</v>
      </c>
      <c r="AI125" s="50">
        <f t="shared" si="128"/>
        <v>0</v>
      </c>
      <c r="AJ125" s="50">
        <f t="shared" si="128"/>
        <v>0</v>
      </c>
      <c r="AK125" s="50">
        <f t="shared" si="128"/>
        <v>0</v>
      </c>
      <c r="AL125" s="50">
        <f t="shared" si="128"/>
        <v>0</v>
      </c>
      <c r="AP125" s="2">
        <f t="shared" si="3"/>
        <v>0</v>
      </c>
      <c r="AQ125" s="2">
        <f>IFERROR(__xludf.DUMMYFUNCTION("IF(V125&gt;0,MIN(FILTER(U125:AL125, U125:AL125&lt;&gt;0)),0)"),0.0)</f>
        <v>0</v>
      </c>
      <c r="AS125" s="2">
        <f t="shared" si="4"/>
        <v>0</v>
      </c>
      <c r="AU125" s="2">
        <f t="shared" si="5"/>
        <v>0</v>
      </c>
      <c r="AW125" s="2">
        <f t="shared" si="6"/>
        <v>0</v>
      </c>
      <c r="AX125" s="2">
        <f>IFERROR(__xludf.DUMMYFUNCTION("IF(X125&gt;0,SMALL(FILTER(U125:AL125, U125:AL125&lt;&gt;0), 2),0)"),0.0)</f>
        <v>0</v>
      </c>
      <c r="AY125" s="2">
        <f t="shared" si="7"/>
        <v>0</v>
      </c>
      <c r="AZ125" s="2">
        <f t="shared" si="8"/>
        <v>0</v>
      </c>
      <c r="BA125" s="2">
        <f>IFERROR(__xludf.DUMMYFUNCTION("IF(Y125&gt;0,SMALL(FILTER(U125:AL125, U125:AL125&lt;&gt;0), 3),0)"),0.0)</f>
        <v>0</v>
      </c>
      <c r="BB125" s="2">
        <f t="shared" si="9"/>
        <v>0</v>
      </c>
    </row>
    <row r="126">
      <c r="A126" s="2">
        <f>Spieler!A127</f>
        <v>122</v>
      </c>
      <c r="B126" s="2" t="str">
        <f>VLOOKUP(A126,Spieler!A:F,2,0)</f>
        <v/>
      </c>
      <c r="C126" s="2">
        <f>IF(B126=0,0,VLOOKUP(B126,Datensammler!B:U,3,0))</f>
        <v>0</v>
      </c>
      <c r="D126" s="2">
        <f>IF(B126=0,0,VLOOKUP(B126,Datensammler!B:U,4,0))</f>
        <v>0</v>
      </c>
      <c r="E126" s="2">
        <f>IF(B126=0,0,VLOOKUP(B126,Datensammler!B:U,5,0))</f>
        <v>0</v>
      </c>
      <c r="F126" s="2">
        <f>IF(B126=0,0,VLOOKUP(B126,Datensammler!B:U,6,0))</f>
        <v>0</v>
      </c>
      <c r="G126" s="2">
        <f>IF(B126=0,0,VLOOKUP(B126,Datensammler!B:U,7,0))</f>
        <v>0</v>
      </c>
      <c r="H126" s="2">
        <f>IF(B126=0,0,VLOOKUP(B126,Datensammler!B:U,8,0))</f>
        <v>0</v>
      </c>
      <c r="I126" s="2">
        <f>IF(B126=0,0,VLOOKUP(B126,Datensammler!B:U,9,0))</f>
        <v>0</v>
      </c>
      <c r="J126" s="2">
        <f>IF(B126=0,0,VLOOKUP(B126,Datensammler!B:U,10,0))</f>
        <v>0</v>
      </c>
      <c r="K126" s="2">
        <f>IF(B126=0,0,VLOOKUP(B126,Datensammler!B:U,11,0))</f>
        <v>0</v>
      </c>
      <c r="L126" s="2">
        <f>IF(B126=0,0,VLOOKUP(B126,Datensammler!B:U,12,0))</f>
        <v>0</v>
      </c>
      <c r="M126" s="2">
        <f>IF(B126=0,0,VLOOKUP(B126,Datensammler!B:U,13,0))</f>
        <v>0</v>
      </c>
      <c r="N126" s="2">
        <f>IF(B126=0,0,VLOOKUP(B126,Datensammler!B:U,14,0))</f>
        <v>0</v>
      </c>
      <c r="O126" s="2">
        <f>IF(B126=0,0,VLOOKUP(B126,Datensammler!B:U,15,0))</f>
        <v>0</v>
      </c>
      <c r="P126" s="2">
        <f>IF(B126=0,0,VLOOKUP(B126,Datensammler!B:U,16,0))</f>
        <v>0</v>
      </c>
      <c r="Q126" s="2">
        <f>IF(B126=0,0,VLOOKUP(B126,Datensammler!B:U,17,0))</f>
        <v>0</v>
      </c>
      <c r="R126" s="2">
        <f>IF(B126=0,0,VLOOKUP(B126,Datensammler!B:U,18,0))</f>
        <v>0</v>
      </c>
      <c r="S126" s="2">
        <f>IF(B126=0,0,VLOOKUP(B126,Datensammler!B:U,19,0))</f>
        <v>0</v>
      </c>
      <c r="T126" s="2">
        <f>IF(B126=0,0,VLOOKUP(B126,Datensammler!B:U,20,0))</f>
        <v>0</v>
      </c>
      <c r="U126" s="50">
        <f t="shared" ref="U126:AL126" si="129">C126</f>
        <v>0</v>
      </c>
      <c r="V126" s="50">
        <f t="shared" si="129"/>
        <v>0</v>
      </c>
      <c r="W126" s="50">
        <f t="shared" si="129"/>
        <v>0</v>
      </c>
      <c r="X126" s="50">
        <f t="shared" si="129"/>
        <v>0</v>
      </c>
      <c r="Y126" s="50">
        <f t="shared" si="129"/>
        <v>0</v>
      </c>
      <c r="Z126" s="50">
        <f t="shared" si="129"/>
        <v>0</v>
      </c>
      <c r="AA126" s="50">
        <f t="shared" si="129"/>
        <v>0</v>
      </c>
      <c r="AB126" s="50">
        <f t="shared" si="129"/>
        <v>0</v>
      </c>
      <c r="AC126" s="50">
        <f t="shared" si="129"/>
        <v>0</v>
      </c>
      <c r="AD126" s="50">
        <f t="shared" si="129"/>
        <v>0</v>
      </c>
      <c r="AE126" s="50">
        <f t="shared" si="129"/>
        <v>0</v>
      </c>
      <c r="AF126" s="50">
        <f t="shared" si="129"/>
        <v>0</v>
      </c>
      <c r="AG126" s="50">
        <f t="shared" si="129"/>
        <v>0</v>
      </c>
      <c r="AH126" s="50">
        <f t="shared" si="129"/>
        <v>0</v>
      </c>
      <c r="AI126" s="50">
        <f t="shared" si="129"/>
        <v>0</v>
      </c>
      <c r="AJ126" s="50">
        <f t="shared" si="129"/>
        <v>0</v>
      </c>
      <c r="AK126" s="50">
        <f t="shared" si="129"/>
        <v>0</v>
      </c>
      <c r="AL126" s="50">
        <f t="shared" si="129"/>
        <v>0</v>
      </c>
      <c r="AP126" s="2">
        <f t="shared" si="3"/>
        <v>0</v>
      </c>
      <c r="AQ126" s="2">
        <f>IFERROR(__xludf.DUMMYFUNCTION("IF(V126&gt;0,MIN(FILTER(U126:AL126, U126:AL126&lt;&gt;0)),0)"),0.0)</f>
        <v>0</v>
      </c>
      <c r="AS126" s="2">
        <f t="shared" si="4"/>
        <v>0</v>
      </c>
      <c r="AU126" s="2">
        <f t="shared" si="5"/>
        <v>0</v>
      </c>
      <c r="AW126" s="2">
        <f t="shared" si="6"/>
        <v>0</v>
      </c>
      <c r="AX126" s="2">
        <f>IFERROR(__xludf.DUMMYFUNCTION("IF(X126&gt;0,SMALL(FILTER(U126:AL126, U126:AL126&lt;&gt;0), 2),0)"),0.0)</f>
        <v>0</v>
      </c>
      <c r="AY126" s="2">
        <f t="shared" si="7"/>
        <v>0</v>
      </c>
      <c r="AZ126" s="2">
        <f t="shared" si="8"/>
        <v>0</v>
      </c>
      <c r="BA126" s="2">
        <f>IFERROR(__xludf.DUMMYFUNCTION("IF(Y126&gt;0,SMALL(FILTER(U126:AL126, U126:AL126&lt;&gt;0), 3),0)"),0.0)</f>
        <v>0</v>
      </c>
      <c r="BB126" s="2">
        <f t="shared" si="9"/>
        <v>0</v>
      </c>
    </row>
    <row r="127">
      <c r="A127" s="2">
        <f>Spieler!A128</f>
        <v>123</v>
      </c>
      <c r="B127" s="2" t="str">
        <f>VLOOKUP(A127,Spieler!A:F,2,0)</f>
        <v/>
      </c>
      <c r="C127" s="2">
        <f>IF(B127=0,0,VLOOKUP(B127,Datensammler!B:U,3,0))</f>
        <v>0</v>
      </c>
      <c r="D127" s="2">
        <f>IF(B127=0,0,VLOOKUP(B127,Datensammler!B:U,4,0))</f>
        <v>0</v>
      </c>
      <c r="E127" s="2">
        <f>IF(B127=0,0,VLOOKUP(B127,Datensammler!B:U,5,0))</f>
        <v>0</v>
      </c>
      <c r="F127" s="2">
        <f>IF(B127=0,0,VLOOKUP(B127,Datensammler!B:U,6,0))</f>
        <v>0</v>
      </c>
      <c r="G127" s="2">
        <f>IF(B127=0,0,VLOOKUP(B127,Datensammler!B:U,7,0))</f>
        <v>0</v>
      </c>
      <c r="H127" s="2">
        <f>IF(B127=0,0,VLOOKUP(B127,Datensammler!B:U,8,0))</f>
        <v>0</v>
      </c>
      <c r="I127" s="2">
        <f>IF(B127=0,0,VLOOKUP(B127,Datensammler!B:U,9,0))</f>
        <v>0</v>
      </c>
      <c r="J127" s="2">
        <f>IF(B127=0,0,VLOOKUP(B127,Datensammler!B:U,10,0))</f>
        <v>0</v>
      </c>
      <c r="K127" s="2">
        <f>IF(B127=0,0,VLOOKUP(B127,Datensammler!B:U,11,0))</f>
        <v>0</v>
      </c>
      <c r="L127" s="2">
        <f>IF(B127=0,0,VLOOKUP(B127,Datensammler!B:U,12,0))</f>
        <v>0</v>
      </c>
      <c r="M127" s="2">
        <f>IF(B127=0,0,VLOOKUP(B127,Datensammler!B:U,13,0))</f>
        <v>0</v>
      </c>
      <c r="N127" s="2">
        <f>IF(B127=0,0,VLOOKUP(B127,Datensammler!B:U,14,0))</f>
        <v>0</v>
      </c>
      <c r="O127" s="2">
        <f>IF(B127=0,0,VLOOKUP(B127,Datensammler!B:U,15,0))</f>
        <v>0</v>
      </c>
      <c r="P127" s="2">
        <f>IF(B127=0,0,VLOOKUP(B127,Datensammler!B:U,16,0))</f>
        <v>0</v>
      </c>
      <c r="Q127" s="2">
        <f>IF(B127=0,0,VLOOKUP(B127,Datensammler!B:U,17,0))</f>
        <v>0</v>
      </c>
      <c r="R127" s="2">
        <f>IF(B127=0,0,VLOOKUP(B127,Datensammler!B:U,18,0))</f>
        <v>0</v>
      </c>
      <c r="S127" s="2">
        <f>IF(B127=0,0,VLOOKUP(B127,Datensammler!B:U,19,0))</f>
        <v>0</v>
      </c>
      <c r="T127" s="2">
        <f>IF(B127=0,0,VLOOKUP(B127,Datensammler!B:U,20,0))</f>
        <v>0</v>
      </c>
      <c r="U127" s="50">
        <f t="shared" ref="U127:AL127" si="130">C127</f>
        <v>0</v>
      </c>
      <c r="V127" s="50">
        <f t="shared" si="130"/>
        <v>0</v>
      </c>
      <c r="W127" s="50">
        <f t="shared" si="130"/>
        <v>0</v>
      </c>
      <c r="X127" s="50">
        <f t="shared" si="130"/>
        <v>0</v>
      </c>
      <c r="Y127" s="50">
        <f t="shared" si="130"/>
        <v>0</v>
      </c>
      <c r="Z127" s="50">
        <f t="shared" si="130"/>
        <v>0</v>
      </c>
      <c r="AA127" s="50">
        <f t="shared" si="130"/>
        <v>0</v>
      </c>
      <c r="AB127" s="50">
        <f t="shared" si="130"/>
        <v>0</v>
      </c>
      <c r="AC127" s="50">
        <f t="shared" si="130"/>
        <v>0</v>
      </c>
      <c r="AD127" s="50">
        <f t="shared" si="130"/>
        <v>0</v>
      </c>
      <c r="AE127" s="50">
        <f t="shared" si="130"/>
        <v>0</v>
      </c>
      <c r="AF127" s="50">
        <f t="shared" si="130"/>
        <v>0</v>
      </c>
      <c r="AG127" s="50">
        <f t="shared" si="130"/>
        <v>0</v>
      </c>
      <c r="AH127" s="50">
        <f t="shared" si="130"/>
        <v>0</v>
      </c>
      <c r="AI127" s="50">
        <f t="shared" si="130"/>
        <v>0</v>
      </c>
      <c r="AJ127" s="50">
        <f t="shared" si="130"/>
        <v>0</v>
      </c>
      <c r="AK127" s="50">
        <f t="shared" si="130"/>
        <v>0</v>
      </c>
      <c r="AL127" s="50">
        <f t="shared" si="130"/>
        <v>0</v>
      </c>
      <c r="AP127" s="2">
        <f t="shared" si="3"/>
        <v>0</v>
      </c>
      <c r="AQ127" s="2">
        <f>IFERROR(__xludf.DUMMYFUNCTION("IF(V127&gt;0,MIN(FILTER(U127:AL127, U127:AL127&lt;&gt;0)),0)"),0.0)</f>
        <v>0</v>
      </c>
      <c r="AS127" s="2">
        <f t="shared" si="4"/>
        <v>0</v>
      </c>
      <c r="AU127" s="2">
        <f t="shared" si="5"/>
        <v>0</v>
      </c>
      <c r="AW127" s="2">
        <f t="shared" si="6"/>
        <v>0</v>
      </c>
      <c r="AX127" s="2">
        <f>IFERROR(__xludf.DUMMYFUNCTION("IF(X127&gt;0,SMALL(FILTER(U127:AL127, U127:AL127&lt;&gt;0), 2),0)"),0.0)</f>
        <v>0</v>
      </c>
      <c r="AY127" s="2">
        <f t="shared" si="7"/>
        <v>0</v>
      </c>
      <c r="AZ127" s="2">
        <f t="shared" si="8"/>
        <v>0</v>
      </c>
      <c r="BA127" s="2">
        <f>IFERROR(__xludf.DUMMYFUNCTION("IF(Y127&gt;0,SMALL(FILTER(U127:AL127, U127:AL127&lt;&gt;0), 3),0)"),0.0)</f>
        <v>0</v>
      </c>
      <c r="BB127" s="2">
        <f t="shared" si="9"/>
        <v>0</v>
      </c>
    </row>
    <row r="128">
      <c r="A128" s="2">
        <f>Spieler!A129</f>
        <v>124</v>
      </c>
      <c r="B128" s="2" t="str">
        <f>VLOOKUP(A128,Spieler!A:F,2,0)</f>
        <v/>
      </c>
      <c r="C128" s="2">
        <f>IF(B128=0,0,VLOOKUP(B128,Datensammler!B:U,3,0))</f>
        <v>0</v>
      </c>
      <c r="D128" s="2">
        <f>IF(B128=0,0,VLOOKUP(B128,Datensammler!B:U,4,0))</f>
        <v>0</v>
      </c>
      <c r="E128" s="2">
        <f>IF(B128=0,0,VLOOKUP(B128,Datensammler!B:U,5,0))</f>
        <v>0</v>
      </c>
      <c r="F128" s="2">
        <f>IF(B128=0,0,VLOOKUP(B128,Datensammler!B:U,6,0))</f>
        <v>0</v>
      </c>
      <c r="G128" s="2">
        <f>IF(B128=0,0,VLOOKUP(B128,Datensammler!B:U,7,0))</f>
        <v>0</v>
      </c>
      <c r="H128" s="2">
        <f>IF(B128=0,0,VLOOKUP(B128,Datensammler!B:U,8,0))</f>
        <v>0</v>
      </c>
      <c r="I128" s="2">
        <f>IF(B128=0,0,VLOOKUP(B128,Datensammler!B:U,9,0))</f>
        <v>0</v>
      </c>
      <c r="J128" s="2">
        <f>IF(B128=0,0,VLOOKUP(B128,Datensammler!B:U,10,0))</f>
        <v>0</v>
      </c>
      <c r="K128" s="2">
        <f>IF(B128=0,0,VLOOKUP(B128,Datensammler!B:U,11,0))</f>
        <v>0</v>
      </c>
      <c r="L128" s="2">
        <f>IF(B128=0,0,VLOOKUP(B128,Datensammler!B:U,12,0))</f>
        <v>0</v>
      </c>
      <c r="M128" s="2">
        <f>IF(B128=0,0,VLOOKUP(B128,Datensammler!B:U,13,0))</f>
        <v>0</v>
      </c>
      <c r="N128" s="2">
        <f>IF(B128=0,0,VLOOKUP(B128,Datensammler!B:U,14,0))</f>
        <v>0</v>
      </c>
      <c r="O128" s="2">
        <f>IF(B128=0,0,VLOOKUP(B128,Datensammler!B:U,15,0))</f>
        <v>0</v>
      </c>
      <c r="P128" s="2">
        <f>IF(B128=0,0,VLOOKUP(B128,Datensammler!B:U,16,0))</f>
        <v>0</v>
      </c>
      <c r="Q128" s="2">
        <f>IF(B128=0,0,VLOOKUP(B128,Datensammler!B:U,17,0))</f>
        <v>0</v>
      </c>
      <c r="R128" s="2">
        <f>IF(B128=0,0,VLOOKUP(B128,Datensammler!B:U,18,0))</f>
        <v>0</v>
      </c>
      <c r="S128" s="2">
        <f>IF(B128=0,0,VLOOKUP(B128,Datensammler!B:U,19,0))</f>
        <v>0</v>
      </c>
      <c r="T128" s="2">
        <f>IF(B128=0,0,VLOOKUP(B128,Datensammler!B:U,20,0))</f>
        <v>0</v>
      </c>
      <c r="U128" s="50">
        <f t="shared" ref="U128:AL128" si="131">C128</f>
        <v>0</v>
      </c>
      <c r="V128" s="50">
        <f t="shared" si="131"/>
        <v>0</v>
      </c>
      <c r="W128" s="50">
        <f t="shared" si="131"/>
        <v>0</v>
      </c>
      <c r="X128" s="50">
        <f t="shared" si="131"/>
        <v>0</v>
      </c>
      <c r="Y128" s="50">
        <f t="shared" si="131"/>
        <v>0</v>
      </c>
      <c r="Z128" s="50">
        <f t="shared" si="131"/>
        <v>0</v>
      </c>
      <c r="AA128" s="50">
        <f t="shared" si="131"/>
        <v>0</v>
      </c>
      <c r="AB128" s="50">
        <f t="shared" si="131"/>
        <v>0</v>
      </c>
      <c r="AC128" s="50">
        <f t="shared" si="131"/>
        <v>0</v>
      </c>
      <c r="AD128" s="50">
        <f t="shared" si="131"/>
        <v>0</v>
      </c>
      <c r="AE128" s="50">
        <f t="shared" si="131"/>
        <v>0</v>
      </c>
      <c r="AF128" s="50">
        <f t="shared" si="131"/>
        <v>0</v>
      </c>
      <c r="AG128" s="50">
        <f t="shared" si="131"/>
        <v>0</v>
      </c>
      <c r="AH128" s="50">
        <f t="shared" si="131"/>
        <v>0</v>
      </c>
      <c r="AI128" s="50">
        <f t="shared" si="131"/>
        <v>0</v>
      </c>
      <c r="AJ128" s="50">
        <f t="shared" si="131"/>
        <v>0</v>
      </c>
      <c r="AK128" s="50">
        <f t="shared" si="131"/>
        <v>0</v>
      </c>
      <c r="AL128" s="50">
        <f t="shared" si="131"/>
        <v>0</v>
      </c>
      <c r="AP128" s="2">
        <f t="shared" si="3"/>
        <v>0</v>
      </c>
      <c r="AQ128" s="2">
        <f>IFERROR(__xludf.DUMMYFUNCTION("IF(V128&gt;0,MIN(FILTER(U128:AL128, U128:AL128&lt;&gt;0)),0)"),0.0)</f>
        <v>0</v>
      </c>
      <c r="AS128" s="2">
        <f t="shared" si="4"/>
        <v>0</v>
      </c>
      <c r="AU128" s="2">
        <f t="shared" si="5"/>
        <v>0</v>
      </c>
      <c r="AW128" s="2">
        <f t="shared" si="6"/>
        <v>0</v>
      </c>
      <c r="AX128" s="2">
        <f>IFERROR(__xludf.DUMMYFUNCTION("IF(X128&gt;0,SMALL(FILTER(U128:AL128, U128:AL128&lt;&gt;0), 2),0)"),0.0)</f>
        <v>0</v>
      </c>
      <c r="AY128" s="2">
        <f t="shared" si="7"/>
        <v>0</v>
      </c>
      <c r="AZ128" s="2">
        <f t="shared" si="8"/>
        <v>0</v>
      </c>
      <c r="BA128" s="2">
        <f>IFERROR(__xludf.DUMMYFUNCTION("IF(Y128&gt;0,SMALL(FILTER(U128:AL128, U128:AL128&lt;&gt;0), 3),0)"),0.0)</f>
        <v>0</v>
      </c>
      <c r="BB128" s="2">
        <f t="shared" si="9"/>
        <v>0</v>
      </c>
    </row>
    <row r="129">
      <c r="A129" s="2">
        <f>Spieler!A130</f>
        <v>125</v>
      </c>
      <c r="B129" s="2" t="str">
        <f>VLOOKUP(A129,Spieler!A:F,2,0)</f>
        <v/>
      </c>
      <c r="C129" s="2">
        <f>IF(B129=0,0,VLOOKUP(B129,Datensammler!B:U,3,0))</f>
        <v>0</v>
      </c>
      <c r="D129" s="2">
        <f>IF(B129=0,0,VLOOKUP(B129,Datensammler!B:U,4,0))</f>
        <v>0</v>
      </c>
      <c r="E129" s="2">
        <f>IF(B129=0,0,VLOOKUP(B129,Datensammler!B:U,5,0))</f>
        <v>0</v>
      </c>
      <c r="F129" s="2">
        <f>IF(B129=0,0,VLOOKUP(B129,Datensammler!B:U,6,0))</f>
        <v>0</v>
      </c>
      <c r="G129" s="2">
        <f>IF(B129=0,0,VLOOKUP(B129,Datensammler!B:U,7,0))</f>
        <v>0</v>
      </c>
      <c r="H129" s="2">
        <f>IF(B129=0,0,VLOOKUP(B129,Datensammler!B:U,8,0))</f>
        <v>0</v>
      </c>
      <c r="I129" s="2">
        <f>IF(B129=0,0,VLOOKUP(B129,Datensammler!B:U,9,0))</f>
        <v>0</v>
      </c>
      <c r="J129" s="2">
        <f>IF(B129=0,0,VLOOKUP(B129,Datensammler!B:U,10,0))</f>
        <v>0</v>
      </c>
      <c r="K129" s="2">
        <f>IF(B129=0,0,VLOOKUP(B129,Datensammler!B:U,11,0))</f>
        <v>0</v>
      </c>
      <c r="L129" s="2">
        <f>IF(B129=0,0,VLOOKUP(B129,Datensammler!B:U,12,0))</f>
        <v>0</v>
      </c>
      <c r="M129" s="2">
        <f>IF(B129=0,0,VLOOKUP(B129,Datensammler!B:U,13,0))</f>
        <v>0</v>
      </c>
      <c r="N129" s="2">
        <f>IF(B129=0,0,VLOOKUP(B129,Datensammler!B:U,14,0))</f>
        <v>0</v>
      </c>
      <c r="O129" s="2">
        <f>IF(B129=0,0,VLOOKUP(B129,Datensammler!B:U,15,0))</f>
        <v>0</v>
      </c>
      <c r="P129" s="2">
        <f>IF(B129=0,0,VLOOKUP(B129,Datensammler!B:U,16,0))</f>
        <v>0</v>
      </c>
      <c r="Q129" s="2">
        <f>IF(B129=0,0,VLOOKUP(B129,Datensammler!B:U,17,0))</f>
        <v>0</v>
      </c>
      <c r="R129" s="2">
        <f>IF(B129=0,0,VLOOKUP(B129,Datensammler!B:U,18,0))</f>
        <v>0</v>
      </c>
      <c r="S129" s="2">
        <f>IF(B129=0,0,VLOOKUP(B129,Datensammler!B:U,19,0))</f>
        <v>0</v>
      </c>
      <c r="T129" s="2">
        <f>IF(B129=0,0,VLOOKUP(B129,Datensammler!B:U,20,0))</f>
        <v>0</v>
      </c>
      <c r="U129" s="50">
        <f t="shared" ref="U129:AL129" si="132">C129</f>
        <v>0</v>
      </c>
      <c r="V129" s="50">
        <f t="shared" si="132"/>
        <v>0</v>
      </c>
      <c r="W129" s="50">
        <f t="shared" si="132"/>
        <v>0</v>
      </c>
      <c r="X129" s="50">
        <f t="shared" si="132"/>
        <v>0</v>
      </c>
      <c r="Y129" s="50">
        <f t="shared" si="132"/>
        <v>0</v>
      </c>
      <c r="Z129" s="50">
        <f t="shared" si="132"/>
        <v>0</v>
      </c>
      <c r="AA129" s="50">
        <f t="shared" si="132"/>
        <v>0</v>
      </c>
      <c r="AB129" s="50">
        <f t="shared" si="132"/>
        <v>0</v>
      </c>
      <c r="AC129" s="50">
        <f t="shared" si="132"/>
        <v>0</v>
      </c>
      <c r="AD129" s="50">
        <f t="shared" si="132"/>
        <v>0</v>
      </c>
      <c r="AE129" s="50">
        <f t="shared" si="132"/>
        <v>0</v>
      </c>
      <c r="AF129" s="50">
        <f t="shared" si="132"/>
        <v>0</v>
      </c>
      <c r="AG129" s="50">
        <f t="shared" si="132"/>
        <v>0</v>
      </c>
      <c r="AH129" s="50">
        <f t="shared" si="132"/>
        <v>0</v>
      </c>
      <c r="AI129" s="50">
        <f t="shared" si="132"/>
        <v>0</v>
      </c>
      <c r="AJ129" s="50">
        <f t="shared" si="132"/>
        <v>0</v>
      </c>
      <c r="AK129" s="50">
        <f t="shared" si="132"/>
        <v>0</v>
      </c>
      <c r="AL129" s="50">
        <f t="shared" si="132"/>
        <v>0</v>
      </c>
      <c r="AP129" s="2">
        <f t="shared" si="3"/>
        <v>0</v>
      </c>
      <c r="AQ129" s="2">
        <f>IFERROR(__xludf.DUMMYFUNCTION("IF(V129&gt;0,MIN(FILTER(U129:AL129, U129:AL129&lt;&gt;0)),0)"),0.0)</f>
        <v>0</v>
      </c>
      <c r="AS129" s="2">
        <f t="shared" si="4"/>
        <v>0</v>
      </c>
      <c r="AU129" s="2">
        <f t="shared" si="5"/>
        <v>0</v>
      </c>
      <c r="AW129" s="2">
        <f t="shared" si="6"/>
        <v>0</v>
      </c>
      <c r="AX129" s="2">
        <f>IFERROR(__xludf.DUMMYFUNCTION("IF(X129&gt;0,SMALL(FILTER(U129:AL129, U129:AL129&lt;&gt;0), 2),0)"),0.0)</f>
        <v>0</v>
      </c>
      <c r="AY129" s="2">
        <f t="shared" si="7"/>
        <v>0</v>
      </c>
      <c r="AZ129" s="2">
        <f t="shared" si="8"/>
        <v>0</v>
      </c>
      <c r="BA129" s="2">
        <f>IFERROR(__xludf.DUMMYFUNCTION("IF(Y129&gt;0,SMALL(FILTER(U129:AL129, U129:AL129&lt;&gt;0), 3),0)"),0.0)</f>
        <v>0</v>
      </c>
      <c r="BB129" s="2">
        <f t="shared" si="9"/>
        <v>0</v>
      </c>
    </row>
    <row r="130">
      <c r="A130" s="2">
        <f>Spieler!A131</f>
        <v>126</v>
      </c>
      <c r="B130" s="2" t="str">
        <f>VLOOKUP(A130,Spieler!A:F,2,0)</f>
        <v/>
      </c>
      <c r="C130" s="2">
        <f>IF(B130=0,0,VLOOKUP(B130,Datensammler!B:U,3,0))</f>
        <v>0</v>
      </c>
      <c r="D130" s="2">
        <f>IF(B130=0,0,VLOOKUP(B130,Datensammler!B:U,4,0))</f>
        <v>0</v>
      </c>
      <c r="E130" s="2">
        <f>IF(B130=0,0,VLOOKUP(B130,Datensammler!B:U,5,0))</f>
        <v>0</v>
      </c>
      <c r="F130" s="2">
        <f>IF(B130=0,0,VLOOKUP(B130,Datensammler!B:U,6,0))</f>
        <v>0</v>
      </c>
      <c r="G130" s="2">
        <f>IF(B130=0,0,VLOOKUP(B130,Datensammler!B:U,7,0))</f>
        <v>0</v>
      </c>
      <c r="H130" s="2">
        <f>IF(B130=0,0,VLOOKUP(B130,Datensammler!B:U,8,0))</f>
        <v>0</v>
      </c>
      <c r="I130" s="2">
        <f>IF(B130=0,0,VLOOKUP(B130,Datensammler!B:U,9,0))</f>
        <v>0</v>
      </c>
      <c r="J130" s="2">
        <f>IF(B130=0,0,VLOOKUP(B130,Datensammler!B:U,10,0))</f>
        <v>0</v>
      </c>
      <c r="K130" s="2">
        <f>IF(B130=0,0,VLOOKUP(B130,Datensammler!B:U,11,0))</f>
        <v>0</v>
      </c>
      <c r="L130" s="2">
        <f>IF(B130=0,0,VLOOKUP(B130,Datensammler!B:U,12,0))</f>
        <v>0</v>
      </c>
      <c r="M130" s="2">
        <f>IF(B130=0,0,VLOOKUP(B130,Datensammler!B:U,13,0))</f>
        <v>0</v>
      </c>
      <c r="N130" s="2">
        <f>IF(B130=0,0,VLOOKUP(B130,Datensammler!B:U,14,0))</f>
        <v>0</v>
      </c>
      <c r="O130" s="2">
        <f>IF(B130=0,0,VLOOKUP(B130,Datensammler!B:U,15,0))</f>
        <v>0</v>
      </c>
      <c r="P130" s="2">
        <f>IF(B130=0,0,VLOOKUP(B130,Datensammler!B:U,16,0))</f>
        <v>0</v>
      </c>
      <c r="Q130" s="2">
        <f>IF(B130=0,0,VLOOKUP(B130,Datensammler!B:U,17,0))</f>
        <v>0</v>
      </c>
      <c r="R130" s="2">
        <f>IF(B130=0,0,VLOOKUP(B130,Datensammler!B:U,18,0))</f>
        <v>0</v>
      </c>
      <c r="S130" s="2">
        <f>IF(B130=0,0,VLOOKUP(B130,Datensammler!B:U,19,0))</f>
        <v>0</v>
      </c>
      <c r="T130" s="2">
        <f>IF(B130=0,0,VLOOKUP(B130,Datensammler!B:U,20,0))</f>
        <v>0</v>
      </c>
      <c r="U130" s="50">
        <f t="shared" ref="U130:AL130" si="133">C130</f>
        <v>0</v>
      </c>
      <c r="V130" s="50">
        <f t="shared" si="133"/>
        <v>0</v>
      </c>
      <c r="W130" s="50">
        <f t="shared" si="133"/>
        <v>0</v>
      </c>
      <c r="X130" s="50">
        <f t="shared" si="133"/>
        <v>0</v>
      </c>
      <c r="Y130" s="50">
        <f t="shared" si="133"/>
        <v>0</v>
      </c>
      <c r="Z130" s="50">
        <f t="shared" si="133"/>
        <v>0</v>
      </c>
      <c r="AA130" s="50">
        <f t="shared" si="133"/>
        <v>0</v>
      </c>
      <c r="AB130" s="50">
        <f t="shared" si="133"/>
        <v>0</v>
      </c>
      <c r="AC130" s="50">
        <f t="shared" si="133"/>
        <v>0</v>
      </c>
      <c r="AD130" s="50">
        <f t="shared" si="133"/>
        <v>0</v>
      </c>
      <c r="AE130" s="50">
        <f t="shared" si="133"/>
        <v>0</v>
      </c>
      <c r="AF130" s="50">
        <f t="shared" si="133"/>
        <v>0</v>
      </c>
      <c r="AG130" s="50">
        <f t="shared" si="133"/>
        <v>0</v>
      </c>
      <c r="AH130" s="50">
        <f t="shared" si="133"/>
        <v>0</v>
      </c>
      <c r="AI130" s="50">
        <f t="shared" si="133"/>
        <v>0</v>
      </c>
      <c r="AJ130" s="50">
        <f t="shared" si="133"/>
        <v>0</v>
      </c>
      <c r="AK130" s="50">
        <f t="shared" si="133"/>
        <v>0</v>
      </c>
      <c r="AL130" s="50">
        <f t="shared" si="133"/>
        <v>0</v>
      </c>
      <c r="AP130" s="2">
        <f t="shared" si="3"/>
        <v>0</v>
      </c>
      <c r="AQ130" s="2">
        <f>IFERROR(__xludf.DUMMYFUNCTION("IF(V130&gt;0,MIN(FILTER(U130:AL130, U130:AL130&lt;&gt;0)),0)"),0.0)</f>
        <v>0</v>
      </c>
      <c r="AS130" s="2">
        <f t="shared" si="4"/>
        <v>0</v>
      </c>
      <c r="AU130" s="2">
        <f t="shared" si="5"/>
        <v>0</v>
      </c>
      <c r="AW130" s="2">
        <f t="shared" si="6"/>
        <v>0</v>
      </c>
      <c r="AX130" s="2">
        <f>IFERROR(__xludf.DUMMYFUNCTION("IF(X130&gt;0,SMALL(FILTER(U130:AL130, U130:AL130&lt;&gt;0), 2),0)"),0.0)</f>
        <v>0</v>
      </c>
      <c r="AY130" s="2">
        <f t="shared" si="7"/>
        <v>0</v>
      </c>
      <c r="AZ130" s="2">
        <f t="shared" si="8"/>
        <v>0</v>
      </c>
      <c r="BA130" s="2">
        <f>IFERROR(__xludf.DUMMYFUNCTION("IF(Y130&gt;0,SMALL(FILTER(U130:AL130, U130:AL130&lt;&gt;0), 3),0)"),0.0)</f>
        <v>0</v>
      </c>
      <c r="BB130" s="2">
        <f t="shared" si="9"/>
        <v>0</v>
      </c>
    </row>
    <row r="131">
      <c r="A131" s="2">
        <f>Spieler!A132</f>
        <v>127</v>
      </c>
      <c r="B131" s="2" t="str">
        <f>VLOOKUP(A131,Spieler!A:F,2,0)</f>
        <v/>
      </c>
      <c r="C131" s="2">
        <f>IF(B131=0,0,VLOOKUP(B131,Datensammler!B:U,3,0))</f>
        <v>0</v>
      </c>
      <c r="D131" s="2">
        <f>IF(B131=0,0,VLOOKUP(B131,Datensammler!B:U,4,0))</f>
        <v>0</v>
      </c>
      <c r="E131" s="2">
        <f>IF(B131=0,0,VLOOKUP(B131,Datensammler!B:U,5,0))</f>
        <v>0</v>
      </c>
      <c r="F131" s="2">
        <f>IF(B131=0,0,VLOOKUP(B131,Datensammler!B:U,6,0))</f>
        <v>0</v>
      </c>
      <c r="G131" s="2">
        <f>IF(B131=0,0,VLOOKUP(B131,Datensammler!B:U,7,0))</f>
        <v>0</v>
      </c>
      <c r="H131" s="2">
        <f>IF(B131=0,0,VLOOKUP(B131,Datensammler!B:U,8,0))</f>
        <v>0</v>
      </c>
      <c r="I131" s="2">
        <f>IF(B131=0,0,VLOOKUP(B131,Datensammler!B:U,9,0))</f>
        <v>0</v>
      </c>
      <c r="J131" s="2">
        <f>IF(B131=0,0,VLOOKUP(B131,Datensammler!B:U,10,0))</f>
        <v>0</v>
      </c>
      <c r="K131" s="2">
        <f>IF(B131=0,0,VLOOKUP(B131,Datensammler!B:U,11,0))</f>
        <v>0</v>
      </c>
      <c r="L131" s="2">
        <f>IF(B131=0,0,VLOOKUP(B131,Datensammler!B:U,12,0))</f>
        <v>0</v>
      </c>
      <c r="M131" s="2">
        <f>IF(B131=0,0,VLOOKUP(B131,Datensammler!B:U,13,0))</f>
        <v>0</v>
      </c>
      <c r="N131" s="2">
        <f>IF(B131=0,0,VLOOKUP(B131,Datensammler!B:U,14,0))</f>
        <v>0</v>
      </c>
      <c r="O131" s="2">
        <f>IF(B131=0,0,VLOOKUP(B131,Datensammler!B:U,15,0))</f>
        <v>0</v>
      </c>
      <c r="P131" s="2">
        <f>IF(B131=0,0,VLOOKUP(B131,Datensammler!B:U,16,0))</f>
        <v>0</v>
      </c>
      <c r="Q131" s="2">
        <f>IF(B131=0,0,VLOOKUP(B131,Datensammler!B:U,17,0))</f>
        <v>0</v>
      </c>
      <c r="R131" s="2">
        <f>IF(B131=0,0,VLOOKUP(B131,Datensammler!B:U,18,0))</f>
        <v>0</v>
      </c>
      <c r="S131" s="2">
        <f>IF(B131=0,0,VLOOKUP(B131,Datensammler!B:U,19,0))</f>
        <v>0</v>
      </c>
      <c r="T131" s="2">
        <f>IF(B131=0,0,VLOOKUP(B131,Datensammler!B:U,20,0))</f>
        <v>0</v>
      </c>
      <c r="U131" s="50">
        <f t="shared" ref="U131:AL131" si="134">C131</f>
        <v>0</v>
      </c>
      <c r="V131" s="50">
        <f t="shared" si="134"/>
        <v>0</v>
      </c>
      <c r="W131" s="50">
        <f t="shared" si="134"/>
        <v>0</v>
      </c>
      <c r="X131" s="50">
        <f t="shared" si="134"/>
        <v>0</v>
      </c>
      <c r="Y131" s="50">
        <f t="shared" si="134"/>
        <v>0</v>
      </c>
      <c r="Z131" s="50">
        <f t="shared" si="134"/>
        <v>0</v>
      </c>
      <c r="AA131" s="50">
        <f t="shared" si="134"/>
        <v>0</v>
      </c>
      <c r="AB131" s="50">
        <f t="shared" si="134"/>
        <v>0</v>
      </c>
      <c r="AC131" s="50">
        <f t="shared" si="134"/>
        <v>0</v>
      </c>
      <c r="AD131" s="50">
        <f t="shared" si="134"/>
        <v>0</v>
      </c>
      <c r="AE131" s="50">
        <f t="shared" si="134"/>
        <v>0</v>
      </c>
      <c r="AF131" s="50">
        <f t="shared" si="134"/>
        <v>0</v>
      </c>
      <c r="AG131" s="50">
        <f t="shared" si="134"/>
        <v>0</v>
      </c>
      <c r="AH131" s="50">
        <f t="shared" si="134"/>
        <v>0</v>
      </c>
      <c r="AI131" s="50">
        <f t="shared" si="134"/>
        <v>0</v>
      </c>
      <c r="AJ131" s="50">
        <f t="shared" si="134"/>
        <v>0</v>
      </c>
      <c r="AK131" s="50">
        <f t="shared" si="134"/>
        <v>0</v>
      </c>
      <c r="AL131" s="50">
        <f t="shared" si="134"/>
        <v>0</v>
      </c>
      <c r="AP131" s="2">
        <f t="shared" si="3"/>
        <v>0</v>
      </c>
      <c r="AQ131" s="2">
        <f>IFERROR(__xludf.DUMMYFUNCTION("IF(V131&gt;0,MIN(FILTER(U131:AL131, U131:AL131&lt;&gt;0)),0)"),0.0)</f>
        <v>0</v>
      </c>
      <c r="AS131" s="2">
        <f t="shared" si="4"/>
        <v>0</v>
      </c>
      <c r="AU131" s="2">
        <f t="shared" si="5"/>
        <v>0</v>
      </c>
      <c r="AW131" s="2">
        <f t="shared" si="6"/>
        <v>0</v>
      </c>
      <c r="AX131" s="2">
        <f>IFERROR(__xludf.DUMMYFUNCTION("IF(X131&gt;0,SMALL(FILTER(U131:AL131, U131:AL131&lt;&gt;0), 2),0)"),0.0)</f>
        <v>0</v>
      </c>
      <c r="AY131" s="2">
        <f t="shared" si="7"/>
        <v>0</v>
      </c>
      <c r="AZ131" s="2">
        <f t="shared" si="8"/>
        <v>0</v>
      </c>
      <c r="BA131" s="2">
        <f>IFERROR(__xludf.DUMMYFUNCTION("IF(Y131&gt;0,SMALL(FILTER(U131:AL131, U131:AL131&lt;&gt;0), 3),0)"),0.0)</f>
        <v>0</v>
      </c>
      <c r="BB131" s="2">
        <f t="shared" si="9"/>
        <v>0</v>
      </c>
    </row>
    <row r="132">
      <c r="A132" s="2">
        <f>Spieler!A133</f>
        <v>128</v>
      </c>
      <c r="B132" s="2" t="str">
        <f>VLOOKUP(A132,Spieler!A:F,2,0)</f>
        <v/>
      </c>
      <c r="C132" s="2">
        <f>IF(B132=0,0,VLOOKUP(B132,Datensammler!B:U,3,0))</f>
        <v>0</v>
      </c>
      <c r="D132" s="2">
        <f>IF(B132=0,0,VLOOKUP(B132,Datensammler!B:U,4,0))</f>
        <v>0</v>
      </c>
      <c r="E132" s="2">
        <f>IF(B132=0,0,VLOOKUP(B132,Datensammler!B:U,5,0))</f>
        <v>0</v>
      </c>
      <c r="F132" s="2">
        <f>IF(B132=0,0,VLOOKUP(B132,Datensammler!B:U,6,0))</f>
        <v>0</v>
      </c>
      <c r="G132" s="2">
        <f>IF(B132=0,0,VLOOKUP(B132,Datensammler!B:U,7,0))</f>
        <v>0</v>
      </c>
      <c r="H132" s="2">
        <f>IF(B132=0,0,VLOOKUP(B132,Datensammler!B:U,8,0))</f>
        <v>0</v>
      </c>
      <c r="I132" s="2">
        <f>IF(B132=0,0,VLOOKUP(B132,Datensammler!B:U,9,0))</f>
        <v>0</v>
      </c>
      <c r="J132" s="2">
        <f>IF(B132=0,0,VLOOKUP(B132,Datensammler!B:U,10,0))</f>
        <v>0</v>
      </c>
      <c r="K132" s="2">
        <f>IF(B132=0,0,VLOOKUP(B132,Datensammler!B:U,11,0))</f>
        <v>0</v>
      </c>
      <c r="L132" s="2">
        <f>IF(B132=0,0,VLOOKUP(B132,Datensammler!B:U,12,0))</f>
        <v>0</v>
      </c>
      <c r="M132" s="2">
        <f>IF(B132=0,0,VLOOKUP(B132,Datensammler!B:U,13,0))</f>
        <v>0</v>
      </c>
      <c r="N132" s="2">
        <f>IF(B132=0,0,VLOOKUP(B132,Datensammler!B:U,14,0))</f>
        <v>0</v>
      </c>
      <c r="O132" s="2">
        <f>IF(B132=0,0,VLOOKUP(B132,Datensammler!B:U,15,0))</f>
        <v>0</v>
      </c>
      <c r="P132" s="2">
        <f>IF(B132=0,0,VLOOKUP(B132,Datensammler!B:U,16,0))</f>
        <v>0</v>
      </c>
      <c r="Q132" s="2">
        <f>IF(B132=0,0,VLOOKUP(B132,Datensammler!B:U,17,0))</f>
        <v>0</v>
      </c>
      <c r="R132" s="2">
        <f>IF(B132=0,0,VLOOKUP(B132,Datensammler!B:U,18,0))</f>
        <v>0</v>
      </c>
      <c r="S132" s="2">
        <f>IF(B132=0,0,VLOOKUP(B132,Datensammler!B:U,19,0))</f>
        <v>0</v>
      </c>
      <c r="T132" s="2">
        <f>IF(B132=0,0,VLOOKUP(B132,Datensammler!B:U,20,0))</f>
        <v>0</v>
      </c>
      <c r="U132" s="50">
        <f t="shared" ref="U132:AL132" si="135">C132</f>
        <v>0</v>
      </c>
      <c r="V132" s="50">
        <f t="shared" si="135"/>
        <v>0</v>
      </c>
      <c r="W132" s="50">
        <f t="shared" si="135"/>
        <v>0</v>
      </c>
      <c r="X132" s="50">
        <f t="shared" si="135"/>
        <v>0</v>
      </c>
      <c r="Y132" s="50">
        <f t="shared" si="135"/>
        <v>0</v>
      </c>
      <c r="Z132" s="50">
        <f t="shared" si="135"/>
        <v>0</v>
      </c>
      <c r="AA132" s="50">
        <f t="shared" si="135"/>
        <v>0</v>
      </c>
      <c r="AB132" s="50">
        <f t="shared" si="135"/>
        <v>0</v>
      </c>
      <c r="AC132" s="50">
        <f t="shared" si="135"/>
        <v>0</v>
      </c>
      <c r="AD132" s="50">
        <f t="shared" si="135"/>
        <v>0</v>
      </c>
      <c r="AE132" s="50">
        <f t="shared" si="135"/>
        <v>0</v>
      </c>
      <c r="AF132" s="50">
        <f t="shared" si="135"/>
        <v>0</v>
      </c>
      <c r="AG132" s="50">
        <f t="shared" si="135"/>
        <v>0</v>
      </c>
      <c r="AH132" s="50">
        <f t="shared" si="135"/>
        <v>0</v>
      </c>
      <c r="AI132" s="50">
        <f t="shared" si="135"/>
        <v>0</v>
      </c>
      <c r="AJ132" s="50">
        <f t="shared" si="135"/>
        <v>0</v>
      </c>
      <c r="AK132" s="50">
        <f t="shared" si="135"/>
        <v>0</v>
      </c>
      <c r="AL132" s="50">
        <f t="shared" si="135"/>
        <v>0</v>
      </c>
      <c r="AP132" s="2">
        <f t="shared" si="3"/>
        <v>0</v>
      </c>
      <c r="AQ132" s="2">
        <f>IFERROR(__xludf.DUMMYFUNCTION("IF(V132&gt;0,MIN(FILTER(U132:AL132, U132:AL132&lt;&gt;0)),0)"),0.0)</f>
        <v>0</v>
      </c>
      <c r="AS132" s="2">
        <f t="shared" si="4"/>
        <v>0</v>
      </c>
      <c r="AU132" s="2">
        <f t="shared" si="5"/>
        <v>0</v>
      </c>
      <c r="AW132" s="2">
        <f t="shared" si="6"/>
        <v>0</v>
      </c>
      <c r="AX132" s="2">
        <f>IFERROR(__xludf.DUMMYFUNCTION("IF(X132&gt;0,SMALL(FILTER(U132:AL132, U132:AL132&lt;&gt;0), 2),0)"),0.0)</f>
        <v>0</v>
      </c>
      <c r="AY132" s="2">
        <f t="shared" si="7"/>
        <v>0</v>
      </c>
      <c r="AZ132" s="2">
        <f t="shared" si="8"/>
        <v>0</v>
      </c>
      <c r="BA132" s="2">
        <f>IFERROR(__xludf.DUMMYFUNCTION("IF(Y132&gt;0,SMALL(FILTER(U132:AL132, U132:AL132&lt;&gt;0), 3),0)"),0.0)</f>
        <v>0</v>
      </c>
      <c r="BB132" s="2">
        <f t="shared" si="9"/>
        <v>0</v>
      </c>
    </row>
    <row r="133">
      <c r="A133" s="2">
        <f>Spieler!A134</f>
        <v>129</v>
      </c>
      <c r="B133" s="2" t="str">
        <f>VLOOKUP(A133,Spieler!A:F,2,0)</f>
        <v/>
      </c>
      <c r="C133" s="2">
        <f>IF(B133=0,0,VLOOKUP(B133,Datensammler!B:U,3,0))</f>
        <v>0</v>
      </c>
      <c r="D133" s="2">
        <f>IF(B133=0,0,VLOOKUP(B133,Datensammler!B:U,4,0))</f>
        <v>0</v>
      </c>
      <c r="E133" s="2">
        <f>IF(B133=0,0,VLOOKUP(B133,Datensammler!B:U,5,0))</f>
        <v>0</v>
      </c>
      <c r="F133" s="2">
        <f>IF(B133=0,0,VLOOKUP(B133,Datensammler!B:U,6,0))</f>
        <v>0</v>
      </c>
      <c r="G133" s="2">
        <f>IF(B133=0,0,VLOOKUP(B133,Datensammler!B:U,7,0))</f>
        <v>0</v>
      </c>
      <c r="H133" s="2">
        <f>IF(B133=0,0,VLOOKUP(B133,Datensammler!B:U,8,0))</f>
        <v>0</v>
      </c>
      <c r="I133" s="2">
        <f>IF(B133=0,0,VLOOKUP(B133,Datensammler!B:U,9,0))</f>
        <v>0</v>
      </c>
      <c r="J133" s="2">
        <f>IF(B133=0,0,VLOOKUP(B133,Datensammler!B:U,10,0))</f>
        <v>0</v>
      </c>
      <c r="K133" s="2">
        <f>IF(B133=0,0,VLOOKUP(B133,Datensammler!B:U,11,0))</f>
        <v>0</v>
      </c>
      <c r="L133" s="2">
        <f>IF(B133=0,0,VLOOKUP(B133,Datensammler!B:U,12,0))</f>
        <v>0</v>
      </c>
      <c r="M133" s="2">
        <f>IF(B133=0,0,VLOOKUP(B133,Datensammler!B:U,13,0))</f>
        <v>0</v>
      </c>
      <c r="N133" s="2">
        <f>IF(B133=0,0,VLOOKUP(B133,Datensammler!B:U,14,0))</f>
        <v>0</v>
      </c>
      <c r="O133" s="2">
        <f>IF(B133=0,0,VLOOKUP(B133,Datensammler!B:U,15,0))</f>
        <v>0</v>
      </c>
      <c r="P133" s="2">
        <f>IF(B133=0,0,VLOOKUP(B133,Datensammler!B:U,16,0))</f>
        <v>0</v>
      </c>
      <c r="Q133" s="2">
        <f>IF(B133=0,0,VLOOKUP(B133,Datensammler!B:U,17,0))</f>
        <v>0</v>
      </c>
      <c r="R133" s="2">
        <f>IF(B133=0,0,VLOOKUP(B133,Datensammler!B:U,18,0))</f>
        <v>0</v>
      </c>
      <c r="S133" s="2">
        <f>IF(B133=0,0,VLOOKUP(B133,Datensammler!B:U,19,0))</f>
        <v>0</v>
      </c>
      <c r="T133" s="2">
        <f>IF(B133=0,0,VLOOKUP(B133,Datensammler!B:U,20,0))</f>
        <v>0</v>
      </c>
      <c r="U133" s="50">
        <f t="shared" ref="U133:AL133" si="136">C133</f>
        <v>0</v>
      </c>
      <c r="V133" s="50">
        <f t="shared" si="136"/>
        <v>0</v>
      </c>
      <c r="W133" s="50">
        <f t="shared" si="136"/>
        <v>0</v>
      </c>
      <c r="X133" s="50">
        <f t="shared" si="136"/>
        <v>0</v>
      </c>
      <c r="Y133" s="50">
        <f t="shared" si="136"/>
        <v>0</v>
      </c>
      <c r="Z133" s="50">
        <f t="shared" si="136"/>
        <v>0</v>
      </c>
      <c r="AA133" s="50">
        <f t="shared" si="136"/>
        <v>0</v>
      </c>
      <c r="AB133" s="50">
        <f t="shared" si="136"/>
        <v>0</v>
      </c>
      <c r="AC133" s="50">
        <f t="shared" si="136"/>
        <v>0</v>
      </c>
      <c r="AD133" s="50">
        <f t="shared" si="136"/>
        <v>0</v>
      </c>
      <c r="AE133" s="50">
        <f t="shared" si="136"/>
        <v>0</v>
      </c>
      <c r="AF133" s="50">
        <f t="shared" si="136"/>
        <v>0</v>
      </c>
      <c r="AG133" s="50">
        <f t="shared" si="136"/>
        <v>0</v>
      </c>
      <c r="AH133" s="50">
        <f t="shared" si="136"/>
        <v>0</v>
      </c>
      <c r="AI133" s="50">
        <f t="shared" si="136"/>
        <v>0</v>
      </c>
      <c r="AJ133" s="50">
        <f t="shared" si="136"/>
        <v>0</v>
      </c>
      <c r="AK133" s="50">
        <f t="shared" si="136"/>
        <v>0</v>
      </c>
      <c r="AL133" s="50">
        <f t="shared" si="136"/>
        <v>0</v>
      </c>
      <c r="AP133" s="2">
        <f t="shared" si="3"/>
        <v>0</v>
      </c>
      <c r="AQ133" s="2">
        <f>IFERROR(__xludf.DUMMYFUNCTION("IF(V133&gt;0,MIN(FILTER(U133:AL133, U133:AL133&lt;&gt;0)),0)"),0.0)</f>
        <v>0</v>
      </c>
      <c r="AS133" s="2">
        <f t="shared" si="4"/>
        <v>0</v>
      </c>
      <c r="AU133" s="2">
        <f t="shared" si="5"/>
        <v>0</v>
      </c>
      <c r="AW133" s="2">
        <f t="shared" si="6"/>
        <v>0</v>
      </c>
      <c r="AX133" s="2">
        <f>IFERROR(__xludf.DUMMYFUNCTION("IF(X133&gt;0,SMALL(FILTER(U133:AL133, U133:AL133&lt;&gt;0), 2),0)"),0.0)</f>
        <v>0</v>
      </c>
      <c r="AY133" s="2">
        <f t="shared" si="7"/>
        <v>0</v>
      </c>
      <c r="AZ133" s="2">
        <f t="shared" si="8"/>
        <v>0</v>
      </c>
      <c r="BA133" s="2">
        <f>IFERROR(__xludf.DUMMYFUNCTION("IF(Y133&gt;0,SMALL(FILTER(U133:AL133, U133:AL133&lt;&gt;0), 3),0)"),0.0)</f>
        <v>0</v>
      </c>
      <c r="BB133" s="2">
        <f t="shared" si="9"/>
        <v>0</v>
      </c>
    </row>
    <row r="134">
      <c r="A134" s="2">
        <f>Spieler!A135</f>
        <v>130</v>
      </c>
      <c r="B134" s="2" t="str">
        <f>VLOOKUP(A134,Spieler!A:F,2,0)</f>
        <v/>
      </c>
      <c r="C134" s="2">
        <f>IF(B134=0,0,VLOOKUP(B134,Datensammler!B:U,3,0))</f>
        <v>0</v>
      </c>
      <c r="D134" s="2">
        <f>IF(B134=0,0,VLOOKUP(B134,Datensammler!B:U,4,0))</f>
        <v>0</v>
      </c>
      <c r="E134" s="2">
        <f>IF(B134=0,0,VLOOKUP(B134,Datensammler!B:U,5,0))</f>
        <v>0</v>
      </c>
      <c r="F134" s="2">
        <f>IF(B134=0,0,VLOOKUP(B134,Datensammler!B:U,6,0))</f>
        <v>0</v>
      </c>
      <c r="G134" s="2">
        <f>IF(B134=0,0,VLOOKUP(B134,Datensammler!B:U,7,0))</f>
        <v>0</v>
      </c>
      <c r="H134" s="2">
        <f>IF(B134=0,0,VLOOKUP(B134,Datensammler!B:U,8,0))</f>
        <v>0</v>
      </c>
      <c r="I134" s="2">
        <f>IF(B134=0,0,VLOOKUP(B134,Datensammler!B:U,9,0))</f>
        <v>0</v>
      </c>
      <c r="J134" s="2">
        <f>IF(B134=0,0,VLOOKUP(B134,Datensammler!B:U,10,0))</f>
        <v>0</v>
      </c>
      <c r="K134" s="2">
        <f>IF(B134=0,0,VLOOKUP(B134,Datensammler!B:U,11,0))</f>
        <v>0</v>
      </c>
      <c r="L134" s="2">
        <f>IF(B134=0,0,VLOOKUP(B134,Datensammler!B:U,12,0))</f>
        <v>0</v>
      </c>
      <c r="M134" s="2">
        <f>IF(B134=0,0,VLOOKUP(B134,Datensammler!B:U,13,0))</f>
        <v>0</v>
      </c>
      <c r="N134" s="2">
        <f>IF(B134=0,0,VLOOKUP(B134,Datensammler!B:U,14,0))</f>
        <v>0</v>
      </c>
      <c r="O134" s="2">
        <f>IF(B134=0,0,VLOOKUP(B134,Datensammler!B:U,15,0))</f>
        <v>0</v>
      </c>
      <c r="P134" s="2">
        <f>IF(B134=0,0,VLOOKUP(B134,Datensammler!B:U,16,0))</f>
        <v>0</v>
      </c>
      <c r="Q134" s="2">
        <f>IF(B134=0,0,VLOOKUP(B134,Datensammler!B:U,17,0))</f>
        <v>0</v>
      </c>
      <c r="R134" s="2">
        <f>IF(B134=0,0,VLOOKUP(B134,Datensammler!B:U,18,0))</f>
        <v>0</v>
      </c>
      <c r="S134" s="2">
        <f>IF(B134=0,0,VLOOKUP(B134,Datensammler!B:U,19,0))</f>
        <v>0</v>
      </c>
      <c r="T134" s="2">
        <f>IF(B134=0,0,VLOOKUP(B134,Datensammler!B:U,20,0))</f>
        <v>0</v>
      </c>
      <c r="U134" s="50">
        <f t="shared" ref="U134:AL134" si="137">C134</f>
        <v>0</v>
      </c>
      <c r="V134" s="50">
        <f t="shared" si="137"/>
        <v>0</v>
      </c>
      <c r="W134" s="50">
        <f t="shared" si="137"/>
        <v>0</v>
      </c>
      <c r="X134" s="50">
        <f t="shared" si="137"/>
        <v>0</v>
      </c>
      <c r="Y134" s="50">
        <f t="shared" si="137"/>
        <v>0</v>
      </c>
      <c r="Z134" s="50">
        <f t="shared" si="137"/>
        <v>0</v>
      </c>
      <c r="AA134" s="50">
        <f t="shared" si="137"/>
        <v>0</v>
      </c>
      <c r="AB134" s="50">
        <f t="shared" si="137"/>
        <v>0</v>
      </c>
      <c r="AC134" s="50">
        <f t="shared" si="137"/>
        <v>0</v>
      </c>
      <c r="AD134" s="50">
        <f t="shared" si="137"/>
        <v>0</v>
      </c>
      <c r="AE134" s="50">
        <f t="shared" si="137"/>
        <v>0</v>
      </c>
      <c r="AF134" s="50">
        <f t="shared" si="137"/>
        <v>0</v>
      </c>
      <c r="AG134" s="50">
        <f t="shared" si="137"/>
        <v>0</v>
      </c>
      <c r="AH134" s="50">
        <f t="shared" si="137"/>
        <v>0</v>
      </c>
      <c r="AI134" s="50">
        <f t="shared" si="137"/>
        <v>0</v>
      </c>
      <c r="AJ134" s="50">
        <f t="shared" si="137"/>
        <v>0</v>
      </c>
      <c r="AK134" s="50">
        <f t="shared" si="137"/>
        <v>0</v>
      </c>
      <c r="AL134" s="50">
        <f t="shared" si="137"/>
        <v>0</v>
      </c>
      <c r="AP134" s="2">
        <f t="shared" si="3"/>
        <v>0</v>
      </c>
      <c r="AQ134" s="2">
        <f>IFERROR(__xludf.DUMMYFUNCTION("IF(V134&gt;0,MIN(FILTER(U134:AL134, U134:AL134&lt;&gt;0)),0)"),0.0)</f>
        <v>0</v>
      </c>
      <c r="AS134" s="2">
        <f t="shared" si="4"/>
        <v>0</v>
      </c>
      <c r="AU134" s="2">
        <f t="shared" si="5"/>
        <v>0</v>
      </c>
      <c r="AW134" s="2">
        <f t="shared" si="6"/>
        <v>0</v>
      </c>
      <c r="AX134" s="2">
        <f>IFERROR(__xludf.DUMMYFUNCTION("IF(X134&gt;0,SMALL(FILTER(U134:AL134, U134:AL134&lt;&gt;0), 2),0)"),0.0)</f>
        <v>0</v>
      </c>
      <c r="AY134" s="2">
        <f t="shared" si="7"/>
        <v>0</v>
      </c>
      <c r="AZ134" s="2">
        <f t="shared" si="8"/>
        <v>0</v>
      </c>
      <c r="BA134" s="2">
        <f>IFERROR(__xludf.DUMMYFUNCTION("IF(Y134&gt;0,SMALL(FILTER(U134:AL134, U134:AL134&lt;&gt;0), 3),0)"),0.0)</f>
        <v>0</v>
      </c>
      <c r="BB134" s="2">
        <f t="shared" si="9"/>
        <v>0</v>
      </c>
    </row>
    <row r="135">
      <c r="A135" s="2">
        <f>Spieler!A136</f>
        <v>131</v>
      </c>
      <c r="B135" s="2" t="str">
        <f>VLOOKUP(A135,Spieler!A:F,2,0)</f>
        <v/>
      </c>
      <c r="C135" s="2">
        <f>IF(B135=0,0,VLOOKUP(B135,Datensammler!B:U,3,0))</f>
        <v>0</v>
      </c>
      <c r="D135" s="2">
        <f>IF(B135=0,0,VLOOKUP(B135,Datensammler!B:U,4,0))</f>
        <v>0</v>
      </c>
      <c r="E135" s="2">
        <f>IF(B135=0,0,VLOOKUP(B135,Datensammler!B:U,5,0))</f>
        <v>0</v>
      </c>
      <c r="F135" s="2">
        <f>IF(B135=0,0,VLOOKUP(B135,Datensammler!B:U,6,0))</f>
        <v>0</v>
      </c>
      <c r="G135" s="2">
        <f>IF(B135=0,0,VLOOKUP(B135,Datensammler!B:U,7,0))</f>
        <v>0</v>
      </c>
      <c r="H135" s="2">
        <f>IF(B135=0,0,VLOOKUP(B135,Datensammler!B:U,8,0))</f>
        <v>0</v>
      </c>
      <c r="I135" s="2">
        <f>IF(B135=0,0,VLOOKUP(B135,Datensammler!B:U,9,0))</f>
        <v>0</v>
      </c>
      <c r="J135" s="2">
        <f>IF(B135=0,0,VLOOKUP(B135,Datensammler!B:U,10,0))</f>
        <v>0</v>
      </c>
      <c r="K135" s="2">
        <f>IF(B135=0,0,VLOOKUP(B135,Datensammler!B:U,11,0))</f>
        <v>0</v>
      </c>
      <c r="L135" s="2">
        <f>IF(B135=0,0,VLOOKUP(B135,Datensammler!B:U,12,0))</f>
        <v>0</v>
      </c>
      <c r="M135" s="2">
        <f>IF(B135=0,0,VLOOKUP(B135,Datensammler!B:U,13,0))</f>
        <v>0</v>
      </c>
      <c r="N135" s="2">
        <f>IF(B135=0,0,VLOOKUP(B135,Datensammler!B:U,14,0))</f>
        <v>0</v>
      </c>
      <c r="O135" s="2">
        <f>IF(B135=0,0,VLOOKUP(B135,Datensammler!B:U,15,0))</f>
        <v>0</v>
      </c>
      <c r="P135" s="2">
        <f>IF(B135=0,0,VLOOKUP(B135,Datensammler!B:U,16,0))</f>
        <v>0</v>
      </c>
      <c r="Q135" s="2">
        <f>IF(B135=0,0,VLOOKUP(B135,Datensammler!B:U,17,0))</f>
        <v>0</v>
      </c>
      <c r="R135" s="2">
        <f>IF(B135=0,0,VLOOKUP(B135,Datensammler!B:U,18,0))</f>
        <v>0</v>
      </c>
      <c r="S135" s="2">
        <f>IF(B135=0,0,VLOOKUP(B135,Datensammler!B:U,19,0))</f>
        <v>0</v>
      </c>
      <c r="T135" s="2">
        <f>IF(B135=0,0,VLOOKUP(B135,Datensammler!B:U,20,0))</f>
        <v>0</v>
      </c>
      <c r="U135" s="50">
        <f t="shared" ref="U135:AL135" si="138">C135</f>
        <v>0</v>
      </c>
      <c r="V135" s="50">
        <f t="shared" si="138"/>
        <v>0</v>
      </c>
      <c r="W135" s="50">
        <f t="shared" si="138"/>
        <v>0</v>
      </c>
      <c r="X135" s="50">
        <f t="shared" si="138"/>
        <v>0</v>
      </c>
      <c r="Y135" s="50">
        <f t="shared" si="138"/>
        <v>0</v>
      </c>
      <c r="Z135" s="50">
        <f t="shared" si="138"/>
        <v>0</v>
      </c>
      <c r="AA135" s="50">
        <f t="shared" si="138"/>
        <v>0</v>
      </c>
      <c r="AB135" s="50">
        <f t="shared" si="138"/>
        <v>0</v>
      </c>
      <c r="AC135" s="50">
        <f t="shared" si="138"/>
        <v>0</v>
      </c>
      <c r="AD135" s="50">
        <f t="shared" si="138"/>
        <v>0</v>
      </c>
      <c r="AE135" s="50">
        <f t="shared" si="138"/>
        <v>0</v>
      </c>
      <c r="AF135" s="50">
        <f t="shared" si="138"/>
        <v>0</v>
      </c>
      <c r="AG135" s="50">
        <f t="shared" si="138"/>
        <v>0</v>
      </c>
      <c r="AH135" s="50">
        <f t="shared" si="138"/>
        <v>0</v>
      </c>
      <c r="AI135" s="50">
        <f t="shared" si="138"/>
        <v>0</v>
      </c>
      <c r="AJ135" s="50">
        <f t="shared" si="138"/>
        <v>0</v>
      </c>
      <c r="AK135" s="50">
        <f t="shared" si="138"/>
        <v>0</v>
      </c>
      <c r="AL135" s="50">
        <f t="shared" si="138"/>
        <v>0</v>
      </c>
      <c r="AP135" s="2">
        <f t="shared" si="3"/>
        <v>0</v>
      </c>
      <c r="AQ135" s="2">
        <f>IFERROR(__xludf.DUMMYFUNCTION("IF(V135&gt;0,MIN(FILTER(U135:AL135, U135:AL135&lt;&gt;0)),0)"),0.0)</f>
        <v>0</v>
      </c>
      <c r="AS135" s="2">
        <f t="shared" si="4"/>
        <v>0</v>
      </c>
      <c r="AU135" s="2">
        <f t="shared" si="5"/>
        <v>0</v>
      </c>
      <c r="AW135" s="2">
        <f t="shared" si="6"/>
        <v>0</v>
      </c>
      <c r="AX135" s="2">
        <f>IFERROR(__xludf.DUMMYFUNCTION("IF(X135&gt;0,SMALL(FILTER(U135:AL135, U135:AL135&lt;&gt;0), 2),0)"),0.0)</f>
        <v>0</v>
      </c>
      <c r="AY135" s="2">
        <f t="shared" si="7"/>
        <v>0</v>
      </c>
      <c r="AZ135" s="2">
        <f t="shared" si="8"/>
        <v>0</v>
      </c>
      <c r="BA135" s="2">
        <f>IFERROR(__xludf.DUMMYFUNCTION("IF(Y135&gt;0,SMALL(FILTER(U135:AL135, U135:AL135&lt;&gt;0), 3),0)"),0.0)</f>
        <v>0</v>
      </c>
      <c r="BB135" s="2">
        <f t="shared" si="9"/>
        <v>0</v>
      </c>
    </row>
    <row r="136">
      <c r="A136" s="2">
        <f>Spieler!A137</f>
        <v>132</v>
      </c>
      <c r="B136" s="2" t="str">
        <f>VLOOKUP(A136,Spieler!A:F,2,0)</f>
        <v/>
      </c>
      <c r="C136" s="2">
        <f>IF(B136=0,0,VLOOKUP(B136,Datensammler!B:U,3,0))</f>
        <v>0</v>
      </c>
      <c r="D136" s="2">
        <f>IF(B136=0,0,VLOOKUP(B136,Datensammler!B:U,4,0))</f>
        <v>0</v>
      </c>
      <c r="E136" s="2">
        <f>IF(B136=0,0,VLOOKUP(B136,Datensammler!B:U,5,0))</f>
        <v>0</v>
      </c>
      <c r="F136" s="2">
        <f>IF(B136=0,0,VLOOKUP(B136,Datensammler!B:U,6,0))</f>
        <v>0</v>
      </c>
      <c r="G136" s="2">
        <f>IF(B136=0,0,VLOOKUP(B136,Datensammler!B:U,7,0))</f>
        <v>0</v>
      </c>
      <c r="H136" s="2">
        <f>IF(B136=0,0,VLOOKUP(B136,Datensammler!B:U,8,0))</f>
        <v>0</v>
      </c>
      <c r="I136" s="2">
        <f>IF(B136=0,0,VLOOKUP(B136,Datensammler!B:U,9,0))</f>
        <v>0</v>
      </c>
      <c r="J136" s="2">
        <f>IF(B136=0,0,VLOOKUP(B136,Datensammler!B:U,10,0))</f>
        <v>0</v>
      </c>
      <c r="K136" s="2">
        <f>IF(B136=0,0,VLOOKUP(B136,Datensammler!B:U,11,0))</f>
        <v>0</v>
      </c>
      <c r="L136" s="2">
        <f>IF(B136=0,0,VLOOKUP(B136,Datensammler!B:U,12,0))</f>
        <v>0</v>
      </c>
      <c r="M136" s="2">
        <f>IF(B136=0,0,VLOOKUP(B136,Datensammler!B:U,13,0))</f>
        <v>0</v>
      </c>
      <c r="N136" s="2">
        <f>IF(B136=0,0,VLOOKUP(B136,Datensammler!B:U,14,0))</f>
        <v>0</v>
      </c>
      <c r="O136" s="2">
        <f>IF(B136=0,0,VLOOKUP(B136,Datensammler!B:U,15,0))</f>
        <v>0</v>
      </c>
      <c r="P136" s="2">
        <f>IF(B136=0,0,VLOOKUP(B136,Datensammler!B:U,16,0))</f>
        <v>0</v>
      </c>
      <c r="Q136" s="2">
        <f>IF(B136=0,0,VLOOKUP(B136,Datensammler!B:U,17,0))</f>
        <v>0</v>
      </c>
      <c r="R136" s="2">
        <f>IF(B136=0,0,VLOOKUP(B136,Datensammler!B:U,18,0))</f>
        <v>0</v>
      </c>
      <c r="S136" s="2">
        <f>IF(B136=0,0,VLOOKUP(B136,Datensammler!B:U,19,0))</f>
        <v>0</v>
      </c>
      <c r="T136" s="2">
        <f>IF(B136=0,0,VLOOKUP(B136,Datensammler!B:U,20,0))</f>
        <v>0</v>
      </c>
      <c r="U136" s="50">
        <f t="shared" ref="U136:AL136" si="139">C136</f>
        <v>0</v>
      </c>
      <c r="V136" s="50">
        <f t="shared" si="139"/>
        <v>0</v>
      </c>
      <c r="W136" s="50">
        <f t="shared" si="139"/>
        <v>0</v>
      </c>
      <c r="X136" s="50">
        <f t="shared" si="139"/>
        <v>0</v>
      </c>
      <c r="Y136" s="50">
        <f t="shared" si="139"/>
        <v>0</v>
      </c>
      <c r="Z136" s="50">
        <f t="shared" si="139"/>
        <v>0</v>
      </c>
      <c r="AA136" s="50">
        <f t="shared" si="139"/>
        <v>0</v>
      </c>
      <c r="AB136" s="50">
        <f t="shared" si="139"/>
        <v>0</v>
      </c>
      <c r="AC136" s="50">
        <f t="shared" si="139"/>
        <v>0</v>
      </c>
      <c r="AD136" s="50">
        <f t="shared" si="139"/>
        <v>0</v>
      </c>
      <c r="AE136" s="50">
        <f t="shared" si="139"/>
        <v>0</v>
      </c>
      <c r="AF136" s="50">
        <f t="shared" si="139"/>
        <v>0</v>
      </c>
      <c r="AG136" s="50">
        <f t="shared" si="139"/>
        <v>0</v>
      </c>
      <c r="AH136" s="50">
        <f t="shared" si="139"/>
        <v>0</v>
      </c>
      <c r="AI136" s="50">
        <f t="shared" si="139"/>
        <v>0</v>
      </c>
      <c r="AJ136" s="50">
        <f t="shared" si="139"/>
        <v>0</v>
      </c>
      <c r="AK136" s="50">
        <f t="shared" si="139"/>
        <v>0</v>
      </c>
      <c r="AL136" s="50">
        <f t="shared" si="139"/>
        <v>0</v>
      </c>
      <c r="AP136" s="2">
        <f t="shared" si="3"/>
        <v>0</v>
      </c>
      <c r="AQ136" s="2">
        <f>IFERROR(__xludf.DUMMYFUNCTION("IF(V136&gt;0,MIN(FILTER(U136:AL136, U136:AL136&lt;&gt;0)),0)"),0.0)</f>
        <v>0</v>
      </c>
      <c r="AS136" s="2">
        <f t="shared" si="4"/>
        <v>0</v>
      </c>
      <c r="AU136" s="2">
        <f t="shared" si="5"/>
        <v>0</v>
      </c>
      <c r="AW136" s="2">
        <f t="shared" si="6"/>
        <v>0</v>
      </c>
      <c r="AX136" s="2">
        <f>IFERROR(__xludf.DUMMYFUNCTION("IF(X136&gt;0,SMALL(FILTER(U136:AL136, U136:AL136&lt;&gt;0), 2),0)"),0.0)</f>
        <v>0</v>
      </c>
      <c r="AY136" s="2">
        <f t="shared" si="7"/>
        <v>0</v>
      </c>
      <c r="AZ136" s="2">
        <f t="shared" si="8"/>
        <v>0</v>
      </c>
      <c r="BA136" s="2">
        <f>IFERROR(__xludf.DUMMYFUNCTION("IF(Y136&gt;0,SMALL(FILTER(U136:AL136, U136:AL136&lt;&gt;0), 3),0)"),0.0)</f>
        <v>0</v>
      </c>
      <c r="BB136" s="2">
        <f t="shared" si="9"/>
        <v>0</v>
      </c>
    </row>
    <row r="137">
      <c r="A137" s="2">
        <f>Spieler!A138</f>
        <v>133</v>
      </c>
      <c r="B137" s="2" t="str">
        <f>VLOOKUP(A137,Spieler!A:F,2,0)</f>
        <v/>
      </c>
      <c r="C137" s="2">
        <f>IF(B137=0,0,VLOOKUP(B137,Datensammler!B:U,3,0))</f>
        <v>0</v>
      </c>
      <c r="D137" s="2">
        <f>IF(B137=0,0,VLOOKUP(B137,Datensammler!B:U,4,0))</f>
        <v>0</v>
      </c>
      <c r="E137" s="2">
        <f>IF(B137=0,0,VLOOKUP(B137,Datensammler!B:U,5,0))</f>
        <v>0</v>
      </c>
      <c r="F137" s="2">
        <f>IF(B137=0,0,VLOOKUP(B137,Datensammler!B:U,6,0))</f>
        <v>0</v>
      </c>
      <c r="G137" s="2">
        <f>IF(B137=0,0,VLOOKUP(B137,Datensammler!B:U,7,0))</f>
        <v>0</v>
      </c>
      <c r="H137" s="2">
        <f>IF(B137=0,0,VLOOKUP(B137,Datensammler!B:U,8,0))</f>
        <v>0</v>
      </c>
      <c r="I137" s="2">
        <f>IF(B137=0,0,VLOOKUP(B137,Datensammler!B:U,9,0))</f>
        <v>0</v>
      </c>
      <c r="J137" s="2">
        <f>IF(B137=0,0,VLOOKUP(B137,Datensammler!B:U,10,0))</f>
        <v>0</v>
      </c>
      <c r="K137" s="2">
        <f>IF(B137=0,0,VLOOKUP(B137,Datensammler!B:U,11,0))</f>
        <v>0</v>
      </c>
      <c r="L137" s="2">
        <f>IF(B137=0,0,VLOOKUP(B137,Datensammler!B:U,12,0))</f>
        <v>0</v>
      </c>
      <c r="M137" s="2">
        <f>IF(B137=0,0,VLOOKUP(B137,Datensammler!B:U,13,0))</f>
        <v>0</v>
      </c>
      <c r="N137" s="2">
        <f>IF(B137=0,0,VLOOKUP(B137,Datensammler!B:U,14,0))</f>
        <v>0</v>
      </c>
      <c r="O137" s="2">
        <f>IF(B137=0,0,VLOOKUP(B137,Datensammler!B:U,15,0))</f>
        <v>0</v>
      </c>
      <c r="P137" s="2">
        <f>IF(B137=0,0,VLOOKUP(B137,Datensammler!B:U,16,0))</f>
        <v>0</v>
      </c>
      <c r="Q137" s="2">
        <f>IF(B137=0,0,VLOOKUP(B137,Datensammler!B:U,17,0))</f>
        <v>0</v>
      </c>
      <c r="R137" s="2">
        <f>IF(B137=0,0,VLOOKUP(B137,Datensammler!B:U,18,0))</f>
        <v>0</v>
      </c>
      <c r="S137" s="2">
        <f>IF(B137=0,0,VLOOKUP(B137,Datensammler!B:U,19,0))</f>
        <v>0</v>
      </c>
      <c r="T137" s="2">
        <f>IF(B137=0,0,VLOOKUP(B137,Datensammler!B:U,20,0))</f>
        <v>0</v>
      </c>
      <c r="U137" s="50">
        <f t="shared" ref="U137:AL137" si="140">C137</f>
        <v>0</v>
      </c>
      <c r="V137" s="50">
        <f t="shared" si="140"/>
        <v>0</v>
      </c>
      <c r="W137" s="50">
        <f t="shared" si="140"/>
        <v>0</v>
      </c>
      <c r="X137" s="50">
        <f t="shared" si="140"/>
        <v>0</v>
      </c>
      <c r="Y137" s="50">
        <f t="shared" si="140"/>
        <v>0</v>
      </c>
      <c r="Z137" s="50">
        <f t="shared" si="140"/>
        <v>0</v>
      </c>
      <c r="AA137" s="50">
        <f t="shared" si="140"/>
        <v>0</v>
      </c>
      <c r="AB137" s="50">
        <f t="shared" si="140"/>
        <v>0</v>
      </c>
      <c r="AC137" s="50">
        <f t="shared" si="140"/>
        <v>0</v>
      </c>
      <c r="AD137" s="50">
        <f t="shared" si="140"/>
        <v>0</v>
      </c>
      <c r="AE137" s="50">
        <f t="shared" si="140"/>
        <v>0</v>
      </c>
      <c r="AF137" s="50">
        <f t="shared" si="140"/>
        <v>0</v>
      </c>
      <c r="AG137" s="50">
        <f t="shared" si="140"/>
        <v>0</v>
      </c>
      <c r="AH137" s="50">
        <f t="shared" si="140"/>
        <v>0</v>
      </c>
      <c r="AI137" s="50">
        <f t="shared" si="140"/>
        <v>0</v>
      </c>
      <c r="AJ137" s="50">
        <f t="shared" si="140"/>
        <v>0</v>
      </c>
      <c r="AK137" s="50">
        <f t="shared" si="140"/>
        <v>0</v>
      </c>
      <c r="AL137" s="50">
        <f t="shared" si="140"/>
        <v>0</v>
      </c>
      <c r="AP137" s="2">
        <f t="shared" si="3"/>
        <v>0</v>
      </c>
      <c r="AQ137" s="2">
        <f>IFERROR(__xludf.DUMMYFUNCTION("IF(V137&gt;0,MIN(FILTER(U137:AL137, U137:AL137&lt;&gt;0)),0)"),0.0)</f>
        <v>0</v>
      </c>
      <c r="AS137" s="2">
        <f t="shared" si="4"/>
        <v>0</v>
      </c>
      <c r="AU137" s="2">
        <f t="shared" si="5"/>
        <v>0</v>
      </c>
      <c r="AW137" s="2">
        <f t="shared" si="6"/>
        <v>0</v>
      </c>
      <c r="AX137" s="2">
        <f>IFERROR(__xludf.DUMMYFUNCTION("IF(X137&gt;0,SMALL(FILTER(U137:AL137, U137:AL137&lt;&gt;0), 2),0)"),0.0)</f>
        <v>0</v>
      </c>
      <c r="AY137" s="2">
        <f t="shared" si="7"/>
        <v>0</v>
      </c>
      <c r="AZ137" s="2">
        <f t="shared" si="8"/>
        <v>0</v>
      </c>
      <c r="BA137" s="2">
        <f>IFERROR(__xludf.DUMMYFUNCTION("IF(Y137&gt;0,SMALL(FILTER(U137:AL137, U137:AL137&lt;&gt;0), 3),0)"),0.0)</f>
        <v>0</v>
      </c>
      <c r="BB137" s="2">
        <f t="shared" si="9"/>
        <v>0</v>
      </c>
    </row>
    <row r="138">
      <c r="A138" s="2">
        <f>Spieler!A139</f>
        <v>134</v>
      </c>
      <c r="B138" s="2" t="str">
        <f>VLOOKUP(A138,Spieler!A:F,2,0)</f>
        <v/>
      </c>
      <c r="C138" s="2">
        <f>IF(B138=0,0,VLOOKUP(B138,Datensammler!B:U,3,0))</f>
        <v>0</v>
      </c>
      <c r="D138" s="2">
        <f>IF(B138=0,0,VLOOKUP(B138,Datensammler!B:U,4,0))</f>
        <v>0</v>
      </c>
      <c r="E138" s="2">
        <f>IF(B138=0,0,VLOOKUP(B138,Datensammler!B:U,5,0))</f>
        <v>0</v>
      </c>
      <c r="F138" s="2">
        <f>IF(B138=0,0,VLOOKUP(B138,Datensammler!B:U,6,0))</f>
        <v>0</v>
      </c>
      <c r="G138" s="2">
        <f>IF(B138=0,0,VLOOKUP(B138,Datensammler!B:U,7,0))</f>
        <v>0</v>
      </c>
      <c r="H138" s="2">
        <f>IF(B138=0,0,VLOOKUP(B138,Datensammler!B:U,8,0))</f>
        <v>0</v>
      </c>
      <c r="I138" s="2">
        <f>IF(B138=0,0,VLOOKUP(B138,Datensammler!B:U,9,0))</f>
        <v>0</v>
      </c>
      <c r="J138" s="2">
        <f>IF(B138=0,0,VLOOKUP(B138,Datensammler!B:U,10,0))</f>
        <v>0</v>
      </c>
      <c r="K138" s="2">
        <f>IF(B138=0,0,VLOOKUP(B138,Datensammler!B:U,11,0))</f>
        <v>0</v>
      </c>
      <c r="L138" s="2">
        <f>IF(B138=0,0,VLOOKUP(B138,Datensammler!B:U,12,0))</f>
        <v>0</v>
      </c>
      <c r="M138" s="2">
        <f>IF(B138=0,0,VLOOKUP(B138,Datensammler!B:U,13,0))</f>
        <v>0</v>
      </c>
      <c r="N138" s="2">
        <f>IF(B138=0,0,VLOOKUP(B138,Datensammler!B:U,14,0))</f>
        <v>0</v>
      </c>
      <c r="O138" s="2">
        <f>IF(B138=0,0,VLOOKUP(B138,Datensammler!B:U,15,0))</f>
        <v>0</v>
      </c>
      <c r="P138" s="2">
        <f>IF(B138=0,0,VLOOKUP(B138,Datensammler!B:U,16,0))</f>
        <v>0</v>
      </c>
      <c r="Q138" s="2">
        <f>IF(B138=0,0,VLOOKUP(B138,Datensammler!B:U,17,0))</f>
        <v>0</v>
      </c>
      <c r="R138" s="2">
        <f>IF(B138=0,0,VLOOKUP(B138,Datensammler!B:U,18,0))</f>
        <v>0</v>
      </c>
      <c r="S138" s="2">
        <f>IF(B138=0,0,VLOOKUP(B138,Datensammler!B:U,19,0))</f>
        <v>0</v>
      </c>
      <c r="T138" s="2">
        <f>IF(B138=0,0,VLOOKUP(B138,Datensammler!B:U,20,0))</f>
        <v>0</v>
      </c>
      <c r="U138" s="50">
        <f t="shared" ref="U138:AL138" si="141">C138</f>
        <v>0</v>
      </c>
      <c r="V138" s="50">
        <f t="shared" si="141"/>
        <v>0</v>
      </c>
      <c r="W138" s="50">
        <f t="shared" si="141"/>
        <v>0</v>
      </c>
      <c r="X138" s="50">
        <f t="shared" si="141"/>
        <v>0</v>
      </c>
      <c r="Y138" s="50">
        <f t="shared" si="141"/>
        <v>0</v>
      </c>
      <c r="Z138" s="50">
        <f t="shared" si="141"/>
        <v>0</v>
      </c>
      <c r="AA138" s="50">
        <f t="shared" si="141"/>
        <v>0</v>
      </c>
      <c r="AB138" s="50">
        <f t="shared" si="141"/>
        <v>0</v>
      </c>
      <c r="AC138" s="50">
        <f t="shared" si="141"/>
        <v>0</v>
      </c>
      <c r="AD138" s="50">
        <f t="shared" si="141"/>
        <v>0</v>
      </c>
      <c r="AE138" s="50">
        <f t="shared" si="141"/>
        <v>0</v>
      </c>
      <c r="AF138" s="50">
        <f t="shared" si="141"/>
        <v>0</v>
      </c>
      <c r="AG138" s="50">
        <f t="shared" si="141"/>
        <v>0</v>
      </c>
      <c r="AH138" s="50">
        <f t="shared" si="141"/>
        <v>0</v>
      </c>
      <c r="AI138" s="50">
        <f t="shared" si="141"/>
        <v>0</v>
      </c>
      <c r="AJ138" s="50">
        <f t="shared" si="141"/>
        <v>0</v>
      </c>
      <c r="AK138" s="50">
        <f t="shared" si="141"/>
        <v>0</v>
      </c>
      <c r="AL138" s="50">
        <f t="shared" si="141"/>
        <v>0</v>
      </c>
      <c r="AP138" s="2">
        <f t="shared" si="3"/>
        <v>0</v>
      </c>
      <c r="AQ138" s="2">
        <f>IFERROR(__xludf.DUMMYFUNCTION("IF(V138&gt;0,MIN(FILTER(U138:AL138, U138:AL138&lt;&gt;0)),0)"),0.0)</f>
        <v>0</v>
      </c>
      <c r="AS138" s="2">
        <f t="shared" si="4"/>
        <v>0</v>
      </c>
      <c r="AU138" s="2">
        <f t="shared" si="5"/>
        <v>0</v>
      </c>
      <c r="AW138" s="2">
        <f t="shared" si="6"/>
        <v>0</v>
      </c>
      <c r="AX138" s="2">
        <f>IFERROR(__xludf.DUMMYFUNCTION("IF(X138&gt;0,SMALL(FILTER(U138:AL138, U138:AL138&lt;&gt;0), 2),0)"),0.0)</f>
        <v>0</v>
      </c>
      <c r="AY138" s="2">
        <f t="shared" si="7"/>
        <v>0</v>
      </c>
      <c r="AZ138" s="2">
        <f t="shared" si="8"/>
        <v>0</v>
      </c>
      <c r="BA138" s="2">
        <f>IFERROR(__xludf.DUMMYFUNCTION("IF(Y138&gt;0,SMALL(FILTER(U138:AL138, U138:AL138&lt;&gt;0), 3),0)"),0.0)</f>
        <v>0</v>
      </c>
      <c r="BB138" s="2">
        <f t="shared" si="9"/>
        <v>0</v>
      </c>
    </row>
    <row r="139">
      <c r="A139" s="2">
        <f>Spieler!A140</f>
        <v>135</v>
      </c>
      <c r="B139" s="2" t="str">
        <f>VLOOKUP(A139,Spieler!A:F,2,0)</f>
        <v/>
      </c>
      <c r="C139" s="2">
        <f>IF(B139=0,0,VLOOKUP(B139,Datensammler!B:U,3,0))</f>
        <v>0</v>
      </c>
      <c r="D139" s="2">
        <f>IF(B139=0,0,VLOOKUP(B139,Datensammler!B:U,4,0))</f>
        <v>0</v>
      </c>
      <c r="E139" s="2">
        <f>IF(B139=0,0,VLOOKUP(B139,Datensammler!B:U,5,0))</f>
        <v>0</v>
      </c>
      <c r="F139" s="2">
        <f>IF(B139=0,0,VLOOKUP(B139,Datensammler!B:U,6,0))</f>
        <v>0</v>
      </c>
      <c r="G139" s="2">
        <f>IF(B139=0,0,VLOOKUP(B139,Datensammler!B:U,7,0))</f>
        <v>0</v>
      </c>
      <c r="H139" s="2">
        <f>IF(B139=0,0,VLOOKUP(B139,Datensammler!B:U,8,0))</f>
        <v>0</v>
      </c>
      <c r="I139" s="2">
        <f>IF(B139=0,0,VLOOKUP(B139,Datensammler!B:U,9,0))</f>
        <v>0</v>
      </c>
      <c r="J139" s="2">
        <f>IF(B139=0,0,VLOOKUP(B139,Datensammler!B:U,10,0))</f>
        <v>0</v>
      </c>
      <c r="K139" s="2">
        <f>IF(B139=0,0,VLOOKUP(B139,Datensammler!B:U,11,0))</f>
        <v>0</v>
      </c>
      <c r="L139" s="2">
        <f>IF(B139=0,0,VLOOKUP(B139,Datensammler!B:U,12,0))</f>
        <v>0</v>
      </c>
      <c r="M139" s="2">
        <f>IF(B139=0,0,VLOOKUP(B139,Datensammler!B:U,13,0))</f>
        <v>0</v>
      </c>
      <c r="N139" s="2">
        <f>IF(B139=0,0,VLOOKUP(B139,Datensammler!B:U,14,0))</f>
        <v>0</v>
      </c>
      <c r="O139" s="2">
        <f>IF(B139=0,0,VLOOKUP(B139,Datensammler!B:U,15,0))</f>
        <v>0</v>
      </c>
      <c r="P139" s="2">
        <f>IF(B139=0,0,VLOOKUP(B139,Datensammler!B:U,16,0))</f>
        <v>0</v>
      </c>
      <c r="Q139" s="2">
        <f>IF(B139=0,0,VLOOKUP(B139,Datensammler!B:U,17,0))</f>
        <v>0</v>
      </c>
      <c r="R139" s="2">
        <f>IF(B139=0,0,VLOOKUP(B139,Datensammler!B:U,18,0))</f>
        <v>0</v>
      </c>
      <c r="S139" s="2">
        <f>IF(B139=0,0,VLOOKUP(B139,Datensammler!B:U,19,0))</f>
        <v>0</v>
      </c>
      <c r="T139" s="2">
        <f>IF(B139=0,0,VLOOKUP(B139,Datensammler!B:U,20,0))</f>
        <v>0</v>
      </c>
      <c r="U139" s="50">
        <f t="shared" ref="U139:AL139" si="142">C139</f>
        <v>0</v>
      </c>
      <c r="V139" s="50">
        <f t="shared" si="142"/>
        <v>0</v>
      </c>
      <c r="W139" s="50">
        <f t="shared" si="142"/>
        <v>0</v>
      </c>
      <c r="X139" s="50">
        <f t="shared" si="142"/>
        <v>0</v>
      </c>
      <c r="Y139" s="50">
        <f t="shared" si="142"/>
        <v>0</v>
      </c>
      <c r="Z139" s="50">
        <f t="shared" si="142"/>
        <v>0</v>
      </c>
      <c r="AA139" s="50">
        <f t="shared" si="142"/>
        <v>0</v>
      </c>
      <c r="AB139" s="50">
        <f t="shared" si="142"/>
        <v>0</v>
      </c>
      <c r="AC139" s="50">
        <f t="shared" si="142"/>
        <v>0</v>
      </c>
      <c r="AD139" s="50">
        <f t="shared" si="142"/>
        <v>0</v>
      </c>
      <c r="AE139" s="50">
        <f t="shared" si="142"/>
        <v>0</v>
      </c>
      <c r="AF139" s="50">
        <f t="shared" si="142"/>
        <v>0</v>
      </c>
      <c r="AG139" s="50">
        <f t="shared" si="142"/>
        <v>0</v>
      </c>
      <c r="AH139" s="50">
        <f t="shared" si="142"/>
        <v>0</v>
      </c>
      <c r="AI139" s="50">
        <f t="shared" si="142"/>
        <v>0</v>
      </c>
      <c r="AJ139" s="50">
        <f t="shared" si="142"/>
        <v>0</v>
      </c>
      <c r="AK139" s="50">
        <f t="shared" si="142"/>
        <v>0</v>
      </c>
      <c r="AL139" s="50">
        <f t="shared" si="142"/>
        <v>0</v>
      </c>
      <c r="AP139" s="2">
        <f t="shared" si="3"/>
        <v>0</v>
      </c>
      <c r="AQ139" s="2">
        <f>IFERROR(__xludf.DUMMYFUNCTION("IF(V139&gt;0,MIN(FILTER(U139:AL139, U139:AL139&lt;&gt;0)),0)"),0.0)</f>
        <v>0</v>
      </c>
      <c r="AS139" s="2">
        <f t="shared" si="4"/>
        <v>0</v>
      </c>
      <c r="AU139" s="2">
        <f t="shared" si="5"/>
        <v>0</v>
      </c>
      <c r="AW139" s="2">
        <f t="shared" si="6"/>
        <v>0</v>
      </c>
      <c r="AX139" s="2">
        <f>IFERROR(__xludf.DUMMYFUNCTION("IF(X139&gt;0,SMALL(FILTER(U139:AL139, U139:AL139&lt;&gt;0), 2),0)"),0.0)</f>
        <v>0</v>
      </c>
      <c r="AY139" s="2">
        <f t="shared" si="7"/>
        <v>0</v>
      </c>
      <c r="AZ139" s="2">
        <f t="shared" si="8"/>
        <v>0</v>
      </c>
      <c r="BA139" s="2">
        <f>IFERROR(__xludf.DUMMYFUNCTION("IF(Y139&gt;0,SMALL(FILTER(U139:AL139, U139:AL139&lt;&gt;0), 3),0)"),0.0)</f>
        <v>0</v>
      </c>
      <c r="BB139" s="2">
        <f t="shared" si="9"/>
        <v>0</v>
      </c>
    </row>
    <row r="140">
      <c r="A140" s="2">
        <f>Spieler!A141</f>
        <v>136</v>
      </c>
      <c r="B140" s="2" t="str">
        <f>VLOOKUP(A140,Spieler!A:F,2,0)</f>
        <v/>
      </c>
      <c r="C140" s="2">
        <f>IF(B140=0,0,VLOOKUP(B140,Datensammler!B:U,3,0))</f>
        <v>0</v>
      </c>
      <c r="D140" s="2">
        <f>IF(B140=0,0,VLOOKUP(B140,Datensammler!B:U,4,0))</f>
        <v>0</v>
      </c>
      <c r="E140" s="2">
        <f>IF(B140=0,0,VLOOKUP(B140,Datensammler!B:U,5,0))</f>
        <v>0</v>
      </c>
      <c r="F140" s="2">
        <f>IF(B140=0,0,VLOOKUP(B140,Datensammler!B:U,6,0))</f>
        <v>0</v>
      </c>
      <c r="G140" s="2">
        <f>IF(B140=0,0,VLOOKUP(B140,Datensammler!B:U,7,0))</f>
        <v>0</v>
      </c>
      <c r="H140" s="2">
        <f>IF(B140=0,0,VLOOKUP(B140,Datensammler!B:U,8,0))</f>
        <v>0</v>
      </c>
      <c r="I140" s="2">
        <f>IF(B140=0,0,VLOOKUP(B140,Datensammler!B:U,9,0))</f>
        <v>0</v>
      </c>
      <c r="J140" s="2">
        <f>IF(B140=0,0,VLOOKUP(B140,Datensammler!B:U,10,0))</f>
        <v>0</v>
      </c>
      <c r="K140" s="2">
        <f>IF(B140=0,0,VLOOKUP(B140,Datensammler!B:U,11,0))</f>
        <v>0</v>
      </c>
      <c r="L140" s="2">
        <f>IF(B140=0,0,VLOOKUP(B140,Datensammler!B:U,12,0))</f>
        <v>0</v>
      </c>
      <c r="M140" s="2">
        <f>IF(B140=0,0,VLOOKUP(B140,Datensammler!B:U,13,0))</f>
        <v>0</v>
      </c>
      <c r="N140" s="2">
        <f>IF(B140=0,0,VLOOKUP(B140,Datensammler!B:U,14,0))</f>
        <v>0</v>
      </c>
      <c r="O140" s="2">
        <f>IF(B140=0,0,VLOOKUP(B140,Datensammler!B:U,15,0))</f>
        <v>0</v>
      </c>
      <c r="P140" s="2">
        <f>IF(B140=0,0,VLOOKUP(B140,Datensammler!B:U,16,0))</f>
        <v>0</v>
      </c>
      <c r="Q140" s="2">
        <f>IF(B140=0,0,VLOOKUP(B140,Datensammler!B:U,17,0))</f>
        <v>0</v>
      </c>
      <c r="R140" s="2">
        <f>IF(B140=0,0,VLOOKUP(B140,Datensammler!B:U,18,0))</f>
        <v>0</v>
      </c>
      <c r="S140" s="2">
        <f>IF(B140=0,0,VLOOKUP(B140,Datensammler!B:U,19,0))</f>
        <v>0</v>
      </c>
      <c r="T140" s="2">
        <f>IF(B140=0,0,VLOOKUP(B140,Datensammler!B:U,20,0))</f>
        <v>0</v>
      </c>
      <c r="U140" s="50">
        <f t="shared" ref="U140:AL140" si="143">C140</f>
        <v>0</v>
      </c>
      <c r="V140" s="50">
        <f t="shared" si="143"/>
        <v>0</v>
      </c>
      <c r="W140" s="50">
        <f t="shared" si="143"/>
        <v>0</v>
      </c>
      <c r="X140" s="50">
        <f t="shared" si="143"/>
        <v>0</v>
      </c>
      <c r="Y140" s="50">
        <f t="shared" si="143"/>
        <v>0</v>
      </c>
      <c r="Z140" s="50">
        <f t="shared" si="143"/>
        <v>0</v>
      </c>
      <c r="AA140" s="50">
        <f t="shared" si="143"/>
        <v>0</v>
      </c>
      <c r="AB140" s="50">
        <f t="shared" si="143"/>
        <v>0</v>
      </c>
      <c r="AC140" s="50">
        <f t="shared" si="143"/>
        <v>0</v>
      </c>
      <c r="AD140" s="50">
        <f t="shared" si="143"/>
        <v>0</v>
      </c>
      <c r="AE140" s="50">
        <f t="shared" si="143"/>
        <v>0</v>
      </c>
      <c r="AF140" s="50">
        <f t="shared" si="143"/>
        <v>0</v>
      </c>
      <c r="AG140" s="50">
        <f t="shared" si="143"/>
        <v>0</v>
      </c>
      <c r="AH140" s="50">
        <f t="shared" si="143"/>
        <v>0</v>
      </c>
      <c r="AI140" s="50">
        <f t="shared" si="143"/>
        <v>0</v>
      </c>
      <c r="AJ140" s="50">
        <f t="shared" si="143"/>
        <v>0</v>
      </c>
      <c r="AK140" s="50">
        <f t="shared" si="143"/>
        <v>0</v>
      </c>
      <c r="AL140" s="50">
        <f t="shared" si="143"/>
        <v>0</v>
      </c>
      <c r="AP140" s="2">
        <f t="shared" si="3"/>
        <v>0</v>
      </c>
      <c r="AQ140" s="2">
        <f>IFERROR(__xludf.DUMMYFUNCTION("IF(V140&gt;0,MIN(FILTER(U140:AL140, U140:AL140&lt;&gt;0)),0)"),0.0)</f>
        <v>0</v>
      </c>
      <c r="AS140" s="2">
        <f t="shared" si="4"/>
        <v>0</v>
      </c>
      <c r="AU140" s="2">
        <f t="shared" si="5"/>
        <v>0</v>
      </c>
      <c r="AW140" s="2">
        <f t="shared" si="6"/>
        <v>0</v>
      </c>
      <c r="AX140" s="2">
        <f>IFERROR(__xludf.DUMMYFUNCTION("IF(X140&gt;0,SMALL(FILTER(U140:AL140, U140:AL140&lt;&gt;0), 2),0)"),0.0)</f>
        <v>0</v>
      </c>
      <c r="AY140" s="2">
        <f t="shared" si="7"/>
        <v>0</v>
      </c>
      <c r="AZ140" s="2">
        <f t="shared" si="8"/>
        <v>0</v>
      </c>
      <c r="BA140" s="2">
        <f>IFERROR(__xludf.DUMMYFUNCTION("IF(Y140&gt;0,SMALL(FILTER(U140:AL140, U140:AL140&lt;&gt;0), 3),0)"),0.0)</f>
        <v>0</v>
      </c>
      <c r="BB140" s="2">
        <f t="shared" si="9"/>
        <v>0</v>
      </c>
    </row>
    <row r="141">
      <c r="A141" s="2">
        <f>Spieler!A142</f>
        <v>137</v>
      </c>
      <c r="B141" s="2" t="str">
        <f>VLOOKUP(A141,Spieler!A:F,2,0)</f>
        <v/>
      </c>
      <c r="C141" s="2">
        <f>IF(B141=0,0,VLOOKUP(B141,Datensammler!B:U,3,0))</f>
        <v>0</v>
      </c>
      <c r="D141" s="2">
        <f>IF(B141=0,0,VLOOKUP(B141,Datensammler!B:U,4,0))</f>
        <v>0</v>
      </c>
      <c r="E141" s="2">
        <f>IF(B141=0,0,VLOOKUP(B141,Datensammler!B:U,5,0))</f>
        <v>0</v>
      </c>
      <c r="F141" s="2">
        <f>IF(B141=0,0,VLOOKUP(B141,Datensammler!B:U,6,0))</f>
        <v>0</v>
      </c>
      <c r="G141" s="2">
        <f>IF(B141=0,0,VLOOKUP(B141,Datensammler!B:U,7,0))</f>
        <v>0</v>
      </c>
      <c r="H141" s="2">
        <f>IF(B141=0,0,VLOOKUP(B141,Datensammler!B:U,8,0))</f>
        <v>0</v>
      </c>
      <c r="I141" s="2">
        <f>IF(B141=0,0,VLOOKUP(B141,Datensammler!B:U,9,0))</f>
        <v>0</v>
      </c>
      <c r="J141" s="2">
        <f>IF(B141=0,0,VLOOKUP(B141,Datensammler!B:U,10,0))</f>
        <v>0</v>
      </c>
      <c r="K141" s="2">
        <f>IF(B141=0,0,VLOOKUP(B141,Datensammler!B:U,11,0))</f>
        <v>0</v>
      </c>
      <c r="L141" s="2">
        <f>IF(B141=0,0,VLOOKUP(B141,Datensammler!B:U,12,0))</f>
        <v>0</v>
      </c>
      <c r="M141" s="2">
        <f>IF(B141=0,0,VLOOKUP(B141,Datensammler!B:U,13,0))</f>
        <v>0</v>
      </c>
      <c r="N141" s="2">
        <f>IF(B141=0,0,VLOOKUP(B141,Datensammler!B:U,14,0))</f>
        <v>0</v>
      </c>
      <c r="O141" s="2">
        <f>IF(B141=0,0,VLOOKUP(B141,Datensammler!B:U,15,0))</f>
        <v>0</v>
      </c>
      <c r="P141" s="2">
        <f>IF(B141=0,0,VLOOKUP(B141,Datensammler!B:U,16,0))</f>
        <v>0</v>
      </c>
      <c r="Q141" s="2">
        <f>IF(B141=0,0,VLOOKUP(B141,Datensammler!B:U,17,0))</f>
        <v>0</v>
      </c>
      <c r="R141" s="2">
        <f>IF(B141=0,0,VLOOKUP(B141,Datensammler!B:U,18,0))</f>
        <v>0</v>
      </c>
      <c r="S141" s="2">
        <f>IF(B141=0,0,VLOOKUP(B141,Datensammler!B:U,19,0))</f>
        <v>0</v>
      </c>
      <c r="T141" s="2">
        <f>IF(B141=0,0,VLOOKUP(B141,Datensammler!B:U,20,0))</f>
        <v>0</v>
      </c>
      <c r="U141" s="50">
        <f t="shared" ref="U141:AL141" si="144">C141</f>
        <v>0</v>
      </c>
      <c r="V141" s="50">
        <f t="shared" si="144"/>
        <v>0</v>
      </c>
      <c r="W141" s="50">
        <f t="shared" si="144"/>
        <v>0</v>
      </c>
      <c r="X141" s="50">
        <f t="shared" si="144"/>
        <v>0</v>
      </c>
      <c r="Y141" s="50">
        <f t="shared" si="144"/>
        <v>0</v>
      </c>
      <c r="Z141" s="50">
        <f t="shared" si="144"/>
        <v>0</v>
      </c>
      <c r="AA141" s="50">
        <f t="shared" si="144"/>
        <v>0</v>
      </c>
      <c r="AB141" s="50">
        <f t="shared" si="144"/>
        <v>0</v>
      </c>
      <c r="AC141" s="50">
        <f t="shared" si="144"/>
        <v>0</v>
      </c>
      <c r="AD141" s="50">
        <f t="shared" si="144"/>
        <v>0</v>
      </c>
      <c r="AE141" s="50">
        <f t="shared" si="144"/>
        <v>0</v>
      </c>
      <c r="AF141" s="50">
        <f t="shared" si="144"/>
        <v>0</v>
      </c>
      <c r="AG141" s="50">
        <f t="shared" si="144"/>
        <v>0</v>
      </c>
      <c r="AH141" s="50">
        <f t="shared" si="144"/>
        <v>0</v>
      </c>
      <c r="AI141" s="50">
        <f t="shared" si="144"/>
        <v>0</v>
      </c>
      <c r="AJ141" s="50">
        <f t="shared" si="144"/>
        <v>0</v>
      </c>
      <c r="AK141" s="50">
        <f t="shared" si="144"/>
        <v>0</v>
      </c>
      <c r="AL141" s="50">
        <f t="shared" si="144"/>
        <v>0</v>
      </c>
      <c r="AP141" s="2">
        <f t="shared" si="3"/>
        <v>0</v>
      </c>
      <c r="AQ141" s="2">
        <f>IFERROR(__xludf.DUMMYFUNCTION("IF(V141&gt;0,MIN(FILTER(U141:AL141, U141:AL141&lt;&gt;0)),0)"),0.0)</f>
        <v>0</v>
      </c>
      <c r="AS141" s="2">
        <f t="shared" si="4"/>
        <v>0</v>
      </c>
      <c r="AU141" s="2">
        <f t="shared" si="5"/>
        <v>0</v>
      </c>
      <c r="AW141" s="2">
        <f t="shared" si="6"/>
        <v>0</v>
      </c>
      <c r="AX141" s="2">
        <f>IFERROR(__xludf.DUMMYFUNCTION("IF(X141&gt;0,SMALL(FILTER(U141:AL141, U141:AL141&lt;&gt;0), 2),0)"),0.0)</f>
        <v>0</v>
      </c>
      <c r="AY141" s="2">
        <f t="shared" si="7"/>
        <v>0</v>
      </c>
      <c r="AZ141" s="2">
        <f t="shared" si="8"/>
        <v>0</v>
      </c>
      <c r="BA141" s="2">
        <f>IFERROR(__xludf.DUMMYFUNCTION("IF(Y141&gt;0,SMALL(FILTER(U141:AL141, U141:AL141&lt;&gt;0), 3),0)"),0.0)</f>
        <v>0</v>
      </c>
      <c r="BB141" s="2">
        <f t="shared" si="9"/>
        <v>0</v>
      </c>
    </row>
    <row r="142">
      <c r="A142" s="2">
        <f>Spieler!A143</f>
        <v>138</v>
      </c>
      <c r="B142" s="2" t="str">
        <f>VLOOKUP(A142,Spieler!A:F,2,0)</f>
        <v/>
      </c>
      <c r="C142" s="2">
        <f>IF(B142=0,0,VLOOKUP(B142,Datensammler!B:U,3,0))</f>
        <v>0</v>
      </c>
      <c r="D142" s="2">
        <f>IF(B142=0,0,VLOOKUP(B142,Datensammler!B:U,4,0))</f>
        <v>0</v>
      </c>
      <c r="E142" s="2">
        <f>IF(B142=0,0,VLOOKUP(B142,Datensammler!B:U,5,0))</f>
        <v>0</v>
      </c>
      <c r="F142" s="2">
        <f>IF(B142=0,0,VLOOKUP(B142,Datensammler!B:U,6,0))</f>
        <v>0</v>
      </c>
      <c r="G142" s="2">
        <f>IF(B142=0,0,VLOOKUP(B142,Datensammler!B:U,7,0))</f>
        <v>0</v>
      </c>
      <c r="H142" s="2">
        <f>IF(B142=0,0,VLOOKUP(B142,Datensammler!B:U,8,0))</f>
        <v>0</v>
      </c>
      <c r="I142" s="2">
        <f>IF(B142=0,0,VLOOKUP(B142,Datensammler!B:U,9,0))</f>
        <v>0</v>
      </c>
      <c r="J142" s="2">
        <f>IF(B142=0,0,VLOOKUP(B142,Datensammler!B:U,10,0))</f>
        <v>0</v>
      </c>
      <c r="K142" s="2">
        <f>IF(B142=0,0,VLOOKUP(B142,Datensammler!B:U,11,0))</f>
        <v>0</v>
      </c>
      <c r="L142" s="2">
        <f>IF(B142=0,0,VLOOKUP(B142,Datensammler!B:U,12,0))</f>
        <v>0</v>
      </c>
      <c r="M142" s="2">
        <f>IF(B142=0,0,VLOOKUP(B142,Datensammler!B:U,13,0))</f>
        <v>0</v>
      </c>
      <c r="N142" s="2">
        <f>IF(B142=0,0,VLOOKUP(B142,Datensammler!B:U,14,0))</f>
        <v>0</v>
      </c>
      <c r="O142" s="2">
        <f>IF(B142=0,0,VLOOKUP(B142,Datensammler!B:U,15,0))</f>
        <v>0</v>
      </c>
      <c r="P142" s="2">
        <f>IF(B142=0,0,VLOOKUP(B142,Datensammler!B:U,16,0))</f>
        <v>0</v>
      </c>
      <c r="Q142" s="2">
        <f>IF(B142=0,0,VLOOKUP(B142,Datensammler!B:U,17,0))</f>
        <v>0</v>
      </c>
      <c r="R142" s="2">
        <f>IF(B142=0,0,VLOOKUP(B142,Datensammler!B:U,18,0))</f>
        <v>0</v>
      </c>
      <c r="S142" s="2">
        <f>IF(B142=0,0,VLOOKUP(B142,Datensammler!B:U,19,0))</f>
        <v>0</v>
      </c>
      <c r="T142" s="2">
        <f>IF(B142=0,0,VLOOKUP(B142,Datensammler!B:U,20,0))</f>
        <v>0</v>
      </c>
      <c r="U142" s="50">
        <f t="shared" ref="U142:AL142" si="145">C142</f>
        <v>0</v>
      </c>
      <c r="V142" s="50">
        <f t="shared" si="145"/>
        <v>0</v>
      </c>
      <c r="W142" s="50">
        <f t="shared" si="145"/>
        <v>0</v>
      </c>
      <c r="X142" s="50">
        <f t="shared" si="145"/>
        <v>0</v>
      </c>
      <c r="Y142" s="50">
        <f t="shared" si="145"/>
        <v>0</v>
      </c>
      <c r="Z142" s="50">
        <f t="shared" si="145"/>
        <v>0</v>
      </c>
      <c r="AA142" s="50">
        <f t="shared" si="145"/>
        <v>0</v>
      </c>
      <c r="AB142" s="50">
        <f t="shared" si="145"/>
        <v>0</v>
      </c>
      <c r="AC142" s="50">
        <f t="shared" si="145"/>
        <v>0</v>
      </c>
      <c r="AD142" s="50">
        <f t="shared" si="145"/>
        <v>0</v>
      </c>
      <c r="AE142" s="50">
        <f t="shared" si="145"/>
        <v>0</v>
      </c>
      <c r="AF142" s="50">
        <f t="shared" si="145"/>
        <v>0</v>
      </c>
      <c r="AG142" s="50">
        <f t="shared" si="145"/>
        <v>0</v>
      </c>
      <c r="AH142" s="50">
        <f t="shared" si="145"/>
        <v>0</v>
      </c>
      <c r="AI142" s="50">
        <f t="shared" si="145"/>
        <v>0</v>
      </c>
      <c r="AJ142" s="50">
        <f t="shared" si="145"/>
        <v>0</v>
      </c>
      <c r="AK142" s="50">
        <f t="shared" si="145"/>
        <v>0</v>
      </c>
      <c r="AL142" s="50">
        <f t="shared" si="145"/>
        <v>0</v>
      </c>
      <c r="AP142" s="2">
        <f t="shared" si="3"/>
        <v>0</v>
      </c>
      <c r="AQ142" s="2">
        <f>IFERROR(__xludf.DUMMYFUNCTION("IF(V142&gt;0,MIN(FILTER(U142:AL142, U142:AL142&lt;&gt;0)),0)"),0.0)</f>
        <v>0</v>
      </c>
      <c r="AS142" s="2">
        <f t="shared" si="4"/>
        <v>0</v>
      </c>
      <c r="AU142" s="2">
        <f t="shared" si="5"/>
        <v>0</v>
      </c>
      <c r="AW142" s="2">
        <f t="shared" si="6"/>
        <v>0</v>
      </c>
      <c r="AX142" s="2">
        <f>IFERROR(__xludf.DUMMYFUNCTION("IF(X142&gt;0,SMALL(FILTER(U142:AL142, U142:AL142&lt;&gt;0), 2),0)"),0.0)</f>
        <v>0</v>
      </c>
      <c r="AY142" s="2">
        <f t="shared" si="7"/>
        <v>0</v>
      </c>
      <c r="AZ142" s="2">
        <f t="shared" si="8"/>
        <v>0</v>
      </c>
      <c r="BA142" s="2">
        <f>IFERROR(__xludf.DUMMYFUNCTION("IF(Y142&gt;0,SMALL(FILTER(U142:AL142, U142:AL142&lt;&gt;0), 3),0)"),0.0)</f>
        <v>0</v>
      </c>
      <c r="BB142" s="2">
        <f t="shared" si="9"/>
        <v>0</v>
      </c>
    </row>
    <row r="143">
      <c r="A143" s="2">
        <f>Spieler!A144</f>
        <v>139</v>
      </c>
      <c r="B143" s="2" t="str">
        <f>VLOOKUP(A143,Spieler!A:F,2,0)</f>
        <v/>
      </c>
      <c r="C143" s="2">
        <f>IF(B143=0,0,VLOOKUP(B143,Datensammler!B:U,3,0))</f>
        <v>0</v>
      </c>
      <c r="D143" s="2">
        <f>IF(B143=0,0,VLOOKUP(B143,Datensammler!B:U,4,0))</f>
        <v>0</v>
      </c>
      <c r="E143" s="2">
        <f>IF(B143=0,0,VLOOKUP(B143,Datensammler!B:U,5,0))</f>
        <v>0</v>
      </c>
      <c r="F143" s="2">
        <f>IF(B143=0,0,VLOOKUP(B143,Datensammler!B:U,6,0))</f>
        <v>0</v>
      </c>
      <c r="G143" s="2">
        <f>IF(B143=0,0,VLOOKUP(B143,Datensammler!B:U,7,0))</f>
        <v>0</v>
      </c>
      <c r="H143" s="2">
        <f>IF(B143=0,0,VLOOKUP(B143,Datensammler!B:U,8,0))</f>
        <v>0</v>
      </c>
      <c r="I143" s="2">
        <f>IF(B143=0,0,VLOOKUP(B143,Datensammler!B:U,9,0))</f>
        <v>0</v>
      </c>
      <c r="J143" s="2">
        <f>IF(B143=0,0,VLOOKUP(B143,Datensammler!B:U,10,0))</f>
        <v>0</v>
      </c>
      <c r="K143" s="2">
        <f>IF(B143=0,0,VLOOKUP(B143,Datensammler!B:U,11,0))</f>
        <v>0</v>
      </c>
      <c r="L143" s="2">
        <f>IF(B143=0,0,VLOOKUP(B143,Datensammler!B:U,12,0))</f>
        <v>0</v>
      </c>
      <c r="M143" s="2">
        <f>IF(B143=0,0,VLOOKUP(B143,Datensammler!B:U,13,0))</f>
        <v>0</v>
      </c>
      <c r="N143" s="2">
        <f>IF(B143=0,0,VLOOKUP(B143,Datensammler!B:U,14,0))</f>
        <v>0</v>
      </c>
      <c r="O143" s="2">
        <f>IF(B143=0,0,VLOOKUP(B143,Datensammler!B:U,15,0))</f>
        <v>0</v>
      </c>
      <c r="P143" s="2">
        <f>IF(B143=0,0,VLOOKUP(B143,Datensammler!B:U,16,0))</f>
        <v>0</v>
      </c>
      <c r="Q143" s="2">
        <f>IF(B143=0,0,VLOOKUP(B143,Datensammler!B:U,17,0))</f>
        <v>0</v>
      </c>
      <c r="R143" s="2">
        <f>IF(B143=0,0,VLOOKUP(B143,Datensammler!B:U,18,0))</f>
        <v>0</v>
      </c>
      <c r="S143" s="2">
        <f>IF(B143=0,0,VLOOKUP(B143,Datensammler!B:U,19,0))</f>
        <v>0</v>
      </c>
      <c r="T143" s="2">
        <f>IF(B143=0,0,VLOOKUP(B143,Datensammler!B:U,20,0))</f>
        <v>0</v>
      </c>
      <c r="U143" s="50">
        <f t="shared" ref="U143:AL143" si="146">C143</f>
        <v>0</v>
      </c>
      <c r="V143" s="50">
        <f t="shared" si="146"/>
        <v>0</v>
      </c>
      <c r="W143" s="50">
        <f t="shared" si="146"/>
        <v>0</v>
      </c>
      <c r="X143" s="50">
        <f t="shared" si="146"/>
        <v>0</v>
      </c>
      <c r="Y143" s="50">
        <f t="shared" si="146"/>
        <v>0</v>
      </c>
      <c r="Z143" s="50">
        <f t="shared" si="146"/>
        <v>0</v>
      </c>
      <c r="AA143" s="50">
        <f t="shared" si="146"/>
        <v>0</v>
      </c>
      <c r="AB143" s="50">
        <f t="shared" si="146"/>
        <v>0</v>
      </c>
      <c r="AC143" s="50">
        <f t="shared" si="146"/>
        <v>0</v>
      </c>
      <c r="AD143" s="50">
        <f t="shared" si="146"/>
        <v>0</v>
      </c>
      <c r="AE143" s="50">
        <f t="shared" si="146"/>
        <v>0</v>
      </c>
      <c r="AF143" s="50">
        <f t="shared" si="146"/>
        <v>0</v>
      </c>
      <c r="AG143" s="50">
        <f t="shared" si="146"/>
        <v>0</v>
      </c>
      <c r="AH143" s="50">
        <f t="shared" si="146"/>
        <v>0</v>
      </c>
      <c r="AI143" s="50">
        <f t="shared" si="146"/>
        <v>0</v>
      </c>
      <c r="AJ143" s="50">
        <f t="shared" si="146"/>
        <v>0</v>
      </c>
      <c r="AK143" s="50">
        <f t="shared" si="146"/>
        <v>0</v>
      </c>
      <c r="AL143" s="50">
        <f t="shared" si="146"/>
        <v>0</v>
      </c>
      <c r="AP143" s="2">
        <f t="shared" si="3"/>
        <v>0</v>
      </c>
      <c r="AQ143" s="2">
        <f>IFERROR(__xludf.DUMMYFUNCTION("IF(V143&gt;0,MIN(FILTER(U143:AL143, U143:AL143&lt;&gt;0)),0)"),0.0)</f>
        <v>0</v>
      </c>
      <c r="AS143" s="2">
        <f t="shared" si="4"/>
        <v>0</v>
      </c>
      <c r="AU143" s="2">
        <f t="shared" si="5"/>
        <v>0</v>
      </c>
      <c r="AW143" s="2">
        <f t="shared" si="6"/>
        <v>0</v>
      </c>
      <c r="AX143" s="2">
        <f>IFERROR(__xludf.DUMMYFUNCTION("IF(X143&gt;0,SMALL(FILTER(U143:AL143, U143:AL143&lt;&gt;0), 2),0)"),0.0)</f>
        <v>0</v>
      </c>
      <c r="AY143" s="2">
        <f t="shared" si="7"/>
        <v>0</v>
      </c>
      <c r="AZ143" s="2">
        <f t="shared" si="8"/>
        <v>0</v>
      </c>
      <c r="BA143" s="2">
        <f>IFERROR(__xludf.DUMMYFUNCTION("IF(Y143&gt;0,SMALL(FILTER(U143:AL143, U143:AL143&lt;&gt;0), 3),0)"),0.0)</f>
        <v>0</v>
      </c>
      <c r="BB143" s="2">
        <f t="shared" si="9"/>
        <v>0</v>
      </c>
    </row>
    <row r="144">
      <c r="A144" s="2">
        <f>Spieler!A145</f>
        <v>140</v>
      </c>
      <c r="B144" s="2" t="str">
        <f>VLOOKUP(A144,Spieler!A:F,2,0)</f>
        <v/>
      </c>
      <c r="C144" s="2">
        <f>IF(B144=0,0,VLOOKUP(B144,Datensammler!B:U,3,0))</f>
        <v>0</v>
      </c>
      <c r="D144" s="2">
        <f>IF(B144=0,0,VLOOKUP(B144,Datensammler!B:U,4,0))</f>
        <v>0</v>
      </c>
      <c r="E144" s="2">
        <f>IF(B144=0,0,VLOOKUP(B144,Datensammler!B:U,5,0))</f>
        <v>0</v>
      </c>
      <c r="F144" s="2">
        <f>IF(B144=0,0,VLOOKUP(B144,Datensammler!B:U,6,0))</f>
        <v>0</v>
      </c>
      <c r="G144" s="2">
        <f>IF(B144=0,0,VLOOKUP(B144,Datensammler!B:U,7,0))</f>
        <v>0</v>
      </c>
      <c r="H144" s="2">
        <f>IF(B144=0,0,VLOOKUP(B144,Datensammler!B:U,8,0))</f>
        <v>0</v>
      </c>
      <c r="I144" s="2">
        <f>IF(B144=0,0,VLOOKUP(B144,Datensammler!B:U,9,0))</f>
        <v>0</v>
      </c>
      <c r="J144" s="2">
        <f>IF(B144=0,0,VLOOKUP(B144,Datensammler!B:U,10,0))</f>
        <v>0</v>
      </c>
      <c r="K144" s="2">
        <f>IF(B144=0,0,VLOOKUP(B144,Datensammler!B:U,11,0))</f>
        <v>0</v>
      </c>
      <c r="L144" s="2">
        <f>IF(B144=0,0,VLOOKUP(B144,Datensammler!B:U,12,0))</f>
        <v>0</v>
      </c>
      <c r="M144" s="2">
        <f>IF(B144=0,0,VLOOKUP(B144,Datensammler!B:U,13,0))</f>
        <v>0</v>
      </c>
      <c r="N144" s="2">
        <f>IF(B144=0,0,VLOOKUP(B144,Datensammler!B:U,14,0))</f>
        <v>0</v>
      </c>
      <c r="O144" s="2">
        <f>IF(B144=0,0,VLOOKUP(B144,Datensammler!B:U,15,0))</f>
        <v>0</v>
      </c>
      <c r="P144" s="2">
        <f>IF(B144=0,0,VLOOKUP(B144,Datensammler!B:U,16,0))</f>
        <v>0</v>
      </c>
      <c r="Q144" s="2">
        <f>IF(B144=0,0,VLOOKUP(B144,Datensammler!B:U,17,0))</f>
        <v>0</v>
      </c>
      <c r="R144" s="2">
        <f>IF(B144=0,0,VLOOKUP(B144,Datensammler!B:U,18,0))</f>
        <v>0</v>
      </c>
      <c r="S144" s="2">
        <f>IF(B144=0,0,VLOOKUP(B144,Datensammler!B:U,19,0))</f>
        <v>0</v>
      </c>
      <c r="T144" s="2">
        <f>IF(B144=0,0,VLOOKUP(B144,Datensammler!B:U,20,0))</f>
        <v>0</v>
      </c>
      <c r="U144" s="50">
        <f t="shared" ref="U144:AL144" si="147">C144</f>
        <v>0</v>
      </c>
      <c r="V144" s="50">
        <f t="shared" si="147"/>
        <v>0</v>
      </c>
      <c r="W144" s="50">
        <f t="shared" si="147"/>
        <v>0</v>
      </c>
      <c r="X144" s="50">
        <f t="shared" si="147"/>
        <v>0</v>
      </c>
      <c r="Y144" s="50">
        <f t="shared" si="147"/>
        <v>0</v>
      </c>
      <c r="Z144" s="50">
        <f t="shared" si="147"/>
        <v>0</v>
      </c>
      <c r="AA144" s="50">
        <f t="shared" si="147"/>
        <v>0</v>
      </c>
      <c r="AB144" s="50">
        <f t="shared" si="147"/>
        <v>0</v>
      </c>
      <c r="AC144" s="50">
        <f t="shared" si="147"/>
        <v>0</v>
      </c>
      <c r="AD144" s="50">
        <f t="shared" si="147"/>
        <v>0</v>
      </c>
      <c r="AE144" s="50">
        <f t="shared" si="147"/>
        <v>0</v>
      </c>
      <c r="AF144" s="50">
        <f t="shared" si="147"/>
        <v>0</v>
      </c>
      <c r="AG144" s="50">
        <f t="shared" si="147"/>
        <v>0</v>
      </c>
      <c r="AH144" s="50">
        <f t="shared" si="147"/>
        <v>0</v>
      </c>
      <c r="AI144" s="50">
        <f t="shared" si="147"/>
        <v>0</v>
      </c>
      <c r="AJ144" s="50">
        <f t="shared" si="147"/>
        <v>0</v>
      </c>
      <c r="AK144" s="50">
        <f t="shared" si="147"/>
        <v>0</v>
      </c>
      <c r="AL144" s="50">
        <f t="shared" si="147"/>
        <v>0</v>
      </c>
      <c r="AP144" s="2">
        <f t="shared" si="3"/>
        <v>0</v>
      </c>
      <c r="AQ144" s="2">
        <f>IFERROR(__xludf.DUMMYFUNCTION("IF(V144&gt;0,MIN(FILTER(U144:AL144, U144:AL144&lt;&gt;0)),0)"),0.0)</f>
        <v>0</v>
      </c>
      <c r="AS144" s="2">
        <f t="shared" si="4"/>
        <v>0</v>
      </c>
      <c r="AU144" s="2">
        <f t="shared" si="5"/>
        <v>0</v>
      </c>
      <c r="AW144" s="2">
        <f t="shared" si="6"/>
        <v>0</v>
      </c>
      <c r="AX144" s="2">
        <f>IFERROR(__xludf.DUMMYFUNCTION("IF(X144&gt;0,SMALL(FILTER(U144:AL144, U144:AL144&lt;&gt;0), 2),0)"),0.0)</f>
        <v>0</v>
      </c>
      <c r="AY144" s="2">
        <f t="shared" si="7"/>
        <v>0</v>
      </c>
      <c r="AZ144" s="2">
        <f t="shared" si="8"/>
        <v>0</v>
      </c>
      <c r="BA144" s="2">
        <f>IFERROR(__xludf.DUMMYFUNCTION("IF(Y144&gt;0,SMALL(FILTER(U144:AL144, U144:AL144&lt;&gt;0), 3),0)"),0.0)</f>
        <v>0</v>
      </c>
      <c r="BB144" s="2">
        <f t="shared" si="9"/>
        <v>0</v>
      </c>
    </row>
    <row r="145">
      <c r="A145" s="2">
        <f>Spieler!A146</f>
        <v>141</v>
      </c>
      <c r="B145" s="2" t="str">
        <f>VLOOKUP(A145,Spieler!A:F,2,0)</f>
        <v/>
      </c>
      <c r="C145" s="2">
        <f>IF(B145=0,0,VLOOKUP(B145,Datensammler!B:U,3,0))</f>
        <v>0</v>
      </c>
      <c r="D145" s="2">
        <f>IF(B145=0,0,VLOOKUP(B145,Datensammler!B:U,4,0))</f>
        <v>0</v>
      </c>
      <c r="E145" s="2">
        <f>IF(B145=0,0,VLOOKUP(B145,Datensammler!B:U,5,0))</f>
        <v>0</v>
      </c>
      <c r="F145" s="2">
        <f>IF(B145=0,0,VLOOKUP(B145,Datensammler!B:U,6,0))</f>
        <v>0</v>
      </c>
      <c r="G145" s="2">
        <f>IF(B145=0,0,VLOOKUP(B145,Datensammler!B:U,7,0))</f>
        <v>0</v>
      </c>
      <c r="H145" s="2">
        <f>IF(B145=0,0,VLOOKUP(B145,Datensammler!B:U,8,0))</f>
        <v>0</v>
      </c>
      <c r="I145" s="2">
        <f>IF(B145=0,0,VLOOKUP(B145,Datensammler!B:U,9,0))</f>
        <v>0</v>
      </c>
      <c r="J145" s="2">
        <f>IF(B145=0,0,VLOOKUP(B145,Datensammler!B:U,10,0))</f>
        <v>0</v>
      </c>
      <c r="K145" s="2">
        <f>IF(B145=0,0,VLOOKUP(B145,Datensammler!B:U,11,0))</f>
        <v>0</v>
      </c>
      <c r="L145" s="2">
        <f>IF(B145=0,0,VLOOKUP(B145,Datensammler!B:U,12,0))</f>
        <v>0</v>
      </c>
      <c r="M145" s="2">
        <f>IF(B145=0,0,VLOOKUP(B145,Datensammler!B:U,13,0))</f>
        <v>0</v>
      </c>
      <c r="N145" s="2">
        <f>IF(B145=0,0,VLOOKUP(B145,Datensammler!B:U,14,0))</f>
        <v>0</v>
      </c>
      <c r="O145" s="2">
        <f>IF(B145=0,0,VLOOKUP(B145,Datensammler!B:U,15,0))</f>
        <v>0</v>
      </c>
      <c r="P145" s="2">
        <f>IF(B145=0,0,VLOOKUP(B145,Datensammler!B:U,16,0))</f>
        <v>0</v>
      </c>
      <c r="Q145" s="2">
        <f>IF(B145=0,0,VLOOKUP(B145,Datensammler!B:U,17,0))</f>
        <v>0</v>
      </c>
      <c r="R145" s="2">
        <f>IF(B145=0,0,VLOOKUP(B145,Datensammler!B:U,18,0))</f>
        <v>0</v>
      </c>
      <c r="S145" s="2">
        <f>IF(B145=0,0,VLOOKUP(B145,Datensammler!B:U,19,0))</f>
        <v>0</v>
      </c>
      <c r="T145" s="2">
        <f>IF(B145=0,0,VLOOKUP(B145,Datensammler!B:U,20,0))</f>
        <v>0</v>
      </c>
      <c r="U145" s="50">
        <f t="shared" ref="U145:AL145" si="148">C145</f>
        <v>0</v>
      </c>
      <c r="V145" s="50">
        <f t="shared" si="148"/>
        <v>0</v>
      </c>
      <c r="W145" s="50">
        <f t="shared" si="148"/>
        <v>0</v>
      </c>
      <c r="X145" s="50">
        <f t="shared" si="148"/>
        <v>0</v>
      </c>
      <c r="Y145" s="50">
        <f t="shared" si="148"/>
        <v>0</v>
      </c>
      <c r="Z145" s="50">
        <f t="shared" si="148"/>
        <v>0</v>
      </c>
      <c r="AA145" s="50">
        <f t="shared" si="148"/>
        <v>0</v>
      </c>
      <c r="AB145" s="50">
        <f t="shared" si="148"/>
        <v>0</v>
      </c>
      <c r="AC145" s="50">
        <f t="shared" si="148"/>
        <v>0</v>
      </c>
      <c r="AD145" s="50">
        <f t="shared" si="148"/>
        <v>0</v>
      </c>
      <c r="AE145" s="50">
        <f t="shared" si="148"/>
        <v>0</v>
      </c>
      <c r="AF145" s="50">
        <f t="shared" si="148"/>
        <v>0</v>
      </c>
      <c r="AG145" s="50">
        <f t="shared" si="148"/>
        <v>0</v>
      </c>
      <c r="AH145" s="50">
        <f t="shared" si="148"/>
        <v>0</v>
      </c>
      <c r="AI145" s="50">
        <f t="shared" si="148"/>
        <v>0</v>
      </c>
      <c r="AJ145" s="50">
        <f t="shared" si="148"/>
        <v>0</v>
      </c>
      <c r="AK145" s="50">
        <f t="shared" si="148"/>
        <v>0</v>
      </c>
      <c r="AL145" s="50">
        <f t="shared" si="148"/>
        <v>0</v>
      </c>
      <c r="AP145" s="2">
        <f t="shared" si="3"/>
        <v>0</v>
      </c>
      <c r="AQ145" s="2">
        <f>IFERROR(__xludf.DUMMYFUNCTION("IF(V145&gt;0,MIN(FILTER(U145:AL145, U145:AL145&lt;&gt;0)),0)"),0.0)</f>
        <v>0</v>
      </c>
      <c r="AS145" s="2">
        <f t="shared" si="4"/>
        <v>0</v>
      </c>
      <c r="AU145" s="2">
        <f t="shared" si="5"/>
        <v>0</v>
      </c>
      <c r="AW145" s="2">
        <f t="shared" si="6"/>
        <v>0</v>
      </c>
      <c r="AX145" s="2">
        <f>IFERROR(__xludf.DUMMYFUNCTION("IF(X145&gt;0,SMALL(FILTER(U145:AL145, U145:AL145&lt;&gt;0), 2),0)"),0.0)</f>
        <v>0</v>
      </c>
      <c r="AY145" s="2">
        <f t="shared" si="7"/>
        <v>0</v>
      </c>
      <c r="AZ145" s="2">
        <f t="shared" si="8"/>
        <v>0</v>
      </c>
      <c r="BA145" s="2">
        <f>IFERROR(__xludf.DUMMYFUNCTION("IF(Y145&gt;0,SMALL(FILTER(U145:AL145, U145:AL145&lt;&gt;0), 3),0)"),0.0)</f>
        <v>0</v>
      </c>
      <c r="BB145" s="2">
        <f t="shared" si="9"/>
        <v>0</v>
      </c>
    </row>
    <row r="146">
      <c r="A146" s="2">
        <f>Spieler!A147</f>
        <v>142</v>
      </c>
      <c r="B146" s="2" t="str">
        <f>VLOOKUP(A146,Spieler!A:F,2,0)</f>
        <v/>
      </c>
      <c r="C146" s="2">
        <f>IF(B146=0,0,VLOOKUP(B146,Datensammler!B:U,3,0))</f>
        <v>0</v>
      </c>
      <c r="D146" s="2">
        <f>IF(B146=0,0,VLOOKUP(B146,Datensammler!B:U,4,0))</f>
        <v>0</v>
      </c>
      <c r="E146" s="2">
        <f>IF(B146=0,0,VLOOKUP(B146,Datensammler!B:U,5,0))</f>
        <v>0</v>
      </c>
      <c r="F146" s="2">
        <f>IF(B146=0,0,VLOOKUP(B146,Datensammler!B:U,6,0))</f>
        <v>0</v>
      </c>
      <c r="G146" s="2">
        <f>IF(B146=0,0,VLOOKUP(B146,Datensammler!B:U,7,0))</f>
        <v>0</v>
      </c>
      <c r="H146" s="2">
        <f>IF(B146=0,0,VLOOKUP(B146,Datensammler!B:U,8,0))</f>
        <v>0</v>
      </c>
      <c r="I146" s="2">
        <f>IF(B146=0,0,VLOOKUP(B146,Datensammler!B:U,9,0))</f>
        <v>0</v>
      </c>
      <c r="J146" s="2">
        <f>IF(B146=0,0,VLOOKUP(B146,Datensammler!B:U,10,0))</f>
        <v>0</v>
      </c>
      <c r="K146" s="2">
        <f>IF(B146=0,0,VLOOKUP(B146,Datensammler!B:U,11,0))</f>
        <v>0</v>
      </c>
      <c r="L146" s="2">
        <f>IF(B146=0,0,VLOOKUP(B146,Datensammler!B:U,12,0))</f>
        <v>0</v>
      </c>
      <c r="M146" s="2">
        <f>IF(B146=0,0,VLOOKUP(B146,Datensammler!B:U,13,0))</f>
        <v>0</v>
      </c>
      <c r="N146" s="2">
        <f>IF(B146=0,0,VLOOKUP(B146,Datensammler!B:U,14,0))</f>
        <v>0</v>
      </c>
      <c r="O146" s="2">
        <f>IF(B146=0,0,VLOOKUP(B146,Datensammler!B:U,15,0))</f>
        <v>0</v>
      </c>
      <c r="P146" s="2">
        <f>IF(B146=0,0,VLOOKUP(B146,Datensammler!B:U,16,0))</f>
        <v>0</v>
      </c>
      <c r="Q146" s="2">
        <f>IF(B146=0,0,VLOOKUP(B146,Datensammler!B:U,17,0))</f>
        <v>0</v>
      </c>
      <c r="R146" s="2">
        <f>IF(B146=0,0,VLOOKUP(B146,Datensammler!B:U,18,0))</f>
        <v>0</v>
      </c>
      <c r="S146" s="2">
        <f>IF(B146=0,0,VLOOKUP(B146,Datensammler!B:U,19,0))</f>
        <v>0</v>
      </c>
      <c r="T146" s="2">
        <f>IF(B146=0,0,VLOOKUP(B146,Datensammler!B:U,20,0))</f>
        <v>0</v>
      </c>
      <c r="U146" s="50">
        <f t="shared" ref="U146:AL146" si="149">C146</f>
        <v>0</v>
      </c>
      <c r="V146" s="50">
        <f t="shared" si="149"/>
        <v>0</v>
      </c>
      <c r="W146" s="50">
        <f t="shared" si="149"/>
        <v>0</v>
      </c>
      <c r="X146" s="50">
        <f t="shared" si="149"/>
        <v>0</v>
      </c>
      <c r="Y146" s="50">
        <f t="shared" si="149"/>
        <v>0</v>
      </c>
      <c r="Z146" s="50">
        <f t="shared" si="149"/>
        <v>0</v>
      </c>
      <c r="AA146" s="50">
        <f t="shared" si="149"/>
        <v>0</v>
      </c>
      <c r="AB146" s="50">
        <f t="shared" si="149"/>
        <v>0</v>
      </c>
      <c r="AC146" s="50">
        <f t="shared" si="149"/>
        <v>0</v>
      </c>
      <c r="AD146" s="50">
        <f t="shared" si="149"/>
        <v>0</v>
      </c>
      <c r="AE146" s="50">
        <f t="shared" si="149"/>
        <v>0</v>
      </c>
      <c r="AF146" s="50">
        <f t="shared" si="149"/>
        <v>0</v>
      </c>
      <c r="AG146" s="50">
        <f t="shared" si="149"/>
        <v>0</v>
      </c>
      <c r="AH146" s="50">
        <f t="shared" si="149"/>
        <v>0</v>
      </c>
      <c r="AI146" s="50">
        <f t="shared" si="149"/>
        <v>0</v>
      </c>
      <c r="AJ146" s="50">
        <f t="shared" si="149"/>
        <v>0</v>
      </c>
      <c r="AK146" s="50">
        <f t="shared" si="149"/>
        <v>0</v>
      </c>
      <c r="AL146" s="50">
        <f t="shared" si="149"/>
        <v>0</v>
      </c>
      <c r="AP146" s="2">
        <f t="shared" si="3"/>
        <v>0</v>
      </c>
      <c r="AQ146" s="2">
        <f>IFERROR(__xludf.DUMMYFUNCTION("IF(V146&gt;0,MIN(FILTER(U146:AL146, U146:AL146&lt;&gt;0)),0)"),0.0)</f>
        <v>0</v>
      </c>
      <c r="AS146" s="2">
        <f t="shared" si="4"/>
        <v>0</v>
      </c>
      <c r="AU146" s="2">
        <f t="shared" si="5"/>
        <v>0</v>
      </c>
      <c r="AW146" s="2">
        <f t="shared" si="6"/>
        <v>0</v>
      </c>
      <c r="AX146" s="2">
        <f>IFERROR(__xludf.DUMMYFUNCTION("IF(X146&gt;0,SMALL(FILTER(U146:AL146, U146:AL146&lt;&gt;0), 2),0)"),0.0)</f>
        <v>0</v>
      </c>
      <c r="AY146" s="2">
        <f t="shared" si="7"/>
        <v>0</v>
      </c>
      <c r="AZ146" s="2">
        <f t="shared" si="8"/>
        <v>0</v>
      </c>
      <c r="BA146" s="2">
        <f>IFERROR(__xludf.DUMMYFUNCTION("IF(Y146&gt;0,SMALL(FILTER(U146:AL146, U146:AL146&lt;&gt;0), 3),0)"),0.0)</f>
        <v>0</v>
      </c>
      <c r="BB146" s="2">
        <f t="shared" si="9"/>
        <v>0</v>
      </c>
    </row>
    <row r="147">
      <c r="A147" s="2">
        <f>Spieler!A148</f>
        <v>143</v>
      </c>
      <c r="B147" s="2" t="str">
        <f>VLOOKUP(A147,Spieler!A:F,2,0)</f>
        <v/>
      </c>
      <c r="C147" s="2">
        <f>IF(B147=0,0,VLOOKUP(B147,Datensammler!B:U,3,0))</f>
        <v>0</v>
      </c>
      <c r="D147" s="2">
        <f>IF(B147=0,0,VLOOKUP(B147,Datensammler!B:U,4,0))</f>
        <v>0</v>
      </c>
      <c r="E147" s="2">
        <f>IF(B147=0,0,VLOOKUP(B147,Datensammler!B:U,5,0))</f>
        <v>0</v>
      </c>
      <c r="F147" s="2">
        <f>IF(B147=0,0,VLOOKUP(B147,Datensammler!B:U,6,0))</f>
        <v>0</v>
      </c>
      <c r="G147" s="2">
        <f>IF(B147=0,0,VLOOKUP(B147,Datensammler!B:U,7,0))</f>
        <v>0</v>
      </c>
      <c r="H147" s="2">
        <f>IF(B147=0,0,VLOOKUP(B147,Datensammler!B:U,8,0))</f>
        <v>0</v>
      </c>
      <c r="I147" s="2">
        <f>IF(B147=0,0,VLOOKUP(B147,Datensammler!B:U,9,0))</f>
        <v>0</v>
      </c>
      <c r="J147" s="2">
        <f>IF(B147=0,0,VLOOKUP(B147,Datensammler!B:U,10,0))</f>
        <v>0</v>
      </c>
      <c r="K147" s="2">
        <f>IF(B147=0,0,VLOOKUP(B147,Datensammler!B:U,11,0))</f>
        <v>0</v>
      </c>
      <c r="L147" s="2">
        <f>IF(B147=0,0,VLOOKUP(B147,Datensammler!B:U,12,0))</f>
        <v>0</v>
      </c>
      <c r="M147" s="2">
        <f>IF(B147=0,0,VLOOKUP(B147,Datensammler!B:U,13,0))</f>
        <v>0</v>
      </c>
      <c r="N147" s="2">
        <f>IF(B147=0,0,VLOOKUP(B147,Datensammler!B:U,14,0))</f>
        <v>0</v>
      </c>
      <c r="O147" s="2">
        <f>IF(B147=0,0,VLOOKUP(B147,Datensammler!B:U,15,0))</f>
        <v>0</v>
      </c>
      <c r="P147" s="2">
        <f>IF(B147=0,0,VLOOKUP(B147,Datensammler!B:U,16,0))</f>
        <v>0</v>
      </c>
      <c r="Q147" s="2">
        <f>IF(B147=0,0,VLOOKUP(B147,Datensammler!B:U,17,0))</f>
        <v>0</v>
      </c>
      <c r="R147" s="2">
        <f>IF(B147=0,0,VLOOKUP(B147,Datensammler!B:U,18,0))</f>
        <v>0</v>
      </c>
      <c r="S147" s="2">
        <f>IF(B147=0,0,VLOOKUP(B147,Datensammler!B:U,19,0))</f>
        <v>0</v>
      </c>
      <c r="T147" s="2">
        <f>IF(B147=0,0,VLOOKUP(B147,Datensammler!B:U,20,0))</f>
        <v>0</v>
      </c>
      <c r="U147" s="50">
        <f t="shared" ref="U147:AL147" si="150">C147</f>
        <v>0</v>
      </c>
      <c r="V147" s="50">
        <f t="shared" si="150"/>
        <v>0</v>
      </c>
      <c r="W147" s="50">
        <f t="shared" si="150"/>
        <v>0</v>
      </c>
      <c r="X147" s="50">
        <f t="shared" si="150"/>
        <v>0</v>
      </c>
      <c r="Y147" s="50">
        <f t="shared" si="150"/>
        <v>0</v>
      </c>
      <c r="Z147" s="50">
        <f t="shared" si="150"/>
        <v>0</v>
      </c>
      <c r="AA147" s="50">
        <f t="shared" si="150"/>
        <v>0</v>
      </c>
      <c r="AB147" s="50">
        <f t="shared" si="150"/>
        <v>0</v>
      </c>
      <c r="AC147" s="50">
        <f t="shared" si="150"/>
        <v>0</v>
      </c>
      <c r="AD147" s="50">
        <f t="shared" si="150"/>
        <v>0</v>
      </c>
      <c r="AE147" s="50">
        <f t="shared" si="150"/>
        <v>0</v>
      </c>
      <c r="AF147" s="50">
        <f t="shared" si="150"/>
        <v>0</v>
      </c>
      <c r="AG147" s="50">
        <f t="shared" si="150"/>
        <v>0</v>
      </c>
      <c r="AH147" s="50">
        <f t="shared" si="150"/>
        <v>0</v>
      </c>
      <c r="AI147" s="50">
        <f t="shared" si="150"/>
        <v>0</v>
      </c>
      <c r="AJ147" s="50">
        <f t="shared" si="150"/>
        <v>0</v>
      </c>
      <c r="AK147" s="50">
        <f t="shared" si="150"/>
        <v>0</v>
      </c>
      <c r="AL147" s="50">
        <f t="shared" si="150"/>
        <v>0</v>
      </c>
      <c r="AP147" s="2">
        <f t="shared" si="3"/>
        <v>0</v>
      </c>
      <c r="AQ147" s="2">
        <f>IFERROR(__xludf.DUMMYFUNCTION("IF(V147&gt;0,MIN(FILTER(U147:AL147, U147:AL147&lt;&gt;0)),0)"),0.0)</f>
        <v>0</v>
      </c>
      <c r="AS147" s="2">
        <f t="shared" si="4"/>
        <v>0</v>
      </c>
      <c r="AU147" s="2">
        <f t="shared" si="5"/>
        <v>0</v>
      </c>
      <c r="AW147" s="2">
        <f t="shared" si="6"/>
        <v>0</v>
      </c>
      <c r="AX147" s="2">
        <f>IFERROR(__xludf.DUMMYFUNCTION("IF(X147&gt;0,SMALL(FILTER(U147:AL147, U147:AL147&lt;&gt;0), 2),0)"),0.0)</f>
        <v>0</v>
      </c>
      <c r="AY147" s="2">
        <f t="shared" si="7"/>
        <v>0</v>
      </c>
      <c r="AZ147" s="2">
        <f t="shared" si="8"/>
        <v>0</v>
      </c>
      <c r="BA147" s="2">
        <f>IFERROR(__xludf.DUMMYFUNCTION("IF(Y147&gt;0,SMALL(FILTER(U147:AL147, U147:AL147&lt;&gt;0), 3),0)"),0.0)</f>
        <v>0</v>
      </c>
      <c r="BB147" s="2">
        <f t="shared" si="9"/>
        <v>0</v>
      </c>
    </row>
    <row r="148">
      <c r="A148" s="2">
        <f>Spieler!A149</f>
        <v>144</v>
      </c>
      <c r="B148" s="2" t="str">
        <f>VLOOKUP(A148,Spieler!A:F,2,0)</f>
        <v/>
      </c>
      <c r="C148" s="2">
        <f>IF(B148=0,0,VLOOKUP(B148,Datensammler!B:U,3,0))</f>
        <v>0</v>
      </c>
      <c r="D148" s="2">
        <f>IF(B148=0,0,VLOOKUP(B148,Datensammler!B:U,4,0))</f>
        <v>0</v>
      </c>
      <c r="E148" s="2">
        <f>IF(B148=0,0,VLOOKUP(B148,Datensammler!B:U,5,0))</f>
        <v>0</v>
      </c>
      <c r="F148" s="2">
        <f>IF(B148=0,0,VLOOKUP(B148,Datensammler!B:U,6,0))</f>
        <v>0</v>
      </c>
      <c r="G148" s="2">
        <f>IF(B148=0,0,VLOOKUP(B148,Datensammler!B:U,7,0))</f>
        <v>0</v>
      </c>
      <c r="H148" s="2">
        <f>IF(B148=0,0,VLOOKUP(B148,Datensammler!B:U,8,0))</f>
        <v>0</v>
      </c>
      <c r="I148" s="2">
        <f>IF(B148=0,0,VLOOKUP(B148,Datensammler!B:U,9,0))</f>
        <v>0</v>
      </c>
      <c r="J148" s="2">
        <f>IF(B148=0,0,VLOOKUP(B148,Datensammler!B:U,10,0))</f>
        <v>0</v>
      </c>
      <c r="K148" s="2">
        <f>IF(B148=0,0,VLOOKUP(B148,Datensammler!B:U,11,0))</f>
        <v>0</v>
      </c>
      <c r="L148" s="2">
        <f>IF(B148=0,0,VLOOKUP(B148,Datensammler!B:U,12,0))</f>
        <v>0</v>
      </c>
      <c r="M148" s="2">
        <f>IF(B148=0,0,VLOOKUP(B148,Datensammler!B:U,13,0))</f>
        <v>0</v>
      </c>
      <c r="N148" s="2">
        <f>IF(B148=0,0,VLOOKUP(B148,Datensammler!B:U,14,0))</f>
        <v>0</v>
      </c>
      <c r="O148" s="2">
        <f>IF(B148=0,0,VLOOKUP(B148,Datensammler!B:U,15,0))</f>
        <v>0</v>
      </c>
      <c r="P148" s="2">
        <f>IF(B148=0,0,VLOOKUP(B148,Datensammler!B:U,16,0))</f>
        <v>0</v>
      </c>
      <c r="Q148" s="2">
        <f>IF(B148=0,0,VLOOKUP(B148,Datensammler!B:U,17,0))</f>
        <v>0</v>
      </c>
      <c r="R148" s="2">
        <f>IF(B148=0,0,VLOOKUP(B148,Datensammler!B:U,18,0))</f>
        <v>0</v>
      </c>
      <c r="S148" s="2">
        <f>IF(B148=0,0,VLOOKUP(B148,Datensammler!B:U,19,0))</f>
        <v>0</v>
      </c>
      <c r="T148" s="2">
        <f>IF(B148=0,0,VLOOKUP(B148,Datensammler!B:U,20,0))</f>
        <v>0</v>
      </c>
      <c r="U148" s="50">
        <f t="shared" ref="U148:AL148" si="151">C148</f>
        <v>0</v>
      </c>
      <c r="V148" s="50">
        <f t="shared" si="151"/>
        <v>0</v>
      </c>
      <c r="W148" s="50">
        <f t="shared" si="151"/>
        <v>0</v>
      </c>
      <c r="X148" s="50">
        <f t="shared" si="151"/>
        <v>0</v>
      </c>
      <c r="Y148" s="50">
        <f t="shared" si="151"/>
        <v>0</v>
      </c>
      <c r="Z148" s="50">
        <f t="shared" si="151"/>
        <v>0</v>
      </c>
      <c r="AA148" s="50">
        <f t="shared" si="151"/>
        <v>0</v>
      </c>
      <c r="AB148" s="50">
        <f t="shared" si="151"/>
        <v>0</v>
      </c>
      <c r="AC148" s="50">
        <f t="shared" si="151"/>
        <v>0</v>
      </c>
      <c r="AD148" s="50">
        <f t="shared" si="151"/>
        <v>0</v>
      </c>
      <c r="AE148" s="50">
        <f t="shared" si="151"/>
        <v>0</v>
      </c>
      <c r="AF148" s="50">
        <f t="shared" si="151"/>
        <v>0</v>
      </c>
      <c r="AG148" s="50">
        <f t="shared" si="151"/>
        <v>0</v>
      </c>
      <c r="AH148" s="50">
        <f t="shared" si="151"/>
        <v>0</v>
      </c>
      <c r="AI148" s="50">
        <f t="shared" si="151"/>
        <v>0</v>
      </c>
      <c r="AJ148" s="50">
        <f t="shared" si="151"/>
        <v>0</v>
      </c>
      <c r="AK148" s="50">
        <f t="shared" si="151"/>
        <v>0</v>
      </c>
      <c r="AL148" s="50">
        <f t="shared" si="151"/>
        <v>0</v>
      </c>
      <c r="AP148" s="2">
        <f t="shared" si="3"/>
        <v>0</v>
      </c>
      <c r="AQ148" s="2">
        <f>IFERROR(__xludf.DUMMYFUNCTION("IF(V148&gt;0,MIN(FILTER(U148:AL148, U148:AL148&lt;&gt;0)),0)"),0.0)</f>
        <v>0</v>
      </c>
      <c r="AS148" s="2">
        <f t="shared" si="4"/>
        <v>0</v>
      </c>
      <c r="AU148" s="2">
        <f t="shared" si="5"/>
        <v>0</v>
      </c>
      <c r="AW148" s="2">
        <f t="shared" si="6"/>
        <v>0</v>
      </c>
      <c r="AX148" s="2">
        <f>IFERROR(__xludf.DUMMYFUNCTION("IF(X148&gt;0,SMALL(FILTER(U148:AL148, U148:AL148&lt;&gt;0), 2),0)"),0.0)</f>
        <v>0</v>
      </c>
      <c r="AY148" s="2">
        <f t="shared" si="7"/>
        <v>0</v>
      </c>
      <c r="AZ148" s="2">
        <f t="shared" si="8"/>
        <v>0</v>
      </c>
      <c r="BA148" s="2">
        <f>IFERROR(__xludf.DUMMYFUNCTION("IF(Y148&gt;0,SMALL(FILTER(U148:AL148, U148:AL148&lt;&gt;0), 3),0)"),0.0)</f>
        <v>0</v>
      </c>
      <c r="BB148" s="2">
        <f t="shared" si="9"/>
        <v>0</v>
      </c>
    </row>
    <row r="149">
      <c r="A149" s="2">
        <f>Spieler!A150</f>
        <v>145</v>
      </c>
      <c r="B149" s="2" t="str">
        <f>VLOOKUP(A149,Spieler!A:F,2,0)</f>
        <v/>
      </c>
      <c r="C149" s="2">
        <f>IF(B149=0,0,VLOOKUP(B149,Datensammler!B:U,3,0))</f>
        <v>0</v>
      </c>
      <c r="D149" s="2">
        <f>IF(B149=0,0,VLOOKUP(B149,Datensammler!B:U,4,0))</f>
        <v>0</v>
      </c>
      <c r="E149" s="2">
        <f>IF(B149=0,0,VLOOKUP(B149,Datensammler!B:U,5,0))</f>
        <v>0</v>
      </c>
      <c r="F149" s="2">
        <f>IF(B149=0,0,VLOOKUP(B149,Datensammler!B:U,6,0))</f>
        <v>0</v>
      </c>
      <c r="G149" s="2">
        <f>IF(B149=0,0,VLOOKUP(B149,Datensammler!B:U,7,0))</f>
        <v>0</v>
      </c>
      <c r="H149" s="2">
        <f>IF(B149=0,0,VLOOKUP(B149,Datensammler!B:U,8,0))</f>
        <v>0</v>
      </c>
      <c r="I149" s="2">
        <f>IF(B149=0,0,VLOOKUP(B149,Datensammler!B:U,9,0))</f>
        <v>0</v>
      </c>
      <c r="J149" s="2">
        <f>IF(B149=0,0,VLOOKUP(B149,Datensammler!B:U,10,0))</f>
        <v>0</v>
      </c>
      <c r="K149" s="2">
        <f>IF(B149=0,0,VLOOKUP(B149,Datensammler!B:U,11,0))</f>
        <v>0</v>
      </c>
      <c r="L149" s="2">
        <f>IF(B149=0,0,VLOOKUP(B149,Datensammler!B:U,12,0))</f>
        <v>0</v>
      </c>
      <c r="M149" s="2">
        <f>IF(B149=0,0,VLOOKUP(B149,Datensammler!B:U,13,0))</f>
        <v>0</v>
      </c>
      <c r="N149" s="2">
        <f>IF(B149=0,0,VLOOKUP(B149,Datensammler!B:U,14,0))</f>
        <v>0</v>
      </c>
      <c r="O149" s="2">
        <f>IF(B149=0,0,VLOOKUP(B149,Datensammler!B:U,15,0))</f>
        <v>0</v>
      </c>
      <c r="P149" s="2">
        <f>IF(B149=0,0,VLOOKUP(B149,Datensammler!B:U,16,0))</f>
        <v>0</v>
      </c>
      <c r="Q149" s="2">
        <f>IF(B149=0,0,VLOOKUP(B149,Datensammler!B:U,17,0))</f>
        <v>0</v>
      </c>
      <c r="R149" s="2">
        <f>IF(B149=0,0,VLOOKUP(B149,Datensammler!B:U,18,0))</f>
        <v>0</v>
      </c>
      <c r="S149" s="2">
        <f>IF(B149=0,0,VLOOKUP(B149,Datensammler!B:U,19,0))</f>
        <v>0</v>
      </c>
      <c r="T149" s="2">
        <f>IF(B149=0,0,VLOOKUP(B149,Datensammler!B:U,20,0))</f>
        <v>0</v>
      </c>
      <c r="U149" s="50">
        <f t="shared" ref="U149:AL149" si="152">C149</f>
        <v>0</v>
      </c>
      <c r="V149" s="50">
        <f t="shared" si="152"/>
        <v>0</v>
      </c>
      <c r="W149" s="50">
        <f t="shared" si="152"/>
        <v>0</v>
      </c>
      <c r="X149" s="50">
        <f t="shared" si="152"/>
        <v>0</v>
      </c>
      <c r="Y149" s="50">
        <f t="shared" si="152"/>
        <v>0</v>
      </c>
      <c r="Z149" s="50">
        <f t="shared" si="152"/>
        <v>0</v>
      </c>
      <c r="AA149" s="50">
        <f t="shared" si="152"/>
        <v>0</v>
      </c>
      <c r="AB149" s="50">
        <f t="shared" si="152"/>
        <v>0</v>
      </c>
      <c r="AC149" s="50">
        <f t="shared" si="152"/>
        <v>0</v>
      </c>
      <c r="AD149" s="50">
        <f t="shared" si="152"/>
        <v>0</v>
      </c>
      <c r="AE149" s="50">
        <f t="shared" si="152"/>
        <v>0</v>
      </c>
      <c r="AF149" s="50">
        <f t="shared" si="152"/>
        <v>0</v>
      </c>
      <c r="AG149" s="50">
        <f t="shared" si="152"/>
        <v>0</v>
      </c>
      <c r="AH149" s="50">
        <f t="shared" si="152"/>
        <v>0</v>
      </c>
      <c r="AI149" s="50">
        <f t="shared" si="152"/>
        <v>0</v>
      </c>
      <c r="AJ149" s="50">
        <f t="shared" si="152"/>
        <v>0</v>
      </c>
      <c r="AK149" s="50">
        <f t="shared" si="152"/>
        <v>0</v>
      </c>
      <c r="AL149" s="50">
        <f t="shared" si="152"/>
        <v>0</v>
      </c>
      <c r="AP149" s="2">
        <f t="shared" si="3"/>
        <v>0</v>
      </c>
      <c r="AQ149" s="2">
        <f>IFERROR(__xludf.DUMMYFUNCTION("IF(V149&gt;0,MIN(FILTER(U149:AL149, U149:AL149&lt;&gt;0)),0)"),0.0)</f>
        <v>0</v>
      </c>
      <c r="AS149" s="2">
        <f t="shared" si="4"/>
        <v>0</v>
      </c>
      <c r="AU149" s="2">
        <f t="shared" si="5"/>
        <v>0</v>
      </c>
      <c r="AW149" s="2">
        <f t="shared" si="6"/>
        <v>0</v>
      </c>
      <c r="AX149" s="2">
        <f>IFERROR(__xludf.DUMMYFUNCTION("IF(X149&gt;0,SMALL(FILTER(U149:AL149, U149:AL149&lt;&gt;0), 2),0)"),0.0)</f>
        <v>0</v>
      </c>
      <c r="AY149" s="2">
        <f t="shared" si="7"/>
        <v>0</v>
      </c>
      <c r="AZ149" s="2">
        <f t="shared" si="8"/>
        <v>0</v>
      </c>
      <c r="BA149" s="2">
        <f>IFERROR(__xludf.DUMMYFUNCTION("IF(Y149&gt;0,SMALL(FILTER(U149:AL149, U149:AL149&lt;&gt;0), 3),0)"),0.0)</f>
        <v>0</v>
      </c>
      <c r="BB149" s="2">
        <f t="shared" si="9"/>
        <v>0</v>
      </c>
    </row>
    <row r="150">
      <c r="A150" s="2">
        <f>Spieler!A151</f>
        <v>146</v>
      </c>
      <c r="B150" s="2" t="str">
        <f>VLOOKUP(A150,Spieler!A:F,2,0)</f>
        <v/>
      </c>
      <c r="C150" s="2">
        <f>IF(B150=0,0,VLOOKUP(B150,Datensammler!B:U,3,0))</f>
        <v>0</v>
      </c>
      <c r="D150" s="2">
        <f>IF(B150=0,0,VLOOKUP(B150,Datensammler!B:U,4,0))</f>
        <v>0</v>
      </c>
      <c r="E150" s="2">
        <f>IF(B150=0,0,VLOOKUP(B150,Datensammler!B:U,5,0))</f>
        <v>0</v>
      </c>
      <c r="F150" s="2">
        <f>IF(B150=0,0,VLOOKUP(B150,Datensammler!B:U,6,0))</f>
        <v>0</v>
      </c>
      <c r="G150" s="2">
        <f>IF(B150=0,0,VLOOKUP(B150,Datensammler!B:U,7,0))</f>
        <v>0</v>
      </c>
      <c r="H150" s="2">
        <f>IF(B150=0,0,VLOOKUP(B150,Datensammler!B:U,8,0))</f>
        <v>0</v>
      </c>
      <c r="I150" s="2">
        <f>IF(B150=0,0,VLOOKUP(B150,Datensammler!B:U,9,0))</f>
        <v>0</v>
      </c>
      <c r="J150" s="2">
        <f>IF(B150=0,0,VLOOKUP(B150,Datensammler!B:U,10,0))</f>
        <v>0</v>
      </c>
      <c r="K150" s="2">
        <f>IF(B150=0,0,VLOOKUP(B150,Datensammler!B:U,11,0))</f>
        <v>0</v>
      </c>
      <c r="L150" s="2">
        <f>IF(B150=0,0,VLOOKUP(B150,Datensammler!B:U,12,0))</f>
        <v>0</v>
      </c>
      <c r="M150" s="2">
        <f>IF(B150=0,0,VLOOKUP(B150,Datensammler!B:U,13,0))</f>
        <v>0</v>
      </c>
      <c r="N150" s="2">
        <f>IF(B150=0,0,VLOOKUP(B150,Datensammler!B:U,14,0))</f>
        <v>0</v>
      </c>
      <c r="O150" s="2">
        <f>IF(B150=0,0,VLOOKUP(B150,Datensammler!B:U,15,0))</f>
        <v>0</v>
      </c>
      <c r="P150" s="2">
        <f>IF(B150=0,0,VLOOKUP(B150,Datensammler!B:U,16,0))</f>
        <v>0</v>
      </c>
      <c r="Q150" s="2">
        <f>IF(B150=0,0,VLOOKUP(B150,Datensammler!B:U,17,0))</f>
        <v>0</v>
      </c>
      <c r="R150" s="2">
        <f>IF(B150=0,0,VLOOKUP(B150,Datensammler!B:U,18,0))</f>
        <v>0</v>
      </c>
      <c r="S150" s="2">
        <f>IF(B150=0,0,VLOOKUP(B150,Datensammler!B:U,19,0))</f>
        <v>0</v>
      </c>
      <c r="T150" s="2">
        <f>IF(B150=0,0,VLOOKUP(B150,Datensammler!B:U,20,0))</f>
        <v>0</v>
      </c>
      <c r="U150" s="50">
        <f t="shared" ref="U150:AL150" si="153">C150</f>
        <v>0</v>
      </c>
      <c r="V150" s="50">
        <f t="shared" si="153"/>
        <v>0</v>
      </c>
      <c r="W150" s="50">
        <f t="shared" si="153"/>
        <v>0</v>
      </c>
      <c r="X150" s="50">
        <f t="shared" si="153"/>
        <v>0</v>
      </c>
      <c r="Y150" s="50">
        <f t="shared" si="153"/>
        <v>0</v>
      </c>
      <c r="Z150" s="50">
        <f t="shared" si="153"/>
        <v>0</v>
      </c>
      <c r="AA150" s="50">
        <f t="shared" si="153"/>
        <v>0</v>
      </c>
      <c r="AB150" s="50">
        <f t="shared" si="153"/>
        <v>0</v>
      </c>
      <c r="AC150" s="50">
        <f t="shared" si="153"/>
        <v>0</v>
      </c>
      <c r="AD150" s="50">
        <f t="shared" si="153"/>
        <v>0</v>
      </c>
      <c r="AE150" s="50">
        <f t="shared" si="153"/>
        <v>0</v>
      </c>
      <c r="AF150" s="50">
        <f t="shared" si="153"/>
        <v>0</v>
      </c>
      <c r="AG150" s="50">
        <f t="shared" si="153"/>
        <v>0</v>
      </c>
      <c r="AH150" s="50">
        <f t="shared" si="153"/>
        <v>0</v>
      </c>
      <c r="AI150" s="50">
        <f t="shared" si="153"/>
        <v>0</v>
      </c>
      <c r="AJ150" s="50">
        <f t="shared" si="153"/>
        <v>0</v>
      </c>
      <c r="AK150" s="50">
        <f t="shared" si="153"/>
        <v>0</v>
      </c>
      <c r="AL150" s="50">
        <f t="shared" si="153"/>
        <v>0</v>
      </c>
      <c r="AP150" s="2">
        <f t="shared" si="3"/>
        <v>0</v>
      </c>
      <c r="AQ150" s="2">
        <f>IFERROR(__xludf.DUMMYFUNCTION("IF(V150&gt;0,MIN(FILTER(U150:AL150, U150:AL150&lt;&gt;0)),0)"),0.0)</f>
        <v>0</v>
      </c>
      <c r="AS150" s="2">
        <f t="shared" si="4"/>
        <v>0</v>
      </c>
      <c r="AU150" s="2">
        <f t="shared" si="5"/>
        <v>0</v>
      </c>
      <c r="AW150" s="2">
        <f t="shared" si="6"/>
        <v>0</v>
      </c>
      <c r="AX150" s="2">
        <f>IFERROR(__xludf.DUMMYFUNCTION("IF(X150&gt;0,SMALL(FILTER(U150:AL150, U150:AL150&lt;&gt;0), 2),0)"),0.0)</f>
        <v>0</v>
      </c>
      <c r="AY150" s="2">
        <f t="shared" si="7"/>
        <v>0</v>
      </c>
      <c r="AZ150" s="2">
        <f t="shared" si="8"/>
        <v>0</v>
      </c>
      <c r="BA150" s="2">
        <f>IFERROR(__xludf.DUMMYFUNCTION("IF(Y150&gt;0,SMALL(FILTER(U150:AL150, U150:AL150&lt;&gt;0), 3),0)"),0.0)</f>
        <v>0</v>
      </c>
      <c r="BB150" s="2">
        <f t="shared" si="9"/>
        <v>0</v>
      </c>
    </row>
    <row r="151">
      <c r="A151" s="2">
        <f>Spieler!A152</f>
        <v>147</v>
      </c>
      <c r="B151" s="2" t="str">
        <f>VLOOKUP(A151,Spieler!A:F,2,0)</f>
        <v/>
      </c>
      <c r="C151" s="2">
        <f>IF(B151=0,0,VLOOKUP(B151,Datensammler!B:U,3,0))</f>
        <v>0</v>
      </c>
      <c r="D151" s="2">
        <f>IF(B151=0,0,VLOOKUP(B151,Datensammler!B:U,4,0))</f>
        <v>0</v>
      </c>
      <c r="E151" s="2">
        <f>IF(B151=0,0,VLOOKUP(B151,Datensammler!B:U,5,0))</f>
        <v>0</v>
      </c>
      <c r="F151" s="2">
        <f>IF(B151=0,0,VLOOKUP(B151,Datensammler!B:U,6,0))</f>
        <v>0</v>
      </c>
      <c r="G151" s="2">
        <f>IF(B151=0,0,VLOOKUP(B151,Datensammler!B:U,7,0))</f>
        <v>0</v>
      </c>
      <c r="H151" s="2">
        <f>IF(B151=0,0,VLOOKUP(B151,Datensammler!B:U,8,0))</f>
        <v>0</v>
      </c>
      <c r="I151" s="2">
        <f>IF(B151=0,0,VLOOKUP(B151,Datensammler!B:U,9,0))</f>
        <v>0</v>
      </c>
      <c r="J151" s="2">
        <f>IF(B151=0,0,VLOOKUP(B151,Datensammler!B:U,10,0))</f>
        <v>0</v>
      </c>
      <c r="K151" s="2">
        <f>IF(B151=0,0,VLOOKUP(B151,Datensammler!B:U,11,0))</f>
        <v>0</v>
      </c>
      <c r="L151" s="2">
        <f>IF(B151=0,0,VLOOKUP(B151,Datensammler!B:U,12,0))</f>
        <v>0</v>
      </c>
      <c r="M151" s="2">
        <f>IF(B151=0,0,VLOOKUP(B151,Datensammler!B:U,13,0))</f>
        <v>0</v>
      </c>
      <c r="N151" s="2">
        <f>IF(B151=0,0,VLOOKUP(B151,Datensammler!B:U,14,0))</f>
        <v>0</v>
      </c>
      <c r="O151" s="2">
        <f>IF(B151=0,0,VLOOKUP(B151,Datensammler!B:U,15,0))</f>
        <v>0</v>
      </c>
      <c r="P151" s="2">
        <f>IF(B151=0,0,VLOOKUP(B151,Datensammler!B:U,16,0))</f>
        <v>0</v>
      </c>
      <c r="Q151" s="2">
        <f>IF(B151=0,0,VLOOKUP(B151,Datensammler!B:U,17,0))</f>
        <v>0</v>
      </c>
      <c r="R151" s="2">
        <f>IF(B151=0,0,VLOOKUP(B151,Datensammler!B:U,18,0))</f>
        <v>0</v>
      </c>
      <c r="S151" s="2">
        <f>IF(B151=0,0,VLOOKUP(B151,Datensammler!B:U,19,0))</f>
        <v>0</v>
      </c>
      <c r="T151" s="2">
        <f>IF(B151=0,0,VLOOKUP(B151,Datensammler!B:U,20,0))</f>
        <v>0</v>
      </c>
      <c r="U151" s="50">
        <f t="shared" ref="U151:AL151" si="154">C151</f>
        <v>0</v>
      </c>
      <c r="V151" s="50">
        <f t="shared" si="154"/>
        <v>0</v>
      </c>
      <c r="W151" s="50">
        <f t="shared" si="154"/>
        <v>0</v>
      </c>
      <c r="X151" s="50">
        <f t="shared" si="154"/>
        <v>0</v>
      </c>
      <c r="Y151" s="50">
        <f t="shared" si="154"/>
        <v>0</v>
      </c>
      <c r="Z151" s="50">
        <f t="shared" si="154"/>
        <v>0</v>
      </c>
      <c r="AA151" s="50">
        <f t="shared" si="154"/>
        <v>0</v>
      </c>
      <c r="AB151" s="50">
        <f t="shared" si="154"/>
        <v>0</v>
      </c>
      <c r="AC151" s="50">
        <f t="shared" si="154"/>
        <v>0</v>
      </c>
      <c r="AD151" s="50">
        <f t="shared" si="154"/>
        <v>0</v>
      </c>
      <c r="AE151" s="50">
        <f t="shared" si="154"/>
        <v>0</v>
      </c>
      <c r="AF151" s="50">
        <f t="shared" si="154"/>
        <v>0</v>
      </c>
      <c r="AG151" s="50">
        <f t="shared" si="154"/>
        <v>0</v>
      </c>
      <c r="AH151" s="50">
        <f t="shared" si="154"/>
        <v>0</v>
      </c>
      <c r="AI151" s="50">
        <f t="shared" si="154"/>
        <v>0</v>
      </c>
      <c r="AJ151" s="50">
        <f t="shared" si="154"/>
        <v>0</v>
      </c>
      <c r="AK151" s="50">
        <f t="shared" si="154"/>
        <v>0</v>
      </c>
      <c r="AL151" s="50">
        <f t="shared" si="154"/>
        <v>0</v>
      </c>
      <c r="AP151" s="2">
        <f t="shared" si="3"/>
        <v>0</v>
      </c>
      <c r="AQ151" s="2">
        <f>IFERROR(__xludf.DUMMYFUNCTION("IF(V151&gt;0,MIN(FILTER(U151:AL151, U151:AL151&lt;&gt;0)),0)"),0.0)</f>
        <v>0</v>
      </c>
      <c r="AS151" s="2">
        <f t="shared" si="4"/>
        <v>0</v>
      </c>
      <c r="AU151" s="2">
        <f t="shared" si="5"/>
        <v>0</v>
      </c>
      <c r="AW151" s="2">
        <f t="shared" si="6"/>
        <v>0</v>
      </c>
      <c r="AX151" s="2">
        <f>IFERROR(__xludf.DUMMYFUNCTION("IF(X151&gt;0,SMALL(FILTER(U151:AL151, U151:AL151&lt;&gt;0), 2),0)"),0.0)</f>
        <v>0</v>
      </c>
      <c r="AY151" s="2">
        <f t="shared" si="7"/>
        <v>0</v>
      </c>
      <c r="AZ151" s="2">
        <f t="shared" si="8"/>
        <v>0</v>
      </c>
      <c r="BA151" s="2">
        <f>IFERROR(__xludf.DUMMYFUNCTION("IF(Y151&gt;0,SMALL(FILTER(U151:AL151, U151:AL151&lt;&gt;0), 3),0)"),0.0)</f>
        <v>0</v>
      </c>
      <c r="BB151" s="2">
        <f t="shared" si="9"/>
        <v>0</v>
      </c>
    </row>
    <row r="152">
      <c r="A152" s="2">
        <f>Spieler!A153</f>
        <v>148</v>
      </c>
      <c r="B152" s="2" t="str">
        <f>VLOOKUP(A152,Spieler!A:F,2,0)</f>
        <v/>
      </c>
      <c r="C152" s="2">
        <f>IF(B152=0,0,VLOOKUP(B152,Datensammler!B:U,3,0))</f>
        <v>0</v>
      </c>
      <c r="D152" s="2">
        <f>IF(B152=0,0,VLOOKUP(B152,Datensammler!B:U,4,0))</f>
        <v>0</v>
      </c>
      <c r="E152" s="2">
        <f>IF(B152=0,0,VLOOKUP(B152,Datensammler!B:U,5,0))</f>
        <v>0</v>
      </c>
      <c r="F152" s="2">
        <f>IF(B152=0,0,VLOOKUP(B152,Datensammler!B:U,6,0))</f>
        <v>0</v>
      </c>
      <c r="G152" s="2">
        <f>IF(B152=0,0,VLOOKUP(B152,Datensammler!B:U,7,0))</f>
        <v>0</v>
      </c>
      <c r="H152" s="2">
        <f>IF(B152=0,0,VLOOKUP(B152,Datensammler!B:U,8,0))</f>
        <v>0</v>
      </c>
      <c r="I152" s="2">
        <f>IF(B152=0,0,VLOOKUP(B152,Datensammler!B:U,9,0))</f>
        <v>0</v>
      </c>
      <c r="J152" s="2">
        <f>IF(B152=0,0,VLOOKUP(B152,Datensammler!B:U,10,0))</f>
        <v>0</v>
      </c>
      <c r="K152" s="2">
        <f>IF(B152=0,0,VLOOKUP(B152,Datensammler!B:U,11,0))</f>
        <v>0</v>
      </c>
      <c r="L152" s="2">
        <f>IF(B152=0,0,VLOOKUP(B152,Datensammler!B:U,12,0))</f>
        <v>0</v>
      </c>
      <c r="M152" s="2">
        <f>IF(B152=0,0,VLOOKUP(B152,Datensammler!B:U,13,0))</f>
        <v>0</v>
      </c>
      <c r="N152" s="2">
        <f>IF(B152=0,0,VLOOKUP(B152,Datensammler!B:U,14,0))</f>
        <v>0</v>
      </c>
      <c r="O152" s="2">
        <f>IF(B152=0,0,VLOOKUP(B152,Datensammler!B:U,15,0))</f>
        <v>0</v>
      </c>
      <c r="P152" s="2">
        <f>IF(B152=0,0,VLOOKUP(B152,Datensammler!B:U,16,0))</f>
        <v>0</v>
      </c>
      <c r="Q152" s="2">
        <f>IF(B152=0,0,VLOOKUP(B152,Datensammler!B:U,17,0))</f>
        <v>0</v>
      </c>
      <c r="R152" s="2">
        <f>IF(B152=0,0,VLOOKUP(B152,Datensammler!B:U,18,0))</f>
        <v>0</v>
      </c>
      <c r="S152" s="2">
        <f>IF(B152=0,0,VLOOKUP(B152,Datensammler!B:U,19,0))</f>
        <v>0</v>
      </c>
      <c r="T152" s="2">
        <f>IF(B152=0,0,VLOOKUP(B152,Datensammler!B:U,20,0))</f>
        <v>0</v>
      </c>
      <c r="U152" s="50">
        <f t="shared" ref="U152:AL152" si="155">C152</f>
        <v>0</v>
      </c>
      <c r="V152" s="50">
        <f t="shared" si="155"/>
        <v>0</v>
      </c>
      <c r="W152" s="50">
        <f t="shared" si="155"/>
        <v>0</v>
      </c>
      <c r="X152" s="50">
        <f t="shared" si="155"/>
        <v>0</v>
      </c>
      <c r="Y152" s="50">
        <f t="shared" si="155"/>
        <v>0</v>
      </c>
      <c r="Z152" s="50">
        <f t="shared" si="155"/>
        <v>0</v>
      </c>
      <c r="AA152" s="50">
        <f t="shared" si="155"/>
        <v>0</v>
      </c>
      <c r="AB152" s="50">
        <f t="shared" si="155"/>
        <v>0</v>
      </c>
      <c r="AC152" s="50">
        <f t="shared" si="155"/>
        <v>0</v>
      </c>
      <c r="AD152" s="50">
        <f t="shared" si="155"/>
        <v>0</v>
      </c>
      <c r="AE152" s="50">
        <f t="shared" si="155"/>
        <v>0</v>
      </c>
      <c r="AF152" s="50">
        <f t="shared" si="155"/>
        <v>0</v>
      </c>
      <c r="AG152" s="50">
        <f t="shared" si="155"/>
        <v>0</v>
      </c>
      <c r="AH152" s="50">
        <f t="shared" si="155"/>
        <v>0</v>
      </c>
      <c r="AI152" s="50">
        <f t="shared" si="155"/>
        <v>0</v>
      </c>
      <c r="AJ152" s="50">
        <f t="shared" si="155"/>
        <v>0</v>
      </c>
      <c r="AK152" s="50">
        <f t="shared" si="155"/>
        <v>0</v>
      </c>
      <c r="AL152" s="50">
        <f t="shared" si="155"/>
        <v>0</v>
      </c>
      <c r="AP152" s="2">
        <f t="shared" si="3"/>
        <v>0</v>
      </c>
      <c r="AQ152" s="2">
        <f>IFERROR(__xludf.DUMMYFUNCTION("IF(V152&gt;0,MIN(FILTER(U152:AL152, U152:AL152&lt;&gt;0)),0)"),0.0)</f>
        <v>0</v>
      </c>
      <c r="AS152" s="2">
        <f t="shared" si="4"/>
        <v>0</v>
      </c>
      <c r="AU152" s="2">
        <f t="shared" si="5"/>
        <v>0</v>
      </c>
      <c r="AW152" s="2">
        <f t="shared" si="6"/>
        <v>0</v>
      </c>
      <c r="AX152" s="2">
        <f>IFERROR(__xludf.DUMMYFUNCTION("IF(X152&gt;0,SMALL(FILTER(U152:AL152, U152:AL152&lt;&gt;0), 2),0)"),0.0)</f>
        <v>0</v>
      </c>
      <c r="AY152" s="2">
        <f t="shared" si="7"/>
        <v>0</v>
      </c>
      <c r="AZ152" s="2">
        <f t="shared" si="8"/>
        <v>0</v>
      </c>
      <c r="BA152" s="2">
        <f>IFERROR(__xludf.DUMMYFUNCTION("IF(Y152&gt;0,SMALL(FILTER(U152:AL152, U152:AL152&lt;&gt;0), 3),0)"),0.0)</f>
        <v>0</v>
      </c>
      <c r="BB152" s="2">
        <f t="shared" si="9"/>
        <v>0</v>
      </c>
    </row>
    <row r="153">
      <c r="A153" s="2">
        <f>Spieler!A154</f>
        <v>149</v>
      </c>
      <c r="B153" s="2" t="str">
        <f>VLOOKUP(A153,Spieler!A:F,2,0)</f>
        <v/>
      </c>
      <c r="C153" s="2">
        <f>IF(B153=0,0,VLOOKUP(B153,Datensammler!B:U,3,0))</f>
        <v>0</v>
      </c>
      <c r="D153" s="2">
        <f>IF(B153=0,0,VLOOKUP(B153,Datensammler!B:U,4,0))</f>
        <v>0</v>
      </c>
      <c r="E153" s="2">
        <f>IF(B153=0,0,VLOOKUP(B153,Datensammler!B:U,5,0))</f>
        <v>0</v>
      </c>
      <c r="F153" s="2">
        <f>IF(B153=0,0,VLOOKUP(B153,Datensammler!B:U,6,0))</f>
        <v>0</v>
      </c>
      <c r="G153" s="2">
        <f>IF(B153=0,0,VLOOKUP(B153,Datensammler!B:U,7,0))</f>
        <v>0</v>
      </c>
      <c r="H153" s="2">
        <f>IF(B153=0,0,VLOOKUP(B153,Datensammler!B:U,8,0))</f>
        <v>0</v>
      </c>
      <c r="I153" s="2">
        <f>IF(B153=0,0,VLOOKUP(B153,Datensammler!B:U,9,0))</f>
        <v>0</v>
      </c>
      <c r="J153" s="2">
        <f>IF(B153=0,0,VLOOKUP(B153,Datensammler!B:U,10,0))</f>
        <v>0</v>
      </c>
      <c r="K153" s="2">
        <f>IF(B153=0,0,VLOOKUP(B153,Datensammler!B:U,11,0))</f>
        <v>0</v>
      </c>
      <c r="L153" s="2">
        <f>IF(B153=0,0,VLOOKUP(B153,Datensammler!B:U,12,0))</f>
        <v>0</v>
      </c>
      <c r="M153" s="2">
        <f>IF(B153=0,0,VLOOKUP(B153,Datensammler!B:U,13,0))</f>
        <v>0</v>
      </c>
      <c r="N153" s="2">
        <f>IF(B153=0,0,VLOOKUP(B153,Datensammler!B:U,14,0))</f>
        <v>0</v>
      </c>
      <c r="O153" s="2">
        <f>IF(B153=0,0,VLOOKUP(B153,Datensammler!B:U,15,0))</f>
        <v>0</v>
      </c>
      <c r="P153" s="2">
        <f>IF(B153=0,0,VLOOKUP(B153,Datensammler!B:U,16,0))</f>
        <v>0</v>
      </c>
      <c r="Q153" s="2">
        <f>IF(B153=0,0,VLOOKUP(B153,Datensammler!B:U,17,0))</f>
        <v>0</v>
      </c>
      <c r="R153" s="2">
        <f>IF(B153=0,0,VLOOKUP(B153,Datensammler!B:U,18,0))</f>
        <v>0</v>
      </c>
      <c r="S153" s="2">
        <f>IF(B153=0,0,VLOOKUP(B153,Datensammler!B:U,19,0))</f>
        <v>0</v>
      </c>
      <c r="T153" s="2">
        <f>IF(B153=0,0,VLOOKUP(B153,Datensammler!B:U,20,0))</f>
        <v>0</v>
      </c>
      <c r="U153" s="50">
        <f t="shared" ref="U153:AL153" si="156">C153</f>
        <v>0</v>
      </c>
      <c r="V153" s="50">
        <f t="shared" si="156"/>
        <v>0</v>
      </c>
      <c r="W153" s="50">
        <f t="shared" si="156"/>
        <v>0</v>
      </c>
      <c r="X153" s="50">
        <f t="shared" si="156"/>
        <v>0</v>
      </c>
      <c r="Y153" s="50">
        <f t="shared" si="156"/>
        <v>0</v>
      </c>
      <c r="Z153" s="50">
        <f t="shared" si="156"/>
        <v>0</v>
      </c>
      <c r="AA153" s="50">
        <f t="shared" si="156"/>
        <v>0</v>
      </c>
      <c r="AB153" s="50">
        <f t="shared" si="156"/>
        <v>0</v>
      </c>
      <c r="AC153" s="50">
        <f t="shared" si="156"/>
        <v>0</v>
      </c>
      <c r="AD153" s="50">
        <f t="shared" si="156"/>
        <v>0</v>
      </c>
      <c r="AE153" s="50">
        <f t="shared" si="156"/>
        <v>0</v>
      </c>
      <c r="AF153" s="50">
        <f t="shared" si="156"/>
        <v>0</v>
      </c>
      <c r="AG153" s="50">
        <f t="shared" si="156"/>
        <v>0</v>
      </c>
      <c r="AH153" s="50">
        <f t="shared" si="156"/>
        <v>0</v>
      </c>
      <c r="AI153" s="50">
        <f t="shared" si="156"/>
        <v>0</v>
      </c>
      <c r="AJ153" s="50">
        <f t="shared" si="156"/>
        <v>0</v>
      </c>
      <c r="AK153" s="50">
        <f t="shared" si="156"/>
        <v>0</v>
      </c>
      <c r="AL153" s="50">
        <f t="shared" si="156"/>
        <v>0</v>
      </c>
      <c r="AP153" s="2">
        <f t="shared" si="3"/>
        <v>0</v>
      </c>
      <c r="AQ153" s="2">
        <f>IFERROR(__xludf.DUMMYFUNCTION("IF(V153&gt;0,MIN(FILTER(U153:AL153, U153:AL153&lt;&gt;0)),0)"),0.0)</f>
        <v>0</v>
      </c>
      <c r="AS153" s="2">
        <f t="shared" si="4"/>
        <v>0</v>
      </c>
      <c r="AU153" s="2">
        <f t="shared" si="5"/>
        <v>0</v>
      </c>
      <c r="AW153" s="2">
        <f t="shared" si="6"/>
        <v>0</v>
      </c>
      <c r="AX153" s="2">
        <f>IFERROR(__xludf.DUMMYFUNCTION("IF(X153&gt;0,SMALL(FILTER(U153:AL153, U153:AL153&lt;&gt;0), 2),0)"),0.0)</f>
        <v>0</v>
      </c>
      <c r="AY153" s="2">
        <f t="shared" si="7"/>
        <v>0</v>
      </c>
      <c r="AZ153" s="2">
        <f t="shared" si="8"/>
        <v>0</v>
      </c>
      <c r="BA153" s="2">
        <f>IFERROR(__xludf.DUMMYFUNCTION("IF(Y153&gt;0,SMALL(FILTER(U153:AL153, U153:AL153&lt;&gt;0), 3),0)"),0.0)</f>
        <v>0</v>
      </c>
      <c r="BB153" s="2">
        <f t="shared" si="9"/>
        <v>0</v>
      </c>
    </row>
    <row r="154">
      <c r="A154" s="2">
        <f>Spieler!A155</f>
        <v>150</v>
      </c>
      <c r="B154" s="2" t="str">
        <f>VLOOKUP(A154,Spieler!A:F,2,0)</f>
        <v/>
      </c>
      <c r="C154" s="2">
        <f>IF(B154=0,0,VLOOKUP(B154,Datensammler!B:U,3,0))</f>
        <v>0</v>
      </c>
      <c r="D154" s="2">
        <f>IF(B154=0,0,VLOOKUP(B154,Datensammler!B:U,4,0))</f>
        <v>0</v>
      </c>
      <c r="E154" s="2">
        <f>IF(B154=0,0,VLOOKUP(B154,Datensammler!B:U,5,0))</f>
        <v>0</v>
      </c>
      <c r="F154" s="2">
        <f>IF(B154=0,0,VLOOKUP(B154,Datensammler!B:U,6,0))</f>
        <v>0</v>
      </c>
      <c r="G154" s="2">
        <f>IF(B154=0,0,VLOOKUP(B154,Datensammler!B:U,7,0))</f>
        <v>0</v>
      </c>
      <c r="H154" s="2">
        <f>IF(B154=0,0,VLOOKUP(B154,Datensammler!B:U,8,0))</f>
        <v>0</v>
      </c>
      <c r="I154" s="2">
        <f>IF(B154=0,0,VLOOKUP(B154,Datensammler!B:U,9,0))</f>
        <v>0</v>
      </c>
      <c r="J154" s="2">
        <f>IF(B154=0,0,VLOOKUP(B154,Datensammler!B:U,10,0))</f>
        <v>0</v>
      </c>
      <c r="K154" s="2">
        <f>IF(B154=0,0,VLOOKUP(B154,Datensammler!B:U,11,0))</f>
        <v>0</v>
      </c>
      <c r="L154" s="2">
        <f>IF(B154=0,0,VLOOKUP(B154,Datensammler!B:U,12,0))</f>
        <v>0</v>
      </c>
      <c r="M154" s="2">
        <f>IF(B154=0,0,VLOOKUP(B154,Datensammler!B:U,13,0))</f>
        <v>0</v>
      </c>
      <c r="N154" s="2">
        <f>IF(B154=0,0,VLOOKUP(B154,Datensammler!B:U,14,0))</f>
        <v>0</v>
      </c>
      <c r="O154" s="2">
        <f>IF(B154=0,0,VLOOKUP(B154,Datensammler!B:U,15,0))</f>
        <v>0</v>
      </c>
      <c r="P154" s="2">
        <f>IF(B154=0,0,VLOOKUP(B154,Datensammler!B:U,16,0))</f>
        <v>0</v>
      </c>
      <c r="Q154" s="2">
        <f>IF(B154=0,0,VLOOKUP(B154,Datensammler!B:U,17,0))</f>
        <v>0</v>
      </c>
      <c r="R154" s="2">
        <f>IF(B154=0,0,VLOOKUP(B154,Datensammler!B:U,18,0))</f>
        <v>0</v>
      </c>
      <c r="S154" s="2">
        <f>IF(B154=0,0,VLOOKUP(B154,Datensammler!B:U,19,0))</f>
        <v>0</v>
      </c>
      <c r="T154" s="2">
        <f>IF(B154=0,0,VLOOKUP(B154,Datensammler!B:U,20,0))</f>
        <v>0</v>
      </c>
      <c r="U154" s="50">
        <f t="shared" ref="U154:AL154" si="157">C154</f>
        <v>0</v>
      </c>
      <c r="V154" s="50">
        <f t="shared" si="157"/>
        <v>0</v>
      </c>
      <c r="W154" s="50">
        <f t="shared" si="157"/>
        <v>0</v>
      </c>
      <c r="X154" s="50">
        <f t="shared" si="157"/>
        <v>0</v>
      </c>
      <c r="Y154" s="50">
        <f t="shared" si="157"/>
        <v>0</v>
      </c>
      <c r="Z154" s="50">
        <f t="shared" si="157"/>
        <v>0</v>
      </c>
      <c r="AA154" s="50">
        <f t="shared" si="157"/>
        <v>0</v>
      </c>
      <c r="AB154" s="50">
        <f t="shared" si="157"/>
        <v>0</v>
      </c>
      <c r="AC154" s="50">
        <f t="shared" si="157"/>
        <v>0</v>
      </c>
      <c r="AD154" s="50">
        <f t="shared" si="157"/>
        <v>0</v>
      </c>
      <c r="AE154" s="50">
        <f t="shared" si="157"/>
        <v>0</v>
      </c>
      <c r="AF154" s="50">
        <f t="shared" si="157"/>
        <v>0</v>
      </c>
      <c r="AG154" s="50">
        <f t="shared" si="157"/>
        <v>0</v>
      </c>
      <c r="AH154" s="50">
        <f t="shared" si="157"/>
        <v>0</v>
      </c>
      <c r="AI154" s="50">
        <f t="shared" si="157"/>
        <v>0</v>
      </c>
      <c r="AJ154" s="50">
        <f t="shared" si="157"/>
        <v>0</v>
      </c>
      <c r="AK154" s="50">
        <f t="shared" si="157"/>
        <v>0</v>
      </c>
      <c r="AL154" s="50">
        <f t="shared" si="157"/>
        <v>0</v>
      </c>
      <c r="AP154" s="2">
        <f t="shared" si="3"/>
        <v>0</v>
      </c>
      <c r="AQ154" s="2">
        <f>IFERROR(__xludf.DUMMYFUNCTION("IF(V154&gt;0,MIN(FILTER(U154:AL154, U154:AL154&lt;&gt;0)),0)"),0.0)</f>
        <v>0</v>
      </c>
      <c r="AS154" s="2">
        <f t="shared" si="4"/>
        <v>0</v>
      </c>
      <c r="AU154" s="2">
        <f t="shared" si="5"/>
        <v>0</v>
      </c>
      <c r="AW154" s="2">
        <f t="shared" si="6"/>
        <v>0</v>
      </c>
      <c r="AX154" s="2">
        <f>IFERROR(__xludf.DUMMYFUNCTION("IF(X154&gt;0,SMALL(FILTER(U154:AL154, U154:AL154&lt;&gt;0), 2),0)"),0.0)</f>
        <v>0</v>
      </c>
      <c r="AY154" s="2">
        <f t="shared" si="7"/>
        <v>0</v>
      </c>
      <c r="AZ154" s="2">
        <f t="shared" si="8"/>
        <v>0</v>
      </c>
      <c r="BA154" s="2">
        <f>IFERROR(__xludf.DUMMYFUNCTION("IF(Y154&gt;0,SMALL(FILTER(U154:AL154, U154:AL154&lt;&gt;0), 3),0)"),0.0)</f>
        <v>0</v>
      </c>
      <c r="BB154" s="2">
        <f t="shared" si="9"/>
        <v>0</v>
      </c>
    </row>
    <row r="155">
      <c r="B155" s="2" t="str">
        <f>VLOOKUP(A155,Spieler!A:F,2,0)</f>
        <v>#N/A</v>
      </c>
      <c r="C155" s="2" t="str">
        <f>IF(B155=0,0,VLOOKUP(B155,Datensammler!B:U,3,0))</f>
        <v>#N/A</v>
      </c>
      <c r="D155" s="2" t="str">
        <f>IF(B155=0,0,VLOOKUP(B155,Datensammler!B:U,4,0))</f>
        <v>#N/A</v>
      </c>
      <c r="E155" s="2" t="str">
        <f>IF(B155=0,0,VLOOKUP(B155,Datensammler!B:U,5,0))</f>
        <v>#N/A</v>
      </c>
      <c r="F155" s="2" t="str">
        <f>IF(B155=0,0,VLOOKUP(B155,Datensammler!B:U,6,0))</f>
        <v>#N/A</v>
      </c>
      <c r="G155" s="2" t="str">
        <f>IF(B155=0,0,VLOOKUP(B155,Datensammler!B:U,7,0))</f>
        <v>#N/A</v>
      </c>
      <c r="H155" s="2" t="str">
        <f>IF(B155=0,0,VLOOKUP(B155,Datensammler!B:U,8,0))</f>
        <v>#N/A</v>
      </c>
      <c r="I155" s="2" t="str">
        <f>IF(B155=0,0,VLOOKUP(B155,Datensammler!B:U,9,0))</f>
        <v>#N/A</v>
      </c>
      <c r="J155" s="2" t="str">
        <f>IF(B155=0,0,VLOOKUP(B155,Datensammler!B:U,10,0))</f>
        <v>#N/A</v>
      </c>
      <c r="K155" s="2" t="str">
        <f>IF(B155=0,0,VLOOKUP(B155,Datensammler!B:U,11,0))</f>
        <v>#N/A</v>
      </c>
      <c r="L155" s="2" t="str">
        <f>IF(B155=0,0,VLOOKUP(B155,Datensammler!B:U,12,0))</f>
        <v>#N/A</v>
      </c>
      <c r="M155" s="2" t="str">
        <f>IF(B155=0,0,VLOOKUP(B155,Datensammler!B:U,13,0))</f>
        <v>#N/A</v>
      </c>
      <c r="N155" s="2" t="str">
        <f>IF(B155=0,0,VLOOKUP(B155,Datensammler!B:U,14,0))</f>
        <v>#N/A</v>
      </c>
      <c r="O155" s="2" t="str">
        <f>IF(B155=0,0,VLOOKUP(B155,Datensammler!B:U,15,0))</f>
        <v>#N/A</v>
      </c>
      <c r="P155" s="2" t="str">
        <f>IF(B155=0,0,VLOOKUP(B155,Datensammler!B:U,16,0))</f>
        <v>#N/A</v>
      </c>
      <c r="Q155" s="2" t="str">
        <f>IF(B155=0,0,VLOOKUP(B155,Datensammler!B:U,17,0))</f>
        <v>#N/A</v>
      </c>
      <c r="R155" s="2" t="str">
        <f>IF(B155=0,0,VLOOKUP(B155,Datensammler!B:U,18,0))</f>
        <v>#N/A</v>
      </c>
      <c r="S155" s="2" t="str">
        <f>IF(B155=0,0,VLOOKUP(B155,Datensammler!B:U,19,0))</f>
        <v>#N/A</v>
      </c>
      <c r="T155" s="2" t="str">
        <f>IF(B155=0,0,VLOOKUP(B155,Datensammler!B:U,20,0))</f>
        <v>#N/A</v>
      </c>
      <c r="U155" s="50" t="str">
        <f t="shared" ref="U155:AL155" si="158">C155</f>
        <v>#N/A</v>
      </c>
      <c r="V155" s="50" t="str">
        <f t="shared" si="158"/>
        <v>#N/A</v>
      </c>
      <c r="W155" s="50" t="str">
        <f t="shared" si="158"/>
        <v>#N/A</v>
      </c>
      <c r="X155" s="50" t="str">
        <f t="shared" si="158"/>
        <v>#N/A</v>
      </c>
      <c r="Y155" s="50" t="str">
        <f t="shared" si="158"/>
        <v>#N/A</v>
      </c>
      <c r="Z155" s="50" t="str">
        <f t="shared" si="158"/>
        <v>#N/A</v>
      </c>
      <c r="AA155" s="50" t="str">
        <f t="shared" si="158"/>
        <v>#N/A</v>
      </c>
      <c r="AB155" s="50" t="str">
        <f t="shared" si="158"/>
        <v>#N/A</v>
      </c>
      <c r="AC155" s="50" t="str">
        <f t="shared" si="158"/>
        <v>#N/A</v>
      </c>
      <c r="AD155" s="50" t="str">
        <f t="shared" si="158"/>
        <v>#N/A</v>
      </c>
      <c r="AE155" s="50" t="str">
        <f t="shared" si="158"/>
        <v>#N/A</v>
      </c>
      <c r="AF155" s="50" t="str">
        <f t="shared" si="158"/>
        <v>#N/A</v>
      </c>
      <c r="AG155" s="50" t="str">
        <f t="shared" si="158"/>
        <v>#N/A</v>
      </c>
      <c r="AH155" s="50" t="str">
        <f t="shared" si="158"/>
        <v>#N/A</v>
      </c>
      <c r="AI155" s="50" t="str">
        <f t="shared" si="158"/>
        <v>#N/A</v>
      </c>
      <c r="AJ155" s="50" t="str">
        <f t="shared" si="158"/>
        <v>#N/A</v>
      </c>
      <c r="AK155" s="50" t="str">
        <f t="shared" si="158"/>
        <v>#N/A</v>
      </c>
      <c r="AL155" s="50" t="str">
        <f t="shared" si="158"/>
        <v>#N/A</v>
      </c>
      <c r="AP155" s="2" t="str">
        <f t="shared" si="3"/>
        <v>#N/A</v>
      </c>
      <c r="AQ155" s="2" t="str">
        <f>IFERROR(__xludf.DUMMYFUNCTION("IF(V155&gt;0,MIN(FILTER(U155:AL155, U155:AL155&lt;&gt;0)),0)"),"#N/A")</f>
        <v>#N/A</v>
      </c>
      <c r="AS155" s="2" t="str">
        <f t="shared" si="4"/>
        <v>#N/A</v>
      </c>
      <c r="AU155" s="2">
        <f t="shared" si="5"/>
        <v>0</v>
      </c>
      <c r="AW155" s="2" t="str">
        <f t="shared" si="6"/>
        <v>#N/A</v>
      </c>
      <c r="AX155" s="2" t="str">
        <f>IFERROR(__xludf.DUMMYFUNCTION("IF(X155&gt;0,SMALL(FILTER(U155:AL155, U155:AL155&lt;&gt;0), 2),0)"),"#N/A")</f>
        <v>#N/A</v>
      </c>
      <c r="AY155" s="2" t="str">
        <f t="shared" si="7"/>
        <v>#N/A</v>
      </c>
      <c r="AZ155" s="2" t="str">
        <f t="shared" si="8"/>
        <v>#N/A</v>
      </c>
      <c r="BA155" s="2" t="str">
        <f>IFERROR(__xludf.DUMMYFUNCTION("IF(Y155&gt;0,SMALL(FILTER(U155:AL155, U155:AL155&lt;&gt;0), 3),0)"),"#N/A")</f>
        <v>#N/A</v>
      </c>
      <c r="BB155" s="2" t="str">
        <f t="shared" si="9"/>
        <v>#N/A</v>
      </c>
    </row>
    <row r="156">
      <c r="B156" s="2" t="str">
        <f>VLOOKUP(A156,Spieler!A:F,2,0)</f>
        <v>#N/A</v>
      </c>
      <c r="C156" s="2" t="str">
        <f>IF(B156=0,0,VLOOKUP(B156,Datensammler!B:U,3,0))</f>
        <v>#N/A</v>
      </c>
      <c r="D156" s="2" t="str">
        <f>IF(B156=0,0,VLOOKUP(B156,Datensammler!B:U,4,0))</f>
        <v>#N/A</v>
      </c>
      <c r="E156" s="2" t="str">
        <f>IF(B156=0,0,VLOOKUP(B156,Datensammler!B:U,5,0))</f>
        <v>#N/A</v>
      </c>
      <c r="F156" s="2" t="str">
        <f>IF(B156=0,0,VLOOKUP(B156,Datensammler!B:U,6,0))</f>
        <v>#N/A</v>
      </c>
      <c r="G156" s="2" t="str">
        <f>IF(B156=0,0,VLOOKUP(B156,Datensammler!B:U,7,0))</f>
        <v>#N/A</v>
      </c>
      <c r="H156" s="2" t="str">
        <f>IF(B156=0,0,VLOOKUP(B156,Datensammler!B:U,8,0))</f>
        <v>#N/A</v>
      </c>
      <c r="I156" s="2" t="str">
        <f>IF(B156=0,0,VLOOKUP(B156,Datensammler!B:U,9,0))</f>
        <v>#N/A</v>
      </c>
      <c r="J156" s="2" t="str">
        <f>IF(B156=0,0,VLOOKUP(B156,Datensammler!B:U,10,0))</f>
        <v>#N/A</v>
      </c>
      <c r="K156" s="2" t="str">
        <f>IF(B156=0,0,VLOOKUP(B156,Datensammler!B:U,11,0))</f>
        <v>#N/A</v>
      </c>
      <c r="L156" s="2" t="str">
        <f>IF(B156=0,0,VLOOKUP(B156,Datensammler!B:U,12,0))</f>
        <v>#N/A</v>
      </c>
      <c r="M156" s="2" t="str">
        <f>IF(B156=0,0,VLOOKUP(B156,Datensammler!B:U,13,0))</f>
        <v>#N/A</v>
      </c>
      <c r="N156" s="2" t="str">
        <f>IF(B156=0,0,VLOOKUP(B156,Datensammler!B:U,14,0))</f>
        <v>#N/A</v>
      </c>
      <c r="O156" s="2" t="str">
        <f>IF(B156=0,0,VLOOKUP(B156,Datensammler!B:U,15,0))</f>
        <v>#N/A</v>
      </c>
      <c r="P156" s="2" t="str">
        <f>IF(B156=0,0,VLOOKUP(B156,Datensammler!B:U,16,0))</f>
        <v>#N/A</v>
      </c>
      <c r="Q156" s="2" t="str">
        <f>IF(B156=0,0,VLOOKUP(B156,Datensammler!B:U,17,0))</f>
        <v>#N/A</v>
      </c>
      <c r="R156" s="2" t="str">
        <f>IF(B156=0,0,VLOOKUP(B156,Datensammler!B:U,18,0))</f>
        <v>#N/A</v>
      </c>
      <c r="S156" s="2" t="str">
        <f>IF(B156=0,0,VLOOKUP(B156,Datensammler!B:U,19,0))</f>
        <v>#N/A</v>
      </c>
      <c r="T156" s="2" t="str">
        <f>IF(B156=0,0,VLOOKUP(B156,Datensammler!B:U,20,0))</f>
        <v>#N/A</v>
      </c>
      <c r="U156" s="50" t="str">
        <f t="shared" ref="U156:AL156" si="159">C156</f>
        <v>#N/A</v>
      </c>
      <c r="V156" s="50" t="str">
        <f t="shared" si="159"/>
        <v>#N/A</v>
      </c>
      <c r="W156" s="50" t="str">
        <f t="shared" si="159"/>
        <v>#N/A</v>
      </c>
      <c r="X156" s="50" t="str">
        <f t="shared" si="159"/>
        <v>#N/A</v>
      </c>
      <c r="Y156" s="50" t="str">
        <f t="shared" si="159"/>
        <v>#N/A</v>
      </c>
      <c r="Z156" s="50" t="str">
        <f t="shared" si="159"/>
        <v>#N/A</v>
      </c>
      <c r="AA156" s="50" t="str">
        <f t="shared" si="159"/>
        <v>#N/A</v>
      </c>
      <c r="AB156" s="50" t="str">
        <f t="shared" si="159"/>
        <v>#N/A</v>
      </c>
      <c r="AC156" s="50" t="str">
        <f t="shared" si="159"/>
        <v>#N/A</v>
      </c>
      <c r="AD156" s="50" t="str">
        <f t="shared" si="159"/>
        <v>#N/A</v>
      </c>
      <c r="AE156" s="50" t="str">
        <f t="shared" si="159"/>
        <v>#N/A</v>
      </c>
      <c r="AF156" s="50" t="str">
        <f t="shared" si="159"/>
        <v>#N/A</v>
      </c>
      <c r="AG156" s="50" t="str">
        <f t="shared" si="159"/>
        <v>#N/A</v>
      </c>
      <c r="AH156" s="50" t="str">
        <f t="shared" si="159"/>
        <v>#N/A</v>
      </c>
      <c r="AI156" s="50" t="str">
        <f t="shared" si="159"/>
        <v>#N/A</v>
      </c>
      <c r="AJ156" s="50" t="str">
        <f t="shared" si="159"/>
        <v>#N/A</v>
      </c>
      <c r="AK156" s="50" t="str">
        <f t="shared" si="159"/>
        <v>#N/A</v>
      </c>
      <c r="AL156" s="50" t="str">
        <f t="shared" si="159"/>
        <v>#N/A</v>
      </c>
      <c r="AP156" s="2" t="str">
        <f t="shared" si="3"/>
        <v>#N/A</v>
      </c>
      <c r="AQ156" s="2" t="str">
        <f>IFERROR(__xludf.DUMMYFUNCTION("IF(V156&gt;0,MIN(FILTER(U156:AL156, U156:AL156&lt;&gt;0)),0)"),"#N/A")</f>
        <v>#N/A</v>
      </c>
      <c r="AS156" s="2" t="str">
        <f t="shared" si="4"/>
        <v>#N/A</v>
      </c>
      <c r="AU156" s="2">
        <f t="shared" si="5"/>
        <v>0</v>
      </c>
      <c r="AW156" s="2" t="str">
        <f t="shared" si="6"/>
        <v>#N/A</v>
      </c>
      <c r="AX156" s="2" t="str">
        <f>IFERROR(__xludf.DUMMYFUNCTION("IF(X156&gt;0,SMALL(FILTER(U156:AL156, U156:AL156&lt;&gt;0), 2),0)"),"#N/A")</f>
        <v>#N/A</v>
      </c>
      <c r="AY156" s="2" t="str">
        <f t="shared" si="7"/>
        <v>#N/A</v>
      </c>
      <c r="AZ156" s="2" t="str">
        <f t="shared" si="8"/>
        <v>#N/A</v>
      </c>
      <c r="BA156" s="2" t="str">
        <f>IFERROR(__xludf.DUMMYFUNCTION("IF(Y156&gt;0,SMALL(FILTER(U156:AL156, U156:AL156&lt;&gt;0), 3),0)"),"#N/A")</f>
        <v>#N/A</v>
      </c>
      <c r="BB156" s="2" t="str">
        <f t="shared" si="9"/>
        <v>#N/A</v>
      </c>
    </row>
    <row r="157">
      <c r="B157" s="2" t="str">
        <f>VLOOKUP(A157,Spieler!A:F,2,0)</f>
        <v>#N/A</v>
      </c>
      <c r="C157" s="2" t="str">
        <f>IF(B157=0,0,VLOOKUP(B157,Datensammler!B:U,3,0))</f>
        <v>#N/A</v>
      </c>
      <c r="D157" s="2" t="str">
        <f>IF(B157=0,0,VLOOKUP(B157,Datensammler!B:U,4,0))</f>
        <v>#N/A</v>
      </c>
      <c r="E157" s="2" t="str">
        <f>IF(B157=0,0,VLOOKUP(B157,Datensammler!B:U,5,0))</f>
        <v>#N/A</v>
      </c>
      <c r="F157" s="2" t="str">
        <f>IF(B157=0,0,VLOOKUP(B157,Datensammler!B:U,6,0))</f>
        <v>#N/A</v>
      </c>
      <c r="G157" s="2" t="str">
        <f>IF(B157=0,0,VLOOKUP(B157,Datensammler!B:U,7,0))</f>
        <v>#N/A</v>
      </c>
      <c r="H157" s="2" t="str">
        <f>IF(B157=0,0,VLOOKUP(B157,Datensammler!B:U,8,0))</f>
        <v>#N/A</v>
      </c>
      <c r="I157" s="2" t="str">
        <f>IF(B157=0,0,VLOOKUP(B157,Datensammler!B:U,9,0))</f>
        <v>#N/A</v>
      </c>
      <c r="J157" s="2" t="str">
        <f>IF(B157=0,0,VLOOKUP(B157,Datensammler!B:U,10,0))</f>
        <v>#N/A</v>
      </c>
      <c r="K157" s="2" t="str">
        <f>IF(B157=0,0,VLOOKUP(B157,Datensammler!B:U,11,0))</f>
        <v>#N/A</v>
      </c>
      <c r="L157" s="2" t="str">
        <f>IF(B157=0,0,VLOOKUP(B157,Datensammler!B:U,12,0))</f>
        <v>#N/A</v>
      </c>
      <c r="M157" s="2" t="str">
        <f>IF(B157=0,0,VLOOKUP(B157,Datensammler!B:U,13,0))</f>
        <v>#N/A</v>
      </c>
      <c r="N157" s="2" t="str">
        <f>IF(B157=0,0,VLOOKUP(B157,Datensammler!B:U,14,0))</f>
        <v>#N/A</v>
      </c>
      <c r="O157" s="2" t="str">
        <f>IF(B157=0,0,VLOOKUP(B157,Datensammler!B:U,15,0))</f>
        <v>#N/A</v>
      </c>
      <c r="P157" s="2" t="str">
        <f>IF(B157=0,0,VLOOKUP(B157,Datensammler!B:U,16,0))</f>
        <v>#N/A</v>
      </c>
      <c r="Q157" s="2" t="str">
        <f>IF(B157=0,0,VLOOKUP(B157,Datensammler!B:U,17,0))</f>
        <v>#N/A</v>
      </c>
      <c r="R157" s="2" t="str">
        <f>IF(B157=0,0,VLOOKUP(B157,Datensammler!B:U,18,0))</f>
        <v>#N/A</v>
      </c>
      <c r="S157" s="2" t="str">
        <f>IF(B157=0,0,VLOOKUP(B157,Datensammler!B:U,19,0))</f>
        <v>#N/A</v>
      </c>
      <c r="T157" s="2" t="str">
        <f>IF(B157=0,0,VLOOKUP(B157,Datensammler!B:U,20,0))</f>
        <v>#N/A</v>
      </c>
      <c r="U157" s="50" t="str">
        <f t="shared" ref="U157:AL157" si="160">C157</f>
        <v>#N/A</v>
      </c>
      <c r="V157" s="50" t="str">
        <f t="shared" si="160"/>
        <v>#N/A</v>
      </c>
      <c r="W157" s="50" t="str">
        <f t="shared" si="160"/>
        <v>#N/A</v>
      </c>
      <c r="X157" s="50" t="str">
        <f t="shared" si="160"/>
        <v>#N/A</v>
      </c>
      <c r="Y157" s="50" t="str">
        <f t="shared" si="160"/>
        <v>#N/A</v>
      </c>
      <c r="Z157" s="50" t="str">
        <f t="shared" si="160"/>
        <v>#N/A</v>
      </c>
      <c r="AA157" s="50" t="str">
        <f t="shared" si="160"/>
        <v>#N/A</v>
      </c>
      <c r="AB157" s="50" t="str">
        <f t="shared" si="160"/>
        <v>#N/A</v>
      </c>
      <c r="AC157" s="50" t="str">
        <f t="shared" si="160"/>
        <v>#N/A</v>
      </c>
      <c r="AD157" s="50" t="str">
        <f t="shared" si="160"/>
        <v>#N/A</v>
      </c>
      <c r="AE157" s="50" t="str">
        <f t="shared" si="160"/>
        <v>#N/A</v>
      </c>
      <c r="AF157" s="50" t="str">
        <f t="shared" si="160"/>
        <v>#N/A</v>
      </c>
      <c r="AG157" s="50" t="str">
        <f t="shared" si="160"/>
        <v>#N/A</v>
      </c>
      <c r="AH157" s="50" t="str">
        <f t="shared" si="160"/>
        <v>#N/A</v>
      </c>
      <c r="AI157" s="50" t="str">
        <f t="shared" si="160"/>
        <v>#N/A</v>
      </c>
      <c r="AJ157" s="50" t="str">
        <f t="shared" si="160"/>
        <v>#N/A</v>
      </c>
      <c r="AK157" s="50" t="str">
        <f t="shared" si="160"/>
        <v>#N/A</v>
      </c>
      <c r="AL157" s="50" t="str">
        <f t="shared" si="160"/>
        <v>#N/A</v>
      </c>
      <c r="AP157" s="2" t="str">
        <f t="shared" si="3"/>
        <v>#N/A</v>
      </c>
      <c r="AQ157" s="2" t="str">
        <f>IFERROR(__xludf.DUMMYFUNCTION("IF(V157&gt;0,MIN(FILTER(U157:AL157, U157:AL157&lt;&gt;0)),0)"),"#N/A")</f>
        <v>#N/A</v>
      </c>
      <c r="AS157" s="2" t="str">
        <f t="shared" si="4"/>
        <v>#N/A</v>
      </c>
      <c r="AU157" s="2">
        <f t="shared" si="5"/>
        <v>0</v>
      </c>
      <c r="AW157" s="2" t="str">
        <f t="shared" si="6"/>
        <v>#N/A</v>
      </c>
      <c r="AX157" s="2" t="str">
        <f>IFERROR(__xludf.DUMMYFUNCTION("IF(X157&gt;0,SMALL(FILTER(U157:AL157, U157:AL157&lt;&gt;0), 2),0)"),"#N/A")</f>
        <v>#N/A</v>
      </c>
      <c r="AY157" s="2" t="str">
        <f t="shared" si="7"/>
        <v>#N/A</v>
      </c>
      <c r="AZ157" s="2" t="str">
        <f t="shared" si="8"/>
        <v>#N/A</v>
      </c>
      <c r="BA157" s="2" t="str">
        <f>IFERROR(__xludf.DUMMYFUNCTION("IF(Y157&gt;0,SMALL(FILTER(U157:AL157, U157:AL157&lt;&gt;0), 3),0)"),"#N/A")</f>
        <v>#N/A</v>
      </c>
      <c r="BB157" s="2" t="str">
        <f t="shared" si="9"/>
        <v>#N/A</v>
      </c>
    </row>
    <row r="158">
      <c r="B158" s="2" t="str">
        <f>VLOOKUP(A158,Spieler!A:F,2,0)</f>
        <v>#N/A</v>
      </c>
      <c r="C158" s="2" t="str">
        <f>IF(B158=0,0,VLOOKUP(B158,Datensammler!B:U,3,0))</f>
        <v>#N/A</v>
      </c>
      <c r="D158" s="2" t="str">
        <f>IF(B158=0,0,VLOOKUP(B158,Datensammler!B:U,4,0))</f>
        <v>#N/A</v>
      </c>
      <c r="E158" s="2" t="str">
        <f>IF(B158=0,0,VLOOKUP(B158,Datensammler!B:U,5,0))</f>
        <v>#N/A</v>
      </c>
      <c r="F158" s="2" t="str">
        <f>IF(B158=0,0,VLOOKUP(B158,Datensammler!B:U,6,0))</f>
        <v>#N/A</v>
      </c>
      <c r="G158" s="2" t="str">
        <f>IF(B158=0,0,VLOOKUP(B158,Datensammler!B:U,7,0))</f>
        <v>#N/A</v>
      </c>
      <c r="H158" s="2" t="str">
        <f>IF(B158=0,0,VLOOKUP(B158,Datensammler!B:U,8,0))</f>
        <v>#N/A</v>
      </c>
      <c r="I158" s="2" t="str">
        <f>IF(B158=0,0,VLOOKUP(B158,Datensammler!B:U,9,0))</f>
        <v>#N/A</v>
      </c>
      <c r="J158" s="2" t="str">
        <f>IF(B158=0,0,VLOOKUP(B158,Datensammler!B:U,10,0))</f>
        <v>#N/A</v>
      </c>
      <c r="K158" s="2" t="str">
        <f>IF(B158=0,0,VLOOKUP(B158,Datensammler!B:U,11,0))</f>
        <v>#N/A</v>
      </c>
      <c r="L158" s="2" t="str">
        <f>IF(B158=0,0,VLOOKUP(B158,Datensammler!B:U,12,0))</f>
        <v>#N/A</v>
      </c>
      <c r="M158" s="2" t="str">
        <f>IF(B158=0,0,VLOOKUP(B158,Datensammler!B:U,13,0))</f>
        <v>#N/A</v>
      </c>
      <c r="N158" s="2" t="str">
        <f>IF(B158=0,0,VLOOKUP(B158,Datensammler!B:U,14,0))</f>
        <v>#N/A</v>
      </c>
      <c r="O158" s="2" t="str">
        <f>IF(B158=0,0,VLOOKUP(B158,Datensammler!B:U,15,0))</f>
        <v>#N/A</v>
      </c>
      <c r="P158" s="2" t="str">
        <f>IF(B158=0,0,VLOOKUP(B158,Datensammler!B:U,16,0))</f>
        <v>#N/A</v>
      </c>
      <c r="Q158" s="2" t="str">
        <f>IF(B158=0,0,VLOOKUP(B158,Datensammler!B:U,17,0))</f>
        <v>#N/A</v>
      </c>
      <c r="R158" s="2" t="str">
        <f>IF(B158=0,0,VLOOKUP(B158,Datensammler!B:U,18,0))</f>
        <v>#N/A</v>
      </c>
      <c r="S158" s="2" t="str">
        <f>IF(B158=0,0,VLOOKUP(B158,Datensammler!B:U,19,0))</f>
        <v>#N/A</v>
      </c>
      <c r="T158" s="2" t="str">
        <f>IF(B158=0,0,VLOOKUP(B158,Datensammler!B:U,20,0))</f>
        <v>#N/A</v>
      </c>
      <c r="U158" s="50" t="str">
        <f t="shared" ref="U158:AL158" si="161">C158</f>
        <v>#N/A</v>
      </c>
      <c r="V158" s="50" t="str">
        <f t="shared" si="161"/>
        <v>#N/A</v>
      </c>
      <c r="W158" s="50" t="str">
        <f t="shared" si="161"/>
        <v>#N/A</v>
      </c>
      <c r="X158" s="50" t="str">
        <f t="shared" si="161"/>
        <v>#N/A</v>
      </c>
      <c r="Y158" s="50" t="str">
        <f t="shared" si="161"/>
        <v>#N/A</v>
      </c>
      <c r="Z158" s="50" t="str">
        <f t="shared" si="161"/>
        <v>#N/A</v>
      </c>
      <c r="AA158" s="50" t="str">
        <f t="shared" si="161"/>
        <v>#N/A</v>
      </c>
      <c r="AB158" s="50" t="str">
        <f t="shared" si="161"/>
        <v>#N/A</v>
      </c>
      <c r="AC158" s="50" t="str">
        <f t="shared" si="161"/>
        <v>#N/A</v>
      </c>
      <c r="AD158" s="50" t="str">
        <f t="shared" si="161"/>
        <v>#N/A</v>
      </c>
      <c r="AE158" s="50" t="str">
        <f t="shared" si="161"/>
        <v>#N/A</v>
      </c>
      <c r="AF158" s="50" t="str">
        <f t="shared" si="161"/>
        <v>#N/A</v>
      </c>
      <c r="AG158" s="50" t="str">
        <f t="shared" si="161"/>
        <v>#N/A</v>
      </c>
      <c r="AH158" s="50" t="str">
        <f t="shared" si="161"/>
        <v>#N/A</v>
      </c>
      <c r="AI158" s="50" t="str">
        <f t="shared" si="161"/>
        <v>#N/A</v>
      </c>
      <c r="AJ158" s="50" t="str">
        <f t="shared" si="161"/>
        <v>#N/A</v>
      </c>
      <c r="AK158" s="50" t="str">
        <f t="shared" si="161"/>
        <v>#N/A</v>
      </c>
      <c r="AL158" s="50" t="str">
        <f t="shared" si="161"/>
        <v>#N/A</v>
      </c>
      <c r="AP158" s="2" t="str">
        <f t="shared" si="3"/>
        <v>#N/A</v>
      </c>
      <c r="AQ158" s="2" t="str">
        <f>IFERROR(__xludf.DUMMYFUNCTION("IF(V158&gt;0,MIN(FILTER(U158:AL158, U158:AL158&lt;&gt;0)),0)"),"#N/A")</f>
        <v>#N/A</v>
      </c>
      <c r="AS158" s="2" t="str">
        <f t="shared" si="4"/>
        <v>#N/A</v>
      </c>
      <c r="AU158" s="2">
        <f t="shared" si="5"/>
        <v>0</v>
      </c>
      <c r="AW158" s="2" t="str">
        <f t="shared" si="6"/>
        <v>#N/A</v>
      </c>
      <c r="AX158" s="2" t="str">
        <f>IFERROR(__xludf.DUMMYFUNCTION("IF(X158&gt;0,SMALL(FILTER(U158:AL158, U158:AL158&lt;&gt;0), 2),0)"),"#N/A")</f>
        <v>#N/A</v>
      </c>
      <c r="AY158" s="2" t="str">
        <f t="shared" si="7"/>
        <v>#N/A</v>
      </c>
      <c r="AZ158" s="2" t="str">
        <f t="shared" si="8"/>
        <v>#N/A</v>
      </c>
      <c r="BA158" s="2" t="str">
        <f>IFERROR(__xludf.DUMMYFUNCTION("IF(Y158&gt;0,SMALL(FILTER(U158:AL158, U158:AL158&lt;&gt;0), 3),0)"),"#N/A")</f>
        <v>#N/A</v>
      </c>
      <c r="BB158" s="2" t="str">
        <f t="shared" si="9"/>
        <v>#N/A</v>
      </c>
    </row>
    <row r="159">
      <c r="B159" s="2" t="str">
        <f>VLOOKUP(A159,Spieler!A:F,2,0)</f>
        <v>#N/A</v>
      </c>
      <c r="C159" s="2" t="str">
        <f>IF(B159=0,0,VLOOKUP(B159,Datensammler!B:U,3,0))</f>
        <v>#N/A</v>
      </c>
      <c r="D159" s="2" t="str">
        <f>IF(B159=0,0,VLOOKUP(B159,Datensammler!B:U,4,0))</f>
        <v>#N/A</v>
      </c>
      <c r="E159" s="2" t="str">
        <f>IF(B159=0,0,VLOOKUP(B159,Datensammler!B:U,5,0))</f>
        <v>#N/A</v>
      </c>
      <c r="F159" s="2" t="str">
        <f>IF(B159=0,0,VLOOKUP(B159,Datensammler!B:U,6,0))</f>
        <v>#N/A</v>
      </c>
      <c r="G159" s="2" t="str">
        <f>IF(B159=0,0,VLOOKUP(B159,Datensammler!B:U,7,0))</f>
        <v>#N/A</v>
      </c>
      <c r="H159" s="2" t="str">
        <f>IF(B159=0,0,VLOOKUP(B159,Datensammler!B:U,8,0))</f>
        <v>#N/A</v>
      </c>
      <c r="I159" s="2" t="str">
        <f>IF(B159=0,0,VLOOKUP(B159,Datensammler!B:U,9,0))</f>
        <v>#N/A</v>
      </c>
      <c r="J159" s="2" t="str">
        <f>IF(B159=0,0,VLOOKUP(B159,Datensammler!B:U,10,0))</f>
        <v>#N/A</v>
      </c>
      <c r="K159" s="2" t="str">
        <f>IF(B159=0,0,VLOOKUP(B159,Datensammler!B:U,11,0))</f>
        <v>#N/A</v>
      </c>
      <c r="L159" s="2" t="str">
        <f>IF(B159=0,0,VLOOKUP(B159,Datensammler!B:U,12,0))</f>
        <v>#N/A</v>
      </c>
      <c r="M159" s="2" t="str">
        <f>IF(B159=0,0,VLOOKUP(B159,Datensammler!B:U,13,0))</f>
        <v>#N/A</v>
      </c>
      <c r="N159" s="2" t="str">
        <f>IF(B159=0,0,VLOOKUP(B159,Datensammler!B:U,14,0))</f>
        <v>#N/A</v>
      </c>
      <c r="O159" s="2" t="str">
        <f>IF(B159=0,0,VLOOKUP(B159,Datensammler!B:U,15,0))</f>
        <v>#N/A</v>
      </c>
      <c r="P159" s="2" t="str">
        <f>IF(B159=0,0,VLOOKUP(B159,Datensammler!B:U,16,0))</f>
        <v>#N/A</v>
      </c>
      <c r="Q159" s="2" t="str">
        <f>IF(B159=0,0,VLOOKUP(B159,Datensammler!B:U,17,0))</f>
        <v>#N/A</v>
      </c>
      <c r="R159" s="2" t="str">
        <f>IF(B159=0,0,VLOOKUP(B159,Datensammler!B:U,18,0))</f>
        <v>#N/A</v>
      </c>
      <c r="S159" s="2" t="str">
        <f>IF(B159=0,0,VLOOKUP(B159,Datensammler!B:U,19,0))</f>
        <v>#N/A</v>
      </c>
      <c r="T159" s="2" t="str">
        <f>IF(B159=0,0,VLOOKUP(B159,Datensammler!B:U,20,0))</f>
        <v>#N/A</v>
      </c>
      <c r="U159" s="50" t="str">
        <f t="shared" ref="U159:AL159" si="162">C159</f>
        <v>#N/A</v>
      </c>
      <c r="V159" s="50" t="str">
        <f t="shared" si="162"/>
        <v>#N/A</v>
      </c>
      <c r="W159" s="50" t="str">
        <f t="shared" si="162"/>
        <v>#N/A</v>
      </c>
      <c r="X159" s="50" t="str">
        <f t="shared" si="162"/>
        <v>#N/A</v>
      </c>
      <c r="Y159" s="50" t="str">
        <f t="shared" si="162"/>
        <v>#N/A</v>
      </c>
      <c r="Z159" s="50" t="str">
        <f t="shared" si="162"/>
        <v>#N/A</v>
      </c>
      <c r="AA159" s="50" t="str">
        <f t="shared" si="162"/>
        <v>#N/A</v>
      </c>
      <c r="AB159" s="50" t="str">
        <f t="shared" si="162"/>
        <v>#N/A</v>
      </c>
      <c r="AC159" s="50" t="str">
        <f t="shared" si="162"/>
        <v>#N/A</v>
      </c>
      <c r="AD159" s="50" t="str">
        <f t="shared" si="162"/>
        <v>#N/A</v>
      </c>
      <c r="AE159" s="50" t="str">
        <f t="shared" si="162"/>
        <v>#N/A</v>
      </c>
      <c r="AF159" s="50" t="str">
        <f t="shared" si="162"/>
        <v>#N/A</v>
      </c>
      <c r="AG159" s="50" t="str">
        <f t="shared" si="162"/>
        <v>#N/A</v>
      </c>
      <c r="AH159" s="50" t="str">
        <f t="shared" si="162"/>
        <v>#N/A</v>
      </c>
      <c r="AI159" s="50" t="str">
        <f t="shared" si="162"/>
        <v>#N/A</v>
      </c>
      <c r="AJ159" s="50" t="str">
        <f t="shared" si="162"/>
        <v>#N/A</v>
      </c>
      <c r="AK159" s="50" t="str">
        <f t="shared" si="162"/>
        <v>#N/A</v>
      </c>
      <c r="AL159" s="50" t="str">
        <f t="shared" si="162"/>
        <v>#N/A</v>
      </c>
      <c r="AP159" s="2" t="str">
        <f t="shared" si="3"/>
        <v>#N/A</v>
      </c>
      <c r="AQ159" s="2" t="str">
        <f>IFERROR(__xludf.DUMMYFUNCTION("IF(V159&gt;0,MIN(FILTER(U159:AL159, U159:AL159&lt;&gt;0)),0)"),"#N/A")</f>
        <v>#N/A</v>
      </c>
      <c r="AS159" s="2" t="str">
        <f t="shared" si="4"/>
        <v>#N/A</v>
      </c>
      <c r="AU159" s="2">
        <f t="shared" si="5"/>
        <v>0</v>
      </c>
      <c r="AW159" s="2" t="str">
        <f t="shared" si="6"/>
        <v>#N/A</v>
      </c>
      <c r="AX159" s="2" t="str">
        <f>IFERROR(__xludf.DUMMYFUNCTION("IF(X159&gt;0,SMALL(FILTER(U159:AL159, U159:AL159&lt;&gt;0), 2),0)"),"#N/A")</f>
        <v>#N/A</v>
      </c>
      <c r="AY159" s="2" t="str">
        <f t="shared" si="7"/>
        <v>#N/A</v>
      </c>
      <c r="AZ159" s="2" t="str">
        <f t="shared" si="8"/>
        <v>#N/A</v>
      </c>
      <c r="BA159" s="2" t="str">
        <f>IFERROR(__xludf.DUMMYFUNCTION("IF(Y159&gt;0,SMALL(FILTER(U159:AL159, U159:AL159&lt;&gt;0), 3),0)"),"#N/A")</f>
        <v>#N/A</v>
      </c>
      <c r="BB159" s="2" t="str">
        <f t="shared" si="9"/>
        <v>#N/A</v>
      </c>
    </row>
    <row r="160">
      <c r="B160" s="2" t="str">
        <f>VLOOKUP(A160,Spieler!A:F,2,0)</f>
        <v>#N/A</v>
      </c>
      <c r="C160" s="2" t="str">
        <f>IF(B160=0,0,VLOOKUP(B160,Datensammler!B:U,3,0))</f>
        <v>#N/A</v>
      </c>
      <c r="D160" s="2" t="str">
        <f>IF(B160=0,0,VLOOKUP(B160,Datensammler!B:U,4,0))</f>
        <v>#N/A</v>
      </c>
      <c r="E160" s="2" t="str">
        <f>IF(B160=0,0,VLOOKUP(B160,Datensammler!B:U,5,0))</f>
        <v>#N/A</v>
      </c>
      <c r="F160" s="2" t="str">
        <f>IF(B160=0,0,VLOOKUP(B160,Datensammler!B:U,6,0))</f>
        <v>#N/A</v>
      </c>
      <c r="G160" s="2" t="str">
        <f>IF(B160=0,0,VLOOKUP(B160,Datensammler!B:U,7,0))</f>
        <v>#N/A</v>
      </c>
      <c r="H160" s="2" t="str">
        <f>IF(B160=0,0,VLOOKUP(B160,Datensammler!B:U,8,0))</f>
        <v>#N/A</v>
      </c>
      <c r="I160" s="2" t="str">
        <f>IF(B160=0,0,VLOOKUP(B160,Datensammler!B:U,9,0))</f>
        <v>#N/A</v>
      </c>
      <c r="J160" s="2" t="str">
        <f>IF(B160=0,0,VLOOKUP(B160,Datensammler!B:U,10,0))</f>
        <v>#N/A</v>
      </c>
      <c r="K160" s="2" t="str">
        <f>IF(B160=0,0,VLOOKUP(B160,Datensammler!B:U,11,0))</f>
        <v>#N/A</v>
      </c>
      <c r="L160" s="2" t="str">
        <f>IF(B160=0,0,VLOOKUP(B160,Datensammler!B:U,12,0))</f>
        <v>#N/A</v>
      </c>
      <c r="M160" s="2" t="str">
        <f>IF(B160=0,0,VLOOKUP(B160,Datensammler!B:U,13,0))</f>
        <v>#N/A</v>
      </c>
      <c r="N160" s="2" t="str">
        <f>IF(B160=0,0,VLOOKUP(B160,Datensammler!B:U,14,0))</f>
        <v>#N/A</v>
      </c>
      <c r="O160" s="2" t="str">
        <f>IF(B160=0,0,VLOOKUP(B160,Datensammler!B:U,15,0))</f>
        <v>#N/A</v>
      </c>
      <c r="P160" s="2" t="str">
        <f>IF(B160=0,0,VLOOKUP(B160,Datensammler!B:U,16,0))</f>
        <v>#N/A</v>
      </c>
      <c r="Q160" s="2" t="str">
        <f>IF(B160=0,0,VLOOKUP(B160,Datensammler!B:U,17,0))</f>
        <v>#N/A</v>
      </c>
      <c r="R160" s="2" t="str">
        <f>IF(B160=0,0,VLOOKUP(B160,Datensammler!B:U,18,0))</f>
        <v>#N/A</v>
      </c>
      <c r="S160" s="2" t="str">
        <f>IF(B160=0,0,VLOOKUP(B160,Datensammler!B:U,19,0))</f>
        <v>#N/A</v>
      </c>
      <c r="T160" s="2" t="str">
        <f>IF(B160=0,0,VLOOKUP(B160,Datensammler!B:U,20,0))</f>
        <v>#N/A</v>
      </c>
      <c r="U160" s="50" t="str">
        <f t="shared" ref="U160:AL160" si="163">C160</f>
        <v>#N/A</v>
      </c>
      <c r="V160" s="50" t="str">
        <f t="shared" si="163"/>
        <v>#N/A</v>
      </c>
      <c r="W160" s="50" t="str">
        <f t="shared" si="163"/>
        <v>#N/A</v>
      </c>
      <c r="X160" s="50" t="str">
        <f t="shared" si="163"/>
        <v>#N/A</v>
      </c>
      <c r="Y160" s="50" t="str">
        <f t="shared" si="163"/>
        <v>#N/A</v>
      </c>
      <c r="Z160" s="50" t="str">
        <f t="shared" si="163"/>
        <v>#N/A</v>
      </c>
      <c r="AA160" s="50" t="str">
        <f t="shared" si="163"/>
        <v>#N/A</v>
      </c>
      <c r="AB160" s="50" t="str">
        <f t="shared" si="163"/>
        <v>#N/A</v>
      </c>
      <c r="AC160" s="50" t="str">
        <f t="shared" si="163"/>
        <v>#N/A</v>
      </c>
      <c r="AD160" s="50" t="str">
        <f t="shared" si="163"/>
        <v>#N/A</v>
      </c>
      <c r="AE160" s="50" t="str">
        <f t="shared" si="163"/>
        <v>#N/A</v>
      </c>
      <c r="AF160" s="50" t="str">
        <f t="shared" si="163"/>
        <v>#N/A</v>
      </c>
      <c r="AG160" s="50" t="str">
        <f t="shared" si="163"/>
        <v>#N/A</v>
      </c>
      <c r="AH160" s="50" t="str">
        <f t="shared" si="163"/>
        <v>#N/A</v>
      </c>
      <c r="AI160" s="50" t="str">
        <f t="shared" si="163"/>
        <v>#N/A</v>
      </c>
      <c r="AJ160" s="50" t="str">
        <f t="shared" si="163"/>
        <v>#N/A</v>
      </c>
      <c r="AK160" s="50" t="str">
        <f t="shared" si="163"/>
        <v>#N/A</v>
      </c>
      <c r="AL160" s="50" t="str">
        <f t="shared" si="163"/>
        <v>#N/A</v>
      </c>
      <c r="AP160" s="2" t="str">
        <f t="shared" si="3"/>
        <v>#N/A</v>
      </c>
      <c r="AQ160" s="2" t="str">
        <f>IFERROR(__xludf.DUMMYFUNCTION("IF(V160&gt;0,MIN(FILTER(U160:AL160, U160:AL160&lt;&gt;0)),0)"),"#N/A")</f>
        <v>#N/A</v>
      </c>
      <c r="AS160" s="2" t="str">
        <f t="shared" si="4"/>
        <v>#N/A</v>
      </c>
      <c r="AU160" s="2">
        <f t="shared" si="5"/>
        <v>0</v>
      </c>
      <c r="AW160" s="2" t="str">
        <f t="shared" si="6"/>
        <v>#N/A</v>
      </c>
      <c r="AX160" s="2" t="str">
        <f>IFERROR(__xludf.DUMMYFUNCTION("IF(X160&gt;0,SMALL(FILTER(U160:AL160, U160:AL160&lt;&gt;0), 2),0)"),"#N/A")</f>
        <v>#N/A</v>
      </c>
      <c r="AY160" s="2" t="str">
        <f t="shared" si="7"/>
        <v>#N/A</v>
      </c>
      <c r="AZ160" s="2" t="str">
        <f t="shared" si="8"/>
        <v>#N/A</v>
      </c>
      <c r="BA160" s="2" t="str">
        <f>IFERROR(__xludf.DUMMYFUNCTION("IF(Y160&gt;0,SMALL(FILTER(U160:AL160, U160:AL160&lt;&gt;0), 3),0)"),"#N/A")</f>
        <v>#N/A</v>
      </c>
      <c r="BB160" s="2" t="str">
        <f t="shared" si="9"/>
        <v>#N/A</v>
      </c>
    </row>
    <row r="161">
      <c r="B161" s="2" t="str">
        <f>VLOOKUP(A161,Spieler!A:F,2,0)</f>
        <v>#N/A</v>
      </c>
      <c r="C161" s="2" t="str">
        <f>IF(B161=0,0,VLOOKUP(B161,Datensammler!B:U,3,0))</f>
        <v>#N/A</v>
      </c>
      <c r="D161" s="2" t="str">
        <f>IF(B161=0,0,VLOOKUP(B161,Datensammler!B:U,4,0))</f>
        <v>#N/A</v>
      </c>
      <c r="E161" s="2" t="str">
        <f>IF(B161=0,0,VLOOKUP(B161,Datensammler!B:U,5,0))</f>
        <v>#N/A</v>
      </c>
      <c r="F161" s="2" t="str">
        <f>IF(B161=0,0,VLOOKUP(B161,Datensammler!B:U,6,0))</f>
        <v>#N/A</v>
      </c>
      <c r="G161" s="2" t="str">
        <f>IF(B161=0,0,VLOOKUP(B161,Datensammler!B:U,7,0))</f>
        <v>#N/A</v>
      </c>
      <c r="H161" s="2" t="str">
        <f>IF(B161=0,0,VLOOKUP(B161,Datensammler!B:U,8,0))</f>
        <v>#N/A</v>
      </c>
      <c r="I161" s="2" t="str">
        <f>IF(B161=0,0,VLOOKUP(B161,Datensammler!B:U,9,0))</f>
        <v>#N/A</v>
      </c>
      <c r="J161" s="2" t="str">
        <f>IF(B161=0,0,VLOOKUP(B161,Datensammler!B:U,10,0))</f>
        <v>#N/A</v>
      </c>
      <c r="K161" s="2" t="str">
        <f>IF(B161=0,0,VLOOKUP(B161,Datensammler!B:U,11,0))</f>
        <v>#N/A</v>
      </c>
      <c r="L161" s="2" t="str">
        <f>IF(B161=0,0,VLOOKUP(B161,Datensammler!B:U,12,0))</f>
        <v>#N/A</v>
      </c>
      <c r="M161" s="2" t="str">
        <f>IF(B161=0,0,VLOOKUP(B161,Datensammler!B:U,13,0))</f>
        <v>#N/A</v>
      </c>
      <c r="N161" s="2" t="str">
        <f>IF(B161=0,0,VLOOKUP(B161,Datensammler!B:U,14,0))</f>
        <v>#N/A</v>
      </c>
      <c r="O161" s="2" t="str">
        <f>IF(B161=0,0,VLOOKUP(B161,Datensammler!B:U,15,0))</f>
        <v>#N/A</v>
      </c>
      <c r="P161" s="2" t="str">
        <f>IF(B161=0,0,VLOOKUP(B161,Datensammler!B:U,16,0))</f>
        <v>#N/A</v>
      </c>
      <c r="Q161" s="2" t="str">
        <f>IF(B161=0,0,VLOOKUP(B161,Datensammler!B:U,17,0))</f>
        <v>#N/A</v>
      </c>
      <c r="R161" s="2" t="str">
        <f>IF(B161=0,0,VLOOKUP(B161,Datensammler!B:U,18,0))</f>
        <v>#N/A</v>
      </c>
      <c r="S161" s="2" t="str">
        <f>IF(B161=0,0,VLOOKUP(B161,Datensammler!B:U,19,0))</f>
        <v>#N/A</v>
      </c>
      <c r="T161" s="2" t="str">
        <f>IF(B161=0,0,VLOOKUP(B161,Datensammler!B:U,20,0))</f>
        <v>#N/A</v>
      </c>
      <c r="U161" s="50" t="str">
        <f t="shared" ref="U161:AL161" si="164">C161</f>
        <v>#N/A</v>
      </c>
      <c r="V161" s="50" t="str">
        <f t="shared" si="164"/>
        <v>#N/A</v>
      </c>
      <c r="W161" s="50" t="str">
        <f t="shared" si="164"/>
        <v>#N/A</v>
      </c>
      <c r="X161" s="50" t="str">
        <f t="shared" si="164"/>
        <v>#N/A</v>
      </c>
      <c r="Y161" s="50" t="str">
        <f t="shared" si="164"/>
        <v>#N/A</v>
      </c>
      <c r="Z161" s="50" t="str">
        <f t="shared" si="164"/>
        <v>#N/A</v>
      </c>
      <c r="AA161" s="50" t="str">
        <f t="shared" si="164"/>
        <v>#N/A</v>
      </c>
      <c r="AB161" s="50" t="str">
        <f t="shared" si="164"/>
        <v>#N/A</v>
      </c>
      <c r="AC161" s="50" t="str">
        <f t="shared" si="164"/>
        <v>#N/A</v>
      </c>
      <c r="AD161" s="50" t="str">
        <f t="shared" si="164"/>
        <v>#N/A</v>
      </c>
      <c r="AE161" s="50" t="str">
        <f t="shared" si="164"/>
        <v>#N/A</v>
      </c>
      <c r="AF161" s="50" t="str">
        <f t="shared" si="164"/>
        <v>#N/A</v>
      </c>
      <c r="AG161" s="50" t="str">
        <f t="shared" si="164"/>
        <v>#N/A</v>
      </c>
      <c r="AH161" s="50" t="str">
        <f t="shared" si="164"/>
        <v>#N/A</v>
      </c>
      <c r="AI161" s="50" t="str">
        <f t="shared" si="164"/>
        <v>#N/A</v>
      </c>
      <c r="AJ161" s="50" t="str">
        <f t="shared" si="164"/>
        <v>#N/A</v>
      </c>
      <c r="AK161" s="50" t="str">
        <f t="shared" si="164"/>
        <v>#N/A</v>
      </c>
      <c r="AL161" s="50" t="str">
        <f t="shared" si="164"/>
        <v>#N/A</v>
      </c>
      <c r="AP161" s="2" t="str">
        <f t="shared" si="3"/>
        <v>#N/A</v>
      </c>
      <c r="AQ161" s="2" t="str">
        <f>IFERROR(__xludf.DUMMYFUNCTION("IF(V161&gt;0,MIN(FILTER(U161:AL161, U161:AL161&lt;&gt;0)),0)"),"#N/A")</f>
        <v>#N/A</v>
      </c>
      <c r="AS161" s="2" t="str">
        <f t="shared" si="4"/>
        <v>#N/A</v>
      </c>
      <c r="AU161" s="2">
        <f t="shared" si="5"/>
        <v>0</v>
      </c>
      <c r="AW161" s="2" t="str">
        <f t="shared" si="6"/>
        <v>#N/A</v>
      </c>
      <c r="AX161" s="2" t="str">
        <f>IFERROR(__xludf.DUMMYFUNCTION("IF(X161&gt;0,SMALL(FILTER(U161:AL161, U161:AL161&lt;&gt;0), 2),0)"),"#N/A")</f>
        <v>#N/A</v>
      </c>
      <c r="AY161" s="2" t="str">
        <f t="shared" si="7"/>
        <v>#N/A</v>
      </c>
      <c r="AZ161" s="2" t="str">
        <f t="shared" si="8"/>
        <v>#N/A</v>
      </c>
      <c r="BA161" s="2" t="str">
        <f>IFERROR(__xludf.DUMMYFUNCTION("IF(Y161&gt;0,SMALL(FILTER(U161:AL161, U161:AL161&lt;&gt;0), 3),0)"),"#N/A")</f>
        <v>#N/A</v>
      </c>
      <c r="BB161" s="2" t="str">
        <f t="shared" si="9"/>
        <v>#N/A</v>
      </c>
    </row>
    <row r="162">
      <c r="B162" s="2" t="str">
        <f>VLOOKUP(A162,Spieler!A:F,2,0)</f>
        <v>#N/A</v>
      </c>
      <c r="C162" s="2" t="str">
        <f>IF(B162=0,0,VLOOKUP(B162,Datensammler!B:U,3,0))</f>
        <v>#N/A</v>
      </c>
      <c r="D162" s="2" t="str">
        <f>IF(B162=0,0,VLOOKUP(B162,Datensammler!B:U,4,0))</f>
        <v>#N/A</v>
      </c>
      <c r="E162" s="2" t="str">
        <f>IF(B162=0,0,VLOOKUP(B162,Datensammler!B:U,5,0))</f>
        <v>#N/A</v>
      </c>
      <c r="F162" s="2" t="str">
        <f>IF(B162=0,0,VLOOKUP(B162,Datensammler!B:U,6,0))</f>
        <v>#N/A</v>
      </c>
      <c r="G162" s="2" t="str">
        <f>IF(B162=0,0,VLOOKUP(B162,Datensammler!B:U,7,0))</f>
        <v>#N/A</v>
      </c>
      <c r="H162" s="2" t="str">
        <f>IF(B162=0,0,VLOOKUP(B162,Datensammler!B:U,8,0))</f>
        <v>#N/A</v>
      </c>
      <c r="I162" s="2" t="str">
        <f>IF(B162=0,0,VLOOKUP(B162,Datensammler!B:U,9,0))</f>
        <v>#N/A</v>
      </c>
      <c r="J162" s="2" t="str">
        <f>IF(B162=0,0,VLOOKUP(B162,Datensammler!B:U,10,0))</f>
        <v>#N/A</v>
      </c>
      <c r="K162" s="2" t="str">
        <f>IF(B162=0,0,VLOOKUP(B162,Datensammler!B:U,11,0))</f>
        <v>#N/A</v>
      </c>
      <c r="L162" s="2" t="str">
        <f>IF(B162=0,0,VLOOKUP(B162,Datensammler!B:U,12,0))</f>
        <v>#N/A</v>
      </c>
      <c r="M162" s="2" t="str">
        <f>IF(B162=0,0,VLOOKUP(B162,Datensammler!B:U,13,0))</f>
        <v>#N/A</v>
      </c>
      <c r="N162" s="2" t="str">
        <f>IF(B162=0,0,VLOOKUP(B162,Datensammler!B:U,14,0))</f>
        <v>#N/A</v>
      </c>
      <c r="O162" s="2" t="str">
        <f>IF(B162=0,0,VLOOKUP(B162,Datensammler!B:U,15,0))</f>
        <v>#N/A</v>
      </c>
      <c r="P162" s="2" t="str">
        <f>IF(B162=0,0,VLOOKUP(B162,Datensammler!B:U,16,0))</f>
        <v>#N/A</v>
      </c>
      <c r="Q162" s="2" t="str">
        <f>IF(B162=0,0,VLOOKUP(B162,Datensammler!B:U,17,0))</f>
        <v>#N/A</v>
      </c>
      <c r="R162" s="2" t="str">
        <f>IF(B162=0,0,VLOOKUP(B162,Datensammler!B:U,18,0))</f>
        <v>#N/A</v>
      </c>
      <c r="S162" s="2" t="str">
        <f>IF(B162=0,0,VLOOKUP(B162,Datensammler!B:U,19,0))</f>
        <v>#N/A</v>
      </c>
      <c r="T162" s="2" t="str">
        <f>IF(B162=0,0,VLOOKUP(B162,Datensammler!B:U,20,0))</f>
        <v>#N/A</v>
      </c>
      <c r="U162" s="50" t="str">
        <f t="shared" ref="U162:AL162" si="165">C162</f>
        <v>#N/A</v>
      </c>
      <c r="V162" s="50" t="str">
        <f t="shared" si="165"/>
        <v>#N/A</v>
      </c>
      <c r="W162" s="50" t="str">
        <f t="shared" si="165"/>
        <v>#N/A</v>
      </c>
      <c r="X162" s="50" t="str">
        <f t="shared" si="165"/>
        <v>#N/A</v>
      </c>
      <c r="Y162" s="50" t="str">
        <f t="shared" si="165"/>
        <v>#N/A</v>
      </c>
      <c r="Z162" s="50" t="str">
        <f t="shared" si="165"/>
        <v>#N/A</v>
      </c>
      <c r="AA162" s="50" t="str">
        <f t="shared" si="165"/>
        <v>#N/A</v>
      </c>
      <c r="AB162" s="50" t="str">
        <f t="shared" si="165"/>
        <v>#N/A</v>
      </c>
      <c r="AC162" s="50" t="str">
        <f t="shared" si="165"/>
        <v>#N/A</v>
      </c>
      <c r="AD162" s="50" t="str">
        <f t="shared" si="165"/>
        <v>#N/A</v>
      </c>
      <c r="AE162" s="50" t="str">
        <f t="shared" si="165"/>
        <v>#N/A</v>
      </c>
      <c r="AF162" s="50" t="str">
        <f t="shared" si="165"/>
        <v>#N/A</v>
      </c>
      <c r="AG162" s="50" t="str">
        <f t="shared" si="165"/>
        <v>#N/A</v>
      </c>
      <c r="AH162" s="50" t="str">
        <f t="shared" si="165"/>
        <v>#N/A</v>
      </c>
      <c r="AI162" s="50" t="str">
        <f t="shared" si="165"/>
        <v>#N/A</v>
      </c>
      <c r="AJ162" s="50" t="str">
        <f t="shared" si="165"/>
        <v>#N/A</v>
      </c>
      <c r="AK162" s="50" t="str">
        <f t="shared" si="165"/>
        <v>#N/A</v>
      </c>
      <c r="AL162" s="50" t="str">
        <f t="shared" si="165"/>
        <v>#N/A</v>
      </c>
      <c r="AP162" s="2" t="str">
        <f t="shared" si="3"/>
        <v>#N/A</v>
      </c>
      <c r="AQ162" s="2" t="str">
        <f>IFERROR(__xludf.DUMMYFUNCTION("IF(V162&gt;0,MIN(FILTER(U162:AL162, U162:AL162&lt;&gt;0)),0)"),"#N/A")</f>
        <v>#N/A</v>
      </c>
      <c r="AS162" s="2" t="str">
        <f t="shared" si="4"/>
        <v>#N/A</v>
      </c>
      <c r="AU162" s="2">
        <f t="shared" si="5"/>
        <v>0</v>
      </c>
      <c r="AW162" s="2" t="str">
        <f t="shared" si="6"/>
        <v>#N/A</v>
      </c>
      <c r="AX162" s="2" t="str">
        <f>IFERROR(__xludf.DUMMYFUNCTION("IF(X162&gt;0,SMALL(FILTER(U162:AL162, U162:AL162&lt;&gt;0), 2),0)"),"#N/A")</f>
        <v>#N/A</v>
      </c>
      <c r="AY162" s="2" t="str">
        <f t="shared" si="7"/>
        <v>#N/A</v>
      </c>
      <c r="AZ162" s="2" t="str">
        <f t="shared" si="8"/>
        <v>#N/A</v>
      </c>
      <c r="BA162" s="2" t="str">
        <f>IFERROR(__xludf.DUMMYFUNCTION("IF(Y162&gt;0,SMALL(FILTER(U162:AL162, U162:AL162&lt;&gt;0), 3),0)"),"#N/A")</f>
        <v>#N/A</v>
      </c>
      <c r="BB162" s="2" t="str">
        <f t="shared" si="9"/>
        <v>#N/A</v>
      </c>
    </row>
    <row r="163">
      <c r="B163" s="2" t="str">
        <f>VLOOKUP(A163,Spieler!A:F,2,0)</f>
        <v>#N/A</v>
      </c>
      <c r="C163" s="2" t="str">
        <f>IF(B163=0,0,VLOOKUP(B163,Datensammler!B:U,3,0))</f>
        <v>#N/A</v>
      </c>
      <c r="D163" s="2" t="str">
        <f>IF(B163=0,0,VLOOKUP(B163,Datensammler!B:U,4,0))</f>
        <v>#N/A</v>
      </c>
      <c r="E163" s="2" t="str">
        <f>IF(B163=0,0,VLOOKUP(B163,Datensammler!B:U,5,0))</f>
        <v>#N/A</v>
      </c>
      <c r="F163" s="2" t="str">
        <f>IF(B163=0,0,VLOOKUP(B163,Datensammler!B:U,6,0))</f>
        <v>#N/A</v>
      </c>
      <c r="G163" s="2" t="str">
        <f>IF(B163=0,0,VLOOKUP(B163,Datensammler!B:U,7,0))</f>
        <v>#N/A</v>
      </c>
      <c r="H163" s="2" t="str">
        <f>IF(B163=0,0,VLOOKUP(B163,Datensammler!B:U,8,0))</f>
        <v>#N/A</v>
      </c>
      <c r="I163" s="2" t="str">
        <f>IF(B163=0,0,VLOOKUP(B163,Datensammler!B:U,9,0))</f>
        <v>#N/A</v>
      </c>
      <c r="J163" s="2" t="str">
        <f>IF(B163=0,0,VLOOKUP(B163,Datensammler!B:U,10,0))</f>
        <v>#N/A</v>
      </c>
      <c r="K163" s="2" t="str">
        <f>IF(B163=0,0,VLOOKUP(B163,Datensammler!B:U,11,0))</f>
        <v>#N/A</v>
      </c>
      <c r="L163" s="2" t="str">
        <f>IF(B163=0,0,VLOOKUP(B163,Datensammler!B:U,12,0))</f>
        <v>#N/A</v>
      </c>
      <c r="M163" s="2" t="str">
        <f>IF(B163=0,0,VLOOKUP(B163,Datensammler!B:U,13,0))</f>
        <v>#N/A</v>
      </c>
      <c r="N163" s="2" t="str">
        <f>IF(B163=0,0,VLOOKUP(B163,Datensammler!B:U,14,0))</f>
        <v>#N/A</v>
      </c>
      <c r="O163" s="2" t="str">
        <f>IF(B163=0,0,VLOOKUP(B163,Datensammler!B:U,15,0))</f>
        <v>#N/A</v>
      </c>
      <c r="P163" s="2" t="str">
        <f>IF(B163=0,0,VLOOKUP(B163,Datensammler!B:U,16,0))</f>
        <v>#N/A</v>
      </c>
      <c r="Q163" s="2" t="str">
        <f>IF(B163=0,0,VLOOKUP(B163,Datensammler!B:U,17,0))</f>
        <v>#N/A</v>
      </c>
      <c r="R163" s="2" t="str">
        <f>IF(B163=0,0,VLOOKUP(B163,Datensammler!B:U,18,0))</f>
        <v>#N/A</v>
      </c>
      <c r="S163" s="2" t="str">
        <f>IF(B163=0,0,VLOOKUP(B163,Datensammler!B:U,19,0))</f>
        <v>#N/A</v>
      </c>
      <c r="T163" s="2" t="str">
        <f>IF(B163=0,0,VLOOKUP(B163,Datensammler!B:U,20,0))</f>
        <v>#N/A</v>
      </c>
      <c r="U163" s="50" t="str">
        <f t="shared" ref="U163:AL163" si="166">C163</f>
        <v>#N/A</v>
      </c>
      <c r="V163" s="50" t="str">
        <f t="shared" si="166"/>
        <v>#N/A</v>
      </c>
      <c r="W163" s="50" t="str">
        <f t="shared" si="166"/>
        <v>#N/A</v>
      </c>
      <c r="X163" s="50" t="str">
        <f t="shared" si="166"/>
        <v>#N/A</v>
      </c>
      <c r="Y163" s="50" t="str">
        <f t="shared" si="166"/>
        <v>#N/A</v>
      </c>
      <c r="Z163" s="50" t="str">
        <f t="shared" si="166"/>
        <v>#N/A</v>
      </c>
      <c r="AA163" s="50" t="str">
        <f t="shared" si="166"/>
        <v>#N/A</v>
      </c>
      <c r="AB163" s="50" t="str">
        <f t="shared" si="166"/>
        <v>#N/A</v>
      </c>
      <c r="AC163" s="50" t="str">
        <f t="shared" si="166"/>
        <v>#N/A</v>
      </c>
      <c r="AD163" s="50" t="str">
        <f t="shared" si="166"/>
        <v>#N/A</v>
      </c>
      <c r="AE163" s="50" t="str">
        <f t="shared" si="166"/>
        <v>#N/A</v>
      </c>
      <c r="AF163" s="50" t="str">
        <f t="shared" si="166"/>
        <v>#N/A</v>
      </c>
      <c r="AG163" s="50" t="str">
        <f t="shared" si="166"/>
        <v>#N/A</v>
      </c>
      <c r="AH163" s="50" t="str">
        <f t="shared" si="166"/>
        <v>#N/A</v>
      </c>
      <c r="AI163" s="50" t="str">
        <f t="shared" si="166"/>
        <v>#N/A</v>
      </c>
      <c r="AJ163" s="50" t="str">
        <f t="shared" si="166"/>
        <v>#N/A</v>
      </c>
      <c r="AK163" s="50" t="str">
        <f t="shared" si="166"/>
        <v>#N/A</v>
      </c>
      <c r="AL163" s="50" t="str">
        <f t="shared" si="166"/>
        <v>#N/A</v>
      </c>
      <c r="AP163" s="2" t="str">
        <f t="shared" si="3"/>
        <v>#N/A</v>
      </c>
      <c r="AQ163" s="2" t="str">
        <f>IFERROR(__xludf.DUMMYFUNCTION("IF(V163&gt;0,MIN(FILTER(U163:AL163, U163:AL163&lt;&gt;0)),0)"),"#N/A")</f>
        <v>#N/A</v>
      </c>
      <c r="AS163" s="2" t="str">
        <f t="shared" si="4"/>
        <v>#N/A</v>
      </c>
      <c r="AU163" s="2">
        <f t="shared" si="5"/>
        <v>0</v>
      </c>
      <c r="AW163" s="2" t="str">
        <f t="shared" si="6"/>
        <v>#N/A</v>
      </c>
      <c r="AX163" s="2" t="str">
        <f>IFERROR(__xludf.DUMMYFUNCTION("IF(X163&gt;0,SMALL(FILTER(U163:AL163, U163:AL163&lt;&gt;0), 2),0)"),"#N/A")</f>
        <v>#N/A</v>
      </c>
      <c r="AY163" s="2" t="str">
        <f t="shared" si="7"/>
        <v>#N/A</v>
      </c>
      <c r="AZ163" s="2" t="str">
        <f t="shared" si="8"/>
        <v>#N/A</v>
      </c>
      <c r="BA163" s="2" t="str">
        <f>IFERROR(__xludf.DUMMYFUNCTION("IF(Y163&gt;0,SMALL(FILTER(U163:AL163, U163:AL163&lt;&gt;0), 3),0)"),"#N/A")</f>
        <v>#N/A</v>
      </c>
      <c r="BB163" s="2" t="str">
        <f t="shared" si="9"/>
        <v>#N/A</v>
      </c>
    </row>
    <row r="164">
      <c r="B164" s="2" t="str">
        <f>VLOOKUP(A164,Spieler!A:F,2,0)</f>
        <v>#N/A</v>
      </c>
      <c r="C164" s="2" t="str">
        <f>IF(B164=0,0,VLOOKUP(B164,Datensammler!B:U,3,0))</f>
        <v>#N/A</v>
      </c>
      <c r="D164" s="2" t="str">
        <f>IF(B164=0,0,VLOOKUP(B164,Datensammler!B:U,4,0))</f>
        <v>#N/A</v>
      </c>
      <c r="E164" s="2" t="str">
        <f>IF(B164=0,0,VLOOKUP(B164,Datensammler!B:U,5,0))</f>
        <v>#N/A</v>
      </c>
      <c r="F164" s="2" t="str">
        <f>IF(B164=0,0,VLOOKUP(B164,Datensammler!B:U,6,0))</f>
        <v>#N/A</v>
      </c>
      <c r="G164" s="2" t="str">
        <f>IF(B164=0,0,VLOOKUP(B164,Datensammler!B:U,7,0))</f>
        <v>#N/A</v>
      </c>
      <c r="H164" s="2" t="str">
        <f>IF(B164=0,0,VLOOKUP(B164,Datensammler!B:U,8,0))</f>
        <v>#N/A</v>
      </c>
      <c r="I164" s="2" t="str">
        <f>IF(B164=0,0,VLOOKUP(B164,Datensammler!B:U,9,0))</f>
        <v>#N/A</v>
      </c>
      <c r="J164" s="2" t="str">
        <f>IF(B164=0,0,VLOOKUP(B164,Datensammler!B:U,10,0))</f>
        <v>#N/A</v>
      </c>
      <c r="K164" s="2" t="str">
        <f>IF(B164=0,0,VLOOKUP(B164,Datensammler!B:U,11,0))</f>
        <v>#N/A</v>
      </c>
      <c r="L164" s="2" t="str">
        <f>IF(B164=0,0,VLOOKUP(B164,Datensammler!B:U,12,0))</f>
        <v>#N/A</v>
      </c>
      <c r="M164" s="2" t="str">
        <f>IF(B164=0,0,VLOOKUP(B164,Datensammler!B:U,13,0))</f>
        <v>#N/A</v>
      </c>
      <c r="N164" s="2" t="str">
        <f>IF(B164=0,0,VLOOKUP(B164,Datensammler!B:U,14,0))</f>
        <v>#N/A</v>
      </c>
      <c r="O164" s="2" t="str">
        <f>IF(B164=0,0,VLOOKUP(B164,Datensammler!B:U,15,0))</f>
        <v>#N/A</v>
      </c>
      <c r="P164" s="2" t="str">
        <f>IF(B164=0,0,VLOOKUP(B164,Datensammler!B:U,16,0))</f>
        <v>#N/A</v>
      </c>
      <c r="Q164" s="2" t="str">
        <f>IF(B164=0,0,VLOOKUP(B164,Datensammler!B:U,17,0))</f>
        <v>#N/A</v>
      </c>
      <c r="R164" s="2" t="str">
        <f>IF(B164=0,0,VLOOKUP(B164,Datensammler!B:U,18,0))</f>
        <v>#N/A</v>
      </c>
      <c r="S164" s="2" t="str">
        <f>IF(B164=0,0,VLOOKUP(B164,Datensammler!B:U,19,0))</f>
        <v>#N/A</v>
      </c>
      <c r="T164" s="2" t="str">
        <f>IF(B164=0,0,VLOOKUP(B164,Datensammler!B:U,20,0))</f>
        <v>#N/A</v>
      </c>
      <c r="U164" s="50" t="str">
        <f t="shared" ref="U164:AL164" si="167">C164</f>
        <v>#N/A</v>
      </c>
      <c r="V164" s="50" t="str">
        <f t="shared" si="167"/>
        <v>#N/A</v>
      </c>
      <c r="W164" s="50" t="str">
        <f t="shared" si="167"/>
        <v>#N/A</v>
      </c>
      <c r="X164" s="50" t="str">
        <f t="shared" si="167"/>
        <v>#N/A</v>
      </c>
      <c r="Y164" s="50" t="str">
        <f t="shared" si="167"/>
        <v>#N/A</v>
      </c>
      <c r="Z164" s="50" t="str">
        <f t="shared" si="167"/>
        <v>#N/A</v>
      </c>
      <c r="AA164" s="50" t="str">
        <f t="shared" si="167"/>
        <v>#N/A</v>
      </c>
      <c r="AB164" s="50" t="str">
        <f t="shared" si="167"/>
        <v>#N/A</v>
      </c>
      <c r="AC164" s="50" t="str">
        <f t="shared" si="167"/>
        <v>#N/A</v>
      </c>
      <c r="AD164" s="50" t="str">
        <f t="shared" si="167"/>
        <v>#N/A</v>
      </c>
      <c r="AE164" s="50" t="str">
        <f t="shared" si="167"/>
        <v>#N/A</v>
      </c>
      <c r="AF164" s="50" t="str">
        <f t="shared" si="167"/>
        <v>#N/A</v>
      </c>
      <c r="AG164" s="50" t="str">
        <f t="shared" si="167"/>
        <v>#N/A</v>
      </c>
      <c r="AH164" s="50" t="str">
        <f t="shared" si="167"/>
        <v>#N/A</v>
      </c>
      <c r="AI164" s="50" t="str">
        <f t="shared" si="167"/>
        <v>#N/A</v>
      </c>
      <c r="AJ164" s="50" t="str">
        <f t="shared" si="167"/>
        <v>#N/A</v>
      </c>
      <c r="AK164" s="50" t="str">
        <f t="shared" si="167"/>
        <v>#N/A</v>
      </c>
      <c r="AL164" s="50" t="str">
        <f t="shared" si="167"/>
        <v>#N/A</v>
      </c>
      <c r="AP164" s="2" t="str">
        <f t="shared" si="3"/>
        <v>#N/A</v>
      </c>
      <c r="AQ164" s="2" t="str">
        <f>IFERROR(__xludf.DUMMYFUNCTION("IF(V164&gt;0,MIN(FILTER(U164:AL164, U164:AL164&lt;&gt;0)),0)"),"#N/A")</f>
        <v>#N/A</v>
      </c>
      <c r="AS164" s="2" t="str">
        <f t="shared" si="4"/>
        <v>#N/A</v>
      </c>
      <c r="AU164" s="2">
        <f t="shared" si="5"/>
        <v>0</v>
      </c>
      <c r="AW164" s="2" t="str">
        <f t="shared" si="6"/>
        <v>#N/A</v>
      </c>
      <c r="AX164" s="2" t="str">
        <f>IFERROR(__xludf.DUMMYFUNCTION("IF(X164&gt;0,SMALL(FILTER(U164:AL164, U164:AL164&lt;&gt;0), 2),0)"),"#N/A")</f>
        <v>#N/A</v>
      </c>
      <c r="AY164" s="2" t="str">
        <f t="shared" si="7"/>
        <v>#N/A</v>
      </c>
      <c r="AZ164" s="2" t="str">
        <f t="shared" si="8"/>
        <v>#N/A</v>
      </c>
      <c r="BA164" s="2" t="str">
        <f>IFERROR(__xludf.DUMMYFUNCTION("IF(Y164&gt;0,SMALL(FILTER(U164:AL164, U164:AL164&lt;&gt;0), 3),0)"),"#N/A")</f>
        <v>#N/A</v>
      </c>
      <c r="BB164" s="2" t="str">
        <f t="shared" si="9"/>
        <v>#N/A</v>
      </c>
    </row>
    <row r="165">
      <c r="B165" s="2" t="str">
        <f>VLOOKUP(A165,Spieler!A:F,2,0)</f>
        <v>#N/A</v>
      </c>
      <c r="C165" s="2" t="str">
        <f>IF(B165=0,0,VLOOKUP(B165,Datensammler!B:U,3,0))</f>
        <v>#N/A</v>
      </c>
      <c r="D165" s="2" t="str">
        <f>IF(B165=0,0,VLOOKUP(B165,Datensammler!B:U,4,0))</f>
        <v>#N/A</v>
      </c>
      <c r="E165" s="2" t="str">
        <f>IF(B165=0,0,VLOOKUP(B165,Datensammler!B:U,5,0))</f>
        <v>#N/A</v>
      </c>
      <c r="F165" s="2" t="str">
        <f>IF(B165=0,0,VLOOKUP(B165,Datensammler!B:U,6,0))</f>
        <v>#N/A</v>
      </c>
      <c r="G165" s="2" t="str">
        <f>IF(B165=0,0,VLOOKUP(B165,Datensammler!B:U,7,0))</f>
        <v>#N/A</v>
      </c>
      <c r="H165" s="2" t="str">
        <f>IF(B165=0,0,VLOOKUP(B165,Datensammler!B:U,8,0))</f>
        <v>#N/A</v>
      </c>
      <c r="I165" s="2" t="str">
        <f>IF(B165=0,0,VLOOKUP(B165,Datensammler!B:U,9,0))</f>
        <v>#N/A</v>
      </c>
      <c r="J165" s="2" t="str">
        <f>IF(B165=0,0,VLOOKUP(B165,Datensammler!B:U,10,0))</f>
        <v>#N/A</v>
      </c>
      <c r="K165" s="2" t="str">
        <f>IF(B165=0,0,VLOOKUP(B165,Datensammler!B:U,11,0))</f>
        <v>#N/A</v>
      </c>
      <c r="L165" s="2" t="str">
        <f>IF(B165=0,0,VLOOKUP(B165,Datensammler!B:U,12,0))</f>
        <v>#N/A</v>
      </c>
      <c r="M165" s="2" t="str">
        <f>IF(B165=0,0,VLOOKUP(B165,Datensammler!B:U,13,0))</f>
        <v>#N/A</v>
      </c>
      <c r="N165" s="2" t="str">
        <f>IF(B165=0,0,VLOOKUP(B165,Datensammler!B:U,14,0))</f>
        <v>#N/A</v>
      </c>
      <c r="O165" s="2" t="str">
        <f>IF(B165=0,0,VLOOKUP(B165,Datensammler!B:U,15,0))</f>
        <v>#N/A</v>
      </c>
      <c r="P165" s="2" t="str">
        <f>IF(B165=0,0,VLOOKUP(B165,Datensammler!B:U,16,0))</f>
        <v>#N/A</v>
      </c>
      <c r="Q165" s="2" t="str">
        <f>IF(B165=0,0,VLOOKUP(B165,Datensammler!B:U,17,0))</f>
        <v>#N/A</v>
      </c>
      <c r="R165" s="2" t="str">
        <f>IF(B165=0,0,VLOOKUP(B165,Datensammler!B:U,18,0))</f>
        <v>#N/A</v>
      </c>
      <c r="S165" s="2" t="str">
        <f>IF(B165=0,0,VLOOKUP(B165,Datensammler!B:U,19,0))</f>
        <v>#N/A</v>
      </c>
      <c r="T165" s="2" t="str">
        <f>IF(B165=0,0,VLOOKUP(B165,Datensammler!B:U,20,0))</f>
        <v>#N/A</v>
      </c>
      <c r="U165" s="50" t="str">
        <f t="shared" ref="U165:AL165" si="168">C165</f>
        <v>#N/A</v>
      </c>
      <c r="V165" s="50" t="str">
        <f t="shared" si="168"/>
        <v>#N/A</v>
      </c>
      <c r="W165" s="50" t="str">
        <f t="shared" si="168"/>
        <v>#N/A</v>
      </c>
      <c r="X165" s="50" t="str">
        <f t="shared" si="168"/>
        <v>#N/A</v>
      </c>
      <c r="Y165" s="50" t="str">
        <f t="shared" si="168"/>
        <v>#N/A</v>
      </c>
      <c r="Z165" s="50" t="str">
        <f t="shared" si="168"/>
        <v>#N/A</v>
      </c>
      <c r="AA165" s="50" t="str">
        <f t="shared" si="168"/>
        <v>#N/A</v>
      </c>
      <c r="AB165" s="50" t="str">
        <f t="shared" si="168"/>
        <v>#N/A</v>
      </c>
      <c r="AC165" s="50" t="str">
        <f t="shared" si="168"/>
        <v>#N/A</v>
      </c>
      <c r="AD165" s="50" t="str">
        <f t="shared" si="168"/>
        <v>#N/A</v>
      </c>
      <c r="AE165" s="50" t="str">
        <f t="shared" si="168"/>
        <v>#N/A</v>
      </c>
      <c r="AF165" s="50" t="str">
        <f t="shared" si="168"/>
        <v>#N/A</v>
      </c>
      <c r="AG165" s="50" t="str">
        <f t="shared" si="168"/>
        <v>#N/A</v>
      </c>
      <c r="AH165" s="50" t="str">
        <f t="shared" si="168"/>
        <v>#N/A</v>
      </c>
      <c r="AI165" s="50" t="str">
        <f t="shared" si="168"/>
        <v>#N/A</v>
      </c>
      <c r="AJ165" s="50" t="str">
        <f t="shared" si="168"/>
        <v>#N/A</v>
      </c>
      <c r="AK165" s="50" t="str">
        <f t="shared" si="168"/>
        <v>#N/A</v>
      </c>
      <c r="AL165" s="50" t="str">
        <f t="shared" si="168"/>
        <v>#N/A</v>
      </c>
      <c r="AP165" s="2" t="str">
        <f t="shared" si="3"/>
        <v>#N/A</v>
      </c>
      <c r="AQ165" s="2" t="str">
        <f>IFERROR(__xludf.DUMMYFUNCTION("IF(V165&gt;0,MIN(FILTER(U165:AL165, U165:AL165&lt;&gt;0)),0)"),"#N/A")</f>
        <v>#N/A</v>
      </c>
      <c r="AS165" s="2" t="str">
        <f t="shared" si="4"/>
        <v>#N/A</v>
      </c>
      <c r="AU165" s="2">
        <f t="shared" si="5"/>
        <v>0</v>
      </c>
      <c r="AW165" s="2" t="str">
        <f t="shared" si="6"/>
        <v>#N/A</v>
      </c>
      <c r="AX165" s="2" t="str">
        <f>IFERROR(__xludf.DUMMYFUNCTION("IF(X165&gt;0,SMALL(FILTER(U165:AL165, U165:AL165&lt;&gt;0), 2),0)"),"#N/A")</f>
        <v>#N/A</v>
      </c>
      <c r="AY165" s="2" t="str">
        <f t="shared" si="7"/>
        <v>#N/A</v>
      </c>
      <c r="AZ165" s="2" t="str">
        <f t="shared" si="8"/>
        <v>#N/A</v>
      </c>
      <c r="BA165" s="2" t="str">
        <f>IFERROR(__xludf.DUMMYFUNCTION("IF(Y165&gt;0,SMALL(FILTER(U165:AL165, U165:AL165&lt;&gt;0), 3),0)"),"#N/A")</f>
        <v>#N/A</v>
      </c>
      <c r="BB165" s="2" t="str">
        <f t="shared" si="9"/>
        <v>#N/A</v>
      </c>
    </row>
    <row r="166">
      <c r="B166" s="2" t="str">
        <f>VLOOKUP(A166,Spieler!A:F,2,0)</f>
        <v>#N/A</v>
      </c>
      <c r="C166" s="2" t="str">
        <f>IF(B166=0,0,VLOOKUP(B166,Datensammler!B:U,3,0))</f>
        <v>#N/A</v>
      </c>
      <c r="D166" s="2" t="str">
        <f>IF(B166=0,0,VLOOKUP(B166,Datensammler!B:U,4,0))</f>
        <v>#N/A</v>
      </c>
      <c r="E166" s="2" t="str">
        <f>IF(B166=0,0,VLOOKUP(B166,Datensammler!B:U,5,0))</f>
        <v>#N/A</v>
      </c>
      <c r="F166" s="2" t="str">
        <f>IF(B166=0,0,VLOOKUP(B166,Datensammler!B:U,6,0))</f>
        <v>#N/A</v>
      </c>
      <c r="G166" s="2" t="str">
        <f>IF(B166=0,0,VLOOKUP(B166,Datensammler!B:U,7,0))</f>
        <v>#N/A</v>
      </c>
      <c r="H166" s="2" t="str">
        <f>IF(B166=0,0,VLOOKUP(B166,Datensammler!B:U,8,0))</f>
        <v>#N/A</v>
      </c>
      <c r="I166" s="2" t="str">
        <f>IF(B166=0,0,VLOOKUP(B166,Datensammler!B:U,9,0))</f>
        <v>#N/A</v>
      </c>
      <c r="J166" s="2" t="str">
        <f>IF(B166=0,0,VLOOKUP(B166,Datensammler!B:U,10,0))</f>
        <v>#N/A</v>
      </c>
      <c r="K166" s="2" t="str">
        <f>IF(B166=0,0,VLOOKUP(B166,Datensammler!B:U,11,0))</f>
        <v>#N/A</v>
      </c>
      <c r="L166" s="2" t="str">
        <f>IF(B166=0,0,VLOOKUP(B166,Datensammler!B:U,12,0))</f>
        <v>#N/A</v>
      </c>
      <c r="M166" s="2" t="str">
        <f>IF(B166=0,0,VLOOKUP(B166,Datensammler!B:U,13,0))</f>
        <v>#N/A</v>
      </c>
      <c r="N166" s="2" t="str">
        <f>IF(B166=0,0,VLOOKUP(B166,Datensammler!B:U,14,0))</f>
        <v>#N/A</v>
      </c>
      <c r="O166" s="2" t="str">
        <f>IF(B166=0,0,VLOOKUP(B166,Datensammler!B:U,15,0))</f>
        <v>#N/A</v>
      </c>
      <c r="P166" s="2" t="str">
        <f>IF(B166=0,0,VLOOKUP(B166,Datensammler!B:U,16,0))</f>
        <v>#N/A</v>
      </c>
      <c r="Q166" s="2" t="str">
        <f>IF(B166=0,0,VLOOKUP(B166,Datensammler!B:U,17,0))</f>
        <v>#N/A</v>
      </c>
      <c r="R166" s="2" t="str">
        <f>IF(B166=0,0,VLOOKUP(B166,Datensammler!B:U,18,0))</f>
        <v>#N/A</v>
      </c>
      <c r="S166" s="2" t="str">
        <f>IF(B166=0,0,VLOOKUP(B166,Datensammler!B:U,19,0))</f>
        <v>#N/A</v>
      </c>
      <c r="T166" s="2" t="str">
        <f>IF(B166=0,0,VLOOKUP(B166,Datensammler!B:U,20,0))</f>
        <v>#N/A</v>
      </c>
      <c r="U166" s="50" t="str">
        <f t="shared" ref="U166:AL166" si="169">C166</f>
        <v>#N/A</v>
      </c>
      <c r="V166" s="50" t="str">
        <f t="shared" si="169"/>
        <v>#N/A</v>
      </c>
      <c r="W166" s="50" t="str">
        <f t="shared" si="169"/>
        <v>#N/A</v>
      </c>
      <c r="X166" s="50" t="str">
        <f t="shared" si="169"/>
        <v>#N/A</v>
      </c>
      <c r="Y166" s="50" t="str">
        <f t="shared" si="169"/>
        <v>#N/A</v>
      </c>
      <c r="Z166" s="50" t="str">
        <f t="shared" si="169"/>
        <v>#N/A</v>
      </c>
      <c r="AA166" s="50" t="str">
        <f t="shared" si="169"/>
        <v>#N/A</v>
      </c>
      <c r="AB166" s="50" t="str">
        <f t="shared" si="169"/>
        <v>#N/A</v>
      </c>
      <c r="AC166" s="50" t="str">
        <f t="shared" si="169"/>
        <v>#N/A</v>
      </c>
      <c r="AD166" s="50" t="str">
        <f t="shared" si="169"/>
        <v>#N/A</v>
      </c>
      <c r="AE166" s="50" t="str">
        <f t="shared" si="169"/>
        <v>#N/A</v>
      </c>
      <c r="AF166" s="50" t="str">
        <f t="shared" si="169"/>
        <v>#N/A</v>
      </c>
      <c r="AG166" s="50" t="str">
        <f t="shared" si="169"/>
        <v>#N/A</v>
      </c>
      <c r="AH166" s="50" t="str">
        <f t="shared" si="169"/>
        <v>#N/A</v>
      </c>
      <c r="AI166" s="50" t="str">
        <f t="shared" si="169"/>
        <v>#N/A</v>
      </c>
      <c r="AJ166" s="50" t="str">
        <f t="shared" si="169"/>
        <v>#N/A</v>
      </c>
      <c r="AK166" s="50" t="str">
        <f t="shared" si="169"/>
        <v>#N/A</v>
      </c>
      <c r="AL166" s="50" t="str">
        <f t="shared" si="169"/>
        <v>#N/A</v>
      </c>
      <c r="AP166" s="2" t="str">
        <f t="shared" si="3"/>
        <v>#N/A</v>
      </c>
      <c r="AQ166" s="2" t="str">
        <f>IFERROR(__xludf.DUMMYFUNCTION("IF(V166&gt;0,MIN(FILTER(U166:AL166, U166:AL166&lt;&gt;0)),0)"),"#N/A")</f>
        <v>#N/A</v>
      </c>
      <c r="AS166" s="2" t="str">
        <f t="shared" si="4"/>
        <v>#N/A</v>
      </c>
      <c r="AU166" s="2">
        <f t="shared" si="5"/>
        <v>0</v>
      </c>
      <c r="AW166" s="2" t="str">
        <f t="shared" si="6"/>
        <v>#N/A</v>
      </c>
      <c r="AX166" s="2" t="str">
        <f>IFERROR(__xludf.DUMMYFUNCTION("IF(X166&gt;0,SMALL(FILTER(U166:AL166, U166:AL166&lt;&gt;0), 2),0)"),"#N/A")</f>
        <v>#N/A</v>
      </c>
      <c r="AY166" s="2" t="str">
        <f t="shared" si="7"/>
        <v>#N/A</v>
      </c>
      <c r="AZ166" s="2" t="str">
        <f t="shared" si="8"/>
        <v>#N/A</v>
      </c>
      <c r="BA166" s="2" t="str">
        <f>IFERROR(__xludf.DUMMYFUNCTION("IF(Y166&gt;0,SMALL(FILTER(U166:AL166, U166:AL166&lt;&gt;0), 3),0)"),"#N/A")</f>
        <v>#N/A</v>
      </c>
      <c r="BB166" s="2" t="str">
        <f t="shared" si="9"/>
        <v>#N/A</v>
      </c>
    </row>
    <row r="167">
      <c r="B167" s="2" t="str">
        <f>VLOOKUP(A167,Spieler!A:F,2,0)</f>
        <v>#N/A</v>
      </c>
      <c r="C167" s="2" t="str">
        <f>IF(B167=0,0,VLOOKUP(B167,Datensammler!B:U,3,0))</f>
        <v>#N/A</v>
      </c>
      <c r="D167" s="2" t="str">
        <f>IF(B167=0,0,VLOOKUP(B167,Datensammler!B:U,4,0))</f>
        <v>#N/A</v>
      </c>
      <c r="E167" s="2" t="str">
        <f>IF(B167=0,0,VLOOKUP(B167,Datensammler!B:U,5,0))</f>
        <v>#N/A</v>
      </c>
      <c r="F167" s="2" t="str">
        <f>IF(B167=0,0,VLOOKUP(B167,Datensammler!B:U,6,0))</f>
        <v>#N/A</v>
      </c>
      <c r="G167" s="2" t="str">
        <f>IF(B167=0,0,VLOOKUP(B167,Datensammler!B:U,7,0))</f>
        <v>#N/A</v>
      </c>
      <c r="H167" s="2" t="str">
        <f>IF(B167=0,0,VLOOKUP(B167,Datensammler!B:U,8,0))</f>
        <v>#N/A</v>
      </c>
      <c r="I167" s="2" t="str">
        <f>IF(B167=0,0,VLOOKUP(B167,Datensammler!B:U,9,0))</f>
        <v>#N/A</v>
      </c>
      <c r="J167" s="2" t="str">
        <f>IF(B167=0,0,VLOOKUP(B167,Datensammler!B:U,10,0))</f>
        <v>#N/A</v>
      </c>
      <c r="K167" s="2" t="str">
        <f>IF(B167=0,0,VLOOKUP(B167,Datensammler!B:U,11,0))</f>
        <v>#N/A</v>
      </c>
      <c r="L167" s="2" t="str">
        <f>IF(B167=0,0,VLOOKUP(B167,Datensammler!B:U,12,0))</f>
        <v>#N/A</v>
      </c>
      <c r="M167" s="2" t="str">
        <f>IF(B167=0,0,VLOOKUP(B167,Datensammler!B:U,13,0))</f>
        <v>#N/A</v>
      </c>
      <c r="N167" s="2" t="str">
        <f>IF(B167=0,0,VLOOKUP(B167,Datensammler!B:U,14,0))</f>
        <v>#N/A</v>
      </c>
      <c r="O167" s="2" t="str">
        <f>IF(B167=0,0,VLOOKUP(B167,Datensammler!B:U,15,0))</f>
        <v>#N/A</v>
      </c>
      <c r="P167" s="2" t="str">
        <f>IF(B167=0,0,VLOOKUP(B167,Datensammler!B:U,16,0))</f>
        <v>#N/A</v>
      </c>
      <c r="Q167" s="2" t="str">
        <f>IF(B167=0,0,VLOOKUP(B167,Datensammler!B:U,17,0))</f>
        <v>#N/A</v>
      </c>
      <c r="R167" s="2" t="str">
        <f>IF(B167=0,0,VLOOKUP(B167,Datensammler!B:U,18,0))</f>
        <v>#N/A</v>
      </c>
      <c r="S167" s="2" t="str">
        <f>IF(B167=0,0,VLOOKUP(B167,Datensammler!B:U,19,0))</f>
        <v>#N/A</v>
      </c>
      <c r="T167" s="2" t="str">
        <f>IF(B167=0,0,VLOOKUP(B167,Datensammler!B:U,20,0))</f>
        <v>#N/A</v>
      </c>
      <c r="U167" s="50" t="str">
        <f t="shared" ref="U167:AL167" si="170">C167</f>
        <v>#N/A</v>
      </c>
      <c r="V167" s="50" t="str">
        <f t="shared" si="170"/>
        <v>#N/A</v>
      </c>
      <c r="W167" s="50" t="str">
        <f t="shared" si="170"/>
        <v>#N/A</v>
      </c>
      <c r="X167" s="50" t="str">
        <f t="shared" si="170"/>
        <v>#N/A</v>
      </c>
      <c r="Y167" s="50" t="str">
        <f t="shared" si="170"/>
        <v>#N/A</v>
      </c>
      <c r="Z167" s="50" t="str">
        <f t="shared" si="170"/>
        <v>#N/A</v>
      </c>
      <c r="AA167" s="50" t="str">
        <f t="shared" si="170"/>
        <v>#N/A</v>
      </c>
      <c r="AB167" s="50" t="str">
        <f t="shared" si="170"/>
        <v>#N/A</v>
      </c>
      <c r="AC167" s="50" t="str">
        <f t="shared" si="170"/>
        <v>#N/A</v>
      </c>
      <c r="AD167" s="50" t="str">
        <f t="shared" si="170"/>
        <v>#N/A</v>
      </c>
      <c r="AE167" s="50" t="str">
        <f t="shared" si="170"/>
        <v>#N/A</v>
      </c>
      <c r="AF167" s="50" t="str">
        <f t="shared" si="170"/>
        <v>#N/A</v>
      </c>
      <c r="AG167" s="50" t="str">
        <f t="shared" si="170"/>
        <v>#N/A</v>
      </c>
      <c r="AH167" s="50" t="str">
        <f t="shared" si="170"/>
        <v>#N/A</v>
      </c>
      <c r="AI167" s="50" t="str">
        <f t="shared" si="170"/>
        <v>#N/A</v>
      </c>
      <c r="AJ167" s="50" t="str">
        <f t="shared" si="170"/>
        <v>#N/A</v>
      </c>
      <c r="AK167" s="50" t="str">
        <f t="shared" si="170"/>
        <v>#N/A</v>
      </c>
      <c r="AL167" s="50" t="str">
        <f t="shared" si="170"/>
        <v>#N/A</v>
      </c>
      <c r="AP167" s="2" t="str">
        <f t="shared" si="3"/>
        <v>#N/A</v>
      </c>
      <c r="AQ167" s="2" t="str">
        <f>IFERROR(__xludf.DUMMYFUNCTION("IF(V167&gt;0,MIN(FILTER(U167:AL167, U167:AL167&lt;&gt;0)),0)"),"#N/A")</f>
        <v>#N/A</v>
      </c>
      <c r="AS167" s="2" t="str">
        <f t="shared" si="4"/>
        <v>#N/A</v>
      </c>
      <c r="AU167" s="2">
        <f t="shared" si="5"/>
        <v>0</v>
      </c>
      <c r="AW167" s="2" t="str">
        <f t="shared" si="6"/>
        <v>#N/A</v>
      </c>
      <c r="AX167" s="2" t="str">
        <f>IFERROR(__xludf.DUMMYFUNCTION("IF(X167&gt;0,SMALL(FILTER(U167:AL167, U167:AL167&lt;&gt;0), 2),0)"),"#N/A")</f>
        <v>#N/A</v>
      </c>
      <c r="AY167" s="2" t="str">
        <f t="shared" si="7"/>
        <v>#N/A</v>
      </c>
      <c r="AZ167" s="2" t="str">
        <f t="shared" si="8"/>
        <v>#N/A</v>
      </c>
      <c r="BA167" s="2" t="str">
        <f>IFERROR(__xludf.DUMMYFUNCTION("IF(Y167&gt;0,SMALL(FILTER(U167:AL167, U167:AL167&lt;&gt;0), 3),0)"),"#N/A")</f>
        <v>#N/A</v>
      </c>
      <c r="BB167" s="2" t="str">
        <f t="shared" si="9"/>
        <v>#N/A</v>
      </c>
    </row>
    <row r="168">
      <c r="B168" s="2" t="str">
        <f>VLOOKUP(A168,Spieler!A:F,2,0)</f>
        <v>#N/A</v>
      </c>
      <c r="C168" s="2" t="str">
        <f>IF(B168=0,0,VLOOKUP(B168,Datensammler!B:U,3,0))</f>
        <v>#N/A</v>
      </c>
      <c r="D168" s="2" t="str">
        <f>IF(B168=0,0,VLOOKUP(B168,Datensammler!B:U,4,0))</f>
        <v>#N/A</v>
      </c>
      <c r="E168" s="2" t="str">
        <f>IF(B168=0,0,VLOOKUP(B168,Datensammler!B:U,5,0))</f>
        <v>#N/A</v>
      </c>
      <c r="F168" s="2" t="str">
        <f>IF(B168=0,0,VLOOKUP(B168,Datensammler!B:U,6,0))</f>
        <v>#N/A</v>
      </c>
      <c r="G168" s="2" t="str">
        <f>IF(B168=0,0,VLOOKUP(B168,Datensammler!B:U,7,0))</f>
        <v>#N/A</v>
      </c>
      <c r="H168" s="2" t="str">
        <f>IF(B168=0,0,VLOOKUP(B168,Datensammler!B:U,8,0))</f>
        <v>#N/A</v>
      </c>
      <c r="I168" s="2" t="str">
        <f>IF(B168=0,0,VLOOKUP(B168,Datensammler!B:U,9,0))</f>
        <v>#N/A</v>
      </c>
      <c r="J168" s="2" t="str">
        <f>IF(B168=0,0,VLOOKUP(B168,Datensammler!B:U,10,0))</f>
        <v>#N/A</v>
      </c>
      <c r="K168" s="2" t="str">
        <f>IF(B168=0,0,VLOOKUP(B168,Datensammler!B:U,11,0))</f>
        <v>#N/A</v>
      </c>
      <c r="L168" s="2" t="str">
        <f>IF(B168=0,0,VLOOKUP(B168,Datensammler!B:U,12,0))</f>
        <v>#N/A</v>
      </c>
      <c r="M168" s="2" t="str">
        <f>IF(B168=0,0,VLOOKUP(B168,Datensammler!B:U,13,0))</f>
        <v>#N/A</v>
      </c>
      <c r="N168" s="2" t="str">
        <f>IF(B168=0,0,VLOOKUP(B168,Datensammler!B:U,14,0))</f>
        <v>#N/A</v>
      </c>
      <c r="O168" s="2" t="str">
        <f>IF(B168=0,0,VLOOKUP(B168,Datensammler!B:U,15,0))</f>
        <v>#N/A</v>
      </c>
      <c r="P168" s="2" t="str">
        <f>IF(B168=0,0,VLOOKUP(B168,Datensammler!B:U,16,0))</f>
        <v>#N/A</v>
      </c>
      <c r="Q168" s="2" t="str">
        <f>IF(B168=0,0,VLOOKUP(B168,Datensammler!B:U,17,0))</f>
        <v>#N/A</v>
      </c>
      <c r="R168" s="2" t="str">
        <f>IF(B168=0,0,VLOOKUP(B168,Datensammler!B:U,18,0))</f>
        <v>#N/A</v>
      </c>
      <c r="S168" s="2" t="str">
        <f>IF(B168=0,0,VLOOKUP(B168,Datensammler!B:U,19,0))</f>
        <v>#N/A</v>
      </c>
      <c r="T168" s="2" t="str">
        <f>IF(B168=0,0,VLOOKUP(B168,Datensammler!B:U,20,0))</f>
        <v>#N/A</v>
      </c>
      <c r="U168" s="50" t="str">
        <f t="shared" ref="U168:AL168" si="171">C168</f>
        <v>#N/A</v>
      </c>
      <c r="V168" s="50" t="str">
        <f t="shared" si="171"/>
        <v>#N/A</v>
      </c>
      <c r="W168" s="50" t="str">
        <f t="shared" si="171"/>
        <v>#N/A</v>
      </c>
      <c r="X168" s="50" t="str">
        <f t="shared" si="171"/>
        <v>#N/A</v>
      </c>
      <c r="Y168" s="50" t="str">
        <f t="shared" si="171"/>
        <v>#N/A</v>
      </c>
      <c r="Z168" s="50" t="str">
        <f t="shared" si="171"/>
        <v>#N/A</v>
      </c>
      <c r="AA168" s="50" t="str">
        <f t="shared" si="171"/>
        <v>#N/A</v>
      </c>
      <c r="AB168" s="50" t="str">
        <f t="shared" si="171"/>
        <v>#N/A</v>
      </c>
      <c r="AC168" s="50" t="str">
        <f t="shared" si="171"/>
        <v>#N/A</v>
      </c>
      <c r="AD168" s="50" t="str">
        <f t="shared" si="171"/>
        <v>#N/A</v>
      </c>
      <c r="AE168" s="50" t="str">
        <f t="shared" si="171"/>
        <v>#N/A</v>
      </c>
      <c r="AF168" s="50" t="str">
        <f t="shared" si="171"/>
        <v>#N/A</v>
      </c>
      <c r="AG168" s="50" t="str">
        <f t="shared" si="171"/>
        <v>#N/A</v>
      </c>
      <c r="AH168" s="50" t="str">
        <f t="shared" si="171"/>
        <v>#N/A</v>
      </c>
      <c r="AI168" s="50" t="str">
        <f t="shared" si="171"/>
        <v>#N/A</v>
      </c>
      <c r="AJ168" s="50" t="str">
        <f t="shared" si="171"/>
        <v>#N/A</v>
      </c>
      <c r="AK168" s="50" t="str">
        <f t="shared" si="171"/>
        <v>#N/A</v>
      </c>
      <c r="AL168" s="50" t="str">
        <f t="shared" si="171"/>
        <v>#N/A</v>
      </c>
      <c r="AP168" s="2" t="str">
        <f t="shared" si="3"/>
        <v>#N/A</v>
      </c>
      <c r="AQ168" s="2" t="str">
        <f>IFERROR(__xludf.DUMMYFUNCTION("IF(V168&gt;0,MIN(FILTER(U168:AL168, U168:AL168&lt;&gt;0)),0)"),"#N/A")</f>
        <v>#N/A</v>
      </c>
      <c r="AS168" s="2" t="str">
        <f t="shared" si="4"/>
        <v>#N/A</v>
      </c>
      <c r="AU168" s="2">
        <f t="shared" si="5"/>
        <v>0</v>
      </c>
      <c r="AW168" s="2" t="str">
        <f t="shared" si="6"/>
        <v>#N/A</v>
      </c>
      <c r="AX168" s="2" t="str">
        <f>IFERROR(__xludf.DUMMYFUNCTION("IF(X168&gt;0,SMALL(FILTER(U168:AL168, U168:AL168&lt;&gt;0), 2),0)"),"#N/A")</f>
        <v>#N/A</v>
      </c>
      <c r="AY168" s="2" t="str">
        <f t="shared" si="7"/>
        <v>#N/A</v>
      </c>
      <c r="AZ168" s="2" t="str">
        <f t="shared" si="8"/>
        <v>#N/A</v>
      </c>
      <c r="BA168" s="2" t="str">
        <f>IFERROR(__xludf.DUMMYFUNCTION("IF(Y168&gt;0,SMALL(FILTER(U168:AL168, U168:AL168&lt;&gt;0), 3),0)"),"#N/A")</f>
        <v>#N/A</v>
      </c>
      <c r="BB168" s="2" t="str">
        <f t="shared" si="9"/>
        <v>#N/A</v>
      </c>
    </row>
    <row r="169">
      <c r="B169" s="2" t="str">
        <f>VLOOKUP(A169,Spieler!A:F,2,0)</f>
        <v>#N/A</v>
      </c>
      <c r="C169" s="2" t="str">
        <f>IF(B169=0,0,VLOOKUP(B169,Datensammler!B:U,3,0))</f>
        <v>#N/A</v>
      </c>
      <c r="D169" s="2" t="str">
        <f>IF(B169=0,0,VLOOKUP(B169,Datensammler!B:U,4,0))</f>
        <v>#N/A</v>
      </c>
      <c r="E169" s="2" t="str">
        <f>IF(B169=0,0,VLOOKUP(B169,Datensammler!B:U,5,0))</f>
        <v>#N/A</v>
      </c>
      <c r="F169" s="2" t="str">
        <f>IF(B169=0,0,VLOOKUP(B169,Datensammler!B:U,6,0))</f>
        <v>#N/A</v>
      </c>
      <c r="G169" s="2" t="str">
        <f>IF(B169=0,0,VLOOKUP(B169,Datensammler!B:U,7,0))</f>
        <v>#N/A</v>
      </c>
      <c r="H169" s="2" t="str">
        <f>IF(B169=0,0,VLOOKUP(B169,Datensammler!B:U,8,0))</f>
        <v>#N/A</v>
      </c>
      <c r="I169" s="2" t="str">
        <f>IF(B169=0,0,VLOOKUP(B169,Datensammler!B:U,9,0))</f>
        <v>#N/A</v>
      </c>
      <c r="J169" s="2" t="str">
        <f>IF(B169=0,0,VLOOKUP(B169,Datensammler!B:U,10,0))</f>
        <v>#N/A</v>
      </c>
      <c r="K169" s="2" t="str">
        <f>IF(B169=0,0,VLOOKUP(B169,Datensammler!B:U,11,0))</f>
        <v>#N/A</v>
      </c>
      <c r="L169" s="2" t="str">
        <f>IF(B169=0,0,VLOOKUP(B169,Datensammler!B:U,12,0))</f>
        <v>#N/A</v>
      </c>
      <c r="M169" s="2" t="str">
        <f>IF(B169=0,0,VLOOKUP(B169,Datensammler!B:U,13,0))</f>
        <v>#N/A</v>
      </c>
      <c r="N169" s="2" t="str">
        <f>IF(B169=0,0,VLOOKUP(B169,Datensammler!B:U,14,0))</f>
        <v>#N/A</v>
      </c>
      <c r="O169" s="2" t="str">
        <f>IF(B169=0,0,VLOOKUP(B169,Datensammler!B:U,15,0))</f>
        <v>#N/A</v>
      </c>
      <c r="P169" s="2" t="str">
        <f>IF(B169=0,0,VLOOKUP(B169,Datensammler!B:U,16,0))</f>
        <v>#N/A</v>
      </c>
      <c r="Q169" s="2" t="str">
        <f>IF(B169=0,0,VLOOKUP(B169,Datensammler!B:U,17,0))</f>
        <v>#N/A</v>
      </c>
      <c r="R169" s="2" t="str">
        <f>IF(B169=0,0,VLOOKUP(B169,Datensammler!B:U,18,0))</f>
        <v>#N/A</v>
      </c>
      <c r="S169" s="2" t="str">
        <f>IF(B169=0,0,VLOOKUP(B169,Datensammler!B:U,19,0))</f>
        <v>#N/A</v>
      </c>
      <c r="T169" s="2" t="str">
        <f>IF(B169=0,0,VLOOKUP(B169,Datensammler!B:U,20,0))</f>
        <v>#N/A</v>
      </c>
      <c r="U169" s="50" t="str">
        <f t="shared" ref="U169:AL169" si="172">C169</f>
        <v>#N/A</v>
      </c>
      <c r="V169" s="50" t="str">
        <f t="shared" si="172"/>
        <v>#N/A</v>
      </c>
      <c r="W169" s="50" t="str">
        <f t="shared" si="172"/>
        <v>#N/A</v>
      </c>
      <c r="X169" s="50" t="str">
        <f t="shared" si="172"/>
        <v>#N/A</v>
      </c>
      <c r="Y169" s="50" t="str">
        <f t="shared" si="172"/>
        <v>#N/A</v>
      </c>
      <c r="Z169" s="50" t="str">
        <f t="shared" si="172"/>
        <v>#N/A</v>
      </c>
      <c r="AA169" s="50" t="str">
        <f t="shared" si="172"/>
        <v>#N/A</v>
      </c>
      <c r="AB169" s="50" t="str">
        <f t="shared" si="172"/>
        <v>#N/A</v>
      </c>
      <c r="AC169" s="50" t="str">
        <f t="shared" si="172"/>
        <v>#N/A</v>
      </c>
      <c r="AD169" s="50" t="str">
        <f t="shared" si="172"/>
        <v>#N/A</v>
      </c>
      <c r="AE169" s="50" t="str">
        <f t="shared" si="172"/>
        <v>#N/A</v>
      </c>
      <c r="AF169" s="50" t="str">
        <f t="shared" si="172"/>
        <v>#N/A</v>
      </c>
      <c r="AG169" s="50" t="str">
        <f t="shared" si="172"/>
        <v>#N/A</v>
      </c>
      <c r="AH169" s="50" t="str">
        <f t="shared" si="172"/>
        <v>#N/A</v>
      </c>
      <c r="AI169" s="50" t="str">
        <f t="shared" si="172"/>
        <v>#N/A</v>
      </c>
      <c r="AJ169" s="50" t="str">
        <f t="shared" si="172"/>
        <v>#N/A</v>
      </c>
      <c r="AK169" s="50" t="str">
        <f t="shared" si="172"/>
        <v>#N/A</v>
      </c>
      <c r="AL169" s="50" t="str">
        <f t="shared" si="172"/>
        <v>#N/A</v>
      </c>
      <c r="AP169" s="2" t="str">
        <f t="shared" si="3"/>
        <v>#N/A</v>
      </c>
      <c r="AQ169" s="2" t="str">
        <f>IFERROR(__xludf.DUMMYFUNCTION("IF(V169&gt;0,MIN(FILTER(U169:AL169, U169:AL169&lt;&gt;0)),0)"),"#N/A")</f>
        <v>#N/A</v>
      </c>
      <c r="AS169" s="2" t="str">
        <f t="shared" si="4"/>
        <v>#N/A</v>
      </c>
      <c r="AU169" s="2">
        <f t="shared" si="5"/>
        <v>0</v>
      </c>
      <c r="AW169" s="2" t="str">
        <f t="shared" si="6"/>
        <v>#N/A</v>
      </c>
      <c r="AX169" s="2" t="str">
        <f>IFERROR(__xludf.DUMMYFUNCTION("IF(X169&gt;0,SMALL(FILTER(U169:AL169, U169:AL169&lt;&gt;0), 2),0)"),"#N/A")</f>
        <v>#N/A</v>
      </c>
      <c r="AY169" s="2" t="str">
        <f t="shared" si="7"/>
        <v>#N/A</v>
      </c>
      <c r="AZ169" s="2" t="str">
        <f t="shared" si="8"/>
        <v>#N/A</v>
      </c>
      <c r="BA169" s="2" t="str">
        <f>IFERROR(__xludf.DUMMYFUNCTION("IF(Y169&gt;0,SMALL(FILTER(U169:AL169, U169:AL169&lt;&gt;0), 3),0)"),"#N/A")</f>
        <v>#N/A</v>
      </c>
      <c r="BB169" s="2" t="str">
        <f t="shared" si="9"/>
        <v>#N/A</v>
      </c>
    </row>
    <row r="170">
      <c r="U170" s="50"/>
      <c r="V170" s="50"/>
      <c r="W170" s="50"/>
      <c r="X170" s="50"/>
      <c r="Y170" s="50"/>
      <c r="Z170" s="50"/>
      <c r="AA170" s="50"/>
      <c r="AB170" s="50"/>
      <c r="AC170" s="50"/>
      <c r="AD170" s="50"/>
      <c r="AE170" s="50"/>
      <c r="AF170" s="50"/>
      <c r="AG170" s="50"/>
      <c r="AH170" s="50"/>
      <c r="AI170" s="50"/>
      <c r="AJ170" s="50"/>
      <c r="AK170" s="50"/>
      <c r="AL170" s="50"/>
    </row>
    <row r="171">
      <c r="U171" s="50"/>
      <c r="V171" s="50"/>
      <c r="W171" s="50"/>
      <c r="X171" s="50"/>
      <c r="Y171" s="50"/>
      <c r="Z171" s="50"/>
      <c r="AA171" s="50"/>
      <c r="AB171" s="50"/>
      <c r="AC171" s="50"/>
      <c r="AD171" s="50"/>
      <c r="AE171" s="50"/>
      <c r="AF171" s="50"/>
      <c r="AG171" s="50"/>
      <c r="AH171" s="50"/>
      <c r="AI171" s="50"/>
      <c r="AJ171" s="50"/>
      <c r="AK171" s="50"/>
      <c r="AL171" s="50"/>
    </row>
    <row r="172">
      <c r="U172" s="50"/>
      <c r="V172" s="50"/>
      <c r="W172" s="50"/>
      <c r="X172" s="50"/>
      <c r="Y172" s="50"/>
      <c r="Z172" s="50"/>
      <c r="AA172" s="50"/>
      <c r="AB172" s="50"/>
      <c r="AC172" s="50"/>
      <c r="AD172" s="50"/>
      <c r="AE172" s="50"/>
      <c r="AF172" s="50"/>
      <c r="AG172" s="50"/>
      <c r="AH172" s="50"/>
      <c r="AI172" s="50"/>
      <c r="AJ172" s="50"/>
      <c r="AK172" s="50"/>
      <c r="AL172" s="50"/>
    </row>
    <row r="173">
      <c r="U173" s="50"/>
      <c r="V173" s="50"/>
      <c r="W173" s="50"/>
      <c r="X173" s="50"/>
      <c r="Y173" s="50"/>
      <c r="Z173" s="50"/>
      <c r="AA173" s="50"/>
      <c r="AB173" s="50"/>
      <c r="AC173" s="50"/>
      <c r="AD173" s="50"/>
      <c r="AE173" s="50"/>
      <c r="AF173" s="50"/>
      <c r="AG173" s="50"/>
      <c r="AH173" s="50"/>
      <c r="AI173" s="50"/>
      <c r="AJ173" s="50"/>
      <c r="AK173" s="50"/>
      <c r="AL173" s="50"/>
    </row>
    <row r="174">
      <c r="U174" s="50"/>
      <c r="V174" s="50"/>
      <c r="W174" s="50"/>
      <c r="X174" s="50"/>
      <c r="Y174" s="50"/>
      <c r="Z174" s="50"/>
      <c r="AA174" s="50"/>
      <c r="AB174" s="50"/>
      <c r="AC174" s="50"/>
      <c r="AD174" s="50"/>
      <c r="AE174" s="50"/>
      <c r="AF174" s="50"/>
      <c r="AG174" s="50"/>
      <c r="AH174" s="50"/>
      <c r="AI174" s="50"/>
      <c r="AJ174" s="50"/>
      <c r="AK174" s="50"/>
      <c r="AL174" s="50"/>
    </row>
    <row r="175">
      <c r="U175" s="50"/>
      <c r="V175" s="50"/>
      <c r="W175" s="50"/>
      <c r="X175" s="50"/>
      <c r="Y175" s="50"/>
      <c r="Z175" s="50"/>
      <c r="AA175" s="50"/>
      <c r="AB175" s="50"/>
      <c r="AC175" s="50"/>
      <c r="AD175" s="50"/>
      <c r="AE175" s="50"/>
      <c r="AF175" s="50"/>
      <c r="AG175" s="50"/>
      <c r="AH175" s="50"/>
      <c r="AI175" s="50"/>
      <c r="AJ175" s="50"/>
      <c r="AK175" s="50"/>
      <c r="AL175" s="50"/>
    </row>
    <row r="176">
      <c r="U176" s="50"/>
      <c r="V176" s="50"/>
      <c r="W176" s="50"/>
      <c r="X176" s="50"/>
      <c r="Y176" s="50"/>
      <c r="Z176" s="50"/>
      <c r="AA176" s="50"/>
      <c r="AB176" s="50"/>
      <c r="AC176" s="50"/>
      <c r="AD176" s="50"/>
      <c r="AE176" s="50"/>
      <c r="AF176" s="50"/>
      <c r="AG176" s="50"/>
      <c r="AH176" s="50"/>
      <c r="AI176" s="50"/>
      <c r="AJ176" s="50"/>
      <c r="AK176" s="50"/>
      <c r="AL176" s="50"/>
    </row>
    <row r="177">
      <c r="U177" s="50"/>
      <c r="V177" s="50"/>
      <c r="W177" s="50"/>
      <c r="X177" s="50"/>
      <c r="Y177" s="50"/>
      <c r="Z177" s="50"/>
      <c r="AA177" s="50"/>
      <c r="AB177" s="50"/>
      <c r="AC177" s="50"/>
      <c r="AD177" s="50"/>
      <c r="AE177" s="50"/>
      <c r="AF177" s="50"/>
      <c r="AG177" s="50"/>
      <c r="AH177" s="50"/>
      <c r="AI177" s="50"/>
      <c r="AJ177" s="50"/>
      <c r="AK177" s="50"/>
      <c r="AL177" s="50"/>
    </row>
    <row r="178">
      <c r="U178" s="50"/>
      <c r="V178" s="50"/>
      <c r="W178" s="50"/>
      <c r="X178" s="50"/>
      <c r="Y178" s="50"/>
      <c r="Z178" s="50"/>
      <c r="AA178" s="50"/>
      <c r="AB178" s="50"/>
      <c r="AC178" s="50"/>
      <c r="AD178" s="50"/>
      <c r="AE178" s="50"/>
      <c r="AF178" s="50"/>
      <c r="AG178" s="50"/>
      <c r="AH178" s="50"/>
      <c r="AI178" s="50"/>
      <c r="AJ178" s="50"/>
      <c r="AK178" s="50"/>
      <c r="AL178" s="50"/>
    </row>
    <row r="179">
      <c r="U179" s="50"/>
      <c r="V179" s="50"/>
      <c r="W179" s="50"/>
      <c r="X179" s="50"/>
      <c r="Y179" s="50"/>
      <c r="Z179" s="50"/>
      <c r="AA179" s="50"/>
      <c r="AB179" s="50"/>
      <c r="AC179" s="50"/>
      <c r="AD179" s="50"/>
      <c r="AE179" s="50"/>
      <c r="AF179" s="50"/>
      <c r="AG179" s="50"/>
      <c r="AH179" s="50"/>
      <c r="AI179" s="50"/>
      <c r="AJ179" s="50"/>
      <c r="AK179" s="50"/>
      <c r="AL179" s="50"/>
    </row>
    <row r="180">
      <c r="U180" s="50"/>
      <c r="V180" s="50"/>
      <c r="W180" s="50"/>
      <c r="X180" s="50"/>
      <c r="Y180" s="50"/>
      <c r="Z180" s="50"/>
      <c r="AA180" s="50"/>
      <c r="AB180" s="50"/>
      <c r="AC180" s="50"/>
      <c r="AD180" s="50"/>
      <c r="AE180" s="50"/>
      <c r="AF180" s="50"/>
      <c r="AG180" s="50"/>
      <c r="AH180" s="50"/>
      <c r="AI180" s="50"/>
      <c r="AJ180" s="50"/>
      <c r="AK180" s="50"/>
      <c r="AL180" s="50"/>
    </row>
    <row r="181">
      <c r="U181" s="50"/>
      <c r="V181" s="50"/>
      <c r="W181" s="50"/>
      <c r="X181" s="50"/>
      <c r="Y181" s="50"/>
      <c r="Z181" s="50"/>
      <c r="AA181" s="50"/>
      <c r="AB181" s="50"/>
      <c r="AC181" s="50"/>
      <c r="AD181" s="50"/>
      <c r="AE181" s="50"/>
      <c r="AF181" s="50"/>
      <c r="AG181" s="50"/>
      <c r="AH181" s="50"/>
      <c r="AI181" s="50"/>
      <c r="AJ181" s="50"/>
      <c r="AK181" s="50"/>
      <c r="AL181" s="50"/>
    </row>
    <row r="182">
      <c r="U182" s="50"/>
      <c r="V182" s="50"/>
      <c r="W182" s="50"/>
      <c r="X182" s="50"/>
      <c r="Y182" s="50"/>
      <c r="Z182" s="50"/>
      <c r="AA182" s="50"/>
      <c r="AB182" s="50"/>
      <c r="AC182" s="50"/>
      <c r="AD182" s="50"/>
      <c r="AE182" s="50"/>
      <c r="AF182" s="50"/>
      <c r="AG182" s="50"/>
      <c r="AH182" s="50"/>
      <c r="AI182" s="50"/>
      <c r="AJ182" s="50"/>
      <c r="AK182" s="50"/>
      <c r="AL182" s="50"/>
    </row>
    <row r="183">
      <c r="U183" s="50"/>
      <c r="V183" s="50"/>
      <c r="W183" s="50"/>
      <c r="X183" s="50"/>
      <c r="Y183" s="50"/>
      <c r="Z183" s="50"/>
      <c r="AA183" s="50"/>
      <c r="AB183" s="50"/>
      <c r="AC183" s="50"/>
      <c r="AD183" s="50"/>
      <c r="AE183" s="50"/>
      <c r="AF183" s="50"/>
      <c r="AG183" s="50"/>
      <c r="AH183" s="50"/>
      <c r="AI183" s="50"/>
      <c r="AJ183" s="50"/>
      <c r="AK183" s="50"/>
      <c r="AL183" s="50"/>
    </row>
    <row r="184">
      <c r="U184" s="50"/>
      <c r="V184" s="50"/>
      <c r="W184" s="50"/>
      <c r="X184" s="50"/>
      <c r="Y184" s="50"/>
      <c r="Z184" s="50"/>
      <c r="AA184" s="50"/>
      <c r="AB184" s="50"/>
      <c r="AC184" s="50"/>
      <c r="AD184" s="50"/>
      <c r="AE184" s="50"/>
      <c r="AF184" s="50"/>
      <c r="AG184" s="50"/>
      <c r="AH184" s="50"/>
      <c r="AI184" s="50"/>
      <c r="AJ184" s="50"/>
      <c r="AK184" s="50"/>
      <c r="AL184" s="50"/>
    </row>
    <row r="185">
      <c r="U185" s="50"/>
      <c r="V185" s="50"/>
      <c r="W185" s="50"/>
      <c r="X185" s="50"/>
      <c r="Y185" s="50"/>
      <c r="Z185" s="50"/>
      <c r="AA185" s="50"/>
      <c r="AB185" s="50"/>
      <c r="AC185" s="50"/>
      <c r="AD185" s="50"/>
      <c r="AE185" s="50"/>
      <c r="AF185" s="50"/>
      <c r="AG185" s="50"/>
      <c r="AH185" s="50"/>
      <c r="AI185" s="50"/>
      <c r="AJ185" s="50"/>
      <c r="AK185" s="50"/>
      <c r="AL185" s="50"/>
    </row>
    <row r="186">
      <c r="U186" s="50"/>
      <c r="V186" s="50"/>
      <c r="W186" s="50"/>
      <c r="X186" s="50"/>
      <c r="Y186" s="50"/>
      <c r="Z186" s="50"/>
      <c r="AA186" s="50"/>
      <c r="AB186" s="50"/>
      <c r="AC186" s="50"/>
      <c r="AD186" s="50"/>
      <c r="AE186" s="50"/>
      <c r="AF186" s="50"/>
      <c r="AG186" s="50"/>
      <c r="AH186" s="50"/>
      <c r="AI186" s="50"/>
      <c r="AJ186" s="50"/>
      <c r="AK186" s="50"/>
      <c r="AL186" s="50"/>
    </row>
    <row r="187">
      <c r="U187" s="50"/>
      <c r="V187" s="50"/>
      <c r="W187" s="50"/>
      <c r="X187" s="50"/>
      <c r="Y187" s="50"/>
      <c r="Z187" s="50"/>
      <c r="AA187" s="50"/>
      <c r="AB187" s="50"/>
      <c r="AC187" s="50"/>
      <c r="AD187" s="50"/>
      <c r="AE187" s="50"/>
      <c r="AF187" s="50"/>
      <c r="AG187" s="50"/>
      <c r="AH187" s="50"/>
      <c r="AI187" s="50"/>
      <c r="AJ187" s="50"/>
      <c r="AK187" s="50"/>
      <c r="AL187" s="50"/>
    </row>
    <row r="188">
      <c r="U188" s="50"/>
      <c r="V188" s="50"/>
      <c r="W188" s="50"/>
      <c r="X188" s="50"/>
      <c r="Y188" s="50"/>
      <c r="Z188" s="50"/>
      <c r="AA188" s="50"/>
      <c r="AB188" s="50"/>
      <c r="AC188" s="50"/>
      <c r="AD188" s="50"/>
      <c r="AE188" s="50"/>
      <c r="AF188" s="50"/>
      <c r="AG188" s="50"/>
      <c r="AH188" s="50"/>
      <c r="AI188" s="50"/>
      <c r="AJ188" s="50"/>
      <c r="AK188" s="50"/>
      <c r="AL188" s="50"/>
    </row>
    <row r="189">
      <c r="U189" s="50"/>
      <c r="V189" s="50"/>
      <c r="W189" s="50"/>
      <c r="X189" s="50"/>
      <c r="Y189" s="50"/>
      <c r="Z189" s="50"/>
      <c r="AA189" s="50"/>
      <c r="AB189" s="50"/>
      <c r="AC189" s="50"/>
      <c r="AD189" s="50"/>
      <c r="AE189" s="50"/>
      <c r="AF189" s="50"/>
      <c r="AG189" s="50"/>
      <c r="AH189" s="50"/>
      <c r="AI189" s="50"/>
      <c r="AJ189" s="50"/>
      <c r="AK189" s="50"/>
      <c r="AL189" s="50"/>
    </row>
    <row r="190">
      <c r="U190" s="50"/>
      <c r="V190" s="50"/>
      <c r="W190" s="50"/>
      <c r="X190" s="50"/>
      <c r="Y190" s="50"/>
      <c r="Z190" s="50"/>
      <c r="AA190" s="50"/>
      <c r="AB190" s="50"/>
      <c r="AC190" s="50"/>
      <c r="AD190" s="50"/>
      <c r="AE190" s="50"/>
      <c r="AF190" s="50"/>
      <c r="AG190" s="50"/>
      <c r="AH190" s="50"/>
      <c r="AI190" s="50"/>
      <c r="AJ190" s="50"/>
      <c r="AK190" s="50"/>
      <c r="AL190" s="50"/>
    </row>
    <row r="191">
      <c r="U191" s="50"/>
      <c r="V191" s="50"/>
      <c r="W191" s="50"/>
      <c r="X191" s="50"/>
      <c r="Y191" s="50"/>
      <c r="Z191" s="50"/>
      <c r="AA191" s="50"/>
      <c r="AB191" s="50"/>
      <c r="AC191" s="50"/>
      <c r="AD191" s="50"/>
      <c r="AE191" s="50"/>
      <c r="AF191" s="50"/>
      <c r="AG191" s="50"/>
      <c r="AH191" s="50"/>
      <c r="AI191" s="50"/>
      <c r="AJ191" s="50"/>
      <c r="AK191" s="50"/>
      <c r="AL191" s="50"/>
    </row>
    <row r="192">
      <c r="U192" s="50"/>
      <c r="V192" s="50"/>
      <c r="W192" s="50"/>
      <c r="X192" s="50"/>
      <c r="Y192" s="50"/>
      <c r="Z192" s="50"/>
      <c r="AA192" s="50"/>
      <c r="AB192" s="50"/>
      <c r="AC192" s="50"/>
      <c r="AD192" s="50"/>
      <c r="AE192" s="50"/>
      <c r="AF192" s="50"/>
      <c r="AG192" s="50"/>
      <c r="AH192" s="50"/>
      <c r="AI192" s="50"/>
      <c r="AJ192" s="50"/>
      <c r="AK192" s="50"/>
      <c r="AL192" s="50"/>
    </row>
    <row r="193">
      <c r="U193" s="50"/>
      <c r="V193" s="50"/>
      <c r="W193" s="50"/>
      <c r="X193" s="50"/>
      <c r="Y193" s="50"/>
      <c r="Z193" s="50"/>
      <c r="AA193" s="50"/>
      <c r="AB193" s="50"/>
      <c r="AC193" s="50"/>
      <c r="AD193" s="50"/>
      <c r="AE193" s="50"/>
      <c r="AF193" s="50"/>
      <c r="AG193" s="50"/>
      <c r="AH193" s="50"/>
      <c r="AI193" s="50"/>
      <c r="AJ193" s="50"/>
      <c r="AK193" s="50"/>
      <c r="AL193" s="50"/>
    </row>
    <row r="194">
      <c r="U194" s="50"/>
      <c r="V194" s="50"/>
      <c r="W194" s="50"/>
      <c r="X194" s="50"/>
      <c r="Y194" s="50"/>
      <c r="Z194" s="50"/>
      <c r="AA194" s="50"/>
      <c r="AB194" s="50"/>
      <c r="AC194" s="50"/>
      <c r="AD194" s="50"/>
      <c r="AE194" s="50"/>
      <c r="AF194" s="50"/>
      <c r="AG194" s="50"/>
      <c r="AH194" s="50"/>
      <c r="AI194" s="50"/>
      <c r="AJ194" s="50"/>
      <c r="AK194" s="50"/>
      <c r="AL194" s="50"/>
    </row>
    <row r="195">
      <c r="U195" s="50"/>
      <c r="V195" s="50"/>
      <c r="W195" s="50"/>
      <c r="X195" s="50"/>
      <c r="Y195" s="50"/>
      <c r="Z195" s="50"/>
      <c r="AA195" s="50"/>
      <c r="AB195" s="50"/>
      <c r="AC195" s="50"/>
      <c r="AD195" s="50"/>
      <c r="AE195" s="50"/>
      <c r="AF195" s="50"/>
      <c r="AG195" s="50"/>
      <c r="AH195" s="50"/>
      <c r="AI195" s="50"/>
      <c r="AJ195" s="50"/>
      <c r="AK195" s="50"/>
      <c r="AL195" s="50"/>
    </row>
    <row r="196">
      <c r="U196" s="50"/>
      <c r="V196" s="50"/>
      <c r="W196" s="50"/>
      <c r="X196" s="50"/>
      <c r="Y196" s="50"/>
      <c r="Z196" s="50"/>
      <c r="AA196" s="50"/>
      <c r="AB196" s="50"/>
      <c r="AC196" s="50"/>
      <c r="AD196" s="50"/>
      <c r="AE196" s="50"/>
      <c r="AF196" s="50"/>
      <c r="AG196" s="50"/>
      <c r="AH196" s="50"/>
      <c r="AI196" s="50"/>
      <c r="AJ196" s="50"/>
      <c r="AK196" s="50"/>
      <c r="AL196" s="50"/>
    </row>
    <row r="197">
      <c r="U197" s="50"/>
      <c r="V197" s="50"/>
      <c r="W197" s="50"/>
      <c r="X197" s="50"/>
      <c r="Y197" s="50"/>
      <c r="Z197" s="50"/>
      <c r="AA197" s="50"/>
      <c r="AB197" s="50"/>
      <c r="AC197" s="50"/>
      <c r="AD197" s="50"/>
      <c r="AE197" s="50"/>
      <c r="AF197" s="50"/>
      <c r="AG197" s="50"/>
      <c r="AH197" s="50"/>
      <c r="AI197" s="50"/>
      <c r="AJ197" s="50"/>
      <c r="AK197" s="50"/>
      <c r="AL197" s="50"/>
    </row>
    <row r="198">
      <c r="U198" s="50"/>
      <c r="V198" s="50"/>
      <c r="W198" s="50"/>
      <c r="X198" s="50"/>
      <c r="Y198" s="50"/>
      <c r="Z198" s="50"/>
      <c r="AA198" s="50"/>
      <c r="AB198" s="50"/>
      <c r="AC198" s="50"/>
      <c r="AD198" s="50"/>
      <c r="AE198" s="50"/>
      <c r="AF198" s="50"/>
      <c r="AG198" s="50"/>
      <c r="AH198" s="50"/>
      <c r="AI198" s="50"/>
      <c r="AJ198" s="50"/>
      <c r="AK198" s="50"/>
      <c r="AL198" s="50"/>
    </row>
    <row r="199">
      <c r="U199" s="50"/>
      <c r="V199" s="50"/>
      <c r="W199" s="50"/>
      <c r="X199" s="50"/>
      <c r="Y199" s="50"/>
      <c r="Z199" s="50"/>
      <c r="AA199" s="50"/>
      <c r="AB199" s="50"/>
      <c r="AC199" s="50"/>
      <c r="AD199" s="50"/>
      <c r="AE199" s="50"/>
      <c r="AF199" s="50"/>
      <c r="AG199" s="50"/>
      <c r="AH199" s="50"/>
      <c r="AI199" s="50"/>
      <c r="AJ199" s="50"/>
      <c r="AK199" s="50"/>
      <c r="AL199" s="50"/>
    </row>
    <row r="200">
      <c r="U200" s="50"/>
      <c r="V200" s="50"/>
      <c r="W200" s="50"/>
      <c r="X200" s="50"/>
      <c r="Y200" s="50"/>
      <c r="Z200" s="50"/>
      <c r="AA200" s="50"/>
      <c r="AB200" s="50"/>
      <c r="AC200" s="50"/>
      <c r="AD200" s="50"/>
      <c r="AE200" s="50"/>
      <c r="AF200" s="50"/>
      <c r="AG200" s="50"/>
      <c r="AH200" s="50"/>
      <c r="AI200" s="50"/>
      <c r="AJ200" s="50"/>
      <c r="AK200" s="50"/>
      <c r="AL200" s="50"/>
    </row>
    <row r="201">
      <c r="U201" s="50"/>
      <c r="V201" s="50"/>
      <c r="W201" s="50"/>
      <c r="X201" s="50"/>
      <c r="Y201" s="50"/>
      <c r="Z201" s="50"/>
      <c r="AA201" s="50"/>
      <c r="AB201" s="50"/>
      <c r="AC201" s="50"/>
      <c r="AD201" s="50"/>
      <c r="AE201" s="50"/>
      <c r="AF201" s="50"/>
      <c r="AG201" s="50"/>
      <c r="AH201" s="50"/>
      <c r="AI201" s="50"/>
      <c r="AJ201" s="50"/>
      <c r="AK201" s="50"/>
      <c r="AL201" s="50"/>
    </row>
    <row r="202">
      <c r="U202" s="50"/>
      <c r="V202" s="50"/>
      <c r="W202" s="50"/>
      <c r="X202" s="50"/>
      <c r="Y202" s="50"/>
      <c r="Z202" s="50"/>
      <c r="AA202" s="50"/>
      <c r="AB202" s="50"/>
      <c r="AC202" s="50"/>
      <c r="AD202" s="50"/>
      <c r="AE202" s="50"/>
      <c r="AF202" s="50"/>
      <c r="AG202" s="50"/>
      <c r="AH202" s="50"/>
      <c r="AI202" s="50"/>
      <c r="AJ202" s="50"/>
      <c r="AK202" s="50"/>
      <c r="AL202" s="50"/>
    </row>
    <row r="203">
      <c r="U203" s="50"/>
      <c r="V203" s="50"/>
      <c r="W203" s="50"/>
      <c r="X203" s="50"/>
      <c r="Y203" s="50"/>
      <c r="Z203" s="50"/>
      <c r="AA203" s="50"/>
      <c r="AB203" s="50"/>
      <c r="AC203" s="50"/>
      <c r="AD203" s="50"/>
      <c r="AE203" s="50"/>
      <c r="AF203" s="50"/>
      <c r="AG203" s="50"/>
      <c r="AH203" s="50"/>
      <c r="AI203" s="50"/>
      <c r="AJ203" s="50"/>
      <c r="AK203" s="50"/>
      <c r="AL203" s="50"/>
    </row>
    <row r="204">
      <c r="U204" s="50"/>
      <c r="V204" s="50"/>
      <c r="W204" s="50"/>
      <c r="X204" s="50"/>
      <c r="Y204" s="50"/>
      <c r="Z204" s="50"/>
      <c r="AA204" s="50"/>
      <c r="AB204" s="50"/>
      <c r="AC204" s="50"/>
      <c r="AD204" s="50"/>
      <c r="AE204" s="50"/>
      <c r="AF204" s="50"/>
      <c r="AG204" s="50"/>
      <c r="AH204" s="50"/>
      <c r="AI204" s="50"/>
      <c r="AJ204" s="50"/>
      <c r="AK204" s="50"/>
      <c r="AL204" s="50"/>
    </row>
    <row r="205">
      <c r="U205" s="50"/>
      <c r="V205" s="50"/>
      <c r="W205" s="50"/>
      <c r="X205" s="50"/>
      <c r="Y205" s="50"/>
      <c r="Z205" s="50"/>
      <c r="AA205" s="50"/>
      <c r="AB205" s="50"/>
      <c r="AC205" s="50"/>
      <c r="AD205" s="50"/>
      <c r="AE205" s="50"/>
      <c r="AF205" s="50"/>
      <c r="AG205" s="50"/>
      <c r="AH205" s="50"/>
      <c r="AI205" s="50"/>
      <c r="AJ205" s="50"/>
      <c r="AK205" s="50"/>
      <c r="AL205" s="50"/>
    </row>
    <row r="206">
      <c r="U206" s="50"/>
      <c r="V206" s="50"/>
      <c r="W206" s="50"/>
      <c r="X206" s="50"/>
      <c r="Y206" s="50"/>
      <c r="Z206" s="50"/>
      <c r="AA206" s="50"/>
      <c r="AB206" s="50"/>
      <c r="AC206" s="50"/>
      <c r="AD206" s="50"/>
      <c r="AE206" s="50"/>
      <c r="AF206" s="50"/>
      <c r="AG206" s="50"/>
      <c r="AH206" s="50"/>
      <c r="AI206" s="50"/>
      <c r="AJ206" s="50"/>
      <c r="AK206" s="50"/>
      <c r="AL206" s="50"/>
    </row>
    <row r="207">
      <c r="U207" s="50"/>
      <c r="V207" s="50"/>
      <c r="W207" s="50"/>
      <c r="X207" s="50"/>
      <c r="Y207" s="50"/>
      <c r="Z207" s="50"/>
      <c r="AA207" s="50"/>
      <c r="AB207" s="50"/>
      <c r="AC207" s="50"/>
      <c r="AD207" s="50"/>
      <c r="AE207" s="50"/>
      <c r="AF207" s="50"/>
      <c r="AG207" s="50"/>
      <c r="AH207" s="50"/>
      <c r="AI207" s="50"/>
      <c r="AJ207" s="50"/>
      <c r="AK207" s="50"/>
      <c r="AL207" s="50"/>
    </row>
    <row r="208">
      <c r="U208" s="50"/>
      <c r="V208" s="50"/>
      <c r="W208" s="50"/>
      <c r="X208" s="50"/>
      <c r="Y208" s="50"/>
      <c r="Z208" s="50"/>
      <c r="AA208" s="50"/>
      <c r="AB208" s="50"/>
      <c r="AC208" s="50"/>
      <c r="AD208" s="50"/>
      <c r="AE208" s="50"/>
      <c r="AF208" s="50"/>
      <c r="AG208" s="50"/>
      <c r="AH208" s="50"/>
      <c r="AI208" s="50"/>
      <c r="AJ208" s="50"/>
      <c r="AK208" s="50"/>
      <c r="AL208" s="50"/>
    </row>
    <row r="209">
      <c r="U209" s="50"/>
      <c r="V209" s="50"/>
      <c r="W209" s="50"/>
      <c r="X209" s="50"/>
      <c r="Y209" s="50"/>
      <c r="Z209" s="50"/>
      <c r="AA209" s="50"/>
      <c r="AB209" s="50"/>
      <c r="AC209" s="50"/>
      <c r="AD209" s="50"/>
      <c r="AE209" s="50"/>
      <c r="AF209" s="50"/>
      <c r="AG209" s="50"/>
      <c r="AH209" s="50"/>
      <c r="AI209" s="50"/>
      <c r="AJ209" s="50"/>
      <c r="AK209" s="50"/>
      <c r="AL209" s="50"/>
    </row>
    <row r="210">
      <c r="U210" s="50"/>
      <c r="V210" s="50"/>
      <c r="W210" s="50"/>
      <c r="X210" s="50"/>
      <c r="Y210" s="50"/>
      <c r="Z210" s="50"/>
      <c r="AA210" s="50"/>
      <c r="AB210" s="50"/>
      <c r="AC210" s="50"/>
      <c r="AD210" s="50"/>
      <c r="AE210" s="50"/>
      <c r="AF210" s="50"/>
      <c r="AG210" s="50"/>
      <c r="AH210" s="50"/>
      <c r="AI210" s="50"/>
      <c r="AJ210" s="50"/>
      <c r="AK210" s="50"/>
      <c r="AL210" s="50"/>
    </row>
    <row r="211">
      <c r="U211" s="50"/>
      <c r="V211" s="50"/>
      <c r="W211" s="50"/>
      <c r="X211" s="50"/>
      <c r="Y211" s="50"/>
      <c r="Z211" s="50"/>
      <c r="AA211" s="50"/>
      <c r="AB211" s="50"/>
      <c r="AC211" s="50"/>
      <c r="AD211" s="50"/>
      <c r="AE211" s="50"/>
      <c r="AF211" s="50"/>
      <c r="AG211" s="50"/>
      <c r="AH211" s="50"/>
      <c r="AI211" s="50"/>
      <c r="AJ211" s="50"/>
      <c r="AK211" s="50"/>
      <c r="AL211" s="50"/>
    </row>
    <row r="212">
      <c r="U212" s="50"/>
      <c r="V212" s="50"/>
      <c r="W212" s="50"/>
      <c r="X212" s="50"/>
      <c r="Y212" s="50"/>
      <c r="Z212" s="50"/>
      <c r="AA212" s="50"/>
      <c r="AB212" s="50"/>
      <c r="AC212" s="50"/>
      <c r="AD212" s="50"/>
      <c r="AE212" s="50"/>
      <c r="AF212" s="50"/>
      <c r="AG212" s="50"/>
      <c r="AH212" s="50"/>
      <c r="AI212" s="50"/>
      <c r="AJ212" s="50"/>
      <c r="AK212" s="50"/>
      <c r="AL212" s="50"/>
    </row>
    <row r="213">
      <c r="U213" s="50"/>
      <c r="V213" s="50"/>
      <c r="W213" s="50"/>
      <c r="X213" s="50"/>
      <c r="Y213" s="50"/>
      <c r="Z213" s="50"/>
      <c r="AA213" s="50"/>
      <c r="AB213" s="50"/>
      <c r="AC213" s="50"/>
      <c r="AD213" s="50"/>
      <c r="AE213" s="50"/>
      <c r="AF213" s="50"/>
      <c r="AG213" s="50"/>
      <c r="AH213" s="50"/>
      <c r="AI213" s="50"/>
      <c r="AJ213" s="50"/>
      <c r="AK213" s="50"/>
      <c r="AL213" s="50"/>
    </row>
    <row r="214">
      <c r="U214" s="50"/>
      <c r="V214" s="50"/>
      <c r="W214" s="50"/>
      <c r="X214" s="50"/>
      <c r="Y214" s="50"/>
      <c r="Z214" s="50"/>
      <c r="AA214" s="50"/>
      <c r="AB214" s="50"/>
      <c r="AC214" s="50"/>
      <c r="AD214" s="50"/>
      <c r="AE214" s="50"/>
      <c r="AF214" s="50"/>
      <c r="AG214" s="50"/>
      <c r="AH214" s="50"/>
      <c r="AI214" s="50"/>
      <c r="AJ214" s="50"/>
      <c r="AK214" s="50"/>
      <c r="AL214" s="50"/>
    </row>
    <row r="215">
      <c r="U215" s="50"/>
      <c r="V215" s="50"/>
      <c r="W215" s="50"/>
      <c r="X215" s="50"/>
      <c r="Y215" s="50"/>
      <c r="Z215" s="50"/>
      <c r="AA215" s="50"/>
      <c r="AB215" s="50"/>
      <c r="AC215" s="50"/>
      <c r="AD215" s="50"/>
      <c r="AE215" s="50"/>
      <c r="AF215" s="50"/>
      <c r="AG215" s="50"/>
      <c r="AH215" s="50"/>
      <c r="AI215" s="50"/>
      <c r="AJ215" s="50"/>
      <c r="AK215" s="50"/>
      <c r="AL215" s="50"/>
    </row>
    <row r="216">
      <c r="U216" s="50"/>
      <c r="V216" s="50"/>
      <c r="W216" s="50"/>
      <c r="X216" s="50"/>
      <c r="Y216" s="50"/>
      <c r="Z216" s="50"/>
      <c r="AA216" s="50"/>
      <c r="AB216" s="50"/>
      <c r="AC216" s="50"/>
      <c r="AD216" s="50"/>
      <c r="AE216" s="50"/>
      <c r="AF216" s="50"/>
      <c r="AG216" s="50"/>
      <c r="AH216" s="50"/>
      <c r="AI216" s="50"/>
      <c r="AJ216" s="50"/>
      <c r="AK216" s="50"/>
      <c r="AL216" s="50"/>
    </row>
    <row r="217">
      <c r="U217" s="50"/>
      <c r="V217" s="50"/>
      <c r="W217" s="50"/>
      <c r="X217" s="50"/>
      <c r="Y217" s="50"/>
      <c r="Z217" s="50"/>
      <c r="AA217" s="50"/>
      <c r="AB217" s="50"/>
      <c r="AC217" s="50"/>
      <c r="AD217" s="50"/>
      <c r="AE217" s="50"/>
      <c r="AF217" s="50"/>
      <c r="AG217" s="50"/>
      <c r="AH217" s="50"/>
      <c r="AI217" s="50"/>
      <c r="AJ217" s="50"/>
      <c r="AK217" s="50"/>
      <c r="AL217" s="50"/>
    </row>
    <row r="218">
      <c r="U218" s="50"/>
      <c r="V218" s="50"/>
      <c r="W218" s="50"/>
      <c r="X218" s="50"/>
      <c r="Y218" s="50"/>
      <c r="Z218" s="50"/>
      <c r="AA218" s="50"/>
      <c r="AB218" s="50"/>
      <c r="AC218" s="50"/>
      <c r="AD218" s="50"/>
      <c r="AE218" s="50"/>
      <c r="AF218" s="50"/>
      <c r="AG218" s="50"/>
      <c r="AH218" s="50"/>
      <c r="AI218" s="50"/>
      <c r="AJ218" s="50"/>
      <c r="AK218" s="50"/>
      <c r="AL218" s="50"/>
    </row>
    <row r="219">
      <c r="U219" s="50"/>
      <c r="V219" s="50"/>
      <c r="W219" s="50"/>
      <c r="X219" s="50"/>
      <c r="Y219" s="50"/>
      <c r="Z219" s="50"/>
      <c r="AA219" s="50"/>
      <c r="AB219" s="50"/>
      <c r="AC219" s="50"/>
      <c r="AD219" s="50"/>
      <c r="AE219" s="50"/>
      <c r="AF219" s="50"/>
      <c r="AG219" s="50"/>
      <c r="AH219" s="50"/>
      <c r="AI219" s="50"/>
      <c r="AJ219" s="50"/>
      <c r="AK219" s="50"/>
      <c r="AL219" s="50"/>
    </row>
    <row r="220">
      <c r="U220" s="50"/>
      <c r="V220" s="50"/>
      <c r="W220" s="50"/>
      <c r="X220" s="50"/>
      <c r="Y220" s="50"/>
      <c r="Z220" s="50"/>
      <c r="AA220" s="50"/>
      <c r="AB220" s="50"/>
      <c r="AC220" s="50"/>
      <c r="AD220" s="50"/>
      <c r="AE220" s="50"/>
      <c r="AF220" s="50"/>
      <c r="AG220" s="50"/>
      <c r="AH220" s="50"/>
      <c r="AI220" s="50"/>
      <c r="AJ220" s="50"/>
      <c r="AK220" s="50"/>
      <c r="AL220" s="50"/>
    </row>
    <row r="221">
      <c r="U221" s="50"/>
      <c r="V221" s="50"/>
      <c r="W221" s="50"/>
      <c r="X221" s="50"/>
      <c r="Y221" s="50"/>
      <c r="Z221" s="50"/>
      <c r="AA221" s="50"/>
      <c r="AB221" s="50"/>
      <c r="AC221" s="50"/>
      <c r="AD221" s="50"/>
      <c r="AE221" s="50"/>
      <c r="AF221" s="50"/>
      <c r="AG221" s="50"/>
      <c r="AH221" s="50"/>
      <c r="AI221" s="50"/>
      <c r="AJ221" s="50"/>
      <c r="AK221" s="50"/>
      <c r="AL221" s="50"/>
    </row>
    <row r="222">
      <c r="U222" s="50"/>
      <c r="V222" s="50"/>
      <c r="W222" s="50"/>
      <c r="X222" s="50"/>
      <c r="Y222" s="50"/>
      <c r="Z222" s="50"/>
      <c r="AA222" s="50"/>
      <c r="AB222" s="50"/>
      <c r="AC222" s="50"/>
      <c r="AD222" s="50"/>
      <c r="AE222" s="50"/>
      <c r="AF222" s="50"/>
      <c r="AG222" s="50"/>
      <c r="AH222" s="50"/>
      <c r="AI222" s="50"/>
      <c r="AJ222" s="50"/>
      <c r="AK222" s="50"/>
      <c r="AL222" s="50"/>
    </row>
    <row r="223">
      <c r="U223" s="50"/>
      <c r="V223" s="50"/>
      <c r="W223" s="50"/>
      <c r="X223" s="50"/>
      <c r="Y223" s="50"/>
      <c r="Z223" s="50"/>
      <c r="AA223" s="50"/>
      <c r="AB223" s="50"/>
      <c r="AC223" s="50"/>
      <c r="AD223" s="50"/>
      <c r="AE223" s="50"/>
      <c r="AF223" s="50"/>
      <c r="AG223" s="50"/>
      <c r="AH223" s="50"/>
      <c r="AI223" s="50"/>
      <c r="AJ223" s="50"/>
      <c r="AK223" s="50"/>
      <c r="AL223" s="50"/>
    </row>
    <row r="224">
      <c r="U224" s="50"/>
      <c r="V224" s="50"/>
      <c r="W224" s="50"/>
      <c r="X224" s="50"/>
      <c r="Y224" s="50"/>
      <c r="Z224" s="50"/>
      <c r="AA224" s="50"/>
      <c r="AB224" s="50"/>
      <c r="AC224" s="50"/>
      <c r="AD224" s="50"/>
      <c r="AE224" s="50"/>
      <c r="AF224" s="50"/>
      <c r="AG224" s="50"/>
      <c r="AH224" s="50"/>
      <c r="AI224" s="50"/>
      <c r="AJ224" s="50"/>
      <c r="AK224" s="50"/>
      <c r="AL224" s="50"/>
    </row>
    <row r="225">
      <c r="U225" s="50"/>
      <c r="V225" s="50"/>
      <c r="W225" s="50"/>
      <c r="X225" s="50"/>
      <c r="Y225" s="50"/>
      <c r="Z225" s="50"/>
      <c r="AA225" s="50"/>
      <c r="AB225" s="50"/>
      <c r="AC225" s="50"/>
      <c r="AD225" s="50"/>
      <c r="AE225" s="50"/>
      <c r="AF225" s="50"/>
      <c r="AG225" s="50"/>
      <c r="AH225" s="50"/>
      <c r="AI225" s="50"/>
      <c r="AJ225" s="50"/>
      <c r="AK225" s="50"/>
      <c r="AL225" s="50"/>
    </row>
    <row r="226">
      <c r="U226" s="50"/>
      <c r="V226" s="50"/>
      <c r="W226" s="50"/>
      <c r="X226" s="50"/>
      <c r="Y226" s="50"/>
      <c r="Z226" s="50"/>
      <c r="AA226" s="50"/>
      <c r="AB226" s="50"/>
      <c r="AC226" s="50"/>
      <c r="AD226" s="50"/>
      <c r="AE226" s="50"/>
      <c r="AF226" s="50"/>
      <c r="AG226" s="50"/>
      <c r="AH226" s="50"/>
      <c r="AI226" s="50"/>
      <c r="AJ226" s="50"/>
      <c r="AK226" s="50"/>
      <c r="AL226" s="50"/>
    </row>
    <row r="227">
      <c r="U227" s="50"/>
      <c r="V227" s="50"/>
      <c r="W227" s="50"/>
      <c r="X227" s="50"/>
      <c r="Y227" s="50"/>
      <c r="Z227" s="50"/>
      <c r="AA227" s="50"/>
      <c r="AB227" s="50"/>
      <c r="AC227" s="50"/>
      <c r="AD227" s="50"/>
      <c r="AE227" s="50"/>
      <c r="AF227" s="50"/>
      <c r="AG227" s="50"/>
      <c r="AH227" s="50"/>
      <c r="AI227" s="50"/>
      <c r="AJ227" s="50"/>
      <c r="AK227" s="50"/>
      <c r="AL227" s="50"/>
    </row>
    <row r="228">
      <c r="U228" s="50"/>
      <c r="V228" s="50"/>
      <c r="W228" s="50"/>
      <c r="X228" s="50"/>
      <c r="Y228" s="50"/>
      <c r="Z228" s="50"/>
      <c r="AA228" s="50"/>
      <c r="AB228" s="50"/>
      <c r="AC228" s="50"/>
      <c r="AD228" s="50"/>
      <c r="AE228" s="50"/>
      <c r="AF228" s="50"/>
      <c r="AG228" s="50"/>
      <c r="AH228" s="50"/>
      <c r="AI228" s="50"/>
      <c r="AJ228" s="50"/>
      <c r="AK228" s="50"/>
      <c r="AL228" s="50"/>
    </row>
    <row r="229">
      <c r="U229" s="50"/>
      <c r="V229" s="50"/>
      <c r="W229" s="50"/>
      <c r="X229" s="50"/>
      <c r="Y229" s="50"/>
      <c r="Z229" s="50"/>
      <c r="AA229" s="50"/>
      <c r="AB229" s="50"/>
      <c r="AC229" s="50"/>
      <c r="AD229" s="50"/>
      <c r="AE229" s="50"/>
      <c r="AF229" s="50"/>
      <c r="AG229" s="50"/>
      <c r="AH229" s="50"/>
      <c r="AI229" s="50"/>
      <c r="AJ229" s="50"/>
      <c r="AK229" s="50"/>
      <c r="AL229" s="50"/>
    </row>
    <row r="230">
      <c r="U230" s="50"/>
      <c r="V230" s="50"/>
      <c r="W230" s="50"/>
      <c r="X230" s="50"/>
      <c r="Y230" s="50"/>
      <c r="Z230" s="50"/>
      <c r="AA230" s="50"/>
      <c r="AB230" s="50"/>
      <c r="AC230" s="50"/>
      <c r="AD230" s="50"/>
      <c r="AE230" s="50"/>
      <c r="AF230" s="50"/>
      <c r="AG230" s="50"/>
      <c r="AH230" s="50"/>
      <c r="AI230" s="50"/>
      <c r="AJ230" s="50"/>
      <c r="AK230" s="50"/>
      <c r="AL230" s="50"/>
    </row>
    <row r="231">
      <c r="U231" s="50"/>
      <c r="V231" s="50"/>
      <c r="W231" s="50"/>
      <c r="X231" s="50"/>
      <c r="Y231" s="50"/>
      <c r="Z231" s="50"/>
      <c r="AA231" s="50"/>
      <c r="AB231" s="50"/>
      <c r="AC231" s="50"/>
      <c r="AD231" s="50"/>
      <c r="AE231" s="50"/>
      <c r="AF231" s="50"/>
      <c r="AG231" s="50"/>
      <c r="AH231" s="50"/>
      <c r="AI231" s="50"/>
      <c r="AJ231" s="50"/>
      <c r="AK231" s="50"/>
      <c r="AL231" s="50"/>
    </row>
    <row r="232">
      <c r="U232" s="50"/>
      <c r="V232" s="50"/>
      <c r="W232" s="50"/>
      <c r="X232" s="50"/>
      <c r="Y232" s="50"/>
      <c r="Z232" s="50"/>
      <c r="AA232" s="50"/>
      <c r="AB232" s="50"/>
      <c r="AC232" s="50"/>
      <c r="AD232" s="50"/>
      <c r="AE232" s="50"/>
      <c r="AF232" s="50"/>
      <c r="AG232" s="50"/>
      <c r="AH232" s="50"/>
      <c r="AI232" s="50"/>
      <c r="AJ232" s="50"/>
      <c r="AK232" s="50"/>
      <c r="AL232" s="50"/>
    </row>
    <row r="233">
      <c r="U233" s="50"/>
      <c r="V233" s="50"/>
      <c r="W233" s="50"/>
      <c r="X233" s="50"/>
      <c r="Y233" s="50"/>
      <c r="Z233" s="50"/>
      <c r="AA233" s="50"/>
      <c r="AB233" s="50"/>
      <c r="AC233" s="50"/>
      <c r="AD233" s="50"/>
      <c r="AE233" s="50"/>
      <c r="AF233" s="50"/>
      <c r="AG233" s="50"/>
      <c r="AH233" s="50"/>
      <c r="AI233" s="50"/>
      <c r="AJ233" s="50"/>
      <c r="AK233" s="50"/>
      <c r="AL233" s="50"/>
    </row>
    <row r="234">
      <c r="U234" s="50"/>
      <c r="V234" s="50"/>
      <c r="W234" s="50"/>
      <c r="X234" s="50"/>
      <c r="Y234" s="50"/>
      <c r="Z234" s="50"/>
      <c r="AA234" s="50"/>
      <c r="AB234" s="50"/>
      <c r="AC234" s="50"/>
      <c r="AD234" s="50"/>
      <c r="AE234" s="50"/>
      <c r="AF234" s="50"/>
      <c r="AG234" s="50"/>
      <c r="AH234" s="50"/>
      <c r="AI234" s="50"/>
      <c r="AJ234" s="50"/>
      <c r="AK234" s="50"/>
      <c r="AL234" s="50"/>
    </row>
    <row r="235">
      <c r="U235" s="50"/>
      <c r="V235" s="50"/>
      <c r="W235" s="50"/>
      <c r="X235" s="50"/>
      <c r="Y235" s="50"/>
      <c r="Z235" s="50"/>
      <c r="AA235" s="50"/>
      <c r="AB235" s="50"/>
      <c r="AC235" s="50"/>
      <c r="AD235" s="50"/>
      <c r="AE235" s="50"/>
      <c r="AF235" s="50"/>
      <c r="AG235" s="50"/>
      <c r="AH235" s="50"/>
      <c r="AI235" s="50"/>
      <c r="AJ235" s="50"/>
      <c r="AK235" s="50"/>
      <c r="AL235" s="50"/>
    </row>
    <row r="236">
      <c r="U236" s="50"/>
      <c r="V236" s="50"/>
      <c r="W236" s="50"/>
      <c r="X236" s="50"/>
      <c r="Y236" s="50"/>
      <c r="Z236" s="50"/>
      <c r="AA236" s="50"/>
      <c r="AB236" s="50"/>
      <c r="AC236" s="50"/>
      <c r="AD236" s="50"/>
      <c r="AE236" s="50"/>
      <c r="AF236" s="50"/>
      <c r="AG236" s="50"/>
      <c r="AH236" s="50"/>
      <c r="AI236" s="50"/>
      <c r="AJ236" s="50"/>
      <c r="AK236" s="50"/>
      <c r="AL236" s="50"/>
    </row>
    <row r="237">
      <c r="U237" s="50"/>
      <c r="V237" s="50"/>
      <c r="W237" s="50"/>
      <c r="X237" s="50"/>
      <c r="Y237" s="50"/>
      <c r="Z237" s="50"/>
      <c r="AA237" s="50"/>
      <c r="AB237" s="50"/>
      <c r="AC237" s="50"/>
      <c r="AD237" s="50"/>
      <c r="AE237" s="50"/>
      <c r="AF237" s="50"/>
      <c r="AG237" s="50"/>
      <c r="AH237" s="50"/>
      <c r="AI237" s="50"/>
      <c r="AJ237" s="50"/>
      <c r="AK237" s="50"/>
      <c r="AL237" s="50"/>
    </row>
    <row r="238">
      <c r="U238" s="50"/>
      <c r="V238" s="50"/>
      <c r="W238" s="50"/>
      <c r="X238" s="50"/>
      <c r="Y238" s="50"/>
      <c r="Z238" s="50"/>
      <c r="AA238" s="50"/>
      <c r="AB238" s="50"/>
      <c r="AC238" s="50"/>
      <c r="AD238" s="50"/>
      <c r="AE238" s="50"/>
      <c r="AF238" s="50"/>
      <c r="AG238" s="50"/>
      <c r="AH238" s="50"/>
      <c r="AI238" s="50"/>
      <c r="AJ238" s="50"/>
      <c r="AK238" s="50"/>
      <c r="AL238" s="50"/>
    </row>
    <row r="239">
      <c r="U239" s="50"/>
      <c r="V239" s="50"/>
      <c r="W239" s="50"/>
      <c r="X239" s="50"/>
      <c r="Y239" s="50"/>
      <c r="Z239" s="50"/>
      <c r="AA239" s="50"/>
      <c r="AB239" s="50"/>
      <c r="AC239" s="50"/>
      <c r="AD239" s="50"/>
      <c r="AE239" s="50"/>
      <c r="AF239" s="50"/>
      <c r="AG239" s="50"/>
      <c r="AH239" s="50"/>
      <c r="AI239" s="50"/>
      <c r="AJ239" s="50"/>
      <c r="AK239" s="50"/>
      <c r="AL239" s="50"/>
    </row>
    <row r="240">
      <c r="U240" s="50"/>
      <c r="V240" s="50"/>
      <c r="W240" s="50"/>
      <c r="X240" s="50"/>
      <c r="Y240" s="50"/>
      <c r="Z240" s="50"/>
      <c r="AA240" s="50"/>
      <c r="AB240" s="50"/>
      <c r="AC240" s="50"/>
      <c r="AD240" s="50"/>
      <c r="AE240" s="50"/>
      <c r="AF240" s="50"/>
      <c r="AG240" s="50"/>
      <c r="AH240" s="50"/>
      <c r="AI240" s="50"/>
      <c r="AJ240" s="50"/>
      <c r="AK240" s="50"/>
      <c r="AL240" s="50"/>
    </row>
    <row r="241">
      <c r="U241" s="50"/>
      <c r="V241" s="50"/>
      <c r="W241" s="50"/>
      <c r="X241" s="50"/>
      <c r="Y241" s="50"/>
      <c r="Z241" s="50"/>
      <c r="AA241" s="50"/>
      <c r="AB241" s="50"/>
      <c r="AC241" s="50"/>
      <c r="AD241" s="50"/>
      <c r="AE241" s="50"/>
      <c r="AF241" s="50"/>
      <c r="AG241" s="50"/>
      <c r="AH241" s="50"/>
      <c r="AI241" s="50"/>
      <c r="AJ241" s="50"/>
      <c r="AK241" s="50"/>
      <c r="AL241" s="50"/>
    </row>
    <row r="242">
      <c r="U242" s="50"/>
      <c r="V242" s="50"/>
      <c r="W242" s="50"/>
      <c r="X242" s="50"/>
      <c r="Y242" s="50"/>
      <c r="Z242" s="50"/>
      <c r="AA242" s="50"/>
      <c r="AB242" s="50"/>
      <c r="AC242" s="50"/>
      <c r="AD242" s="50"/>
      <c r="AE242" s="50"/>
      <c r="AF242" s="50"/>
      <c r="AG242" s="50"/>
      <c r="AH242" s="50"/>
      <c r="AI242" s="50"/>
      <c r="AJ242" s="50"/>
      <c r="AK242" s="50"/>
      <c r="AL242" s="50"/>
    </row>
    <row r="243">
      <c r="U243" s="50"/>
      <c r="V243" s="50"/>
      <c r="W243" s="50"/>
      <c r="X243" s="50"/>
      <c r="Y243" s="50"/>
      <c r="Z243" s="50"/>
      <c r="AA243" s="50"/>
      <c r="AB243" s="50"/>
      <c r="AC243" s="50"/>
      <c r="AD243" s="50"/>
      <c r="AE243" s="50"/>
      <c r="AF243" s="50"/>
      <c r="AG243" s="50"/>
      <c r="AH243" s="50"/>
      <c r="AI243" s="50"/>
      <c r="AJ243" s="50"/>
      <c r="AK243" s="50"/>
      <c r="AL243" s="50"/>
    </row>
    <row r="244">
      <c r="U244" s="50"/>
      <c r="V244" s="50"/>
      <c r="W244" s="50"/>
      <c r="X244" s="50"/>
      <c r="Y244" s="50"/>
      <c r="Z244" s="50"/>
      <c r="AA244" s="50"/>
      <c r="AB244" s="50"/>
      <c r="AC244" s="50"/>
      <c r="AD244" s="50"/>
      <c r="AE244" s="50"/>
      <c r="AF244" s="50"/>
      <c r="AG244" s="50"/>
      <c r="AH244" s="50"/>
      <c r="AI244" s="50"/>
      <c r="AJ244" s="50"/>
      <c r="AK244" s="50"/>
      <c r="AL244" s="50"/>
    </row>
    <row r="245">
      <c r="U245" s="50"/>
      <c r="V245" s="50"/>
      <c r="W245" s="50"/>
      <c r="X245" s="50"/>
      <c r="Y245" s="50"/>
      <c r="Z245" s="50"/>
      <c r="AA245" s="50"/>
      <c r="AB245" s="50"/>
      <c r="AC245" s="50"/>
      <c r="AD245" s="50"/>
      <c r="AE245" s="50"/>
      <c r="AF245" s="50"/>
      <c r="AG245" s="50"/>
      <c r="AH245" s="50"/>
      <c r="AI245" s="50"/>
      <c r="AJ245" s="50"/>
      <c r="AK245" s="50"/>
      <c r="AL245" s="50"/>
    </row>
    <row r="246">
      <c r="U246" s="50"/>
      <c r="V246" s="50"/>
      <c r="W246" s="50"/>
      <c r="X246" s="50"/>
      <c r="Y246" s="50"/>
      <c r="Z246" s="50"/>
      <c r="AA246" s="50"/>
      <c r="AB246" s="50"/>
      <c r="AC246" s="50"/>
      <c r="AD246" s="50"/>
      <c r="AE246" s="50"/>
      <c r="AF246" s="50"/>
      <c r="AG246" s="50"/>
      <c r="AH246" s="50"/>
      <c r="AI246" s="50"/>
      <c r="AJ246" s="50"/>
      <c r="AK246" s="50"/>
      <c r="AL246" s="50"/>
    </row>
    <row r="247">
      <c r="U247" s="50"/>
      <c r="V247" s="50"/>
      <c r="W247" s="50"/>
      <c r="X247" s="50"/>
      <c r="Y247" s="50"/>
      <c r="Z247" s="50"/>
      <c r="AA247" s="50"/>
      <c r="AB247" s="50"/>
      <c r="AC247" s="50"/>
      <c r="AD247" s="50"/>
      <c r="AE247" s="50"/>
      <c r="AF247" s="50"/>
      <c r="AG247" s="50"/>
      <c r="AH247" s="50"/>
      <c r="AI247" s="50"/>
      <c r="AJ247" s="50"/>
      <c r="AK247" s="50"/>
      <c r="AL247" s="50"/>
    </row>
    <row r="248">
      <c r="U248" s="50"/>
      <c r="V248" s="50"/>
      <c r="W248" s="50"/>
      <c r="X248" s="50"/>
      <c r="Y248" s="50"/>
      <c r="Z248" s="50"/>
      <c r="AA248" s="50"/>
      <c r="AB248" s="50"/>
      <c r="AC248" s="50"/>
      <c r="AD248" s="50"/>
      <c r="AE248" s="50"/>
      <c r="AF248" s="50"/>
      <c r="AG248" s="50"/>
      <c r="AH248" s="50"/>
      <c r="AI248" s="50"/>
      <c r="AJ248" s="50"/>
      <c r="AK248" s="50"/>
      <c r="AL248" s="50"/>
    </row>
    <row r="249">
      <c r="U249" s="50"/>
      <c r="V249" s="50"/>
      <c r="W249" s="50"/>
      <c r="X249" s="50"/>
      <c r="Y249" s="50"/>
      <c r="Z249" s="50"/>
      <c r="AA249" s="50"/>
      <c r="AB249" s="50"/>
      <c r="AC249" s="50"/>
      <c r="AD249" s="50"/>
      <c r="AE249" s="50"/>
      <c r="AF249" s="50"/>
      <c r="AG249" s="50"/>
      <c r="AH249" s="50"/>
      <c r="AI249" s="50"/>
      <c r="AJ249" s="50"/>
      <c r="AK249" s="50"/>
      <c r="AL249" s="50"/>
    </row>
    <row r="250">
      <c r="U250" s="50"/>
      <c r="V250" s="50"/>
      <c r="W250" s="50"/>
      <c r="X250" s="50"/>
      <c r="Y250" s="50"/>
      <c r="Z250" s="50"/>
      <c r="AA250" s="50"/>
      <c r="AB250" s="50"/>
      <c r="AC250" s="50"/>
      <c r="AD250" s="50"/>
      <c r="AE250" s="50"/>
      <c r="AF250" s="50"/>
      <c r="AG250" s="50"/>
      <c r="AH250" s="50"/>
      <c r="AI250" s="50"/>
      <c r="AJ250" s="50"/>
      <c r="AK250" s="50"/>
      <c r="AL250" s="50"/>
    </row>
    <row r="251">
      <c r="U251" s="50"/>
      <c r="V251" s="50"/>
      <c r="W251" s="50"/>
      <c r="X251" s="50"/>
      <c r="Y251" s="50"/>
      <c r="Z251" s="50"/>
      <c r="AA251" s="50"/>
      <c r="AB251" s="50"/>
      <c r="AC251" s="50"/>
      <c r="AD251" s="50"/>
      <c r="AE251" s="50"/>
      <c r="AF251" s="50"/>
      <c r="AG251" s="50"/>
      <c r="AH251" s="50"/>
      <c r="AI251" s="50"/>
      <c r="AJ251" s="50"/>
      <c r="AK251" s="50"/>
      <c r="AL251" s="50"/>
    </row>
    <row r="252">
      <c r="U252" s="50"/>
      <c r="V252" s="50"/>
      <c r="W252" s="50"/>
      <c r="X252" s="50"/>
      <c r="Y252" s="50"/>
      <c r="Z252" s="50"/>
      <c r="AA252" s="50"/>
      <c r="AB252" s="50"/>
      <c r="AC252" s="50"/>
      <c r="AD252" s="50"/>
      <c r="AE252" s="50"/>
      <c r="AF252" s="50"/>
      <c r="AG252" s="50"/>
      <c r="AH252" s="50"/>
      <c r="AI252" s="50"/>
      <c r="AJ252" s="50"/>
      <c r="AK252" s="50"/>
      <c r="AL252" s="50"/>
    </row>
    <row r="253">
      <c r="U253" s="50"/>
      <c r="V253" s="50"/>
      <c r="W253" s="50"/>
      <c r="X253" s="50"/>
      <c r="Y253" s="50"/>
      <c r="Z253" s="50"/>
      <c r="AA253" s="50"/>
      <c r="AB253" s="50"/>
      <c r="AC253" s="50"/>
      <c r="AD253" s="50"/>
      <c r="AE253" s="50"/>
      <c r="AF253" s="50"/>
      <c r="AG253" s="50"/>
      <c r="AH253" s="50"/>
      <c r="AI253" s="50"/>
      <c r="AJ253" s="50"/>
      <c r="AK253" s="50"/>
      <c r="AL253" s="50"/>
    </row>
    <row r="254">
      <c r="U254" s="50"/>
      <c r="V254" s="50"/>
      <c r="W254" s="50"/>
      <c r="X254" s="50"/>
      <c r="Y254" s="50"/>
      <c r="Z254" s="50"/>
      <c r="AA254" s="50"/>
      <c r="AB254" s="50"/>
      <c r="AC254" s="50"/>
      <c r="AD254" s="50"/>
      <c r="AE254" s="50"/>
      <c r="AF254" s="50"/>
      <c r="AG254" s="50"/>
      <c r="AH254" s="50"/>
      <c r="AI254" s="50"/>
      <c r="AJ254" s="50"/>
      <c r="AK254" s="50"/>
      <c r="AL254" s="50"/>
    </row>
    <row r="255">
      <c r="U255" s="50"/>
      <c r="V255" s="50"/>
      <c r="W255" s="50"/>
      <c r="X255" s="50"/>
      <c r="Y255" s="50"/>
      <c r="Z255" s="50"/>
      <c r="AA255" s="50"/>
      <c r="AB255" s="50"/>
      <c r="AC255" s="50"/>
      <c r="AD255" s="50"/>
      <c r="AE255" s="50"/>
      <c r="AF255" s="50"/>
      <c r="AG255" s="50"/>
      <c r="AH255" s="50"/>
      <c r="AI255" s="50"/>
      <c r="AJ255" s="50"/>
      <c r="AK255" s="50"/>
      <c r="AL255" s="50"/>
    </row>
    <row r="256">
      <c r="U256" s="50"/>
      <c r="V256" s="50"/>
      <c r="W256" s="50"/>
      <c r="X256" s="50"/>
      <c r="Y256" s="50"/>
      <c r="Z256" s="50"/>
      <c r="AA256" s="50"/>
      <c r="AB256" s="50"/>
      <c r="AC256" s="50"/>
      <c r="AD256" s="50"/>
      <c r="AE256" s="50"/>
      <c r="AF256" s="50"/>
      <c r="AG256" s="50"/>
      <c r="AH256" s="50"/>
      <c r="AI256" s="50"/>
      <c r="AJ256" s="50"/>
      <c r="AK256" s="50"/>
      <c r="AL256" s="50"/>
    </row>
    <row r="257">
      <c r="U257" s="50"/>
      <c r="V257" s="50"/>
      <c r="W257" s="50"/>
      <c r="X257" s="50"/>
      <c r="Y257" s="50"/>
      <c r="Z257" s="50"/>
      <c r="AA257" s="50"/>
      <c r="AB257" s="50"/>
      <c r="AC257" s="50"/>
      <c r="AD257" s="50"/>
      <c r="AE257" s="50"/>
      <c r="AF257" s="50"/>
      <c r="AG257" s="50"/>
      <c r="AH257" s="50"/>
      <c r="AI257" s="50"/>
      <c r="AJ257" s="50"/>
      <c r="AK257" s="50"/>
      <c r="AL257" s="50"/>
    </row>
    <row r="258">
      <c r="U258" s="50"/>
      <c r="V258" s="50"/>
      <c r="W258" s="50"/>
      <c r="X258" s="50"/>
      <c r="Y258" s="50"/>
      <c r="Z258" s="50"/>
      <c r="AA258" s="50"/>
      <c r="AB258" s="50"/>
      <c r="AC258" s="50"/>
      <c r="AD258" s="50"/>
      <c r="AE258" s="50"/>
      <c r="AF258" s="50"/>
      <c r="AG258" s="50"/>
      <c r="AH258" s="50"/>
      <c r="AI258" s="50"/>
      <c r="AJ258" s="50"/>
      <c r="AK258" s="50"/>
      <c r="AL258" s="50"/>
    </row>
    <row r="259">
      <c r="U259" s="50"/>
      <c r="V259" s="50"/>
      <c r="W259" s="50"/>
      <c r="X259" s="50"/>
      <c r="Y259" s="50"/>
      <c r="Z259" s="50"/>
      <c r="AA259" s="50"/>
      <c r="AB259" s="50"/>
      <c r="AC259" s="50"/>
      <c r="AD259" s="50"/>
      <c r="AE259" s="50"/>
      <c r="AF259" s="50"/>
      <c r="AG259" s="50"/>
      <c r="AH259" s="50"/>
      <c r="AI259" s="50"/>
      <c r="AJ259" s="50"/>
      <c r="AK259" s="50"/>
      <c r="AL259" s="50"/>
    </row>
    <row r="260">
      <c r="U260" s="50"/>
      <c r="V260" s="50"/>
      <c r="W260" s="50"/>
      <c r="X260" s="50"/>
      <c r="Y260" s="50"/>
      <c r="Z260" s="50"/>
      <c r="AA260" s="50"/>
      <c r="AB260" s="50"/>
      <c r="AC260" s="50"/>
      <c r="AD260" s="50"/>
      <c r="AE260" s="50"/>
      <c r="AF260" s="50"/>
      <c r="AG260" s="50"/>
      <c r="AH260" s="50"/>
      <c r="AI260" s="50"/>
      <c r="AJ260" s="50"/>
      <c r="AK260" s="50"/>
      <c r="AL260" s="50"/>
    </row>
    <row r="261">
      <c r="U261" s="50"/>
      <c r="V261" s="50"/>
      <c r="W261" s="50"/>
      <c r="X261" s="50"/>
      <c r="Y261" s="50"/>
      <c r="Z261" s="50"/>
      <c r="AA261" s="50"/>
      <c r="AB261" s="50"/>
      <c r="AC261" s="50"/>
      <c r="AD261" s="50"/>
      <c r="AE261" s="50"/>
      <c r="AF261" s="50"/>
      <c r="AG261" s="50"/>
      <c r="AH261" s="50"/>
      <c r="AI261" s="50"/>
      <c r="AJ261" s="50"/>
      <c r="AK261" s="50"/>
      <c r="AL261" s="50"/>
    </row>
    <row r="262">
      <c r="U262" s="50"/>
      <c r="V262" s="50"/>
      <c r="W262" s="50"/>
      <c r="X262" s="50"/>
      <c r="Y262" s="50"/>
      <c r="Z262" s="50"/>
      <c r="AA262" s="50"/>
      <c r="AB262" s="50"/>
      <c r="AC262" s="50"/>
      <c r="AD262" s="50"/>
      <c r="AE262" s="50"/>
      <c r="AF262" s="50"/>
      <c r="AG262" s="50"/>
      <c r="AH262" s="50"/>
      <c r="AI262" s="50"/>
      <c r="AJ262" s="50"/>
      <c r="AK262" s="50"/>
      <c r="AL262" s="50"/>
    </row>
    <row r="263">
      <c r="U263" s="50"/>
      <c r="V263" s="50"/>
      <c r="W263" s="50"/>
      <c r="X263" s="50"/>
      <c r="Y263" s="50"/>
      <c r="Z263" s="50"/>
      <c r="AA263" s="50"/>
      <c r="AB263" s="50"/>
      <c r="AC263" s="50"/>
      <c r="AD263" s="50"/>
      <c r="AE263" s="50"/>
      <c r="AF263" s="50"/>
      <c r="AG263" s="50"/>
      <c r="AH263" s="50"/>
      <c r="AI263" s="50"/>
      <c r="AJ263" s="50"/>
      <c r="AK263" s="50"/>
      <c r="AL263" s="50"/>
    </row>
    <row r="264">
      <c r="U264" s="50"/>
      <c r="V264" s="50"/>
      <c r="W264" s="50"/>
      <c r="X264" s="50"/>
      <c r="Y264" s="50"/>
      <c r="Z264" s="50"/>
      <c r="AA264" s="50"/>
      <c r="AB264" s="50"/>
      <c r="AC264" s="50"/>
      <c r="AD264" s="50"/>
      <c r="AE264" s="50"/>
      <c r="AF264" s="50"/>
      <c r="AG264" s="50"/>
      <c r="AH264" s="50"/>
      <c r="AI264" s="50"/>
      <c r="AJ264" s="50"/>
      <c r="AK264" s="50"/>
      <c r="AL264" s="50"/>
    </row>
    <row r="265">
      <c r="U265" s="50"/>
      <c r="V265" s="50"/>
      <c r="W265" s="50"/>
      <c r="X265" s="50"/>
      <c r="Y265" s="50"/>
      <c r="Z265" s="50"/>
      <c r="AA265" s="50"/>
      <c r="AB265" s="50"/>
      <c r="AC265" s="50"/>
      <c r="AD265" s="50"/>
      <c r="AE265" s="50"/>
      <c r="AF265" s="50"/>
      <c r="AG265" s="50"/>
      <c r="AH265" s="50"/>
      <c r="AI265" s="50"/>
      <c r="AJ265" s="50"/>
      <c r="AK265" s="50"/>
      <c r="AL265" s="50"/>
    </row>
    <row r="266">
      <c r="U266" s="50"/>
      <c r="V266" s="50"/>
      <c r="W266" s="50"/>
      <c r="X266" s="50"/>
      <c r="Y266" s="50"/>
      <c r="Z266" s="50"/>
      <c r="AA266" s="50"/>
      <c r="AB266" s="50"/>
      <c r="AC266" s="50"/>
      <c r="AD266" s="50"/>
      <c r="AE266" s="50"/>
      <c r="AF266" s="50"/>
      <c r="AG266" s="50"/>
      <c r="AH266" s="50"/>
      <c r="AI266" s="50"/>
      <c r="AJ266" s="50"/>
      <c r="AK266" s="50"/>
      <c r="AL266" s="50"/>
    </row>
    <row r="267">
      <c r="U267" s="50"/>
      <c r="V267" s="50"/>
      <c r="W267" s="50"/>
      <c r="X267" s="50"/>
      <c r="Y267" s="50"/>
      <c r="Z267" s="50"/>
      <c r="AA267" s="50"/>
      <c r="AB267" s="50"/>
      <c r="AC267" s="50"/>
      <c r="AD267" s="50"/>
      <c r="AE267" s="50"/>
      <c r="AF267" s="50"/>
      <c r="AG267" s="50"/>
      <c r="AH267" s="50"/>
      <c r="AI267" s="50"/>
      <c r="AJ267" s="50"/>
      <c r="AK267" s="50"/>
      <c r="AL267" s="50"/>
    </row>
    <row r="268">
      <c r="U268" s="50"/>
      <c r="V268" s="50"/>
      <c r="W268" s="50"/>
      <c r="X268" s="50"/>
      <c r="Y268" s="50"/>
      <c r="Z268" s="50"/>
      <c r="AA268" s="50"/>
      <c r="AB268" s="50"/>
      <c r="AC268" s="50"/>
      <c r="AD268" s="50"/>
      <c r="AE268" s="50"/>
      <c r="AF268" s="50"/>
      <c r="AG268" s="50"/>
      <c r="AH268" s="50"/>
      <c r="AI268" s="50"/>
      <c r="AJ268" s="50"/>
      <c r="AK268" s="50"/>
      <c r="AL268" s="50"/>
    </row>
    <row r="269">
      <c r="U269" s="50"/>
      <c r="V269" s="50"/>
      <c r="W269" s="50"/>
      <c r="X269" s="50"/>
      <c r="Y269" s="50"/>
      <c r="Z269" s="50"/>
      <c r="AA269" s="50"/>
      <c r="AB269" s="50"/>
      <c r="AC269" s="50"/>
      <c r="AD269" s="50"/>
      <c r="AE269" s="50"/>
      <c r="AF269" s="50"/>
      <c r="AG269" s="50"/>
      <c r="AH269" s="50"/>
      <c r="AI269" s="50"/>
      <c r="AJ269" s="50"/>
      <c r="AK269" s="50"/>
      <c r="AL269" s="50"/>
    </row>
    <row r="270">
      <c r="U270" s="50"/>
      <c r="V270" s="50"/>
      <c r="W270" s="50"/>
      <c r="X270" s="50"/>
      <c r="Y270" s="50"/>
      <c r="Z270" s="50"/>
      <c r="AA270" s="50"/>
      <c r="AB270" s="50"/>
      <c r="AC270" s="50"/>
      <c r="AD270" s="50"/>
      <c r="AE270" s="50"/>
      <c r="AF270" s="50"/>
      <c r="AG270" s="50"/>
      <c r="AH270" s="50"/>
      <c r="AI270" s="50"/>
      <c r="AJ270" s="50"/>
      <c r="AK270" s="50"/>
      <c r="AL270" s="50"/>
    </row>
    <row r="271">
      <c r="U271" s="50"/>
      <c r="V271" s="50"/>
      <c r="W271" s="50"/>
      <c r="X271" s="50"/>
      <c r="Y271" s="50"/>
      <c r="Z271" s="50"/>
      <c r="AA271" s="50"/>
      <c r="AB271" s="50"/>
      <c r="AC271" s="50"/>
      <c r="AD271" s="50"/>
      <c r="AE271" s="50"/>
      <c r="AF271" s="50"/>
      <c r="AG271" s="50"/>
      <c r="AH271" s="50"/>
      <c r="AI271" s="50"/>
      <c r="AJ271" s="50"/>
      <c r="AK271" s="50"/>
      <c r="AL271" s="50"/>
    </row>
    <row r="272">
      <c r="U272" s="50"/>
      <c r="V272" s="50"/>
      <c r="W272" s="50"/>
      <c r="X272" s="50"/>
      <c r="Y272" s="50"/>
      <c r="Z272" s="50"/>
      <c r="AA272" s="50"/>
      <c r="AB272" s="50"/>
      <c r="AC272" s="50"/>
      <c r="AD272" s="50"/>
      <c r="AE272" s="50"/>
      <c r="AF272" s="50"/>
      <c r="AG272" s="50"/>
      <c r="AH272" s="50"/>
      <c r="AI272" s="50"/>
      <c r="AJ272" s="50"/>
      <c r="AK272" s="50"/>
      <c r="AL272" s="50"/>
    </row>
    <row r="273">
      <c r="U273" s="50"/>
      <c r="V273" s="50"/>
      <c r="W273" s="50"/>
      <c r="X273" s="50"/>
      <c r="Y273" s="50"/>
      <c r="Z273" s="50"/>
      <c r="AA273" s="50"/>
      <c r="AB273" s="50"/>
      <c r="AC273" s="50"/>
      <c r="AD273" s="50"/>
      <c r="AE273" s="50"/>
      <c r="AF273" s="50"/>
      <c r="AG273" s="50"/>
      <c r="AH273" s="50"/>
      <c r="AI273" s="50"/>
      <c r="AJ273" s="50"/>
      <c r="AK273" s="50"/>
      <c r="AL273" s="50"/>
    </row>
    <row r="274">
      <c r="U274" s="50"/>
      <c r="V274" s="50"/>
      <c r="W274" s="50"/>
      <c r="X274" s="50"/>
      <c r="Y274" s="50"/>
      <c r="Z274" s="50"/>
      <c r="AA274" s="50"/>
      <c r="AB274" s="50"/>
      <c r="AC274" s="50"/>
      <c r="AD274" s="50"/>
      <c r="AE274" s="50"/>
      <c r="AF274" s="50"/>
      <c r="AG274" s="50"/>
      <c r="AH274" s="50"/>
      <c r="AI274" s="50"/>
      <c r="AJ274" s="50"/>
      <c r="AK274" s="50"/>
      <c r="AL274" s="50"/>
    </row>
    <row r="275">
      <c r="U275" s="50"/>
      <c r="V275" s="50"/>
      <c r="W275" s="50"/>
      <c r="X275" s="50"/>
      <c r="Y275" s="50"/>
      <c r="Z275" s="50"/>
      <c r="AA275" s="50"/>
      <c r="AB275" s="50"/>
      <c r="AC275" s="50"/>
      <c r="AD275" s="50"/>
      <c r="AE275" s="50"/>
      <c r="AF275" s="50"/>
      <c r="AG275" s="50"/>
      <c r="AH275" s="50"/>
      <c r="AI275" s="50"/>
      <c r="AJ275" s="50"/>
      <c r="AK275" s="50"/>
      <c r="AL275" s="50"/>
    </row>
    <row r="276">
      <c r="U276" s="50"/>
      <c r="V276" s="50"/>
      <c r="W276" s="50"/>
      <c r="X276" s="50"/>
      <c r="Y276" s="50"/>
      <c r="Z276" s="50"/>
      <c r="AA276" s="50"/>
      <c r="AB276" s="50"/>
      <c r="AC276" s="50"/>
      <c r="AD276" s="50"/>
      <c r="AE276" s="50"/>
      <c r="AF276" s="50"/>
      <c r="AG276" s="50"/>
      <c r="AH276" s="50"/>
      <c r="AI276" s="50"/>
      <c r="AJ276" s="50"/>
      <c r="AK276" s="50"/>
      <c r="AL276" s="50"/>
    </row>
    <row r="277">
      <c r="U277" s="50"/>
      <c r="V277" s="50"/>
      <c r="W277" s="50"/>
      <c r="X277" s="50"/>
      <c r="Y277" s="50"/>
      <c r="Z277" s="50"/>
      <c r="AA277" s="50"/>
      <c r="AB277" s="50"/>
      <c r="AC277" s="50"/>
      <c r="AD277" s="50"/>
      <c r="AE277" s="50"/>
      <c r="AF277" s="50"/>
      <c r="AG277" s="50"/>
      <c r="AH277" s="50"/>
      <c r="AI277" s="50"/>
      <c r="AJ277" s="50"/>
      <c r="AK277" s="50"/>
      <c r="AL277" s="50"/>
    </row>
    <row r="278">
      <c r="U278" s="50"/>
      <c r="V278" s="50"/>
      <c r="W278" s="50"/>
      <c r="X278" s="50"/>
      <c r="Y278" s="50"/>
      <c r="Z278" s="50"/>
      <c r="AA278" s="50"/>
      <c r="AB278" s="50"/>
      <c r="AC278" s="50"/>
      <c r="AD278" s="50"/>
      <c r="AE278" s="50"/>
      <c r="AF278" s="50"/>
      <c r="AG278" s="50"/>
      <c r="AH278" s="50"/>
      <c r="AI278" s="50"/>
      <c r="AJ278" s="50"/>
      <c r="AK278" s="50"/>
      <c r="AL278" s="50"/>
    </row>
    <row r="279">
      <c r="U279" s="50"/>
      <c r="V279" s="50"/>
      <c r="W279" s="50"/>
      <c r="X279" s="50"/>
      <c r="Y279" s="50"/>
      <c r="Z279" s="50"/>
      <c r="AA279" s="50"/>
      <c r="AB279" s="50"/>
      <c r="AC279" s="50"/>
      <c r="AD279" s="50"/>
      <c r="AE279" s="50"/>
      <c r="AF279" s="50"/>
      <c r="AG279" s="50"/>
      <c r="AH279" s="50"/>
      <c r="AI279" s="50"/>
      <c r="AJ279" s="50"/>
      <c r="AK279" s="50"/>
      <c r="AL279" s="50"/>
    </row>
    <row r="280">
      <c r="U280" s="50"/>
      <c r="V280" s="50"/>
      <c r="W280" s="50"/>
      <c r="X280" s="50"/>
      <c r="Y280" s="50"/>
      <c r="Z280" s="50"/>
      <c r="AA280" s="50"/>
      <c r="AB280" s="50"/>
      <c r="AC280" s="50"/>
      <c r="AD280" s="50"/>
      <c r="AE280" s="50"/>
      <c r="AF280" s="50"/>
      <c r="AG280" s="50"/>
      <c r="AH280" s="50"/>
      <c r="AI280" s="50"/>
      <c r="AJ280" s="50"/>
      <c r="AK280" s="50"/>
      <c r="AL280" s="50"/>
    </row>
    <row r="281">
      <c r="U281" s="50"/>
      <c r="V281" s="50"/>
      <c r="W281" s="50"/>
      <c r="X281" s="50"/>
      <c r="Y281" s="50"/>
      <c r="Z281" s="50"/>
      <c r="AA281" s="50"/>
      <c r="AB281" s="50"/>
      <c r="AC281" s="50"/>
      <c r="AD281" s="50"/>
      <c r="AE281" s="50"/>
      <c r="AF281" s="50"/>
      <c r="AG281" s="50"/>
      <c r="AH281" s="50"/>
      <c r="AI281" s="50"/>
      <c r="AJ281" s="50"/>
      <c r="AK281" s="50"/>
      <c r="AL281" s="50"/>
    </row>
    <row r="282">
      <c r="U282" s="50"/>
      <c r="V282" s="50"/>
      <c r="W282" s="50"/>
      <c r="X282" s="50"/>
      <c r="Y282" s="50"/>
      <c r="Z282" s="50"/>
      <c r="AA282" s="50"/>
      <c r="AB282" s="50"/>
      <c r="AC282" s="50"/>
      <c r="AD282" s="50"/>
      <c r="AE282" s="50"/>
      <c r="AF282" s="50"/>
      <c r="AG282" s="50"/>
      <c r="AH282" s="50"/>
      <c r="AI282" s="50"/>
      <c r="AJ282" s="50"/>
      <c r="AK282" s="50"/>
      <c r="AL282" s="50"/>
    </row>
    <row r="283">
      <c r="U283" s="50"/>
      <c r="V283" s="50"/>
      <c r="W283" s="50"/>
      <c r="X283" s="50"/>
      <c r="Y283" s="50"/>
      <c r="Z283" s="50"/>
      <c r="AA283" s="50"/>
      <c r="AB283" s="50"/>
      <c r="AC283" s="50"/>
      <c r="AD283" s="50"/>
      <c r="AE283" s="50"/>
      <c r="AF283" s="50"/>
      <c r="AG283" s="50"/>
      <c r="AH283" s="50"/>
      <c r="AI283" s="50"/>
      <c r="AJ283" s="50"/>
      <c r="AK283" s="50"/>
      <c r="AL283" s="50"/>
    </row>
    <row r="284">
      <c r="U284" s="50"/>
      <c r="V284" s="50"/>
      <c r="W284" s="50"/>
      <c r="X284" s="50"/>
      <c r="Y284" s="50"/>
      <c r="Z284" s="50"/>
      <c r="AA284" s="50"/>
      <c r="AB284" s="50"/>
      <c r="AC284" s="50"/>
      <c r="AD284" s="50"/>
      <c r="AE284" s="50"/>
      <c r="AF284" s="50"/>
      <c r="AG284" s="50"/>
      <c r="AH284" s="50"/>
      <c r="AI284" s="50"/>
      <c r="AJ284" s="50"/>
      <c r="AK284" s="50"/>
      <c r="AL284" s="50"/>
    </row>
    <row r="285">
      <c r="U285" s="50"/>
      <c r="V285" s="50"/>
      <c r="W285" s="50"/>
      <c r="X285" s="50"/>
      <c r="Y285" s="50"/>
      <c r="Z285" s="50"/>
      <c r="AA285" s="50"/>
      <c r="AB285" s="50"/>
      <c r="AC285" s="50"/>
      <c r="AD285" s="50"/>
      <c r="AE285" s="50"/>
      <c r="AF285" s="50"/>
      <c r="AG285" s="50"/>
      <c r="AH285" s="50"/>
      <c r="AI285" s="50"/>
      <c r="AJ285" s="50"/>
      <c r="AK285" s="50"/>
      <c r="AL285" s="50"/>
    </row>
    <row r="286">
      <c r="U286" s="50"/>
      <c r="V286" s="50"/>
      <c r="W286" s="50"/>
      <c r="X286" s="50"/>
      <c r="Y286" s="50"/>
      <c r="Z286" s="50"/>
      <c r="AA286" s="50"/>
      <c r="AB286" s="50"/>
      <c r="AC286" s="50"/>
      <c r="AD286" s="50"/>
      <c r="AE286" s="50"/>
      <c r="AF286" s="50"/>
      <c r="AG286" s="50"/>
      <c r="AH286" s="50"/>
      <c r="AI286" s="50"/>
      <c r="AJ286" s="50"/>
      <c r="AK286" s="50"/>
      <c r="AL286" s="50"/>
    </row>
    <row r="287">
      <c r="U287" s="50"/>
      <c r="V287" s="50"/>
      <c r="W287" s="50"/>
      <c r="X287" s="50"/>
      <c r="Y287" s="50"/>
      <c r="Z287" s="50"/>
      <c r="AA287" s="50"/>
      <c r="AB287" s="50"/>
      <c r="AC287" s="50"/>
      <c r="AD287" s="50"/>
      <c r="AE287" s="50"/>
      <c r="AF287" s="50"/>
      <c r="AG287" s="50"/>
      <c r="AH287" s="50"/>
      <c r="AI287" s="50"/>
      <c r="AJ287" s="50"/>
      <c r="AK287" s="50"/>
      <c r="AL287" s="50"/>
    </row>
    <row r="288">
      <c r="U288" s="50"/>
      <c r="V288" s="50"/>
      <c r="W288" s="50"/>
      <c r="X288" s="50"/>
      <c r="Y288" s="50"/>
      <c r="Z288" s="50"/>
      <c r="AA288" s="50"/>
      <c r="AB288" s="50"/>
      <c r="AC288" s="50"/>
      <c r="AD288" s="50"/>
      <c r="AE288" s="50"/>
      <c r="AF288" s="50"/>
      <c r="AG288" s="50"/>
      <c r="AH288" s="50"/>
      <c r="AI288" s="50"/>
      <c r="AJ288" s="50"/>
      <c r="AK288" s="50"/>
      <c r="AL288" s="50"/>
    </row>
    <row r="289">
      <c r="U289" s="50"/>
      <c r="V289" s="50"/>
      <c r="W289" s="50"/>
      <c r="X289" s="50"/>
      <c r="Y289" s="50"/>
      <c r="Z289" s="50"/>
      <c r="AA289" s="50"/>
      <c r="AB289" s="50"/>
      <c r="AC289" s="50"/>
      <c r="AD289" s="50"/>
      <c r="AE289" s="50"/>
      <c r="AF289" s="50"/>
      <c r="AG289" s="50"/>
      <c r="AH289" s="50"/>
      <c r="AI289" s="50"/>
      <c r="AJ289" s="50"/>
      <c r="AK289" s="50"/>
      <c r="AL289" s="50"/>
    </row>
    <row r="290">
      <c r="U290" s="50"/>
      <c r="V290" s="50"/>
      <c r="W290" s="50"/>
      <c r="X290" s="50"/>
      <c r="Y290" s="50"/>
      <c r="Z290" s="50"/>
      <c r="AA290" s="50"/>
      <c r="AB290" s="50"/>
      <c r="AC290" s="50"/>
      <c r="AD290" s="50"/>
      <c r="AE290" s="50"/>
      <c r="AF290" s="50"/>
      <c r="AG290" s="50"/>
      <c r="AH290" s="50"/>
      <c r="AI290" s="50"/>
      <c r="AJ290" s="50"/>
      <c r="AK290" s="50"/>
      <c r="AL290" s="50"/>
    </row>
    <row r="291">
      <c r="U291" s="50"/>
      <c r="V291" s="50"/>
      <c r="W291" s="50"/>
      <c r="X291" s="50"/>
      <c r="Y291" s="50"/>
      <c r="Z291" s="50"/>
      <c r="AA291" s="50"/>
      <c r="AB291" s="50"/>
      <c r="AC291" s="50"/>
      <c r="AD291" s="50"/>
      <c r="AE291" s="50"/>
      <c r="AF291" s="50"/>
      <c r="AG291" s="50"/>
      <c r="AH291" s="50"/>
      <c r="AI291" s="50"/>
      <c r="AJ291" s="50"/>
      <c r="AK291" s="50"/>
      <c r="AL291" s="50"/>
    </row>
    <row r="292">
      <c r="U292" s="50"/>
      <c r="V292" s="50"/>
      <c r="W292" s="50"/>
      <c r="X292" s="50"/>
      <c r="Y292" s="50"/>
      <c r="Z292" s="50"/>
      <c r="AA292" s="50"/>
      <c r="AB292" s="50"/>
      <c r="AC292" s="50"/>
      <c r="AD292" s="50"/>
      <c r="AE292" s="50"/>
      <c r="AF292" s="50"/>
      <c r="AG292" s="50"/>
      <c r="AH292" s="50"/>
      <c r="AI292" s="50"/>
      <c r="AJ292" s="50"/>
      <c r="AK292" s="50"/>
      <c r="AL292" s="50"/>
    </row>
    <row r="293">
      <c r="U293" s="50"/>
      <c r="V293" s="50"/>
      <c r="W293" s="50"/>
      <c r="X293" s="50"/>
      <c r="Y293" s="50"/>
      <c r="Z293" s="50"/>
      <c r="AA293" s="50"/>
      <c r="AB293" s="50"/>
      <c r="AC293" s="50"/>
      <c r="AD293" s="50"/>
      <c r="AE293" s="50"/>
      <c r="AF293" s="50"/>
      <c r="AG293" s="50"/>
      <c r="AH293" s="50"/>
      <c r="AI293" s="50"/>
      <c r="AJ293" s="50"/>
      <c r="AK293" s="50"/>
      <c r="AL293" s="50"/>
    </row>
    <row r="294">
      <c r="U294" s="50"/>
      <c r="V294" s="50"/>
      <c r="W294" s="50"/>
      <c r="X294" s="50"/>
      <c r="Y294" s="50"/>
      <c r="Z294" s="50"/>
      <c r="AA294" s="50"/>
      <c r="AB294" s="50"/>
      <c r="AC294" s="50"/>
      <c r="AD294" s="50"/>
      <c r="AE294" s="50"/>
      <c r="AF294" s="50"/>
      <c r="AG294" s="50"/>
      <c r="AH294" s="50"/>
      <c r="AI294" s="50"/>
      <c r="AJ294" s="50"/>
      <c r="AK294" s="50"/>
      <c r="AL294" s="50"/>
    </row>
    <row r="295">
      <c r="U295" s="50"/>
      <c r="V295" s="50"/>
      <c r="W295" s="50"/>
      <c r="X295" s="50"/>
      <c r="Y295" s="50"/>
      <c r="Z295" s="50"/>
      <c r="AA295" s="50"/>
      <c r="AB295" s="50"/>
      <c r="AC295" s="50"/>
      <c r="AD295" s="50"/>
      <c r="AE295" s="50"/>
      <c r="AF295" s="50"/>
      <c r="AG295" s="50"/>
      <c r="AH295" s="50"/>
      <c r="AI295" s="50"/>
      <c r="AJ295" s="50"/>
      <c r="AK295" s="50"/>
      <c r="AL295" s="50"/>
    </row>
    <row r="296">
      <c r="U296" s="50"/>
      <c r="V296" s="50"/>
      <c r="W296" s="50"/>
      <c r="X296" s="50"/>
      <c r="Y296" s="50"/>
      <c r="Z296" s="50"/>
      <c r="AA296" s="50"/>
      <c r="AB296" s="50"/>
      <c r="AC296" s="50"/>
      <c r="AD296" s="50"/>
      <c r="AE296" s="50"/>
      <c r="AF296" s="50"/>
      <c r="AG296" s="50"/>
      <c r="AH296" s="50"/>
      <c r="AI296" s="50"/>
      <c r="AJ296" s="50"/>
      <c r="AK296" s="50"/>
      <c r="AL296" s="50"/>
    </row>
    <row r="297">
      <c r="U297" s="50"/>
      <c r="V297" s="50"/>
      <c r="W297" s="50"/>
      <c r="X297" s="50"/>
      <c r="Y297" s="50"/>
      <c r="Z297" s="50"/>
      <c r="AA297" s="50"/>
      <c r="AB297" s="50"/>
      <c r="AC297" s="50"/>
      <c r="AD297" s="50"/>
      <c r="AE297" s="50"/>
      <c r="AF297" s="50"/>
      <c r="AG297" s="50"/>
      <c r="AH297" s="50"/>
      <c r="AI297" s="50"/>
      <c r="AJ297" s="50"/>
      <c r="AK297" s="50"/>
      <c r="AL297" s="50"/>
    </row>
    <row r="298">
      <c r="U298" s="50"/>
      <c r="V298" s="50"/>
      <c r="W298" s="50"/>
      <c r="X298" s="50"/>
      <c r="Y298" s="50"/>
      <c r="Z298" s="50"/>
      <c r="AA298" s="50"/>
      <c r="AB298" s="50"/>
      <c r="AC298" s="50"/>
      <c r="AD298" s="50"/>
      <c r="AE298" s="50"/>
      <c r="AF298" s="50"/>
      <c r="AG298" s="50"/>
      <c r="AH298" s="50"/>
      <c r="AI298" s="50"/>
      <c r="AJ298" s="50"/>
      <c r="AK298" s="50"/>
      <c r="AL298" s="50"/>
    </row>
    <row r="299">
      <c r="U299" s="50"/>
      <c r="V299" s="50"/>
      <c r="W299" s="50"/>
      <c r="X299" s="50"/>
      <c r="Y299" s="50"/>
      <c r="Z299" s="50"/>
      <c r="AA299" s="50"/>
      <c r="AB299" s="50"/>
      <c r="AC299" s="50"/>
      <c r="AD299" s="50"/>
      <c r="AE299" s="50"/>
      <c r="AF299" s="50"/>
      <c r="AG299" s="50"/>
      <c r="AH299" s="50"/>
      <c r="AI299" s="50"/>
      <c r="AJ299" s="50"/>
      <c r="AK299" s="50"/>
      <c r="AL299" s="50"/>
    </row>
    <row r="300">
      <c r="U300" s="50"/>
      <c r="V300" s="50"/>
      <c r="W300" s="50"/>
      <c r="X300" s="50"/>
      <c r="Y300" s="50"/>
      <c r="Z300" s="50"/>
      <c r="AA300" s="50"/>
      <c r="AB300" s="50"/>
      <c r="AC300" s="50"/>
      <c r="AD300" s="50"/>
      <c r="AE300" s="50"/>
      <c r="AF300" s="50"/>
      <c r="AG300" s="50"/>
      <c r="AH300" s="50"/>
      <c r="AI300" s="50"/>
      <c r="AJ300" s="50"/>
      <c r="AK300" s="50"/>
      <c r="AL300" s="50"/>
    </row>
    <row r="301">
      <c r="U301" s="50"/>
      <c r="V301" s="50"/>
      <c r="W301" s="50"/>
      <c r="X301" s="50"/>
      <c r="Y301" s="50"/>
      <c r="Z301" s="50"/>
      <c r="AA301" s="50"/>
      <c r="AB301" s="50"/>
      <c r="AC301" s="50"/>
      <c r="AD301" s="50"/>
      <c r="AE301" s="50"/>
      <c r="AF301" s="50"/>
      <c r="AG301" s="50"/>
      <c r="AH301" s="50"/>
      <c r="AI301" s="50"/>
      <c r="AJ301" s="50"/>
      <c r="AK301" s="50"/>
      <c r="AL301" s="50"/>
    </row>
    <row r="302">
      <c r="U302" s="50"/>
      <c r="V302" s="50"/>
      <c r="W302" s="50"/>
      <c r="X302" s="50"/>
      <c r="Y302" s="50"/>
      <c r="Z302" s="50"/>
      <c r="AA302" s="50"/>
      <c r="AB302" s="50"/>
      <c r="AC302" s="50"/>
      <c r="AD302" s="50"/>
      <c r="AE302" s="50"/>
      <c r="AF302" s="50"/>
      <c r="AG302" s="50"/>
      <c r="AH302" s="50"/>
      <c r="AI302" s="50"/>
      <c r="AJ302" s="50"/>
      <c r="AK302" s="50"/>
      <c r="AL302" s="50"/>
    </row>
    <row r="303">
      <c r="U303" s="50"/>
      <c r="V303" s="50"/>
      <c r="W303" s="50"/>
      <c r="X303" s="50"/>
      <c r="Y303" s="50"/>
      <c r="Z303" s="50"/>
      <c r="AA303" s="50"/>
      <c r="AB303" s="50"/>
      <c r="AC303" s="50"/>
      <c r="AD303" s="50"/>
      <c r="AE303" s="50"/>
      <c r="AF303" s="50"/>
      <c r="AG303" s="50"/>
      <c r="AH303" s="50"/>
      <c r="AI303" s="50"/>
      <c r="AJ303" s="50"/>
      <c r="AK303" s="50"/>
      <c r="AL303" s="50"/>
    </row>
    <row r="304">
      <c r="U304" s="50"/>
      <c r="V304" s="50"/>
      <c r="W304" s="50"/>
      <c r="X304" s="50"/>
      <c r="Y304" s="50"/>
      <c r="Z304" s="50"/>
      <c r="AA304" s="50"/>
      <c r="AB304" s="50"/>
      <c r="AC304" s="50"/>
      <c r="AD304" s="50"/>
      <c r="AE304" s="50"/>
      <c r="AF304" s="50"/>
      <c r="AG304" s="50"/>
      <c r="AH304" s="50"/>
      <c r="AI304" s="50"/>
      <c r="AJ304" s="50"/>
      <c r="AK304" s="50"/>
      <c r="AL304" s="50"/>
    </row>
    <row r="305">
      <c r="U305" s="50"/>
      <c r="V305" s="50"/>
      <c r="W305" s="50"/>
      <c r="X305" s="50"/>
      <c r="Y305" s="50"/>
      <c r="Z305" s="50"/>
      <c r="AA305" s="50"/>
      <c r="AB305" s="50"/>
      <c r="AC305" s="50"/>
      <c r="AD305" s="50"/>
      <c r="AE305" s="50"/>
      <c r="AF305" s="50"/>
      <c r="AG305" s="50"/>
      <c r="AH305" s="50"/>
      <c r="AI305" s="50"/>
      <c r="AJ305" s="50"/>
      <c r="AK305" s="50"/>
      <c r="AL305" s="50"/>
    </row>
    <row r="306">
      <c r="U306" s="50"/>
      <c r="V306" s="50"/>
      <c r="W306" s="50"/>
      <c r="X306" s="50"/>
      <c r="Y306" s="50"/>
      <c r="Z306" s="50"/>
      <c r="AA306" s="50"/>
      <c r="AB306" s="50"/>
      <c r="AC306" s="50"/>
      <c r="AD306" s="50"/>
      <c r="AE306" s="50"/>
      <c r="AF306" s="50"/>
      <c r="AG306" s="50"/>
      <c r="AH306" s="50"/>
      <c r="AI306" s="50"/>
      <c r="AJ306" s="50"/>
      <c r="AK306" s="50"/>
      <c r="AL306" s="50"/>
    </row>
    <row r="307">
      <c r="U307" s="50"/>
      <c r="V307" s="50"/>
      <c r="W307" s="50"/>
      <c r="X307" s="50"/>
      <c r="Y307" s="50"/>
      <c r="Z307" s="50"/>
      <c r="AA307" s="50"/>
      <c r="AB307" s="50"/>
      <c r="AC307" s="50"/>
      <c r="AD307" s="50"/>
      <c r="AE307" s="50"/>
      <c r="AF307" s="50"/>
      <c r="AG307" s="50"/>
      <c r="AH307" s="50"/>
      <c r="AI307" s="50"/>
      <c r="AJ307" s="50"/>
      <c r="AK307" s="50"/>
      <c r="AL307" s="50"/>
    </row>
    <row r="308">
      <c r="U308" s="50"/>
      <c r="V308" s="50"/>
      <c r="W308" s="50"/>
      <c r="X308" s="50"/>
      <c r="Y308" s="50"/>
      <c r="Z308" s="50"/>
      <c r="AA308" s="50"/>
      <c r="AB308" s="50"/>
      <c r="AC308" s="50"/>
      <c r="AD308" s="50"/>
      <c r="AE308" s="50"/>
      <c r="AF308" s="50"/>
      <c r="AG308" s="50"/>
      <c r="AH308" s="50"/>
      <c r="AI308" s="50"/>
      <c r="AJ308" s="50"/>
      <c r="AK308" s="50"/>
      <c r="AL308" s="50"/>
    </row>
    <row r="309">
      <c r="U309" s="50"/>
      <c r="V309" s="50"/>
      <c r="W309" s="50"/>
      <c r="X309" s="50"/>
      <c r="Y309" s="50"/>
      <c r="Z309" s="50"/>
      <c r="AA309" s="50"/>
      <c r="AB309" s="50"/>
      <c r="AC309" s="50"/>
      <c r="AD309" s="50"/>
      <c r="AE309" s="50"/>
      <c r="AF309" s="50"/>
      <c r="AG309" s="50"/>
      <c r="AH309" s="50"/>
      <c r="AI309" s="50"/>
      <c r="AJ309" s="50"/>
      <c r="AK309" s="50"/>
      <c r="AL309" s="50"/>
    </row>
    <row r="310">
      <c r="U310" s="50"/>
      <c r="V310" s="50"/>
      <c r="W310" s="50"/>
      <c r="X310" s="50"/>
      <c r="Y310" s="50"/>
      <c r="Z310" s="50"/>
      <c r="AA310" s="50"/>
      <c r="AB310" s="50"/>
      <c r="AC310" s="50"/>
      <c r="AD310" s="50"/>
      <c r="AE310" s="50"/>
      <c r="AF310" s="50"/>
      <c r="AG310" s="50"/>
      <c r="AH310" s="50"/>
      <c r="AI310" s="50"/>
      <c r="AJ310" s="50"/>
      <c r="AK310" s="50"/>
      <c r="AL310" s="50"/>
    </row>
    <row r="311">
      <c r="U311" s="50"/>
      <c r="V311" s="50"/>
      <c r="W311" s="50"/>
      <c r="X311" s="50"/>
      <c r="Y311" s="50"/>
      <c r="Z311" s="50"/>
      <c r="AA311" s="50"/>
      <c r="AB311" s="50"/>
      <c r="AC311" s="50"/>
      <c r="AD311" s="50"/>
      <c r="AE311" s="50"/>
      <c r="AF311" s="50"/>
      <c r="AG311" s="50"/>
      <c r="AH311" s="50"/>
      <c r="AI311" s="50"/>
      <c r="AJ311" s="50"/>
      <c r="AK311" s="50"/>
      <c r="AL311" s="50"/>
    </row>
    <row r="312">
      <c r="U312" s="50"/>
      <c r="V312" s="50"/>
      <c r="W312" s="50"/>
      <c r="X312" s="50"/>
      <c r="Y312" s="50"/>
      <c r="Z312" s="50"/>
      <c r="AA312" s="50"/>
      <c r="AB312" s="50"/>
      <c r="AC312" s="50"/>
      <c r="AD312" s="50"/>
      <c r="AE312" s="50"/>
      <c r="AF312" s="50"/>
      <c r="AG312" s="50"/>
      <c r="AH312" s="50"/>
      <c r="AI312" s="50"/>
      <c r="AJ312" s="50"/>
      <c r="AK312" s="50"/>
      <c r="AL312" s="50"/>
    </row>
    <row r="313">
      <c r="U313" s="50"/>
      <c r="V313" s="50"/>
      <c r="W313" s="50"/>
      <c r="X313" s="50"/>
      <c r="Y313" s="50"/>
      <c r="Z313" s="50"/>
      <c r="AA313" s="50"/>
      <c r="AB313" s="50"/>
      <c r="AC313" s="50"/>
      <c r="AD313" s="50"/>
      <c r="AE313" s="50"/>
      <c r="AF313" s="50"/>
      <c r="AG313" s="50"/>
      <c r="AH313" s="50"/>
      <c r="AI313" s="50"/>
      <c r="AJ313" s="50"/>
      <c r="AK313" s="50"/>
      <c r="AL313" s="50"/>
    </row>
    <row r="314">
      <c r="U314" s="50"/>
      <c r="V314" s="50"/>
      <c r="W314" s="50"/>
      <c r="X314" s="50"/>
      <c r="Y314" s="50"/>
      <c r="Z314" s="50"/>
      <c r="AA314" s="50"/>
      <c r="AB314" s="50"/>
      <c r="AC314" s="50"/>
      <c r="AD314" s="50"/>
      <c r="AE314" s="50"/>
      <c r="AF314" s="50"/>
      <c r="AG314" s="50"/>
      <c r="AH314" s="50"/>
      <c r="AI314" s="50"/>
      <c r="AJ314" s="50"/>
      <c r="AK314" s="50"/>
      <c r="AL314" s="50"/>
    </row>
    <row r="315">
      <c r="U315" s="50"/>
      <c r="V315" s="50"/>
      <c r="W315" s="50"/>
      <c r="X315" s="50"/>
      <c r="Y315" s="50"/>
      <c r="Z315" s="50"/>
      <c r="AA315" s="50"/>
      <c r="AB315" s="50"/>
      <c r="AC315" s="50"/>
      <c r="AD315" s="50"/>
      <c r="AE315" s="50"/>
      <c r="AF315" s="50"/>
      <c r="AG315" s="50"/>
      <c r="AH315" s="50"/>
      <c r="AI315" s="50"/>
      <c r="AJ315" s="50"/>
      <c r="AK315" s="50"/>
      <c r="AL315" s="50"/>
    </row>
    <row r="316">
      <c r="U316" s="50"/>
      <c r="V316" s="50"/>
      <c r="W316" s="50"/>
      <c r="X316" s="50"/>
      <c r="Y316" s="50"/>
      <c r="Z316" s="50"/>
      <c r="AA316" s="50"/>
      <c r="AB316" s="50"/>
      <c r="AC316" s="50"/>
      <c r="AD316" s="50"/>
      <c r="AE316" s="50"/>
      <c r="AF316" s="50"/>
      <c r="AG316" s="50"/>
      <c r="AH316" s="50"/>
      <c r="AI316" s="50"/>
      <c r="AJ316" s="50"/>
      <c r="AK316" s="50"/>
      <c r="AL316" s="50"/>
    </row>
    <row r="317">
      <c r="U317" s="50"/>
      <c r="V317" s="50"/>
      <c r="W317" s="50"/>
      <c r="X317" s="50"/>
      <c r="Y317" s="50"/>
      <c r="Z317" s="50"/>
      <c r="AA317" s="50"/>
      <c r="AB317" s="50"/>
      <c r="AC317" s="50"/>
      <c r="AD317" s="50"/>
      <c r="AE317" s="50"/>
      <c r="AF317" s="50"/>
      <c r="AG317" s="50"/>
      <c r="AH317" s="50"/>
      <c r="AI317" s="50"/>
      <c r="AJ317" s="50"/>
      <c r="AK317" s="50"/>
      <c r="AL317" s="50"/>
    </row>
    <row r="318">
      <c r="U318" s="50"/>
      <c r="V318" s="50"/>
      <c r="W318" s="50"/>
      <c r="X318" s="50"/>
      <c r="Y318" s="50"/>
      <c r="Z318" s="50"/>
      <c r="AA318" s="50"/>
      <c r="AB318" s="50"/>
      <c r="AC318" s="50"/>
      <c r="AD318" s="50"/>
      <c r="AE318" s="50"/>
      <c r="AF318" s="50"/>
      <c r="AG318" s="50"/>
      <c r="AH318" s="50"/>
      <c r="AI318" s="50"/>
      <c r="AJ318" s="50"/>
      <c r="AK318" s="50"/>
      <c r="AL318" s="50"/>
    </row>
    <row r="319">
      <c r="U319" s="50"/>
      <c r="V319" s="50"/>
      <c r="W319" s="50"/>
      <c r="X319" s="50"/>
      <c r="Y319" s="50"/>
      <c r="Z319" s="50"/>
      <c r="AA319" s="50"/>
      <c r="AB319" s="50"/>
      <c r="AC319" s="50"/>
      <c r="AD319" s="50"/>
      <c r="AE319" s="50"/>
      <c r="AF319" s="50"/>
      <c r="AG319" s="50"/>
      <c r="AH319" s="50"/>
      <c r="AI319" s="50"/>
      <c r="AJ319" s="50"/>
      <c r="AK319" s="50"/>
      <c r="AL319" s="50"/>
    </row>
    <row r="320">
      <c r="U320" s="50"/>
      <c r="V320" s="50"/>
      <c r="W320" s="50"/>
      <c r="X320" s="50"/>
      <c r="Y320" s="50"/>
      <c r="Z320" s="50"/>
      <c r="AA320" s="50"/>
      <c r="AB320" s="50"/>
      <c r="AC320" s="50"/>
      <c r="AD320" s="50"/>
      <c r="AE320" s="50"/>
      <c r="AF320" s="50"/>
      <c r="AG320" s="50"/>
      <c r="AH320" s="50"/>
      <c r="AI320" s="50"/>
      <c r="AJ320" s="50"/>
      <c r="AK320" s="50"/>
      <c r="AL320" s="50"/>
    </row>
    <row r="321">
      <c r="U321" s="50"/>
      <c r="V321" s="50"/>
      <c r="W321" s="50"/>
      <c r="X321" s="50"/>
      <c r="Y321" s="50"/>
      <c r="Z321" s="50"/>
      <c r="AA321" s="50"/>
      <c r="AB321" s="50"/>
      <c r="AC321" s="50"/>
      <c r="AD321" s="50"/>
      <c r="AE321" s="50"/>
      <c r="AF321" s="50"/>
      <c r="AG321" s="50"/>
      <c r="AH321" s="50"/>
      <c r="AI321" s="50"/>
      <c r="AJ321" s="50"/>
      <c r="AK321" s="50"/>
      <c r="AL321" s="50"/>
    </row>
    <row r="322">
      <c r="U322" s="50"/>
      <c r="V322" s="50"/>
      <c r="W322" s="50"/>
      <c r="X322" s="50"/>
      <c r="Y322" s="50"/>
      <c r="Z322" s="50"/>
      <c r="AA322" s="50"/>
      <c r="AB322" s="50"/>
      <c r="AC322" s="50"/>
      <c r="AD322" s="50"/>
      <c r="AE322" s="50"/>
      <c r="AF322" s="50"/>
      <c r="AG322" s="50"/>
      <c r="AH322" s="50"/>
      <c r="AI322" s="50"/>
      <c r="AJ322" s="50"/>
      <c r="AK322" s="50"/>
      <c r="AL322" s="50"/>
    </row>
    <row r="323">
      <c r="U323" s="50"/>
      <c r="V323" s="50"/>
      <c r="W323" s="50"/>
      <c r="X323" s="50"/>
      <c r="Y323" s="50"/>
      <c r="Z323" s="50"/>
      <c r="AA323" s="50"/>
      <c r="AB323" s="50"/>
      <c r="AC323" s="50"/>
      <c r="AD323" s="50"/>
      <c r="AE323" s="50"/>
      <c r="AF323" s="50"/>
      <c r="AG323" s="50"/>
      <c r="AH323" s="50"/>
      <c r="AI323" s="50"/>
      <c r="AJ323" s="50"/>
      <c r="AK323" s="50"/>
      <c r="AL323" s="50"/>
    </row>
    <row r="324">
      <c r="U324" s="50"/>
      <c r="V324" s="50"/>
      <c r="W324" s="50"/>
      <c r="X324" s="50"/>
      <c r="Y324" s="50"/>
      <c r="Z324" s="50"/>
      <c r="AA324" s="50"/>
      <c r="AB324" s="50"/>
      <c r="AC324" s="50"/>
      <c r="AD324" s="50"/>
      <c r="AE324" s="50"/>
      <c r="AF324" s="50"/>
      <c r="AG324" s="50"/>
      <c r="AH324" s="50"/>
      <c r="AI324" s="50"/>
      <c r="AJ324" s="50"/>
      <c r="AK324" s="50"/>
      <c r="AL324" s="50"/>
    </row>
    <row r="325">
      <c r="U325" s="50"/>
      <c r="V325" s="50"/>
      <c r="W325" s="50"/>
      <c r="X325" s="50"/>
      <c r="Y325" s="50"/>
      <c r="Z325" s="50"/>
      <c r="AA325" s="50"/>
      <c r="AB325" s="50"/>
      <c r="AC325" s="50"/>
      <c r="AD325" s="50"/>
      <c r="AE325" s="50"/>
      <c r="AF325" s="50"/>
      <c r="AG325" s="50"/>
      <c r="AH325" s="50"/>
      <c r="AI325" s="50"/>
      <c r="AJ325" s="50"/>
      <c r="AK325" s="50"/>
      <c r="AL325" s="50"/>
    </row>
    <row r="326">
      <c r="U326" s="50"/>
      <c r="V326" s="50"/>
      <c r="W326" s="50"/>
      <c r="X326" s="50"/>
      <c r="Y326" s="50"/>
      <c r="Z326" s="50"/>
      <c r="AA326" s="50"/>
      <c r="AB326" s="50"/>
      <c r="AC326" s="50"/>
      <c r="AD326" s="50"/>
      <c r="AE326" s="50"/>
      <c r="AF326" s="50"/>
      <c r="AG326" s="50"/>
      <c r="AH326" s="50"/>
      <c r="AI326" s="50"/>
      <c r="AJ326" s="50"/>
      <c r="AK326" s="50"/>
      <c r="AL326" s="50"/>
    </row>
    <row r="327">
      <c r="U327" s="50"/>
      <c r="V327" s="50"/>
      <c r="W327" s="50"/>
      <c r="X327" s="50"/>
      <c r="Y327" s="50"/>
      <c r="Z327" s="50"/>
      <c r="AA327" s="50"/>
      <c r="AB327" s="50"/>
      <c r="AC327" s="50"/>
      <c r="AD327" s="50"/>
      <c r="AE327" s="50"/>
      <c r="AF327" s="50"/>
      <c r="AG327" s="50"/>
      <c r="AH327" s="50"/>
      <c r="AI327" s="50"/>
      <c r="AJ327" s="50"/>
      <c r="AK327" s="50"/>
      <c r="AL327" s="50"/>
    </row>
    <row r="328">
      <c r="U328" s="50"/>
      <c r="V328" s="50"/>
      <c r="W328" s="50"/>
      <c r="X328" s="50"/>
      <c r="Y328" s="50"/>
      <c r="Z328" s="50"/>
      <c r="AA328" s="50"/>
      <c r="AB328" s="50"/>
      <c r="AC328" s="50"/>
      <c r="AD328" s="50"/>
      <c r="AE328" s="50"/>
      <c r="AF328" s="50"/>
      <c r="AG328" s="50"/>
      <c r="AH328" s="50"/>
      <c r="AI328" s="50"/>
      <c r="AJ328" s="50"/>
      <c r="AK328" s="50"/>
      <c r="AL328" s="50"/>
    </row>
    <row r="329">
      <c r="U329" s="50"/>
      <c r="V329" s="50"/>
      <c r="W329" s="50"/>
      <c r="X329" s="50"/>
      <c r="Y329" s="50"/>
      <c r="Z329" s="50"/>
      <c r="AA329" s="50"/>
      <c r="AB329" s="50"/>
      <c r="AC329" s="50"/>
      <c r="AD329" s="50"/>
      <c r="AE329" s="50"/>
      <c r="AF329" s="50"/>
      <c r="AG329" s="50"/>
      <c r="AH329" s="50"/>
      <c r="AI329" s="50"/>
      <c r="AJ329" s="50"/>
      <c r="AK329" s="50"/>
      <c r="AL329" s="50"/>
    </row>
    <row r="330">
      <c r="U330" s="50"/>
      <c r="V330" s="50"/>
      <c r="W330" s="50"/>
      <c r="X330" s="50"/>
      <c r="Y330" s="50"/>
      <c r="Z330" s="50"/>
      <c r="AA330" s="50"/>
      <c r="AB330" s="50"/>
      <c r="AC330" s="50"/>
      <c r="AD330" s="50"/>
      <c r="AE330" s="50"/>
      <c r="AF330" s="50"/>
      <c r="AG330" s="50"/>
      <c r="AH330" s="50"/>
      <c r="AI330" s="50"/>
      <c r="AJ330" s="50"/>
      <c r="AK330" s="50"/>
      <c r="AL330" s="50"/>
    </row>
    <row r="331">
      <c r="U331" s="50"/>
      <c r="V331" s="50"/>
      <c r="W331" s="50"/>
      <c r="X331" s="50"/>
      <c r="Y331" s="50"/>
      <c r="Z331" s="50"/>
      <c r="AA331" s="50"/>
      <c r="AB331" s="50"/>
      <c r="AC331" s="50"/>
      <c r="AD331" s="50"/>
      <c r="AE331" s="50"/>
      <c r="AF331" s="50"/>
      <c r="AG331" s="50"/>
      <c r="AH331" s="50"/>
      <c r="AI331" s="50"/>
      <c r="AJ331" s="50"/>
      <c r="AK331" s="50"/>
      <c r="AL331" s="50"/>
    </row>
    <row r="332">
      <c r="U332" s="50"/>
      <c r="V332" s="50"/>
      <c r="W332" s="50"/>
      <c r="X332" s="50"/>
      <c r="Y332" s="50"/>
      <c r="Z332" s="50"/>
      <c r="AA332" s="50"/>
      <c r="AB332" s="50"/>
      <c r="AC332" s="50"/>
      <c r="AD332" s="50"/>
      <c r="AE332" s="50"/>
      <c r="AF332" s="50"/>
      <c r="AG332" s="50"/>
      <c r="AH332" s="50"/>
      <c r="AI332" s="50"/>
      <c r="AJ332" s="50"/>
      <c r="AK332" s="50"/>
      <c r="AL332" s="50"/>
    </row>
    <row r="333">
      <c r="U333" s="50"/>
      <c r="V333" s="50"/>
      <c r="W333" s="50"/>
      <c r="X333" s="50"/>
      <c r="Y333" s="50"/>
      <c r="Z333" s="50"/>
      <c r="AA333" s="50"/>
      <c r="AB333" s="50"/>
      <c r="AC333" s="50"/>
      <c r="AD333" s="50"/>
      <c r="AE333" s="50"/>
      <c r="AF333" s="50"/>
      <c r="AG333" s="50"/>
      <c r="AH333" s="50"/>
      <c r="AI333" s="50"/>
      <c r="AJ333" s="50"/>
      <c r="AK333" s="50"/>
      <c r="AL333" s="50"/>
    </row>
    <row r="334">
      <c r="U334" s="50"/>
      <c r="V334" s="50"/>
      <c r="W334" s="50"/>
      <c r="X334" s="50"/>
      <c r="Y334" s="50"/>
      <c r="Z334" s="50"/>
      <c r="AA334" s="50"/>
      <c r="AB334" s="50"/>
      <c r="AC334" s="50"/>
      <c r="AD334" s="50"/>
      <c r="AE334" s="50"/>
      <c r="AF334" s="50"/>
      <c r="AG334" s="50"/>
      <c r="AH334" s="50"/>
      <c r="AI334" s="50"/>
      <c r="AJ334" s="50"/>
      <c r="AK334" s="50"/>
      <c r="AL334" s="50"/>
    </row>
    <row r="335">
      <c r="U335" s="50"/>
      <c r="V335" s="50"/>
      <c r="W335" s="50"/>
      <c r="X335" s="50"/>
      <c r="Y335" s="50"/>
      <c r="Z335" s="50"/>
      <c r="AA335" s="50"/>
      <c r="AB335" s="50"/>
      <c r="AC335" s="50"/>
      <c r="AD335" s="50"/>
      <c r="AE335" s="50"/>
      <c r="AF335" s="50"/>
      <c r="AG335" s="50"/>
      <c r="AH335" s="50"/>
      <c r="AI335" s="50"/>
      <c r="AJ335" s="50"/>
      <c r="AK335" s="50"/>
      <c r="AL335" s="50"/>
    </row>
    <row r="336">
      <c r="U336" s="50"/>
      <c r="V336" s="50"/>
      <c r="W336" s="50"/>
      <c r="X336" s="50"/>
      <c r="Y336" s="50"/>
      <c r="Z336" s="50"/>
      <c r="AA336" s="50"/>
      <c r="AB336" s="50"/>
      <c r="AC336" s="50"/>
      <c r="AD336" s="50"/>
      <c r="AE336" s="50"/>
      <c r="AF336" s="50"/>
      <c r="AG336" s="50"/>
      <c r="AH336" s="50"/>
      <c r="AI336" s="50"/>
      <c r="AJ336" s="50"/>
      <c r="AK336" s="50"/>
      <c r="AL336" s="50"/>
    </row>
    <row r="337">
      <c r="U337" s="50"/>
      <c r="V337" s="50"/>
      <c r="W337" s="50"/>
      <c r="X337" s="50"/>
      <c r="Y337" s="50"/>
      <c r="Z337" s="50"/>
      <c r="AA337" s="50"/>
      <c r="AB337" s="50"/>
      <c r="AC337" s="50"/>
      <c r="AD337" s="50"/>
      <c r="AE337" s="50"/>
      <c r="AF337" s="50"/>
      <c r="AG337" s="50"/>
      <c r="AH337" s="50"/>
      <c r="AI337" s="50"/>
      <c r="AJ337" s="50"/>
      <c r="AK337" s="50"/>
      <c r="AL337" s="50"/>
    </row>
    <row r="338">
      <c r="U338" s="50"/>
      <c r="V338" s="50"/>
      <c r="W338" s="50"/>
      <c r="X338" s="50"/>
      <c r="Y338" s="50"/>
      <c r="Z338" s="50"/>
      <c r="AA338" s="50"/>
      <c r="AB338" s="50"/>
      <c r="AC338" s="50"/>
      <c r="AD338" s="50"/>
      <c r="AE338" s="50"/>
      <c r="AF338" s="50"/>
      <c r="AG338" s="50"/>
      <c r="AH338" s="50"/>
      <c r="AI338" s="50"/>
      <c r="AJ338" s="50"/>
      <c r="AK338" s="50"/>
      <c r="AL338" s="50"/>
    </row>
    <row r="339">
      <c r="U339" s="50"/>
      <c r="V339" s="50"/>
      <c r="W339" s="50"/>
      <c r="X339" s="50"/>
      <c r="Y339" s="50"/>
      <c r="Z339" s="50"/>
      <c r="AA339" s="50"/>
      <c r="AB339" s="50"/>
      <c r="AC339" s="50"/>
      <c r="AD339" s="50"/>
      <c r="AE339" s="50"/>
      <c r="AF339" s="50"/>
      <c r="AG339" s="50"/>
      <c r="AH339" s="50"/>
      <c r="AI339" s="50"/>
      <c r="AJ339" s="50"/>
      <c r="AK339" s="50"/>
      <c r="AL339" s="50"/>
    </row>
    <row r="340">
      <c r="U340" s="50"/>
      <c r="V340" s="50"/>
      <c r="W340" s="50"/>
      <c r="X340" s="50"/>
      <c r="Y340" s="50"/>
      <c r="Z340" s="50"/>
      <c r="AA340" s="50"/>
      <c r="AB340" s="50"/>
      <c r="AC340" s="50"/>
      <c r="AD340" s="50"/>
      <c r="AE340" s="50"/>
      <c r="AF340" s="50"/>
      <c r="AG340" s="50"/>
      <c r="AH340" s="50"/>
      <c r="AI340" s="50"/>
      <c r="AJ340" s="50"/>
      <c r="AK340" s="50"/>
      <c r="AL340" s="50"/>
    </row>
    <row r="341">
      <c r="U341" s="50"/>
      <c r="V341" s="50"/>
      <c r="W341" s="50"/>
      <c r="X341" s="50"/>
      <c r="Y341" s="50"/>
      <c r="Z341" s="50"/>
      <c r="AA341" s="50"/>
      <c r="AB341" s="50"/>
      <c r="AC341" s="50"/>
      <c r="AD341" s="50"/>
      <c r="AE341" s="50"/>
      <c r="AF341" s="50"/>
      <c r="AG341" s="50"/>
      <c r="AH341" s="50"/>
      <c r="AI341" s="50"/>
      <c r="AJ341" s="50"/>
      <c r="AK341" s="50"/>
      <c r="AL341" s="50"/>
    </row>
    <row r="342">
      <c r="U342" s="50"/>
      <c r="V342" s="50"/>
      <c r="W342" s="50"/>
      <c r="X342" s="50"/>
      <c r="Y342" s="50"/>
      <c r="Z342" s="50"/>
      <c r="AA342" s="50"/>
      <c r="AB342" s="50"/>
      <c r="AC342" s="50"/>
      <c r="AD342" s="50"/>
      <c r="AE342" s="50"/>
      <c r="AF342" s="50"/>
      <c r="AG342" s="50"/>
      <c r="AH342" s="50"/>
      <c r="AI342" s="50"/>
      <c r="AJ342" s="50"/>
      <c r="AK342" s="50"/>
      <c r="AL342" s="50"/>
    </row>
    <row r="343">
      <c r="U343" s="50"/>
      <c r="V343" s="50"/>
      <c r="W343" s="50"/>
      <c r="X343" s="50"/>
      <c r="Y343" s="50"/>
      <c r="Z343" s="50"/>
      <c r="AA343" s="50"/>
      <c r="AB343" s="50"/>
      <c r="AC343" s="50"/>
      <c r="AD343" s="50"/>
      <c r="AE343" s="50"/>
      <c r="AF343" s="50"/>
      <c r="AG343" s="50"/>
      <c r="AH343" s="50"/>
      <c r="AI343" s="50"/>
      <c r="AJ343" s="50"/>
      <c r="AK343" s="50"/>
      <c r="AL343" s="50"/>
    </row>
    <row r="344">
      <c r="U344" s="50"/>
      <c r="V344" s="50"/>
      <c r="W344" s="50"/>
      <c r="X344" s="50"/>
      <c r="Y344" s="50"/>
      <c r="Z344" s="50"/>
      <c r="AA344" s="50"/>
      <c r="AB344" s="50"/>
      <c r="AC344" s="50"/>
      <c r="AD344" s="50"/>
      <c r="AE344" s="50"/>
      <c r="AF344" s="50"/>
      <c r="AG344" s="50"/>
      <c r="AH344" s="50"/>
      <c r="AI344" s="50"/>
      <c r="AJ344" s="50"/>
      <c r="AK344" s="50"/>
      <c r="AL344" s="50"/>
    </row>
    <row r="345">
      <c r="U345" s="50"/>
      <c r="V345" s="50"/>
      <c r="W345" s="50"/>
      <c r="X345" s="50"/>
      <c r="Y345" s="50"/>
      <c r="Z345" s="50"/>
      <c r="AA345" s="50"/>
      <c r="AB345" s="50"/>
      <c r="AC345" s="50"/>
      <c r="AD345" s="50"/>
      <c r="AE345" s="50"/>
      <c r="AF345" s="50"/>
      <c r="AG345" s="50"/>
      <c r="AH345" s="50"/>
      <c r="AI345" s="50"/>
      <c r="AJ345" s="50"/>
      <c r="AK345" s="50"/>
      <c r="AL345" s="50"/>
    </row>
    <row r="346">
      <c r="U346" s="50"/>
      <c r="V346" s="50"/>
      <c r="W346" s="50"/>
      <c r="X346" s="50"/>
      <c r="Y346" s="50"/>
      <c r="Z346" s="50"/>
      <c r="AA346" s="50"/>
      <c r="AB346" s="50"/>
      <c r="AC346" s="50"/>
      <c r="AD346" s="50"/>
      <c r="AE346" s="50"/>
      <c r="AF346" s="50"/>
      <c r="AG346" s="50"/>
      <c r="AH346" s="50"/>
      <c r="AI346" s="50"/>
      <c r="AJ346" s="50"/>
      <c r="AK346" s="50"/>
      <c r="AL346" s="50"/>
    </row>
    <row r="347">
      <c r="U347" s="50"/>
      <c r="V347" s="50"/>
      <c r="W347" s="50"/>
      <c r="X347" s="50"/>
      <c r="Y347" s="50"/>
      <c r="Z347" s="50"/>
      <c r="AA347" s="50"/>
      <c r="AB347" s="50"/>
      <c r="AC347" s="50"/>
      <c r="AD347" s="50"/>
      <c r="AE347" s="50"/>
      <c r="AF347" s="50"/>
      <c r="AG347" s="50"/>
      <c r="AH347" s="50"/>
      <c r="AI347" s="50"/>
      <c r="AJ347" s="50"/>
      <c r="AK347" s="50"/>
      <c r="AL347" s="50"/>
    </row>
    <row r="348">
      <c r="U348" s="50"/>
      <c r="V348" s="50"/>
      <c r="W348" s="50"/>
      <c r="X348" s="50"/>
      <c r="Y348" s="50"/>
      <c r="Z348" s="50"/>
      <c r="AA348" s="50"/>
      <c r="AB348" s="50"/>
      <c r="AC348" s="50"/>
      <c r="AD348" s="50"/>
      <c r="AE348" s="50"/>
      <c r="AF348" s="50"/>
      <c r="AG348" s="50"/>
      <c r="AH348" s="50"/>
      <c r="AI348" s="50"/>
      <c r="AJ348" s="50"/>
      <c r="AK348" s="50"/>
      <c r="AL348" s="50"/>
    </row>
    <row r="349">
      <c r="U349" s="50"/>
      <c r="V349" s="50"/>
      <c r="W349" s="50"/>
      <c r="X349" s="50"/>
      <c r="Y349" s="50"/>
      <c r="Z349" s="50"/>
      <c r="AA349" s="50"/>
      <c r="AB349" s="50"/>
      <c r="AC349" s="50"/>
      <c r="AD349" s="50"/>
      <c r="AE349" s="50"/>
      <c r="AF349" s="50"/>
      <c r="AG349" s="50"/>
      <c r="AH349" s="50"/>
      <c r="AI349" s="50"/>
      <c r="AJ349" s="50"/>
      <c r="AK349" s="50"/>
      <c r="AL349" s="50"/>
    </row>
    <row r="350">
      <c r="U350" s="50"/>
      <c r="V350" s="50"/>
      <c r="W350" s="50"/>
      <c r="X350" s="50"/>
      <c r="Y350" s="50"/>
      <c r="Z350" s="50"/>
      <c r="AA350" s="50"/>
      <c r="AB350" s="50"/>
      <c r="AC350" s="50"/>
      <c r="AD350" s="50"/>
      <c r="AE350" s="50"/>
      <c r="AF350" s="50"/>
      <c r="AG350" s="50"/>
      <c r="AH350" s="50"/>
      <c r="AI350" s="50"/>
      <c r="AJ350" s="50"/>
      <c r="AK350" s="50"/>
      <c r="AL350" s="50"/>
    </row>
    <row r="351">
      <c r="U351" s="50"/>
      <c r="V351" s="50"/>
      <c r="W351" s="50"/>
      <c r="X351" s="50"/>
      <c r="Y351" s="50"/>
      <c r="Z351" s="50"/>
      <c r="AA351" s="50"/>
      <c r="AB351" s="50"/>
      <c r="AC351" s="50"/>
      <c r="AD351" s="50"/>
      <c r="AE351" s="50"/>
      <c r="AF351" s="50"/>
      <c r="AG351" s="50"/>
      <c r="AH351" s="50"/>
      <c r="AI351" s="50"/>
      <c r="AJ351" s="50"/>
      <c r="AK351" s="50"/>
      <c r="AL351" s="50"/>
    </row>
    <row r="352">
      <c r="U352" s="50"/>
      <c r="V352" s="50"/>
      <c r="W352" s="50"/>
      <c r="X352" s="50"/>
      <c r="Y352" s="50"/>
      <c r="Z352" s="50"/>
      <c r="AA352" s="50"/>
      <c r="AB352" s="50"/>
      <c r="AC352" s="50"/>
      <c r="AD352" s="50"/>
      <c r="AE352" s="50"/>
      <c r="AF352" s="50"/>
      <c r="AG352" s="50"/>
      <c r="AH352" s="50"/>
      <c r="AI352" s="50"/>
      <c r="AJ352" s="50"/>
      <c r="AK352" s="50"/>
      <c r="AL352" s="50"/>
    </row>
    <row r="353">
      <c r="U353" s="50"/>
      <c r="V353" s="50"/>
      <c r="W353" s="50"/>
      <c r="X353" s="50"/>
      <c r="Y353" s="50"/>
      <c r="Z353" s="50"/>
      <c r="AA353" s="50"/>
      <c r="AB353" s="50"/>
      <c r="AC353" s="50"/>
      <c r="AD353" s="50"/>
      <c r="AE353" s="50"/>
      <c r="AF353" s="50"/>
      <c r="AG353" s="50"/>
      <c r="AH353" s="50"/>
      <c r="AI353" s="50"/>
      <c r="AJ353" s="50"/>
      <c r="AK353" s="50"/>
      <c r="AL353" s="50"/>
    </row>
    <row r="354">
      <c r="U354" s="50"/>
      <c r="V354" s="50"/>
      <c r="W354" s="50"/>
      <c r="X354" s="50"/>
      <c r="Y354" s="50"/>
      <c r="Z354" s="50"/>
      <c r="AA354" s="50"/>
      <c r="AB354" s="50"/>
      <c r="AC354" s="50"/>
      <c r="AD354" s="50"/>
      <c r="AE354" s="50"/>
      <c r="AF354" s="50"/>
      <c r="AG354" s="50"/>
      <c r="AH354" s="50"/>
      <c r="AI354" s="50"/>
      <c r="AJ354" s="50"/>
      <c r="AK354" s="50"/>
      <c r="AL354" s="50"/>
    </row>
    <row r="355">
      <c r="U355" s="50"/>
      <c r="V355" s="50"/>
      <c r="W355" s="50"/>
      <c r="X355" s="50"/>
      <c r="Y355" s="50"/>
      <c r="Z355" s="50"/>
      <c r="AA355" s="50"/>
      <c r="AB355" s="50"/>
      <c r="AC355" s="50"/>
      <c r="AD355" s="50"/>
      <c r="AE355" s="50"/>
      <c r="AF355" s="50"/>
      <c r="AG355" s="50"/>
      <c r="AH355" s="50"/>
      <c r="AI355" s="50"/>
      <c r="AJ355" s="50"/>
      <c r="AK355" s="50"/>
      <c r="AL355" s="50"/>
    </row>
    <row r="356">
      <c r="U356" s="50"/>
      <c r="V356" s="50"/>
      <c r="W356" s="50"/>
      <c r="X356" s="50"/>
      <c r="Y356" s="50"/>
      <c r="Z356" s="50"/>
      <c r="AA356" s="50"/>
      <c r="AB356" s="50"/>
      <c r="AC356" s="50"/>
      <c r="AD356" s="50"/>
      <c r="AE356" s="50"/>
      <c r="AF356" s="50"/>
      <c r="AG356" s="50"/>
      <c r="AH356" s="50"/>
      <c r="AI356" s="50"/>
      <c r="AJ356" s="50"/>
      <c r="AK356" s="50"/>
      <c r="AL356" s="50"/>
    </row>
    <row r="357">
      <c r="U357" s="50"/>
      <c r="V357" s="50"/>
      <c r="W357" s="50"/>
      <c r="X357" s="50"/>
      <c r="Y357" s="50"/>
      <c r="Z357" s="50"/>
      <c r="AA357" s="50"/>
      <c r="AB357" s="50"/>
      <c r="AC357" s="50"/>
      <c r="AD357" s="50"/>
      <c r="AE357" s="50"/>
      <c r="AF357" s="50"/>
      <c r="AG357" s="50"/>
      <c r="AH357" s="50"/>
      <c r="AI357" s="50"/>
      <c r="AJ357" s="50"/>
      <c r="AK357" s="50"/>
      <c r="AL357" s="50"/>
    </row>
    <row r="358">
      <c r="U358" s="50"/>
      <c r="V358" s="50"/>
      <c r="W358" s="50"/>
      <c r="X358" s="50"/>
      <c r="Y358" s="50"/>
      <c r="Z358" s="50"/>
      <c r="AA358" s="50"/>
      <c r="AB358" s="50"/>
      <c r="AC358" s="50"/>
      <c r="AD358" s="50"/>
      <c r="AE358" s="50"/>
      <c r="AF358" s="50"/>
      <c r="AG358" s="50"/>
      <c r="AH358" s="50"/>
      <c r="AI358" s="50"/>
      <c r="AJ358" s="50"/>
      <c r="AK358" s="50"/>
      <c r="AL358" s="50"/>
    </row>
    <row r="359">
      <c r="U359" s="50"/>
      <c r="V359" s="50"/>
      <c r="W359" s="50"/>
      <c r="X359" s="50"/>
      <c r="Y359" s="50"/>
      <c r="Z359" s="50"/>
      <c r="AA359" s="50"/>
      <c r="AB359" s="50"/>
      <c r="AC359" s="50"/>
      <c r="AD359" s="50"/>
      <c r="AE359" s="50"/>
      <c r="AF359" s="50"/>
      <c r="AG359" s="50"/>
      <c r="AH359" s="50"/>
      <c r="AI359" s="50"/>
      <c r="AJ359" s="50"/>
      <c r="AK359" s="50"/>
      <c r="AL359" s="50"/>
    </row>
    <row r="360">
      <c r="U360" s="50"/>
      <c r="V360" s="50"/>
      <c r="W360" s="50"/>
      <c r="X360" s="50"/>
      <c r="Y360" s="50"/>
      <c r="Z360" s="50"/>
      <c r="AA360" s="50"/>
      <c r="AB360" s="50"/>
      <c r="AC360" s="50"/>
      <c r="AD360" s="50"/>
      <c r="AE360" s="50"/>
      <c r="AF360" s="50"/>
      <c r="AG360" s="50"/>
      <c r="AH360" s="50"/>
      <c r="AI360" s="50"/>
      <c r="AJ360" s="50"/>
      <c r="AK360" s="50"/>
      <c r="AL360" s="50"/>
    </row>
    <row r="361">
      <c r="U361" s="50"/>
      <c r="V361" s="50"/>
      <c r="W361" s="50"/>
      <c r="X361" s="50"/>
      <c r="Y361" s="50"/>
      <c r="Z361" s="50"/>
      <c r="AA361" s="50"/>
      <c r="AB361" s="50"/>
      <c r="AC361" s="50"/>
      <c r="AD361" s="50"/>
      <c r="AE361" s="50"/>
      <c r="AF361" s="50"/>
      <c r="AG361" s="50"/>
      <c r="AH361" s="50"/>
      <c r="AI361" s="50"/>
      <c r="AJ361" s="50"/>
      <c r="AK361" s="50"/>
      <c r="AL361" s="50"/>
    </row>
    <row r="362">
      <c r="U362" s="50"/>
      <c r="V362" s="50"/>
      <c r="W362" s="50"/>
      <c r="X362" s="50"/>
      <c r="Y362" s="50"/>
      <c r="Z362" s="50"/>
      <c r="AA362" s="50"/>
      <c r="AB362" s="50"/>
      <c r="AC362" s="50"/>
      <c r="AD362" s="50"/>
      <c r="AE362" s="50"/>
      <c r="AF362" s="50"/>
      <c r="AG362" s="50"/>
      <c r="AH362" s="50"/>
      <c r="AI362" s="50"/>
      <c r="AJ362" s="50"/>
      <c r="AK362" s="50"/>
      <c r="AL362" s="50"/>
    </row>
    <row r="363">
      <c r="U363" s="50"/>
      <c r="V363" s="50"/>
      <c r="W363" s="50"/>
      <c r="X363" s="50"/>
      <c r="Y363" s="50"/>
      <c r="Z363" s="50"/>
      <c r="AA363" s="50"/>
      <c r="AB363" s="50"/>
      <c r="AC363" s="50"/>
      <c r="AD363" s="50"/>
      <c r="AE363" s="50"/>
      <c r="AF363" s="50"/>
      <c r="AG363" s="50"/>
      <c r="AH363" s="50"/>
      <c r="AI363" s="50"/>
      <c r="AJ363" s="50"/>
      <c r="AK363" s="50"/>
      <c r="AL363" s="50"/>
    </row>
    <row r="364">
      <c r="U364" s="50"/>
      <c r="V364" s="50"/>
      <c r="W364" s="50"/>
      <c r="X364" s="50"/>
      <c r="Y364" s="50"/>
      <c r="Z364" s="50"/>
      <c r="AA364" s="50"/>
      <c r="AB364" s="50"/>
      <c r="AC364" s="50"/>
      <c r="AD364" s="50"/>
      <c r="AE364" s="50"/>
      <c r="AF364" s="50"/>
      <c r="AG364" s="50"/>
      <c r="AH364" s="50"/>
      <c r="AI364" s="50"/>
      <c r="AJ364" s="50"/>
      <c r="AK364" s="50"/>
      <c r="AL364" s="50"/>
    </row>
    <row r="365">
      <c r="U365" s="50"/>
      <c r="V365" s="50"/>
      <c r="W365" s="50"/>
      <c r="X365" s="50"/>
      <c r="Y365" s="50"/>
      <c r="Z365" s="50"/>
      <c r="AA365" s="50"/>
      <c r="AB365" s="50"/>
      <c r="AC365" s="50"/>
      <c r="AD365" s="50"/>
      <c r="AE365" s="50"/>
      <c r="AF365" s="50"/>
      <c r="AG365" s="50"/>
      <c r="AH365" s="50"/>
      <c r="AI365" s="50"/>
      <c r="AJ365" s="50"/>
      <c r="AK365" s="50"/>
      <c r="AL365" s="50"/>
    </row>
    <row r="366">
      <c r="U366" s="50"/>
      <c r="V366" s="50"/>
      <c r="W366" s="50"/>
      <c r="X366" s="50"/>
      <c r="Y366" s="50"/>
      <c r="Z366" s="50"/>
      <c r="AA366" s="50"/>
      <c r="AB366" s="50"/>
      <c r="AC366" s="50"/>
      <c r="AD366" s="50"/>
      <c r="AE366" s="50"/>
      <c r="AF366" s="50"/>
      <c r="AG366" s="50"/>
      <c r="AH366" s="50"/>
      <c r="AI366" s="50"/>
      <c r="AJ366" s="50"/>
      <c r="AK366" s="50"/>
      <c r="AL366" s="50"/>
    </row>
    <row r="367">
      <c r="U367" s="50"/>
      <c r="V367" s="50"/>
      <c r="W367" s="50"/>
      <c r="X367" s="50"/>
      <c r="Y367" s="50"/>
      <c r="Z367" s="50"/>
      <c r="AA367" s="50"/>
      <c r="AB367" s="50"/>
      <c r="AC367" s="50"/>
      <c r="AD367" s="50"/>
      <c r="AE367" s="50"/>
      <c r="AF367" s="50"/>
      <c r="AG367" s="50"/>
      <c r="AH367" s="50"/>
      <c r="AI367" s="50"/>
      <c r="AJ367" s="50"/>
      <c r="AK367" s="50"/>
      <c r="AL367" s="50"/>
    </row>
    <row r="368">
      <c r="U368" s="50"/>
      <c r="V368" s="50"/>
      <c r="W368" s="50"/>
      <c r="X368" s="50"/>
      <c r="Y368" s="50"/>
      <c r="Z368" s="50"/>
      <c r="AA368" s="50"/>
      <c r="AB368" s="50"/>
      <c r="AC368" s="50"/>
      <c r="AD368" s="50"/>
      <c r="AE368" s="50"/>
      <c r="AF368" s="50"/>
      <c r="AG368" s="50"/>
      <c r="AH368" s="50"/>
      <c r="AI368" s="50"/>
      <c r="AJ368" s="50"/>
      <c r="AK368" s="50"/>
      <c r="AL368" s="50"/>
    </row>
    <row r="369">
      <c r="U369" s="50"/>
      <c r="V369" s="50"/>
      <c r="W369" s="50"/>
      <c r="X369" s="50"/>
      <c r="Y369" s="50"/>
      <c r="Z369" s="50"/>
      <c r="AA369" s="50"/>
      <c r="AB369" s="50"/>
      <c r="AC369" s="50"/>
      <c r="AD369" s="50"/>
      <c r="AE369" s="50"/>
      <c r="AF369" s="50"/>
      <c r="AG369" s="50"/>
      <c r="AH369" s="50"/>
      <c r="AI369" s="50"/>
      <c r="AJ369" s="50"/>
      <c r="AK369" s="50"/>
      <c r="AL369" s="50"/>
    </row>
    <row r="370">
      <c r="U370" s="50"/>
      <c r="V370" s="50"/>
      <c r="W370" s="50"/>
      <c r="X370" s="50"/>
      <c r="Y370" s="50"/>
      <c r="Z370" s="50"/>
      <c r="AA370" s="50"/>
      <c r="AB370" s="50"/>
      <c r="AC370" s="50"/>
      <c r="AD370" s="50"/>
      <c r="AE370" s="50"/>
      <c r="AF370" s="50"/>
      <c r="AG370" s="50"/>
      <c r="AH370" s="50"/>
      <c r="AI370" s="50"/>
      <c r="AJ370" s="50"/>
      <c r="AK370" s="50"/>
      <c r="AL370" s="50"/>
    </row>
    <row r="371">
      <c r="U371" s="50"/>
      <c r="V371" s="50"/>
      <c r="W371" s="50"/>
      <c r="X371" s="50"/>
      <c r="Y371" s="50"/>
      <c r="Z371" s="50"/>
      <c r="AA371" s="50"/>
      <c r="AB371" s="50"/>
      <c r="AC371" s="50"/>
      <c r="AD371" s="50"/>
      <c r="AE371" s="50"/>
      <c r="AF371" s="50"/>
      <c r="AG371" s="50"/>
      <c r="AH371" s="50"/>
      <c r="AI371" s="50"/>
      <c r="AJ371" s="50"/>
      <c r="AK371" s="50"/>
      <c r="AL371" s="50"/>
    </row>
    <row r="372">
      <c r="U372" s="50"/>
      <c r="V372" s="50"/>
      <c r="W372" s="50"/>
      <c r="X372" s="50"/>
      <c r="Y372" s="50"/>
      <c r="Z372" s="50"/>
      <c r="AA372" s="50"/>
      <c r="AB372" s="50"/>
      <c r="AC372" s="50"/>
      <c r="AD372" s="50"/>
      <c r="AE372" s="50"/>
      <c r="AF372" s="50"/>
      <c r="AG372" s="50"/>
      <c r="AH372" s="50"/>
      <c r="AI372" s="50"/>
      <c r="AJ372" s="50"/>
      <c r="AK372" s="50"/>
      <c r="AL372" s="50"/>
    </row>
    <row r="373">
      <c r="U373" s="50"/>
      <c r="V373" s="50"/>
      <c r="W373" s="50"/>
      <c r="X373" s="50"/>
      <c r="Y373" s="50"/>
      <c r="Z373" s="50"/>
      <c r="AA373" s="50"/>
      <c r="AB373" s="50"/>
      <c r="AC373" s="50"/>
      <c r="AD373" s="50"/>
      <c r="AE373" s="50"/>
      <c r="AF373" s="50"/>
      <c r="AG373" s="50"/>
      <c r="AH373" s="50"/>
      <c r="AI373" s="50"/>
      <c r="AJ373" s="50"/>
      <c r="AK373" s="50"/>
      <c r="AL373" s="50"/>
    </row>
    <row r="374">
      <c r="U374" s="50"/>
      <c r="V374" s="50"/>
      <c r="W374" s="50"/>
      <c r="X374" s="50"/>
      <c r="Y374" s="50"/>
      <c r="Z374" s="50"/>
      <c r="AA374" s="50"/>
      <c r="AB374" s="50"/>
      <c r="AC374" s="50"/>
      <c r="AD374" s="50"/>
      <c r="AE374" s="50"/>
      <c r="AF374" s="50"/>
      <c r="AG374" s="50"/>
      <c r="AH374" s="50"/>
      <c r="AI374" s="50"/>
      <c r="AJ374" s="50"/>
      <c r="AK374" s="50"/>
      <c r="AL374" s="50"/>
    </row>
    <row r="375">
      <c r="U375" s="50"/>
      <c r="V375" s="50"/>
      <c r="W375" s="50"/>
      <c r="X375" s="50"/>
      <c r="Y375" s="50"/>
      <c r="Z375" s="50"/>
      <c r="AA375" s="50"/>
      <c r="AB375" s="50"/>
      <c r="AC375" s="50"/>
      <c r="AD375" s="50"/>
      <c r="AE375" s="50"/>
      <c r="AF375" s="50"/>
      <c r="AG375" s="50"/>
      <c r="AH375" s="50"/>
      <c r="AI375" s="50"/>
      <c r="AJ375" s="50"/>
      <c r="AK375" s="50"/>
      <c r="AL375" s="50"/>
    </row>
    <row r="376">
      <c r="U376" s="50"/>
      <c r="V376" s="50"/>
      <c r="W376" s="50"/>
      <c r="X376" s="50"/>
      <c r="Y376" s="50"/>
      <c r="Z376" s="50"/>
      <c r="AA376" s="50"/>
      <c r="AB376" s="50"/>
      <c r="AC376" s="50"/>
      <c r="AD376" s="50"/>
      <c r="AE376" s="50"/>
      <c r="AF376" s="50"/>
      <c r="AG376" s="50"/>
      <c r="AH376" s="50"/>
      <c r="AI376" s="50"/>
      <c r="AJ376" s="50"/>
      <c r="AK376" s="50"/>
      <c r="AL376" s="50"/>
    </row>
    <row r="377">
      <c r="U377" s="50"/>
      <c r="V377" s="50"/>
      <c r="W377" s="50"/>
      <c r="X377" s="50"/>
      <c r="Y377" s="50"/>
      <c r="Z377" s="50"/>
      <c r="AA377" s="50"/>
      <c r="AB377" s="50"/>
      <c r="AC377" s="50"/>
      <c r="AD377" s="50"/>
      <c r="AE377" s="50"/>
      <c r="AF377" s="50"/>
      <c r="AG377" s="50"/>
      <c r="AH377" s="50"/>
      <c r="AI377" s="50"/>
      <c r="AJ377" s="50"/>
      <c r="AK377" s="50"/>
      <c r="AL377" s="50"/>
    </row>
    <row r="378">
      <c r="U378" s="50"/>
      <c r="V378" s="50"/>
      <c r="W378" s="50"/>
      <c r="X378" s="50"/>
      <c r="Y378" s="50"/>
      <c r="Z378" s="50"/>
      <c r="AA378" s="50"/>
      <c r="AB378" s="50"/>
      <c r="AC378" s="50"/>
      <c r="AD378" s="50"/>
      <c r="AE378" s="50"/>
      <c r="AF378" s="50"/>
      <c r="AG378" s="50"/>
      <c r="AH378" s="50"/>
      <c r="AI378" s="50"/>
      <c r="AJ378" s="50"/>
      <c r="AK378" s="50"/>
      <c r="AL378" s="50"/>
    </row>
    <row r="379">
      <c r="U379" s="50"/>
      <c r="V379" s="50"/>
      <c r="W379" s="50"/>
      <c r="X379" s="50"/>
      <c r="Y379" s="50"/>
      <c r="Z379" s="50"/>
      <c r="AA379" s="50"/>
      <c r="AB379" s="50"/>
      <c r="AC379" s="50"/>
      <c r="AD379" s="50"/>
      <c r="AE379" s="50"/>
      <c r="AF379" s="50"/>
      <c r="AG379" s="50"/>
      <c r="AH379" s="50"/>
      <c r="AI379" s="50"/>
      <c r="AJ379" s="50"/>
      <c r="AK379" s="50"/>
      <c r="AL379" s="50"/>
    </row>
    <row r="380">
      <c r="U380" s="50"/>
      <c r="V380" s="50"/>
      <c r="W380" s="50"/>
      <c r="X380" s="50"/>
      <c r="Y380" s="50"/>
      <c r="Z380" s="50"/>
      <c r="AA380" s="50"/>
      <c r="AB380" s="50"/>
      <c r="AC380" s="50"/>
      <c r="AD380" s="50"/>
      <c r="AE380" s="50"/>
      <c r="AF380" s="50"/>
      <c r="AG380" s="50"/>
      <c r="AH380" s="50"/>
      <c r="AI380" s="50"/>
      <c r="AJ380" s="50"/>
      <c r="AK380" s="50"/>
      <c r="AL380" s="50"/>
    </row>
    <row r="381">
      <c r="U381" s="50"/>
      <c r="V381" s="50"/>
      <c r="W381" s="50"/>
      <c r="X381" s="50"/>
      <c r="Y381" s="50"/>
      <c r="Z381" s="50"/>
      <c r="AA381" s="50"/>
      <c r="AB381" s="50"/>
      <c r="AC381" s="50"/>
      <c r="AD381" s="50"/>
      <c r="AE381" s="50"/>
      <c r="AF381" s="50"/>
      <c r="AG381" s="50"/>
      <c r="AH381" s="50"/>
      <c r="AI381" s="50"/>
      <c r="AJ381" s="50"/>
      <c r="AK381" s="50"/>
      <c r="AL381" s="50"/>
    </row>
    <row r="382">
      <c r="U382" s="50"/>
      <c r="V382" s="50"/>
      <c r="W382" s="50"/>
      <c r="X382" s="50"/>
      <c r="Y382" s="50"/>
      <c r="Z382" s="50"/>
      <c r="AA382" s="50"/>
      <c r="AB382" s="50"/>
      <c r="AC382" s="50"/>
      <c r="AD382" s="50"/>
      <c r="AE382" s="50"/>
      <c r="AF382" s="50"/>
      <c r="AG382" s="50"/>
      <c r="AH382" s="50"/>
      <c r="AI382" s="50"/>
      <c r="AJ382" s="50"/>
      <c r="AK382" s="50"/>
      <c r="AL382" s="50"/>
    </row>
    <row r="383">
      <c r="U383" s="50"/>
      <c r="V383" s="50"/>
      <c r="W383" s="50"/>
      <c r="X383" s="50"/>
      <c r="Y383" s="50"/>
      <c r="Z383" s="50"/>
      <c r="AA383" s="50"/>
      <c r="AB383" s="50"/>
      <c r="AC383" s="50"/>
      <c r="AD383" s="50"/>
      <c r="AE383" s="50"/>
      <c r="AF383" s="50"/>
      <c r="AG383" s="50"/>
      <c r="AH383" s="50"/>
      <c r="AI383" s="50"/>
      <c r="AJ383" s="50"/>
      <c r="AK383" s="50"/>
      <c r="AL383" s="50"/>
    </row>
    <row r="384">
      <c r="U384" s="50"/>
      <c r="V384" s="50"/>
      <c r="W384" s="50"/>
      <c r="X384" s="50"/>
      <c r="Y384" s="50"/>
      <c r="Z384" s="50"/>
      <c r="AA384" s="50"/>
      <c r="AB384" s="50"/>
      <c r="AC384" s="50"/>
      <c r="AD384" s="50"/>
      <c r="AE384" s="50"/>
      <c r="AF384" s="50"/>
      <c r="AG384" s="50"/>
      <c r="AH384" s="50"/>
      <c r="AI384" s="50"/>
      <c r="AJ384" s="50"/>
      <c r="AK384" s="50"/>
      <c r="AL384" s="50"/>
    </row>
    <row r="385">
      <c r="U385" s="50"/>
      <c r="V385" s="50"/>
      <c r="W385" s="50"/>
      <c r="X385" s="50"/>
      <c r="Y385" s="50"/>
      <c r="Z385" s="50"/>
      <c r="AA385" s="50"/>
      <c r="AB385" s="50"/>
      <c r="AC385" s="50"/>
      <c r="AD385" s="50"/>
      <c r="AE385" s="50"/>
      <c r="AF385" s="50"/>
      <c r="AG385" s="50"/>
      <c r="AH385" s="50"/>
      <c r="AI385" s="50"/>
      <c r="AJ385" s="50"/>
      <c r="AK385" s="50"/>
      <c r="AL385" s="50"/>
    </row>
    <row r="386">
      <c r="U386" s="50"/>
      <c r="V386" s="50"/>
      <c r="W386" s="50"/>
      <c r="X386" s="50"/>
      <c r="Y386" s="50"/>
      <c r="Z386" s="50"/>
      <c r="AA386" s="50"/>
      <c r="AB386" s="50"/>
      <c r="AC386" s="50"/>
      <c r="AD386" s="50"/>
      <c r="AE386" s="50"/>
      <c r="AF386" s="50"/>
      <c r="AG386" s="50"/>
      <c r="AH386" s="50"/>
      <c r="AI386" s="50"/>
      <c r="AJ386" s="50"/>
      <c r="AK386" s="50"/>
      <c r="AL386" s="50"/>
    </row>
    <row r="387">
      <c r="U387" s="50"/>
      <c r="V387" s="50"/>
      <c r="W387" s="50"/>
      <c r="X387" s="50"/>
      <c r="Y387" s="50"/>
      <c r="Z387" s="50"/>
      <c r="AA387" s="50"/>
      <c r="AB387" s="50"/>
      <c r="AC387" s="50"/>
      <c r="AD387" s="50"/>
      <c r="AE387" s="50"/>
      <c r="AF387" s="50"/>
      <c r="AG387" s="50"/>
      <c r="AH387" s="50"/>
      <c r="AI387" s="50"/>
      <c r="AJ387" s="50"/>
      <c r="AK387" s="50"/>
      <c r="AL387" s="50"/>
    </row>
    <row r="388">
      <c r="U388" s="50"/>
      <c r="V388" s="50"/>
      <c r="W388" s="50"/>
      <c r="X388" s="50"/>
      <c r="Y388" s="50"/>
      <c r="Z388" s="50"/>
      <c r="AA388" s="50"/>
      <c r="AB388" s="50"/>
      <c r="AC388" s="50"/>
      <c r="AD388" s="50"/>
      <c r="AE388" s="50"/>
      <c r="AF388" s="50"/>
      <c r="AG388" s="50"/>
      <c r="AH388" s="50"/>
      <c r="AI388" s="50"/>
      <c r="AJ388" s="50"/>
      <c r="AK388" s="50"/>
      <c r="AL388" s="50"/>
    </row>
    <row r="389">
      <c r="U389" s="50"/>
      <c r="V389" s="50"/>
      <c r="W389" s="50"/>
      <c r="X389" s="50"/>
      <c r="Y389" s="50"/>
      <c r="Z389" s="50"/>
      <c r="AA389" s="50"/>
      <c r="AB389" s="50"/>
      <c r="AC389" s="50"/>
      <c r="AD389" s="50"/>
      <c r="AE389" s="50"/>
      <c r="AF389" s="50"/>
      <c r="AG389" s="50"/>
      <c r="AH389" s="50"/>
      <c r="AI389" s="50"/>
      <c r="AJ389" s="50"/>
      <c r="AK389" s="50"/>
      <c r="AL389" s="50"/>
    </row>
    <row r="390">
      <c r="U390" s="50"/>
      <c r="V390" s="50"/>
      <c r="W390" s="50"/>
      <c r="X390" s="50"/>
      <c r="Y390" s="50"/>
      <c r="Z390" s="50"/>
      <c r="AA390" s="50"/>
      <c r="AB390" s="50"/>
      <c r="AC390" s="50"/>
      <c r="AD390" s="50"/>
      <c r="AE390" s="50"/>
      <c r="AF390" s="50"/>
      <c r="AG390" s="50"/>
      <c r="AH390" s="50"/>
      <c r="AI390" s="50"/>
      <c r="AJ390" s="50"/>
      <c r="AK390" s="50"/>
      <c r="AL390" s="50"/>
    </row>
    <row r="391">
      <c r="U391" s="50"/>
      <c r="V391" s="50"/>
      <c r="W391" s="50"/>
      <c r="X391" s="50"/>
      <c r="Y391" s="50"/>
      <c r="Z391" s="50"/>
      <c r="AA391" s="50"/>
      <c r="AB391" s="50"/>
      <c r="AC391" s="50"/>
      <c r="AD391" s="50"/>
      <c r="AE391" s="50"/>
      <c r="AF391" s="50"/>
      <c r="AG391" s="50"/>
      <c r="AH391" s="50"/>
      <c r="AI391" s="50"/>
      <c r="AJ391" s="50"/>
      <c r="AK391" s="50"/>
      <c r="AL391" s="50"/>
    </row>
    <row r="392">
      <c r="U392" s="50"/>
      <c r="V392" s="50"/>
      <c r="W392" s="50"/>
      <c r="X392" s="50"/>
      <c r="Y392" s="50"/>
      <c r="Z392" s="50"/>
      <c r="AA392" s="50"/>
      <c r="AB392" s="50"/>
      <c r="AC392" s="50"/>
      <c r="AD392" s="50"/>
      <c r="AE392" s="50"/>
      <c r="AF392" s="50"/>
      <c r="AG392" s="50"/>
      <c r="AH392" s="50"/>
      <c r="AI392" s="50"/>
      <c r="AJ392" s="50"/>
      <c r="AK392" s="50"/>
      <c r="AL392" s="50"/>
    </row>
    <row r="393">
      <c r="U393" s="50"/>
      <c r="V393" s="50"/>
      <c r="W393" s="50"/>
      <c r="X393" s="50"/>
      <c r="Y393" s="50"/>
      <c r="Z393" s="50"/>
      <c r="AA393" s="50"/>
      <c r="AB393" s="50"/>
      <c r="AC393" s="50"/>
      <c r="AD393" s="50"/>
      <c r="AE393" s="50"/>
      <c r="AF393" s="50"/>
      <c r="AG393" s="50"/>
      <c r="AH393" s="50"/>
      <c r="AI393" s="50"/>
      <c r="AJ393" s="50"/>
      <c r="AK393" s="50"/>
      <c r="AL393" s="50"/>
    </row>
    <row r="394">
      <c r="U394" s="50"/>
      <c r="V394" s="50"/>
      <c r="W394" s="50"/>
      <c r="X394" s="50"/>
      <c r="Y394" s="50"/>
      <c r="Z394" s="50"/>
      <c r="AA394" s="50"/>
      <c r="AB394" s="50"/>
      <c r="AC394" s="50"/>
      <c r="AD394" s="50"/>
      <c r="AE394" s="50"/>
      <c r="AF394" s="50"/>
      <c r="AG394" s="50"/>
      <c r="AH394" s="50"/>
      <c r="AI394" s="50"/>
      <c r="AJ394" s="50"/>
      <c r="AK394" s="50"/>
      <c r="AL394" s="50"/>
    </row>
    <row r="395">
      <c r="U395" s="50"/>
      <c r="V395" s="50"/>
      <c r="W395" s="50"/>
      <c r="X395" s="50"/>
      <c r="Y395" s="50"/>
      <c r="Z395" s="50"/>
      <c r="AA395" s="50"/>
      <c r="AB395" s="50"/>
      <c r="AC395" s="50"/>
      <c r="AD395" s="50"/>
      <c r="AE395" s="50"/>
      <c r="AF395" s="50"/>
      <c r="AG395" s="50"/>
      <c r="AH395" s="50"/>
      <c r="AI395" s="50"/>
      <c r="AJ395" s="50"/>
      <c r="AK395" s="50"/>
      <c r="AL395" s="50"/>
    </row>
    <row r="396">
      <c r="U396" s="50"/>
      <c r="V396" s="50"/>
      <c r="W396" s="50"/>
      <c r="X396" s="50"/>
      <c r="Y396" s="50"/>
      <c r="Z396" s="50"/>
      <c r="AA396" s="50"/>
      <c r="AB396" s="50"/>
      <c r="AC396" s="50"/>
      <c r="AD396" s="50"/>
      <c r="AE396" s="50"/>
      <c r="AF396" s="50"/>
      <c r="AG396" s="50"/>
      <c r="AH396" s="50"/>
      <c r="AI396" s="50"/>
      <c r="AJ396" s="50"/>
      <c r="AK396" s="50"/>
      <c r="AL396" s="50"/>
    </row>
    <row r="397">
      <c r="U397" s="50"/>
      <c r="V397" s="50"/>
      <c r="W397" s="50"/>
      <c r="X397" s="50"/>
      <c r="Y397" s="50"/>
      <c r="Z397" s="50"/>
      <c r="AA397" s="50"/>
      <c r="AB397" s="50"/>
      <c r="AC397" s="50"/>
      <c r="AD397" s="50"/>
      <c r="AE397" s="50"/>
      <c r="AF397" s="50"/>
      <c r="AG397" s="50"/>
      <c r="AH397" s="50"/>
      <c r="AI397" s="50"/>
      <c r="AJ397" s="50"/>
      <c r="AK397" s="50"/>
      <c r="AL397" s="50"/>
    </row>
    <row r="398">
      <c r="U398" s="50"/>
      <c r="V398" s="50"/>
      <c r="W398" s="50"/>
      <c r="X398" s="50"/>
      <c r="Y398" s="50"/>
      <c r="Z398" s="50"/>
      <c r="AA398" s="50"/>
      <c r="AB398" s="50"/>
      <c r="AC398" s="50"/>
      <c r="AD398" s="50"/>
      <c r="AE398" s="50"/>
      <c r="AF398" s="50"/>
      <c r="AG398" s="50"/>
      <c r="AH398" s="50"/>
      <c r="AI398" s="50"/>
      <c r="AJ398" s="50"/>
      <c r="AK398" s="50"/>
      <c r="AL398" s="50"/>
    </row>
    <row r="399">
      <c r="U399" s="50"/>
      <c r="V399" s="50"/>
      <c r="W399" s="50"/>
      <c r="X399" s="50"/>
      <c r="Y399" s="50"/>
      <c r="Z399" s="50"/>
      <c r="AA399" s="50"/>
      <c r="AB399" s="50"/>
      <c r="AC399" s="50"/>
      <c r="AD399" s="50"/>
      <c r="AE399" s="50"/>
      <c r="AF399" s="50"/>
      <c r="AG399" s="50"/>
      <c r="AH399" s="50"/>
      <c r="AI399" s="50"/>
      <c r="AJ399" s="50"/>
      <c r="AK399" s="50"/>
      <c r="AL399" s="50"/>
    </row>
    <row r="400">
      <c r="U400" s="50"/>
      <c r="V400" s="50"/>
      <c r="W400" s="50"/>
      <c r="X400" s="50"/>
      <c r="Y400" s="50"/>
      <c r="Z400" s="50"/>
      <c r="AA400" s="50"/>
      <c r="AB400" s="50"/>
      <c r="AC400" s="50"/>
      <c r="AD400" s="50"/>
      <c r="AE400" s="50"/>
      <c r="AF400" s="50"/>
      <c r="AG400" s="50"/>
      <c r="AH400" s="50"/>
      <c r="AI400" s="50"/>
      <c r="AJ400" s="50"/>
      <c r="AK400" s="50"/>
      <c r="AL400" s="50"/>
    </row>
    <row r="401">
      <c r="U401" s="50"/>
      <c r="V401" s="50"/>
      <c r="W401" s="50"/>
      <c r="X401" s="50"/>
      <c r="Y401" s="50"/>
      <c r="Z401" s="50"/>
      <c r="AA401" s="50"/>
      <c r="AB401" s="50"/>
      <c r="AC401" s="50"/>
      <c r="AD401" s="50"/>
      <c r="AE401" s="50"/>
      <c r="AF401" s="50"/>
      <c r="AG401" s="50"/>
      <c r="AH401" s="50"/>
      <c r="AI401" s="50"/>
      <c r="AJ401" s="50"/>
      <c r="AK401" s="50"/>
      <c r="AL401" s="50"/>
    </row>
    <row r="402">
      <c r="U402" s="50"/>
      <c r="V402" s="50"/>
      <c r="W402" s="50"/>
      <c r="X402" s="50"/>
      <c r="Y402" s="50"/>
      <c r="Z402" s="50"/>
      <c r="AA402" s="50"/>
      <c r="AB402" s="50"/>
      <c r="AC402" s="50"/>
      <c r="AD402" s="50"/>
      <c r="AE402" s="50"/>
      <c r="AF402" s="50"/>
      <c r="AG402" s="50"/>
      <c r="AH402" s="50"/>
      <c r="AI402" s="50"/>
      <c r="AJ402" s="50"/>
      <c r="AK402" s="50"/>
      <c r="AL402" s="50"/>
    </row>
    <row r="403">
      <c r="U403" s="50"/>
      <c r="V403" s="50"/>
      <c r="W403" s="50"/>
      <c r="X403" s="50"/>
      <c r="Y403" s="50"/>
      <c r="Z403" s="50"/>
      <c r="AA403" s="50"/>
      <c r="AB403" s="50"/>
      <c r="AC403" s="50"/>
      <c r="AD403" s="50"/>
      <c r="AE403" s="50"/>
      <c r="AF403" s="50"/>
      <c r="AG403" s="50"/>
      <c r="AH403" s="50"/>
      <c r="AI403" s="50"/>
      <c r="AJ403" s="50"/>
      <c r="AK403" s="50"/>
      <c r="AL403" s="50"/>
    </row>
    <row r="404">
      <c r="U404" s="50"/>
      <c r="V404" s="50"/>
      <c r="W404" s="50"/>
      <c r="X404" s="50"/>
      <c r="Y404" s="50"/>
      <c r="Z404" s="50"/>
      <c r="AA404" s="50"/>
      <c r="AB404" s="50"/>
      <c r="AC404" s="50"/>
      <c r="AD404" s="50"/>
      <c r="AE404" s="50"/>
      <c r="AF404" s="50"/>
      <c r="AG404" s="50"/>
      <c r="AH404" s="50"/>
      <c r="AI404" s="50"/>
      <c r="AJ404" s="50"/>
      <c r="AK404" s="50"/>
      <c r="AL404" s="50"/>
    </row>
    <row r="405">
      <c r="U405" s="50"/>
      <c r="V405" s="50"/>
      <c r="W405" s="50"/>
      <c r="X405" s="50"/>
      <c r="Y405" s="50"/>
      <c r="Z405" s="50"/>
      <c r="AA405" s="50"/>
      <c r="AB405" s="50"/>
      <c r="AC405" s="50"/>
      <c r="AD405" s="50"/>
      <c r="AE405" s="50"/>
      <c r="AF405" s="50"/>
      <c r="AG405" s="50"/>
      <c r="AH405" s="50"/>
      <c r="AI405" s="50"/>
      <c r="AJ405" s="50"/>
      <c r="AK405" s="50"/>
      <c r="AL405" s="50"/>
    </row>
    <row r="406">
      <c r="U406" s="50"/>
      <c r="V406" s="50"/>
      <c r="W406" s="50"/>
      <c r="X406" s="50"/>
      <c r="Y406" s="50"/>
      <c r="Z406" s="50"/>
      <c r="AA406" s="50"/>
      <c r="AB406" s="50"/>
      <c r="AC406" s="50"/>
      <c r="AD406" s="50"/>
      <c r="AE406" s="50"/>
      <c r="AF406" s="50"/>
      <c r="AG406" s="50"/>
      <c r="AH406" s="50"/>
      <c r="AI406" s="50"/>
      <c r="AJ406" s="50"/>
      <c r="AK406" s="50"/>
      <c r="AL406" s="50"/>
    </row>
    <row r="407">
      <c r="U407" s="50"/>
      <c r="V407" s="50"/>
      <c r="W407" s="50"/>
      <c r="X407" s="50"/>
      <c r="Y407" s="50"/>
      <c r="Z407" s="50"/>
      <c r="AA407" s="50"/>
      <c r="AB407" s="50"/>
      <c r="AC407" s="50"/>
      <c r="AD407" s="50"/>
      <c r="AE407" s="50"/>
      <c r="AF407" s="50"/>
      <c r="AG407" s="50"/>
      <c r="AH407" s="50"/>
      <c r="AI407" s="50"/>
      <c r="AJ407" s="50"/>
      <c r="AK407" s="50"/>
      <c r="AL407" s="50"/>
    </row>
    <row r="408">
      <c r="U408" s="50"/>
      <c r="V408" s="50"/>
      <c r="W408" s="50"/>
      <c r="X408" s="50"/>
      <c r="Y408" s="50"/>
      <c r="Z408" s="50"/>
      <c r="AA408" s="50"/>
      <c r="AB408" s="50"/>
      <c r="AC408" s="50"/>
      <c r="AD408" s="50"/>
      <c r="AE408" s="50"/>
      <c r="AF408" s="50"/>
      <c r="AG408" s="50"/>
      <c r="AH408" s="50"/>
      <c r="AI408" s="50"/>
      <c r="AJ408" s="50"/>
      <c r="AK408" s="50"/>
      <c r="AL408" s="50"/>
    </row>
    <row r="409">
      <c r="U409" s="50"/>
      <c r="V409" s="50"/>
      <c r="W409" s="50"/>
      <c r="X409" s="50"/>
      <c r="Y409" s="50"/>
      <c r="Z409" s="50"/>
      <c r="AA409" s="50"/>
      <c r="AB409" s="50"/>
      <c r="AC409" s="50"/>
      <c r="AD409" s="50"/>
      <c r="AE409" s="50"/>
      <c r="AF409" s="50"/>
      <c r="AG409" s="50"/>
      <c r="AH409" s="50"/>
      <c r="AI409" s="50"/>
      <c r="AJ409" s="50"/>
      <c r="AK409" s="50"/>
      <c r="AL409" s="50"/>
    </row>
    <row r="410">
      <c r="U410" s="50"/>
      <c r="V410" s="50"/>
      <c r="W410" s="50"/>
      <c r="X410" s="50"/>
      <c r="Y410" s="50"/>
      <c r="Z410" s="50"/>
      <c r="AA410" s="50"/>
      <c r="AB410" s="50"/>
      <c r="AC410" s="50"/>
      <c r="AD410" s="50"/>
      <c r="AE410" s="50"/>
      <c r="AF410" s="50"/>
      <c r="AG410" s="50"/>
      <c r="AH410" s="50"/>
      <c r="AI410" s="50"/>
      <c r="AJ410" s="50"/>
      <c r="AK410" s="50"/>
      <c r="AL410" s="50"/>
    </row>
    <row r="411">
      <c r="U411" s="50"/>
      <c r="V411" s="50"/>
      <c r="W411" s="50"/>
      <c r="X411" s="50"/>
      <c r="Y411" s="50"/>
      <c r="Z411" s="50"/>
      <c r="AA411" s="50"/>
      <c r="AB411" s="50"/>
      <c r="AC411" s="50"/>
      <c r="AD411" s="50"/>
      <c r="AE411" s="50"/>
      <c r="AF411" s="50"/>
      <c r="AG411" s="50"/>
      <c r="AH411" s="50"/>
      <c r="AI411" s="50"/>
      <c r="AJ411" s="50"/>
      <c r="AK411" s="50"/>
      <c r="AL411" s="50"/>
    </row>
    <row r="412">
      <c r="U412" s="50"/>
      <c r="V412" s="50"/>
      <c r="W412" s="50"/>
      <c r="X412" s="50"/>
      <c r="Y412" s="50"/>
      <c r="Z412" s="50"/>
      <c r="AA412" s="50"/>
      <c r="AB412" s="50"/>
      <c r="AC412" s="50"/>
      <c r="AD412" s="50"/>
      <c r="AE412" s="50"/>
      <c r="AF412" s="50"/>
      <c r="AG412" s="50"/>
      <c r="AH412" s="50"/>
      <c r="AI412" s="50"/>
      <c r="AJ412" s="50"/>
      <c r="AK412" s="50"/>
      <c r="AL412" s="50"/>
    </row>
    <row r="413">
      <c r="U413" s="50"/>
      <c r="V413" s="50"/>
      <c r="W413" s="50"/>
      <c r="X413" s="50"/>
      <c r="Y413" s="50"/>
      <c r="Z413" s="50"/>
      <c r="AA413" s="50"/>
      <c r="AB413" s="50"/>
      <c r="AC413" s="50"/>
      <c r="AD413" s="50"/>
      <c r="AE413" s="50"/>
      <c r="AF413" s="50"/>
      <c r="AG413" s="50"/>
      <c r="AH413" s="50"/>
      <c r="AI413" s="50"/>
      <c r="AJ413" s="50"/>
      <c r="AK413" s="50"/>
      <c r="AL413" s="50"/>
    </row>
    <row r="414">
      <c r="U414" s="50"/>
      <c r="V414" s="50"/>
      <c r="W414" s="50"/>
      <c r="X414" s="50"/>
      <c r="Y414" s="50"/>
      <c r="Z414" s="50"/>
      <c r="AA414" s="50"/>
      <c r="AB414" s="50"/>
      <c r="AC414" s="50"/>
      <c r="AD414" s="50"/>
      <c r="AE414" s="50"/>
      <c r="AF414" s="50"/>
      <c r="AG414" s="50"/>
      <c r="AH414" s="50"/>
      <c r="AI414" s="50"/>
      <c r="AJ414" s="50"/>
      <c r="AK414" s="50"/>
      <c r="AL414" s="50"/>
    </row>
    <row r="415">
      <c r="U415" s="50"/>
      <c r="V415" s="50"/>
      <c r="W415" s="50"/>
      <c r="X415" s="50"/>
      <c r="Y415" s="50"/>
      <c r="Z415" s="50"/>
      <c r="AA415" s="50"/>
      <c r="AB415" s="50"/>
      <c r="AC415" s="50"/>
      <c r="AD415" s="50"/>
      <c r="AE415" s="50"/>
      <c r="AF415" s="50"/>
      <c r="AG415" s="50"/>
      <c r="AH415" s="50"/>
      <c r="AI415" s="50"/>
      <c r="AJ415" s="50"/>
      <c r="AK415" s="50"/>
      <c r="AL415" s="50"/>
    </row>
    <row r="416">
      <c r="U416" s="50"/>
      <c r="V416" s="50"/>
      <c r="W416" s="50"/>
      <c r="X416" s="50"/>
      <c r="Y416" s="50"/>
      <c r="Z416" s="50"/>
      <c r="AA416" s="50"/>
      <c r="AB416" s="50"/>
      <c r="AC416" s="50"/>
      <c r="AD416" s="50"/>
      <c r="AE416" s="50"/>
      <c r="AF416" s="50"/>
      <c r="AG416" s="50"/>
      <c r="AH416" s="50"/>
      <c r="AI416" s="50"/>
      <c r="AJ416" s="50"/>
      <c r="AK416" s="50"/>
      <c r="AL416" s="50"/>
    </row>
    <row r="417">
      <c r="U417" s="50"/>
      <c r="V417" s="50"/>
      <c r="W417" s="50"/>
      <c r="X417" s="50"/>
      <c r="Y417" s="50"/>
      <c r="Z417" s="50"/>
      <c r="AA417" s="50"/>
      <c r="AB417" s="50"/>
      <c r="AC417" s="50"/>
      <c r="AD417" s="50"/>
      <c r="AE417" s="50"/>
      <c r="AF417" s="50"/>
      <c r="AG417" s="50"/>
      <c r="AH417" s="50"/>
      <c r="AI417" s="50"/>
      <c r="AJ417" s="50"/>
      <c r="AK417" s="50"/>
      <c r="AL417" s="50"/>
    </row>
    <row r="418">
      <c r="U418" s="50"/>
      <c r="V418" s="50"/>
      <c r="W418" s="50"/>
      <c r="X418" s="50"/>
      <c r="Y418" s="50"/>
      <c r="Z418" s="50"/>
      <c r="AA418" s="50"/>
      <c r="AB418" s="50"/>
      <c r="AC418" s="50"/>
      <c r="AD418" s="50"/>
      <c r="AE418" s="50"/>
      <c r="AF418" s="50"/>
      <c r="AG418" s="50"/>
      <c r="AH418" s="50"/>
      <c r="AI418" s="50"/>
      <c r="AJ418" s="50"/>
      <c r="AK418" s="50"/>
      <c r="AL418" s="50"/>
    </row>
    <row r="419">
      <c r="U419" s="50"/>
      <c r="V419" s="50"/>
      <c r="W419" s="50"/>
      <c r="X419" s="50"/>
      <c r="Y419" s="50"/>
      <c r="Z419" s="50"/>
      <c r="AA419" s="50"/>
      <c r="AB419" s="50"/>
      <c r="AC419" s="50"/>
      <c r="AD419" s="50"/>
      <c r="AE419" s="50"/>
      <c r="AF419" s="50"/>
      <c r="AG419" s="50"/>
      <c r="AH419" s="50"/>
      <c r="AI419" s="50"/>
      <c r="AJ419" s="50"/>
      <c r="AK419" s="50"/>
      <c r="AL419" s="50"/>
    </row>
    <row r="420">
      <c r="U420" s="50"/>
      <c r="V420" s="50"/>
      <c r="W420" s="50"/>
      <c r="X420" s="50"/>
      <c r="Y420" s="50"/>
      <c r="Z420" s="50"/>
      <c r="AA420" s="50"/>
      <c r="AB420" s="50"/>
      <c r="AC420" s="50"/>
      <c r="AD420" s="50"/>
      <c r="AE420" s="50"/>
      <c r="AF420" s="50"/>
      <c r="AG420" s="50"/>
      <c r="AH420" s="50"/>
      <c r="AI420" s="50"/>
      <c r="AJ420" s="50"/>
      <c r="AK420" s="50"/>
      <c r="AL420" s="50"/>
    </row>
    <row r="421">
      <c r="U421" s="50"/>
      <c r="V421" s="50"/>
      <c r="W421" s="50"/>
      <c r="X421" s="50"/>
      <c r="Y421" s="50"/>
      <c r="Z421" s="50"/>
      <c r="AA421" s="50"/>
      <c r="AB421" s="50"/>
      <c r="AC421" s="50"/>
      <c r="AD421" s="50"/>
      <c r="AE421" s="50"/>
      <c r="AF421" s="50"/>
      <c r="AG421" s="50"/>
      <c r="AH421" s="50"/>
      <c r="AI421" s="50"/>
      <c r="AJ421" s="50"/>
      <c r="AK421" s="50"/>
      <c r="AL421" s="50"/>
    </row>
    <row r="422">
      <c r="U422" s="50"/>
      <c r="V422" s="50"/>
      <c r="W422" s="50"/>
      <c r="X422" s="50"/>
      <c r="Y422" s="50"/>
      <c r="Z422" s="50"/>
      <c r="AA422" s="50"/>
      <c r="AB422" s="50"/>
      <c r="AC422" s="50"/>
      <c r="AD422" s="50"/>
      <c r="AE422" s="50"/>
      <c r="AF422" s="50"/>
      <c r="AG422" s="50"/>
      <c r="AH422" s="50"/>
      <c r="AI422" s="50"/>
      <c r="AJ422" s="50"/>
      <c r="AK422" s="50"/>
      <c r="AL422" s="50"/>
    </row>
    <row r="423">
      <c r="U423" s="50"/>
      <c r="V423" s="50"/>
      <c r="W423" s="50"/>
      <c r="X423" s="50"/>
      <c r="Y423" s="50"/>
      <c r="Z423" s="50"/>
      <c r="AA423" s="50"/>
      <c r="AB423" s="50"/>
      <c r="AC423" s="50"/>
      <c r="AD423" s="50"/>
      <c r="AE423" s="50"/>
      <c r="AF423" s="50"/>
      <c r="AG423" s="50"/>
      <c r="AH423" s="50"/>
      <c r="AI423" s="50"/>
      <c r="AJ423" s="50"/>
      <c r="AK423" s="50"/>
      <c r="AL423" s="50"/>
    </row>
    <row r="424">
      <c r="U424" s="50"/>
      <c r="V424" s="50"/>
      <c r="W424" s="50"/>
      <c r="X424" s="50"/>
      <c r="Y424" s="50"/>
      <c r="Z424" s="50"/>
      <c r="AA424" s="50"/>
      <c r="AB424" s="50"/>
      <c r="AC424" s="50"/>
      <c r="AD424" s="50"/>
      <c r="AE424" s="50"/>
      <c r="AF424" s="50"/>
      <c r="AG424" s="50"/>
      <c r="AH424" s="50"/>
      <c r="AI424" s="50"/>
      <c r="AJ424" s="50"/>
      <c r="AK424" s="50"/>
      <c r="AL424" s="50"/>
    </row>
    <row r="425">
      <c r="U425" s="50"/>
      <c r="V425" s="50"/>
      <c r="W425" s="50"/>
      <c r="X425" s="50"/>
      <c r="Y425" s="50"/>
      <c r="Z425" s="50"/>
      <c r="AA425" s="50"/>
      <c r="AB425" s="50"/>
      <c r="AC425" s="50"/>
      <c r="AD425" s="50"/>
      <c r="AE425" s="50"/>
      <c r="AF425" s="50"/>
      <c r="AG425" s="50"/>
      <c r="AH425" s="50"/>
      <c r="AI425" s="50"/>
      <c r="AJ425" s="50"/>
      <c r="AK425" s="50"/>
      <c r="AL425" s="50"/>
    </row>
    <row r="426">
      <c r="U426" s="50"/>
      <c r="V426" s="50"/>
      <c r="W426" s="50"/>
      <c r="X426" s="50"/>
      <c r="Y426" s="50"/>
      <c r="Z426" s="50"/>
      <c r="AA426" s="50"/>
      <c r="AB426" s="50"/>
      <c r="AC426" s="50"/>
      <c r="AD426" s="50"/>
      <c r="AE426" s="50"/>
      <c r="AF426" s="50"/>
      <c r="AG426" s="50"/>
      <c r="AH426" s="50"/>
      <c r="AI426" s="50"/>
      <c r="AJ426" s="50"/>
      <c r="AK426" s="50"/>
      <c r="AL426" s="50"/>
    </row>
    <row r="427">
      <c r="U427" s="50"/>
      <c r="V427" s="50"/>
      <c r="W427" s="50"/>
      <c r="X427" s="50"/>
      <c r="Y427" s="50"/>
      <c r="Z427" s="50"/>
      <c r="AA427" s="50"/>
      <c r="AB427" s="50"/>
      <c r="AC427" s="50"/>
      <c r="AD427" s="50"/>
      <c r="AE427" s="50"/>
      <c r="AF427" s="50"/>
      <c r="AG427" s="50"/>
      <c r="AH427" s="50"/>
      <c r="AI427" s="50"/>
      <c r="AJ427" s="50"/>
      <c r="AK427" s="50"/>
      <c r="AL427" s="50"/>
    </row>
    <row r="428">
      <c r="U428" s="50"/>
      <c r="V428" s="50"/>
      <c r="W428" s="50"/>
      <c r="X428" s="50"/>
      <c r="Y428" s="50"/>
      <c r="Z428" s="50"/>
      <c r="AA428" s="50"/>
      <c r="AB428" s="50"/>
      <c r="AC428" s="50"/>
      <c r="AD428" s="50"/>
      <c r="AE428" s="50"/>
      <c r="AF428" s="50"/>
      <c r="AG428" s="50"/>
      <c r="AH428" s="50"/>
      <c r="AI428" s="50"/>
      <c r="AJ428" s="50"/>
      <c r="AK428" s="50"/>
      <c r="AL428" s="50"/>
    </row>
    <row r="429">
      <c r="U429" s="50"/>
      <c r="V429" s="50"/>
      <c r="W429" s="50"/>
      <c r="X429" s="50"/>
      <c r="Y429" s="50"/>
      <c r="Z429" s="50"/>
      <c r="AA429" s="50"/>
      <c r="AB429" s="50"/>
      <c r="AC429" s="50"/>
      <c r="AD429" s="50"/>
      <c r="AE429" s="50"/>
      <c r="AF429" s="50"/>
      <c r="AG429" s="50"/>
      <c r="AH429" s="50"/>
      <c r="AI429" s="50"/>
      <c r="AJ429" s="50"/>
      <c r="AK429" s="50"/>
      <c r="AL429" s="50"/>
    </row>
    <row r="430">
      <c r="U430" s="50"/>
      <c r="V430" s="50"/>
      <c r="W430" s="50"/>
      <c r="X430" s="50"/>
      <c r="Y430" s="50"/>
      <c r="Z430" s="50"/>
      <c r="AA430" s="50"/>
      <c r="AB430" s="50"/>
      <c r="AC430" s="50"/>
      <c r="AD430" s="50"/>
      <c r="AE430" s="50"/>
      <c r="AF430" s="50"/>
      <c r="AG430" s="50"/>
      <c r="AH430" s="50"/>
      <c r="AI430" s="50"/>
      <c r="AJ430" s="50"/>
      <c r="AK430" s="50"/>
      <c r="AL430" s="50"/>
    </row>
    <row r="431">
      <c r="U431" s="50"/>
      <c r="V431" s="50"/>
      <c r="W431" s="50"/>
      <c r="X431" s="50"/>
      <c r="Y431" s="50"/>
      <c r="Z431" s="50"/>
      <c r="AA431" s="50"/>
      <c r="AB431" s="50"/>
      <c r="AC431" s="50"/>
      <c r="AD431" s="50"/>
      <c r="AE431" s="50"/>
      <c r="AF431" s="50"/>
      <c r="AG431" s="50"/>
      <c r="AH431" s="50"/>
      <c r="AI431" s="50"/>
      <c r="AJ431" s="50"/>
      <c r="AK431" s="50"/>
      <c r="AL431" s="50"/>
    </row>
    <row r="432">
      <c r="U432" s="50"/>
      <c r="V432" s="50"/>
      <c r="W432" s="50"/>
      <c r="X432" s="50"/>
      <c r="Y432" s="50"/>
      <c r="Z432" s="50"/>
      <c r="AA432" s="50"/>
      <c r="AB432" s="50"/>
      <c r="AC432" s="50"/>
      <c r="AD432" s="50"/>
      <c r="AE432" s="50"/>
      <c r="AF432" s="50"/>
      <c r="AG432" s="50"/>
      <c r="AH432" s="50"/>
      <c r="AI432" s="50"/>
      <c r="AJ432" s="50"/>
      <c r="AK432" s="50"/>
      <c r="AL432" s="50"/>
    </row>
    <row r="433">
      <c r="U433" s="50"/>
      <c r="V433" s="50"/>
      <c r="W433" s="50"/>
      <c r="X433" s="50"/>
      <c r="Y433" s="50"/>
      <c r="Z433" s="50"/>
      <c r="AA433" s="50"/>
      <c r="AB433" s="50"/>
      <c r="AC433" s="50"/>
      <c r="AD433" s="50"/>
      <c r="AE433" s="50"/>
      <c r="AF433" s="50"/>
      <c r="AG433" s="50"/>
      <c r="AH433" s="50"/>
      <c r="AI433" s="50"/>
      <c r="AJ433" s="50"/>
      <c r="AK433" s="50"/>
      <c r="AL433" s="50"/>
    </row>
    <row r="434">
      <c r="U434" s="50"/>
      <c r="V434" s="50"/>
      <c r="W434" s="50"/>
      <c r="X434" s="50"/>
      <c r="Y434" s="50"/>
      <c r="Z434" s="50"/>
      <c r="AA434" s="50"/>
      <c r="AB434" s="50"/>
      <c r="AC434" s="50"/>
      <c r="AD434" s="50"/>
      <c r="AE434" s="50"/>
      <c r="AF434" s="50"/>
      <c r="AG434" s="50"/>
      <c r="AH434" s="50"/>
      <c r="AI434" s="50"/>
      <c r="AJ434" s="50"/>
      <c r="AK434" s="50"/>
      <c r="AL434" s="50"/>
    </row>
    <row r="435">
      <c r="U435" s="50"/>
      <c r="V435" s="50"/>
      <c r="W435" s="50"/>
      <c r="X435" s="50"/>
      <c r="Y435" s="50"/>
      <c r="Z435" s="50"/>
      <c r="AA435" s="50"/>
      <c r="AB435" s="50"/>
      <c r="AC435" s="50"/>
      <c r="AD435" s="50"/>
      <c r="AE435" s="50"/>
      <c r="AF435" s="50"/>
      <c r="AG435" s="50"/>
      <c r="AH435" s="50"/>
      <c r="AI435" s="50"/>
      <c r="AJ435" s="50"/>
      <c r="AK435" s="50"/>
      <c r="AL435" s="50"/>
    </row>
    <row r="436">
      <c r="U436" s="50"/>
      <c r="V436" s="50"/>
      <c r="W436" s="50"/>
      <c r="X436" s="50"/>
      <c r="Y436" s="50"/>
      <c r="Z436" s="50"/>
      <c r="AA436" s="50"/>
      <c r="AB436" s="50"/>
      <c r="AC436" s="50"/>
      <c r="AD436" s="50"/>
      <c r="AE436" s="50"/>
      <c r="AF436" s="50"/>
      <c r="AG436" s="50"/>
      <c r="AH436" s="50"/>
      <c r="AI436" s="50"/>
      <c r="AJ436" s="50"/>
      <c r="AK436" s="50"/>
      <c r="AL436" s="50"/>
    </row>
    <row r="437">
      <c r="U437" s="50"/>
      <c r="V437" s="50"/>
      <c r="W437" s="50"/>
      <c r="X437" s="50"/>
      <c r="Y437" s="50"/>
      <c r="Z437" s="50"/>
      <c r="AA437" s="50"/>
      <c r="AB437" s="50"/>
      <c r="AC437" s="50"/>
      <c r="AD437" s="50"/>
      <c r="AE437" s="50"/>
      <c r="AF437" s="50"/>
      <c r="AG437" s="50"/>
      <c r="AH437" s="50"/>
      <c r="AI437" s="50"/>
      <c r="AJ437" s="50"/>
      <c r="AK437" s="50"/>
      <c r="AL437" s="50"/>
    </row>
    <row r="438">
      <c r="U438" s="50"/>
      <c r="V438" s="50"/>
      <c r="W438" s="50"/>
      <c r="X438" s="50"/>
      <c r="Y438" s="50"/>
      <c r="Z438" s="50"/>
      <c r="AA438" s="50"/>
      <c r="AB438" s="50"/>
      <c r="AC438" s="50"/>
      <c r="AD438" s="50"/>
      <c r="AE438" s="50"/>
      <c r="AF438" s="50"/>
      <c r="AG438" s="50"/>
      <c r="AH438" s="50"/>
      <c r="AI438" s="50"/>
      <c r="AJ438" s="50"/>
      <c r="AK438" s="50"/>
      <c r="AL438" s="50"/>
    </row>
    <row r="439">
      <c r="U439" s="50"/>
      <c r="V439" s="50"/>
      <c r="W439" s="50"/>
      <c r="X439" s="50"/>
      <c r="Y439" s="50"/>
      <c r="Z439" s="50"/>
      <c r="AA439" s="50"/>
      <c r="AB439" s="50"/>
      <c r="AC439" s="50"/>
      <c r="AD439" s="50"/>
      <c r="AE439" s="50"/>
      <c r="AF439" s="50"/>
      <c r="AG439" s="50"/>
      <c r="AH439" s="50"/>
      <c r="AI439" s="50"/>
      <c r="AJ439" s="50"/>
      <c r="AK439" s="50"/>
      <c r="AL439" s="50"/>
    </row>
    <row r="440">
      <c r="U440" s="50"/>
      <c r="V440" s="50"/>
      <c r="W440" s="50"/>
      <c r="X440" s="50"/>
      <c r="Y440" s="50"/>
      <c r="Z440" s="50"/>
      <c r="AA440" s="50"/>
      <c r="AB440" s="50"/>
      <c r="AC440" s="50"/>
      <c r="AD440" s="50"/>
      <c r="AE440" s="50"/>
      <c r="AF440" s="50"/>
      <c r="AG440" s="50"/>
      <c r="AH440" s="50"/>
      <c r="AI440" s="50"/>
      <c r="AJ440" s="50"/>
      <c r="AK440" s="50"/>
      <c r="AL440" s="50"/>
    </row>
    <row r="441">
      <c r="U441" s="50"/>
      <c r="V441" s="50"/>
      <c r="W441" s="50"/>
      <c r="X441" s="50"/>
      <c r="Y441" s="50"/>
      <c r="Z441" s="50"/>
      <c r="AA441" s="50"/>
      <c r="AB441" s="50"/>
      <c r="AC441" s="50"/>
      <c r="AD441" s="50"/>
      <c r="AE441" s="50"/>
      <c r="AF441" s="50"/>
      <c r="AG441" s="50"/>
      <c r="AH441" s="50"/>
      <c r="AI441" s="50"/>
      <c r="AJ441" s="50"/>
      <c r="AK441" s="50"/>
      <c r="AL441" s="50"/>
    </row>
    <row r="442">
      <c r="U442" s="50"/>
      <c r="V442" s="50"/>
      <c r="W442" s="50"/>
      <c r="X442" s="50"/>
      <c r="Y442" s="50"/>
      <c r="Z442" s="50"/>
      <c r="AA442" s="50"/>
      <c r="AB442" s="50"/>
      <c r="AC442" s="50"/>
      <c r="AD442" s="50"/>
      <c r="AE442" s="50"/>
      <c r="AF442" s="50"/>
      <c r="AG442" s="50"/>
      <c r="AH442" s="50"/>
      <c r="AI442" s="50"/>
      <c r="AJ442" s="50"/>
      <c r="AK442" s="50"/>
      <c r="AL442" s="50"/>
    </row>
    <row r="443">
      <c r="U443" s="50"/>
      <c r="V443" s="50"/>
      <c r="W443" s="50"/>
      <c r="X443" s="50"/>
      <c r="Y443" s="50"/>
      <c r="Z443" s="50"/>
      <c r="AA443" s="50"/>
      <c r="AB443" s="50"/>
      <c r="AC443" s="50"/>
      <c r="AD443" s="50"/>
      <c r="AE443" s="50"/>
      <c r="AF443" s="50"/>
      <c r="AG443" s="50"/>
      <c r="AH443" s="50"/>
      <c r="AI443" s="50"/>
      <c r="AJ443" s="50"/>
      <c r="AK443" s="50"/>
      <c r="AL443" s="50"/>
    </row>
    <row r="444">
      <c r="U444" s="50"/>
      <c r="V444" s="50"/>
      <c r="W444" s="50"/>
      <c r="X444" s="50"/>
      <c r="Y444" s="50"/>
      <c r="Z444" s="50"/>
      <c r="AA444" s="50"/>
      <c r="AB444" s="50"/>
      <c r="AC444" s="50"/>
      <c r="AD444" s="50"/>
      <c r="AE444" s="50"/>
      <c r="AF444" s="50"/>
      <c r="AG444" s="50"/>
      <c r="AH444" s="50"/>
      <c r="AI444" s="50"/>
      <c r="AJ444" s="50"/>
      <c r="AK444" s="50"/>
      <c r="AL444" s="50"/>
    </row>
    <row r="445">
      <c r="U445" s="50"/>
      <c r="V445" s="50"/>
      <c r="W445" s="50"/>
      <c r="X445" s="50"/>
      <c r="Y445" s="50"/>
      <c r="Z445" s="50"/>
      <c r="AA445" s="50"/>
      <c r="AB445" s="50"/>
      <c r="AC445" s="50"/>
      <c r="AD445" s="50"/>
      <c r="AE445" s="50"/>
      <c r="AF445" s="50"/>
      <c r="AG445" s="50"/>
      <c r="AH445" s="50"/>
      <c r="AI445" s="50"/>
      <c r="AJ445" s="50"/>
      <c r="AK445" s="50"/>
      <c r="AL445" s="50"/>
    </row>
    <row r="446">
      <c r="U446" s="50"/>
      <c r="V446" s="50"/>
      <c r="W446" s="50"/>
      <c r="X446" s="50"/>
      <c r="Y446" s="50"/>
      <c r="Z446" s="50"/>
      <c r="AA446" s="50"/>
      <c r="AB446" s="50"/>
      <c r="AC446" s="50"/>
      <c r="AD446" s="50"/>
      <c r="AE446" s="50"/>
      <c r="AF446" s="50"/>
      <c r="AG446" s="50"/>
      <c r="AH446" s="50"/>
      <c r="AI446" s="50"/>
      <c r="AJ446" s="50"/>
      <c r="AK446" s="50"/>
      <c r="AL446" s="50"/>
    </row>
    <row r="447">
      <c r="U447" s="50"/>
      <c r="V447" s="50"/>
      <c r="W447" s="50"/>
      <c r="X447" s="50"/>
      <c r="Y447" s="50"/>
      <c r="Z447" s="50"/>
      <c r="AA447" s="50"/>
      <c r="AB447" s="50"/>
      <c r="AC447" s="50"/>
      <c r="AD447" s="50"/>
      <c r="AE447" s="50"/>
      <c r="AF447" s="50"/>
      <c r="AG447" s="50"/>
      <c r="AH447" s="50"/>
      <c r="AI447" s="50"/>
      <c r="AJ447" s="50"/>
      <c r="AK447" s="50"/>
      <c r="AL447" s="50"/>
    </row>
    <row r="448">
      <c r="U448" s="50"/>
      <c r="V448" s="50"/>
      <c r="W448" s="50"/>
      <c r="X448" s="50"/>
      <c r="Y448" s="50"/>
      <c r="Z448" s="50"/>
      <c r="AA448" s="50"/>
      <c r="AB448" s="50"/>
      <c r="AC448" s="50"/>
      <c r="AD448" s="50"/>
      <c r="AE448" s="50"/>
      <c r="AF448" s="50"/>
      <c r="AG448" s="50"/>
      <c r="AH448" s="50"/>
      <c r="AI448" s="50"/>
      <c r="AJ448" s="50"/>
      <c r="AK448" s="50"/>
      <c r="AL448" s="50"/>
    </row>
    <row r="449">
      <c r="U449" s="50"/>
      <c r="V449" s="50"/>
      <c r="W449" s="50"/>
      <c r="X449" s="50"/>
      <c r="Y449" s="50"/>
      <c r="Z449" s="50"/>
      <c r="AA449" s="50"/>
      <c r="AB449" s="50"/>
      <c r="AC449" s="50"/>
      <c r="AD449" s="50"/>
      <c r="AE449" s="50"/>
      <c r="AF449" s="50"/>
      <c r="AG449" s="50"/>
      <c r="AH449" s="50"/>
      <c r="AI449" s="50"/>
      <c r="AJ449" s="50"/>
      <c r="AK449" s="50"/>
      <c r="AL449" s="50"/>
    </row>
    <row r="450">
      <c r="U450" s="50"/>
      <c r="V450" s="50"/>
      <c r="W450" s="50"/>
      <c r="X450" s="50"/>
      <c r="Y450" s="50"/>
      <c r="Z450" s="50"/>
      <c r="AA450" s="50"/>
      <c r="AB450" s="50"/>
      <c r="AC450" s="50"/>
      <c r="AD450" s="50"/>
      <c r="AE450" s="50"/>
      <c r="AF450" s="50"/>
      <c r="AG450" s="50"/>
      <c r="AH450" s="50"/>
      <c r="AI450" s="50"/>
      <c r="AJ450" s="50"/>
      <c r="AK450" s="50"/>
      <c r="AL450" s="50"/>
    </row>
    <row r="451">
      <c r="U451" s="50"/>
      <c r="V451" s="50"/>
      <c r="W451" s="50"/>
      <c r="X451" s="50"/>
      <c r="Y451" s="50"/>
      <c r="Z451" s="50"/>
      <c r="AA451" s="50"/>
      <c r="AB451" s="50"/>
      <c r="AC451" s="50"/>
      <c r="AD451" s="50"/>
      <c r="AE451" s="50"/>
      <c r="AF451" s="50"/>
      <c r="AG451" s="50"/>
      <c r="AH451" s="50"/>
      <c r="AI451" s="50"/>
      <c r="AJ451" s="50"/>
      <c r="AK451" s="50"/>
      <c r="AL451" s="50"/>
    </row>
    <row r="452">
      <c r="U452" s="50"/>
      <c r="V452" s="50"/>
      <c r="W452" s="50"/>
      <c r="X452" s="50"/>
      <c r="Y452" s="50"/>
      <c r="Z452" s="50"/>
      <c r="AA452" s="50"/>
      <c r="AB452" s="50"/>
      <c r="AC452" s="50"/>
      <c r="AD452" s="50"/>
      <c r="AE452" s="50"/>
      <c r="AF452" s="50"/>
      <c r="AG452" s="50"/>
      <c r="AH452" s="50"/>
      <c r="AI452" s="50"/>
      <c r="AJ452" s="50"/>
      <c r="AK452" s="50"/>
      <c r="AL452" s="50"/>
    </row>
    <row r="453">
      <c r="U453" s="50"/>
      <c r="V453" s="50"/>
      <c r="W453" s="50"/>
      <c r="X453" s="50"/>
      <c r="Y453" s="50"/>
      <c r="Z453" s="50"/>
      <c r="AA453" s="50"/>
      <c r="AB453" s="50"/>
      <c r="AC453" s="50"/>
      <c r="AD453" s="50"/>
      <c r="AE453" s="50"/>
      <c r="AF453" s="50"/>
      <c r="AG453" s="50"/>
      <c r="AH453" s="50"/>
      <c r="AI453" s="50"/>
      <c r="AJ453" s="50"/>
      <c r="AK453" s="50"/>
      <c r="AL453" s="50"/>
    </row>
    <row r="454">
      <c r="U454" s="50"/>
      <c r="V454" s="50"/>
      <c r="W454" s="50"/>
      <c r="X454" s="50"/>
      <c r="Y454" s="50"/>
      <c r="Z454" s="50"/>
      <c r="AA454" s="50"/>
      <c r="AB454" s="50"/>
      <c r="AC454" s="50"/>
      <c r="AD454" s="50"/>
      <c r="AE454" s="50"/>
      <c r="AF454" s="50"/>
      <c r="AG454" s="50"/>
      <c r="AH454" s="50"/>
      <c r="AI454" s="50"/>
      <c r="AJ454" s="50"/>
      <c r="AK454" s="50"/>
      <c r="AL454" s="50"/>
    </row>
    <row r="455">
      <c r="U455" s="50"/>
      <c r="V455" s="50"/>
      <c r="W455" s="50"/>
      <c r="X455" s="50"/>
      <c r="Y455" s="50"/>
      <c r="Z455" s="50"/>
      <c r="AA455" s="50"/>
      <c r="AB455" s="50"/>
      <c r="AC455" s="50"/>
      <c r="AD455" s="50"/>
      <c r="AE455" s="50"/>
      <c r="AF455" s="50"/>
      <c r="AG455" s="50"/>
      <c r="AH455" s="50"/>
      <c r="AI455" s="50"/>
      <c r="AJ455" s="50"/>
      <c r="AK455" s="50"/>
      <c r="AL455" s="50"/>
    </row>
    <row r="456">
      <c r="U456" s="50"/>
      <c r="V456" s="50"/>
      <c r="W456" s="50"/>
      <c r="X456" s="50"/>
      <c r="Y456" s="50"/>
      <c r="Z456" s="50"/>
      <c r="AA456" s="50"/>
      <c r="AB456" s="50"/>
      <c r="AC456" s="50"/>
      <c r="AD456" s="50"/>
      <c r="AE456" s="50"/>
      <c r="AF456" s="50"/>
      <c r="AG456" s="50"/>
      <c r="AH456" s="50"/>
      <c r="AI456" s="50"/>
      <c r="AJ456" s="50"/>
      <c r="AK456" s="50"/>
      <c r="AL456" s="50"/>
    </row>
    <row r="457">
      <c r="U457" s="50"/>
      <c r="V457" s="50"/>
      <c r="W457" s="50"/>
      <c r="X457" s="50"/>
      <c r="Y457" s="50"/>
      <c r="Z457" s="50"/>
      <c r="AA457" s="50"/>
      <c r="AB457" s="50"/>
      <c r="AC457" s="50"/>
      <c r="AD457" s="50"/>
      <c r="AE457" s="50"/>
      <c r="AF457" s="50"/>
      <c r="AG457" s="50"/>
      <c r="AH457" s="50"/>
      <c r="AI457" s="50"/>
      <c r="AJ457" s="50"/>
      <c r="AK457" s="50"/>
      <c r="AL457" s="50"/>
    </row>
    <row r="458">
      <c r="U458" s="50"/>
      <c r="V458" s="50"/>
      <c r="W458" s="50"/>
      <c r="X458" s="50"/>
      <c r="Y458" s="50"/>
      <c r="Z458" s="50"/>
      <c r="AA458" s="50"/>
      <c r="AB458" s="50"/>
      <c r="AC458" s="50"/>
      <c r="AD458" s="50"/>
      <c r="AE458" s="50"/>
      <c r="AF458" s="50"/>
      <c r="AG458" s="50"/>
      <c r="AH458" s="50"/>
      <c r="AI458" s="50"/>
      <c r="AJ458" s="50"/>
      <c r="AK458" s="50"/>
      <c r="AL458" s="50"/>
    </row>
    <row r="459">
      <c r="U459" s="50"/>
      <c r="V459" s="50"/>
      <c r="W459" s="50"/>
      <c r="X459" s="50"/>
      <c r="Y459" s="50"/>
      <c r="Z459" s="50"/>
      <c r="AA459" s="50"/>
      <c r="AB459" s="50"/>
      <c r="AC459" s="50"/>
      <c r="AD459" s="50"/>
      <c r="AE459" s="50"/>
      <c r="AF459" s="50"/>
      <c r="AG459" s="50"/>
      <c r="AH459" s="50"/>
      <c r="AI459" s="50"/>
      <c r="AJ459" s="50"/>
      <c r="AK459" s="50"/>
      <c r="AL459" s="50"/>
    </row>
    <row r="460">
      <c r="U460" s="50"/>
      <c r="V460" s="50"/>
      <c r="W460" s="50"/>
      <c r="X460" s="50"/>
      <c r="Y460" s="50"/>
      <c r="Z460" s="50"/>
      <c r="AA460" s="50"/>
      <c r="AB460" s="50"/>
      <c r="AC460" s="50"/>
      <c r="AD460" s="50"/>
      <c r="AE460" s="50"/>
      <c r="AF460" s="50"/>
      <c r="AG460" s="50"/>
      <c r="AH460" s="50"/>
      <c r="AI460" s="50"/>
      <c r="AJ460" s="50"/>
      <c r="AK460" s="50"/>
      <c r="AL460" s="50"/>
    </row>
    <row r="461">
      <c r="U461" s="50"/>
      <c r="V461" s="50"/>
      <c r="W461" s="50"/>
      <c r="X461" s="50"/>
      <c r="Y461" s="50"/>
      <c r="Z461" s="50"/>
      <c r="AA461" s="50"/>
      <c r="AB461" s="50"/>
      <c r="AC461" s="50"/>
      <c r="AD461" s="50"/>
      <c r="AE461" s="50"/>
      <c r="AF461" s="50"/>
      <c r="AG461" s="50"/>
      <c r="AH461" s="50"/>
      <c r="AI461" s="50"/>
      <c r="AJ461" s="50"/>
      <c r="AK461" s="50"/>
      <c r="AL461" s="50"/>
    </row>
    <row r="462">
      <c r="U462" s="50"/>
      <c r="V462" s="50"/>
      <c r="W462" s="50"/>
      <c r="X462" s="50"/>
      <c r="Y462" s="50"/>
      <c r="Z462" s="50"/>
      <c r="AA462" s="50"/>
      <c r="AB462" s="50"/>
      <c r="AC462" s="50"/>
      <c r="AD462" s="50"/>
      <c r="AE462" s="50"/>
      <c r="AF462" s="50"/>
      <c r="AG462" s="50"/>
      <c r="AH462" s="50"/>
      <c r="AI462" s="50"/>
      <c r="AJ462" s="50"/>
      <c r="AK462" s="50"/>
      <c r="AL462" s="50"/>
    </row>
    <row r="463">
      <c r="U463" s="50"/>
      <c r="V463" s="50"/>
      <c r="W463" s="50"/>
      <c r="X463" s="50"/>
      <c r="Y463" s="50"/>
      <c r="Z463" s="50"/>
      <c r="AA463" s="50"/>
      <c r="AB463" s="50"/>
      <c r="AC463" s="50"/>
      <c r="AD463" s="50"/>
      <c r="AE463" s="50"/>
      <c r="AF463" s="50"/>
      <c r="AG463" s="50"/>
      <c r="AH463" s="50"/>
      <c r="AI463" s="50"/>
      <c r="AJ463" s="50"/>
      <c r="AK463" s="50"/>
      <c r="AL463" s="50"/>
    </row>
    <row r="464">
      <c r="U464" s="50"/>
      <c r="V464" s="50"/>
      <c r="W464" s="50"/>
      <c r="X464" s="50"/>
      <c r="Y464" s="50"/>
      <c r="Z464" s="50"/>
      <c r="AA464" s="50"/>
      <c r="AB464" s="50"/>
      <c r="AC464" s="50"/>
      <c r="AD464" s="50"/>
      <c r="AE464" s="50"/>
      <c r="AF464" s="50"/>
      <c r="AG464" s="50"/>
      <c r="AH464" s="50"/>
      <c r="AI464" s="50"/>
      <c r="AJ464" s="50"/>
      <c r="AK464" s="50"/>
      <c r="AL464" s="50"/>
    </row>
    <row r="465">
      <c r="U465" s="50"/>
      <c r="V465" s="50"/>
      <c r="W465" s="50"/>
      <c r="X465" s="50"/>
      <c r="Y465" s="50"/>
      <c r="Z465" s="50"/>
      <c r="AA465" s="50"/>
      <c r="AB465" s="50"/>
      <c r="AC465" s="50"/>
      <c r="AD465" s="50"/>
      <c r="AE465" s="50"/>
      <c r="AF465" s="50"/>
      <c r="AG465" s="50"/>
      <c r="AH465" s="50"/>
      <c r="AI465" s="50"/>
      <c r="AJ465" s="50"/>
      <c r="AK465" s="50"/>
      <c r="AL465" s="50"/>
    </row>
    <row r="466">
      <c r="U466" s="50"/>
      <c r="V466" s="50"/>
      <c r="W466" s="50"/>
      <c r="X466" s="50"/>
      <c r="Y466" s="50"/>
      <c r="Z466" s="50"/>
      <c r="AA466" s="50"/>
      <c r="AB466" s="50"/>
      <c r="AC466" s="50"/>
      <c r="AD466" s="50"/>
      <c r="AE466" s="50"/>
      <c r="AF466" s="50"/>
      <c r="AG466" s="50"/>
      <c r="AH466" s="50"/>
      <c r="AI466" s="50"/>
      <c r="AJ466" s="50"/>
      <c r="AK466" s="50"/>
      <c r="AL466" s="50"/>
    </row>
    <row r="467">
      <c r="U467" s="50"/>
      <c r="V467" s="50"/>
      <c r="W467" s="50"/>
      <c r="X467" s="50"/>
      <c r="Y467" s="50"/>
      <c r="Z467" s="50"/>
      <c r="AA467" s="50"/>
      <c r="AB467" s="50"/>
      <c r="AC467" s="50"/>
      <c r="AD467" s="50"/>
      <c r="AE467" s="50"/>
      <c r="AF467" s="50"/>
      <c r="AG467" s="50"/>
      <c r="AH467" s="50"/>
      <c r="AI467" s="50"/>
      <c r="AJ467" s="50"/>
      <c r="AK467" s="50"/>
      <c r="AL467" s="50"/>
    </row>
    <row r="468">
      <c r="U468" s="50"/>
      <c r="V468" s="50"/>
      <c r="W468" s="50"/>
      <c r="X468" s="50"/>
      <c r="Y468" s="50"/>
      <c r="Z468" s="50"/>
      <c r="AA468" s="50"/>
      <c r="AB468" s="50"/>
      <c r="AC468" s="50"/>
      <c r="AD468" s="50"/>
      <c r="AE468" s="50"/>
      <c r="AF468" s="50"/>
      <c r="AG468" s="50"/>
      <c r="AH468" s="50"/>
      <c r="AI468" s="50"/>
      <c r="AJ468" s="50"/>
      <c r="AK468" s="50"/>
      <c r="AL468" s="50"/>
    </row>
    <row r="469">
      <c r="U469" s="50"/>
      <c r="V469" s="50"/>
      <c r="W469" s="50"/>
      <c r="X469" s="50"/>
      <c r="Y469" s="50"/>
      <c r="Z469" s="50"/>
      <c r="AA469" s="50"/>
      <c r="AB469" s="50"/>
      <c r="AC469" s="50"/>
      <c r="AD469" s="50"/>
      <c r="AE469" s="50"/>
      <c r="AF469" s="50"/>
      <c r="AG469" s="50"/>
      <c r="AH469" s="50"/>
      <c r="AI469" s="50"/>
      <c r="AJ469" s="50"/>
      <c r="AK469" s="50"/>
      <c r="AL469" s="50"/>
    </row>
    <row r="470">
      <c r="U470" s="50"/>
      <c r="V470" s="50"/>
      <c r="W470" s="50"/>
      <c r="X470" s="50"/>
      <c r="Y470" s="50"/>
      <c r="Z470" s="50"/>
      <c r="AA470" s="50"/>
      <c r="AB470" s="50"/>
      <c r="AC470" s="50"/>
      <c r="AD470" s="50"/>
      <c r="AE470" s="50"/>
      <c r="AF470" s="50"/>
      <c r="AG470" s="50"/>
      <c r="AH470" s="50"/>
      <c r="AI470" s="50"/>
      <c r="AJ470" s="50"/>
      <c r="AK470" s="50"/>
      <c r="AL470" s="50"/>
    </row>
    <row r="471">
      <c r="U471" s="50"/>
      <c r="V471" s="50"/>
      <c r="W471" s="50"/>
      <c r="X471" s="50"/>
      <c r="Y471" s="50"/>
      <c r="Z471" s="50"/>
      <c r="AA471" s="50"/>
      <c r="AB471" s="50"/>
      <c r="AC471" s="50"/>
      <c r="AD471" s="50"/>
      <c r="AE471" s="50"/>
      <c r="AF471" s="50"/>
      <c r="AG471" s="50"/>
      <c r="AH471" s="50"/>
      <c r="AI471" s="50"/>
      <c r="AJ471" s="50"/>
      <c r="AK471" s="50"/>
      <c r="AL471" s="50"/>
    </row>
    <row r="472">
      <c r="U472" s="50"/>
      <c r="V472" s="50"/>
      <c r="W472" s="50"/>
      <c r="X472" s="50"/>
      <c r="Y472" s="50"/>
      <c r="Z472" s="50"/>
      <c r="AA472" s="50"/>
      <c r="AB472" s="50"/>
      <c r="AC472" s="50"/>
      <c r="AD472" s="50"/>
      <c r="AE472" s="50"/>
      <c r="AF472" s="50"/>
      <c r="AG472" s="50"/>
      <c r="AH472" s="50"/>
      <c r="AI472" s="50"/>
      <c r="AJ472" s="50"/>
      <c r="AK472" s="50"/>
      <c r="AL472" s="50"/>
    </row>
    <row r="473">
      <c r="U473" s="50"/>
      <c r="V473" s="50"/>
      <c r="W473" s="50"/>
      <c r="X473" s="50"/>
      <c r="Y473" s="50"/>
      <c r="Z473" s="50"/>
      <c r="AA473" s="50"/>
      <c r="AB473" s="50"/>
      <c r="AC473" s="50"/>
      <c r="AD473" s="50"/>
      <c r="AE473" s="50"/>
      <c r="AF473" s="50"/>
      <c r="AG473" s="50"/>
      <c r="AH473" s="50"/>
      <c r="AI473" s="50"/>
      <c r="AJ473" s="50"/>
      <c r="AK473" s="50"/>
      <c r="AL473" s="50"/>
    </row>
    <row r="474">
      <c r="U474" s="50"/>
      <c r="V474" s="50"/>
      <c r="W474" s="50"/>
      <c r="X474" s="50"/>
      <c r="Y474" s="50"/>
      <c r="Z474" s="50"/>
      <c r="AA474" s="50"/>
      <c r="AB474" s="50"/>
      <c r="AC474" s="50"/>
      <c r="AD474" s="50"/>
      <c r="AE474" s="50"/>
      <c r="AF474" s="50"/>
      <c r="AG474" s="50"/>
      <c r="AH474" s="50"/>
      <c r="AI474" s="50"/>
      <c r="AJ474" s="50"/>
      <c r="AK474" s="50"/>
      <c r="AL474" s="50"/>
    </row>
    <row r="475">
      <c r="U475" s="50"/>
      <c r="V475" s="50"/>
      <c r="W475" s="50"/>
      <c r="X475" s="50"/>
      <c r="Y475" s="50"/>
      <c r="Z475" s="50"/>
      <c r="AA475" s="50"/>
      <c r="AB475" s="50"/>
      <c r="AC475" s="50"/>
      <c r="AD475" s="50"/>
      <c r="AE475" s="50"/>
      <c r="AF475" s="50"/>
      <c r="AG475" s="50"/>
      <c r="AH475" s="50"/>
      <c r="AI475" s="50"/>
      <c r="AJ475" s="50"/>
      <c r="AK475" s="50"/>
      <c r="AL475" s="50"/>
    </row>
    <row r="476">
      <c r="U476" s="50"/>
      <c r="V476" s="50"/>
      <c r="W476" s="50"/>
      <c r="X476" s="50"/>
      <c r="Y476" s="50"/>
      <c r="Z476" s="50"/>
      <c r="AA476" s="50"/>
      <c r="AB476" s="50"/>
      <c r="AC476" s="50"/>
      <c r="AD476" s="50"/>
      <c r="AE476" s="50"/>
      <c r="AF476" s="50"/>
      <c r="AG476" s="50"/>
      <c r="AH476" s="50"/>
      <c r="AI476" s="50"/>
      <c r="AJ476" s="50"/>
      <c r="AK476" s="50"/>
      <c r="AL476" s="50"/>
    </row>
    <row r="477">
      <c r="U477" s="50"/>
      <c r="V477" s="50"/>
      <c r="W477" s="50"/>
      <c r="X477" s="50"/>
      <c r="Y477" s="50"/>
      <c r="Z477" s="50"/>
      <c r="AA477" s="50"/>
      <c r="AB477" s="50"/>
      <c r="AC477" s="50"/>
      <c r="AD477" s="50"/>
      <c r="AE477" s="50"/>
      <c r="AF477" s="50"/>
      <c r="AG477" s="50"/>
      <c r="AH477" s="50"/>
      <c r="AI477" s="50"/>
      <c r="AJ477" s="50"/>
      <c r="AK477" s="50"/>
      <c r="AL477" s="50"/>
    </row>
    <row r="478">
      <c r="U478" s="50"/>
      <c r="V478" s="50"/>
      <c r="W478" s="50"/>
      <c r="X478" s="50"/>
      <c r="Y478" s="50"/>
      <c r="Z478" s="50"/>
      <c r="AA478" s="50"/>
      <c r="AB478" s="50"/>
      <c r="AC478" s="50"/>
      <c r="AD478" s="50"/>
      <c r="AE478" s="50"/>
      <c r="AF478" s="50"/>
      <c r="AG478" s="50"/>
      <c r="AH478" s="50"/>
      <c r="AI478" s="50"/>
      <c r="AJ478" s="50"/>
      <c r="AK478" s="50"/>
      <c r="AL478" s="50"/>
    </row>
    <row r="479">
      <c r="U479" s="50"/>
      <c r="V479" s="50"/>
      <c r="W479" s="50"/>
      <c r="X479" s="50"/>
      <c r="Y479" s="50"/>
      <c r="Z479" s="50"/>
      <c r="AA479" s="50"/>
      <c r="AB479" s="50"/>
      <c r="AC479" s="50"/>
      <c r="AD479" s="50"/>
      <c r="AE479" s="50"/>
      <c r="AF479" s="50"/>
      <c r="AG479" s="50"/>
      <c r="AH479" s="50"/>
      <c r="AI479" s="50"/>
      <c r="AJ479" s="50"/>
      <c r="AK479" s="50"/>
      <c r="AL479" s="50"/>
    </row>
    <row r="480">
      <c r="U480" s="50"/>
      <c r="V480" s="50"/>
      <c r="W480" s="50"/>
      <c r="X480" s="50"/>
      <c r="Y480" s="50"/>
      <c r="Z480" s="50"/>
      <c r="AA480" s="50"/>
      <c r="AB480" s="50"/>
      <c r="AC480" s="50"/>
      <c r="AD480" s="50"/>
      <c r="AE480" s="50"/>
      <c r="AF480" s="50"/>
      <c r="AG480" s="50"/>
      <c r="AH480" s="50"/>
      <c r="AI480" s="50"/>
      <c r="AJ480" s="50"/>
      <c r="AK480" s="50"/>
      <c r="AL480" s="50"/>
    </row>
    <row r="481">
      <c r="U481" s="50"/>
      <c r="V481" s="50"/>
      <c r="W481" s="50"/>
      <c r="X481" s="50"/>
      <c r="Y481" s="50"/>
      <c r="Z481" s="50"/>
      <c r="AA481" s="50"/>
      <c r="AB481" s="50"/>
      <c r="AC481" s="50"/>
      <c r="AD481" s="50"/>
      <c r="AE481" s="50"/>
      <c r="AF481" s="50"/>
      <c r="AG481" s="50"/>
      <c r="AH481" s="50"/>
      <c r="AI481" s="50"/>
      <c r="AJ481" s="50"/>
      <c r="AK481" s="50"/>
      <c r="AL481" s="50"/>
    </row>
    <row r="482">
      <c r="U482" s="50"/>
      <c r="V482" s="50"/>
      <c r="W482" s="50"/>
      <c r="X482" s="50"/>
      <c r="Y482" s="50"/>
      <c r="Z482" s="50"/>
      <c r="AA482" s="50"/>
      <c r="AB482" s="50"/>
      <c r="AC482" s="50"/>
      <c r="AD482" s="50"/>
      <c r="AE482" s="50"/>
      <c r="AF482" s="50"/>
      <c r="AG482" s="50"/>
      <c r="AH482" s="50"/>
      <c r="AI482" s="50"/>
      <c r="AJ482" s="50"/>
      <c r="AK482" s="50"/>
      <c r="AL482" s="50"/>
    </row>
    <row r="483">
      <c r="U483" s="50"/>
      <c r="V483" s="50"/>
      <c r="W483" s="50"/>
      <c r="X483" s="50"/>
      <c r="Y483" s="50"/>
      <c r="Z483" s="50"/>
      <c r="AA483" s="50"/>
      <c r="AB483" s="50"/>
      <c r="AC483" s="50"/>
      <c r="AD483" s="50"/>
      <c r="AE483" s="50"/>
      <c r="AF483" s="50"/>
      <c r="AG483" s="50"/>
      <c r="AH483" s="50"/>
      <c r="AI483" s="50"/>
      <c r="AJ483" s="50"/>
      <c r="AK483" s="50"/>
      <c r="AL483" s="50"/>
    </row>
    <row r="484">
      <c r="U484" s="50"/>
      <c r="V484" s="50"/>
      <c r="W484" s="50"/>
      <c r="X484" s="50"/>
      <c r="Y484" s="50"/>
      <c r="Z484" s="50"/>
      <c r="AA484" s="50"/>
      <c r="AB484" s="50"/>
      <c r="AC484" s="50"/>
      <c r="AD484" s="50"/>
      <c r="AE484" s="50"/>
      <c r="AF484" s="50"/>
      <c r="AG484" s="50"/>
      <c r="AH484" s="50"/>
      <c r="AI484" s="50"/>
      <c r="AJ484" s="50"/>
      <c r="AK484" s="50"/>
      <c r="AL484" s="50"/>
    </row>
    <row r="485">
      <c r="U485" s="50"/>
      <c r="V485" s="50"/>
      <c r="W485" s="50"/>
      <c r="X485" s="50"/>
      <c r="Y485" s="50"/>
      <c r="Z485" s="50"/>
      <c r="AA485" s="50"/>
      <c r="AB485" s="50"/>
      <c r="AC485" s="50"/>
      <c r="AD485" s="50"/>
      <c r="AE485" s="50"/>
      <c r="AF485" s="50"/>
      <c r="AG485" s="50"/>
      <c r="AH485" s="50"/>
      <c r="AI485" s="50"/>
      <c r="AJ485" s="50"/>
      <c r="AK485" s="50"/>
      <c r="AL485" s="50"/>
    </row>
    <row r="486">
      <c r="U486" s="50"/>
      <c r="V486" s="50"/>
      <c r="W486" s="50"/>
      <c r="X486" s="50"/>
      <c r="Y486" s="50"/>
      <c r="Z486" s="50"/>
      <c r="AA486" s="50"/>
      <c r="AB486" s="50"/>
      <c r="AC486" s="50"/>
      <c r="AD486" s="50"/>
      <c r="AE486" s="50"/>
      <c r="AF486" s="50"/>
      <c r="AG486" s="50"/>
      <c r="AH486" s="50"/>
      <c r="AI486" s="50"/>
      <c r="AJ486" s="50"/>
      <c r="AK486" s="50"/>
      <c r="AL486" s="50"/>
    </row>
    <row r="487">
      <c r="U487" s="50"/>
      <c r="V487" s="50"/>
      <c r="W487" s="50"/>
      <c r="X487" s="50"/>
      <c r="Y487" s="50"/>
      <c r="Z487" s="50"/>
      <c r="AA487" s="50"/>
      <c r="AB487" s="50"/>
      <c r="AC487" s="50"/>
      <c r="AD487" s="50"/>
      <c r="AE487" s="50"/>
      <c r="AF487" s="50"/>
      <c r="AG487" s="50"/>
      <c r="AH487" s="50"/>
      <c r="AI487" s="50"/>
      <c r="AJ487" s="50"/>
      <c r="AK487" s="50"/>
      <c r="AL487" s="50"/>
    </row>
    <row r="488">
      <c r="U488" s="50"/>
      <c r="V488" s="50"/>
      <c r="W488" s="50"/>
      <c r="X488" s="50"/>
      <c r="Y488" s="50"/>
      <c r="Z488" s="50"/>
      <c r="AA488" s="50"/>
      <c r="AB488" s="50"/>
      <c r="AC488" s="50"/>
      <c r="AD488" s="50"/>
      <c r="AE488" s="50"/>
      <c r="AF488" s="50"/>
      <c r="AG488" s="50"/>
      <c r="AH488" s="50"/>
      <c r="AI488" s="50"/>
      <c r="AJ488" s="50"/>
      <c r="AK488" s="50"/>
      <c r="AL488" s="50"/>
    </row>
    <row r="489">
      <c r="U489" s="50"/>
      <c r="V489" s="50"/>
      <c r="W489" s="50"/>
      <c r="X489" s="50"/>
      <c r="Y489" s="50"/>
      <c r="Z489" s="50"/>
      <c r="AA489" s="50"/>
      <c r="AB489" s="50"/>
      <c r="AC489" s="50"/>
      <c r="AD489" s="50"/>
      <c r="AE489" s="50"/>
      <c r="AF489" s="50"/>
      <c r="AG489" s="50"/>
      <c r="AH489" s="50"/>
      <c r="AI489" s="50"/>
      <c r="AJ489" s="50"/>
      <c r="AK489" s="50"/>
      <c r="AL489" s="50"/>
    </row>
    <row r="490">
      <c r="U490" s="50"/>
      <c r="V490" s="50"/>
      <c r="W490" s="50"/>
      <c r="X490" s="50"/>
      <c r="Y490" s="50"/>
      <c r="Z490" s="50"/>
      <c r="AA490" s="50"/>
      <c r="AB490" s="50"/>
      <c r="AC490" s="50"/>
      <c r="AD490" s="50"/>
      <c r="AE490" s="50"/>
      <c r="AF490" s="50"/>
      <c r="AG490" s="50"/>
      <c r="AH490" s="50"/>
      <c r="AI490" s="50"/>
      <c r="AJ490" s="50"/>
      <c r="AK490" s="50"/>
      <c r="AL490" s="50"/>
    </row>
    <row r="491">
      <c r="U491" s="50"/>
      <c r="V491" s="50"/>
      <c r="W491" s="50"/>
      <c r="X491" s="50"/>
      <c r="Y491" s="50"/>
      <c r="Z491" s="50"/>
      <c r="AA491" s="50"/>
      <c r="AB491" s="50"/>
      <c r="AC491" s="50"/>
      <c r="AD491" s="50"/>
      <c r="AE491" s="50"/>
      <c r="AF491" s="50"/>
      <c r="AG491" s="50"/>
      <c r="AH491" s="50"/>
      <c r="AI491" s="50"/>
      <c r="AJ491" s="50"/>
      <c r="AK491" s="50"/>
      <c r="AL491" s="50"/>
    </row>
    <row r="492">
      <c r="U492" s="50"/>
      <c r="V492" s="50"/>
      <c r="W492" s="50"/>
      <c r="X492" s="50"/>
      <c r="Y492" s="50"/>
      <c r="Z492" s="50"/>
      <c r="AA492" s="50"/>
      <c r="AB492" s="50"/>
      <c r="AC492" s="50"/>
      <c r="AD492" s="50"/>
      <c r="AE492" s="50"/>
      <c r="AF492" s="50"/>
      <c r="AG492" s="50"/>
      <c r="AH492" s="50"/>
      <c r="AI492" s="50"/>
      <c r="AJ492" s="50"/>
      <c r="AK492" s="50"/>
      <c r="AL492" s="50"/>
    </row>
    <row r="493">
      <c r="U493" s="50"/>
      <c r="V493" s="50"/>
      <c r="W493" s="50"/>
      <c r="X493" s="50"/>
      <c r="Y493" s="50"/>
      <c r="Z493" s="50"/>
      <c r="AA493" s="50"/>
      <c r="AB493" s="50"/>
      <c r="AC493" s="50"/>
      <c r="AD493" s="50"/>
      <c r="AE493" s="50"/>
      <c r="AF493" s="50"/>
      <c r="AG493" s="50"/>
      <c r="AH493" s="50"/>
      <c r="AI493" s="50"/>
      <c r="AJ493" s="50"/>
      <c r="AK493" s="50"/>
      <c r="AL493" s="50"/>
    </row>
    <row r="494">
      <c r="U494" s="50"/>
      <c r="V494" s="50"/>
      <c r="W494" s="50"/>
      <c r="X494" s="50"/>
      <c r="Y494" s="50"/>
      <c r="Z494" s="50"/>
      <c r="AA494" s="50"/>
      <c r="AB494" s="50"/>
      <c r="AC494" s="50"/>
      <c r="AD494" s="50"/>
      <c r="AE494" s="50"/>
      <c r="AF494" s="50"/>
      <c r="AG494" s="50"/>
      <c r="AH494" s="50"/>
      <c r="AI494" s="50"/>
      <c r="AJ494" s="50"/>
      <c r="AK494" s="50"/>
      <c r="AL494" s="50"/>
    </row>
    <row r="495">
      <c r="U495" s="50"/>
      <c r="V495" s="50"/>
      <c r="W495" s="50"/>
      <c r="X495" s="50"/>
      <c r="Y495" s="50"/>
      <c r="Z495" s="50"/>
      <c r="AA495" s="50"/>
      <c r="AB495" s="50"/>
      <c r="AC495" s="50"/>
      <c r="AD495" s="50"/>
      <c r="AE495" s="50"/>
      <c r="AF495" s="50"/>
      <c r="AG495" s="50"/>
      <c r="AH495" s="50"/>
      <c r="AI495" s="50"/>
      <c r="AJ495" s="50"/>
      <c r="AK495" s="50"/>
      <c r="AL495" s="50"/>
    </row>
    <row r="496">
      <c r="U496" s="50"/>
      <c r="V496" s="50"/>
      <c r="W496" s="50"/>
      <c r="X496" s="50"/>
      <c r="Y496" s="50"/>
      <c r="Z496" s="50"/>
      <c r="AA496" s="50"/>
      <c r="AB496" s="50"/>
      <c r="AC496" s="50"/>
      <c r="AD496" s="50"/>
      <c r="AE496" s="50"/>
      <c r="AF496" s="50"/>
      <c r="AG496" s="50"/>
      <c r="AH496" s="50"/>
      <c r="AI496" s="50"/>
      <c r="AJ496" s="50"/>
      <c r="AK496" s="50"/>
      <c r="AL496" s="50"/>
    </row>
    <row r="497">
      <c r="U497" s="50"/>
      <c r="V497" s="50"/>
      <c r="W497" s="50"/>
      <c r="X497" s="50"/>
      <c r="Y497" s="50"/>
      <c r="Z497" s="50"/>
      <c r="AA497" s="50"/>
      <c r="AB497" s="50"/>
      <c r="AC497" s="50"/>
      <c r="AD497" s="50"/>
      <c r="AE497" s="50"/>
      <c r="AF497" s="50"/>
      <c r="AG497" s="50"/>
      <c r="AH497" s="50"/>
      <c r="AI497" s="50"/>
      <c r="AJ497" s="50"/>
      <c r="AK497" s="50"/>
      <c r="AL497" s="50"/>
    </row>
    <row r="498">
      <c r="U498" s="50"/>
      <c r="V498" s="50"/>
      <c r="W498" s="50"/>
      <c r="X498" s="50"/>
      <c r="Y498" s="50"/>
      <c r="Z498" s="50"/>
      <c r="AA498" s="50"/>
      <c r="AB498" s="50"/>
      <c r="AC498" s="50"/>
      <c r="AD498" s="50"/>
      <c r="AE498" s="50"/>
      <c r="AF498" s="50"/>
      <c r="AG498" s="50"/>
      <c r="AH498" s="50"/>
      <c r="AI498" s="50"/>
      <c r="AJ498" s="50"/>
      <c r="AK498" s="50"/>
      <c r="AL498" s="50"/>
    </row>
    <row r="499">
      <c r="U499" s="50"/>
      <c r="V499" s="50"/>
      <c r="W499" s="50"/>
      <c r="X499" s="50"/>
      <c r="Y499" s="50"/>
      <c r="Z499" s="50"/>
      <c r="AA499" s="50"/>
      <c r="AB499" s="50"/>
      <c r="AC499" s="50"/>
      <c r="AD499" s="50"/>
      <c r="AE499" s="50"/>
      <c r="AF499" s="50"/>
      <c r="AG499" s="50"/>
      <c r="AH499" s="50"/>
      <c r="AI499" s="50"/>
      <c r="AJ499" s="50"/>
      <c r="AK499" s="50"/>
      <c r="AL499" s="50"/>
    </row>
    <row r="500">
      <c r="U500" s="50"/>
      <c r="V500" s="50"/>
      <c r="W500" s="50"/>
      <c r="X500" s="50"/>
      <c r="Y500" s="50"/>
      <c r="Z500" s="50"/>
      <c r="AA500" s="50"/>
      <c r="AB500" s="50"/>
      <c r="AC500" s="50"/>
      <c r="AD500" s="50"/>
      <c r="AE500" s="50"/>
      <c r="AF500" s="50"/>
      <c r="AG500" s="50"/>
      <c r="AH500" s="50"/>
      <c r="AI500" s="50"/>
      <c r="AJ500" s="50"/>
      <c r="AK500" s="50"/>
      <c r="AL500" s="50"/>
    </row>
    <row r="501">
      <c r="U501" s="50"/>
      <c r="V501" s="50"/>
      <c r="W501" s="50"/>
      <c r="X501" s="50"/>
      <c r="Y501" s="50"/>
      <c r="Z501" s="50"/>
      <c r="AA501" s="50"/>
      <c r="AB501" s="50"/>
      <c r="AC501" s="50"/>
      <c r="AD501" s="50"/>
      <c r="AE501" s="50"/>
      <c r="AF501" s="50"/>
      <c r="AG501" s="50"/>
      <c r="AH501" s="50"/>
      <c r="AI501" s="50"/>
      <c r="AJ501" s="50"/>
      <c r="AK501" s="50"/>
      <c r="AL501" s="50"/>
    </row>
    <row r="502">
      <c r="U502" s="50"/>
      <c r="V502" s="50"/>
      <c r="W502" s="50"/>
      <c r="X502" s="50"/>
      <c r="Y502" s="50"/>
      <c r="Z502" s="50"/>
      <c r="AA502" s="50"/>
      <c r="AB502" s="50"/>
      <c r="AC502" s="50"/>
      <c r="AD502" s="50"/>
      <c r="AE502" s="50"/>
      <c r="AF502" s="50"/>
      <c r="AG502" s="50"/>
      <c r="AH502" s="50"/>
      <c r="AI502" s="50"/>
      <c r="AJ502" s="50"/>
      <c r="AK502" s="50"/>
      <c r="AL502" s="50"/>
    </row>
    <row r="503">
      <c r="U503" s="50"/>
      <c r="V503" s="50"/>
      <c r="W503" s="50"/>
      <c r="X503" s="50"/>
      <c r="Y503" s="50"/>
      <c r="Z503" s="50"/>
      <c r="AA503" s="50"/>
      <c r="AB503" s="50"/>
      <c r="AC503" s="50"/>
      <c r="AD503" s="50"/>
      <c r="AE503" s="50"/>
      <c r="AF503" s="50"/>
      <c r="AG503" s="50"/>
      <c r="AH503" s="50"/>
      <c r="AI503" s="50"/>
      <c r="AJ503" s="50"/>
      <c r="AK503" s="50"/>
      <c r="AL503" s="50"/>
    </row>
    <row r="504">
      <c r="U504" s="50"/>
      <c r="V504" s="50"/>
      <c r="W504" s="50"/>
      <c r="X504" s="50"/>
      <c r="Y504" s="50"/>
      <c r="Z504" s="50"/>
      <c r="AA504" s="50"/>
      <c r="AB504" s="50"/>
      <c r="AC504" s="50"/>
      <c r="AD504" s="50"/>
      <c r="AE504" s="50"/>
      <c r="AF504" s="50"/>
      <c r="AG504" s="50"/>
      <c r="AH504" s="50"/>
      <c r="AI504" s="50"/>
      <c r="AJ504" s="50"/>
      <c r="AK504" s="50"/>
      <c r="AL504" s="50"/>
    </row>
    <row r="505">
      <c r="U505" s="50"/>
      <c r="V505" s="50"/>
      <c r="W505" s="50"/>
      <c r="X505" s="50"/>
      <c r="Y505" s="50"/>
      <c r="Z505" s="50"/>
      <c r="AA505" s="50"/>
      <c r="AB505" s="50"/>
      <c r="AC505" s="50"/>
      <c r="AD505" s="50"/>
      <c r="AE505" s="50"/>
      <c r="AF505" s="50"/>
      <c r="AG505" s="50"/>
      <c r="AH505" s="50"/>
      <c r="AI505" s="50"/>
      <c r="AJ505" s="50"/>
      <c r="AK505" s="50"/>
      <c r="AL505" s="50"/>
    </row>
    <row r="506">
      <c r="U506" s="50"/>
      <c r="V506" s="50"/>
      <c r="W506" s="50"/>
      <c r="X506" s="50"/>
      <c r="Y506" s="50"/>
      <c r="Z506" s="50"/>
      <c r="AA506" s="50"/>
      <c r="AB506" s="50"/>
      <c r="AC506" s="50"/>
      <c r="AD506" s="50"/>
      <c r="AE506" s="50"/>
      <c r="AF506" s="50"/>
      <c r="AG506" s="50"/>
      <c r="AH506" s="50"/>
      <c r="AI506" s="50"/>
      <c r="AJ506" s="50"/>
      <c r="AK506" s="50"/>
      <c r="AL506" s="50"/>
    </row>
    <row r="507">
      <c r="U507" s="50"/>
      <c r="V507" s="50"/>
      <c r="W507" s="50"/>
      <c r="X507" s="50"/>
      <c r="Y507" s="50"/>
      <c r="Z507" s="50"/>
      <c r="AA507" s="50"/>
      <c r="AB507" s="50"/>
      <c r="AC507" s="50"/>
      <c r="AD507" s="50"/>
      <c r="AE507" s="50"/>
      <c r="AF507" s="50"/>
      <c r="AG507" s="50"/>
      <c r="AH507" s="50"/>
      <c r="AI507" s="50"/>
      <c r="AJ507" s="50"/>
      <c r="AK507" s="50"/>
      <c r="AL507" s="50"/>
    </row>
    <row r="508">
      <c r="U508" s="50"/>
      <c r="V508" s="50"/>
      <c r="W508" s="50"/>
      <c r="X508" s="50"/>
      <c r="Y508" s="50"/>
      <c r="Z508" s="50"/>
      <c r="AA508" s="50"/>
      <c r="AB508" s="50"/>
      <c r="AC508" s="50"/>
      <c r="AD508" s="50"/>
      <c r="AE508" s="50"/>
      <c r="AF508" s="50"/>
      <c r="AG508" s="50"/>
      <c r="AH508" s="50"/>
      <c r="AI508" s="50"/>
      <c r="AJ508" s="50"/>
      <c r="AK508" s="50"/>
      <c r="AL508" s="50"/>
    </row>
    <row r="509">
      <c r="U509" s="50"/>
      <c r="V509" s="50"/>
      <c r="W509" s="50"/>
      <c r="X509" s="50"/>
      <c r="Y509" s="50"/>
      <c r="Z509" s="50"/>
      <c r="AA509" s="50"/>
      <c r="AB509" s="50"/>
      <c r="AC509" s="50"/>
      <c r="AD509" s="50"/>
      <c r="AE509" s="50"/>
      <c r="AF509" s="50"/>
      <c r="AG509" s="50"/>
      <c r="AH509" s="50"/>
      <c r="AI509" s="50"/>
      <c r="AJ509" s="50"/>
      <c r="AK509" s="50"/>
      <c r="AL509" s="50"/>
    </row>
    <row r="510">
      <c r="U510" s="50"/>
      <c r="V510" s="50"/>
      <c r="W510" s="50"/>
      <c r="X510" s="50"/>
      <c r="Y510" s="50"/>
      <c r="Z510" s="50"/>
      <c r="AA510" s="50"/>
      <c r="AB510" s="50"/>
      <c r="AC510" s="50"/>
      <c r="AD510" s="50"/>
      <c r="AE510" s="50"/>
      <c r="AF510" s="50"/>
      <c r="AG510" s="50"/>
      <c r="AH510" s="50"/>
      <c r="AI510" s="50"/>
      <c r="AJ510" s="50"/>
      <c r="AK510" s="50"/>
      <c r="AL510" s="50"/>
    </row>
    <row r="511">
      <c r="U511" s="50"/>
      <c r="V511" s="50"/>
      <c r="W511" s="50"/>
      <c r="X511" s="50"/>
      <c r="Y511" s="50"/>
      <c r="Z511" s="50"/>
      <c r="AA511" s="50"/>
      <c r="AB511" s="50"/>
      <c r="AC511" s="50"/>
      <c r="AD511" s="50"/>
      <c r="AE511" s="50"/>
      <c r="AF511" s="50"/>
      <c r="AG511" s="50"/>
      <c r="AH511" s="50"/>
      <c r="AI511" s="50"/>
      <c r="AJ511" s="50"/>
      <c r="AK511" s="50"/>
      <c r="AL511" s="50"/>
    </row>
    <row r="512">
      <c r="U512" s="50"/>
      <c r="V512" s="50"/>
      <c r="W512" s="50"/>
      <c r="X512" s="50"/>
      <c r="Y512" s="50"/>
      <c r="Z512" s="50"/>
      <c r="AA512" s="50"/>
      <c r="AB512" s="50"/>
      <c r="AC512" s="50"/>
      <c r="AD512" s="50"/>
      <c r="AE512" s="50"/>
      <c r="AF512" s="50"/>
      <c r="AG512" s="50"/>
      <c r="AH512" s="50"/>
      <c r="AI512" s="50"/>
      <c r="AJ512" s="50"/>
      <c r="AK512" s="50"/>
      <c r="AL512" s="50"/>
    </row>
    <row r="513">
      <c r="U513" s="50"/>
      <c r="V513" s="50"/>
      <c r="W513" s="50"/>
      <c r="X513" s="50"/>
      <c r="Y513" s="50"/>
      <c r="Z513" s="50"/>
      <c r="AA513" s="50"/>
      <c r="AB513" s="50"/>
      <c r="AC513" s="50"/>
      <c r="AD513" s="50"/>
      <c r="AE513" s="50"/>
      <c r="AF513" s="50"/>
      <c r="AG513" s="50"/>
      <c r="AH513" s="50"/>
      <c r="AI513" s="50"/>
      <c r="AJ513" s="50"/>
      <c r="AK513" s="50"/>
      <c r="AL513" s="50"/>
    </row>
    <row r="514">
      <c r="U514" s="50"/>
      <c r="V514" s="50"/>
      <c r="W514" s="50"/>
      <c r="X514" s="50"/>
      <c r="Y514" s="50"/>
      <c r="Z514" s="50"/>
      <c r="AA514" s="50"/>
      <c r="AB514" s="50"/>
      <c r="AC514" s="50"/>
      <c r="AD514" s="50"/>
      <c r="AE514" s="50"/>
      <c r="AF514" s="50"/>
      <c r="AG514" s="50"/>
      <c r="AH514" s="50"/>
      <c r="AI514" s="50"/>
      <c r="AJ514" s="50"/>
      <c r="AK514" s="50"/>
      <c r="AL514" s="50"/>
    </row>
    <row r="515">
      <c r="U515" s="50"/>
      <c r="V515" s="50"/>
      <c r="W515" s="50"/>
      <c r="X515" s="50"/>
      <c r="Y515" s="50"/>
      <c r="Z515" s="50"/>
      <c r="AA515" s="50"/>
      <c r="AB515" s="50"/>
      <c r="AC515" s="50"/>
      <c r="AD515" s="50"/>
      <c r="AE515" s="50"/>
      <c r="AF515" s="50"/>
      <c r="AG515" s="50"/>
      <c r="AH515" s="50"/>
      <c r="AI515" s="50"/>
      <c r="AJ515" s="50"/>
      <c r="AK515" s="50"/>
      <c r="AL515" s="50"/>
    </row>
    <row r="516">
      <c r="U516" s="50"/>
      <c r="V516" s="50"/>
      <c r="W516" s="50"/>
      <c r="X516" s="50"/>
      <c r="Y516" s="50"/>
      <c r="Z516" s="50"/>
      <c r="AA516" s="50"/>
      <c r="AB516" s="50"/>
      <c r="AC516" s="50"/>
      <c r="AD516" s="50"/>
      <c r="AE516" s="50"/>
      <c r="AF516" s="50"/>
      <c r="AG516" s="50"/>
      <c r="AH516" s="50"/>
      <c r="AI516" s="50"/>
      <c r="AJ516" s="50"/>
      <c r="AK516" s="50"/>
      <c r="AL516" s="50"/>
    </row>
    <row r="517">
      <c r="U517" s="50"/>
      <c r="V517" s="50"/>
      <c r="W517" s="50"/>
      <c r="X517" s="50"/>
      <c r="Y517" s="50"/>
      <c r="Z517" s="50"/>
      <c r="AA517" s="50"/>
      <c r="AB517" s="50"/>
      <c r="AC517" s="50"/>
      <c r="AD517" s="50"/>
      <c r="AE517" s="50"/>
      <c r="AF517" s="50"/>
      <c r="AG517" s="50"/>
      <c r="AH517" s="50"/>
      <c r="AI517" s="50"/>
      <c r="AJ517" s="50"/>
      <c r="AK517" s="50"/>
      <c r="AL517" s="50"/>
    </row>
    <row r="518">
      <c r="U518" s="50"/>
      <c r="V518" s="50"/>
      <c r="W518" s="50"/>
      <c r="X518" s="50"/>
      <c r="Y518" s="50"/>
      <c r="Z518" s="50"/>
      <c r="AA518" s="50"/>
      <c r="AB518" s="50"/>
      <c r="AC518" s="50"/>
      <c r="AD518" s="50"/>
      <c r="AE518" s="50"/>
      <c r="AF518" s="50"/>
      <c r="AG518" s="50"/>
      <c r="AH518" s="50"/>
      <c r="AI518" s="50"/>
      <c r="AJ518" s="50"/>
      <c r="AK518" s="50"/>
      <c r="AL518" s="50"/>
    </row>
    <row r="519">
      <c r="U519" s="50"/>
      <c r="V519" s="50"/>
      <c r="W519" s="50"/>
      <c r="X519" s="50"/>
      <c r="Y519" s="50"/>
      <c r="Z519" s="50"/>
      <c r="AA519" s="50"/>
      <c r="AB519" s="50"/>
      <c r="AC519" s="50"/>
      <c r="AD519" s="50"/>
      <c r="AE519" s="50"/>
      <c r="AF519" s="50"/>
      <c r="AG519" s="50"/>
      <c r="AH519" s="50"/>
      <c r="AI519" s="50"/>
      <c r="AJ519" s="50"/>
      <c r="AK519" s="50"/>
      <c r="AL519" s="50"/>
    </row>
    <row r="520">
      <c r="U520" s="50"/>
      <c r="V520" s="50"/>
      <c r="W520" s="50"/>
      <c r="X520" s="50"/>
      <c r="Y520" s="50"/>
      <c r="Z520" s="50"/>
      <c r="AA520" s="50"/>
      <c r="AB520" s="50"/>
      <c r="AC520" s="50"/>
      <c r="AD520" s="50"/>
      <c r="AE520" s="50"/>
      <c r="AF520" s="50"/>
      <c r="AG520" s="50"/>
      <c r="AH520" s="50"/>
      <c r="AI520" s="50"/>
      <c r="AJ520" s="50"/>
      <c r="AK520" s="50"/>
      <c r="AL520" s="50"/>
    </row>
    <row r="521">
      <c r="U521" s="50"/>
      <c r="V521" s="50"/>
      <c r="W521" s="50"/>
      <c r="X521" s="50"/>
      <c r="Y521" s="50"/>
      <c r="Z521" s="50"/>
      <c r="AA521" s="50"/>
      <c r="AB521" s="50"/>
      <c r="AC521" s="50"/>
      <c r="AD521" s="50"/>
      <c r="AE521" s="50"/>
      <c r="AF521" s="50"/>
      <c r="AG521" s="50"/>
      <c r="AH521" s="50"/>
      <c r="AI521" s="50"/>
      <c r="AJ521" s="50"/>
      <c r="AK521" s="50"/>
      <c r="AL521" s="50"/>
    </row>
    <row r="522">
      <c r="U522" s="50"/>
      <c r="V522" s="50"/>
      <c r="W522" s="50"/>
      <c r="X522" s="50"/>
      <c r="Y522" s="50"/>
      <c r="Z522" s="50"/>
      <c r="AA522" s="50"/>
      <c r="AB522" s="50"/>
      <c r="AC522" s="50"/>
      <c r="AD522" s="50"/>
      <c r="AE522" s="50"/>
      <c r="AF522" s="50"/>
      <c r="AG522" s="50"/>
      <c r="AH522" s="50"/>
      <c r="AI522" s="50"/>
      <c r="AJ522" s="50"/>
      <c r="AK522" s="50"/>
      <c r="AL522" s="50"/>
    </row>
    <row r="523">
      <c r="U523" s="50"/>
      <c r="V523" s="50"/>
      <c r="W523" s="50"/>
      <c r="X523" s="50"/>
      <c r="Y523" s="50"/>
      <c r="Z523" s="50"/>
      <c r="AA523" s="50"/>
      <c r="AB523" s="50"/>
      <c r="AC523" s="50"/>
      <c r="AD523" s="50"/>
      <c r="AE523" s="50"/>
      <c r="AF523" s="50"/>
      <c r="AG523" s="50"/>
      <c r="AH523" s="50"/>
      <c r="AI523" s="50"/>
      <c r="AJ523" s="50"/>
      <c r="AK523" s="50"/>
      <c r="AL523" s="50"/>
    </row>
    <row r="524">
      <c r="U524" s="50"/>
      <c r="V524" s="50"/>
      <c r="W524" s="50"/>
      <c r="X524" s="50"/>
      <c r="Y524" s="50"/>
      <c r="Z524" s="50"/>
      <c r="AA524" s="50"/>
      <c r="AB524" s="50"/>
      <c r="AC524" s="50"/>
      <c r="AD524" s="50"/>
      <c r="AE524" s="50"/>
      <c r="AF524" s="50"/>
      <c r="AG524" s="50"/>
      <c r="AH524" s="50"/>
      <c r="AI524" s="50"/>
      <c r="AJ524" s="50"/>
      <c r="AK524" s="50"/>
      <c r="AL524" s="50"/>
    </row>
    <row r="525">
      <c r="U525" s="50"/>
      <c r="V525" s="50"/>
      <c r="W525" s="50"/>
      <c r="X525" s="50"/>
      <c r="Y525" s="50"/>
      <c r="Z525" s="50"/>
      <c r="AA525" s="50"/>
      <c r="AB525" s="50"/>
      <c r="AC525" s="50"/>
      <c r="AD525" s="50"/>
      <c r="AE525" s="50"/>
      <c r="AF525" s="50"/>
      <c r="AG525" s="50"/>
      <c r="AH525" s="50"/>
      <c r="AI525" s="50"/>
      <c r="AJ525" s="50"/>
      <c r="AK525" s="50"/>
      <c r="AL525" s="50"/>
    </row>
    <row r="526">
      <c r="U526" s="50"/>
      <c r="V526" s="50"/>
      <c r="W526" s="50"/>
      <c r="X526" s="50"/>
      <c r="Y526" s="50"/>
      <c r="Z526" s="50"/>
      <c r="AA526" s="50"/>
      <c r="AB526" s="50"/>
      <c r="AC526" s="50"/>
      <c r="AD526" s="50"/>
      <c r="AE526" s="50"/>
      <c r="AF526" s="50"/>
      <c r="AG526" s="50"/>
      <c r="AH526" s="50"/>
      <c r="AI526" s="50"/>
      <c r="AJ526" s="50"/>
      <c r="AK526" s="50"/>
      <c r="AL526" s="50"/>
    </row>
    <row r="527">
      <c r="U527" s="50"/>
      <c r="V527" s="50"/>
      <c r="W527" s="50"/>
      <c r="X527" s="50"/>
      <c r="Y527" s="50"/>
      <c r="Z527" s="50"/>
      <c r="AA527" s="50"/>
      <c r="AB527" s="50"/>
      <c r="AC527" s="50"/>
      <c r="AD527" s="50"/>
      <c r="AE527" s="50"/>
      <c r="AF527" s="50"/>
      <c r="AG527" s="50"/>
      <c r="AH527" s="50"/>
      <c r="AI527" s="50"/>
      <c r="AJ527" s="50"/>
      <c r="AK527" s="50"/>
      <c r="AL527" s="50"/>
    </row>
    <row r="528">
      <c r="U528" s="50"/>
      <c r="V528" s="50"/>
      <c r="W528" s="50"/>
      <c r="X528" s="50"/>
      <c r="Y528" s="50"/>
      <c r="Z528" s="50"/>
      <c r="AA528" s="50"/>
      <c r="AB528" s="50"/>
      <c r="AC528" s="50"/>
      <c r="AD528" s="50"/>
      <c r="AE528" s="50"/>
      <c r="AF528" s="50"/>
      <c r="AG528" s="50"/>
      <c r="AH528" s="50"/>
      <c r="AI528" s="50"/>
      <c r="AJ528" s="50"/>
      <c r="AK528" s="50"/>
      <c r="AL528" s="50"/>
    </row>
    <row r="529">
      <c r="U529" s="50"/>
      <c r="V529" s="50"/>
      <c r="W529" s="50"/>
      <c r="X529" s="50"/>
      <c r="Y529" s="50"/>
      <c r="Z529" s="50"/>
      <c r="AA529" s="50"/>
      <c r="AB529" s="50"/>
      <c r="AC529" s="50"/>
      <c r="AD529" s="50"/>
      <c r="AE529" s="50"/>
      <c r="AF529" s="50"/>
      <c r="AG529" s="50"/>
      <c r="AH529" s="50"/>
      <c r="AI529" s="50"/>
      <c r="AJ529" s="50"/>
      <c r="AK529" s="50"/>
      <c r="AL529" s="50"/>
    </row>
    <row r="530">
      <c r="U530" s="50"/>
      <c r="V530" s="50"/>
      <c r="W530" s="50"/>
      <c r="X530" s="50"/>
      <c r="Y530" s="50"/>
      <c r="Z530" s="50"/>
      <c r="AA530" s="50"/>
      <c r="AB530" s="50"/>
      <c r="AC530" s="50"/>
      <c r="AD530" s="50"/>
      <c r="AE530" s="50"/>
      <c r="AF530" s="50"/>
      <c r="AG530" s="50"/>
      <c r="AH530" s="50"/>
      <c r="AI530" s="50"/>
      <c r="AJ530" s="50"/>
      <c r="AK530" s="50"/>
      <c r="AL530" s="50"/>
    </row>
    <row r="531">
      <c r="U531" s="50"/>
      <c r="V531" s="50"/>
      <c r="W531" s="50"/>
      <c r="X531" s="50"/>
      <c r="Y531" s="50"/>
      <c r="Z531" s="50"/>
      <c r="AA531" s="50"/>
      <c r="AB531" s="50"/>
      <c r="AC531" s="50"/>
      <c r="AD531" s="50"/>
      <c r="AE531" s="50"/>
      <c r="AF531" s="50"/>
      <c r="AG531" s="50"/>
      <c r="AH531" s="50"/>
      <c r="AI531" s="50"/>
      <c r="AJ531" s="50"/>
      <c r="AK531" s="50"/>
      <c r="AL531" s="50"/>
    </row>
    <row r="532">
      <c r="U532" s="50"/>
      <c r="V532" s="50"/>
      <c r="W532" s="50"/>
      <c r="X532" s="50"/>
      <c r="Y532" s="50"/>
      <c r="Z532" s="50"/>
      <c r="AA532" s="50"/>
      <c r="AB532" s="50"/>
      <c r="AC532" s="50"/>
      <c r="AD532" s="50"/>
      <c r="AE532" s="50"/>
      <c r="AF532" s="50"/>
      <c r="AG532" s="50"/>
      <c r="AH532" s="50"/>
      <c r="AI532" s="50"/>
      <c r="AJ532" s="50"/>
      <c r="AK532" s="50"/>
      <c r="AL532" s="50"/>
    </row>
    <row r="533">
      <c r="U533" s="50"/>
      <c r="V533" s="50"/>
      <c r="W533" s="50"/>
      <c r="X533" s="50"/>
      <c r="Y533" s="50"/>
      <c r="Z533" s="50"/>
      <c r="AA533" s="50"/>
      <c r="AB533" s="50"/>
      <c r="AC533" s="50"/>
      <c r="AD533" s="50"/>
      <c r="AE533" s="50"/>
      <c r="AF533" s="50"/>
      <c r="AG533" s="50"/>
      <c r="AH533" s="50"/>
      <c r="AI533" s="50"/>
      <c r="AJ533" s="50"/>
      <c r="AK533" s="50"/>
      <c r="AL533" s="50"/>
    </row>
    <row r="534">
      <c r="U534" s="50"/>
      <c r="V534" s="50"/>
      <c r="W534" s="50"/>
      <c r="X534" s="50"/>
      <c r="Y534" s="50"/>
      <c r="Z534" s="50"/>
      <c r="AA534" s="50"/>
      <c r="AB534" s="50"/>
      <c r="AC534" s="50"/>
      <c r="AD534" s="50"/>
      <c r="AE534" s="50"/>
      <c r="AF534" s="50"/>
      <c r="AG534" s="50"/>
      <c r="AH534" s="50"/>
      <c r="AI534" s="50"/>
      <c r="AJ534" s="50"/>
      <c r="AK534" s="50"/>
      <c r="AL534" s="50"/>
    </row>
    <row r="535">
      <c r="U535" s="50"/>
      <c r="V535" s="50"/>
      <c r="W535" s="50"/>
      <c r="X535" s="50"/>
      <c r="Y535" s="50"/>
      <c r="Z535" s="50"/>
      <c r="AA535" s="50"/>
      <c r="AB535" s="50"/>
      <c r="AC535" s="50"/>
      <c r="AD535" s="50"/>
      <c r="AE535" s="50"/>
      <c r="AF535" s="50"/>
      <c r="AG535" s="50"/>
      <c r="AH535" s="50"/>
      <c r="AI535" s="50"/>
      <c r="AJ535" s="50"/>
      <c r="AK535" s="50"/>
      <c r="AL535" s="50"/>
    </row>
    <row r="536">
      <c r="U536" s="50"/>
      <c r="V536" s="50"/>
      <c r="W536" s="50"/>
      <c r="X536" s="50"/>
      <c r="Y536" s="50"/>
      <c r="Z536" s="50"/>
      <c r="AA536" s="50"/>
      <c r="AB536" s="50"/>
      <c r="AC536" s="50"/>
      <c r="AD536" s="50"/>
      <c r="AE536" s="50"/>
      <c r="AF536" s="50"/>
      <c r="AG536" s="50"/>
      <c r="AH536" s="50"/>
      <c r="AI536" s="50"/>
      <c r="AJ536" s="50"/>
      <c r="AK536" s="50"/>
      <c r="AL536" s="50"/>
    </row>
    <row r="537">
      <c r="U537" s="50"/>
      <c r="V537" s="50"/>
      <c r="W537" s="50"/>
      <c r="X537" s="50"/>
      <c r="Y537" s="50"/>
      <c r="Z537" s="50"/>
      <c r="AA537" s="50"/>
      <c r="AB537" s="50"/>
      <c r="AC537" s="50"/>
      <c r="AD537" s="50"/>
      <c r="AE537" s="50"/>
      <c r="AF537" s="50"/>
      <c r="AG537" s="50"/>
      <c r="AH537" s="50"/>
      <c r="AI537" s="50"/>
      <c r="AJ537" s="50"/>
      <c r="AK537" s="50"/>
      <c r="AL537" s="50"/>
    </row>
    <row r="538">
      <c r="U538" s="50"/>
      <c r="V538" s="50"/>
      <c r="W538" s="50"/>
      <c r="X538" s="50"/>
      <c r="Y538" s="50"/>
      <c r="Z538" s="50"/>
      <c r="AA538" s="50"/>
      <c r="AB538" s="50"/>
      <c r="AC538" s="50"/>
      <c r="AD538" s="50"/>
      <c r="AE538" s="50"/>
      <c r="AF538" s="50"/>
      <c r="AG538" s="50"/>
      <c r="AH538" s="50"/>
      <c r="AI538" s="50"/>
      <c r="AJ538" s="50"/>
      <c r="AK538" s="50"/>
      <c r="AL538" s="50"/>
    </row>
    <row r="539">
      <c r="U539" s="50"/>
      <c r="V539" s="50"/>
      <c r="W539" s="50"/>
      <c r="X539" s="50"/>
      <c r="Y539" s="50"/>
      <c r="Z539" s="50"/>
      <c r="AA539" s="50"/>
      <c r="AB539" s="50"/>
      <c r="AC539" s="50"/>
      <c r="AD539" s="50"/>
      <c r="AE539" s="50"/>
      <c r="AF539" s="50"/>
      <c r="AG539" s="50"/>
      <c r="AH539" s="50"/>
      <c r="AI539" s="50"/>
      <c r="AJ539" s="50"/>
      <c r="AK539" s="50"/>
      <c r="AL539" s="50"/>
    </row>
    <row r="540">
      <c r="U540" s="50"/>
      <c r="V540" s="50"/>
      <c r="W540" s="50"/>
      <c r="X540" s="50"/>
      <c r="Y540" s="50"/>
      <c r="Z540" s="50"/>
      <c r="AA540" s="50"/>
      <c r="AB540" s="50"/>
      <c r="AC540" s="50"/>
      <c r="AD540" s="50"/>
      <c r="AE540" s="50"/>
      <c r="AF540" s="50"/>
      <c r="AG540" s="50"/>
      <c r="AH540" s="50"/>
      <c r="AI540" s="50"/>
      <c r="AJ540" s="50"/>
      <c r="AK540" s="50"/>
      <c r="AL540" s="50"/>
    </row>
    <row r="541">
      <c r="U541" s="50"/>
      <c r="V541" s="50"/>
      <c r="W541" s="50"/>
      <c r="X541" s="50"/>
      <c r="Y541" s="50"/>
      <c r="Z541" s="50"/>
      <c r="AA541" s="50"/>
      <c r="AB541" s="50"/>
      <c r="AC541" s="50"/>
      <c r="AD541" s="50"/>
      <c r="AE541" s="50"/>
      <c r="AF541" s="50"/>
      <c r="AG541" s="50"/>
      <c r="AH541" s="50"/>
      <c r="AI541" s="50"/>
      <c r="AJ541" s="50"/>
      <c r="AK541" s="50"/>
      <c r="AL541" s="50"/>
    </row>
    <row r="542">
      <c r="U542" s="50"/>
      <c r="V542" s="50"/>
      <c r="W542" s="50"/>
      <c r="X542" s="50"/>
      <c r="Y542" s="50"/>
      <c r="Z542" s="50"/>
      <c r="AA542" s="50"/>
      <c r="AB542" s="50"/>
      <c r="AC542" s="50"/>
      <c r="AD542" s="50"/>
      <c r="AE542" s="50"/>
      <c r="AF542" s="50"/>
      <c r="AG542" s="50"/>
      <c r="AH542" s="50"/>
      <c r="AI542" s="50"/>
      <c r="AJ542" s="50"/>
      <c r="AK542" s="50"/>
      <c r="AL542" s="50"/>
    </row>
    <row r="543">
      <c r="U543" s="50"/>
      <c r="V543" s="50"/>
      <c r="W543" s="50"/>
      <c r="X543" s="50"/>
      <c r="Y543" s="50"/>
      <c r="Z543" s="50"/>
      <c r="AA543" s="50"/>
      <c r="AB543" s="50"/>
      <c r="AC543" s="50"/>
      <c r="AD543" s="50"/>
      <c r="AE543" s="50"/>
      <c r="AF543" s="50"/>
      <c r="AG543" s="50"/>
      <c r="AH543" s="50"/>
      <c r="AI543" s="50"/>
      <c r="AJ543" s="50"/>
      <c r="AK543" s="50"/>
      <c r="AL543" s="50"/>
    </row>
    <row r="544">
      <c r="U544" s="50"/>
      <c r="V544" s="50"/>
      <c r="W544" s="50"/>
      <c r="X544" s="50"/>
      <c r="Y544" s="50"/>
      <c r="Z544" s="50"/>
      <c r="AA544" s="50"/>
      <c r="AB544" s="50"/>
      <c r="AC544" s="50"/>
      <c r="AD544" s="50"/>
      <c r="AE544" s="50"/>
      <c r="AF544" s="50"/>
      <c r="AG544" s="50"/>
      <c r="AH544" s="50"/>
      <c r="AI544" s="50"/>
      <c r="AJ544" s="50"/>
      <c r="AK544" s="50"/>
      <c r="AL544" s="50"/>
    </row>
    <row r="545">
      <c r="U545" s="50"/>
      <c r="V545" s="50"/>
      <c r="W545" s="50"/>
      <c r="X545" s="50"/>
      <c r="Y545" s="50"/>
      <c r="Z545" s="50"/>
      <c r="AA545" s="50"/>
      <c r="AB545" s="50"/>
      <c r="AC545" s="50"/>
      <c r="AD545" s="50"/>
      <c r="AE545" s="50"/>
      <c r="AF545" s="50"/>
      <c r="AG545" s="50"/>
      <c r="AH545" s="50"/>
      <c r="AI545" s="50"/>
      <c r="AJ545" s="50"/>
      <c r="AK545" s="50"/>
      <c r="AL545" s="50"/>
    </row>
    <row r="546">
      <c r="U546" s="50"/>
      <c r="V546" s="50"/>
      <c r="W546" s="50"/>
      <c r="X546" s="50"/>
      <c r="Y546" s="50"/>
      <c r="Z546" s="50"/>
      <c r="AA546" s="50"/>
      <c r="AB546" s="50"/>
      <c r="AC546" s="50"/>
      <c r="AD546" s="50"/>
      <c r="AE546" s="50"/>
      <c r="AF546" s="50"/>
      <c r="AG546" s="50"/>
      <c r="AH546" s="50"/>
      <c r="AI546" s="50"/>
      <c r="AJ546" s="50"/>
      <c r="AK546" s="50"/>
      <c r="AL546" s="50"/>
    </row>
    <row r="547">
      <c r="U547" s="50"/>
      <c r="V547" s="50"/>
      <c r="W547" s="50"/>
      <c r="X547" s="50"/>
      <c r="Y547" s="50"/>
      <c r="Z547" s="50"/>
      <c r="AA547" s="50"/>
      <c r="AB547" s="50"/>
      <c r="AC547" s="50"/>
      <c r="AD547" s="50"/>
      <c r="AE547" s="50"/>
      <c r="AF547" s="50"/>
      <c r="AG547" s="50"/>
      <c r="AH547" s="50"/>
      <c r="AI547" s="50"/>
      <c r="AJ547" s="50"/>
      <c r="AK547" s="50"/>
      <c r="AL547" s="50"/>
    </row>
    <row r="548">
      <c r="U548" s="50"/>
      <c r="V548" s="50"/>
      <c r="W548" s="50"/>
      <c r="X548" s="50"/>
      <c r="Y548" s="50"/>
      <c r="Z548" s="50"/>
      <c r="AA548" s="50"/>
      <c r="AB548" s="50"/>
      <c r="AC548" s="50"/>
      <c r="AD548" s="50"/>
      <c r="AE548" s="50"/>
      <c r="AF548" s="50"/>
      <c r="AG548" s="50"/>
      <c r="AH548" s="50"/>
      <c r="AI548" s="50"/>
      <c r="AJ548" s="50"/>
      <c r="AK548" s="50"/>
      <c r="AL548" s="50"/>
    </row>
    <row r="549">
      <c r="U549" s="50"/>
      <c r="V549" s="50"/>
      <c r="W549" s="50"/>
      <c r="X549" s="50"/>
      <c r="Y549" s="50"/>
      <c r="Z549" s="50"/>
      <c r="AA549" s="50"/>
      <c r="AB549" s="50"/>
      <c r="AC549" s="50"/>
      <c r="AD549" s="50"/>
      <c r="AE549" s="50"/>
      <c r="AF549" s="50"/>
      <c r="AG549" s="50"/>
      <c r="AH549" s="50"/>
      <c r="AI549" s="50"/>
      <c r="AJ549" s="50"/>
      <c r="AK549" s="50"/>
      <c r="AL549" s="50"/>
    </row>
    <row r="550">
      <c r="U550" s="50"/>
      <c r="V550" s="50"/>
      <c r="W550" s="50"/>
      <c r="X550" s="50"/>
      <c r="Y550" s="50"/>
      <c r="Z550" s="50"/>
      <c r="AA550" s="50"/>
      <c r="AB550" s="50"/>
      <c r="AC550" s="50"/>
      <c r="AD550" s="50"/>
      <c r="AE550" s="50"/>
      <c r="AF550" s="50"/>
      <c r="AG550" s="50"/>
      <c r="AH550" s="50"/>
      <c r="AI550" s="50"/>
      <c r="AJ550" s="50"/>
      <c r="AK550" s="50"/>
      <c r="AL550" s="50"/>
    </row>
    <row r="551">
      <c r="U551" s="50"/>
      <c r="V551" s="50"/>
      <c r="W551" s="50"/>
      <c r="X551" s="50"/>
      <c r="Y551" s="50"/>
      <c r="Z551" s="50"/>
      <c r="AA551" s="50"/>
      <c r="AB551" s="50"/>
      <c r="AC551" s="50"/>
      <c r="AD551" s="50"/>
      <c r="AE551" s="50"/>
      <c r="AF551" s="50"/>
      <c r="AG551" s="50"/>
      <c r="AH551" s="50"/>
      <c r="AI551" s="50"/>
      <c r="AJ551" s="50"/>
      <c r="AK551" s="50"/>
      <c r="AL551" s="50"/>
    </row>
    <row r="552">
      <c r="U552" s="50"/>
      <c r="V552" s="50"/>
      <c r="W552" s="50"/>
      <c r="X552" s="50"/>
      <c r="Y552" s="50"/>
      <c r="Z552" s="50"/>
      <c r="AA552" s="50"/>
      <c r="AB552" s="50"/>
      <c r="AC552" s="50"/>
      <c r="AD552" s="50"/>
      <c r="AE552" s="50"/>
      <c r="AF552" s="50"/>
      <c r="AG552" s="50"/>
      <c r="AH552" s="50"/>
      <c r="AI552" s="50"/>
      <c r="AJ552" s="50"/>
      <c r="AK552" s="50"/>
      <c r="AL552" s="50"/>
    </row>
    <row r="553">
      <c r="U553" s="50"/>
      <c r="V553" s="50"/>
      <c r="W553" s="50"/>
      <c r="X553" s="50"/>
      <c r="Y553" s="50"/>
      <c r="Z553" s="50"/>
      <c r="AA553" s="50"/>
      <c r="AB553" s="50"/>
      <c r="AC553" s="50"/>
      <c r="AD553" s="50"/>
      <c r="AE553" s="50"/>
      <c r="AF553" s="50"/>
      <c r="AG553" s="50"/>
      <c r="AH553" s="50"/>
      <c r="AI553" s="50"/>
      <c r="AJ553" s="50"/>
      <c r="AK553" s="50"/>
      <c r="AL553" s="50"/>
    </row>
    <row r="554">
      <c r="U554" s="50"/>
      <c r="V554" s="50"/>
      <c r="W554" s="50"/>
      <c r="X554" s="50"/>
      <c r="Y554" s="50"/>
      <c r="Z554" s="50"/>
      <c r="AA554" s="50"/>
      <c r="AB554" s="50"/>
      <c r="AC554" s="50"/>
      <c r="AD554" s="50"/>
      <c r="AE554" s="50"/>
      <c r="AF554" s="50"/>
      <c r="AG554" s="50"/>
      <c r="AH554" s="50"/>
      <c r="AI554" s="50"/>
      <c r="AJ554" s="50"/>
      <c r="AK554" s="50"/>
      <c r="AL554" s="50"/>
    </row>
    <row r="555">
      <c r="U555" s="50"/>
      <c r="V555" s="50"/>
      <c r="W555" s="50"/>
      <c r="X555" s="50"/>
      <c r="Y555" s="50"/>
      <c r="Z555" s="50"/>
      <c r="AA555" s="50"/>
      <c r="AB555" s="50"/>
      <c r="AC555" s="50"/>
      <c r="AD555" s="50"/>
      <c r="AE555" s="50"/>
      <c r="AF555" s="50"/>
      <c r="AG555" s="50"/>
      <c r="AH555" s="50"/>
      <c r="AI555" s="50"/>
      <c r="AJ555" s="50"/>
      <c r="AK555" s="50"/>
      <c r="AL555" s="50"/>
    </row>
    <row r="556">
      <c r="U556" s="50"/>
      <c r="V556" s="50"/>
      <c r="W556" s="50"/>
      <c r="X556" s="50"/>
      <c r="Y556" s="50"/>
      <c r="Z556" s="50"/>
      <c r="AA556" s="50"/>
      <c r="AB556" s="50"/>
      <c r="AC556" s="50"/>
      <c r="AD556" s="50"/>
      <c r="AE556" s="50"/>
      <c r="AF556" s="50"/>
      <c r="AG556" s="50"/>
      <c r="AH556" s="50"/>
      <c r="AI556" s="50"/>
      <c r="AJ556" s="50"/>
      <c r="AK556" s="50"/>
      <c r="AL556" s="50"/>
    </row>
    <row r="557">
      <c r="U557" s="50"/>
      <c r="V557" s="50"/>
      <c r="W557" s="50"/>
      <c r="X557" s="50"/>
      <c r="Y557" s="50"/>
      <c r="Z557" s="50"/>
      <c r="AA557" s="50"/>
      <c r="AB557" s="50"/>
      <c r="AC557" s="50"/>
      <c r="AD557" s="50"/>
      <c r="AE557" s="50"/>
      <c r="AF557" s="50"/>
      <c r="AG557" s="50"/>
      <c r="AH557" s="50"/>
      <c r="AI557" s="50"/>
      <c r="AJ557" s="50"/>
      <c r="AK557" s="50"/>
      <c r="AL557" s="50"/>
    </row>
    <row r="558">
      <c r="U558" s="50"/>
      <c r="V558" s="50"/>
      <c r="W558" s="50"/>
      <c r="X558" s="50"/>
      <c r="Y558" s="50"/>
      <c r="Z558" s="50"/>
      <c r="AA558" s="50"/>
      <c r="AB558" s="50"/>
      <c r="AC558" s="50"/>
      <c r="AD558" s="50"/>
      <c r="AE558" s="50"/>
      <c r="AF558" s="50"/>
      <c r="AG558" s="50"/>
      <c r="AH558" s="50"/>
      <c r="AI558" s="50"/>
      <c r="AJ558" s="50"/>
      <c r="AK558" s="50"/>
      <c r="AL558" s="50"/>
    </row>
    <row r="559">
      <c r="U559" s="50"/>
      <c r="V559" s="50"/>
      <c r="W559" s="50"/>
      <c r="X559" s="50"/>
      <c r="Y559" s="50"/>
      <c r="Z559" s="50"/>
      <c r="AA559" s="50"/>
      <c r="AB559" s="50"/>
      <c r="AC559" s="50"/>
      <c r="AD559" s="50"/>
      <c r="AE559" s="50"/>
      <c r="AF559" s="50"/>
      <c r="AG559" s="50"/>
      <c r="AH559" s="50"/>
      <c r="AI559" s="50"/>
      <c r="AJ559" s="50"/>
      <c r="AK559" s="50"/>
      <c r="AL559" s="50"/>
    </row>
    <row r="560">
      <c r="U560" s="50"/>
      <c r="V560" s="50"/>
      <c r="W560" s="50"/>
      <c r="X560" s="50"/>
      <c r="Y560" s="50"/>
      <c r="Z560" s="50"/>
      <c r="AA560" s="50"/>
      <c r="AB560" s="50"/>
      <c r="AC560" s="50"/>
      <c r="AD560" s="50"/>
      <c r="AE560" s="50"/>
      <c r="AF560" s="50"/>
      <c r="AG560" s="50"/>
      <c r="AH560" s="50"/>
      <c r="AI560" s="50"/>
      <c r="AJ560" s="50"/>
      <c r="AK560" s="50"/>
      <c r="AL560" s="50"/>
    </row>
    <row r="561">
      <c r="U561" s="50"/>
      <c r="V561" s="50"/>
      <c r="W561" s="50"/>
      <c r="X561" s="50"/>
      <c r="Y561" s="50"/>
      <c r="Z561" s="50"/>
      <c r="AA561" s="50"/>
      <c r="AB561" s="50"/>
      <c r="AC561" s="50"/>
      <c r="AD561" s="50"/>
      <c r="AE561" s="50"/>
      <c r="AF561" s="50"/>
      <c r="AG561" s="50"/>
      <c r="AH561" s="50"/>
      <c r="AI561" s="50"/>
      <c r="AJ561" s="50"/>
      <c r="AK561" s="50"/>
      <c r="AL561" s="50"/>
    </row>
    <row r="562">
      <c r="U562" s="50"/>
      <c r="V562" s="50"/>
      <c r="W562" s="50"/>
      <c r="X562" s="50"/>
      <c r="Y562" s="50"/>
      <c r="Z562" s="50"/>
      <c r="AA562" s="50"/>
      <c r="AB562" s="50"/>
      <c r="AC562" s="50"/>
      <c r="AD562" s="50"/>
      <c r="AE562" s="50"/>
      <c r="AF562" s="50"/>
      <c r="AG562" s="50"/>
      <c r="AH562" s="50"/>
      <c r="AI562" s="50"/>
      <c r="AJ562" s="50"/>
      <c r="AK562" s="50"/>
      <c r="AL562" s="50"/>
    </row>
    <row r="563">
      <c r="U563" s="50"/>
      <c r="V563" s="50"/>
      <c r="W563" s="50"/>
      <c r="X563" s="50"/>
      <c r="Y563" s="50"/>
      <c r="Z563" s="50"/>
      <c r="AA563" s="50"/>
      <c r="AB563" s="50"/>
      <c r="AC563" s="50"/>
      <c r="AD563" s="50"/>
      <c r="AE563" s="50"/>
      <c r="AF563" s="50"/>
      <c r="AG563" s="50"/>
      <c r="AH563" s="50"/>
      <c r="AI563" s="50"/>
      <c r="AJ563" s="50"/>
      <c r="AK563" s="50"/>
      <c r="AL563" s="50"/>
    </row>
    <row r="564">
      <c r="U564" s="50"/>
      <c r="V564" s="50"/>
      <c r="W564" s="50"/>
      <c r="X564" s="50"/>
      <c r="Y564" s="50"/>
      <c r="Z564" s="50"/>
      <c r="AA564" s="50"/>
      <c r="AB564" s="50"/>
      <c r="AC564" s="50"/>
      <c r="AD564" s="50"/>
      <c r="AE564" s="50"/>
      <c r="AF564" s="50"/>
      <c r="AG564" s="50"/>
      <c r="AH564" s="50"/>
      <c r="AI564" s="50"/>
      <c r="AJ564" s="50"/>
      <c r="AK564" s="50"/>
      <c r="AL564" s="50"/>
    </row>
    <row r="565">
      <c r="U565" s="50"/>
      <c r="V565" s="50"/>
      <c r="W565" s="50"/>
      <c r="X565" s="50"/>
      <c r="Y565" s="50"/>
      <c r="Z565" s="50"/>
      <c r="AA565" s="50"/>
      <c r="AB565" s="50"/>
      <c r="AC565" s="50"/>
      <c r="AD565" s="50"/>
      <c r="AE565" s="50"/>
      <c r="AF565" s="50"/>
      <c r="AG565" s="50"/>
      <c r="AH565" s="50"/>
      <c r="AI565" s="50"/>
      <c r="AJ565" s="50"/>
      <c r="AK565" s="50"/>
      <c r="AL565" s="50"/>
    </row>
    <row r="566">
      <c r="U566" s="50"/>
      <c r="V566" s="50"/>
      <c r="W566" s="50"/>
      <c r="X566" s="50"/>
      <c r="Y566" s="50"/>
      <c r="Z566" s="50"/>
      <c r="AA566" s="50"/>
      <c r="AB566" s="50"/>
      <c r="AC566" s="50"/>
      <c r="AD566" s="50"/>
      <c r="AE566" s="50"/>
      <c r="AF566" s="50"/>
      <c r="AG566" s="50"/>
      <c r="AH566" s="50"/>
      <c r="AI566" s="50"/>
      <c r="AJ566" s="50"/>
      <c r="AK566" s="50"/>
      <c r="AL566" s="50"/>
    </row>
    <row r="567">
      <c r="U567" s="50"/>
      <c r="V567" s="50"/>
      <c r="W567" s="50"/>
      <c r="X567" s="50"/>
      <c r="Y567" s="50"/>
      <c r="Z567" s="50"/>
      <c r="AA567" s="50"/>
      <c r="AB567" s="50"/>
      <c r="AC567" s="50"/>
      <c r="AD567" s="50"/>
      <c r="AE567" s="50"/>
      <c r="AF567" s="50"/>
      <c r="AG567" s="50"/>
      <c r="AH567" s="50"/>
      <c r="AI567" s="50"/>
      <c r="AJ567" s="50"/>
      <c r="AK567" s="50"/>
      <c r="AL567" s="50"/>
    </row>
    <row r="568">
      <c r="U568" s="50"/>
      <c r="V568" s="50"/>
      <c r="W568" s="50"/>
      <c r="X568" s="50"/>
      <c r="Y568" s="50"/>
      <c r="Z568" s="50"/>
      <c r="AA568" s="50"/>
      <c r="AB568" s="50"/>
      <c r="AC568" s="50"/>
      <c r="AD568" s="50"/>
      <c r="AE568" s="50"/>
      <c r="AF568" s="50"/>
      <c r="AG568" s="50"/>
      <c r="AH568" s="50"/>
      <c r="AI568" s="50"/>
      <c r="AJ568" s="50"/>
      <c r="AK568" s="50"/>
      <c r="AL568" s="50"/>
    </row>
    <row r="569">
      <c r="U569" s="50"/>
      <c r="V569" s="50"/>
      <c r="W569" s="50"/>
      <c r="X569" s="50"/>
      <c r="Y569" s="50"/>
      <c r="Z569" s="50"/>
      <c r="AA569" s="50"/>
      <c r="AB569" s="50"/>
      <c r="AC569" s="50"/>
      <c r="AD569" s="50"/>
      <c r="AE569" s="50"/>
      <c r="AF569" s="50"/>
      <c r="AG569" s="50"/>
      <c r="AH569" s="50"/>
      <c r="AI569" s="50"/>
      <c r="AJ569" s="50"/>
      <c r="AK569" s="50"/>
      <c r="AL569" s="50"/>
    </row>
    <row r="570">
      <c r="U570" s="50"/>
      <c r="V570" s="50"/>
      <c r="W570" s="50"/>
      <c r="X570" s="50"/>
      <c r="Y570" s="50"/>
      <c r="Z570" s="50"/>
      <c r="AA570" s="50"/>
      <c r="AB570" s="50"/>
      <c r="AC570" s="50"/>
      <c r="AD570" s="50"/>
      <c r="AE570" s="50"/>
      <c r="AF570" s="50"/>
      <c r="AG570" s="50"/>
      <c r="AH570" s="50"/>
      <c r="AI570" s="50"/>
      <c r="AJ570" s="50"/>
      <c r="AK570" s="50"/>
      <c r="AL570" s="50"/>
    </row>
    <row r="571">
      <c r="U571" s="50"/>
      <c r="V571" s="50"/>
      <c r="W571" s="50"/>
      <c r="X571" s="50"/>
      <c r="Y571" s="50"/>
      <c r="Z571" s="50"/>
      <c r="AA571" s="50"/>
      <c r="AB571" s="50"/>
      <c r="AC571" s="50"/>
      <c r="AD571" s="50"/>
      <c r="AE571" s="50"/>
      <c r="AF571" s="50"/>
      <c r="AG571" s="50"/>
      <c r="AH571" s="50"/>
      <c r="AI571" s="50"/>
      <c r="AJ571" s="50"/>
      <c r="AK571" s="50"/>
      <c r="AL571" s="50"/>
    </row>
    <row r="572">
      <c r="U572" s="50"/>
      <c r="V572" s="50"/>
      <c r="W572" s="50"/>
      <c r="X572" s="50"/>
      <c r="Y572" s="50"/>
      <c r="Z572" s="50"/>
      <c r="AA572" s="50"/>
      <c r="AB572" s="50"/>
      <c r="AC572" s="50"/>
      <c r="AD572" s="50"/>
      <c r="AE572" s="50"/>
      <c r="AF572" s="50"/>
      <c r="AG572" s="50"/>
      <c r="AH572" s="50"/>
      <c r="AI572" s="50"/>
      <c r="AJ572" s="50"/>
      <c r="AK572" s="50"/>
      <c r="AL572" s="50"/>
    </row>
    <row r="573">
      <c r="U573" s="50"/>
      <c r="V573" s="50"/>
      <c r="W573" s="50"/>
      <c r="X573" s="50"/>
      <c r="Y573" s="50"/>
      <c r="Z573" s="50"/>
      <c r="AA573" s="50"/>
      <c r="AB573" s="50"/>
      <c r="AC573" s="50"/>
      <c r="AD573" s="50"/>
      <c r="AE573" s="50"/>
      <c r="AF573" s="50"/>
      <c r="AG573" s="50"/>
      <c r="AH573" s="50"/>
      <c r="AI573" s="50"/>
      <c r="AJ573" s="50"/>
      <c r="AK573" s="50"/>
      <c r="AL573" s="50"/>
    </row>
    <row r="574">
      <c r="U574" s="50"/>
      <c r="V574" s="50"/>
      <c r="W574" s="50"/>
      <c r="X574" s="50"/>
      <c r="Y574" s="50"/>
      <c r="Z574" s="50"/>
      <c r="AA574" s="50"/>
      <c r="AB574" s="50"/>
      <c r="AC574" s="50"/>
      <c r="AD574" s="50"/>
      <c r="AE574" s="50"/>
      <c r="AF574" s="50"/>
      <c r="AG574" s="50"/>
      <c r="AH574" s="50"/>
      <c r="AI574" s="50"/>
      <c r="AJ574" s="50"/>
      <c r="AK574" s="50"/>
      <c r="AL574" s="50"/>
    </row>
    <row r="575">
      <c r="U575" s="50"/>
      <c r="V575" s="50"/>
      <c r="W575" s="50"/>
      <c r="X575" s="50"/>
      <c r="Y575" s="50"/>
      <c r="Z575" s="50"/>
      <c r="AA575" s="50"/>
      <c r="AB575" s="50"/>
      <c r="AC575" s="50"/>
      <c r="AD575" s="50"/>
      <c r="AE575" s="50"/>
      <c r="AF575" s="50"/>
      <c r="AG575" s="50"/>
      <c r="AH575" s="50"/>
      <c r="AI575" s="50"/>
      <c r="AJ575" s="50"/>
      <c r="AK575" s="50"/>
      <c r="AL575" s="50"/>
    </row>
    <row r="576">
      <c r="U576" s="50"/>
      <c r="V576" s="50"/>
      <c r="W576" s="50"/>
      <c r="X576" s="50"/>
      <c r="Y576" s="50"/>
      <c r="Z576" s="50"/>
      <c r="AA576" s="50"/>
      <c r="AB576" s="50"/>
      <c r="AC576" s="50"/>
      <c r="AD576" s="50"/>
      <c r="AE576" s="50"/>
      <c r="AF576" s="50"/>
      <c r="AG576" s="50"/>
      <c r="AH576" s="50"/>
      <c r="AI576" s="50"/>
      <c r="AJ576" s="50"/>
      <c r="AK576" s="50"/>
      <c r="AL576" s="50"/>
    </row>
    <row r="577">
      <c r="U577" s="50"/>
      <c r="V577" s="50"/>
      <c r="W577" s="50"/>
      <c r="X577" s="50"/>
      <c r="Y577" s="50"/>
      <c r="Z577" s="50"/>
      <c r="AA577" s="50"/>
      <c r="AB577" s="50"/>
      <c r="AC577" s="50"/>
      <c r="AD577" s="50"/>
      <c r="AE577" s="50"/>
      <c r="AF577" s="50"/>
      <c r="AG577" s="50"/>
      <c r="AH577" s="50"/>
      <c r="AI577" s="50"/>
      <c r="AJ577" s="50"/>
      <c r="AK577" s="50"/>
      <c r="AL577" s="50"/>
    </row>
    <row r="578">
      <c r="U578" s="50"/>
      <c r="V578" s="50"/>
      <c r="W578" s="50"/>
      <c r="X578" s="50"/>
      <c r="Y578" s="50"/>
      <c r="Z578" s="50"/>
      <c r="AA578" s="50"/>
      <c r="AB578" s="50"/>
      <c r="AC578" s="50"/>
      <c r="AD578" s="50"/>
      <c r="AE578" s="50"/>
      <c r="AF578" s="50"/>
      <c r="AG578" s="50"/>
      <c r="AH578" s="50"/>
      <c r="AI578" s="50"/>
      <c r="AJ578" s="50"/>
      <c r="AK578" s="50"/>
      <c r="AL578" s="50"/>
    </row>
    <row r="579">
      <c r="U579" s="50"/>
      <c r="V579" s="50"/>
      <c r="W579" s="50"/>
      <c r="X579" s="50"/>
      <c r="Y579" s="50"/>
      <c r="Z579" s="50"/>
      <c r="AA579" s="50"/>
      <c r="AB579" s="50"/>
      <c r="AC579" s="50"/>
      <c r="AD579" s="50"/>
      <c r="AE579" s="50"/>
      <c r="AF579" s="50"/>
      <c r="AG579" s="50"/>
      <c r="AH579" s="50"/>
      <c r="AI579" s="50"/>
      <c r="AJ579" s="50"/>
      <c r="AK579" s="50"/>
      <c r="AL579" s="50"/>
    </row>
    <row r="580">
      <c r="U580" s="50"/>
      <c r="V580" s="50"/>
      <c r="W580" s="50"/>
      <c r="X580" s="50"/>
      <c r="Y580" s="50"/>
      <c r="Z580" s="50"/>
      <c r="AA580" s="50"/>
      <c r="AB580" s="50"/>
      <c r="AC580" s="50"/>
      <c r="AD580" s="50"/>
      <c r="AE580" s="50"/>
      <c r="AF580" s="50"/>
      <c r="AG580" s="50"/>
      <c r="AH580" s="50"/>
      <c r="AI580" s="50"/>
      <c r="AJ580" s="50"/>
      <c r="AK580" s="50"/>
      <c r="AL580" s="50"/>
    </row>
    <row r="581">
      <c r="U581" s="50"/>
      <c r="V581" s="50"/>
      <c r="W581" s="50"/>
      <c r="X581" s="50"/>
      <c r="Y581" s="50"/>
      <c r="Z581" s="50"/>
      <c r="AA581" s="50"/>
      <c r="AB581" s="50"/>
      <c r="AC581" s="50"/>
      <c r="AD581" s="50"/>
      <c r="AE581" s="50"/>
      <c r="AF581" s="50"/>
      <c r="AG581" s="50"/>
      <c r="AH581" s="50"/>
      <c r="AI581" s="50"/>
      <c r="AJ581" s="50"/>
      <c r="AK581" s="50"/>
      <c r="AL581" s="50"/>
    </row>
    <row r="582">
      <c r="U582" s="50"/>
      <c r="V582" s="50"/>
      <c r="W582" s="50"/>
      <c r="X582" s="50"/>
      <c r="Y582" s="50"/>
      <c r="Z582" s="50"/>
      <c r="AA582" s="50"/>
      <c r="AB582" s="50"/>
      <c r="AC582" s="50"/>
      <c r="AD582" s="50"/>
      <c r="AE582" s="50"/>
      <c r="AF582" s="50"/>
      <c r="AG582" s="50"/>
      <c r="AH582" s="50"/>
      <c r="AI582" s="50"/>
      <c r="AJ582" s="50"/>
      <c r="AK582" s="50"/>
      <c r="AL582" s="50"/>
    </row>
    <row r="583">
      <c r="U583" s="50"/>
      <c r="V583" s="50"/>
      <c r="W583" s="50"/>
      <c r="X583" s="50"/>
      <c r="Y583" s="50"/>
      <c r="Z583" s="50"/>
      <c r="AA583" s="50"/>
      <c r="AB583" s="50"/>
      <c r="AC583" s="50"/>
      <c r="AD583" s="50"/>
      <c r="AE583" s="50"/>
      <c r="AF583" s="50"/>
      <c r="AG583" s="50"/>
      <c r="AH583" s="50"/>
      <c r="AI583" s="50"/>
      <c r="AJ583" s="50"/>
      <c r="AK583" s="50"/>
      <c r="AL583" s="50"/>
    </row>
    <row r="584">
      <c r="U584" s="50"/>
      <c r="V584" s="50"/>
      <c r="W584" s="50"/>
      <c r="X584" s="50"/>
      <c r="Y584" s="50"/>
      <c r="Z584" s="50"/>
      <c r="AA584" s="50"/>
      <c r="AB584" s="50"/>
      <c r="AC584" s="50"/>
      <c r="AD584" s="50"/>
      <c r="AE584" s="50"/>
      <c r="AF584" s="50"/>
      <c r="AG584" s="50"/>
      <c r="AH584" s="50"/>
      <c r="AI584" s="50"/>
      <c r="AJ584" s="50"/>
      <c r="AK584" s="50"/>
      <c r="AL584" s="50"/>
    </row>
    <row r="585">
      <c r="U585" s="50"/>
      <c r="V585" s="50"/>
      <c r="W585" s="50"/>
      <c r="X585" s="50"/>
      <c r="Y585" s="50"/>
      <c r="Z585" s="50"/>
      <c r="AA585" s="50"/>
      <c r="AB585" s="50"/>
      <c r="AC585" s="50"/>
      <c r="AD585" s="50"/>
      <c r="AE585" s="50"/>
      <c r="AF585" s="50"/>
      <c r="AG585" s="50"/>
      <c r="AH585" s="50"/>
      <c r="AI585" s="50"/>
      <c r="AJ585" s="50"/>
      <c r="AK585" s="50"/>
      <c r="AL585" s="50"/>
    </row>
    <row r="586">
      <c r="U586" s="50"/>
      <c r="V586" s="50"/>
      <c r="W586" s="50"/>
      <c r="X586" s="50"/>
      <c r="Y586" s="50"/>
      <c r="Z586" s="50"/>
      <c r="AA586" s="50"/>
      <c r="AB586" s="50"/>
      <c r="AC586" s="50"/>
      <c r="AD586" s="50"/>
      <c r="AE586" s="50"/>
      <c r="AF586" s="50"/>
      <c r="AG586" s="50"/>
      <c r="AH586" s="50"/>
      <c r="AI586" s="50"/>
      <c r="AJ586" s="50"/>
      <c r="AK586" s="50"/>
      <c r="AL586" s="50"/>
    </row>
    <row r="587">
      <c r="U587" s="50"/>
      <c r="V587" s="50"/>
      <c r="W587" s="50"/>
      <c r="X587" s="50"/>
      <c r="Y587" s="50"/>
      <c r="Z587" s="50"/>
      <c r="AA587" s="50"/>
      <c r="AB587" s="50"/>
      <c r="AC587" s="50"/>
      <c r="AD587" s="50"/>
      <c r="AE587" s="50"/>
      <c r="AF587" s="50"/>
      <c r="AG587" s="50"/>
      <c r="AH587" s="50"/>
      <c r="AI587" s="50"/>
      <c r="AJ587" s="50"/>
      <c r="AK587" s="50"/>
      <c r="AL587" s="50"/>
    </row>
    <row r="588">
      <c r="U588" s="50"/>
      <c r="V588" s="50"/>
      <c r="W588" s="50"/>
      <c r="X588" s="50"/>
      <c r="Y588" s="50"/>
      <c r="Z588" s="50"/>
      <c r="AA588" s="50"/>
      <c r="AB588" s="50"/>
      <c r="AC588" s="50"/>
      <c r="AD588" s="50"/>
      <c r="AE588" s="50"/>
      <c r="AF588" s="50"/>
      <c r="AG588" s="50"/>
      <c r="AH588" s="50"/>
      <c r="AI588" s="50"/>
      <c r="AJ588" s="50"/>
      <c r="AK588" s="50"/>
      <c r="AL588" s="50"/>
    </row>
    <row r="589">
      <c r="U589" s="50"/>
      <c r="V589" s="50"/>
      <c r="W589" s="50"/>
      <c r="X589" s="50"/>
      <c r="Y589" s="50"/>
      <c r="Z589" s="50"/>
      <c r="AA589" s="50"/>
      <c r="AB589" s="50"/>
      <c r="AC589" s="50"/>
      <c r="AD589" s="50"/>
      <c r="AE589" s="50"/>
      <c r="AF589" s="50"/>
      <c r="AG589" s="50"/>
      <c r="AH589" s="50"/>
      <c r="AI589" s="50"/>
      <c r="AJ589" s="50"/>
      <c r="AK589" s="50"/>
      <c r="AL589" s="50"/>
    </row>
    <row r="590">
      <c r="U590" s="50"/>
      <c r="V590" s="50"/>
      <c r="W590" s="50"/>
      <c r="X590" s="50"/>
      <c r="Y590" s="50"/>
      <c r="Z590" s="50"/>
      <c r="AA590" s="50"/>
      <c r="AB590" s="50"/>
      <c r="AC590" s="50"/>
      <c r="AD590" s="50"/>
      <c r="AE590" s="50"/>
      <c r="AF590" s="50"/>
      <c r="AG590" s="50"/>
      <c r="AH590" s="50"/>
      <c r="AI590" s="50"/>
      <c r="AJ590" s="50"/>
      <c r="AK590" s="50"/>
      <c r="AL590" s="50"/>
    </row>
    <row r="591">
      <c r="U591" s="50"/>
      <c r="V591" s="50"/>
      <c r="W591" s="50"/>
      <c r="X591" s="50"/>
      <c r="Y591" s="50"/>
      <c r="Z591" s="50"/>
      <c r="AA591" s="50"/>
      <c r="AB591" s="50"/>
      <c r="AC591" s="50"/>
      <c r="AD591" s="50"/>
      <c r="AE591" s="50"/>
      <c r="AF591" s="50"/>
      <c r="AG591" s="50"/>
      <c r="AH591" s="50"/>
      <c r="AI591" s="50"/>
      <c r="AJ591" s="50"/>
      <c r="AK591" s="50"/>
      <c r="AL591" s="50"/>
    </row>
    <row r="592">
      <c r="U592" s="50"/>
      <c r="V592" s="50"/>
      <c r="W592" s="50"/>
      <c r="X592" s="50"/>
      <c r="Y592" s="50"/>
      <c r="Z592" s="50"/>
      <c r="AA592" s="50"/>
      <c r="AB592" s="50"/>
      <c r="AC592" s="50"/>
      <c r="AD592" s="50"/>
      <c r="AE592" s="50"/>
      <c r="AF592" s="50"/>
      <c r="AG592" s="50"/>
      <c r="AH592" s="50"/>
      <c r="AI592" s="50"/>
      <c r="AJ592" s="50"/>
      <c r="AK592" s="50"/>
      <c r="AL592" s="50"/>
    </row>
    <row r="593">
      <c r="U593" s="50"/>
      <c r="V593" s="50"/>
      <c r="W593" s="50"/>
      <c r="X593" s="50"/>
      <c r="Y593" s="50"/>
      <c r="Z593" s="50"/>
      <c r="AA593" s="50"/>
      <c r="AB593" s="50"/>
      <c r="AC593" s="50"/>
      <c r="AD593" s="50"/>
      <c r="AE593" s="50"/>
      <c r="AF593" s="50"/>
      <c r="AG593" s="50"/>
      <c r="AH593" s="50"/>
      <c r="AI593" s="50"/>
      <c r="AJ593" s="50"/>
      <c r="AK593" s="50"/>
      <c r="AL593" s="50"/>
    </row>
    <row r="594">
      <c r="U594" s="50"/>
      <c r="V594" s="50"/>
      <c r="W594" s="50"/>
      <c r="X594" s="50"/>
      <c r="Y594" s="50"/>
      <c r="Z594" s="50"/>
      <c r="AA594" s="50"/>
      <c r="AB594" s="50"/>
      <c r="AC594" s="50"/>
      <c r="AD594" s="50"/>
      <c r="AE594" s="50"/>
      <c r="AF594" s="50"/>
      <c r="AG594" s="50"/>
      <c r="AH594" s="50"/>
      <c r="AI594" s="50"/>
      <c r="AJ594" s="50"/>
      <c r="AK594" s="50"/>
      <c r="AL594" s="50"/>
    </row>
    <row r="595">
      <c r="U595" s="50"/>
      <c r="V595" s="50"/>
      <c r="W595" s="50"/>
      <c r="X595" s="50"/>
      <c r="Y595" s="50"/>
      <c r="Z595" s="50"/>
      <c r="AA595" s="50"/>
      <c r="AB595" s="50"/>
      <c r="AC595" s="50"/>
      <c r="AD595" s="50"/>
      <c r="AE595" s="50"/>
      <c r="AF595" s="50"/>
      <c r="AG595" s="50"/>
      <c r="AH595" s="50"/>
      <c r="AI595" s="50"/>
      <c r="AJ595" s="50"/>
      <c r="AK595" s="50"/>
      <c r="AL595" s="50"/>
    </row>
    <row r="596">
      <c r="U596" s="50"/>
      <c r="V596" s="50"/>
      <c r="W596" s="50"/>
      <c r="X596" s="50"/>
      <c r="Y596" s="50"/>
      <c r="Z596" s="50"/>
      <c r="AA596" s="50"/>
      <c r="AB596" s="50"/>
      <c r="AC596" s="50"/>
      <c r="AD596" s="50"/>
      <c r="AE596" s="50"/>
      <c r="AF596" s="50"/>
      <c r="AG596" s="50"/>
      <c r="AH596" s="50"/>
      <c r="AI596" s="50"/>
      <c r="AJ596" s="50"/>
      <c r="AK596" s="50"/>
      <c r="AL596" s="50"/>
    </row>
    <row r="597">
      <c r="U597" s="50"/>
      <c r="V597" s="50"/>
      <c r="W597" s="50"/>
      <c r="X597" s="50"/>
      <c r="Y597" s="50"/>
      <c r="Z597" s="50"/>
      <c r="AA597" s="50"/>
      <c r="AB597" s="50"/>
      <c r="AC597" s="50"/>
      <c r="AD597" s="50"/>
      <c r="AE597" s="50"/>
      <c r="AF597" s="50"/>
      <c r="AG597" s="50"/>
      <c r="AH597" s="50"/>
      <c r="AI597" s="50"/>
      <c r="AJ597" s="50"/>
      <c r="AK597" s="50"/>
      <c r="AL597" s="50"/>
    </row>
    <row r="598">
      <c r="U598" s="50"/>
      <c r="V598" s="50"/>
      <c r="W598" s="50"/>
      <c r="X598" s="50"/>
      <c r="Y598" s="50"/>
      <c r="Z598" s="50"/>
      <c r="AA598" s="50"/>
      <c r="AB598" s="50"/>
      <c r="AC598" s="50"/>
      <c r="AD598" s="50"/>
      <c r="AE598" s="50"/>
      <c r="AF598" s="50"/>
      <c r="AG598" s="50"/>
      <c r="AH598" s="50"/>
      <c r="AI598" s="50"/>
      <c r="AJ598" s="50"/>
      <c r="AK598" s="50"/>
      <c r="AL598" s="50"/>
    </row>
    <row r="599">
      <c r="U599" s="50"/>
      <c r="V599" s="50"/>
      <c r="W599" s="50"/>
      <c r="X599" s="50"/>
      <c r="Y599" s="50"/>
      <c r="Z599" s="50"/>
      <c r="AA599" s="50"/>
      <c r="AB599" s="50"/>
      <c r="AC599" s="50"/>
      <c r="AD599" s="50"/>
      <c r="AE599" s="50"/>
      <c r="AF599" s="50"/>
      <c r="AG599" s="50"/>
      <c r="AH599" s="50"/>
      <c r="AI599" s="50"/>
      <c r="AJ599" s="50"/>
      <c r="AK599" s="50"/>
      <c r="AL599" s="50"/>
    </row>
    <row r="600">
      <c r="U600" s="50"/>
      <c r="V600" s="50"/>
      <c r="W600" s="50"/>
      <c r="X600" s="50"/>
      <c r="Y600" s="50"/>
      <c r="Z600" s="50"/>
      <c r="AA600" s="50"/>
      <c r="AB600" s="50"/>
      <c r="AC600" s="50"/>
      <c r="AD600" s="50"/>
      <c r="AE600" s="50"/>
      <c r="AF600" s="50"/>
      <c r="AG600" s="50"/>
      <c r="AH600" s="50"/>
      <c r="AI600" s="50"/>
      <c r="AJ600" s="50"/>
      <c r="AK600" s="50"/>
      <c r="AL600" s="50"/>
    </row>
    <row r="601">
      <c r="U601" s="50"/>
      <c r="V601" s="50"/>
      <c r="W601" s="50"/>
      <c r="X601" s="50"/>
      <c r="Y601" s="50"/>
      <c r="Z601" s="50"/>
      <c r="AA601" s="50"/>
      <c r="AB601" s="50"/>
      <c r="AC601" s="50"/>
      <c r="AD601" s="50"/>
      <c r="AE601" s="50"/>
      <c r="AF601" s="50"/>
      <c r="AG601" s="50"/>
      <c r="AH601" s="50"/>
      <c r="AI601" s="50"/>
      <c r="AJ601" s="50"/>
      <c r="AK601" s="50"/>
      <c r="AL601" s="50"/>
    </row>
    <row r="602">
      <c r="U602" s="50"/>
      <c r="V602" s="50"/>
      <c r="W602" s="50"/>
      <c r="X602" s="50"/>
      <c r="Y602" s="50"/>
      <c r="Z602" s="50"/>
      <c r="AA602" s="50"/>
      <c r="AB602" s="50"/>
      <c r="AC602" s="50"/>
      <c r="AD602" s="50"/>
      <c r="AE602" s="50"/>
      <c r="AF602" s="50"/>
      <c r="AG602" s="50"/>
      <c r="AH602" s="50"/>
      <c r="AI602" s="50"/>
      <c r="AJ602" s="50"/>
      <c r="AK602" s="50"/>
      <c r="AL602" s="50"/>
    </row>
    <row r="603">
      <c r="U603" s="50"/>
      <c r="V603" s="50"/>
      <c r="W603" s="50"/>
      <c r="X603" s="50"/>
      <c r="Y603" s="50"/>
      <c r="Z603" s="50"/>
      <c r="AA603" s="50"/>
      <c r="AB603" s="50"/>
      <c r="AC603" s="50"/>
      <c r="AD603" s="50"/>
      <c r="AE603" s="50"/>
      <c r="AF603" s="50"/>
      <c r="AG603" s="50"/>
      <c r="AH603" s="50"/>
      <c r="AI603" s="50"/>
      <c r="AJ603" s="50"/>
      <c r="AK603" s="50"/>
      <c r="AL603" s="50"/>
    </row>
    <row r="604">
      <c r="U604" s="50"/>
      <c r="V604" s="50"/>
      <c r="W604" s="50"/>
      <c r="X604" s="50"/>
      <c r="Y604" s="50"/>
      <c r="Z604" s="50"/>
      <c r="AA604" s="50"/>
      <c r="AB604" s="50"/>
      <c r="AC604" s="50"/>
      <c r="AD604" s="50"/>
      <c r="AE604" s="50"/>
      <c r="AF604" s="50"/>
      <c r="AG604" s="50"/>
      <c r="AH604" s="50"/>
      <c r="AI604" s="50"/>
      <c r="AJ604" s="50"/>
      <c r="AK604" s="50"/>
      <c r="AL604" s="50"/>
    </row>
    <row r="605">
      <c r="U605" s="50"/>
      <c r="V605" s="50"/>
      <c r="W605" s="50"/>
      <c r="X605" s="50"/>
      <c r="Y605" s="50"/>
      <c r="Z605" s="50"/>
      <c r="AA605" s="50"/>
      <c r="AB605" s="50"/>
      <c r="AC605" s="50"/>
      <c r="AD605" s="50"/>
      <c r="AE605" s="50"/>
      <c r="AF605" s="50"/>
      <c r="AG605" s="50"/>
      <c r="AH605" s="50"/>
      <c r="AI605" s="50"/>
      <c r="AJ605" s="50"/>
      <c r="AK605" s="50"/>
      <c r="AL605" s="50"/>
    </row>
    <row r="606">
      <c r="U606" s="50"/>
      <c r="V606" s="50"/>
      <c r="W606" s="50"/>
      <c r="X606" s="50"/>
      <c r="Y606" s="50"/>
      <c r="Z606" s="50"/>
      <c r="AA606" s="50"/>
      <c r="AB606" s="50"/>
      <c r="AC606" s="50"/>
      <c r="AD606" s="50"/>
      <c r="AE606" s="50"/>
      <c r="AF606" s="50"/>
      <c r="AG606" s="50"/>
      <c r="AH606" s="50"/>
      <c r="AI606" s="50"/>
      <c r="AJ606" s="50"/>
      <c r="AK606" s="50"/>
      <c r="AL606" s="50"/>
    </row>
    <row r="607">
      <c r="U607" s="50"/>
      <c r="V607" s="50"/>
      <c r="W607" s="50"/>
      <c r="X607" s="50"/>
      <c r="Y607" s="50"/>
      <c r="Z607" s="50"/>
      <c r="AA607" s="50"/>
      <c r="AB607" s="50"/>
      <c r="AC607" s="50"/>
      <c r="AD607" s="50"/>
      <c r="AE607" s="50"/>
      <c r="AF607" s="50"/>
      <c r="AG607" s="50"/>
      <c r="AH607" s="50"/>
      <c r="AI607" s="50"/>
      <c r="AJ607" s="50"/>
      <c r="AK607" s="50"/>
      <c r="AL607" s="50"/>
    </row>
    <row r="608">
      <c r="U608" s="50"/>
      <c r="V608" s="50"/>
      <c r="W608" s="50"/>
      <c r="X608" s="50"/>
      <c r="Y608" s="50"/>
      <c r="Z608" s="50"/>
      <c r="AA608" s="50"/>
      <c r="AB608" s="50"/>
      <c r="AC608" s="50"/>
      <c r="AD608" s="50"/>
      <c r="AE608" s="50"/>
      <c r="AF608" s="50"/>
      <c r="AG608" s="50"/>
      <c r="AH608" s="50"/>
      <c r="AI608" s="50"/>
      <c r="AJ608" s="50"/>
      <c r="AK608" s="50"/>
      <c r="AL608" s="50"/>
    </row>
    <row r="609">
      <c r="U609" s="50"/>
      <c r="V609" s="50"/>
      <c r="W609" s="50"/>
      <c r="X609" s="50"/>
      <c r="Y609" s="50"/>
      <c r="Z609" s="50"/>
      <c r="AA609" s="50"/>
      <c r="AB609" s="50"/>
      <c r="AC609" s="50"/>
      <c r="AD609" s="50"/>
      <c r="AE609" s="50"/>
      <c r="AF609" s="50"/>
      <c r="AG609" s="50"/>
      <c r="AH609" s="50"/>
      <c r="AI609" s="50"/>
      <c r="AJ609" s="50"/>
      <c r="AK609" s="50"/>
      <c r="AL609" s="50"/>
    </row>
    <row r="610">
      <c r="U610" s="50"/>
      <c r="V610" s="50"/>
      <c r="W610" s="50"/>
      <c r="X610" s="50"/>
      <c r="Y610" s="50"/>
      <c r="Z610" s="50"/>
      <c r="AA610" s="50"/>
      <c r="AB610" s="50"/>
      <c r="AC610" s="50"/>
      <c r="AD610" s="50"/>
      <c r="AE610" s="50"/>
      <c r="AF610" s="50"/>
      <c r="AG610" s="50"/>
      <c r="AH610" s="50"/>
      <c r="AI610" s="50"/>
      <c r="AJ610" s="50"/>
      <c r="AK610" s="50"/>
      <c r="AL610" s="50"/>
    </row>
    <row r="611">
      <c r="U611" s="50"/>
      <c r="V611" s="50"/>
      <c r="W611" s="50"/>
      <c r="X611" s="50"/>
      <c r="Y611" s="50"/>
      <c r="Z611" s="50"/>
      <c r="AA611" s="50"/>
      <c r="AB611" s="50"/>
      <c r="AC611" s="50"/>
      <c r="AD611" s="50"/>
      <c r="AE611" s="50"/>
      <c r="AF611" s="50"/>
      <c r="AG611" s="50"/>
      <c r="AH611" s="50"/>
      <c r="AI611" s="50"/>
      <c r="AJ611" s="50"/>
      <c r="AK611" s="50"/>
      <c r="AL611" s="50"/>
    </row>
    <row r="612">
      <c r="U612" s="50"/>
      <c r="V612" s="50"/>
      <c r="W612" s="50"/>
      <c r="X612" s="50"/>
      <c r="Y612" s="50"/>
      <c r="Z612" s="50"/>
      <c r="AA612" s="50"/>
      <c r="AB612" s="50"/>
      <c r="AC612" s="50"/>
      <c r="AD612" s="50"/>
      <c r="AE612" s="50"/>
      <c r="AF612" s="50"/>
      <c r="AG612" s="50"/>
      <c r="AH612" s="50"/>
      <c r="AI612" s="50"/>
      <c r="AJ612" s="50"/>
      <c r="AK612" s="50"/>
      <c r="AL612" s="50"/>
    </row>
    <row r="613">
      <c r="U613" s="50"/>
      <c r="V613" s="50"/>
      <c r="W613" s="50"/>
      <c r="X613" s="50"/>
      <c r="Y613" s="50"/>
      <c r="Z613" s="50"/>
      <c r="AA613" s="50"/>
      <c r="AB613" s="50"/>
      <c r="AC613" s="50"/>
      <c r="AD613" s="50"/>
      <c r="AE613" s="50"/>
      <c r="AF613" s="50"/>
      <c r="AG613" s="50"/>
      <c r="AH613" s="50"/>
      <c r="AI613" s="50"/>
      <c r="AJ613" s="50"/>
      <c r="AK613" s="50"/>
      <c r="AL613" s="50"/>
    </row>
    <row r="614">
      <c r="U614" s="50"/>
      <c r="V614" s="50"/>
      <c r="W614" s="50"/>
      <c r="X614" s="50"/>
      <c r="Y614" s="50"/>
      <c r="Z614" s="50"/>
      <c r="AA614" s="50"/>
      <c r="AB614" s="50"/>
      <c r="AC614" s="50"/>
      <c r="AD614" s="50"/>
      <c r="AE614" s="50"/>
      <c r="AF614" s="50"/>
      <c r="AG614" s="50"/>
      <c r="AH614" s="50"/>
      <c r="AI614" s="50"/>
      <c r="AJ614" s="50"/>
      <c r="AK614" s="50"/>
      <c r="AL614" s="50"/>
    </row>
    <row r="615">
      <c r="U615" s="50"/>
      <c r="V615" s="50"/>
      <c r="W615" s="50"/>
      <c r="X615" s="50"/>
      <c r="Y615" s="50"/>
      <c r="Z615" s="50"/>
      <c r="AA615" s="50"/>
      <c r="AB615" s="50"/>
      <c r="AC615" s="50"/>
      <c r="AD615" s="50"/>
      <c r="AE615" s="50"/>
      <c r="AF615" s="50"/>
      <c r="AG615" s="50"/>
      <c r="AH615" s="50"/>
      <c r="AI615" s="50"/>
      <c r="AJ615" s="50"/>
      <c r="AK615" s="50"/>
      <c r="AL615" s="50"/>
    </row>
    <row r="616">
      <c r="U616" s="50"/>
      <c r="V616" s="50"/>
      <c r="W616" s="50"/>
      <c r="X616" s="50"/>
      <c r="Y616" s="50"/>
      <c r="Z616" s="50"/>
      <c r="AA616" s="50"/>
      <c r="AB616" s="50"/>
      <c r="AC616" s="50"/>
      <c r="AD616" s="50"/>
      <c r="AE616" s="50"/>
      <c r="AF616" s="50"/>
      <c r="AG616" s="50"/>
      <c r="AH616" s="50"/>
      <c r="AI616" s="50"/>
      <c r="AJ616" s="50"/>
      <c r="AK616" s="50"/>
      <c r="AL616" s="50"/>
    </row>
    <row r="617">
      <c r="U617" s="50"/>
      <c r="V617" s="50"/>
      <c r="W617" s="50"/>
      <c r="X617" s="50"/>
      <c r="Y617" s="50"/>
      <c r="Z617" s="50"/>
      <c r="AA617" s="50"/>
      <c r="AB617" s="50"/>
      <c r="AC617" s="50"/>
      <c r="AD617" s="50"/>
      <c r="AE617" s="50"/>
      <c r="AF617" s="50"/>
      <c r="AG617" s="50"/>
      <c r="AH617" s="50"/>
      <c r="AI617" s="50"/>
      <c r="AJ617" s="50"/>
      <c r="AK617" s="50"/>
      <c r="AL617" s="50"/>
    </row>
    <row r="618">
      <c r="U618" s="50"/>
      <c r="V618" s="50"/>
      <c r="W618" s="50"/>
      <c r="X618" s="50"/>
      <c r="Y618" s="50"/>
      <c r="Z618" s="50"/>
      <c r="AA618" s="50"/>
      <c r="AB618" s="50"/>
      <c r="AC618" s="50"/>
      <c r="AD618" s="50"/>
      <c r="AE618" s="50"/>
      <c r="AF618" s="50"/>
      <c r="AG618" s="50"/>
      <c r="AH618" s="50"/>
      <c r="AI618" s="50"/>
      <c r="AJ618" s="50"/>
      <c r="AK618" s="50"/>
      <c r="AL618" s="50"/>
    </row>
    <row r="619">
      <c r="U619" s="50"/>
      <c r="V619" s="50"/>
      <c r="W619" s="50"/>
      <c r="X619" s="50"/>
      <c r="Y619" s="50"/>
      <c r="Z619" s="50"/>
      <c r="AA619" s="50"/>
      <c r="AB619" s="50"/>
      <c r="AC619" s="50"/>
      <c r="AD619" s="50"/>
      <c r="AE619" s="50"/>
      <c r="AF619" s="50"/>
      <c r="AG619" s="50"/>
      <c r="AH619" s="50"/>
      <c r="AI619" s="50"/>
      <c r="AJ619" s="50"/>
      <c r="AK619" s="50"/>
      <c r="AL619" s="50"/>
    </row>
    <row r="620">
      <c r="U620" s="50"/>
      <c r="V620" s="50"/>
      <c r="W620" s="50"/>
      <c r="X620" s="50"/>
      <c r="Y620" s="50"/>
      <c r="Z620" s="50"/>
      <c r="AA620" s="50"/>
      <c r="AB620" s="50"/>
      <c r="AC620" s="50"/>
      <c r="AD620" s="50"/>
      <c r="AE620" s="50"/>
      <c r="AF620" s="50"/>
      <c r="AG620" s="50"/>
      <c r="AH620" s="50"/>
      <c r="AI620" s="50"/>
      <c r="AJ620" s="50"/>
      <c r="AK620" s="50"/>
      <c r="AL620" s="50"/>
    </row>
    <row r="621">
      <c r="U621" s="50"/>
      <c r="V621" s="50"/>
      <c r="W621" s="50"/>
      <c r="X621" s="50"/>
      <c r="Y621" s="50"/>
      <c r="Z621" s="50"/>
      <c r="AA621" s="50"/>
      <c r="AB621" s="50"/>
      <c r="AC621" s="50"/>
      <c r="AD621" s="50"/>
      <c r="AE621" s="50"/>
      <c r="AF621" s="50"/>
      <c r="AG621" s="50"/>
      <c r="AH621" s="50"/>
      <c r="AI621" s="50"/>
      <c r="AJ621" s="50"/>
      <c r="AK621" s="50"/>
      <c r="AL621" s="50"/>
    </row>
    <row r="622">
      <c r="U622" s="50"/>
      <c r="V622" s="50"/>
      <c r="W622" s="50"/>
      <c r="X622" s="50"/>
      <c r="Y622" s="50"/>
      <c r="Z622" s="50"/>
      <c r="AA622" s="50"/>
      <c r="AB622" s="50"/>
      <c r="AC622" s="50"/>
      <c r="AD622" s="50"/>
      <c r="AE622" s="50"/>
      <c r="AF622" s="50"/>
      <c r="AG622" s="50"/>
      <c r="AH622" s="50"/>
      <c r="AI622" s="50"/>
      <c r="AJ622" s="50"/>
      <c r="AK622" s="50"/>
      <c r="AL622" s="50"/>
    </row>
    <row r="623">
      <c r="U623" s="50"/>
      <c r="V623" s="50"/>
      <c r="W623" s="50"/>
      <c r="X623" s="50"/>
      <c r="Y623" s="50"/>
      <c r="Z623" s="50"/>
      <c r="AA623" s="50"/>
      <c r="AB623" s="50"/>
      <c r="AC623" s="50"/>
      <c r="AD623" s="50"/>
      <c r="AE623" s="50"/>
      <c r="AF623" s="50"/>
      <c r="AG623" s="50"/>
      <c r="AH623" s="50"/>
      <c r="AI623" s="50"/>
      <c r="AJ623" s="50"/>
      <c r="AK623" s="50"/>
      <c r="AL623" s="50"/>
    </row>
    <row r="624">
      <c r="U624" s="50"/>
      <c r="V624" s="50"/>
      <c r="W624" s="50"/>
      <c r="X624" s="50"/>
      <c r="Y624" s="50"/>
      <c r="Z624" s="50"/>
      <c r="AA624" s="50"/>
      <c r="AB624" s="50"/>
      <c r="AC624" s="50"/>
      <c r="AD624" s="50"/>
      <c r="AE624" s="50"/>
      <c r="AF624" s="50"/>
      <c r="AG624" s="50"/>
      <c r="AH624" s="50"/>
      <c r="AI624" s="50"/>
      <c r="AJ624" s="50"/>
      <c r="AK624" s="50"/>
      <c r="AL624" s="50"/>
    </row>
    <row r="625">
      <c r="U625" s="50"/>
      <c r="V625" s="50"/>
      <c r="W625" s="50"/>
      <c r="X625" s="50"/>
      <c r="Y625" s="50"/>
      <c r="Z625" s="50"/>
      <c r="AA625" s="50"/>
      <c r="AB625" s="50"/>
      <c r="AC625" s="50"/>
      <c r="AD625" s="50"/>
      <c r="AE625" s="50"/>
      <c r="AF625" s="50"/>
      <c r="AG625" s="50"/>
      <c r="AH625" s="50"/>
      <c r="AI625" s="50"/>
      <c r="AJ625" s="50"/>
      <c r="AK625" s="50"/>
      <c r="AL625" s="50"/>
    </row>
    <row r="626">
      <c r="U626" s="50"/>
      <c r="V626" s="50"/>
      <c r="W626" s="50"/>
      <c r="X626" s="50"/>
      <c r="Y626" s="50"/>
      <c r="Z626" s="50"/>
      <c r="AA626" s="50"/>
      <c r="AB626" s="50"/>
      <c r="AC626" s="50"/>
      <c r="AD626" s="50"/>
      <c r="AE626" s="50"/>
      <c r="AF626" s="50"/>
      <c r="AG626" s="50"/>
      <c r="AH626" s="50"/>
      <c r="AI626" s="50"/>
      <c r="AJ626" s="50"/>
      <c r="AK626" s="50"/>
      <c r="AL626" s="50"/>
    </row>
    <row r="627">
      <c r="U627" s="50"/>
      <c r="V627" s="50"/>
      <c r="W627" s="50"/>
      <c r="X627" s="50"/>
      <c r="Y627" s="50"/>
      <c r="Z627" s="50"/>
      <c r="AA627" s="50"/>
      <c r="AB627" s="50"/>
      <c r="AC627" s="50"/>
      <c r="AD627" s="50"/>
      <c r="AE627" s="50"/>
      <c r="AF627" s="50"/>
      <c r="AG627" s="50"/>
      <c r="AH627" s="50"/>
      <c r="AI627" s="50"/>
      <c r="AJ627" s="50"/>
      <c r="AK627" s="50"/>
      <c r="AL627" s="50"/>
    </row>
    <row r="628">
      <c r="U628" s="50"/>
      <c r="V628" s="50"/>
      <c r="W628" s="50"/>
      <c r="X628" s="50"/>
      <c r="Y628" s="50"/>
      <c r="Z628" s="50"/>
      <c r="AA628" s="50"/>
      <c r="AB628" s="50"/>
      <c r="AC628" s="50"/>
      <c r="AD628" s="50"/>
      <c r="AE628" s="50"/>
      <c r="AF628" s="50"/>
      <c r="AG628" s="50"/>
      <c r="AH628" s="50"/>
      <c r="AI628" s="50"/>
      <c r="AJ628" s="50"/>
      <c r="AK628" s="50"/>
      <c r="AL628" s="50"/>
    </row>
    <row r="629">
      <c r="U629" s="50"/>
      <c r="V629" s="50"/>
      <c r="W629" s="50"/>
      <c r="X629" s="50"/>
      <c r="Y629" s="50"/>
      <c r="Z629" s="50"/>
      <c r="AA629" s="50"/>
      <c r="AB629" s="50"/>
      <c r="AC629" s="50"/>
      <c r="AD629" s="50"/>
      <c r="AE629" s="50"/>
      <c r="AF629" s="50"/>
      <c r="AG629" s="50"/>
      <c r="AH629" s="50"/>
      <c r="AI629" s="50"/>
      <c r="AJ629" s="50"/>
      <c r="AK629" s="50"/>
      <c r="AL629" s="50"/>
    </row>
    <row r="630">
      <c r="U630" s="50"/>
      <c r="V630" s="50"/>
      <c r="W630" s="50"/>
      <c r="X630" s="50"/>
      <c r="Y630" s="50"/>
      <c r="Z630" s="50"/>
      <c r="AA630" s="50"/>
      <c r="AB630" s="50"/>
      <c r="AC630" s="50"/>
      <c r="AD630" s="50"/>
      <c r="AE630" s="50"/>
      <c r="AF630" s="50"/>
      <c r="AG630" s="50"/>
      <c r="AH630" s="50"/>
      <c r="AI630" s="50"/>
      <c r="AJ630" s="50"/>
      <c r="AK630" s="50"/>
      <c r="AL630" s="50"/>
    </row>
    <row r="631">
      <c r="U631" s="50"/>
      <c r="V631" s="50"/>
      <c r="W631" s="50"/>
      <c r="X631" s="50"/>
      <c r="Y631" s="50"/>
      <c r="Z631" s="50"/>
      <c r="AA631" s="50"/>
      <c r="AB631" s="50"/>
      <c r="AC631" s="50"/>
      <c r="AD631" s="50"/>
      <c r="AE631" s="50"/>
      <c r="AF631" s="50"/>
      <c r="AG631" s="50"/>
      <c r="AH631" s="50"/>
      <c r="AI631" s="50"/>
      <c r="AJ631" s="50"/>
      <c r="AK631" s="50"/>
      <c r="AL631" s="50"/>
    </row>
    <row r="632">
      <c r="U632" s="50"/>
      <c r="V632" s="50"/>
      <c r="W632" s="50"/>
      <c r="X632" s="50"/>
      <c r="Y632" s="50"/>
      <c r="Z632" s="50"/>
      <c r="AA632" s="50"/>
      <c r="AB632" s="50"/>
      <c r="AC632" s="50"/>
      <c r="AD632" s="50"/>
      <c r="AE632" s="50"/>
      <c r="AF632" s="50"/>
      <c r="AG632" s="50"/>
      <c r="AH632" s="50"/>
      <c r="AI632" s="50"/>
      <c r="AJ632" s="50"/>
      <c r="AK632" s="50"/>
      <c r="AL632" s="50"/>
    </row>
    <row r="633">
      <c r="U633" s="50"/>
      <c r="V633" s="50"/>
      <c r="W633" s="50"/>
      <c r="X633" s="50"/>
      <c r="Y633" s="50"/>
      <c r="Z633" s="50"/>
      <c r="AA633" s="50"/>
      <c r="AB633" s="50"/>
      <c r="AC633" s="50"/>
      <c r="AD633" s="50"/>
      <c r="AE633" s="50"/>
      <c r="AF633" s="50"/>
      <c r="AG633" s="50"/>
      <c r="AH633" s="50"/>
      <c r="AI633" s="50"/>
      <c r="AJ633" s="50"/>
      <c r="AK633" s="50"/>
      <c r="AL633" s="50"/>
    </row>
    <row r="634">
      <c r="U634" s="50"/>
      <c r="V634" s="50"/>
      <c r="W634" s="50"/>
      <c r="X634" s="50"/>
      <c r="Y634" s="50"/>
      <c r="Z634" s="50"/>
      <c r="AA634" s="50"/>
      <c r="AB634" s="50"/>
      <c r="AC634" s="50"/>
      <c r="AD634" s="50"/>
      <c r="AE634" s="50"/>
      <c r="AF634" s="50"/>
      <c r="AG634" s="50"/>
      <c r="AH634" s="50"/>
      <c r="AI634" s="50"/>
      <c r="AJ634" s="50"/>
      <c r="AK634" s="50"/>
      <c r="AL634" s="50"/>
    </row>
    <row r="635">
      <c r="U635" s="50"/>
      <c r="V635" s="50"/>
      <c r="W635" s="50"/>
      <c r="X635" s="50"/>
      <c r="Y635" s="50"/>
      <c r="Z635" s="50"/>
      <c r="AA635" s="50"/>
      <c r="AB635" s="50"/>
      <c r="AC635" s="50"/>
      <c r="AD635" s="50"/>
      <c r="AE635" s="50"/>
      <c r="AF635" s="50"/>
      <c r="AG635" s="50"/>
      <c r="AH635" s="50"/>
      <c r="AI635" s="50"/>
      <c r="AJ635" s="50"/>
      <c r="AK635" s="50"/>
      <c r="AL635" s="50"/>
    </row>
    <row r="636">
      <c r="U636" s="50"/>
      <c r="V636" s="50"/>
      <c r="W636" s="50"/>
      <c r="X636" s="50"/>
      <c r="Y636" s="50"/>
      <c r="Z636" s="50"/>
      <c r="AA636" s="50"/>
      <c r="AB636" s="50"/>
      <c r="AC636" s="50"/>
      <c r="AD636" s="50"/>
      <c r="AE636" s="50"/>
      <c r="AF636" s="50"/>
      <c r="AG636" s="50"/>
      <c r="AH636" s="50"/>
      <c r="AI636" s="50"/>
      <c r="AJ636" s="50"/>
      <c r="AK636" s="50"/>
      <c r="AL636" s="50"/>
    </row>
    <row r="637">
      <c r="U637" s="50"/>
      <c r="V637" s="50"/>
      <c r="W637" s="50"/>
      <c r="X637" s="50"/>
      <c r="Y637" s="50"/>
      <c r="Z637" s="50"/>
      <c r="AA637" s="50"/>
      <c r="AB637" s="50"/>
      <c r="AC637" s="50"/>
      <c r="AD637" s="50"/>
      <c r="AE637" s="50"/>
      <c r="AF637" s="50"/>
      <c r="AG637" s="50"/>
      <c r="AH637" s="50"/>
      <c r="AI637" s="50"/>
      <c r="AJ637" s="50"/>
      <c r="AK637" s="50"/>
      <c r="AL637" s="50"/>
    </row>
    <row r="638">
      <c r="U638" s="50"/>
      <c r="V638" s="50"/>
      <c r="W638" s="50"/>
      <c r="X638" s="50"/>
      <c r="Y638" s="50"/>
      <c r="Z638" s="50"/>
      <c r="AA638" s="50"/>
      <c r="AB638" s="50"/>
      <c r="AC638" s="50"/>
      <c r="AD638" s="50"/>
      <c r="AE638" s="50"/>
      <c r="AF638" s="50"/>
      <c r="AG638" s="50"/>
      <c r="AH638" s="50"/>
      <c r="AI638" s="50"/>
      <c r="AJ638" s="50"/>
      <c r="AK638" s="50"/>
      <c r="AL638" s="50"/>
    </row>
    <row r="639">
      <c r="U639" s="50"/>
      <c r="V639" s="50"/>
      <c r="W639" s="50"/>
      <c r="X639" s="50"/>
      <c r="Y639" s="50"/>
      <c r="Z639" s="50"/>
      <c r="AA639" s="50"/>
      <c r="AB639" s="50"/>
      <c r="AC639" s="50"/>
      <c r="AD639" s="50"/>
      <c r="AE639" s="50"/>
      <c r="AF639" s="50"/>
      <c r="AG639" s="50"/>
      <c r="AH639" s="50"/>
      <c r="AI639" s="50"/>
      <c r="AJ639" s="50"/>
      <c r="AK639" s="50"/>
      <c r="AL639" s="50"/>
    </row>
    <row r="640">
      <c r="U640" s="50"/>
      <c r="V640" s="50"/>
      <c r="W640" s="50"/>
      <c r="X640" s="50"/>
      <c r="Y640" s="50"/>
      <c r="Z640" s="50"/>
      <c r="AA640" s="50"/>
      <c r="AB640" s="50"/>
      <c r="AC640" s="50"/>
      <c r="AD640" s="50"/>
      <c r="AE640" s="50"/>
      <c r="AF640" s="50"/>
      <c r="AG640" s="50"/>
      <c r="AH640" s="50"/>
      <c r="AI640" s="50"/>
      <c r="AJ640" s="50"/>
      <c r="AK640" s="50"/>
      <c r="AL640" s="50"/>
    </row>
    <row r="641">
      <c r="U641" s="50"/>
      <c r="V641" s="50"/>
      <c r="W641" s="50"/>
      <c r="X641" s="50"/>
      <c r="Y641" s="50"/>
      <c r="Z641" s="50"/>
      <c r="AA641" s="50"/>
      <c r="AB641" s="50"/>
      <c r="AC641" s="50"/>
      <c r="AD641" s="50"/>
      <c r="AE641" s="50"/>
      <c r="AF641" s="50"/>
      <c r="AG641" s="50"/>
      <c r="AH641" s="50"/>
      <c r="AI641" s="50"/>
      <c r="AJ641" s="50"/>
      <c r="AK641" s="50"/>
      <c r="AL641" s="50"/>
    </row>
    <row r="642">
      <c r="U642" s="50"/>
      <c r="V642" s="50"/>
      <c r="W642" s="50"/>
      <c r="X642" s="50"/>
      <c r="Y642" s="50"/>
      <c r="Z642" s="50"/>
      <c r="AA642" s="50"/>
      <c r="AB642" s="50"/>
      <c r="AC642" s="50"/>
      <c r="AD642" s="50"/>
      <c r="AE642" s="50"/>
      <c r="AF642" s="50"/>
      <c r="AG642" s="50"/>
      <c r="AH642" s="50"/>
      <c r="AI642" s="50"/>
      <c r="AJ642" s="50"/>
      <c r="AK642" s="50"/>
      <c r="AL642" s="50"/>
    </row>
    <row r="643">
      <c r="U643" s="50"/>
      <c r="V643" s="50"/>
      <c r="W643" s="50"/>
      <c r="X643" s="50"/>
      <c r="Y643" s="50"/>
      <c r="Z643" s="50"/>
      <c r="AA643" s="50"/>
      <c r="AB643" s="50"/>
      <c r="AC643" s="50"/>
      <c r="AD643" s="50"/>
      <c r="AE643" s="50"/>
      <c r="AF643" s="50"/>
      <c r="AG643" s="50"/>
      <c r="AH643" s="50"/>
      <c r="AI643" s="50"/>
      <c r="AJ643" s="50"/>
      <c r="AK643" s="50"/>
      <c r="AL643" s="50"/>
    </row>
    <row r="644">
      <c r="U644" s="50"/>
      <c r="V644" s="50"/>
      <c r="W644" s="50"/>
      <c r="X644" s="50"/>
      <c r="Y644" s="50"/>
      <c r="Z644" s="50"/>
      <c r="AA644" s="50"/>
      <c r="AB644" s="50"/>
      <c r="AC644" s="50"/>
      <c r="AD644" s="50"/>
      <c r="AE644" s="50"/>
      <c r="AF644" s="50"/>
      <c r="AG644" s="50"/>
      <c r="AH644" s="50"/>
      <c r="AI644" s="50"/>
      <c r="AJ644" s="50"/>
      <c r="AK644" s="50"/>
      <c r="AL644" s="50"/>
    </row>
    <row r="645">
      <c r="U645" s="50"/>
      <c r="V645" s="50"/>
      <c r="W645" s="50"/>
      <c r="X645" s="50"/>
      <c r="Y645" s="50"/>
      <c r="Z645" s="50"/>
      <c r="AA645" s="50"/>
      <c r="AB645" s="50"/>
      <c r="AC645" s="50"/>
      <c r="AD645" s="50"/>
      <c r="AE645" s="50"/>
      <c r="AF645" s="50"/>
      <c r="AG645" s="50"/>
      <c r="AH645" s="50"/>
      <c r="AI645" s="50"/>
      <c r="AJ645" s="50"/>
      <c r="AK645" s="50"/>
      <c r="AL645" s="50"/>
    </row>
    <row r="646">
      <c r="U646" s="50"/>
      <c r="V646" s="50"/>
      <c r="W646" s="50"/>
      <c r="X646" s="50"/>
      <c r="Y646" s="50"/>
      <c r="Z646" s="50"/>
      <c r="AA646" s="50"/>
      <c r="AB646" s="50"/>
      <c r="AC646" s="50"/>
      <c r="AD646" s="50"/>
      <c r="AE646" s="50"/>
      <c r="AF646" s="50"/>
      <c r="AG646" s="50"/>
      <c r="AH646" s="50"/>
      <c r="AI646" s="50"/>
      <c r="AJ646" s="50"/>
      <c r="AK646" s="50"/>
      <c r="AL646" s="50"/>
    </row>
    <row r="647">
      <c r="U647" s="50"/>
      <c r="V647" s="50"/>
      <c r="W647" s="50"/>
      <c r="X647" s="50"/>
      <c r="Y647" s="50"/>
      <c r="Z647" s="50"/>
      <c r="AA647" s="50"/>
      <c r="AB647" s="50"/>
      <c r="AC647" s="50"/>
      <c r="AD647" s="50"/>
      <c r="AE647" s="50"/>
      <c r="AF647" s="50"/>
      <c r="AG647" s="50"/>
      <c r="AH647" s="50"/>
      <c r="AI647" s="50"/>
      <c r="AJ647" s="50"/>
      <c r="AK647" s="50"/>
      <c r="AL647" s="50"/>
    </row>
    <row r="648">
      <c r="U648" s="50"/>
      <c r="V648" s="50"/>
      <c r="W648" s="50"/>
      <c r="X648" s="50"/>
      <c r="Y648" s="50"/>
      <c r="Z648" s="50"/>
      <c r="AA648" s="50"/>
      <c r="AB648" s="50"/>
      <c r="AC648" s="50"/>
      <c r="AD648" s="50"/>
      <c r="AE648" s="50"/>
      <c r="AF648" s="50"/>
      <c r="AG648" s="50"/>
      <c r="AH648" s="50"/>
      <c r="AI648" s="50"/>
      <c r="AJ648" s="50"/>
      <c r="AK648" s="50"/>
      <c r="AL648" s="50"/>
    </row>
    <row r="649">
      <c r="U649" s="50"/>
      <c r="V649" s="50"/>
      <c r="W649" s="50"/>
      <c r="X649" s="50"/>
      <c r="Y649" s="50"/>
      <c r="Z649" s="50"/>
      <c r="AA649" s="50"/>
      <c r="AB649" s="50"/>
      <c r="AC649" s="50"/>
      <c r="AD649" s="50"/>
      <c r="AE649" s="50"/>
      <c r="AF649" s="50"/>
      <c r="AG649" s="50"/>
      <c r="AH649" s="50"/>
      <c r="AI649" s="50"/>
      <c r="AJ649" s="50"/>
      <c r="AK649" s="50"/>
      <c r="AL649" s="50"/>
    </row>
    <row r="650">
      <c r="U650" s="50"/>
      <c r="V650" s="50"/>
      <c r="W650" s="50"/>
      <c r="X650" s="50"/>
      <c r="Y650" s="50"/>
      <c r="Z650" s="50"/>
      <c r="AA650" s="50"/>
      <c r="AB650" s="50"/>
      <c r="AC650" s="50"/>
      <c r="AD650" s="50"/>
      <c r="AE650" s="50"/>
      <c r="AF650" s="50"/>
      <c r="AG650" s="50"/>
      <c r="AH650" s="50"/>
      <c r="AI650" s="50"/>
      <c r="AJ650" s="50"/>
      <c r="AK650" s="50"/>
      <c r="AL650" s="50"/>
    </row>
    <row r="651">
      <c r="U651" s="50"/>
      <c r="V651" s="50"/>
      <c r="W651" s="50"/>
      <c r="X651" s="50"/>
      <c r="Y651" s="50"/>
      <c r="Z651" s="50"/>
      <c r="AA651" s="50"/>
      <c r="AB651" s="50"/>
      <c r="AC651" s="50"/>
      <c r="AD651" s="50"/>
      <c r="AE651" s="50"/>
      <c r="AF651" s="50"/>
      <c r="AG651" s="50"/>
      <c r="AH651" s="50"/>
      <c r="AI651" s="50"/>
      <c r="AJ651" s="50"/>
      <c r="AK651" s="50"/>
      <c r="AL651" s="50"/>
    </row>
    <row r="652">
      <c r="U652" s="50"/>
      <c r="V652" s="50"/>
      <c r="W652" s="50"/>
      <c r="X652" s="50"/>
      <c r="Y652" s="50"/>
      <c r="Z652" s="50"/>
      <c r="AA652" s="50"/>
      <c r="AB652" s="50"/>
      <c r="AC652" s="50"/>
      <c r="AD652" s="50"/>
      <c r="AE652" s="50"/>
      <c r="AF652" s="50"/>
      <c r="AG652" s="50"/>
      <c r="AH652" s="50"/>
      <c r="AI652" s="50"/>
      <c r="AJ652" s="50"/>
      <c r="AK652" s="50"/>
      <c r="AL652" s="50"/>
    </row>
    <row r="653">
      <c r="U653" s="50"/>
      <c r="V653" s="50"/>
      <c r="W653" s="50"/>
      <c r="X653" s="50"/>
      <c r="Y653" s="50"/>
      <c r="Z653" s="50"/>
      <c r="AA653" s="50"/>
      <c r="AB653" s="50"/>
      <c r="AC653" s="50"/>
      <c r="AD653" s="50"/>
      <c r="AE653" s="50"/>
      <c r="AF653" s="50"/>
      <c r="AG653" s="50"/>
      <c r="AH653" s="50"/>
      <c r="AI653" s="50"/>
      <c r="AJ653" s="50"/>
      <c r="AK653" s="50"/>
      <c r="AL653" s="50"/>
    </row>
    <row r="654">
      <c r="U654" s="50"/>
      <c r="V654" s="50"/>
      <c r="W654" s="50"/>
      <c r="X654" s="50"/>
      <c r="Y654" s="50"/>
      <c r="Z654" s="50"/>
      <c r="AA654" s="50"/>
      <c r="AB654" s="50"/>
      <c r="AC654" s="50"/>
      <c r="AD654" s="50"/>
      <c r="AE654" s="50"/>
      <c r="AF654" s="50"/>
      <c r="AG654" s="50"/>
      <c r="AH654" s="50"/>
      <c r="AI654" s="50"/>
      <c r="AJ654" s="50"/>
      <c r="AK654" s="50"/>
      <c r="AL654" s="50"/>
    </row>
    <row r="655">
      <c r="U655" s="50"/>
      <c r="V655" s="50"/>
      <c r="W655" s="50"/>
      <c r="X655" s="50"/>
      <c r="Y655" s="50"/>
      <c r="Z655" s="50"/>
      <c r="AA655" s="50"/>
      <c r="AB655" s="50"/>
      <c r="AC655" s="50"/>
      <c r="AD655" s="50"/>
      <c r="AE655" s="50"/>
      <c r="AF655" s="50"/>
      <c r="AG655" s="50"/>
      <c r="AH655" s="50"/>
      <c r="AI655" s="50"/>
      <c r="AJ655" s="50"/>
      <c r="AK655" s="50"/>
      <c r="AL655" s="50"/>
    </row>
    <row r="656">
      <c r="U656" s="50"/>
      <c r="V656" s="50"/>
      <c r="W656" s="50"/>
      <c r="X656" s="50"/>
      <c r="Y656" s="50"/>
      <c r="Z656" s="50"/>
      <c r="AA656" s="50"/>
      <c r="AB656" s="50"/>
      <c r="AC656" s="50"/>
      <c r="AD656" s="50"/>
      <c r="AE656" s="50"/>
      <c r="AF656" s="50"/>
      <c r="AG656" s="50"/>
      <c r="AH656" s="50"/>
      <c r="AI656" s="50"/>
      <c r="AJ656" s="50"/>
      <c r="AK656" s="50"/>
      <c r="AL656" s="50"/>
    </row>
    <row r="657">
      <c r="U657" s="50"/>
      <c r="V657" s="50"/>
      <c r="W657" s="50"/>
      <c r="X657" s="50"/>
      <c r="Y657" s="50"/>
      <c r="Z657" s="50"/>
      <c r="AA657" s="50"/>
      <c r="AB657" s="50"/>
      <c r="AC657" s="50"/>
      <c r="AD657" s="50"/>
      <c r="AE657" s="50"/>
      <c r="AF657" s="50"/>
      <c r="AG657" s="50"/>
      <c r="AH657" s="50"/>
      <c r="AI657" s="50"/>
      <c r="AJ657" s="50"/>
      <c r="AK657" s="50"/>
      <c r="AL657" s="50"/>
    </row>
    <row r="658">
      <c r="U658" s="50"/>
      <c r="V658" s="50"/>
      <c r="W658" s="50"/>
      <c r="X658" s="50"/>
      <c r="Y658" s="50"/>
      <c r="Z658" s="50"/>
      <c r="AA658" s="50"/>
      <c r="AB658" s="50"/>
      <c r="AC658" s="50"/>
      <c r="AD658" s="50"/>
      <c r="AE658" s="50"/>
      <c r="AF658" s="50"/>
      <c r="AG658" s="50"/>
      <c r="AH658" s="50"/>
      <c r="AI658" s="50"/>
      <c r="AJ658" s="50"/>
      <c r="AK658" s="50"/>
      <c r="AL658" s="50"/>
    </row>
    <row r="659">
      <c r="U659" s="50"/>
      <c r="V659" s="50"/>
      <c r="W659" s="50"/>
      <c r="X659" s="50"/>
      <c r="Y659" s="50"/>
      <c r="Z659" s="50"/>
      <c r="AA659" s="50"/>
      <c r="AB659" s="50"/>
      <c r="AC659" s="50"/>
      <c r="AD659" s="50"/>
      <c r="AE659" s="50"/>
      <c r="AF659" s="50"/>
      <c r="AG659" s="50"/>
      <c r="AH659" s="50"/>
      <c r="AI659" s="50"/>
      <c r="AJ659" s="50"/>
      <c r="AK659" s="50"/>
      <c r="AL659" s="50"/>
    </row>
    <row r="660">
      <c r="U660" s="50"/>
      <c r="V660" s="50"/>
      <c r="W660" s="50"/>
      <c r="X660" s="50"/>
      <c r="Y660" s="50"/>
      <c r="Z660" s="50"/>
      <c r="AA660" s="50"/>
      <c r="AB660" s="50"/>
      <c r="AC660" s="50"/>
      <c r="AD660" s="50"/>
      <c r="AE660" s="50"/>
      <c r="AF660" s="50"/>
      <c r="AG660" s="50"/>
      <c r="AH660" s="50"/>
      <c r="AI660" s="50"/>
      <c r="AJ660" s="50"/>
      <c r="AK660" s="50"/>
      <c r="AL660" s="50"/>
    </row>
    <row r="661">
      <c r="U661" s="50"/>
      <c r="V661" s="50"/>
      <c r="W661" s="50"/>
      <c r="X661" s="50"/>
      <c r="Y661" s="50"/>
      <c r="Z661" s="50"/>
      <c r="AA661" s="50"/>
      <c r="AB661" s="50"/>
      <c r="AC661" s="50"/>
      <c r="AD661" s="50"/>
      <c r="AE661" s="50"/>
      <c r="AF661" s="50"/>
      <c r="AG661" s="50"/>
      <c r="AH661" s="50"/>
      <c r="AI661" s="50"/>
      <c r="AJ661" s="50"/>
      <c r="AK661" s="50"/>
      <c r="AL661" s="50"/>
    </row>
    <row r="662">
      <c r="U662" s="50"/>
      <c r="V662" s="50"/>
      <c r="W662" s="50"/>
      <c r="X662" s="50"/>
      <c r="Y662" s="50"/>
      <c r="Z662" s="50"/>
      <c r="AA662" s="50"/>
      <c r="AB662" s="50"/>
      <c r="AC662" s="50"/>
      <c r="AD662" s="50"/>
      <c r="AE662" s="50"/>
      <c r="AF662" s="50"/>
      <c r="AG662" s="50"/>
      <c r="AH662" s="50"/>
      <c r="AI662" s="50"/>
      <c r="AJ662" s="50"/>
      <c r="AK662" s="50"/>
      <c r="AL662" s="50"/>
    </row>
    <row r="663">
      <c r="U663" s="50"/>
      <c r="V663" s="50"/>
      <c r="W663" s="50"/>
      <c r="X663" s="50"/>
      <c r="Y663" s="50"/>
      <c r="Z663" s="50"/>
      <c r="AA663" s="50"/>
      <c r="AB663" s="50"/>
      <c r="AC663" s="50"/>
      <c r="AD663" s="50"/>
      <c r="AE663" s="50"/>
      <c r="AF663" s="50"/>
      <c r="AG663" s="50"/>
      <c r="AH663" s="50"/>
      <c r="AI663" s="50"/>
      <c r="AJ663" s="50"/>
      <c r="AK663" s="50"/>
      <c r="AL663" s="50"/>
    </row>
    <row r="664">
      <c r="U664" s="50"/>
      <c r="V664" s="50"/>
      <c r="W664" s="50"/>
      <c r="X664" s="50"/>
      <c r="Y664" s="50"/>
      <c r="Z664" s="50"/>
      <c r="AA664" s="50"/>
      <c r="AB664" s="50"/>
      <c r="AC664" s="50"/>
      <c r="AD664" s="50"/>
      <c r="AE664" s="50"/>
      <c r="AF664" s="50"/>
      <c r="AG664" s="50"/>
      <c r="AH664" s="50"/>
      <c r="AI664" s="50"/>
      <c r="AJ664" s="50"/>
      <c r="AK664" s="50"/>
      <c r="AL664" s="50"/>
    </row>
    <row r="665">
      <c r="U665" s="50"/>
      <c r="V665" s="50"/>
      <c r="W665" s="50"/>
      <c r="X665" s="50"/>
      <c r="Y665" s="50"/>
      <c r="Z665" s="50"/>
      <c r="AA665" s="50"/>
      <c r="AB665" s="50"/>
      <c r="AC665" s="50"/>
      <c r="AD665" s="50"/>
      <c r="AE665" s="50"/>
      <c r="AF665" s="50"/>
      <c r="AG665" s="50"/>
      <c r="AH665" s="50"/>
      <c r="AI665" s="50"/>
      <c r="AJ665" s="50"/>
      <c r="AK665" s="50"/>
      <c r="AL665" s="50"/>
    </row>
    <row r="666">
      <c r="U666" s="50"/>
      <c r="V666" s="50"/>
      <c r="W666" s="50"/>
      <c r="X666" s="50"/>
      <c r="Y666" s="50"/>
      <c r="Z666" s="50"/>
      <c r="AA666" s="50"/>
      <c r="AB666" s="50"/>
      <c r="AC666" s="50"/>
      <c r="AD666" s="50"/>
      <c r="AE666" s="50"/>
      <c r="AF666" s="50"/>
      <c r="AG666" s="50"/>
      <c r="AH666" s="50"/>
      <c r="AI666" s="50"/>
      <c r="AJ666" s="50"/>
      <c r="AK666" s="50"/>
      <c r="AL666" s="50"/>
    </row>
    <row r="667">
      <c r="U667" s="50"/>
      <c r="V667" s="50"/>
      <c r="W667" s="50"/>
      <c r="X667" s="50"/>
      <c r="Y667" s="50"/>
      <c r="Z667" s="50"/>
      <c r="AA667" s="50"/>
      <c r="AB667" s="50"/>
      <c r="AC667" s="50"/>
      <c r="AD667" s="50"/>
      <c r="AE667" s="50"/>
      <c r="AF667" s="50"/>
      <c r="AG667" s="50"/>
      <c r="AH667" s="50"/>
      <c r="AI667" s="50"/>
      <c r="AJ667" s="50"/>
      <c r="AK667" s="50"/>
      <c r="AL667" s="50"/>
    </row>
    <row r="668">
      <c r="U668" s="50"/>
      <c r="V668" s="50"/>
      <c r="W668" s="50"/>
      <c r="X668" s="50"/>
      <c r="Y668" s="50"/>
      <c r="Z668" s="50"/>
      <c r="AA668" s="50"/>
      <c r="AB668" s="50"/>
      <c r="AC668" s="50"/>
      <c r="AD668" s="50"/>
      <c r="AE668" s="50"/>
      <c r="AF668" s="50"/>
      <c r="AG668" s="50"/>
      <c r="AH668" s="50"/>
      <c r="AI668" s="50"/>
      <c r="AJ668" s="50"/>
      <c r="AK668" s="50"/>
      <c r="AL668" s="50"/>
    </row>
    <row r="669">
      <c r="U669" s="50"/>
      <c r="V669" s="50"/>
      <c r="W669" s="50"/>
      <c r="X669" s="50"/>
      <c r="Y669" s="50"/>
      <c r="Z669" s="50"/>
      <c r="AA669" s="50"/>
      <c r="AB669" s="50"/>
      <c r="AC669" s="50"/>
      <c r="AD669" s="50"/>
      <c r="AE669" s="50"/>
      <c r="AF669" s="50"/>
      <c r="AG669" s="50"/>
      <c r="AH669" s="50"/>
      <c r="AI669" s="50"/>
      <c r="AJ669" s="50"/>
      <c r="AK669" s="50"/>
      <c r="AL669" s="50"/>
    </row>
    <row r="670">
      <c r="U670" s="50"/>
      <c r="V670" s="50"/>
      <c r="W670" s="50"/>
      <c r="X670" s="50"/>
      <c r="Y670" s="50"/>
      <c r="Z670" s="50"/>
      <c r="AA670" s="50"/>
      <c r="AB670" s="50"/>
      <c r="AC670" s="50"/>
      <c r="AD670" s="50"/>
      <c r="AE670" s="50"/>
      <c r="AF670" s="50"/>
      <c r="AG670" s="50"/>
      <c r="AH670" s="50"/>
      <c r="AI670" s="50"/>
      <c r="AJ670" s="50"/>
      <c r="AK670" s="50"/>
      <c r="AL670" s="50"/>
    </row>
    <row r="671">
      <c r="U671" s="50"/>
      <c r="V671" s="50"/>
      <c r="W671" s="50"/>
      <c r="X671" s="50"/>
      <c r="Y671" s="50"/>
      <c r="Z671" s="50"/>
      <c r="AA671" s="50"/>
      <c r="AB671" s="50"/>
      <c r="AC671" s="50"/>
      <c r="AD671" s="50"/>
      <c r="AE671" s="50"/>
      <c r="AF671" s="50"/>
      <c r="AG671" s="50"/>
      <c r="AH671" s="50"/>
      <c r="AI671" s="50"/>
      <c r="AJ671" s="50"/>
      <c r="AK671" s="50"/>
      <c r="AL671" s="50"/>
    </row>
    <row r="672">
      <c r="U672" s="50"/>
      <c r="V672" s="50"/>
      <c r="W672" s="50"/>
      <c r="X672" s="50"/>
      <c r="Y672" s="50"/>
      <c r="Z672" s="50"/>
      <c r="AA672" s="50"/>
      <c r="AB672" s="50"/>
      <c r="AC672" s="50"/>
      <c r="AD672" s="50"/>
      <c r="AE672" s="50"/>
      <c r="AF672" s="50"/>
      <c r="AG672" s="50"/>
      <c r="AH672" s="50"/>
      <c r="AI672" s="50"/>
      <c r="AJ672" s="50"/>
      <c r="AK672" s="50"/>
      <c r="AL672" s="50"/>
    </row>
    <row r="673">
      <c r="U673" s="50"/>
      <c r="V673" s="50"/>
      <c r="W673" s="50"/>
      <c r="X673" s="50"/>
      <c r="Y673" s="50"/>
      <c r="Z673" s="50"/>
      <c r="AA673" s="50"/>
      <c r="AB673" s="50"/>
      <c r="AC673" s="50"/>
      <c r="AD673" s="50"/>
      <c r="AE673" s="50"/>
      <c r="AF673" s="50"/>
      <c r="AG673" s="50"/>
      <c r="AH673" s="50"/>
      <c r="AI673" s="50"/>
      <c r="AJ673" s="50"/>
      <c r="AK673" s="50"/>
      <c r="AL673" s="50"/>
    </row>
    <row r="674">
      <c r="U674" s="50"/>
      <c r="V674" s="50"/>
      <c r="W674" s="50"/>
      <c r="X674" s="50"/>
      <c r="Y674" s="50"/>
      <c r="Z674" s="50"/>
      <c r="AA674" s="50"/>
      <c r="AB674" s="50"/>
      <c r="AC674" s="50"/>
      <c r="AD674" s="50"/>
      <c r="AE674" s="50"/>
      <c r="AF674" s="50"/>
      <c r="AG674" s="50"/>
      <c r="AH674" s="50"/>
      <c r="AI674" s="50"/>
      <c r="AJ674" s="50"/>
      <c r="AK674" s="50"/>
      <c r="AL674" s="50"/>
    </row>
    <row r="675">
      <c r="U675" s="50"/>
      <c r="V675" s="50"/>
      <c r="W675" s="50"/>
      <c r="X675" s="50"/>
      <c r="Y675" s="50"/>
      <c r="Z675" s="50"/>
      <c r="AA675" s="50"/>
      <c r="AB675" s="50"/>
      <c r="AC675" s="50"/>
      <c r="AD675" s="50"/>
      <c r="AE675" s="50"/>
      <c r="AF675" s="50"/>
      <c r="AG675" s="50"/>
      <c r="AH675" s="50"/>
      <c r="AI675" s="50"/>
      <c r="AJ675" s="50"/>
      <c r="AK675" s="50"/>
      <c r="AL675" s="50"/>
    </row>
    <row r="676">
      <c r="U676" s="50"/>
      <c r="V676" s="50"/>
      <c r="W676" s="50"/>
      <c r="X676" s="50"/>
      <c r="Y676" s="50"/>
      <c r="Z676" s="50"/>
      <c r="AA676" s="50"/>
      <c r="AB676" s="50"/>
      <c r="AC676" s="50"/>
      <c r="AD676" s="50"/>
      <c r="AE676" s="50"/>
      <c r="AF676" s="50"/>
      <c r="AG676" s="50"/>
      <c r="AH676" s="50"/>
      <c r="AI676" s="50"/>
      <c r="AJ676" s="50"/>
      <c r="AK676" s="50"/>
      <c r="AL676" s="50"/>
    </row>
    <row r="677">
      <c r="U677" s="50"/>
      <c r="V677" s="50"/>
      <c r="W677" s="50"/>
      <c r="X677" s="50"/>
      <c r="Y677" s="50"/>
      <c r="Z677" s="50"/>
      <c r="AA677" s="50"/>
      <c r="AB677" s="50"/>
      <c r="AC677" s="50"/>
      <c r="AD677" s="50"/>
      <c r="AE677" s="50"/>
      <c r="AF677" s="50"/>
      <c r="AG677" s="50"/>
      <c r="AH677" s="50"/>
      <c r="AI677" s="50"/>
      <c r="AJ677" s="50"/>
      <c r="AK677" s="50"/>
      <c r="AL677" s="50"/>
    </row>
    <row r="678">
      <c r="U678" s="50"/>
      <c r="V678" s="50"/>
      <c r="W678" s="50"/>
      <c r="X678" s="50"/>
      <c r="Y678" s="50"/>
      <c r="Z678" s="50"/>
      <c r="AA678" s="50"/>
      <c r="AB678" s="50"/>
      <c r="AC678" s="50"/>
      <c r="AD678" s="50"/>
      <c r="AE678" s="50"/>
      <c r="AF678" s="50"/>
      <c r="AG678" s="50"/>
      <c r="AH678" s="50"/>
      <c r="AI678" s="50"/>
      <c r="AJ678" s="50"/>
      <c r="AK678" s="50"/>
      <c r="AL678" s="50"/>
    </row>
    <row r="679">
      <c r="U679" s="50"/>
      <c r="V679" s="50"/>
      <c r="W679" s="50"/>
      <c r="X679" s="50"/>
      <c r="Y679" s="50"/>
      <c r="Z679" s="50"/>
      <c r="AA679" s="50"/>
      <c r="AB679" s="50"/>
      <c r="AC679" s="50"/>
      <c r="AD679" s="50"/>
      <c r="AE679" s="50"/>
      <c r="AF679" s="50"/>
      <c r="AG679" s="50"/>
      <c r="AH679" s="50"/>
      <c r="AI679" s="50"/>
      <c r="AJ679" s="50"/>
      <c r="AK679" s="50"/>
      <c r="AL679" s="50"/>
    </row>
    <row r="680">
      <c r="U680" s="50"/>
      <c r="V680" s="50"/>
      <c r="W680" s="50"/>
      <c r="X680" s="50"/>
      <c r="Y680" s="50"/>
      <c r="Z680" s="50"/>
      <c r="AA680" s="50"/>
      <c r="AB680" s="50"/>
      <c r="AC680" s="50"/>
      <c r="AD680" s="50"/>
      <c r="AE680" s="50"/>
      <c r="AF680" s="50"/>
      <c r="AG680" s="50"/>
      <c r="AH680" s="50"/>
      <c r="AI680" s="50"/>
      <c r="AJ680" s="50"/>
      <c r="AK680" s="50"/>
      <c r="AL680" s="50"/>
    </row>
    <row r="681">
      <c r="U681" s="50"/>
      <c r="V681" s="50"/>
      <c r="W681" s="50"/>
      <c r="X681" s="50"/>
      <c r="Y681" s="50"/>
      <c r="Z681" s="50"/>
      <c r="AA681" s="50"/>
      <c r="AB681" s="50"/>
      <c r="AC681" s="50"/>
      <c r="AD681" s="50"/>
      <c r="AE681" s="50"/>
      <c r="AF681" s="50"/>
      <c r="AG681" s="50"/>
      <c r="AH681" s="50"/>
      <c r="AI681" s="50"/>
      <c r="AJ681" s="50"/>
      <c r="AK681" s="50"/>
      <c r="AL681" s="50"/>
    </row>
    <row r="682">
      <c r="U682" s="50"/>
      <c r="V682" s="50"/>
      <c r="W682" s="50"/>
      <c r="X682" s="50"/>
      <c r="Y682" s="50"/>
      <c r="Z682" s="50"/>
      <c r="AA682" s="50"/>
      <c r="AB682" s="50"/>
      <c r="AC682" s="50"/>
      <c r="AD682" s="50"/>
      <c r="AE682" s="50"/>
      <c r="AF682" s="50"/>
      <c r="AG682" s="50"/>
      <c r="AH682" s="50"/>
      <c r="AI682" s="50"/>
      <c r="AJ682" s="50"/>
      <c r="AK682" s="50"/>
      <c r="AL682" s="50"/>
    </row>
    <row r="683">
      <c r="U683" s="50"/>
      <c r="V683" s="50"/>
      <c r="W683" s="50"/>
      <c r="X683" s="50"/>
      <c r="Y683" s="50"/>
      <c r="Z683" s="50"/>
      <c r="AA683" s="50"/>
      <c r="AB683" s="50"/>
      <c r="AC683" s="50"/>
      <c r="AD683" s="50"/>
      <c r="AE683" s="50"/>
      <c r="AF683" s="50"/>
      <c r="AG683" s="50"/>
      <c r="AH683" s="50"/>
      <c r="AI683" s="50"/>
      <c r="AJ683" s="50"/>
      <c r="AK683" s="50"/>
      <c r="AL683" s="50"/>
    </row>
    <row r="684">
      <c r="U684" s="50"/>
      <c r="V684" s="50"/>
      <c r="W684" s="50"/>
      <c r="X684" s="50"/>
      <c r="Y684" s="50"/>
      <c r="Z684" s="50"/>
      <c r="AA684" s="50"/>
      <c r="AB684" s="50"/>
      <c r="AC684" s="50"/>
      <c r="AD684" s="50"/>
      <c r="AE684" s="50"/>
      <c r="AF684" s="50"/>
      <c r="AG684" s="50"/>
      <c r="AH684" s="50"/>
      <c r="AI684" s="50"/>
      <c r="AJ684" s="50"/>
      <c r="AK684" s="50"/>
      <c r="AL684" s="50"/>
    </row>
    <row r="685">
      <c r="U685" s="50"/>
      <c r="V685" s="50"/>
      <c r="W685" s="50"/>
      <c r="X685" s="50"/>
      <c r="Y685" s="50"/>
      <c r="Z685" s="50"/>
      <c r="AA685" s="50"/>
      <c r="AB685" s="50"/>
      <c r="AC685" s="50"/>
      <c r="AD685" s="50"/>
      <c r="AE685" s="50"/>
      <c r="AF685" s="50"/>
      <c r="AG685" s="50"/>
      <c r="AH685" s="50"/>
      <c r="AI685" s="50"/>
      <c r="AJ685" s="50"/>
      <c r="AK685" s="50"/>
      <c r="AL685" s="50"/>
    </row>
    <row r="686">
      <c r="U686" s="50"/>
      <c r="V686" s="50"/>
      <c r="W686" s="50"/>
      <c r="X686" s="50"/>
      <c r="Y686" s="50"/>
      <c r="Z686" s="50"/>
      <c r="AA686" s="50"/>
      <c r="AB686" s="50"/>
      <c r="AC686" s="50"/>
      <c r="AD686" s="50"/>
      <c r="AE686" s="50"/>
      <c r="AF686" s="50"/>
      <c r="AG686" s="50"/>
      <c r="AH686" s="50"/>
      <c r="AI686" s="50"/>
      <c r="AJ686" s="50"/>
      <c r="AK686" s="50"/>
      <c r="AL686" s="50"/>
    </row>
    <row r="687">
      <c r="U687" s="50"/>
      <c r="V687" s="50"/>
      <c r="W687" s="50"/>
      <c r="X687" s="50"/>
      <c r="Y687" s="50"/>
      <c r="Z687" s="50"/>
      <c r="AA687" s="50"/>
      <c r="AB687" s="50"/>
      <c r="AC687" s="50"/>
      <c r="AD687" s="50"/>
      <c r="AE687" s="50"/>
      <c r="AF687" s="50"/>
      <c r="AG687" s="50"/>
      <c r="AH687" s="50"/>
      <c r="AI687" s="50"/>
      <c r="AJ687" s="50"/>
      <c r="AK687" s="50"/>
      <c r="AL687" s="50"/>
    </row>
    <row r="688">
      <c r="U688" s="50"/>
      <c r="V688" s="50"/>
      <c r="W688" s="50"/>
      <c r="X688" s="50"/>
      <c r="Y688" s="50"/>
      <c r="Z688" s="50"/>
      <c r="AA688" s="50"/>
      <c r="AB688" s="50"/>
      <c r="AC688" s="50"/>
      <c r="AD688" s="50"/>
      <c r="AE688" s="50"/>
      <c r="AF688" s="50"/>
      <c r="AG688" s="50"/>
      <c r="AH688" s="50"/>
      <c r="AI688" s="50"/>
      <c r="AJ688" s="50"/>
      <c r="AK688" s="50"/>
      <c r="AL688" s="50"/>
    </row>
    <row r="689">
      <c r="U689" s="50"/>
      <c r="V689" s="50"/>
      <c r="W689" s="50"/>
      <c r="X689" s="50"/>
      <c r="Y689" s="50"/>
      <c r="Z689" s="50"/>
      <c r="AA689" s="50"/>
      <c r="AB689" s="50"/>
      <c r="AC689" s="50"/>
      <c r="AD689" s="50"/>
      <c r="AE689" s="50"/>
      <c r="AF689" s="50"/>
      <c r="AG689" s="50"/>
      <c r="AH689" s="50"/>
      <c r="AI689" s="50"/>
      <c r="AJ689" s="50"/>
      <c r="AK689" s="50"/>
      <c r="AL689" s="50"/>
    </row>
    <row r="690">
      <c r="U690" s="50"/>
      <c r="V690" s="50"/>
      <c r="W690" s="50"/>
      <c r="X690" s="50"/>
      <c r="Y690" s="50"/>
      <c r="Z690" s="50"/>
      <c r="AA690" s="50"/>
      <c r="AB690" s="50"/>
      <c r="AC690" s="50"/>
      <c r="AD690" s="50"/>
      <c r="AE690" s="50"/>
      <c r="AF690" s="50"/>
      <c r="AG690" s="50"/>
      <c r="AH690" s="50"/>
      <c r="AI690" s="50"/>
      <c r="AJ690" s="50"/>
      <c r="AK690" s="50"/>
      <c r="AL690" s="50"/>
    </row>
    <row r="691">
      <c r="U691" s="50"/>
      <c r="V691" s="50"/>
      <c r="W691" s="50"/>
      <c r="X691" s="50"/>
      <c r="Y691" s="50"/>
      <c r="Z691" s="50"/>
      <c r="AA691" s="50"/>
      <c r="AB691" s="50"/>
      <c r="AC691" s="50"/>
      <c r="AD691" s="50"/>
      <c r="AE691" s="50"/>
      <c r="AF691" s="50"/>
      <c r="AG691" s="50"/>
      <c r="AH691" s="50"/>
      <c r="AI691" s="50"/>
      <c r="AJ691" s="50"/>
      <c r="AK691" s="50"/>
      <c r="AL691" s="50"/>
    </row>
    <row r="692">
      <c r="U692" s="50"/>
      <c r="V692" s="50"/>
      <c r="W692" s="50"/>
      <c r="X692" s="50"/>
      <c r="Y692" s="50"/>
      <c r="Z692" s="50"/>
      <c r="AA692" s="50"/>
      <c r="AB692" s="50"/>
      <c r="AC692" s="50"/>
      <c r="AD692" s="50"/>
      <c r="AE692" s="50"/>
      <c r="AF692" s="50"/>
      <c r="AG692" s="50"/>
      <c r="AH692" s="50"/>
      <c r="AI692" s="50"/>
      <c r="AJ692" s="50"/>
      <c r="AK692" s="50"/>
      <c r="AL692" s="50"/>
    </row>
    <row r="693">
      <c r="U693" s="50"/>
      <c r="V693" s="50"/>
      <c r="W693" s="50"/>
      <c r="X693" s="50"/>
      <c r="Y693" s="50"/>
      <c r="Z693" s="50"/>
      <c r="AA693" s="50"/>
      <c r="AB693" s="50"/>
      <c r="AC693" s="50"/>
      <c r="AD693" s="50"/>
      <c r="AE693" s="50"/>
      <c r="AF693" s="50"/>
      <c r="AG693" s="50"/>
      <c r="AH693" s="50"/>
      <c r="AI693" s="50"/>
      <c r="AJ693" s="50"/>
      <c r="AK693" s="50"/>
      <c r="AL693" s="50"/>
    </row>
    <row r="694">
      <c r="U694" s="50"/>
      <c r="V694" s="50"/>
      <c r="W694" s="50"/>
      <c r="X694" s="50"/>
      <c r="Y694" s="50"/>
      <c r="Z694" s="50"/>
      <c r="AA694" s="50"/>
      <c r="AB694" s="50"/>
      <c r="AC694" s="50"/>
      <c r="AD694" s="50"/>
      <c r="AE694" s="50"/>
      <c r="AF694" s="50"/>
      <c r="AG694" s="50"/>
      <c r="AH694" s="50"/>
      <c r="AI694" s="50"/>
      <c r="AJ694" s="50"/>
      <c r="AK694" s="50"/>
      <c r="AL694" s="50"/>
    </row>
    <row r="695">
      <c r="U695" s="50"/>
      <c r="V695" s="50"/>
      <c r="W695" s="50"/>
      <c r="X695" s="50"/>
      <c r="Y695" s="50"/>
      <c r="Z695" s="50"/>
      <c r="AA695" s="50"/>
      <c r="AB695" s="50"/>
      <c r="AC695" s="50"/>
      <c r="AD695" s="50"/>
      <c r="AE695" s="50"/>
      <c r="AF695" s="50"/>
      <c r="AG695" s="50"/>
      <c r="AH695" s="50"/>
      <c r="AI695" s="50"/>
      <c r="AJ695" s="50"/>
      <c r="AK695" s="50"/>
      <c r="AL695" s="50"/>
    </row>
    <row r="696">
      <c r="U696" s="50"/>
      <c r="V696" s="50"/>
      <c r="W696" s="50"/>
      <c r="X696" s="50"/>
      <c r="Y696" s="50"/>
      <c r="Z696" s="50"/>
      <c r="AA696" s="50"/>
      <c r="AB696" s="50"/>
      <c r="AC696" s="50"/>
      <c r="AD696" s="50"/>
      <c r="AE696" s="50"/>
      <c r="AF696" s="50"/>
      <c r="AG696" s="50"/>
      <c r="AH696" s="50"/>
      <c r="AI696" s="50"/>
      <c r="AJ696" s="50"/>
      <c r="AK696" s="50"/>
      <c r="AL696" s="50"/>
    </row>
    <row r="697">
      <c r="U697" s="50"/>
      <c r="V697" s="50"/>
      <c r="W697" s="50"/>
      <c r="X697" s="50"/>
      <c r="Y697" s="50"/>
      <c r="Z697" s="50"/>
      <c r="AA697" s="50"/>
      <c r="AB697" s="50"/>
      <c r="AC697" s="50"/>
      <c r="AD697" s="50"/>
      <c r="AE697" s="50"/>
      <c r="AF697" s="50"/>
      <c r="AG697" s="50"/>
      <c r="AH697" s="50"/>
      <c r="AI697" s="50"/>
      <c r="AJ697" s="50"/>
      <c r="AK697" s="50"/>
      <c r="AL697" s="50"/>
    </row>
    <row r="698">
      <c r="U698" s="50"/>
      <c r="V698" s="50"/>
      <c r="W698" s="50"/>
      <c r="X698" s="50"/>
      <c r="Y698" s="50"/>
      <c r="Z698" s="50"/>
      <c r="AA698" s="50"/>
      <c r="AB698" s="50"/>
      <c r="AC698" s="50"/>
      <c r="AD698" s="50"/>
      <c r="AE698" s="50"/>
      <c r="AF698" s="50"/>
      <c r="AG698" s="50"/>
      <c r="AH698" s="50"/>
      <c r="AI698" s="50"/>
      <c r="AJ698" s="50"/>
      <c r="AK698" s="50"/>
      <c r="AL698" s="50"/>
    </row>
    <row r="699">
      <c r="U699" s="50"/>
      <c r="V699" s="50"/>
      <c r="W699" s="50"/>
      <c r="X699" s="50"/>
      <c r="Y699" s="50"/>
      <c r="Z699" s="50"/>
      <c r="AA699" s="50"/>
      <c r="AB699" s="50"/>
      <c r="AC699" s="50"/>
      <c r="AD699" s="50"/>
      <c r="AE699" s="50"/>
      <c r="AF699" s="50"/>
      <c r="AG699" s="50"/>
      <c r="AH699" s="50"/>
      <c r="AI699" s="50"/>
      <c r="AJ699" s="50"/>
      <c r="AK699" s="50"/>
      <c r="AL699" s="50"/>
    </row>
    <row r="700">
      <c r="U700" s="50"/>
      <c r="V700" s="50"/>
      <c r="W700" s="50"/>
      <c r="X700" s="50"/>
      <c r="Y700" s="50"/>
      <c r="Z700" s="50"/>
      <c r="AA700" s="50"/>
      <c r="AB700" s="50"/>
      <c r="AC700" s="50"/>
      <c r="AD700" s="50"/>
      <c r="AE700" s="50"/>
      <c r="AF700" s="50"/>
      <c r="AG700" s="50"/>
      <c r="AH700" s="50"/>
      <c r="AI700" s="50"/>
      <c r="AJ700" s="50"/>
      <c r="AK700" s="50"/>
      <c r="AL700" s="50"/>
    </row>
    <row r="701">
      <c r="U701" s="50"/>
      <c r="V701" s="50"/>
      <c r="W701" s="50"/>
      <c r="X701" s="50"/>
      <c r="Y701" s="50"/>
      <c r="Z701" s="50"/>
      <c r="AA701" s="50"/>
      <c r="AB701" s="50"/>
      <c r="AC701" s="50"/>
      <c r="AD701" s="50"/>
      <c r="AE701" s="50"/>
      <c r="AF701" s="50"/>
      <c r="AG701" s="50"/>
      <c r="AH701" s="50"/>
      <c r="AI701" s="50"/>
      <c r="AJ701" s="50"/>
      <c r="AK701" s="50"/>
      <c r="AL701" s="50"/>
    </row>
    <row r="702">
      <c r="U702" s="50"/>
      <c r="V702" s="50"/>
      <c r="W702" s="50"/>
      <c r="X702" s="50"/>
      <c r="Y702" s="50"/>
      <c r="Z702" s="50"/>
      <c r="AA702" s="50"/>
      <c r="AB702" s="50"/>
      <c r="AC702" s="50"/>
      <c r="AD702" s="50"/>
      <c r="AE702" s="50"/>
      <c r="AF702" s="50"/>
      <c r="AG702" s="50"/>
      <c r="AH702" s="50"/>
      <c r="AI702" s="50"/>
      <c r="AJ702" s="50"/>
      <c r="AK702" s="50"/>
      <c r="AL702" s="50"/>
    </row>
    <row r="703">
      <c r="U703" s="50"/>
      <c r="V703" s="50"/>
      <c r="W703" s="50"/>
      <c r="X703" s="50"/>
      <c r="Y703" s="50"/>
      <c r="Z703" s="50"/>
      <c r="AA703" s="50"/>
      <c r="AB703" s="50"/>
      <c r="AC703" s="50"/>
      <c r="AD703" s="50"/>
      <c r="AE703" s="50"/>
      <c r="AF703" s="50"/>
      <c r="AG703" s="50"/>
      <c r="AH703" s="50"/>
      <c r="AI703" s="50"/>
      <c r="AJ703" s="50"/>
      <c r="AK703" s="50"/>
      <c r="AL703" s="50"/>
    </row>
    <row r="704">
      <c r="U704" s="50"/>
      <c r="V704" s="50"/>
      <c r="W704" s="50"/>
      <c r="X704" s="50"/>
      <c r="Y704" s="50"/>
      <c r="Z704" s="50"/>
      <c r="AA704" s="50"/>
      <c r="AB704" s="50"/>
      <c r="AC704" s="50"/>
      <c r="AD704" s="50"/>
      <c r="AE704" s="50"/>
      <c r="AF704" s="50"/>
      <c r="AG704" s="50"/>
      <c r="AH704" s="50"/>
      <c r="AI704" s="50"/>
      <c r="AJ704" s="50"/>
      <c r="AK704" s="50"/>
      <c r="AL704" s="50"/>
    </row>
    <row r="705">
      <c r="U705" s="50"/>
      <c r="V705" s="50"/>
      <c r="W705" s="50"/>
      <c r="X705" s="50"/>
      <c r="Y705" s="50"/>
      <c r="Z705" s="50"/>
      <c r="AA705" s="50"/>
      <c r="AB705" s="50"/>
      <c r="AC705" s="50"/>
      <c r="AD705" s="50"/>
      <c r="AE705" s="50"/>
      <c r="AF705" s="50"/>
      <c r="AG705" s="50"/>
      <c r="AH705" s="50"/>
      <c r="AI705" s="50"/>
      <c r="AJ705" s="50"/>
      <c r="AK705" s="50"/>
      <c r="AL705" s="50"/>
    </row>
    <row r="706">
      <c r="U706" s="50"/>
      <c r="V706" s="50"/>
      <c r="W706" s="50"/>
      <c r="X706" s="50"/>
      <c r="Y706" s="50"/>
      <c r="Z706" s="50"/>
      <c r="AA706" s="50"/>
      <c r="AB706" s="50"/>
      <c r="AC706" s="50"/>
      <c r="AD706" s="50"/>
      <c r="AE706" s="50"/>
      <c r="AF706" s="50"/>
      <c r="AG706" s="50"/>
      <c r="AH706" s="50"/>
      <c r="AI706" s="50"/>
      <c r="AJ706" s="50"/>
      <c r="AK706" s="50"/>
      <c r="AL706" s="50"/>
    </row>
    <row r="707">
      <c r="U707" s="50"/>
      <c r="V707" s="50"/>
      <c r="W707" s="50"/>
      <c r="X707" s="50"/>
      <c r="Y707" s="50"/>
      <c r="Z707" s="50"/>
      <c r="AA707" s="50"/>
      <c r="AB707" s="50"/>
      <c r="AC707" s="50"/>
      <c r="AD707" s="50"/>
      <c r="AE707" s="50"/>
      <c r="AF707" s="50"/>
      <c r="AG707" s="50"/>
      <c r="AH707" s="50"/>
      <c r="AI707" s="50"/>
      <c r="AJ707" s="50"/>
      <c r="AK707" s="50"/>
      <c r="AL707" s="50"/>
    </row>
    <row r="708">
      <c r="U708" s="50"/>
      <c r="V708" s="50"/>
      <c r="W708" s="50"/>
      <c r="X708" s="50"/>
      <c r="Y708" s="50"/>
      <c r="Z708" s="50"/>
      <c r="AA708" s="50"/>
      <c r="AB708" s="50"/>
      <c r="AC708" s="50"/>
      <c r="AD708" s="50"/>
      <c r="AE708" s="50"/>
      <c r="AF708" s="50"/>
      <c r="AG708" s="50"/>
      <c r="AH708" s="50"/>
      <c r="AI708" s="50"/>
      <c r="AJ708" s="50"/>
      <c r="AK708" s="50"/>
      <c r="AL708" s="50"/>
    </row>
    <row r="709">
      <c r="U709" s="50"/>
      <c r="V709" s="50"/>
      <c r="W709" s="50"/>
      <c r="X709" s="50"/>
      <c r="Y709" s="50"/>
      <c r="Z709" s="50"/>
      <c r="AA709" s="50"/>
      <c r="AB709" s="50"/>
      <c r="AC709" s="50"/>
      <c r="AD709" s="50"/>
      <c r="AE709" s="50"/>
      <c r="AF709" s="50"/>
      <c r="AG709" s="50"/>
      <c r="AH709" s="50"/>
      <c r="AI709" s="50"/>
      <c r="AJ709" s="50"/>
      <c r="AK709" s="50"/>
      <c r="AL709" s="50"/>
    </row>
    <row r="710">
      <c r="U710" s="50"/>
      <c r="V710" s="50"/>
      <c r="W710" s="50"/>
      <c r="X710" s="50"/>
      <c r="Y710" s="50"/>
      <c r="Z710" s="50"/>
      <c r="AA710" s="50"/>
      <c r="AB710" s="50"/>
      <c r="AC710" s="50"/>
      <c r="AD710" s="50"/>
      <c r="AE710" s="50"/>
      <c r="AF710" s="50"/>
      <c r="AG710" s="50"/>
      <c r="AH710" s="50"/>
      <c r="AI710" s="50"/>
      <c r="AJ710" s="50"/>
      <c r="AK710" s="50"/>
      <c r="AL710" s="50"/>
    </row>
    <row r="711">
      <c r="U711" s="50"/>
      <c r="V711" s="50"/>
      <c r="W711" s="50"/>
      <c r="X711" s="50"/>
      <c r="Y711" s="50"/>
      <c r="Z711" s="50"/>
      <c r="AA711" s="50"/>
      <c r="AB711" s="50"/>
      <c r="AC711" s="50"/>
      <c r="AD711" s="50"/>
      <c r="AE711" s="50"/>
      <c r="AF711" s="50"/>
      <c r="AG711" s="50"/>
      <c r="AH711" s="50"/>
      <c r="AI711" s="50"/>
      <c r="AJ711" s="50"/>
      <c r="AK711" s="50"/>
      <c r="AL711" s="50"/>
    </row>
    <row r="712">
      <c r="U712" s="50"/>
      <c r="V712" s="50"/>
      <c r="W712" s="50"/>
      <c r="X712" s="50"/>
      <c r="Y712" s="50"/>
      <c r="Z712" s="50"/>
      <c r="AA712" s="50"/>
      <c r="AB712" s="50"/>
      <c r="AC712" s="50"/>
      <c r="AD712" s="50"/>
      <c r="AE712" s="50"/>
      <c r="AF712" s="50"/>
      <c r="AG712" s="50"/>
      <c r="AH712" s="50"/>
      <c r="AI712" s="50"/>
      <c r="AJ712" s="50"/>
      <c r="AK712" s="50"/>
      <c r="AL712" s="50"/>
    </row>
    <row r="713">
      <c r="U713" s="50"/>
      <c r="V713" s="50"/>
      <c r="W713" s="50"/>
      <c r="X713" s="50"/>
      <c r="Y713" s="50"/>
      <c r="Z713" s="50"/>
      <c r="AA713" s="50"/>
      <c r="AB713" s="50"/>
      <c r="AC713" s="50"/>
      <c r="AD713" s="50"/>
      <c r="AE713" s="50"/>
      <c r="AF713" s="50"/>
      <c r="AG713" s="50"/>
      <c r="AH713" s="50"/>
      <c r="AI713" s="50"/>
      <c r="AJ713" s="50"/>
      <c r="AK713" s="50"/>
      <c r="AL713" s="50"/>
    </row>
    <row r="714">
      <c r="U714" s="50"/>
      <c r="V714" s="50"/>
      <c r="W714" s="50"/>
      <c r="X714" s="50"/>
      <c r="Y714" s="50"/>
      <c r="Z714" s="50"/>
      <c r="AA714" s="50"/>
      <c r="AB714" s="50"/>
      <c r="AC714" s="50"/>
      <c r="AD714" s="50"/>
      <c r="AE714" s="50"/>
      <c r="AF714" s="50"/>
      <c r="AG714" s="50"/>
      <c r="AH714" s="50"/>
      <c r="AI714" s="50"/>
      <c r="AJ714" s="50"/>
      <c r="AK714" s="50"/>
      <c r="AL714" s="50"/>
    </row>
    <row r="715">
      <c r="U715" s="50"/>
      <c r="V715" s="50"/>
      <c r="W715" s="50"/>
      <c r="X715" s="50"/>
      <c r="Y715" s="50"/>
      <c r="Z715" s="50"/>
      <c r="AA715" s="50"/>
      <c r="AB715" s="50"/>
      <c r="AC715" s="50"/>
      <c r="AD715" s="50"/>
      <c r="AE715" s="50"/>
      <c r="AF715" s="50"/>
      <c r="AG715" s="50"/>
      <c r="AH715" s="50"/>
      <c r="AI715" s="50"/>
      <c r="AJ715" s="50"/>
      <c r="AK715" s="50"/>
      <c r="AL715" s="50"/>
    </row>
    <row r="716">
      <c r="U716" s="50"/>
      <c r="V716" s="50"/>
      <c r="W716" s="50"/>
      <c r="X716" s="50"/>
      <c r="Y716" s="50"/>
      <c r="Z716" s="50"/>
      <c r="AA716" s="50"/>
      <c r="AB716" s="50"/>
      <c r="AC716" s="50"/>
      <c r="AD716" s="50"/>
      <c r="AE716" s="50"/>
      <c r="AF716" s="50"/>
      <c r="AG716" s="50"/>
      <c r="AH716" s="50"/>
      <c r="AI716" s="50"/>
      <c r="AJ716" s="50"/>
      <c r="AK716" s="50"/>
      <c r="AL716" s="50"/>
    </row>
    <row r="717">
      <c r="U717" s="50"/>
      <c r="V717" s="50"/>
      <c r="W717" s="50"/>
      <c r="X717" s="50"/>
      <c r="Y717" s="50"/>
      <c r="Z717" s="50"/>
      <c r="AA717" s="50"/>
      <c r="AB717" s="50"/>
      <c r="AC717" s="50"/>
      <c r="AD717" s="50"/>
      <c r="AE717" s="50"/>
      <c r="AF717" s="50"/>
      <c r="AG717" s="50"/>
      <c r="AH717" s="50"/>
      <c r="AI717" s="50"/>
      <c r="AJ717" s="50"/>
      <c r="AK717" s="50"/>
      <c r="AL717" s="50"/>
    </row>
    <row r="718">
      <c r="U718" s="50"/>
      <c r="V718" s="50"/>
      <c r="W718" s="50"/>
      <c r="X718" s="50"/>
      <c r="Y718" s="50"/>
      <c r="Z718" s="50"/>
      <c r="AA718" s="50"/>
      <c r="AB718" s="50"/>
      <c r="AC718" s="50"/>
      <c r="AD718" s="50"/>
      <c r="AE718" s="50"/>
      <c r="AF718" s="50"/>
      <c r="AG718" s="50"/>
      <c r="AH718" s="50"/>
      <c r="AI718" s="50"/>
      <c r="AJ718" s="50"/>
      <c r="AK718" s="50"/>
      <c r="AL718" s="50"/>
    </row>
    <row r="719">
      <c r="U719" s="50"/>
      <c r="V719" s="50"/>
      <c r="W719" s="50"/>
      <c r="X719" s="50"/>
      <c r="Y719" s="50"/>
      <c r="Z719" s="50"/>
      <c r="AA719" s="50"/>
      <c r="AB719" s="50"/>
      <c r="AC719" s="50"/>
      <c r="AD719" s="50"/>
      <c r="AE719" s="50"/>
      <c r="AF719" s="50"/>
      <c r="AG719" s="50"/>
      <c r="AH719" s="50"/>
      <c r="AI719" s="50"/>
      <c r="AJ719" s="50"/>
      <c r="AK719" s="50"/>
      <c r="AL719" s="50"/>
    </row>
    <row r="720">
      <c r="U720" s="50"/>
      <c r="V720" s="50"/>
      <c r="W720" s="50"/>
      <c r="X720" s="50"/>
      <c r="Y720" s="50"/>
      <c r="Z720" s="50"/>
      <c r="AA720" s="50"/>
      <c r="AB720" s="50"/>
      <c r="AC720" s="50"/>
      <c r="AD720" s="50"/>
      <c r="AE720" s="50"/>
      <c r="AF720" s="50"/>
      <c r="AG720" s="50"/>
      <c r="AH720" s="50"/>
      <c r="AI720" s="50"/>
      <c r="AJ720" s="50"/>
      <c r="AK720" s="50"/>
      <c r="AL720" s="50"/>
    </row>
    <row r="721">
      <c r="U721" s="50"/>
      <c r="V721" s="50"/>
      <c r="W721" s="50"/>
      <c r="X721" s="50"/>
      <c r="Y721" s="50"/>
      <c r="Z721" s="50"/>
      <c r="AA721" s="50"/>
      <c r="AB721" s="50"/>
      <c r="AC721" s="50"/>
      <c r="AD721" s="50"/>
      <c r="AE721" s="50"/>
      <c r="AF721" s="50"/>
      <c r="AG721" s="50"/>
      <c r="AH721" s="50"/>
      <c r="AI721" s="50"/>
      <c r="AJ721" s="50"/>
      <c r="AK721" s="50"/>
      <c r="AL721" s="50"/>
    </row>
    <row r="722">
      <c r="U722" s="50"/>
      <c r="V722" s="50"/>
      <c r="W722" s="50"/>
      <c r="X722" s="50"/>
      <c r="Y722" s="50"/>
      <c r="Z722" s="50"/>
      <c r="AA722" s="50"/>
      <c r="AB722" s="50"/>
      <c r="AC722" s="50"/>
      <c r="AD722" s="50"/>
      <c r="AE722" s="50"/>
      <c r="AF722" s="50"/>
      <c r="AG722" s="50"/>
      <c r="AH722" s="50"/>
      <c r="AI722" s="50"/>
      <c r="AJ722" s="50"/>
      <c r="AK722" s="50"/>
      <c r="AL722" s="50"/>
    </row>
    <row r="723">
      <c r="U723" s="50"/>
      <c r="V723" s="50"/>
      <c r="W723" s="50"/>
      <c r="X723" s="50"/>
      <c r="Y723" s="50"/>
      <c r="Z723" s="50"/>
      <c r="AA723" s="50"/>
      <c r="AB723" s="50"/>
      <c r="AC723" s="50"/>
      <c r="AD723" s="50"/>
      <c r="AE723" s="50"/>
      <c r="AF723" s="50"/>
      <c r="AG723" s="50"/>
      <c r="AH723" s="50"/>
      <c r="AI723" s="50"/>
      <c r="AJ723" s="50"/>
      <c r="AK723" s="50"/>
      <c r="AL723" s="50"/>
    </row>
    <row r="724">
      <c r="U724" s="50"/>
      <c r="V724" s="50"/>
      <c r="W724" s="50"/>
      <c r="X724" s="50"/>
      <c r="Y724" s="50"/>
      <c r="Z724" s="50"/>
      <c r="AA724" s="50"/>
      <c r="AB724" s="50"/>
      <c r="AC724" s="50"/>
      <c r="AD724" s="50"/>
      <c r="AE724" s="50"/>
      <c r="AF724" s="50"/>
      <c r="AG724" s="50"/>
      <c r="AH724" s="50"/>
      <c r="AI724" s="50"/>
      <c r="AJ724" s="50"/>
      <c r="AK724" s="50"/>
      <c r="AL724" s="50"/>
    </row>
    <row r="725">
      <c r="U725" s="50"/>
      <c r="V725" s="50"/>
      <c r="W725" s="50"/>
      <c r="X725" s="50"/>
      <c r="Y725" s="50"/>
      <c r="Z725" s="50"/>
      <c r="AA725" s="50"/>
      <c r="AB725" s="50"/>
      <c r="AC725" s="50"/>
      <c r="AD725" s="50"/>
      <c r="AE725" s="50"/>
      <c r="AF725" s="50"/>
      <c r="AG725" s="50"/>
      <c r="AH725" s="50"/>
      <c r="AI725" s="50"/>
      <c r="AJ725" s="50"/>
      <c r="AK725" s="50"/>
      <c r="AL725" s="50"/>
    </row>
    <row r="726">
      <c r="U726" s="50"/>
      <c r="V726" s="50"/>
      <c r="W726" s="50"/>
      <c r="X726" s="50"/>
      <c r="Y726" s="50"/>
      <c r="Z726" s="50"/>
      <c r="AA726" s="50"/>
      <c r="AB726" s="50"/>
      <c r="AC726" s="50"/>
      <c r="AD726" s="50"/>
      <c r="AE726" s="50"/>
      <c r="AF726" s="50"/>
      <c r="AG726" s="50"/>
      <c r="AH726" s="50"/>
      <c r="AI726" s="50"/>
      <c r="AJ726" s="50"/>
      <c r="AK726" s="50"/>
      <c r="AL726" s="50"/>
    </row>
    <row r="727">
      <c r="U727" s="50"/>
      <c r="V727" s="50"/>
      <c r="W727" s="50"/>
      <c r="X727" s="50"/>
      <c r="Y727" s="50"/>
      <c r="Z727" s="50"/>
      <c r="AA727" s="50"/>
      <c r="AB727" s="50"/>
      <c r="AC727" s="50"/>
      <c r="AD727" s="50"/>
      <c r="AE727" s="50"/>
      <c r="AF727" s="50"/>
      <c r="AG727" s="50"/>
      <c r="AH727" s="50"/>
      <c r="AI727" s="50"/>
      <c r="AJ727" s="50"/>
      <c r="AK727" s="50"/>
      <c r="AL727" s="50"/>
    </row>
    <row r="728">
      <c r="U728" s="50"/>
      <c r="V728" s="50"/>
      <c r="W728" s="50"/>
      <c r="X728" s="50"/>
      <c r="Y728" s="50"/>
      <c r="Z728" s="50"/>
      <c r="AA728" s="50"/>
      <c r="AB728" s="50"/>
      <c r="AC728" s="50"/>
      <c r="AD728" s="50"/>
      <c r="AE728" s="50"/>
      <c r="AF728" s="50"/>
      <c r="AG728" s="50"/>
      <c r="AH728" s="50"/>
      <c r="AI728" s="50"/>
      <c r="AJ728" s="50"/>
      <c r="AK728" s="50"/>
      <c r="AL728" s="50"/>
    </row>
    <row r="729">
      <c r="U729" s="50"/>
      <c r="V729" s="50"/>
      <c r="W729" s="50"/>
      <c r="X729" s="50"/>
      <c r="Y729" s="50"/>
      <c r="Z729" s="50"/>
      <c r="AA729" s="50"/>
      <c r="AB729" s="50"/>
      <c r="AC729" s="50"/>
      <c r="AD729" s="50"/>
      <c r="AE729" s="50"/>
      <c r="AF729" s="50"/>
      <c r="AG729" s="50"/>
      <c r="AH729" s="50"/>
      <c r="AI729" s="50"/>
      <c r="AJ729" s="50"/>
      <c r="AK729" s="50"/>
      <c r="AL729" s="50"/>
    </row>
    <row r="730">
      <c r="U730" s="50"/>
      <c r="V730" s="50"/>
      <c r="W730" s="50"/>
      <c r="X730" s="50"/>
      <c r="Y730" s="50"/>
      <c r="Z730" s="50"/>
      <c r="AA730" s="50"/>
      <c r="AB730" s="50"/>
      <c r="AC730" s="50"/>
      <c r="AD730" s="50"/>
      <c r="AE730" s="50"/>
      <c r="AF730" s="50"/>
      <c r="AG730" s="50"/>
      <c r="AH730" s="50"/>
      <c r="AI730" s="50"/>
      <c r="AJ730" s="50"/>
      <c r="AK730" s="50"/>
      <c r="AL730" s="50"/>
    </row>
    <row r="731">
      <c r="U731" s="50"/>
      <c r="V731" s="50"/>
      <c r="W731" s="50"/>
      <c r="X731" s="50"/>
      <c r="Y731" s="50"/>
      <c r="Z731" s="50"/>
      <c r="AA731" s="50"/>
      <c r="AB731" s="50"/>
      <c r="AC731" s="50"/>
      <c r="AD731" s="50"/>
      <c r="AE731" s="50"/>
      <c r="AF731" s="50"/>
      <c r="AG731" s="50"/>
      <c r="AH731" s="50"/>
      <c r="AI731" s="50"/>
      <c r="AJ731" s="50"/>
      <c r="AK731" s="50"/>
      <c r="AL731" s="50"/>
    </row>
    <row r="732">
      <c r="U732" s="50"/>
      <c r="V732" s="50"/>
      <c r="W732" s="50"/>
      <c r="X732" s="50"/>
      <c r="Y732" s="50"/>
      <c r="Z732" s="50"/>
      <c r="AA732" s="50"/>
      <c r="AB732" s="50"/>
      <c r="AC732" s="50"/>
      <c r="AD732" s="50"/>
      <c r="AE732" s="50"/>
      <c r="AF732" s="50"/>
      <c r="AG732" s="50"/>
      <c r="AH732" s="50"/>
      <c r="AI732" s="50"/>
      <c r="AJ732" s="50"/>
      <c r="AK732" s="50"/>
      <c r="AL732" s="50"/>
    </row>
    <row r="733">
      <c r="U733" s="50"/>
      <c r="V733" s="50"/>
      <c r="W733" s="50"/>
      <c r="X733" s="50"/>
      <c r="Y733" s="50"/>
      <c r="Z733" s="50"/>
      <c r="AA733" s="50"/>
      <c r="AB733" s="50"/>
      <c r="AC733" s="50"/>
      <c r="AD733" s="50"/>
      <c r="AE733" s="50"/>
      <c r="AF733" s="50"/>
      <c r="AG733" s="50"/>
      <c r="AH733" s="50"/>
      <c r="AI733" s="50"/>
      <c r="AJ733" s="50"/>
      <c r="AK733" s="50"/>
      <c r="AL733" s="50"/>
    </row>
    <row r="734">
      <c r="U734" s="50"/>
      <c r="V734" s="50"/>
      <c r="W734" s="50"/>
      <c r="X734" s="50"/>
      <c r="Y734" s="50"/>
      <c r="Z734" s="50"/>
      <c r="AA734" s="50"/>
      <c r="AB734" s="50"/>
      <c r="AC734" s="50"/>
      <c r="AD734" s="50"/>
      <c r="AE734" s="50"/>
      <c r="AF734" s="50"/>
      <c r="AG734" s="50"/>
      <c r="AH734" s="50"/>
      <c r="AI734" s="50"/>
      <c r="AJ734" s="50"/>
      <c r="AK734" s="50"/>
      <c r="AL734" s="50"/>
    </row>
    <row r="735">
      <c r="U735" s="50"/>
      <c r="V735" s="50"/>
      <c r="W735" s="50"/>
      <c r="X735" s="50"/>
      <c r="Y735" s="50"/>
      <c r="Z735" s="50"/>
      <c r="AA735" s="50"/>
      <c r="AB735" s="50"/>
      <c r="AC735" s="50"/>
      <c r="AD735" s="50"/>
      <c r="AE735" s="50"/>
      <c r="AF735" s="50"/>
      <c r="AG735" s="50"/>
      <c r="AH735" s="50"/>
      <c r="AI735" s="50"/>
      <c r="AJ735" s="50"/>
      <c r="AK735" s="50"/>
      <c r="AL735" s="50"/>
    </row>
    <row r="736">
      <c r="U736" s="50"/>
      <c r="V736" s="50"/>
      <c r="W736" s="50"/>
      <c r="X736" s="50"/>
      <c r="Y736" s="50"/>
      <c r="Z736" s="50"/>
      <c r="AA736" s="50"/>
      <c r="AB736" s="50"/>
      <c r="AC736" s="50"/>
      <c r="AD736" s="50"/>
      <c r="AE736" s="50"/>
      <c r="AF736" s="50"/>
      <c r="AG736" s="50"/>
      <c r="AH736" s="50"/>
      <c r="AI736" s="50"/>
      <c r="AJ736" s="50"/>
      <c r="AK736" s="50"/>
      <c r="AL736" s="50"/>
    </row>
    <row r="737">
      <c r="U737" s="50"/>
      <c r="V737" s="50"/>
      <c r="W737" s="50"/>
      <c r="X737" s="50"/>
      <c r="Y737" s="50"/>
      <c r="Z737" s="50"/>
      <c r="AA737" s="50"/>
      <c r="AB737" s="50"/>
      <c r="AC737" s="50"/>
      <c r="AD737" s="50"/>
      <c r="AE737" s="50"/>
      <c r="AF737" s="50"/>
      <c r="AG737" s="50"/>
      <c r="AH737" s="50"/>
      <c r="AI737" s="50"/>
      <c r="AJ737" s="50"/>
      <c r="AK737" s="50"/>
      <c r="AL737" s="50"/>
    </row>
    <row r="738">
      <c r="U738" s="50"/>
      <c r="V738" s="50"/>
      <c r="W738" s="50"/>
      <c r="X738" s="50"/>
      <c r="Y738" s="50"/>
      <c r="Z738" s="50"/>
      <c r="AA738" s="50"/>
      <c r="AB738" s="50"/>
      <c r="AC738" s="50"/>
      <c r="AD738" s="50"/>
      <c r="AE738" s="50"/>
      <c r="AF738" s="50"/>
      <c r="AG738" s="50"/>
      <c r="AH738" s="50"/>
      <c r="AI738" s="50"/>
      <c r="AJ738" s="50"/>
      <c r="AK738" s="50"/>
      <c r="AL738" s="50"/>
    </row>
    <row r="739">
      <c r="U739" s="50"/>
      <c r="V739" s="50"/>
      <c r="W739" s="50"/>
      <c r="X739" s="50"/>
      <c r="Y739" s="50"/>
      <c r="Z739" s="50"/>
      <c r="AA739" s="50"/>
      <c r="AB739" s="50"/>
      <c r="AC739" s="50"/>
      <c r="AD739" s="50"/>
      <c r="AE739" s="50"/>
      <c r="AF739" s="50"/>
      <c r="AG739" s="50"/>
      <c r="AH739" s="50"/>
      <c r="AI739" s="50"/>
      <c r="AJ739" s="50"/>
      <c r="AK739" s="50"/>
      <c r="AL739" s="50"/>
    </row>
    <row r="740">
      <c r="U740" s="50"/>
      <c r="V740" s="50"/>
      <c r="W740" s="50"/>
      <c r="X740" s="50"/>
      <c r="Y740" s="50"/>
      <c r="Z740" s="50"/>
      <c r="AA740" s="50"/>
      <c r="AB740" s="50"/>
      <c r="AC740" s="50"/>
      <c r="AD740" s="50"/>
      <c r="AE740" s="50"/>
      <c r="AF740" s="50"/>
      <c r="AG740" s="50"/>
      <c r="AH740" s="50"/>
      <c r="AI740" s="50"/>
      <c r="AJ740" s="50"/>
      <c r="AK740" s="50"/>
      <c r="AL740" s="50"/>
    </row>
    <row r="741">
      <c r="U741" s="50"/>
      <c r="V741" s="50"/>
      <c r="W741" s="50"/>
      <c r="X741" s="50"/>
      <c r="Y741" s="50"/>
      <c r="Z741" s="50"/>
      <c r="AA741" s="50"/>
      <c r="AB741" s="50"/>
      <c r="AC741" s="50"/>
      <c r="AD741" s="50"/>
      <c r="AE741" s="50"/>
      <c r="AF741" s="50"/>
      <c r="AG741" s="50"/>
      <c r="AH741" s="50"/>
      <c r="AI741" s="50"/>
      <c r="AJ741" s="50"/>
      <c r="AK741" s="50"/>
      <c r="AL741" s="50"/>
    </row>
    <row r="742">
      <c r="U742" s="50"/>
      <c r="V742" s="50"/>
      <c r="W742" s="50"/>
      <c r="X742" s="50"/>
      <c r="Y742" s="50"/>
      <c r="Z742" s="50"/>
      <c r="AA742" s="50"/>
      <c r="AB742" s="50"/>
      <c r="AC742" s="50"/>
      <c r="AD742" s="50"/>
      <c r="AE742" s="50"/>
      <c r="AF742" s="50"/>
      <c r="AG742" s="50"/>
      <c r="AH742" s="50"/>
      <c r="AI742" s="50"/>
      <c r="AJ742" s="50"/>
      <c r="AK742" s="50"/>
      <c r="AL742" s="50"/>
    </row>
    <row r="743">
      <c r="U743" s="50"/>
      <c r="V743" s="50"/>
      <c r="W743" s="50"/>
      <c r="X743" s="50"/>
      <c r="Y743" s="50"/>
      <c r="Z743" s="50"/>
      <c r="AA743" s="50"/>
      <c r="AB743" s="50"/>
      <c r="AC743" s="50"/>
      <c r="AD743" s="50"/>
      <c r="AE743" s="50"/>
      <c r="AF743" s="50"/>
      <c r="AG743" s="50"/>
      <c r="AH743" s="50"/>
      <c r="AI743" s="50"/>
      <c r="AJ743" s="50"/>
      <c r="AK743" s="50"/>
      <c r="AL743" s="50"/>
    </row>
    <row r="744">
      <c r="U744" s="50"/>
      <c r="V744" s="50"/>
      <c r="W744" s="50"/>
      <c r="X744" s="50"/>
      <c r="Y744" s="50"/>
      <c r="Z744" s="50"/>
      <c r="AA744" s="50"/>
      <c r="AB744" s="50"/>
      <c r="AC744" s="50"/>
      <c r="AD744" s="50"/>
      <c r="AE744" s="50"/>
      <c r="AF744" s="50"/>
      <c r="AG744" s="50"/>
      <c r="AH744" s="50"/>
      <c r="AI744" s="50"/>
      <c r="AJ744" s="50"/>
      <c r="AK744" s="50"/>
      <c r="AL744" s="50"/>
    </row>
    <row r="745">
      <c r="U745" s="50"/>
      <c r="V745" s="50"/>
      <c r="W745" s="50"/>
      <c r="X745" s="50"/>
      <c r="Y745" s="50"/>
      <c r="Z745" s="50"/>
      <c r="AA745" s="50"/>
      <c r="AB745" s="50"/>
      <c r="AC745" s="50"/>
      <c r="AD745" s="50"/>
      <c r="AE745" s="50"/>
      <c r="AF745" s="50"/>
      <c r="AG745" s="50"/>
      <c r="AH745" s="50"/>
      <c r="AI745" s="50"/>
      <c r="AJ745" s="50"/>
      <c r="AK745" s="50"/>
      <c r="AL745" s="50"/>
    </row>
    <row r="746">
      <c r="U746" s="50"/>
      <c r="V746" s="50"/>
      <c r="W746" s="50"/>
      <c r="X746" s="50"/>
      <c r="Y746" s="50"/>
      <c r="Z746" s="50"/>
      <c r="AA746" s="50"/>
      <c r="AB746" s="50"/>
      <c r="AC746" s="50"/>
      <c r="AD746" s="50"/>
      <c r="AE746" s="50"/>
      <c r="AF746" s="50"/>
      <c r="AG746" s="50"/>
      <c r="AH746" s="50"/>
      <c r="AI746" s="50"/>
      <c r="AJ746" s="50"/>
      <c r="AK746" s="50"/>
      <c r="AL746" s="50"/>
    </row>
    <row r="747">
      <c r="U747" s="50"/>
      <c r="V747" s="50"/>
      <c r="W747" s="50"/>
      <c r="X747" s="50"/>
      <c r="Y747" s="50"/>
      <c r="Z747" s="50"/>
      <c r="AA747" s="50"/>
      <c r="AB747" s="50"/>
      <c r="AC747" s="50"/>
      <c r="AD747" s="50"/>
      <c r="AE747" s="50"/>
      <c r="AF747" s="50"/>
      <c r="AG747" s="50"/>
      <c r="AH747" s="50"/>
      <c r="AI747" s="50"/>
      <c r="AJ747" s="50"/>
      <c r="AK747" s="50"/>
      <c r="AL747" s="50"/>
    </row>
    <row r="748">
      <c r="U748" s="50"/>
      <c r="V748" s="50"/>
      <c r="W748" s="50"/>
      <c r="X748" s="50"/>
      <c r="Y748" s="50"/>
      <c r="Z748" s="50"/>
      <c r="AA748" s="50"/>
      <c r="AB748" s="50"/>
      <c r="AC748" s="50"/>
      <c r="AD748" s="50"/>
      <c r="AE748" s="50"/>
      <c r="AF748" s="50"/>
      <c r="AG748" s="50"/>
      <c r="AH748" s="50"/>
      <c r="AI748" s="50"/>
      <c r="AJ748" s="50"/>
      <c r="AK748" s="50"/>
      <c r="AL748" s="50"/>
    </row>
    <row r="749">
      <c r="U749" s="50"/>
      <c r="V749" s="50"/>
      <c r="W749" s="50"/>
      <c r="X749" s="50"/>
      <c r="Y749" s="50"/>
      <c r="Z749" s="50"/>
      <c r="AA749" s="50"/>
      <c r="AB749" s="50"/>
      <c r="AC749" s="50"/>
      <c r="AD749" s="50"/>
      <c r="AE749" s="50"/>
      <c r="AF749" s="50"/>
      <c r="AG749" s="50"/>
      <c r="AH749" s="50"/>
      <c r="AI749" s="50"/>
      <c r="AJ749" s="50"/>
      <c r="AK749" s="50"/>
      <c r="AL749" s="50"/>
    </row>
    <row r="750">
      <c r="U750" s="50"/>
      <c r="V750" s="50"/>
      <c r="W750" s="50"/>
      <c r="X750" s="50"/>
      <c r="Y750" s="50"/>
      <c r="Z750" s="50"/>
      <c r="AA750" s="50"/>
      <c r="AB750" s="50"/>
      <c r="AC750" s="50"/>
      <c r="AD750" s="50"/>
      <c r="AE750" s="50"/>
      <c r="AF750" s="50"/>
      <c r="AG750" s="50"/>
      <c r="AH750" s="50"/>
      <c r="AI750" s="50"/>
      <c r="AJ750" s="50"/>
      <c r="AK750" s="50"/>
      <c r="AL750" s="50"/>
    </row>
    <row r="751">
      <c r="U751" s="50"/>
      <c r="V751" s="50"/>
      <c r="W751" s="50"/>
      <c r="X751" s="50"/>
      <c r="Y751" s="50"/>
      <c r="Z751" s="50"/>
      <c r="AA751" s="50"/>
      <c r="AB751" s="50"/>
      <c r="AC751" s="50"/>
      <c r="AD751" s="50"/>
      <c r="AE751" s="50"/>
      <c r="AF751" s="50"/>
      <c r="AG751" s="50"/>
      <c r="AH751" s="50"/>
      <c r="AI751" s="50"/>
      <c r="AJ751" s="50"/>
      <c r="AK751" s="50"/>
      <c r="AL751" s="50"/>
    </row>
    <row r="752">
      <c r="U752" s="50"/>
      <c r="V752" s="50"/>
      <c r="W752" s="50"/>
      <c r="X752" s="50"/>
      <c r="Y752" s="50"/>
      <c r="Z752" s="50"/>
      <c r="AA752" s="50"/>
      <c r="AB752" s="50"/>
      <c r="AC752" s="50"/>
      <c r="AD752" s="50"/>
      <c r="AE752" s="50"/>
      <c r="AF752" s="50"/>
      <c r="AG752" s="50"/>
      <c r="AH752" s="50"/>
      <c r="AI752" s="50"/>
      <c r="AJ752" s="50"/>
      <c r="AK752" s="50"/>
      <c r="AL752" s="50"/>
    </row>
    <row r="753">
      <c r="U753" s="50"/>
      <c r="V753" s="50"/>
      <c r="W753" s="50"/>
      <c r="X753" s="50"/>
      <c r="Y753" s="50"/>
      <c r="Z753" s="50"/>
      <c r="AA753" s="50"/>
      <c r="AB753" s="50"/>
      <c r="AC753" s="50"/>
      <c r="AD753" s="50"/>
      <c r="AE753" s="50"/>
      <c r="AF753" s="50"/>
      <c r="AG753" s="50"/>
      <c r="AH753" s="50"/>
      <c r="AI753" s="50"/>
      <c r="AJ753" s="50"/>
      <c r="AK753" s="50"/>
      <c r="AL753" s="50"/>
    </row>
    <row r="754">
      <c r="U754" s="50"/>
      <c r="V754" s="50"/>
      <c r="W754" s="50"/>
      <c r="X754" s="50"/>
      <c r="Y754" s="50"/>
      <c r="Z754" s="50"/>
      <c r="AA754" s="50"/>
      <c r="AB754" s="50"/>
      <c r="AC754" s="50"/>
      <c r="AD754" s="50"/>
      <c r="AE754" s="50"/>
      <c r="AF754" s="50"/>
      <c r="AG754" s="50"/>
      <c r="AH754" s="50"/>
      <c r="AI754" s="50"/>
      <c r="AJ754" s="50"/>
      <c r="AK754" s="50"/>
      <c r="AL754" s="50"/>
    </row>
    <row r="755">
      <c r="U755" s="50"/>
      <c r="V755" s="50"/>
      <c r="W755" s="50"/>
      <c r="X755" s="50"/>
      <c r="Y755" s="50"/>
      <c r="Z755" s="50"/>
      <c r="AA755" s="50"/>
      <c r="AB755" s="50"/>
      <c r="AC755" s="50"/>
      <c r="AD755" s="50"/>
      <c r="AE755" s="50"/>
      <c r="AF755" s="50"/>
      <c r="AG755" s="50"/>
      <c r="AH755" s="50"/>
      <c r="AI755" s="50"/>
      <c r="AJ755" s="50"/>
      <c r="AK755" s="50"/>
      <c r="AL755" s="50"/>
    </row>
    <row r="756">
      <c r="U756" s="50"/>
      <c r="V756" s="50"/>
      <c r="W756" s="50"/>
      <c r="X756" s="50"/>
      <c r="Y756" s="50"/>
      <c r="Z756" s="50"/>
      <c r="AA756" s="50"/>
      <c r="AB756" s="50"/>
      <c r="AC756" s="50"/>
      <c r="AD756" s="50"/>
      <c r="AE756" s="50"/>
      <c r="AF756" s="50"/>
      <c r="AG756" s="50"/>
      <c r="AH756" s="50"/>
      <c r="AI756" s="50"/>
      <c r="AJ756" s="50"/>
      <c r="AK756" s="50"/>
      <c r="AL756" s="50"/>
    </row>
    <row r="757">
      <c r="U757" s="50"/>
      <c r="V757" s="50"/>
      <c r="W757" s="50"/>
      <c r="X757" s="50"/>
      <c r="Y757" s="50"/>
      <c r="Z757" s="50"/>
      <c r="AA757" s="50"/>
      <c r="AB757" s="50"/>
      <c r="AC757" s="50"/>
      <c r="AD757" s="50"/>
      <c r="AE757" s="50"/>
      <c r="AF757" s="50"/>
      <c r="AG757" s="50"/>
      <c r="AH757" s="50"/>
      <c r="AI757" s="50"/>
      <c r="AJ757" s="50"/>
      <c r="AK757" s="50"/>
      <c r="AL757" s="50"/>
    </row>
    <row r="758">
      <c r="U758" s="50"/>
      <c r="V758" s="50"/>
      <c r="W758" s="50"/>
      <c r="X758" s="50"/>
      <c r="Y758" s="50"/>
      <c r="Z758" s="50"/>
      <c r="AA758" s="50"/>
      <c r="AB758" s="50"/>
      <c r="AC758" s="50"/>
      <c r="AD758" s="50"/>
      <c r="AE758" s="50"/>
      <c r="AF758" s="50"/>
      <c r="AG758" s="50"/>
      <c r="AH758" s="50"/>
      <c r="AI758" s="50"/>
      <c r="AJ758" s="50"/>
      <c r="AK758" s="50"/>
      <c r="AL758" s="50"/>
    </row>
    <row r="759">
      <c r="U759" s="50"/>
      <c r="V759" s="50"/>
      <c r="W759" s="50"/>
      <c r="X759" s="50"/>
      <c r="Y759" s="50"/>
      <c r="Z759" s="50"/>
      <c r="AA759" s="50"/>
      <c r="AB759" s="50"/>
      <c r="AC759" s="50"/>
      <c r="AD759" s="50"/>
      <c r="AE759" s="50"/>
      <c r="AF759" s="50"/>
      <c r="AG759" s="50"/>
      <c r="AH759" s="50"/>
      <c r="AI759" s="50"/>
      <c r="AJ759" s="50"/>
      <c r="AK759" s="50"/>
      <c r="AL759" s="50"/>
    </row>
    <row r="760">
      <c r="U760" s="50"/>
      <c r="V760" s="50"/>
      <c r="W760" s="50"/>
      <c r="X760" s="50"/>
      <c r="Y760" s="50"/>
      <c r="Z760" s="50"/>
      <c r="AA760" s="50"/>
      <c r="AB760" s="50"/>
      <c r="AC760" s="50"/>
      <c r="AD760" s="50"/>
      <c r="AE760" s="50"/>
      <c r="AF760" s="50"/>
      <c r="AG760" s="50"/>
      <c r="AH760" s="50"/>
      <c r="AI760" s="50"/>
      <c r="AJ760" s="50"/>
      <c r="AK760" s="50"/>
      <c r="AL760" s="50"/>
    </row>
    <row r="761">
      <c r="U761" s="50"/>
      <c r="V761" s="50"/>
      <c r="W761" s="50"/>
      <c r="X761" s="50"/>
      <c r="Y761" s="50"/>
      <c r="Z761" s="50"/>
      <c r="AA761" s="50"/>
      <c r="AB761" s="50"/>
      <c r="AC761" s="50"/>
      <c r="AD761" s="50"/>
      <c r="AE761" s="50"/>
      <c r="AF761" s="50"/>
      <c r="AG761" s="50"/>
      <c r="AH761" s="50"/>
      <c r="AI761" s="50"/>
      <c r="AJ761" s="50"/>
      <c r="AK761" s="50"/>
      <c r="AL761" s="50"/>
    </row>
    <row r="762">
      <c r="U762" s="50"/>
      <c r="V762" s="50"/>
      <c r="W762" s="50"/>
      <c r="X762" s="50"/>
      <c r="Y762" s="50"/>
      <c r="Z762" s="50"/>
      <c r="AA762" s="50"/>
      <c r="AB762" s="50"/>
      <c r="AC762" s="50"/>
      <c r="AD762" s="50"/>
      <c r="AE762" s="50"/>
      <c r="AF762" s="50"/>
      <c r="AG762" s="50"/>
      <c r="AH762" s="50"/>
      <c r="AI762" s="50"/>
      <c r="AJ762" s="50"/>
      <c r="AK762" s="50"/>
      <c r="AL762" s="50"/>
    </row>
    <row r="763">
      <c r="U763" s="50"/>
      <c r="V763" s="50"/>
      <c r="W763" s="50"/>
      <c r="X763" s="50"/>
      <c r="Y763" s="50"/>
      <c r="Z763" s="50"/>
      <c r="AA763" s="50"/>
      <c r="AB763" s="50"/>
      <c r="AC763" s="50"/>
      <c r="AD763" s="50"/>
      <c r="AE763" s="50"/>
      <c r="AF763" s="50"/>
      <c r="AG763" s="50"/>
      <c r="AH763" s="50"/>
      <c r="AI763" s="50"/>
      <c r="AJ763" s="50"/>
      <c r="AK763" s="50"/>
      <c r="AL763" s="50"/>
    </row>
    <row r="764">
      <c r="U764" s="50"/>
      <c r="V764" s="50"/>
      <c r="W764" s="50"/>
      <c r="X764" s="50"/>
      <c r="Y764" s="50"/>
      <c r="Z764" s="50"/>
      <c r="AA764" s="50"/>
      <c r="AB764" s="50"/>
      <c r="AC764" s="50"/>
      <c r="AD764" s="50"/>
      <c r="AE764" s="50"/>
      <c r="AF764" s="50"/>
      <c r="AG764" s="50"/>
      <c r="AH764" s="50"/>
      <c r="AI764" s="50"/>
      <c r="AJ764" s="50"/>
      <c r="AK764" s="50"/>
      <c r="AL764" s="50"/>
    </row>
    <row r="765">
      <c r="U765" s="50"/>
      <c r="V765" s="50"/>
      <c r="W765" s="50"/>
      <c r="X765" s="50"/>
      <c r="Y765" s="50"/>
      <c r="Z765" s="50"/>
      <c r="AA765" s="50"/>
      <c r="AB765" s="50"/>
      <c r="AC765" s="50"/>
      <c r="AD765" s="50"/>
      <c r="AE765" s="50"/>
      <c r="AF765" s="50"/>
      <c r="AG765" s="50"/>
      <c r="AH765" s="50"/>
      <c r="AI765" s="50"/>
      <c r="AJ765" s="50"/>
      <c r="AK765" s="50"/>
      <c r="AL765" s="50"/>
    </row>
    <row r="766">
      <c r="U766" s="50"/>
      <c r="V766" s="50"/>
      <c r="W766" s="50"/>
      <c r="X766" s="50"/>
      <c r="Y766" s="50"/>
      <c r="Z766" s="50"/>
      <c r="AA766" s="50"/>
      <c r="AB766" s="50"/>
      <c r="AC766" s="50"/>
      <c r="AD766" s="50"/>
      <c r="AE766" s="50"/>
      <c r="AF766" s="50"/>
      <c r="AG766" s="50"/>
      <c r="AH766" s="50"/>
      <c r="AI766" s="50"/>
      <c r="AJ766" s="50"/>
      <c r="AK766" s="50"/>
      <c r="AL766" s="50"/>
    </row>
    <row r="767">
      <c r="U767" s="50"/>
      <c r="V767" s="50"/>
      <c r="W767" s="50"/>
      <c r="X767" s="50"/>
      <c r="Y767" s="50"/>
      <c r="Z767" s="50"/>
      <c r="AA767" s="50"/>
      <c r="AB767" s="50"/>
      <c r="AC767" s="50"/>
      <c r="AD767" s="50"/>
      <c r="AE767" s="50"/>
      <c r="AF767" s="50"/>
      <c r="AG767" s="50"/>
      <c r="AH767" s="50"/>
      <c r="AI767" s="50"/>
      <c r="AJ767" s="50"/>
      <c r="AK767" s="50"/>
      <c r="AL767" s="50"/>
    </row>
    <row r="768">
      <c r="U768" s="50"/>
      <c r="V768" s="50"/>
      <c r="W768" s="50"/>
      <c r="X768" s="50"/>
      <c r="Y768" s="50"/>
      <c r="Z768" s="50"/>
      <c r="AA768" s="50"/>
      <c r="AB768" s="50"/>
      <c r="AC768" s="50"/>
      <c r="AD768" s="50"/>
      <c r="AE768" s="50"/>
      <c r="AF768" s="50"/>
      <c r="AG768" s="50"/>
      <c r="AH768" s="50"/>
      <c r="AI768" s="50"/>
      <c r="AJ768" s="50"/>
      <c r="AK768" s="50"/>
      <c r="AL768" s="50"/>
    </row>
    <row r="769">
      <c r="U769" s="50"/>
      <c r="V769" s="50"/>
      <c r="W769" s="50"/>
      <c r="X769" s="50"/>
      <c r="Y769" s="50"/>
      <c r="Z769" s="50"/>
      <c r="AA769" s="50"/>
      <c r="AB769" s="50"/>
      <c r="AC769" s="50"/>
      <c r="AD769" s="50"/>
      <c r="AE769" s="50"/>
      <c r="AF769" s="50"/>
      <c r="AG769" s="50"/>
      <c r="AH769" s="50"/>
      <c r="AI769" s="50"/>
      <c r="AJ769" s="50"/>
      <c r="AK769" s="50"/>
      <c r="AL769" s="50"/>
    </row>
    <row r="770">
      <c r="U770" s="50"/>
      <c r="V770" s="50"/>
      <c r="W770" s="50"/>
      <c r="X770" s="50"/>
      <c r="Y770" s="50"/>
      <c r="Z770" s="50"/>
      <c r="AA770" s="50"/>
      <c r="AB770" s="50"/>
      <c r="AC770" s="50"/>
      <c r="AD770" s="50"/>
      <c r="AE770" s="50"/>
      <c r="AF770" s="50"/>
      <c r="AG770" s="50"/>
      <c r="AH770" s="50"/>
      <c r="AI770" s="50"/>
      <c r="AJ770" s="50"/>
      <c r="AK770" s="50"/>
      <c r="AL770" s="50"/>
    </row>
    <row r="771">
      <c r="U771" s="50"/>
      <c r="V771" s="50"/>
      <c r="W771" s="50"/>
      <c r="X771" s="50"/>
      <c r="Y771" s="50"/>
      <c r="Z771" s="50"/>
      <c r="AA771" s="50"/>
      <c r="AB771" s="50"/>
      <c r="AC771" s="50"/>
      <c r="AD771" s="50"/>
      <c r="AE771" s="50"/>
      <c r="AF771" s="50"/>
      <c r="AG771" s="50"/>
      <c r="AH771" s="50"/>
      <c r="AI771" s="50"/>
      <c r="AJ771" s="50"/>
      <c r="AK771" s="50"/>
      <c r="AL771" s="50"/>
    </row>
    <row r="772">
      <c r="U772" s="50"/>
      <c r="V772" s="50"/>
      <c r="W772" s="50"/>
      <c r="X772" s="50"/>
      <c r="Y772" s="50"/>
      <c r="Z772" s="50"/>
      <c r="AA772" s="50"/>
      <c r="AB772" s="50"/>
      <c r="AC772" s="50"/>
      <c r="AD772" s="50"/>
      <c r="AE772" s="50"/>
      <c r="AF772" s="50"/>
      <c r="AG772" s="50"/>
      <c r="AH772" s="50"/>
      <c r="AI772" s="50"/>
      <c r="AJ772" s="50"/>
      <c r="AK772" s="50"/>
      <c r="AL772" s="50"/>
    </row>
    <row r="773">
      <c r="U773" s="50"/>
      <c r="V773" s="50"/>
      <c r="W773" s="50"/>
      <c r="X773" s="50"/>
      <c r="Y773" s="50"/>
      <c r="Z773" s="50"/>
      <c r="AA773" s="50"/>
      <c r="AB773" s="50"/>
      <c r="AC773" s="50"/>
      <c r="AD773" s="50"/>
      <c r="AE773" s="50"/>
      <c r="AF773" s="50"/>
      <c r="AG773" s="50"/>
      <c r="AH773" s="50"/>
      <c r="AI773" s="50"/>
      <c r="AJ773" s="50"/>
      <c r="AK773" s="50"/>
      <c r="AL773" s="50"/>
    </row>
    <row r="774">
      <c r="U774" s="50"/>
      <c r="V774" s="50"/>
      <c r="W774" s="50"/>
      <c r="X774" s="50"/>
      <c r="Y774" s="50"/>
      <c r="Z774" s="50"/>
      <c r="AA774" s="50"/>
      <c r="AB774" s="50"/>
      <c r="AC774" s="50"/>
      <c r="AD774" s="50"/>
      <c r="AE774" s="50"/>
      <c r="AF774" s="50"/>
      <c r="AG774" s="50"/>
      <c r="AH774" s="50"/>
      <c r="AI774" s="50"/>
      <c r="AJ774" s="50"/>
      <c r="AK774" s="50"/>
      <c r="AL774" s="50"/>
    </row>
    <row r="775">
      <c r="U775" s="50"/>
      <c r="V775" s="50"/>
      <c r="W775" s="50"/>
      <c r="X775" s="50"/>
      <c r="Y775" s="50"/>
      <c r="Z775" s="50"/>
      <c r="AA775" s="50"/>
      <c r="AB775" s="50"/>
      <c r="AC775" s="50"/>
      <c r="AD775" s="50"/>
      <c r="AE775" s="50"/>
      <c r="AF775" s="50"/>
      <c r="AG775" s="50"/>
      <c r="AH775" s="50"/>
      <c r="AI775" s="50"/>
      <c r="AJ775" s="50"/>
      <c r="AK775" s="50"/>
      <c r="AL775" s="50"/>
    </row>
    <row r="776">
      <c r="U776" s="50"/>
      <c r="V776" s="50"/>
      <c r="W776" s="50"/>
      <c r="X776" s="50"/>
      <c r="Y776" s="50"/>
      <c r="Z776" s="50"/>
      <c r="AA776" s="50"/>
      <c r="AB776" s="50"/>
      <c r="AC776" s="50"/>
      <c r="AD776" s="50"/>
      <c r="AE776" s="50"/>
      <c r="AF776" s="50"/>
      <c r="AG776" s="50"/>
      <c r="AH776" s="50"/>
      <c r="AI776" s="50"/>
      <c r="AJ776" s="50"/>
      <c r="AK776" s="50"/>
      <c r="AL776" s="50"/>
    </row>
    <row r="777">
      <c r="U777" s="50"/>
      <c r="V777" s="50"/>
      <c r="W777" s="50"/>
      <c r="X777" s="50"/>
      <c r="Y777" s="50"/>
      <c r="Z777" s="50"/>
      <c r="AA777" s="50"/>
      <c r="AB777" s="50"/>
      <c r="AC777" s="50"/>
      <c r="AD777" s="50"/>
      <c r="AE777" s="50"/>
      <c r="AF777" s="50"/>
      <c r="AG777" s="50"/>
      <c r="AH777" s="50"/>
      <c r="AI777" s="50"/>
      <c r="AJ777" s="50"/>
      <c r="AK777" s="50"/>
      <c r="AL777" s="50"/>
    </row>
    <row r="778">
      <c r="U778" s="50"/>
      <c r="V778" s="50"/>
      <c r="W778" s="50"/>
      <c r="X778" s="50"/>
      <c r="Y778" s="50"/>
      <c r="Z778" s="50"/>
      <c r="AA778" s="50"/>
      <c r="AB778" s="50"/>
      <c r="AC778" s="50"/>
      <c r="AD778" s="50"/>
      <c r="AE778" s="50"/>
      <c r="AF778" s="50"/>
      <c r="AG778" s="50"/>
      <c r="AH778" s="50"/>
      <c r="AI778" s="50"/>
      <c r="AJ778" s="50"/>
      <c r="AK778" s="50"/>
      <c r="AL778" s="50"/>
    </row>
    <row r="779">
      <c r="U779" s="50"/>
      <c r="V779" s="50"/>
      <c r="W779" s="50"/>
      <c r="X779" s="50"/>
      <c r="Y779" s="50"/>
      <c r="Z779" s="50"/>
      <c r="AA779" s="50"/>
      <c r="AB779" s="50"/>
      <c r="AC779" s="50"/>
      <c r="AD779" s="50"/>
      <c r="AE779" s="50"/>
      <c r="AF779" s="50"/>
      <c r="AG779" s="50"/>
      <c r="AH779" s="50"/>
      <c r="AI779" s="50"/>
      <c r="AJ779" s="50"/>
      <c r="AK779" s="50"/>
      <c r="AL779" s="50"/>
    </row>
    <row r="780">
      <c r="U780" s="50"/>
      <c r="V780" s="50"/>
      <c r="W780" s="50"/>
      <c r="X780" s="50"/>
      <c r="Y780" s="50"/>
      <c r="Z780" s="50"/>
      <c r="AA780" s="50"/>
      <c r="AB780" s="50"/>
      <c r="AC780" s="50"/>
      <c r="AD780" s="50"/>
      <c r="AE780" s="50"/>
      <c r="AF780" s="50"/>
      <c r="AG780" s="50"/>
      <c r="AH780" s="50"/>
      <c r="AI780" s="50"/>
      <c r="AJ780" s="50"/>
      <c r="AK780" s="50"/>
      <c r="AL780" s="50"/>
    </row>
    <row r="781">
      <c r="U781" s="50"/>
      <c r="V781" s="50"/>
      <c r="W781" s="50"/>
      <c r="X781" s="50"/>
      <c r="Y781" s="50"/>
      <c r="Z781" s="50"/>
      <c r="AA781" s="50"/>
      <c r="AB781" s="50"/>
      <c r="AC781" s="50"/>
      <c r="AD781" s="50"/>
      <c r="AE781" s="50"/>
      <c r="AF781" s="50"/>
      <c r="AG781" s="50"/>
      <c r="AH781" s="50"/>
      <c r="AI781" s="50"/>
      <c r="AJ781" s="50"/>
      <c r="AK781" s="50"/>
      <c r="AL781" s="50"/>
    </row>
    <row r="782">
      <c r="U782" s="50"/>
      <c r="V782" s="50"/>
      <c r="W782" s="50"/>
      <c r="X782" s="50"/>
      <c r="Y782" s="50"/>
      <c r="Z782" s="50"/>
      <c r="AA782" s="50"/>
      <c r="AB782" s="50"/>
      <c r="AC782" s="50"/>
      <c r="AD782" s="50"/>
      <c r="AE782" s="50"/>
      <c r="AF782" s="50"/>
      <c r="AG782" s="50"/>
      <c r="AH782" s="50"/>
      <c r="AI782" s="50"/>
      <c r="AJ782" s="50"/>
      <c r="AK782" s="50"/>
      <c r="AL782" s="50"/>
    </row>
    <row r="783">
      <c r="U783" s="50"/>
      <c r="V783" s="50"/>
      <c r="W783" s="50"/>
      <c r="X783" s="50"/>
      <c r="Y783" s="50"/>
      <c r="Z783" s="50"/>
      <c r="AA783" s="50"/>
      <c r="AB783" s="50"/>
      <c r="AC783" s="50"/>
      <c r="AD783" s="50"/>
      <c r="AE783" s="50"/>
      <c r="AF783" s="50"/>
      <c r="AG783" s="50"/>
      <c r="AH783" s="50"/>
      <c r="AI783" s="50"/>
      <c r="AJ783" s="50"/>
      <c r="AK783" s="50"/>
      <c r="AL783" s="50"/>
    </row>
    <row r="784">
      <c r="U784" s="50"/>
      <c r="V784" s="50"/>
      <c r="W784" s="50"/>
      <c r="X784" s="50"/>
      <c r="Y784" s="50"/>
      <c r="Z784" s="50"/>
      <c r="AA784" s="50"/>
      <c r="AB784" s="50"/>
      <c r="AC784" s="50"/>
      <c r="AD784" s="50"/>
      <c r="AE784" s="50"/>
      <c r="AF784" s="50"/>
      <c r="AG784" s="50"/>
      <c r="AH784" s="50"/>
      <c r="AI784" s="50"/>
      <c r="AJ784" s="50"/>
      <c r="AK784" s="50"/>
      <c r="AL784" s="50"/>
    </row>
    <row r="785">
      <c r="U785" s="50"/>
      <c r="V785" s="50"/>
      <c r="W785" s="50"/>
      <c r="X785" s="50"/>
      <c r="Y785" s="50"/>
      <c r="Z785" s="50"/>
      <c r="AA785" s="50"/>
      <c r="AB785" s="50"/>
      <c r="AC785" s="50"/>
      <c r="AD785" s="50"/>
      <c r="AE785" s="50"/>
      <c r="AF785" s="50"/>
      <c r="AG785" s="50"/>
      <c r="AH785" s="50"/>
      <c r="AI785" s="50"/>
      <c r="AJ785" s="50"/>
      <c r="AK785" s="50"/>
      <c r="AL785" s="50"/>
    </row>
    <row r="786">
      <c r="U786" s="50"/>
      <c r="V786" s="50"/>
      <c r="W786" s="50"/>
      <c r="X786" s="50"/>
      <c r="Y786" s="50"/>
      <c r="Z786" s="50"/>
      <c r="AA786" s="50"/>
      <c r="AB786" s="50"/>
      <c r="AC786" s="50"/>
      <c r="AD786" s="50"/>
      <c r="AE786" s="50"/>
      <c r="AF786" s="50"/>
      <c r="AG786" s="50"/>
      <c r="AH786" s="50"/>
      <c r="AI786" s="50"/>
      <c r="AJ786" s="50"/>
      <c r="AK786" s="50"/>
      <c r="AL786" s="50"/>
    </row>
    <row r="787">
      <c r="U787" s="50"/>
      <c r="V787" s="50"/>
      <c r="W787" s="50"/>
      <c r="X787" s="50"/>
      <c r="Y787" s="50"/>
      <c r="Z787" s="50"/>
      <c r="AA787" s="50"/>
      <c r="AB787" s="50"/>
      <c r="AC787" s="50"/>
      <c r="AD787" s="50"/>
      <c r="AE787" s="50"/>
      <c r="AF787" s="50"/>
      <c r="AG787" s="50"/>
      <c r="AH787" s="50"/>
      <c r="AI787" s="50"/>
      <c r="AJ787" s="50"/>
      <c r="AK787" s="50"/>
      <c r="AL787" s="50"/>
    </row>
    <row r="788">
      <c r="U788" s="50"/>
      <c r="V788" s="50"/>
      <c r="W788" s="50"/>
      <c r="X788" s="50"/>
      <c r="Y788" s="50"/>
      <c r="Z788" s="50"/>
      <c r="AA788" s="50"/>
      <c r="AB788" s="50"/>
      <c r="AC788" s="50"/>
      <c r="AD788" s="50"/>
      <c r="AE788" s="50"/>
      <c r="AF788" s="50"/>
      <c r="AG788" s="50"/>
      <c r="AH788" s="50"/>
      <c r="AI788" s="50"/>
      <c r="AJ788" s="50"/>
      <c r="AK788" s="50"/>
      <c r="AL788" s="50"/>
    </row>
    <row r="789">
      <c r="U789" s="50"/>
      <c r="V789" s="50"/>
      <c r="W789" s="50"/>
      <c r="X789" s="50"/>
      <c r="Y789" s="50"/>
      <c r="Z789" s="50"/>
      <c r="AA789" s="50"/>
      <c r="AB789" s="50"/>
      <c r="AC789" s="50"/>
      <c r="AD789" s="50"/>
      <c r="AE789" s="50"/>
      <c r="AF789" s="50"/>
      <c r="AG789" s="50"/>
      <c r="AH789" s="50"/>
      <c r="AI789" s="50"/>
      <c r="AJ789" s="50"/>
      <c r="AK789" s="50"/>
      <c r="AL789" s="50"/>
    </row>
    <row r="790">
      <c r="U790" s="50"/>
      <c r="V790" s="50"/>
      <c r="W790" s="50"/>
      <c r="X790" s="50"/>
      <c r="Y790" s="50"/>
      <c r="Z790" s="50"/>
      <c r="AA790" s="50"/>
      <c r="AB790" s="50"/>
      <c r="AC790" s="50"/>
      <c r="AD790" s="50"/>
      <c r="AE790" s="50"/>
      <c r="AF790" s="50"/>
      <c r="AG790" s="50"/>
      <c r="AH790" s="50"/>
      <c r="AI790" s="50"/>
      <c r="AJ790" s="50"/>
      <c r="AK790" s="50"/>
      <c r="AL790" s="50"/>
    </row>
    <row r="791">
      <c r="U791" s="50"/>
      <c r="V791" s="50"/>
      <c r="W791" s="50"/>
      <c r="X791" s="50"/>
      <c r="Y791" s="50"/>
      <c r="Z791" s="50"/>
      <c r="AA791" s="50"/>
      <c r="AB791" s="50"/>
      <c r="AC791" s="50"/>
      <c r="AD791" s="50"/>
      <c r="AE791" s="50"/>
      <c r="AF791" s="50"/>
      <c r="AG791" s="50"/>
      <c r="AH791" s="50"/>
      <c r="AI791" s="50"/>
      <c r="AJ791" s="50"/>
      <c r="AK791" s="50"/>
      <c r="AL791" s="50"/>
    </row>
    <row r="792">
      <c r="U792" s="50"/>
      <c r="V792" s="50"/>
      <c r="W792" s="50"/>
      <c r="X792" s="50"/>
      <c r="Y792" s="50"/>
      <c r="Z792" s="50"/>
      <c r="AA792" s="50"/>
      <c r="AB792" s="50"/>
      <c r="AC792" s="50"/>
      <c r="AD792" s="50"/>
      <c r="AE792" s="50"/>
      <c r="AF792" s="50"/>
      <c r="AG792" s="50"/>
      <c r="AH792" s="50"/>
      <c r="AI792" s="50"/>
      <c r="AJ792" s="50"/>
      <c r="AK792" s="50"/>
      <c r="AL792" s="50"/>
    </row>
    <row r="793">
      <c r="U793" s="50"/>
      <c r="V793" s="50"/>
      <c r="W793" s="50"/>
      <c r="X793" s="50"/>
      <c r="Y793" s="50"/>
      <c r="Z793" s="50"/>
      <c r="AA793" s="50"/>
      <c r="AB793" s="50"/>
      <c r="AC793" s="50"/>
      <c r="AD793" s="50"/>
      <c r="AE793" s="50"/>
      <c r="AF793" s="50"/>
      <c r="AG793" s="50"/>
      <c r="AH793" s="50"/>
      <c r="AI793" s="50"/>
      <c r="AJ793" s="50"/>
      <c r="AK793" s="50"/>
      <c r="AL793" s="50"/>
    </row>
    <row r="794">
      <c r="U794" s="50"/>
      <c r="V794" s="50"/>
      <c r="W794" s="50"/>
      <c r="X794" s="50"/>
      <c r="Y794" s="50"/>
      <c r="Z794" s="50"/>
      <c r="AA794" s="50"/>
      <c r="AB794" s="50"/>
      <c r="AC794" s="50"/>
      <c r="AD794" s="50"/>
      <c r="AE794" s="50"/>
      <c r="AF794" s="50"/>
      <c r="AG794" s="50"/>
      <c r="AH794" s="50"/>
      <c r="AI794" s="50"/>
      <c r="AJ794" s="50"/>
      <c r="AK794" s="50"/>
      <c r="AL794" s="50"/>
    </row>
    <row r="795">
      <c r="U795" s="50"/>
      <c r="V795" s="50"/>
      <c r="W795" s="50"/>
      <c r="X795" s="50"/>
      <c r="Y795" s="50"/>
      <c r="Z795" s="50"/>
      <c r="AA795" s="50"/>
      <c r="AB795" s="50"/>
      <c r="AC795" s="50"/>
      <c r="AD795" s="50"/>
      <c r="AE795" s="50"/>
      <c r="AF795" s="50"/>
      <c r="AG795" s="50"/>
      <c r="AH795" s="50"/>
      <c r="AI795" s="50"/>
      <c r="AJ795" s="50"/>
      <c r="AK795" s="50"/>
      <c r="AL795" s="50"/>
    </row>
    <row r="796">
      <c r="U796" s="50"/>
      <c r="V796" s="50"/>
      <c r="W796" s="50"/>
      <c r="X796" s="50"/>
      <c r="Y796" s="50"/>
      <c r="Z796" s="50"/>
      <c r="AA796" s="50"/>
      <c r="AB796" s="50"/>
      <c r="AC796" s="50"/>
      <c r="AD796" s="50"/>
      <c r="AE796" s="50"/>
      <c r="AF796" s="50"/>
      <c r="AG796" s="50"/>
      <c r="AH796" s="50"/>
      <c r="AI796" s="50"/>
      <c r="AJ796" s="50"/>
      <c r="AK796" s="50"/>
      <c r="AL796" s="50"/>
    </row>
    <row r="797">
      <c r="U797" s="50"/>
      <c r="V797" s="50"/>
      <c r="W797" s="50"/>
      <c r="X797" s="50"/>
      <c r="Y797" s="50"/>
      <c r="Z797" s="50"/>
      <c r="AA797" s="50"/>
      <c r="AB797" s="50"/>
      <c r="AC797" s="50"/>
      <c r="AD797" s="50"/>
      <c r="AE797" s="50"/>
      <c r="AF797" s="50"/>
      <c r="AG797" s="50"/>
      <c r="AH797" s="50"/>
      <c r="AI797" s="50"/>
      <c r="AJ797" s="50"/>
      <c r="AK797" s="50"/>
      <c r="AL797" s="50"/>
    </row>
    <row r="798">
      <c r="U798" s="50"/>
      <c r="V798" s="50"/>
      <c r="W798" s="50"/>
      <c r="X798" s="50"/>
      <c r="Y798" s="50"/>
      <c r="Z798" s="50"/>
      <c r="AA798" s="50"/>
      <c r="AB798" s="50"/>
      <c r="AC798" s="50"/>
      <c r="AD798" s="50"/>
      <c r="AE798" s="50"/>
      <c r="AF798" s="50"/>
      <c r="AG798" s="50"/>
      <c r="AH798" s="50"/>
      <c r="AI798" s="50"/>
      <c r="AJ798" s="50"/>
      <c r="AK798" s="50"/>
      <c r="AL798" s="50"/>
    </row>
    <row r="799">
      <c r="U799" s="50"/>
      <c r="V799" s="50"/>
      <c r="W799" s="50"/>
      <c r="X799" s="50"/>
      <c r="Y799" s="50"/>
      <c r="Z799" s="50"/>
      <c r="AA799" s="50"/>
      <c r="AB799" s="50"/>
      <c r="AC799" s="50"/>
      <c r="AD799" s="50"/>
      <c r="AE799" s="50"/>
      <c r="AF799" s="50"/>
      <c r="AG799" s="50"/>
      <c r="AH799" s="50"/>
      <c r="AI799" s="50"/>
      <c r="AJ799" s="50"/>
      <c r="AK799" s="50"/>
      <c r="AL799" s="50"/>
    </row>
    <row r="800">
      <c r="U800" s="50"/>
      <c r="V800" s="50"/>
      <c r="W800" s="50"/>
      <c r="X800" s="50"/>
      <c r="Y800" s="50"/>
      <c r="Z800" s="50"/>
      <c r="AA800" s="50"/>
      <c r="AB800" s="50"/>
      <c r="AC800" s="50"/>
      <c r="AD800" s="50"/>
      <c r="AE800" s="50"/>
      <c r="AF800" s="50"/>
      <c r="AG800" s="50"/>
      <c r="AH800" s="50"/>
      <c r="AI800" s="50"/>
      <c r="AJ800" s="50"/>
      <c r="AK800" s="50"/>
      <c r="AL800" s="50"/>
    </row>
    <row r="801">
      <c r="U801" s="50"/>
      <c r="V801" s="50"/>
      <c r="W801" s="50"/>
      <c r="X801" s="50"/>
      <c r="Y801" s="50"/>
      <c r="Z801" s="50"/>
      <c r="AA801" s="50"/>
      <c r="AB801" s="50"/>
      <c r="AC801" s="50"/>
      <c r="AD801" s="50"/>
      <c r="AE801" s="50"/>
      <c r="AF801" s="50"/>
      <c r="AG801" s="50"/>
      <c r="AH801" s="50"/>
      <c r="AI801" s="50"/>
      <c r="AJ801" s="50"/>
      <c r="AK801" s="50"/>
      <c r="AL801" s="50"/>
    </row>
    <row r="802">
      <c r="U802" s="50"/>
      <c r="V802" s="50"/>
      <c r="W802" s="50"/>
      <c r="X802" s="50"/>
      <c r="Y802" s="50"/>
      <c r="Z802" s="50"/>
      <c r="AA802" s="50"/>
      <c r="AB802" s="50"/>
      <c r="AC802" s="50"/>
      <c r="AD802" s="50"/>
      <c r="AE802" s="50"/>
      <c r="AF802" s="50"/>
      <c r="AG802" s="50"/>
      <c r="AH802" s="50"/>
      <c r="AI802" s="50"/>
      <c r="AJ802" s="50"/>
      <c r="AK802" s="50"/>
      <c r="AL802" s="50"/>
    </row>
    <row r="803">
      <c r="U803" s="50"/>
      <c r="V803" s="50"/>
      <c r="W803" s="50"/>
      <c r="X803" s="50"/>
      <c r="Y803" s="50"/>
      <c r="Z803" s="50"/>
      <c r="AA803" s="50"/>
      <c r="AB803" s="50"/>
      <c r="AC803" s="50"/>
      <c r="AD803" s="50"/>
      <c r="AE803" s="50"/>
      <c r="AF803" s="50"/>
      <c r="AG803" s="50"/>
      <c r="AH803" s="50"/>
      <c r="AI803" s="50"/>
      <c r="AJ803" s="50"/>
      <c r="AK803" s="50"/>
      <c r="AL803" s="50"/>
    </row>
    <row r="804">
      <c r="U804" s="50"/>
      <c r="V804" s="50"/>
      <c r="W804" s="50"/>
      <c r="X804" s="50"/>
      <c r="Y804" s="50"/>
      <c r="Z804" s="50"/>
      <c r="AA804" s="50"/>
      <c r="AB804" s="50"/>
      <c r="AC804" s="50"/>
      <c r="AD804" s="50"/>
      <c r="AE804" s="50"/>
      <c r="AF804" s="50"/>
      <c r="AG804" s="50"/>
      <c r="AH804" s="50"/>
      <c r="AI804" s="50"/>
      <c r="AJ804" s="50"/>
      <c r="AK804" s="50"/>
      <c r="AL804" s="50"/>
    </row>
    <row r="805">
      <c r="U805" s="50"/>
      <c r="V805" s="50"/>
      <c r="W805" s="50"/>
      <c r="X805" s="50"/>
      <c r="Y805" s="50"/>
      <c r="Z805" s="50"/>
      <c r="AA805" s="50"/>
      <c r="AB805" s="50"/>
      <c r="AC805" s="50"/>
      <c r="AD805" s="50"/>
      <c r="AE805" s="50"/>
      <c r="AF805" s="50"/>
      <c r="AG805" s="50"/>
      <c r="AH805" s="50"/>
      <c r="AI805" s="50"/>
      <c r="AJ805" s="50"/>
      <c r="AK805" s="50"/>
      <c r="AL805" s="50"/>
    </row>
    <row r="806">
      <c r="U806" s="50"/>
      <c r="V806" s="50"/>
      <c r="W806" s="50"/>
      <c r="X806" s="50"/>
      <c r="Y806" s="50"/>
      <c r="Z806" s="50"/>
      <c r="AA806" s="50"/>
      <c r="AB806" s="50"/>
      <c r="AC806" s="50"/>
      <c r="AD806" s="50"/>
      <c r="AE806" s="50"/>
      <c r="AF806" s="50"/>
      <c r="AG806" s="50"/>
      <c r="AH806" s="50"/>
      <c r="AI806" s="50"/>
      <c r="AJ806" s="50"/>
      <c r="AK806" s="50"/>
      <c r="AL806" s="50"/>
    </row>
    <row r="807">
      <c r="U807" s="50"/>
      <c r="V807" s="50"/>
      <c r="W807" s="50"/>
      <c r="X807" s="50"/>
      <c r="Y807" s="50"/>
      <c r="Z807" s="50"/>
      <c r="AA807" s="50"/>
      <c r="AB807" s="50"/>
      <c r="AC807" s="50"/>
      <c r="AD807" s="50"/>
      <c r="AE807" s="50"/>
      <c r="AF807" s="50"/>
      <c r="AG807" s="50"/>
      <c r="AH807" s="50"/>
      <c r="AI807" s="50"/>
      <c r="AJ807" s="50"/>
      <c r="AK807" s="50"/>
      <c r="AL807" s="50"/>
    </row>
    <row r="808">
      <c r="U808" s="50"/>
      <c r="V808" s="50"/>
      <c r="W808" s="50"/>
      <c r="X808" s="50"/>
      <c r="Y808" s="50"/>
      <c r="Z808" s="50"/>
      <c r="AA808" s="50"/>
      <c r="AB808" s="50"/>
      <c r="AC808" s="50"/>
      <c r="AD808" s="50"/>
      <c r="AE808" s="50"/>
      <c r="AF808" s="50"/>
      <c r="AG808" s="50"/>
      <c r="AH808" s="50"/>
      <c r="AI808" s="50"/>
      <c r="AJ808" s="50"/>
      <c r="AK808" s="50"/>
      <c r="AL808" s="50"/>
    </row>
    <row r="809">
      <c r="U809" s="50"/>
      <c r="V809" s="50"/>
      <c r="W809" s="50"/>
      <c r="X809" s="50"/>
      <c r="Y809" s="50"/>
      <c r="Z809" s="50"/>
      <c r="AA809" s="50"/>
      <c r="AB809" s="50"/>
      <c r="AC809" s="50"/>
      <c r="AD809" s="50"/>
      <c r="AE809" s="50"/>
      <c r="AF809" s="50"/>
      <c r="AG809" s="50"/>
      <c r="AH809" s="50"/>
      <c r="AI809" s="50"/>
      <c r="AJ809" s="50"/>
      <c r="AK809" s="50"/>
      <c r="AL809" s="50"/>
    </row>
    <row r="810">
      <c r="U810" s="50"/>
      <c r="V810" s="50"/>
      <c r="W810" s="50"/>
      <c r="X810" s="50"/>
      <c r="Y810" s="50"/>
      <c r="Z810" s="50"/>
      <c r="AA810" s="50"/>
      <c r="AB810" s="50"/>
      <c r="AC810" s="50"/>
      <c r="AD810" s="50"/>
      <c r="AE810" s="50"/>
      <c r="AF810" s="50"/>
      <c r="AG810" s="50"/>
      <c r="AH810" s="50"/>
      <c r="AI810" s="50"/>
      <c r="AJ810" s="50"/>
      <c r="AK810" s="50"/>
      <c r="AL810" s="50"/>
    </row>
    <row r="811">
      <c r="U811" s="50"/>
      <c r="V811" s="50"/>
      <c r="W811" s="50"/>
      <c r="X811" s="50"/>
      <c r="Y811" s="50"/>
      <c r="Z811" s="50"/>
      <c r="AA811" s="50"/>
      <c r="AB811" s="50"/>
      <c r="AC811" s="50"/>
      <c r="AD811" s="50"/>
      <c r="AE811" s="50"/>
      <c r="AF811" s="50"/>
      <c r="AG811" s="50"/>
      <c r="AH811" s="50"/>
      <c r="AI811" s="50"/>
      <c r="AJ811" s="50"/>
      <c r="AK811" s="50"/>
      <c r="AL811" s="50"/>
    </row>
    <row r="812">
      <c r="U812" s="50"/>
      <c r="V812" s="50"/>
      <c r="W812" s="50"/>
      <c r="X812" s="50"/>
      <c r="Y812" s="50"/>
      <c r="Z812" s="50"/>
      <c r="AA812" s="50"/>
      <c r="AB812" s="50"/>
      <c r="AC812" s="50"/>
      <c r="AD812" s="50"/>
      <c r="AE812" s="50"/>
      <c r="AF812" s="50"/>
      <c r="AG812" s="50"/>
      <c r="AH812" s="50"/>
      <c r="AI812" s="50"/>
      <c r="AJ812" s="50"/>
      <c r="AK812" s="50"/>
      <c r="AL812" s="50"/>
    </row>
    <row r="813">
      <c r="U813" s="50"/>
      <c r="V813" s="50"/>
      <c r="W813" s="50"/>
      <c r="X813" s="50"/>
      <c r="Y813" s="50"/>
      <c r="Z813" s="50"/>
      <c r="AA813" s="50"/>
      <c r="AB813" s="50"/>
      <c r="AC813" s="50"/>
      <c r="AD813" s="50"/>
      <c r="AE813" s="50"/>
      <c r="AF813" s="50"/>
      <c r="AG813" s="50"/>
      <c r="AH813" s="50"/>
      <c r="AI813" s="50"/>
      <c r="AJ813" s="50"/>
      <c r="AK813" s="50"/>
      <c r="AL813" s="50"/>
    </row>
    <row r="814">
      <c r="U814" s="50"/>
      <c r="V814" s="50"/>
      <c r="W814" s="50"/>
      <c r="X814" s="50"/>
      <c r="Y814" s="50"/>
      <c r="Z814" s="50"/>
      <c r="AA814" s="50"/>
      <c r="AB814" s="50"/>
      <c r="AC814" s="50"/>
      <c r="AD814" s="50"/>
      <c r="AE814" s="50"/>
      <c r="AF814" s="50"/>
      <c r="AG814" s="50"/>
      <c r="AH814" s="50"/>
      <c r="AI814" s="50"/>
      <c r="AJ814" s="50"/>
      <c r="AK814" s="50"/>
      <c r="AL814" s="50"/>
    </row>
    <row r="815">
      <c r="U815" s="50"/>
      <c r="V815" s="50"/>
      <c r="W815" s="50"/>
      <c r="X815" s="50"/>
      <c r="Y815" s="50"/>
      <c r="Z815" s="50"/>
      <c r="AA815" s="50"/>
      <c r="AB815" s="50"/>
      <c r="AC815" s="50"/>
      <c r="AD815" s="50"/>
      <c r="AE815" s="50"/>
      <c r="AF815" s="50"/>
      <c r="AG815" s="50"/>
      <c r="AH815" s="50"/>
      <c r="AI815" s="50"/>
      <c r="AJ815" s="50"/>
      <c r="AK815" s="50"/>
      <c r="AL815" s="50"/>
    </row>
    <row r="816">
      <c r="U816" s="50"/>
      <c r="V816" s="50"/>
      <c r="W816" s="50"/>
      <c r="X816" s="50"/>
      <c r="Y816" s="50"/>
      <c r="Z816" s="50"/>
      <c r="AA816" s="50"/>
      <c r="AB816" s="50"/>
      <c r="AC816" s="50"/>
      <c r="AD816" s="50"/>
      <c r="AE816" s="50"/>
      <c r="AF816" s="50"/>
      <c r="AG816" s="50"/>
      <c r="AH816" s="50"/>
      <c r="AI816" s="50"/>
      <c r="AJ816" s="50"/>
      <c r="AK816" s="50"/>
      <c r="AL816" s="50"/>
    </row>
    <row r="817">
      <c r="U817" s="50"/>
      <c r="V817" s="50"/>
      <c r="W817" s="50"/>
      <c r="X817" s="50"/>
      <c r="Y817" s="50"/>
      <c r="Z817" s="50"/>
      <c r="AA817" s="50"/>
      <c r="AB817" s="50"/>
      <c r="AC817" s="50"/>
      <c r="AD817" s="50"/>
      <c r="AE817" s="50"/>
      <c r="AF817" s="50"/>
      <c r="AG817" s="50"/>
      <c r="AH817" s="50"/>
      <c r="AI817" s="50"/>
      <c r="AJ817" s="50"/>
      <c r="AK817" s="50"/>
      <c r="AL817" s="50"/>
    </row>
    <row r="818">
      <c r="U818" s="50"/>
      <c r="V818" s="50"/>
      <c r="W818" s="50"/>
      <c r="X818" s="50"/>
      <c r="Y818" s="50"/>
      <c r="Z818" s="50"/>
      <c r="AA818" s="50"/>
      <c r="AB818" s="50"/>
      <c r="AC818" s="50"/>
      <c r="AD818" s="50"/>
      <c r="AE818" s="50"/>
      <c r="AF818" s="50"/>
      <c r="AG818" s="50"/>
      <c r="AH818" s="50"/>
      <c r="AI818" s="50"/>
      <c r="AJ818" s="50"/>
      <c r="AK818" s="50"/>
      <c r="AL818" s="50"/>
    </row>
    <row r="819">
      <c r="U819" s="50"/>
      <c r="V819" s="50"/>
      <c r="W819" s="50"/>
      <c r="X819" s="50"/>
      <c r="Y819" s="50"/>
      <c r="Z819" s="50"/>
      <c r="AA819" s="50"/>
      <c r="AB819" s="50"/>
      <c r="AC819" s="50"/>
      <c r="AD819" s="50"/>
      <c r="AE819" s="50"/>
      <c r="AF819" s="50"/>
      <c r="AG819" s="50"/>
      <c r="AH819" s="50"/>
      <c r="AI819" s="50"/>
      <c r="AJ819" s="50"/>
      <c r="AK819" s="50"/>
      <c r="AL819" s="50"/>
    </row>
    <row r="820">
      <c r="U820" s="50"/>
      <c r="V820" s="50"/>
      <c r="W820" s="50"/>
      <c r="X820" s="50"/>
      <c r="Y820" s="50"/>
      <c r="Z820" s="50"/>
      <c r="AA820" s="50"/>
      <c r="AB820" s="50"/>
      <c r="AC820" s="50"/>
      <c r="AD820" s="50"/>
      <c r="AE820" s="50"/>
      <c r="AF820" s="50"/>
      <c r="AG820" s="50"/>
      <c r="AH820" s="50"/>
      <c r="AI820" s="50"/>
      <c r="AJ820" s="50"/>
      <c r="AK820" s="50"/>
      <c r="AL820" s="50"/>
    </row>
    <row r="821">
      <c r="U821" s="50"/>
      <c r="V821" s="50"/>
      <c r="W821" s="50"/>
      <c r="X821" s="50"/>
      <c r="Y821" s="50"/>
      <c r="Z821" s="50"/>
      <c r="AA821" s="50"/>
      <c r="AB821" s="50"/>
      <c r="AC821" s="50"/>
      <c r="AD821" s="50"/>
      <c r="AE821" s="50"/>
      <c r="AF821" s="50"/>
      <c r="AG821" s="50"/>
      <c r="AH821" s="50"/>
      <c r="AI821" s="50"/>
      <c r="AJ821" s="50"/>
      <c r="AK821" s="50"/>
      <c r="AL821" s="50"/>
    </row>
    <row r="822">
      <c r="U822" s="50"/>
      <c r="V822" s="50"/>
      <c r="W822" s="50"/>
      <c r="X822" s="50"/>
      <c r="Y822" s="50"/>
      <c r="Z822" s="50"/>
      <c r="AA822" s="50"/>
      <c r="AB822" s="50"/>
      <c r="AC822" s="50"/>
      <c r="AD822" s="50"/>
      <c r="AE822" s="50"/>
      <c r="AF822" s="50"/>
      <c r="AG822" s="50"/>
      <c r="AH822" s="50"/>
      <c r="AI822" s="50"/>
      <c r="AJ822" s="50"/>
      <c r="AK822" s="50"/>
      <c r="AL822" s="50"/>
    </row>
    <row r="823">
      <c r="U823" s="50"/>
      <c r="V823" s="50"/>
      <c r="W823" s="50"/>
      <c r="X823" s="50"/>
      <c r="Y823" s="50"/>
      <c r="Z823" s="50"/>
      <c r="AA823" s="50"/>
      <c r="AB823" s="50"/>
      <c r="AC823" s="50"/>
      <c r="AD823" s="50"/>
      <c r="AE823" s="50"/>
      <c r="AF823" s="50"/>
      <c r="AG823" s="50"/>
      <c r="AH823" s="50"/>
      <c r="AI823" s="50"/>
      <c r="AJ823" s="50"/>
      <c r="AK823" s="50"/>
      <c r="AL823" s="50"/>
    </row>
    <row r="824">
      <c r="U824" s="50"/>
      <c r="V824" s="50"/>
      <c r="W824" s="50"/>
      <c r="X824" s="50"/>
      <c r="Y824" s="50"/>
      <c r="Z824" s="50"/>
      <c r="AA824" s="50"/>
      <c r="AB824" s="50"/>
      <c r="AC824" s="50"/>
      <c r="AD824" s="50"/>
      <c r="AE824" s="50"/>
      <c r="AF824" s="50"/>
      <c r="AG824" s="50"/>
      <c r="AH824" s="50"/>
      <c r="AI824" s="50"/>
      <c r="AJ824" s="50"/>
      <c r="AK824" s="50"/>
      <c r="AL824" s="50"/>
    </row>
    <row r="825">
      <c r="U825" s="50"/>
      <c r="V825" s="50"/>
      <c r="W825" s="50"/>
      <c r="X825" s="50"/>
      <c r="Y825" s="50"/>
      <c r="Z825" s="50"/>
      <c r="AA825" s="50"/>
      <c r="AB825" s="50"/>
      <c r="AC825" s="50"/>
      <c r="AD825" s="50"/>
      <c r="AE825" s="50"/>
      <c r="AF825" s="50"/>
      <c r="AG825" s="50"/>
      <c r="AH825" s="50"/>
      <c r="AI825" s="50"/>
      <c r="AJ825" s="50"/>
      <c r="AK825" s="50"/>
      <c r="AL825" s="50"/>
    </row>
    <row r="826">
      <c r="U826" s="50"/>
      <c r="V826" s="50"/>
      <c r="W826" s="50"/>
      <c r="X826" s="50"/>
      <c r="Y826" s="50"/>
      <c r="Z826" s="50"/>
      <c r="AA826" s="50"/>
      <c r="AB826" s="50"/>
      <c r="AC826" s="50"/>
      <c r="AD826" s="50"/>
      <c r="AE826" s="50"/>
      <c r="AF826" s="50"/>
      <c r="AG826" s="50"/>
      <c r="AH826" s="50"/>
      <c r="AI826" s="50"/>
      <c r="AJ826" s="50"/>
      <c r="AK826" s="50"/>
      <c r="AL826" s="50"/>
    </row>
    <row r="827">
      <c r="U827" s="50"/>
      <c r="V827" s="50"/>
      <c r="W827" s="50"/>
      <c r="X827" s="50"/>
      <c r="Y827" s="50"/>
      <c r="Z827" s="50"/>
      <c r="AA827" s="50"/>
      <c r="AB827" s="50"/>
      <c r="AC827" s="50"/>
      <c r="AD827" s="50"/>
      <c r="AE827" s="50"/>
      <c r="AF827" s="50"/>
      <c r="AG827" s="50"/>
      <c r="AH827" s="50"/>
      <c r="AI827" s="50"/>
      <c r="AJ827" s="50"/>
      <c r="AK827" s="50"/>
      <c r="AL827" s="50"/>
    </row>
    <row r="828">
      <c r="U828" s="50"/>
      <c r="V828" s="50"/>
      <c r="W828" s="50"/>
      <c r="X828" s="50"/>
      <c r="Y828" s="50"/>
      <c r="Z828" s="50"/>
      <c r="AA828" s="50"/>
      <c r="AB828" s="50"/>
      <c r="AC828" s="50"/>
      <c r="AD828" s="50"/>
      <c r="AE828" s="50"/>
      <c r="AF828" s="50"/>
      <c r="AG828" s="50"/>
      <c r="AH828" s="50"/>
      <c r="AI828" s="50"/>
      <c r="AJ828" s="50"/>
      <c r="AK828" s="50"/>
      <c r="AL828" s="50"/>
    </row>
    <row r="829">
      <c r="U829" s="50"/>
      <c r="V829" s="50"/>
      <c r="W829" s="50"/>
      <c r="X829" s="50"/>
      <c r="Y829" s="50"/>
      <c r="Z829" s="50"/>
      <c r="AA829" s="50"/>
      <c r="AB829" s="50"/>
      <c r="AC829" s="50"/>
      <c r="AD829" s="50"/>
      <c r="AE829" s="50"/>
      <c r="AF829" s="50"/>
      <c r="AG829" s="50"/>
      <c r="AH829" s="50"/>
      <c r="AI829" s="50"/>
      <c r="AJ829" s="50"/>
      <c r="AK829" s="50"/>
      <c r="AL829" s="50"/>
    </row>
    <row r="830">
      <c r="U830" s="50"/>
      <c r="V830" s="50"/>
      <c r="W830" s="50"/>
      <c r="X830" s="50"/>
      <c r="Y830" s="50"/>
      <c r="Z830" s="50"/>
      <c r="AA830" s="50"/>
      <c r="AB830" s="50"/>
      <c r="AC830" s="50"/>
      <c r="AD830" s="50"/>
      <c r="AE830" s="50"/>
      <c r="AF830" s="50"/>
      <c r="AG830" s="50"/>
      <c r="AH830" s="50"/>
      <c r="AI830" s="50"/>
      <c r="AJ830" s="50"/>
      <c r="AK830" s="50"/>
      <c r="AL830" s="50"/>
    </row>
    <row r="831">
      <c r="U831" s="50"/>
      <c r="V831" s="50"/>
      <c r="W831" s="50"/>
      <c r="X831" s="50"/>
      <c r="Y831" s="50"/>
      <c r="Z831" s="50"/>
      <c r="AA831" s="50"/>
      <c r="AB831" s="50"/>
      <c r="AC831" s="50"/>
      <c r="AD831" s="50"/>
      <c r="AE831" s="50"/>
      <c r="AF831" s="50"/>
      <c r="AG831" s="50"/>
      <c r="AH831" s="50"/>
      <c r="AI831" s="50"/>
      <c r="AJ831" s="50"/>
      <c r="AK831" s="50"/>
      <c r="AL831" s="50"/>
    </row>
    <row r="832">
      <c r="U832" s="50"/>
      <c r="V832" s="50"/>
      <c r="W832" s="50"/>
      <c r="X832" s="50"/>
      <c r="Y832" s="50"/>
      <c r="Z832" s="50"/>
      <c r="AA832" s="50"/>
      <c r="AB832" s="50"/>
      <c r="AC832" s="50"/>
      <c r="AD832" s="50"/>
      <c r="AE832" s="50"/>
      <c r="AF832" s="50"/>
      <c r="AG832" s="50"/>
      <c r="AH832" s="50"/>
      <c r="AI832" s="50"/>
      <c r="AJ832" s="50"/>
      <c r="AK832" s="50"/>
      <c r="AL832" s="50"/>
    </row>
    <row r="833">
      <c r="U833" s="50"/>
      <c r="V833" s="50"/>
      <c r="W833" s="50"/>
      <c r="X833" s="50"/>
      <c r="Y833" s="50"/>
      <c r="Z833" s="50"/>
      <c r="AA833" s="50"/>
      <c r="AB833" s="50"/>
      <c r="AC833" s="50"/>
      <c r="AD833" s="50"/>
      <c r="AE833" s="50"/>
      <c r="AF833" s="50"/>
      <c r="AG833" s="50"/>
      <c r="AH833" s="50"/>
      <c r="AI833" s="50"/>
      <c r="AJ833" s="50"/>
      <c r="AK833" s="50"/>
      <c r="AL833" s="50"/>
    </row>
    <row r="834">
      <c r="U834" s="50"/>
      <c r="V834" s="50"/>
      <c r="W834" s="50"/>
      <c r="X834" s="50"/>
      <c r="Y834" s="50"/>
      <c r="Z834" s="50"/>
      <c r="AA834" s="50"/>
      <c r="AB834" s="50"/>
      <c r="AC834" s="50"/>
      <c r="AD834" s="50"/>
      <c r="AE834" s="50"/>
      <c r="AF834" s="50"/>
      <c r="AG834" s="50"/>
      <c r="AH834" s="50"/>
      <c r="AI834" s="50"/>
      <c r="AJ834" s="50"/>
      <c r="AK834" s="50"/>
      <c r="AL834" s="50"/>
    </row>
    <row r="835">
      <c r="U835" s="50"/>
      <c r="V835" s="50"/>
      <c r="W835" s="50"/>
      <c r="X835" s="50"/>
      <c r="Y835" s="50"/>
      <c r="Z835" s="50"/>
      <c r="AA835" s="50"/>
      <c r="AB835" s="50"/>
      <c r="AC835" s="50"/>
      <c r="AD835" s="50"/>
      <c r="AE835" s="50"/>
      <c r="AF835" s="50"/>
      <c r="AG835" s="50"/>
      <c r="AH835" s="50"/>
      <c r="AI835" s="50"/>
      <c r="AJ835" s="50"/>
      <c r="AK835" s="50"/>
      <c r="AL835" s="50"/>
    </row>
    <row r="836">
      <c r="U836" s="50"/>
      <c r="V836" s="50"/>
      <c r="W836" s="50"/>
      <c r="X836" s="50"/>
      <c r="Y836" s="50"/>
      <c r="Z836" s="50"/>
      <c r="AA836" s="50"/>
      <c r="AB836" s="50"/>
      <c r="AC836" s="50"/>
      <c r="AD836" s="50"/>
      <c r="AE836" s="50"/>
      <c r="AF836" s="50"/>
      <c r="AG836" s="50"/>
      <c r="AH836" s="50"/>
      <c r="AI836" s="50"/>
      <c r="AJ836" s="50"/>
      <c r="AK836" s="50"/>
      <c r="AL836" s="50"/>
    </row>
    <row r="837">
      <c r="U837" s="50"/>
      <c r="V837" s="50"/>
      <c r="W837" s="50"/>
      <c r="X837" s="50"/>
      <c r="Y837" s="50"/>
      <c r="Z837" s="50"/>
      <c r="AA837" s="50"/>
      <c r="AB837" s="50"/>
      <c r="AC837" s="50"/>
      <c r="AD837" s="50"/>
      <c r="AE837" s="50"/>
      <c r="AF837" s="50"/>
      <c r="AG837" s="50"/>
      <c r="AH837" s="50"/>
      <c r="AI837" s="50"/>
      <c r="AJ837" s="50"/>
      <c r="AK837" s="50"/>
      <c r="AL837" s="50"/>
    </row>
    <row r="838">
      <c r="U838" s="50"/>
      <c r="V838" s="50"/>
      <c r="W838" s="50"/>
      <c r="X838" s="50"/>
      <c r="Y838" s="50"/>
      <c r="Z838" s="50"/>
      <c r="AA838" s="50"/>
      <c r="AB838" s="50"/>
      <c r="AC838" s="50"/>
      <c r="AD838" s="50"/>
      <c r="AE838" s="50"/>
      <c r="AF838" s="50"/>
      <c r="AG838" s="50"/>
      <c r="AH838" s="50"/>
      <c r="AI838" s="50"/>
      <c r="AJ838" s="50"/>
      <c r="AK838" s="50"/>
      <c r="AL838" s="50"/>
    </row>
    <row r="839">
      <c r="U839" s="50"/>
      <c r="V839" s="50"/>
      <c r="W839" s="50"/>
      <c r="X839" s="50"/>
      <c r="Y839" s="50"/>
      <c r="Z839" s="50"/>
      <c r="AA839" s="50"/>
      <c r="AB839" s="50"/>
      <c r="AC839" s="50"/>
      <c r="AD839" s="50"/>
      <c r="AE839" s="50"/>
      <c r="AF839" s="50"/>
      <c r="AG839" s="50"/>
      <c r="AH839" s="50"/>
      <c r="AI839" s="50"/>
      <c r="AJ839" s="50"/>
      <c r="AK839" s="50"/>
      <c r="AL839" s="50"/>
    </row>
    <row r="840">
      <c r="U840" s="50"/>
      <c r="V840" s="50"/>
      <c r="W840" s="50"/>
      <c r="X840" s="50"/>
      <c r="Y840" s="50"/>
      <c r="Z840" s="50"/>
      <c r="AA840" s="50"/>
      <c r="AB840" s="50"/>
      <c r="AC840" s="50"/>
      <c r="AD840" s="50"/>
      <c r="AE840" s="50"/>
      <c r="AF840" s="50"/>
      <c r="AG840" s="50"/>
      <c r="AH840" s="50"/>
      <c r="AI840" s="50"/>
      <c r="AJ840" s="50"/>
      <c r="AK840" s="50"/>
      <c r="AL840" s="50"/>
    </row>
    <row r="841">
      <c r="U841" s="50"/>
      <c r="V841" s="50"/>
      <c r="W841" s="50"/>
      <c r="X841" s="50"/>
      <c r="Y841" s="50"/>
      <c r="Z841" s="50"/>
      <c r="AA841" s="50"/>
      <c r="AB841" s="50"/>
      <c r="AC841" s="50"/>
      <c r="AD841" s="50"/>
      <c r="AE841" s="50"/>
      <c r="AF841" s="50"/>
      <c r="AG841" s="50"/>
      <c r="AH841" s="50"/>
      <c r="AI841" s="50"/>
      <c r="AJ841" s="50"/>
      <c r="AK841" s="50"/>
      <c r="AL841" s="50"/>
    </row>
    <row r="842">
      <c r="U842" s="50"/>
      <c r="V842" s="50"/>
      <c r="W842" s="50"/>
      <c r="X842" s="50"/>
      <c r="Y842" s="50"/>
      <c r="Z842" s="50"/>
      <c r="AA842" s="50"/>
      <c r="AB842" s="50"/>
      <c r="AC842" s="50"/>
      <c r="AD842" s="50"/>
      <c r="AE842" s="50"/>
      <c r="AF842" s="50"/>
      <c r="AG842" s="50"/>
      <c r="AH842" s="50"/>
      <c r="AI842" s="50"/>
      <c r="AJ842" s="50"/>
      <c r="AK842" s="50"/>
      <c r="AL842" s="50"/>
    </row>
    <row r="843">
      <c r="U843" s="50"/>
      <c r="V843" s="50"/>
      <c r="W843" s="50"/>
      <c r="X843" s="50"/>
      <c r="Y843" s="50"/>
      <c r="Z843" s="50"/>
      <c r="AA843" s="50"/>
      <c r="AB843" s="50"/>
      <c r="AC843" s="50"/>
      <c r="AD843" s="50"/>
      <c r="AE843" s="50"/>
      <c r="AF843" s="50"/>
      <c r="AG843" s="50"/>
      <c r="AH843" s="50"/>
      <c r="AI843" s="50"/>
      <c r="AJ843" s="50"/>
      <c r="AK843" s="50"/>
      <c r="AL843" s="50"/>
    </row>
    <row r="844">
      <c r="U844" s="50"/>
      <c r="V844" s="50"/>
      <c r="W844" s="50"/>
      <c r="X844" s="50"/>
      <c r="Y844" s="50"/>
      <c r="Z844" s="50"/>
      <c r="AA844" s="50"/>
      <c r="AB844" s="50"/>
      <c r="AC844" s="50"/>
      <c r="AD844" s="50"/>
      <c r="AE844" s="50"/>
      <c r="AF844" s="50"/>
      <c r="AG844" s="50"/>
      <c r="AH844" s="50"/>
      <c r="AI844" s="50"/>
      <c r="AJ844" s="50"/>
      <c r="AK844" s="50"/>
      <c r="AL844" s="50"/>
    </row>
    <row r="845">
      <c r="U845" s="50"/>
      <c r="V845" s="50"/>
      <c r="W845" s="50"/>
      <c r="X845" s="50"/>
      <c r="Y845" s="50"/>
      <c r="Z845" s="50"/>
      <c r="AA845" s="50"/>
      <c r="AB845" s="50"/>
      <c r="AC845" s="50"/>
      <c r="AD845" s="50"/>
      <c r="AE845" s="50"/>
      <c r="AF845" s="50"/>
      <c r="AG845" s="50"/>
      <c r="AH845" s="50"/>
      <c r="AI845" s="50"/>
      <c r="AJ845" s="50"/>
      <c r="AK845" s="50"/>
      <c r="AL845" s="50"/>
    </row>
    <row r="846">
      <c r="U846" s="50"/>
      <c r="V846" s="50"/>
      <c r="W846" s="50"/>
      <c r="X846" s="50"/>
      <c r="Y846" s="50"/>
      <c r="Z846" s="50"/>
      <c r="AA846" s="50"/>
      <c r="AB846" s="50"/>
      <c r="AC846" s="50"/>
      <c r="AD846" s="50"/>
      <c r="AE846" s="50"/>
      <c r="AF846" s="50"/>
      <c r="AG846" s="50"/>
      <c r="AH846" s="50"/>
      <c r="AI846" s="50"/>
      <c r="AJ846" s="50"/>
      <c r="AK846" s="50"/>
      <c r="AL846" s="50"/>
    </row>
    <row r="847">
      <c r="U847" s="50"/>
      <c r="V847" s="50"/>
      <c r="W847" s="50"/>
      <c r="X847" s="50"/>
      <c r="Y847" s="50"/>
      <c r="Z847" s="50"/>
      <c r="AA847" s="50"/>
      <c r="AB847" s="50"/>
      <c r="AC847" s="50"/>
      <c r="AD847" s="50"/>
      <c r="AE847" s="50"/>
      <c r="AF847" s="50"/>
      <c r="AG847" s="50"/>
      <c r="AH847" s="50"/>
      <c r="AI847" s="50"/>
      <c r="AJ847" s="50"/>
      <c r="AK847" s="50"/>
      <c r="AL847" s="50"/>
    </row>
    <row r="848">
      <c r="U848" s="50"/>
      <c r="V848" s="50"/>
      <c r="W848" s="50"/>
      <c r="X848" s="50"/>
      <c r="Y848" s="50"/>
      <c r="Z848" s="50"/>
      <c r="AA848" s="50"/>
      <c r="AB848" s="50"/>
      <c r="AC848" s="50"/>
      <c r="AD848" s="50"/>
      <c r="AE848" s="50"/>
      <c r="AF848" s="50"/>
      <c r="AG848" s="50"/>
      <c r="AH848" s="50"/>
      <c r="AI848" s="50"/>
      <c r="AJ848" s="50"/>
      <c r="AK848" s="50"/>
      <c r="AL848" s="50"/>
    </row>
    <row r="849">
      <c r="U849" s="50"/>
      <c r="V849" s="50"/>
      <c r="W849" s="50"/>
      <c r="X849" s="50"/>
      <c r="Y849" s="50"/>
      <c r="Z849" s="50"/>
      <c r="AA849" s="50"/>
      <c r="AB849" s="50"/>
      <c r="AC849" s="50"/>
      <c r="AD849" s="50"/>
      <c r="AE849" s="50"/>
      <c r="AF849" s="50"/>
      <c r="AG849" s="50"/>
      <c r="AH849" s="50"/>
      <c r="AI849" s="50"/>
      <c r="AJ849" s="50"/>
      <c r="AK849" s="50"/>
      <c r="AL849" s="50"/>
    </row>
    <row r="850">
      <c r="U850" s="50"/>
      <c r="V850" s="50"/>
      <c r="W850" s="50"/>
      <c r="X850" s="50"/>
      <c r="Y850" s="50"/>
      <c r="Z850" s="50"/>
      <c r="AA850" s="50"/>
      <c r="AB850" s="50"/>
      <c r="AC850" s="50"/>
      <c r="AD850" s="50"/>
      <c r="AE850" s="50"/>
      <c r="AF850" s="50"/>
      <c r="AG850" s="50"/>
      <c r="AH850" s="50"/>
      <c r="AI850" s="50"/>
      <c r="AJ850" s="50"/>
      <c r="AK850" s="50"/>
      <c r="AL850" s="50"/>
    </row>
    <row r="851">
      <c r="U851" s="50"/>
      <c r="V851" s="50"/>
      <c r="W851" s="50"/>
      <c r="X851" s="50"/>
      <c r="Y851" s="50"/>
      <c r="Z851" s="50"/>
      <c r="AA851" s="50"/>
      <c r="AB851" s="50"/>
      <c r="AC851" s="50"/>
      <c r="AD851" s="50"/>
      <c r="AE851" s="50"/>
      <c r="AF851" s="50"/>
      <c r="AG851" s="50"/>
      <c r="AH851" s="50"/>
      <c r="AI851" s="50"/>
      <c r="AJ851" s="50"/>
      <c r="AK851" s="50"/>
      <c r="AL851" s="50"/>
    </row>
    <row r="852">
      <c r="U852" s="50"/>
      <c r="V852" s="50"/>
      <c r="W852" s="50"/>
      <c r="X852" s="50"/>
      <c r="Y852" s="50"/>
      <c r="Z852" s="50"/>
      <c r="AA852" s="50"/>
      <c r="AB852" s="50"/>
      <c r="AC852" s="50"/>
      <c r="AD852" s="50"/>
      <c r="AE852" s="50"/>
      <c r="AF852" s="50"/>
      <c r="AG852" s="50"/>
      <c r="AH852" s="50"/>
      <c r="AI852" s="50"/>
      <c r="AJ852" s="50"/>
      <c r="AK852" s="50"/>
      <c r="AL852" s="50"/>
    </row>
    <row r="853">
      <c r="U853" s="50"/>
      <c r="V853" s="50"/>
      <c r="W853" s="50"/>
      <c r="X853" s="50"/>
      <c r="Y853" s="50"/>
      <c r="Z853" s="50"/>
      <c r="AA853" s="50"/>
      <c r="AB853" s="50"/>
      <c r="AC853" s="50"/>
      <c r="AD853" s="50"/>
      <c r="AE853" s="50"/>
      <c r="AF853" s="50"/>
      <c r="AG853" s="50"/>
      <c r="AH853" s="50"/>
      <c r="AI853" s="50"/>
      <c r="AJ853" s="50"/>
      <c r="AK853" s="50"/>
      <c r="AL853" s="50"/>
    </row>
    <row r="854">
      <c r="U854" s="50"/>
      <c r="V854" s="50"/>
      <c r="W854" s="50"/>
      <c r="X854" s="50"/>
      <c r="Y854" s="50"/>
      <c r="Z854" s="50"/>
      <c r="AA854" s="50"/>
      <c r="AB854" s="50"/>
      <c r="AC854" s="50"/>
      <c r="AD854" s="50"/>
      <c r="AE854" s="50"/>
      <c r="AF854" s="50"/>
      <c r="AG854" s="50"/>
      <c r="AH854" s="50"/>
      <c r="AI854" s="50"/>
      <c r="AJ854" s="50"/>
      <c r="AK854" s="50"/>
      <c r="AL854" s="50"/>
    </row>
    <row r="855">
      <c r="U855" s="50"/>
      <c r="V855" s="50"/>
      <c r="W855" s="50"/>
      <c r="X855" s="50"/>
      <c r="Y855" s="50"/>
      <c r="Z855" s="50"/>
      <c r="AA855" s="50"/>
      <c r="AB855" s="50"/>
      <c r="AC855" s="50"/>
      <c r="AD855" s="50"/>
      <c r="AE855" s="50"/>
      <c r="AF855" s="50"/>
      <c r="AG855" s="50"/>
      <c r="AH855" s="50"/>
      <c r="AI855" s="50"/>
      <c r="AJ855" s="50"/>
      <c r="AK855" s="50"/>
      <c r="AL855" s="50"/>
    </row>
    <row r="856">
      <c r="U856" s="50"/>
      <c r="V856" s="50"/>
      <c r="W856" s="50"/>
      <c r="X856" s="50"/>
      <c r="Y856" s="50"/>
      <c r="Z856" s="50"/>
      <c r="AA856" s="50"/>
      <c r="AB856" s="50"/>
      <c r="AC856" s="50"/>
      <c r="AD856" s="50"/>
      <c r="AE856" s="50"/>
      <c r="AF856" s="50"/>
      <c r="AG856" s="50"/>
      <c r="AH856" s="50"/>
      <c r="AI856" s="50"/>
      <c r="AJ856" s="50"/>
      <c r="AK856" s="50"/>
      <c r="AL856" s="50"/>
    </row>
    <row r="857">
      <c r="U857" s="50"/>
      <c r="V857" s="50"/>
      <c r="W857" s="50"/>
      <c r="X857" s="50"/>
      <c r="Y857" s="50"/>
      <c r="Z857" s="50"/>
      <c r="AA857" s="50"/>
      <c r="AB857" s="50"/>
      <c r="AC857" s="50"/>
      <c r="AD857" s="50"/>
      <c r="AE857" s="50"/>
      <c r="AF857" s="50"/>
      <c r="AG857" s="50"/>
      <c r="AH857" s="50"/>
      <c r="AI857" s="50"/>
      <c r="AJ857" s="50"/>
      <c r="AK857" s="50"/>
      <c r="AL857" s="50"/>
    </row>
    <row r="858">
      <c r="U858" s="50"/>
      <c r="V858" s="50"/>
      <c r="W858" s="50"/>
      <c r="X858" s="50"/>
      <c r="Y858" s="50"/>
      <c r="Z858" s="50"/>
      <c r="AA858" s="50"/>
      <c r="AB858" s="50"/>
      <c r="AC858" s="50"/>
      <c r="AD858" s="50"/>
      <c r="AE858" s="50"/>
      <c r="AF858" s="50"/>
      <c r="AG858" s="50"/>
      <c r="AH858" s="50"/>
      <c r="AI858" s="50"/>
      <c r="AJ858" s="50"/>
      <c r="AK858" s="50"/>
      <c r="AL858" s="50"/>
    </row>
    <row r="859">
      <c r="U859" s="50"/>
      <c r="V859" s="50"/>
      <c r="W859" s="50"/>
      <c r="X859" s="50"/>
      <c r="Y859" s="50"/>
      <c r="Z859" s="50"/>
      <c r="AA859" s="50"/>
      <c r="AB859" s="50"/>
      <c r="AC859" s="50"/>
      <c r="AD859" s="50"/>
      <c r="AE859" s="50"/>
      <c r="AF859" s="50"/>
      <c r="AG859" s="50"/>
      <c r="AH859" s="50"/>
      <c r="AI859" s="50"/>
      <c r="AJ859" s="50"/>
      <c r="AK859" s="50"/>
      <c r="AL859" s="50"/>
    </row>
    <row r="860">
      <c r="U860" s="50"/>
      <c r="V860" s="50"/>
      <c r="W860" s="50"/>
      <c r="X860" s="50"/>
      <c r="Y860" s="50"/>
      <c r="Z860" s="50"/>
      <c r="AA860" s="50"/>
      <c r="AB860" s="50"/>
      <c r="AC860" s="50"/>
      <c r="AD860" s="50"/>
      <c r="AE860" s="50"/>
      <c r="AF860" s="50"/>
      <c r="AG860" s="50"/>
      <c r="AH860" s="50"/>
      <c r="AI860" s="50"/>
      <c r="AJ860" s="50"/>
      <c r="AK860" s="50"/>
      <c r="AL860" s="50"/>
    </row>
    <row r="861">
      <c r="U861" s="50"/>
      <c r="V861" s="50"/>
      <c r="W861" s="50"/>
      <c r="X861" s="50"/>
      <c r="Y861" s="50"/>
      <c r="Z861" s="50"/>
      <c r="AA861" s="50"/>
      <c r="AB861" s="50"/>
      <c r="AC861" s="50"/>
      <c r="AD861" s="50"/>
      <c r="AE861" s="50"/>
      <c r="AF861" s="50"/>
      <c r="AG861" s="50"/>
      <c r="AH861" s="50"/>
      <c r="AI861" s="50"/>
      <c r="AJ861" s="50"/>
      <c r="AK861" s="50"/>
      <c r="AL861" s="50"/>
    </row>
    <row r="862">
      <c r="U862" s="50"/>
      <c r="V862" s="50"/>
      <c r="W862" s="50"/>
      <c r="X862" s="50"/>
      <c r="Y862" s="50"/>
      <c r="Z862" s="50"/>
      <c r="AA862" s="50"/>
      <c r="AB862" s="50"/>
      <c r="AC862" s="50"/>
      <c r="AD862" s="50"/>
      <c r="AE862" s="50"/>
      <c r="AF862" s="50"/>
      <c r="AG862" s="50"/>
      <c r="AH862" s="50"/>
      <c r="AI862" s="50"/>
      <c r="AJ862" s="50"/>
      <c r="AK862" s="50"/>
      <c r="AL862" s="50"/>
    </row>
    <row r="863">
      <c r="U863" s="50"/>
      <c r="V863" s="50"/>
      <c r="W863" s="50"/>
      <c r="X863" s="50"/>
      <c r="Y863" s="50"/>
      <c r="Z863" s="50"/>
      <c r="AA863" s="50"/>
      <c r="AB863" s="50"/>
      <c r="AC863" s="50"/>
      <c r="AD863" s="50"/>
      <c r="AE863" s="50"/>
      <c r="AF863" s="50"/>
      <c r="AG863" s="50"/>
      <c r="AH863" s="50"/>
      <c r="AI863" s="50"/>
      <c r="AJ863" s="50"/>
      <c r="AK863" s="50"/>
      <c r="AL863" s="50"/>
    </row>
    <row r="864">
      <c r="U864" s="50"/>
      <c r="V864" s="50"/>
      <c r="W864" s="50"/>
      <c r="X864" s="50"/>
      <c r="Y864" s="50"/>
      <c r="Z864" s="50"/>
      <c r="AA864" s="50"/>
      <c r="AB864" s="50"/>
      <c r="AC864" s="50"/>
      <c r="AD864" s="50"/>
      <c r="AE864" s="50"/>
      <c r="AF864" s="50"/>
      <c r="AG864" s="50"/>
      <c r="AH864" s="50"/>
      <c r="AI864" s="50"/>
      <c r="AJ864" s="50"/>
      <c r="AK864" s="50"/>
      <c r="AL864" s="50"/>
    </row>
    <row r="865">
      <c r="U865" s="50"/>
      <c r="V865" s="50"/>
      <c r="W865" s="50"/>
      <c r="X865" s="50"/>
      <c r="Y865" s="50"/>
      <c r="Z865" s="50"/>
      <c r="AA865" s="50"/>
      <c r="AB865" s="50"/>
      <c r="AC865" s="50"/>
      <c r="AD865" s="50"/>
      <c r="AE865" s="50"/>
      <c r="AF865" s="50"/>
      <c r="AG865" s="50"/>
      <c r="AH865" s="50"/>
      <c r="AI865" s="50"/>
      <c r="AJ865" s="50"/>
      <c r="AK865" s="50"/>
      <c r="AL865" s="50"/>
    </row>
    <row r="866">
      <c r="U866" s="50"/>
      <c r="V866" s="50"/>
      <c r="W866" s="50"/>
      <c r="X866" s="50"/>
      <c r="Y866" s="50"/>
      <c r="Z866" s="50"/>
      <c r="AA866" s="50"/>
      <c r="AB866" s="50"/>
      <c r="AC866" s="50"/>
      <c r="AD866" s="50"/>
      <c r="AE866" s="50"/>
      <c r="AF866" s="50"/>
      <c r="AG866" s="50"/>
      <c r="AH866" s="50"/>
      <c r="AI866" s="50"/>
      <c r="AJ866" s="50"/>
      <c r="AK866" s="50"/>
      <c r="AL866" s="50"/>
    </row>
    <row r="867">
      <c r="U867" s="50"/>
      <c r="V867" s="50"/>
      <c r="W867" s="50"/>
      <c r="X867" s="50"/>
      <c r="Y867" s="50"/>
      <c r="Z867" s="50"/>
      <c r="AA867" s="50"/>
      <c r="AB867" s="50"/>
      <c r="AC867" s="50"/>
      <c r="AD867" s="50"/>
      <c r="AE867" s="50"/>
      <c r="AF867" s="50"/>
      <c r="AG867" s="50"/>
      <c r="AH867" s="50"/>
      <c r="AI867" s="50"/>
      <c r="AJ867" s="50"/>
      <c r="AK867" s="50"/>
      <c r="AL867" s="50"/>
    </row>
    <row r="868">
      <c r="U868" s="50"/>
      <c r="V868" s="50"/>
      <c r="W868" s="50"/>
      <c r="X868" s="50"/>
      <c r="Y868" s="50"/>
      <c r="Z868" s="50"/>
      <c r="AA868" s="50"/>
      <c r="AB868" s="50"/>
      <c r="AC868" s="50"/>
      <c r="AD868" s="50"/>
      <c r="AE868" s="50"/>
      <c r="AF868" s="50"/>
      <c r="AG868" s="50"/>
      <c r="AH868" s="50"/>
      <c r="AI868" s="50"/>
      <c r="AJ868" s="50"/>
      <c r="AK868" s="50"/>
      <c r="AL868" s="50"/>
    </row>
    <row r="869">
      <c r="U869" s="50"/>
      <c r="V869" s="50"/>
      <c r="W869" s="50"/>
      <c r="X869" s="50"/>
      <c r="Y869" s="50"/>
      <c r="Z869" s="50"/>
      <c r="AA869" s="50"/>
      <c r="AB869" s="50"/>
      <c r="AC869" s="50"/>
      <c r="AD869" s="50"/>
      <c r="AE869" s="50"/>
      <c r="AF869" s="50"/>
      <c r="AG869" s="50"/>
      <c r="AH869" s="50"/>
      <c r="AI869" s="50"/>
      <c r="AJ869" s="50"/>
      <c r="AK869" s="50"/>
      <c r="AL869" s="50"/>
    </row>
    <row r="870">
      <c r="U870" s="50"/>
      <c r="V870" s="50"/>
      <c r="W870" s="50"/>
      <c r="X870" s="50"/>
      <c r="Y870" s="50"/>
      <c r="Z870" s="50"/>
      <c r="AA870" s="50"/>
      <c r="AB870" s="50"/>
      <c r="AC870" s="50"/>
      <c r="AD870" s="50"/>
      <c r="AE870" s="50"/>
      <c r="AF870" s="50"/>
      <c r="AG870" s="50"/>
      <c r="AH870" s="50"/>
      <c r="AI870" s="50"/>
      <c r="AJ870" s="50"/>
      <c r="AK870" s="50"/>
      <c r="AL870" s="50"/>
    </row>
    <row r="871">
      <c r="U871" s="50"/>
      <c r="V871" s="50"/>
      <c r="W871" s="50"/>
      <c r="X871" s="50"/>
      <c r="Y871" s="50"/>
      <c r="Z871" s="50"/>
      <c r="AA871" s="50"/>
      <c r="AB871" s="50"/>
      <c r="AC871" s="50"/>
      <c r="AD871" s="50"/>
      <c r="AE871" s="50"/>
      <c r="AF871" s="50"/>
      <c r="AG871" s="50"/>
      <c r="AH871" s="50"/>
      <c r="AI871" s="50"/>
      <c r="AJ871" s="50"/>
      <c r="AK871" s="50"/>
      <c r="AL871" s="50"/>
    </row>
    <row r="872">
      <c r="U872" s="50"/>
      <c r="V872" s="50"/>
      <c r="W872" s="50"/>
      <c r="X872" s="50"/>
      <c r="Y872" s="50"/>
      <c r="Z872" s="50"/>
      <c r="AA872" s="50"/>
      <c r="AB872" s="50"/>
      <c r="AC872" s="50"/>
      <c r="AD872" s="50"/>
      <c r="AE872" s="50"/>
      <c r="AF872" s="50"/>
      <c r="AG872" s="50"/>
      <c r="AH872" s="50"/>
      <c r="AI872" s="50"/>
      <c r="AJ872" s="50"/>
      <c r="AK872" s="50"/>
      <c r="AL872" s="50"/>
    </row>
    <row r="873">
      <c r="U873" s="50"/>
      <c r="V873" s="50"/>
      <c r="W873" s="50"/>
      <c r="X873" s="50"/>
      <c r="Y873" s="50"/>
      <c r="Z873" s="50"/>
      <c r="AA873" s="50"/>
      <c r="AB873" s="50"/>
      <c r="AC873" s="50"/>
      <c r="AD873" s="50"/>
      <c r="AE873" s="50"/>
      <c r="AF873" s="50"/>
      <c r="AG873" s="50"/>
      <c r="AH873" s="50"/>
      <c r="AI873" s="50"/>
      <c r="AJ873" s="50"/>
      <c r="AK873" s="50"/>
      <c r="AL873" s="50"/>
    </row>
    <row r="874">
      <c r="U874" s="50"/>
      <c r="V874" s="50"/>
      <c r="W874" s="50"/>
      <c r="X874" s="50"/>
      <c r="Y874" s="50"/>
      <c r="Z874" s="50"/>
      <c r="AA874" s="50"/>
      <c r="AB874" s="50"/>
      <c r="AC874" s="50"/>
      <c r="AD874" s="50"/>
      <c r="AE874" s="50"/>
      <c r="AF874" s="50"/>
      <c r="AG874" s="50"/>
      <c r="AH874" s="50"/>
      <c r="AI874" s="50"/>
      <c r="AJ874" s="50"/>
      <c r="AK874" s="50"/>
      <c r="AL874" s="50"/>
    </row>
    <row r="875">
      <c r="U875" s="50"/>
      <c r="V875" s="50"/>
      <c r="W875" s="50"/>
      <c r="X875" s="50"/>
      <c r="Y875" s="50"/>
      <c r="Z875" s="50"/>
      <c r="AA875" s="50"/>
      <c r="AB875" s="50"/>
      <c r="AC875" s="50"/>
      <c r="AD875" s="50"/>
      <c r="AE875" s="50"/>
      <c r="AF875" s="50"/>
      <c r="AG875" s="50"/>
      <c r="AH875" s="50"/>
      <c r="AI875" s="50"/>
      <c r="AJ875" s="50"/>
      <c r="AK875" s="50"/>
      <c r="AL875" s="50"/>
    </row>
    <row r="876">
      <c r="U876" s="50"/>
      <c r="V876" s="50"/>
      <c r="W876" s="50"/>
      <c r="X876" s="50"/>
      <c r="Y876" s="50"/>
      <c r="Z876" s="50"/>
      <c r="AA876" s="50"/>
      <c r="AB876" s="50"/>
      <c r="AC876" s="50"/>
      <c r="AD876" s="50"/>
      <c r="AE876" s="50"/>
      <c r="AF876" s="50"/>
      <c r="AG876" s="50"/>
      <c r="AH876" s="50"/>
      <c r="AI876" s="50"/>
      <c r="AJ876" s="50"/>
      <c r="AK876" s="50"/>
      <c r="AL876" s="50"/>
    </row>
    <row r="877">
      <c r="U877" s="50"/>
      <c r="V877" s="50"/>
      <c r="W877" s="50"/>
      <c r="X877" s="50"/>
      <c r="Y877" s="50"/>
      <c r="Z877" s="50"/>
      <c r="AA877" s="50"/>
      <c r="AB877" s="50"/>
      <c r="AC877" s="50"/>
      <c r="AD877" s="50"/>
      <c r="AE877" s="50"/>
      <c r="AF877" s="50"/>
      <c r="AG877" s="50"/>
      <c r="AH877" s="50"/>
      <c r="AI877" s="50"/>
      <c r="AJ877" s="50"/>
      <c r="AK877" s="50"/>
      <c r="AL877" s="50"/>
    </row>
    <row r="878">
      <c r="U878" s="50"/>
      <c r="V878" s="50"/>
      <c r="W878" s="50"/>
      <c r="X878" s="50"/>
      <c r="Y878" s="50"/>
      <c r="Z878" s="50"/>
      <c r="AA878" s="50"/>
      <c r="AB878" s="50"/>
      <c r="AC878" s="50"/>
      <c r="AD878" s="50"/>
      <c r="AE878" s="50"/>
      <c r="AF878" s="50"/>
      <c r="AG878" s="50"/>
      <c r="AH878" s="50"/>
      <c r="AI878" s="50"/>
      <c r="AJ878" s="50"/>
      <c r="AK878" s="50"/>
      <c r="AL878" s="50"/>
    </row>
    <row r="879">
      <c r="U879" s="50"/>
      <c r="V879" s="50"/>
      <c r="W879" s="50"/>
      <c r="X879" s="50"/>
      <c r="Y879" s="50"/>
      <c r="Z879" s="50"/>
      <c r="AA879" s="50"/>
      <c r="AB879" s="50"/>
      <c r="AC879" s="50"/>
      <c r="AD879" s="50"/>
      <c r="AE879" s="50"/>
      <c r="AF879" s="50"/>
      <c r="AG879" s="50"/>
      <c r="AH879" s="50"/>
      <c r="AI879" s="50"/>
      <c r="AJ879" s="50"/>
      <c r="AK879" s="50"/>
      <c r="AL879" s="50"/>
    </row>
    <row r="880">
      <c r="U880" s="50"/>
      <c r="V880" s="50"/>
      <c r="W880" s="50"/>
      <c r="X880" s="50"/>
      <c r="Y880" s="50"/>
      <c r="Z880" s="50"/>
      <c r="AA880" s="50"/>
      <c r="AB880" s="50"/>
      <c r="AC880" s="50"/>
      <c r="AD880" s="50"/>
      <c r="AE880" s="50"/>
      <c r="AF880" s="50"/>
      <c r="AG880" s="50"/>
      <c r="AH880" s="50"/>
      <c r="AI880" s="50"/>
      <c r="AJ880" s="50"/>
      <c r="AK880" s="50"/>
      <c r="AL880" s="50"/>
    </row>
    <row r="881">
      <c r="U881" s="50"/>
      <c r="V881" s="50"/>
      <c r="W881" s="50"/>
      <c r="X881" s="50"/>
      <c r="Y881" s="50"/>
      <c r="Z881" s="50"/>
      <c r="AA881" s="50"/>
      <c r="AB881" s="50"/>
      <c r="AC881" s="50"/>
      <c r="AD881" s="50"/>
      <c r="AE881" s="50"/>
      <c r="AF881" s="50"/>
      <c r="AG881" s="50"/>
      <c r="AH881" s="50"/>
      <c r="AI881" s="50"/>
      <c r="AJ881" s="50"/>
      <c r="AK881" s="50"/>
      <c r="AL881" s="50"/>
    </row>
    <row r="882">
      <c r="U882" s="50"/>
      <c r="V882" s="50"/>
      <c r="W882" s="50"/>
      <c r="X882" s="50"/>
      <c r="Y882" s="50"/>
      <c r="Z882" s="50"/>
      <c r="AA882" s="50"/>
      <c r="AB882" s="50"/>
      <c r="AC882" s="50"/>
      <c r="AD882" s="50"/>
      <c r="AE882" s="50"/>
      <c r="AF882" s="50"/>
      <c r="AG882" s="50"/>
      <c r="AH882" s="50"/>
      <c r="AI882" s="50"/>
      <c r="AJ882" s="50"/>
      <c r="AK882" s="50"/>
      <c r="AL882" s="50"/>
    </row>
    <row r="883">
      <c r="U883" s="50"/>
      <c r="V883" s="50"/>
      <c r="W883" s="50"/>
      <c r="X883" s="50"/>
      <c r="Y883" s="50"/>
      <c r="Z883" s="50"/>
      <c r="AA883" s="50"/>
      <c r="AB883" s="50"/>
      <c r="AC883" s="50"/>
      <c r="AD883" s="50"/>
      <c r="AE883" s="50"/>
      <c r="AF883" s="50"/>
      <c r="AG883" s="50"/>
      <c r="AH883" s="50"/>
      <c r="AI883" s="50"/>
      <c r="AJ883" s="50"/>
      <c r="AK883" s="50"/>
      <c r="AL883" s="50"/>
    </row>
    <row r="884">
      <c r="U884" s="50"/>
      <c r="V884" s="50"/>
      <c r="W884" s="50"/>
      <c r="X884" s="50"/>
      <c r="Y884" s="50"/>
      <c r="Z884" s="50"/>
      <c r="AA884" s="50"/>
      <c r="AB884" s="50"/>
      <c r="AC884" s="50"/>
      <c r="AD884" s="50"/>
      <c r="AE884" s="50"/>
      <c r="AF884" s="50"/>
      <c r="AG884" s="50"/>
      <c r="AH884" s="50"/>
      <c r="AI884" s="50"/>
      <c r="AJ884" s="50"/>
      <c r="AK884" s="50"/>
      <c r="AL884" s="50"/>
    </row>
    <row r="885">
      <c r="U885" s="50"/>
      <c r="V885" s="50"/>
      <c r="W885" s="50"/>
      <c r="X885" s="50"/>
      <c r="Y885" s="50"/>
      <c r="Z885" s="50"/>
      <c r="AA885" s="50"/>
      <c r="AB885" s="50"/>
      <c r="AC885" s="50"/>
      <c r="AD885" s="50"/>
      <c r="AE885" s="50"/>
      <c r="AF885" s="50"/>
      <c r="AG885" s="50"/>
      <c r="AH885" s="50"/>
      <c r="AI885" s="50"/>
      <c r="AJ885" s="50"/>
      <c r="AK885" s="50"/>
      <c r="AL885" s="50"/>
    </row>
    <row r="886">
      <c r="U886" s="50"/>
      <c r="V886" s="50"/>
      <c r="W886" s="50"/>
      <c r="X886" s="50"/>
      <c r="Y886" s="50"/>
      <c r="Z886" s="50"/>
      <c r="AA886" s="50"/>
      <c r="AB886" s="50"/>
      <c r="AC886" s="50"/>
      <c r="AD886" s="50"/>
      <c r="AE886" s="50"/>
      <c r="AF886" s="50"/>
      <c r="AG886" s="50"/>
      <c r="AH886" s="50"/>
      <c r="AI886" s="50"/>
      <c r="AJ886" s="50"/>
      <c r="AK886" s="50"/>
      <c r="AL886" s="50"/>
    </row>
    <row r="887">
      <c r="U887" s="50"/>
      <c r="V887" s="50"/>
      <c r="W887" s="50"/>
      <c r="X887" s="50"/>
      <c r="Y887" s="50"/>
      <c r="Z887" s="50"/>
      <c r="AA887" s="50"/>
      <c r="AB887" s="50"/>
      <c r="AC887" s="50"/>
      <c r="AD887" s="50"/>
      <c r="AE887" s="50"/>
      <c r="AF887" s="50"/>
      <c r="AG887" s="50"/>
      <c r="AH887" s="50"/>
      <c r="AI887" s="50"/>
      <c r="AJ887" s="50"/>
      <c r="AK887" s="50"/>
      <c r="AL887" s="50"/>
    </row>
    <row r="888">
      <c r="U888" s="50"/>
      <c r="V888" s="50"/>
      <c r="W888" s="50"/>
      <c r="X888" s="50"/>
      <c r="Y888" s="50"/>
      <c r="Z888" s="50"/>
      <c r="AA888" s="50"/>
      <c r="AB888" s="50"/>
      <c r="AC888" s="50"/>
      <c r="AD888" s="50"/>
      <c r="AE888" s="50"/>
      <c r="AF888" s="50"/>
      <c r="AG888" s="50"/>
      <c r="AH888" s="50"/>
      <c r="AI888" s="50"/>
      <c r="AJ888" s="50"/>
      <c r="AK888" s="50"/>
      <c r="AL888" s="50"/>
    </row>
    <row r="889">
      <c r="U889" s="50"/>
      <c r="V889" s="50"/>
      <c r="W889" s="50"/>
      <c r="X889" s="50"/>
      <c r="Y889" s="50"/>
      <c r="Z889" s="50"/>
      <c r="AA889" s="50"/>
      <c r="AB889" s="50"/>
      <c r="AC889" s="50"/>
      <c r="AD889" s="50"/>
      <c r="AE889" s="50"/>
      <c r="AF889" s="50"/>
      <c r="AG889" s="50"/>
      <c r="AH889" s="50"/>
      <c r="AI889" s="50"/>
      <c r="AJ889" s="50"/>
      <c r="AK889" s="50"/>
      <c r="AL889" s="50"/>
    </row>
    <row r="890">
      <c r="U890" s="50"/>
      <c r="V890" s="50"/>
      <c r="W890" s="50"/>
      <c r="X890" s="50"/>
      <c r="Y890" s="50"/>
      <c r="Z890" s="50"/>
      <c r="AA890" s="50"/>
      <c r="AB890" s="50"/>
      <c r="AC890" s="50"/>
      <c r="AD890" s="50"/>
      <c r="AE890" s="50"/>
      <c r="AF890" s="50"/>
      <c r="AG890" s="50"/>
      <c r="AH890" s="50"/>
      <c r="AI890" s="50"/>
      <c r="AJ890" s="50"/>
      <c r="AK890" s="50"/>
      <c r="AL890" s="50"/>
    </row>
    <row r="891">
      <c r="U891" s="50"/>
      <c r="V891" s="50"/>
      <c r="W891" s="50"/>
      <c r="X891" s="50"/>
      <c r="Y891" s="50"/>
      <c r="Z891" s="50"/>
      <c r="AA891" s="50"/>
      <c r="AB891" s="50"/>
      <c r="AC891" s="50"/>
      <c r="AD891" s="50"/>
      <c r="AE891" s="50"/>
      <c r="AF891" s="50"/>
      <c r="AG891" s="50"/>
      <c r="AH891" s="50"/>
      <c r="AI891" s="50"/>
      <c r="AJ891" s="50"/>
      <c r="AK891" s="50"/>
      <c r="AL891" s="50"/>
    </row>
    <row r="892">
      <c r="U892" s="50"/>
      <c r="V892" s="50"/>
      <c r="W892" s="50"/>
      <c r="X892" s="50"/>
      <c r="Y892" s="50"/>
      <c r="Z892" s="50"/>
      <c r="AA892" s="50"/>
      <c r="AB892" s="50"/>
      <c r="AC892" s="50"/>
      <c r="AD892" s="50"/>
      <c r="AE892" s="50"/>
      <c r="AF892" s="50"/>
      <c r="AG892" s="50"/>
      <c r="AH892" s="50"/>
      <c r="AI892" s="50"/>
      <c r="AJ892" s="50"/>
      <c r="AK892" s="50"/>
      <c r="AL892" s="50"/>
    </row>
    <row r="893">
      <c r="U893" s="50"/>
      <c r="V893" s="50"/>
      <c r="W893" s="50"/>
      <c r="X893" s="50"/>
      <c r="Y893" s="50"/>
      <c r="Z893" s="50"/>
      <c r="AA893" s="50"/>
      <c r="AB893" s="50"/>
      <c r="AC893" s="50"/>
      <c r="AD893" s="50"/>
      <c r="AE893" s="50"/>
      <c r="AF893" s="50"/>
      <c r="AG893" s="50"/>
      <c r="AH893" s="50"/>
      <c r="AI893" s="50"/>
      <c r="AJ893" s="50"/>
      <c r="AK893" s="50"/>
      <c r="AL893" s="50"/>
    </row>
    <row r="894">
      <c r="U894" s="50"/>
      <c r="V894" s="50"/>
      <c r="W894" s="50"/>
      <c r="X894" s="50"/>
      <c r="Y894" s="50"/>
      <c r="Z894" s="50"/>
      <c r="AA894" s="50"/>
      <c r="AB894" s="50"/>
      <c r="AC894" s="50"/>
      <c r="AD894" s="50"/>
      <c r="AE894" s="50"/>
      <c r="AF894" s="50"/>
      <c r="AG894" s="50"/>
      <c r="AH894" s="50"/>
      <c r="AI894" s="50"/>
      <c r="AJ894" s="50"/>
      <c r="AK894" s="50"/>
      <c r="AL894" s="50"/>
    </row>
    <row r="895">
      <c r="U895" s="50"/>
      <c r="V895" s="50"/>
      <c r="W895" s="50"/>
      <c r="X895" s="50"/>
      <c r="Y895" s="50"/>
      <c r="Z895" s="50"/>
      <c r="AA895" s="50"/>
      <c r="AB895" s="50"/>
      <c r="AC895" s="50"/>
      <c r="AD895" s="50"/>
      <c r="AE895" s="50"/>
      <c r="AF895" s="50"/>
      <c r="AG895" s="50"/>
      <c r="AH895" s="50"/>
      <c r="AI895" s="50"/>
      <c r="AJ895" s="50"/>
      <c r="AK895" s="50"/>
      <c r="AL895" s="50"/>
    </row>
    <row r="896">
      <c r="U896" s="50"/>
      <c r="V896" s="50"/>
      <c r="W896" s="50"/>
      <c r="X896" s="50"/>
      <c r="Y896" s="50"/>
      <c r="Z896" s="50"/>
      <c r="AA896" s="50"/>
      <c r="AB896" s="50"/>
      <c r="AC896" s="50"/>
      <c r="AD896" s="50"/>
      <c r="AE896" s="50"/>
      <c r="AF896" s="50"/>
      <c r="AG896" s="50"/>
      <c r="AH896" s="50"/>
      <c r="AI896" s="50"/>
      <c r="AJ896" s="50"/>
      <c r="AK896" s="50"/>
      <c r="AL896" s="50"/>
    </row>
    <row r="897">
      <c r="U897" s="50"/>
      <c r="V897" s="50"/>
      <c r="W897" s="50"/>
      <c r="X897" s="50"/>
      <c r="Y897" s="50"/>
      <c r="Z897" s="50"/>
      <c r="AA897" s="50"/>
      <c r="AB897" s="50"/>
      <c r="AC897" s="50"/>
      <c r="AD897" s="50"/>
      <c r="AE897" s="50"/>
      <c r="AF897" s="50"/>
      <c r="AG897" s="50"/>
      <c r="AH897" s="50"/>
      <c r="AI897" s="50"/>
      <c r="AJ897" s="50"/>
      <c r="AK897" s="50"/>
      <c r="AL897" s="50"/>
    </row>
    <row r="898">
      <c r="U898" s="50"/>
      <c r="V898" s="50"/>
      <c r="W898" s="50"/>
      <c r="X898" s="50"/>
      <c r="Y898" s="50"/>
      <c r="Z898" s="50"/>
      <c r="AA898" s="50"/>
      <c r="AB898" s="50"/>
      <c r="AC898" s="50"/>
      <c r="AD898" s="50"/>
      <c r="AE898" s="50"/>
      <c r="AF898" s="50"/>
      <c r="AG898" s="50"/>
      <c r="AH898" s="50"/>
      <c r="AI898" s="50"/>
      <c r="AJ898" s="50"/>
      <c r="AK898" s="50"/>
      <c r="AL898" s="50"/>
    </row>
    <row r="899">
      <c r="U899" s="50"/>
      <c r="V899" s="50"/>
      <c r="W899" s="50"/>
      <c r="X899" s="50"/>
      <c r="Y899" s="50"/>
      <c r="Z899" s="50"/>
      <c r="AA899" s="50"/>
      <c r="AB899" s="50"/>
      <c r="AC899" s="50"/>
      <c r="AD899" s="50"/>
      <c r="AE899" s="50"/>
      <c r="AF899" s="50"/>
      <c r="AG899" s="50"/>
      <c r="AH899" s="50"/>
      <c r="AI899" s="50"/>
      <c r="AJ899" s="50"/>
      <c r="AK899" s="50"/>
      <c r="AL899" s="50"/>
    </row>
    <row r="900">
      <c r="U900" s="50"/>
      <c r="V900" s="50"/>
      <c r="W900" s="50"/>
      <c r="X900" s="50"/>
      <c r="Y900" s="50"/>
      <c r="Z900" s="50"/>
      <c r="AA900" s="50"/>
      <c r="AB900" s="50"/>
      <c r="AC900" s="50"/>
      <c r="AD900" s="50"/>
      <c r="AE900" s="50"/>
      <c r="AF900" s="50"/>
      <c r="AG900" s="50"/>
      <c r="AH900" s="50"/>
      <c r="AI900" s="50"/>
      <c r="AJ900" s="50"/>
      <c r="AK900" s="50"/>
      <c r="AL900" s="50"/>
    </row>
    <row r="901">
      <c r="U901" s="50"/>
      <c r="V901" s="50"/>
      <c r="W901" s="50"/>
      <c r="X901" s="50"/>
      <c r="Y901" s="50"/>
      <c r="Z901" s="50"/>
      <c r="AA901" s="50"/>
      <c r="AB901" s="50"/>
      <c r="AC901" s="50"/>
      <c r="AD901" s="50"/>
      <c r="AE901" s="50"/>
      <c r="AF901" s="50"/>
      <c r="AG901" s="50"/>
      <c r="AH901" s="50"/>
      <c r="AI901" s="50"/>
      <c r="AJ901" s="50"/>
      <c r="AK901" s="50"/>
      <c r="AL901" s="50"/>
    </row>
    <row r="902">
      <c r="U902" s="50"/>
      <c r="V902" s="50"/>
      <c r="W902" s="50"/>
      <c r="X902" s="50"/>
      <c r="Y902" s="50"/>
      <c r="Z902" s="50"/>
      <c r="AA902" s="50"/>
      <c r="AB902" s="50"/>
      <c r="AC902" s="50"/>
      <c r="AD902" s="50"/>
      <c r="AE902" s="50"/>
      <c r="AF902" s="50"/>
      <c r="AG902" s="50"/>
      <c r="AH902" s="50"/>
      <c r="AI902" s="50"/>
      <c r="AJ902" s="50"/>
      <c r="AK902" s="50"/>
      <c r="AL902" s="50"/>
    </row>
    <row r="903">
      <c r="U903" s="50"/>
      <c r="V903" s="50"/>
      <c r="W903" s="50"/>
      <c r="X903" s="50"/>
      <c r="Y903" s="50"/>
      <c r="Z903" s="50"/>
      <c r="AA903" s="50"/>
      <c r="AB903" s="50"/>
      <c r="AC903" s="50"/>
      <c r="AD903" s="50"/>
      <c r="AE903" s="50"/>
      <c r="AF903" s="50"/>
      <c r="AG903" s="50"/>
      <c r="AH903" s="50"/>
      <c r="AI903" s="50"/>
      <c r="AJ903" s="50"/>
      <c r="AK903" s="50"/>
      <c r="AL903" s="50"/>
    </row>
    <row r="904">
      <c r="U904" s="50"/>
      <c r="V904" s="50"/>
      <c r="W904" s="50"/>
      <c r="X904" s="50"/>
      <c r="Y904" s="50"/>
      <c r="Z904" s="50"/>
      <c r="AA904" s="50"/>
      <c r="AB904" s="50"/>
      <c r="AC904" s="50"/>
      <c r="AD904" s="50"/>
      <c r="AE904" s="50"/>
      <c r="AF904" s="50"/>
      <c r="AG904" s="50"/>
      <c r="AH904" s="50"/>
      <c r="AI904" s="50"/>
      <c r="AJ904" s="50"/>
      <c r="AK904" s="50"/>
      <c r="AL904" s="50"/>
    </row>
    <row r="905">
      <c r="U905" s="50"/>
      <c r="V905" s="50"/>
      <c r="W905" s="50"/>
      <c r="X905" s="50"/>
      <c r="Y905" s="50"/>
      <c r="Z905" s="50"/>
      <c r="AA905" s="50"/>
      <c r="AB905" s="50"/>
      <c r="AC905" s="50"/>
      <c r="AD905" s="50"/>
      <c r="AE905" s="50"/>
      <c r="AF905" s="50"/>
      <c r="AG905" s="50"/>
      <c r="AH905" s="50"/>
      <c r="AI905" s="50"/>
      <c r="AJ905" s="50"/>
      <c r="AK905" s="50"/>
      <c r="AL905" s="50"/>
    </row>
    <row r="906">
      <c r="U906" s="50"/>
      <c r="V906" s="50"/>
      <c r="W906" s="50"/>
      <c r="X906" s="50"/>
      <c r="Y906" s="50"/>
      <c r="Z906" s="50"/>
      <c r="AA906" s="50"/>
      <c r="AB906" s="50"/>
      <c r="AC906" s="50"/>
      <c r="AD906" s="50"/>
      <c r="AE906" s="50"/>
      <c r="AF906" s="50"/>
      <c r="AG906" s="50"/>
      <c r="AH906" s="50"/>
      <c r="AI906" s="50"/>
      <c r="AJ906" s="50"/>
      <c r="AK906" s="50"/>
      <c r="AL906" s="50"/>
    </row>
    <row r="907">
      <c r="U907" s="50"/>
      <c r="V907" s="50"/>
      <c r="W907" s="50"/>
      <c r="X907" s="50"/>
      <c r="Y907" s="50"/>
      <c r="Z907" s="50"/>
      <c r="AA907" s="50"/>
      <c r="AB907" s="50"/>
      <c r="AC907" s="50"/>
      <c r="AD907" s="50"/>
      <c r="AE907" s="50"/>
      <c r="AF907" s="50"/>
      <c r="AG907" s="50"/>
      <c r="AH907" s="50"/>
      <c r="AI907" s="50"/>
      <c r="AJ907" s="50"/>
      <c r="AK907" s="50"/>
      <c r="AL907" s="50"/>
    </row>
    <row r="908">
      <c r="U908" s="50"/>
      <c r="V908" s="50"/>
      <c r="W908" s="50"/>
      <c r="X908" s="50"/>
      <c r="Y908" s="50"/>
      <c r="Z908" s="50"/>
      <c r="AA908" s="50"/>
      <c r="AB908" s="50"/>
      <c r="AC908" s="50"/>
      <c r="AD908" s="50"/>
      <c r="AE908" s="50"/>
      <c r="AF908" s="50"/>
      <c r="AG908" s="50"/>
      <c r="AH908" s="50"/>
      <c r="AI908" s="50"/>
      <c r="AJ908" s="50"/>
      <c r="AK908" s="50"/>
      <c r="AL908" s="50"/>
    </row>
    <row r="909">
      <c r="U909" s="50"/>
      <c r="V909" s="50"/>
      <c r="W909" s="50"/>
      <c r="X909" s="50"/>
      <c r="Y909" s="50"/>
      <c r="Z909" s="50"/>
      <c r="AA909" s="50"/>
      <c r="AB909" s="50"/>
      <c r="AC909" s="50"/>
      <c r="AD909" s="50"/>
      <c r="AE909" s="50"/>
      <c r="AF909" s="50"/>
      <c r="AG909" s="50"/>
      <c r="AH909" s="50"/>
      <c r="AI909" s="50"/>
      <c r="AJ909" s="50"/>
      <c r="AK909" s="50"/>
      <c r="AL909" s="50"/>
    </row>
    <row r="910">
      <c r="U910" s="50"/>
      <c r="V910" s="50"/>
      <c r="W910" s="50"/>
      <c r="X910" s="50"/>
      <c r="Y910" s="50"/>
      <c r="Z910" s="50"/>
      <c r="AA910" s="50"/>
      <c r="AB910" s="50"/>
      <c r="AC910" s="50"/>
      <c r="AD910" s="50"/>
      <c r="AE910" s="50"/>
      <c r="AF910" s="50"/>
      <c r="AG910" s="50"/>
      <c r="AH910" s="50"/>
      <c r="AI910" s="50"/>
      <c r="AJ910" s="50"/>
      <c r="AK910" s="50"/>
      <c r="AL910" s="50"/>
    </row>
    <row r="911">
      <c r="U911" s="50"/>
      <c r="V911" s="50"/>
      <c r="W911" s="50"/>
      <c r="X911" s="50"/>
      <c r="Y911" s="50"/>
      <c r="Z911" s="50"/>
      <c r="AA911" s="50"/>
      <c r="AB911" s="50"/>
      <c r="AC911" s="50"/>
      <c r="AD911" s="50"/>
      <c r="AE911" s="50"/>
      <c r="AF911" s="50"/>
      <c r="AG911" s="50"/>
      <c r="AH911" s="50"/>
      <c r="AI911" s="50"/>
      <c r="AJ911" s="50"/>
      <c r="AK911" s="50"/>
      <c r="AL911" s="50"/>
    </row>
    <row r="912">
      <c r="U912" s="50"/>
      <c r="V912" s="50"/>
      <c r="W912" s="50"/>
      <c r="X912" s="50"/>
      <c r="Y912" s="50"/>
      <c r="Z912" s="50"/>
      <c r="AA912" s="50"/>
      <c r="AB912" s="50"/>
      <c r="AC912" s="50"/>
      <c r="AD912" s="50"/>
      <c r="AE912" s="50"/>
      <c r="AF912" s="50"/>
      <c r="AG912" s="50"/>
      <c r="AH912" s="50"/>
      <c r="AI912" s="50"/>
      <c r="AJ912" s="50"/>
      <c r="AK912" s="50"/>
      <c r="AL912" s="50"/>
    </row>
    <row r="913">
      <c r="U913" s="50"/>
      <c r="V913" s="50"/>
      <c r="W913" s="50"/>
      <c r="X913" s="50"/>
      <c r="Y913" s="50"/>
      <c r="Z913" s="50"/>
      <c r="AA913" s="50"/>
      <c r="AB913" s="50"/>
      <c r="AC913" s="50"/>
      <c r="AD913" s="50"/>
      <c r="AE913" s="50"/>
      <c r="AF913" s="50"/>
      <c r="AG913" s="50"/>
      <c r="AH913" s="50"/>
      <c r="AI913" s="50"/>
      <c r="AJ913" s="50"/>
      <c r="AK913" s="50"/>
      <c r="AL913" s="50"/>
    </row>
    <row r="914">
      <c r="U914" s="50"/>
      <c r="V914" s="50"/>
      <c r="W914" s="50"/>
      <c r="X914" s="50"/>
      <c r="Y914" s="50"/>
      <c r="Z914" s="50"/>
      <c r="AA914" s="50"/>
      <c r="AB914" s="50"/>
      <c r="AC914" s="50"/>
      <c r="AD914" s="50"/>
      <c r="AE914" s="50"/>
      <c r="AF914" s="50"/>
      <c r="AG914" s="50"/>
      <c r="AH914" s="50"/>
      <c r="AI914" s="50"/>
      <c r="AJ914" s="50"/>
      <c r="AK914" s="50"/>
      <c r="AL914" s="50"/>
    </row>
    <row r="915">
      <c r="U915" s="50"/>
      <c r="V915" s="50"/>
      <c r="W915" s="50"/>
      <c r="X915" s="50"/>
      <c r="Y915" s="50"/>
      <c r="Z915" s="50"/>
      <c r="AA915" s="50"/>
      <c r="AB915" s="50"/>
      <c r="AC915" s="50"/>
      <c r="AD915" s="50"/>
      <c r="AE915" s="50"/>
      <c r="AF915" s="50"/>
      <c r="AG915" s="50"/>
      <c r="AH915" s="50"/>
      <c r="AI915" s="50"/>
      <c r="AJ915" s="50"/>
      <c r="AK915" s="50"/>
      <c r="AL915" s="50"/>
    </row>
    <row r="916">
      <c r="U916" s="50"/>
      <c r="V916" s="50"/>
      <c r="W916" s="50"/>
      <c r="X916" s="50"/>
      <c r="Y916" s="50"/>
      <c r="Z916" s="50"/>
      <c r="AA916" s="50"/>
      <c r="AB916" s="50"/>
      <c r="AC916" s="50"/>
      <c r="AD916" s="50"/>
      <c r="AE916" s="50"/>
      <c r="AF916" s="50"/>
      <c r="AG916" s="50"/>
      <c r="AH916" s="50"/>
      <c r="AI916" s="50"/>
      <c r="AJ916" s="50"/>
      <c r="AK916" s="50"/>
      <c r="AL916" s="50"/>
    </row>
    <row r="917">
      <c r="U917" s="50"/>
      <c r="V917" s="50"/>
      <c r="W917" s="50"/>
      <c r="X917" s="50"/>
      <c r="Y917" s="50"/>
      <c r="Z917" s="50"/>
      <c r="AA917" s="50"/>
      <c r="AB917" s="50"/>
      <c r="AC917" s="50"/>
      <c r="AD917" s="50"/>
      <c r="AE917" s="50"/>
      <c r="AF917" s="50"/>
      <c r="AG917" s="50"/>
      <c r="AH917" s="50"/>
      <c r="AI917" s="50"/>
      <c r="AJ917" s="50"/>
      <c r="AK917" s="50"/>
      <c r="AL917" s="50"/>
    </row>
    <row r="918">
      <c r="U918" s="50"/>
      <c r="V918" s="50"/>
      <c r="W918" s="50"/>
      <c r="X918" s="50"/>
      <c r="Y918" s="50"/>
      <c r="Z918" s="50"/>
      <c r="AA918" s="50"/>
      <c r="AB918" s="50"/>
      <c r="AC918" s="50"/>
      <c r="AD918" s="50"/>
      <c r="AE918" s="50"/>
      <c r="AF918" s="50"/>
      <c r="AG918" s="50"/>
      <c r="AH918" s="50"/>
      <c r="AI918" s="50"/>
      <c r="AJ918" s="50"/>
      <c r="AK918" s="50"/>
      <c r="AL918" s="50"/>
    </row>
    <row r="919">
      <c r="U919" s="50"/>
      <c r="V919" s="50"/>
      <c r="W919" s="50"/>
      <c r="X919" s="50"/>
      <c r="Y919" s="50"/>
      <c r="Z919" s="50"/>
      <c r="AA919" s="50"/>
      <c r="AB919" s="50"/>
      <c r="AC919" s="50"/>
      <c r="AD919" s="50"/>
      <c r="AE919" s="50"/>
      <c r="AF919" s="50"/>
      <c r="AG919" s="50"/>
      <c r="AH919" s="50"/>
      <c r="AI919" s="50"/>
      <c r="AJ919" s="50"/>
      <c r="AK919" s="50"/>
      <c r="AL919" s="50"/>
    </row>
    <row r="920">
      <c r="U920" s="50"/>
      <c r="V920" s="50"/>
      <c r="W920" s="50"/>
      <c r="X920" s="50"/>
      <c r="Y920" s="50"/>
      <c r="Z920" s="50"/>
      <c r="AA920" s="50"/>
      <c r="AB920" s="50"/>
      <c r="AC920" s="50"/>
      <c r="AD920" s="50"/>
      <c r="AE920" s="50"/>
      <c r="AF920" s="50"/>
      <c r="AG920" s="50"/>
      <c r="AH920" s="50"/>
      <c r="AI920" s="50"/>
      <c r="AJ920" s="50"/>
      <c r="AK920" s="50"/>
      <c r="AL920" s="50"/>
    </row>
    <row r="921">
      <c r="U921" s="50"/>
      <c r="V921" s="50"/>
      <c r="W921" s="50"/>
      <c r="X921" s="50"/>
      <c r="Y921" s="50"/>
      <c r="Z921" s="50"/>
      <c r="AA921" s="50"/>
      <c r="AB921" s="50"/>
      <c r="AC921" s="50"/>
      <c r="AD921" s="50"/>
      <c r="AE921" s="50"/>
      <c r="AF921" s="50"/>
      <c r="AG921" s="50"/>
      <c r="AH921" s="50"/>
      <c r="AI921" s="50"/>
      <c r="AJ921" s="50"/>
      <c r="AK921" s="50"/>
      <c r="AL921" s="50"/>
    </row>
    <row r="922">
      <c r="U922" s="50"/>
      <c r="V922" s="50"/>
      <c r="W922" s="50"/>
      <c r="X922" s="50"/>
      <c r="Y922" s="50"/>
      <c r="Z922" s="50"/>
      <c r="AA922" s="50"/>
      <c r="AB922" s="50"/>
      <c r="AC922" s="50"/>
      <c r="AD922" s="50"/>
      <c r="AE922" s="50"/>
      <c r="AF922" s="50"/>
      <c r="AG922" s="50"/>
      <c r="AH922" s="50"/>
      <c r="AI922" s="50"/>
      <c r="AJ922" s="50"/>
      <c r="AK922" s="50"/>
      <c r="AL922" s="50"/>
    </row>
    <row r="923">
      <c r="U923" s="50"/>
      <c r="V923" s="50"/>
      <c r="W923" s="50"/>
      <c r="X923" s="50"/>
      <c r="Y923" s="50"/>
      <c r="Z923" s="50"/>
      <c r="AA923" s="50"/>
      <c r="AB923" s="50"/>
      <c r="AC923" s="50"/>
      <c r="AD923" s="50"/>
      <c r="AE923" s="50"/>
      <c r="AF923" s="50"/>
      <c r="AG923" s="50"/>
      <c r="AH923" s="50"/>
      <c r="AI923" s="50"/>
      <c r="AJ923" s="50"/>
      <c r="AK923" s="50"/>
      <c r="AL923" s="50"/>
    </row>
    <row r="924">
      <c r="U924" s="50"/>
      <c r="V924" s="50"/>
      <c r="W924" s="50"/>
      <c r="X924" s="50"/>
      <c r="Y924" s="50"/>
      <c r="Z924" s="50"/>
      <c r="AA924" s="50"/>
      <c r="AB924" s="50"/>
      <c r="AC924" s="50"/>
      <c r="AD924" s="50"/>
      <c r="AE924" s="50"/>
      <c r="AF924" s="50"/>
      <c r="AG924" s="50"/>
      <c r="AH924" s="50"/>
      <c r="AI924" s="50"/>
      <c r="AJ924" s="50"/>
      <c r="AK924" s="50"/>
      <c r="AL924" s="50"/>
    </row>
    <row r="925">
      <c r="U925" s="50"/>
      <c r="V925" s="50"/>
      <c r="W925" s="50"/>
      <c r="X925" s="50"/>
      <c r="Y925" s="50"/>
      <c r="Z925" s="50"/>
      <c r="AA925" s="50"/>
      <c r="AB925" s="50"/>
      <c r="AC925" s="50"/>
      <c r="AD925" s="50"/>
      <c r="AE925" s="50"/>
      <c r="AF925" s="50"/>
      <c r="AG925" s="50"/>
      <c r="AH925" s="50"/>
      <c r="AI925" s="50"/>
      <c r="AJ925" s="50"/>
      <c r="AK925" s="50"/>
      <c r="AL925" s="50"/>
    </row>
    <row r="926">
      <c r="U926" s="50"/>
      <c r="V926" s="50"/>
      <c r="W926" s="50"/>
      <c r="X926" s="50"/>
      <c r="Y926" s="50"/>
      <c r="Z926" s="50"/>
      <c r="AA926" s="50"/>
      <c r="AB926" s="50"/>
      <c r="AC926" s="50"/>
      <c r="AD926" s="50"/>
      <c r="AE926" s="50"/>
      <c r="AF926" s="50"/>
      <c r="AG926" s="50"/>
      <c r="AH926" s="50"/>
      <c r="AI926" s="50"/>
      <c r="AJ926" s="50"/>
      <c r="AK926" s="50"/>
      <c r="AL926" s="50"/>
    </row>
    <row r="927">
      <c r="U927" s="50"/>
      <c r="V927" s="50"/>
      <c r="W927" s="50"/>
      <c r="X927" s="50"/>
      <c r="Y927" s="50"/>
      <c r="Z927" s="50"/>
      <c r="AA927" s="50"/>
      <c r="AB927" s="50"/>
      <c r="AC927" s="50"/>
      <c r="AD927" s="50"/>
      <c r="AE927" s="50"/>
      <c r="AF927" s="50"/>
      <c r="AG927" s="50"/>
      <c r="AH927" s="50"/>
      <c r="AI927" s="50"/>
      <c r="AJ927" s="50"/>
      <c r="AK927" s="50"/>
      <c r="AL927" s="50"/>
    </row>
    <row r="928">
      <c r="U928" s="50"/>
      <c r="V928" s="50"/>
      <c r="W928" s="50"/>
      <c r="X928" s="50"/>
      <c r="Y928" s="50"/>
      <c r="Z928" s="50"/>
      <c r="AA928" s="50"/>
      <c r="AB928" s="50"/>
      <c r="AC928" s="50"/>
      <c r="AD928" s="50"/>
      <c r="AE928" s="50"/>
      <c r="AF928" s="50"/>
      <c r="AG928" s="50"/>
      <c r="AH928" s="50"/>
      <c r="AI928" s="50"/>
      <c r="AJ928" s="50"/>
      <c r="AK928" s="50"/>
      <c r="AL928" s="50"/>
    </row>
    <row r="929">
      <c r="U929" s="50"/>
      <c r="V929" s="50"/>
      <c r="W929" s="50"/>
      <c r="X929" s="50"/>
      <c r="Y929" s="50"/>
      <c r="Z929" s="50"/>
      <c r="AA929" s="50"/>
      <c r="AB929" s="50"/>
      <c r="AC929" s="50"/>
      <c r="AD929" s="50"/>
      <c r="AE929" s="50"/>
      <c r="AF929" s="50"/>
      <c r="AG929" s="50"/>
      <c r="AH929" s="50"/>
      <c r="AI929" s="50"/>
      <c r="AJ929" s="50"/>
      <c r="AK929" s="50"/>
      <c r="AL929" s="50"/>
    </row>
    <row r="930">
      <c r="U930" s="50"/>
      <c r="V930" s="50"/>
      <c r="W930" s="50"/>
      <c r="X930" s="50"/>
      <c r="Y930" s="50"/>
      <c r="Z930" s="50"/>
      <c r="AA930" s="50"/>
      <c r="AB930" s="50"/>
      <c r="AC930" s="50"/>
      <c r="AD930" s="50"/>
      <c r="AE930" s="50"/>
      <c r="AF930" s="50"/>
      <c r="AG930" s="50"/>
      <c r="AH930" s="50"/>
      <c r="AI930" s="50"/>
      <c r="AJ930" s="50"/>
      <c r="AK930" s="50"/>
      <c r="AL930" s="50"/>
    </row>
    <row r="931">
      <c r="U931" s="50"/>
      <c r="V931" s="50"/>
      <c r="W931" s="50"/>
      <c r="X931" s="50"/>
      <c r="Y931" s="50"/>
      <c r="Z931" s="50"/>
      <c r="AA931" s="50"/>
      <c r="AB931" s="50"/>
      <c r="AC931" s="50"/>
      <c r="AD931" s="50"/>
      <c r="AE931" s="50"/>
      <c r="AF931" s="50"/>
      <c r="AG931" s="50"/>
      <c r="AH931" s="50"/>
      <c r="AI931" s="50"/>
      <c r="AJ931" s="50"/>
      <c r="AK931" s="50"/>
      <c r="AL931" s="50"/>
    </row>
    <row r="932">
      <c r="U932" s="50"/>
      <c r="V932" s="50"/>
      <c r="W932" s="50"/>
      <c r="X932" s="50"/>
      <c r="Y932" s="50"/>
      <c r="Z932" s="50"/>
      <c r="AA932" s="50"/>
      <c r="AB932" s="50"/>
      <c r="AC932" s="50"/>
      <c r="AD932" s="50"/>
      <c r="AE932" s="50"/>
      <c r="AF932" s="50"/>
      <c r="AG932" s="50"/>
      <c r="AH932" s="50"/>
      <c r="AI932" s="50"/>
      <c r="AJ932" s="50"/>
      <c r="AK932" s="50"/>
      <c r="AL932" s="50"/>
    </row>
    <row r="933">
      <c r="U933" s="50"/>
      <c r="V933" s="50"/>
      <c r="W933" s="50"/>
      <c r="X933" s="50"/>
      <c r="Y933" s="50"/>
      <c r="Z933" s="50"/>
      <c r="AA933" s="50"/>
      <c r="AB933" s="50"/>
      <c r="AC933" s="50"/>
      <c r="AD933" s="50"/>
      <c r="AE933" s="50"/>
      <c r="AF933" s="50"/>
      <c r="AG933" s="50"/>
      <c r="AH933" s="50"/>
      <c r="AI933" s="50"/>
      <c r="AJ933" s="50"/>
      <c r="AK933" s="50"/>
      <c r="AL933" s="50"/>
    </row>
    <row r="934">
      <c r="U934" s="50"/>
      <c r="V934" s="50"/>
      <c r="W934" s="50"/>
      <c r="X934" s="50"/>
      <c r="Y934" s="50"/>
      <c r="Z934" s="50"/>
      <c r="AA934" s="50"/>
      <c r="AB934" s="50"/>
      <c r="AC934" s="50"/>
      <c r="AD934" s="50"/>
      <c r="AE934" s="50"/>
      <c r="AF934" s="50"/>
      <c r="AG934" s="50"/>
      <c r="AH934" s="50"/>
      <c r="AI934" s="50"/>
      <c r="AJ934" s="50"/>
      <c r="AK934" s="50"/>
      <c r="AL934" s="50"/>
    </row>
    <row r="935">
      <c r="U935" s="50"/>
      <c r="V935" s="50"/>
      <c r="W935" s="50"/>
      <c r="X935" s="50"/>
      <c r="Y935" s="50"/>
      <c r="Z935" s="50"/>
      <c r="AA935" s="50"/>
      <c r="AB935" s="50"/>
      <c r="AC935" s="50"/>
      <c r="AD935" s="50"/>
      <c r="AE935" s="50"/>
      <c r="AF935" s="50"/>
      <c r="AG935" s="50"/>
      <c r="AH935" s="50"/>
      <c r="AI935" s="50"/>
      <c r="AJ935" s="50"/>
      <c r="AK935" s="50"/>
      <c r="AL935" s="50"/>
    </row>
    <row r="936">
      <c r="U936" s="50"/>
      <c r="V936" s="50"/>
      <c r="W936" s="50"/>
      <c r="X936" s="50"/>
      <c r="Y936" s="50"/>
      <c r="Z936" s="50"/>
      <c r="AA936" s="50"/>
      <c r="AB936" s="50"/>
      <c r="AC936" s="50"/>
      <c r="AD936" s="50"/>
      <c r="AE936" s="50"/>
      <c r="AF936" s="50"/>
      <c r="AG936" s="50"/>
      <c r="AH936" s="50"/>
      <c r="AI936" s="50"/>
      <c r="AJ936" s="50"/>
      <c r="AK936" s="50"/>
      <c r="AL936" s="50"/>
    </row>
    <row r="937">
      <c r="U937" s="50"/>
      <c r="V937" s="50"/>
      <c r="W937" s="50"/>
      <c r="X937" s="50"/>
      <c r="Y937" s="50"/>
      <c r="Z937" s="50"/>
      <c r="AA937" s="50"/>
      <c r="AB937" s="50"/>
      <c r="AC937" s="50"/>
      <c r="AD937" s="50"/>
      <c r="AE937" s="50"/>
      <c r="AF937" s="50"/>
      <c r="AG937" s="50"/>
      <c r="AH937" s="50"/>
      <c r="AI937" s="50"/>
      <c r="AJ937" s="50"/>
      <c r="AK937" s="50"/>
      <c r="AL937" s="50"/>
    </row>
    <row r="938">
      <c r="U938" s="50"/>
      <c r="V938" s="50"/>
      <c r="W938" s="50"/>
      <c r="X938" s="50"/>
      <c r="Y938" s="50"/>
      <c r="Z938" s="50"/>
      <c r="AA938" s="50"/>
      <c r="AB938" s="50"/>
      <c r="AC938" s="50"/>
      <c r="AD938" s="50"/>
      <c r="AE938" s="50"/>
      <c r="AF938" s="50"/>
      <c r="AG938" s="50"/>
      <c r="AH938" s="50"/>
      <c r="AI938" s="50"/>
      <c r="AJ938" s="50"/>
      <c r="AK938" s="50"/>
      <c r="AL938" s="50"/>
    </row>
    <row r="939">
      <c r="U939" s="50"/>
      <c r="V939" s="50"/>
      <c r="W939" s="50"/>
      <c r="X939" s="50"/>
      <c r="Y939" s="50"/>
      <c r="Z939" s="50"/>
      <c r="AA939" s="50"/>
      <c r="AB939" s="50"/>
      <c r="AC939" s="50"/>
      <c r="AD939" s="50"/>
      <c r="AE939" s="50"/>
      <c r="AF939" s="50"/>
      <c r="AG939" s="50"/>
      <c r="AH939" s="50"/>
      <c r="AI939" s="50"/>
      <c r="AJ939" s="50"/>
      <c r="AK939" s="50"/>
      <c r="AL939" s="50"/>
    </row>
    <row r="940">
      <c r="U940" s="50"/>
      <c r="V940" s="50"/>
      <c r="W940" s="50"/>
      <c r="X940" s="50"/>
      <c r="Y940" s="50"/>
      <c r="Z940" s="50"/>
      <c r="AA940" s="50"/>
      <c r="AB940" s="50"/>
      <c r="AC940" s="50"/>
      <c r="AD940" s="50"/>
      <c r="AE940" s="50"/>
      <c r="AF940" s="50"/>
      <c r="AG940" s="50"/>
      <c r="AH940" s="50"/>
      <c r="AI940" s="50"/>
      <c r="AJ940" s="50"/>
      <c r="AK940" s="50"/>
      <c r="AL940" s="50"/>
    </row>
    <row r="941">
      <c r="U941" s="50"/>
      <c r="V941" s="50"/>
      <c r="W941" s="50"/>
      <c r="X941" s="50"/>
      <c r="Y941" s="50"/>
      <c r="Z941" s="50"/>
      <c r="AA941" s="50"/>
      <c r="AB941" s="50"/>
      <c r="AC941" s="50"/>
      <c r="AD941" s="50"/>
      <c r="AE941" s="50"/>
      <c r="AF941" s="50"/>
      <c r="AG941" s="50"/>
      <c r="AH941" s="50"/>
      <c r="AI941" s="50"/>
      <c r="AJ941" s="50"/>
      <c r="AK941" s="50"/>
      <c r="AL941" s="50"/>
    </row>
    <row r="942">
      <c r="U942" s="50"/>
      <c r="V942" s="50"/>
      <c r="W942" s="50"/>
      <c r="X942" s="50"/>
      <c r="Y942" s="50"/>
      <c r="Z942" s="50"/>
      <c r="AA942" s="50"/>
      <c r="AB942" s="50"/>
      <c r="AC942" s="50"/>
      <c r="AD942" s="50"/>
      <c r="AE942" s="50"/>
      <c r="AF942" s="50"/>
      <c r="AG942" s="50"/>
      <c r="AH942" s="50"/>
      <c r="AI942" s="50"/>
      <c r="AJ942" s="50"/>
      <c r="AK942" s="50"/>
      <c r="AL942" s="50"/>
    </row>
    <row r="943">
      <c r="U943" s="50"/>
      <c r="V943" s="50"/>
      <c r="W943" s="50"/>
      <c r="X943" s="50"/>
      <c r="Y943" s="50"/>
      <c r="Z943" s="50"/>
      <c r="AA943" s="50"/>
      <c r="AB943" s="50"/>
      <c r="AC943" s="50"/>
      <c r="AD943" s="50"/>
      <c r="AE943" s="50"/>
      <c r="AF943" s="50"/>
      <c r="AG943" s="50"/>
      <c r="AH943" s="50"/>
      <c r="AI943" s="50"/>
      <c r="AJ943" s="50"/>
      <c r="AK943" s="50"/>
      <c r="AL943" s="50"/>
    </row>
    <row r="944">
      <c r="U944" s="50"/>
      <c r="V944" s="50"/>
      <c r="W944" s="50"/>
      <c r="X944" s="50"/>
      <c r="Y944" s="50"/>
      <c r="Z944" s="50"/>
      <c r="AA944" s="50"/>
      <c r="AB944" s="50"/>
      <c r="AC944" s="50"/>
      <c r="AD944" s="50"/>
      <c r="AE944" s="50"/>
      <c r="AF944" s="50"/>
      <c r="AG944" s="50"/>
      <c r="AH944" s="50"/>
      <c r="AI944" s="50"/>
      <c r="AJ944" s="50"/>
      <c r="AK944" s="50"/>
      <c r="AL944" s="50"/>
    </row>
    <row r="945">
      <c r="U945" s="50"/>
      <c r="V945" s="50"/>
      <c r="W945" s="50"/>
      <c r="X945" s="50"/>
      <c r="Y945" s="50"/>
      <c r="Z945" s="50"/>
      <c r="AA945" s="50"/>
      <c r="AB945" s="50"/>
      <c r="AC945" s="50"/>
      <c r="AD945" s="50"/>
      <c r="AE945" s="50"/>
      <c r="AF945" s="50"/>
      <c r="AG945" s="50"/>
      <c r="AH945" s="50"/>
      <c r="AI945" s="50"/>
      <c r="AJ945" s="50"/>
      <c r="AK945" s="50"/>
      <c r="AL945" s="50"/>
    </row>
    <row r="946">
      <c r="U946" s="50"/>
      <c r="V946" s="50"/>
      <c r="W946" s="50"/>
      <c r="X946" s="50"/>
      <c r="Y946" s="50"/>
      <c r="Z946" s="50"/>
      <c r="AA946" s="50"/>
      <c r="AB946" s="50"/>
      <c r="AC946" s="50"/>
      <c r="AD946" s="50"/>
      <c r="AE946" s="50"/>
      <c r="AF946" s="50"/>
      <c r="AG946" s="50"/>
      <c r="AH946" s="50"/>
      <c r="AI946" s="50"/>
      <c r="AJ946" s="50"/>
      <c r="AK946" s="50"/>
      <c r="AL946" s="50"/>
    </row>
    <row r="947">
      <c r="U947" s="50"/>
      <c r="V947" s="50"/>
      <c r="W947" s="50"/>
      <c r="X947" s="50"/>
      <c r="Y947" s="50"/>
      <c r="Z947" s="50"/>
      <c r="AA947" s="50"/>
      <c r="AB947" s="50"/>
      <c r="AC947" s="50"/>
      <c r="AD947" s="50"/>
      <c r="AE947" s="50"/>
      <c r="AF947" s="50"/>
      <c r="AG947" s="50"/>
      <c r="AH947" s="50"/>
      <c r="AI947" s="50"/>
      <c r="AJ947" s="50"/>
      <c r="AK947" s="50"/>
      <c r="AL947" s="50"/>
    </row>
    <row r="948">
      <c r="U948" s="50"/>
      <c r="V948" s="50"/>
      <c r="W948" s="50"/>
      <c r="X948" s="50"/>
      <c r="Y948" s="50"/>
      <c r="Z948" s="50"/>
      <c r="AA948" s="50"/>
      <c r="AB948" s="50"/>
      <c r="AC948" s="50"/>
      <c r="AD948" s="50"/>
      <c r="AE948" s="50"/>
      <c r="AF948" s="50"/>
      <c r="AG948" s="50"/>
      <c r="AH948" s="50"/>
      <c r="AI948" s="50"/>
      <c r="AJ948" s="50"/>
      <c r="AK948" s="50"/>
      <c r="AL948" s="50"/>
    </row>
    <row r="949">
      <c r="U949" s="50"/>
      <c r="V949" s="50"/>
      <c r="W949" s="50"/>
      <c r="X949" s="50"/>
      <c r="Y949" s="50"/>
      <c r="Z949" s="50"/>
      <c r="AA949" s="50"/>
      <c r="AB949" s="50"/>
      <c r="AC949" s="50"/>
      <c r="AD949" s="50"/>
      <c r="AE949" s="50"/>
      <c r="AF949" s="50"/>
      <c r="AG949" s="50"/>
      <c r="AH949" s="50"/>
      <c r="AI949" s="50"/>
      <c r="AJ949" s="50"/>
      <c r="AK949" s="50"/>
      <c r="AL949" s="50"/>
    </row>
    <row r="950">
      <c r="U950" s="50"/>
      <c r="V950" s="50"/>
      <c r="W950" s="50"/>
      <c r="X950" s="50"/>
      <c r="Y950" s="50"/>
      <c r="Z950" s="50"/>
      <c r="AA950" s="50"/>
      <c r="AB950" s="50"/>
      <c r="AC950" s="50"/>
      <c r="AD950" s="50"/>
      <c r="AE950" s="50"/>
      <c r="AF950" s="50"/>
      <c r="AG950" s="50"/>
      <c r="AH950" s="50"/>
      <c r="AI950" s="50"/>
      <c r="AJ950" s="50"/>
      <c r="AK950" s="50"/>
      <c r="AL950" s="50"/>
    </row>
    <row r="951">
      <c r="U951" s="50"/>
      <c r="V951" s="50"/>
      <c r="W951" s="50"/>
      <c r="X951" s="50"/>
      <c r="Y951" s="50"/>
      <c r="Z951" s="50"/>
      <c r="AA951" s="50"/>
      <c r="AB951" s="50"/>
      <c r="AC951" s="50"/>
      <c r="AD951" s="50"/>
      <c r="AE951" s="50"/>
      <c r="AF951" s="50"/>
      <c r="AG951" s="50"/>
      <c r="AH951" s="50"/>
      <c r="AI951" s="50"/>
      <c r="AJ951" s="50"/>
      <c r="AK951" s="50"/>
      <c r="AL951" s="50"/>
    </row>
    <row r="952">
      <c r="U952" s="50"/>
      <c r="V952" s="50"/>
      <c r="W952" s="50"/>
      <c r="X952" s="50"/>
      <c r="Y952" s="50"/>
      <c r="Z952" s="50"/>
      <c r="AA952" s="50"/>
      <c r="AB952" s="50"/>
      <c r="AC952" s="50"/>
      <c r="AD952" s="50"/>
      <c r="AE952" s="50"/>
      <c r="AF952" s="50"/>
      <c r="AG952" s="50"/>
      <c r="AH952" s="50"/>
      <c r="AI952" s="50"/>
      <c r="AJ952" s="50"/>
      <c r="AK952" s="50"/>
      <c r="AL952" s="50"/>
    </row>
    <row r="953">
      <c r="U953" s="50"/>
      <c r="V953" s="50"/>
      <c r="W953" s="50"/>
      <c r="X953" s="50"/>
      <c r="Y953" s="50"/>
      <c r="Z953" s="50"/>
      <c r="AA953" s="50"/>
      <c r="AB953" s="50"/>
      <c r="AC953" s="50"/>
      <c r="AD953" s="50"/>
      <c r="AE953" s="50"/>
      <c r="AF953" s="50"/>
      <c r="AG953" s="50"/>
      <c r="AH953" s="50"/>
      <c r="AI953" s="50"/>
      <c r="AJ953" s="50"/>
      <c r="AK953" s="50"/>
      <c r="AL953" s="50"/>
    </row>
    <row r="954">
      <c r="U954" s="50"/>
      <c r="V954" s="50"/>
      <c r="W954" s="50"/>
      <c r="X954" s="50"/>
      <c r="Y954" s="50"/>
      <c r="Z954" s="50"/>
      <c r="AA954" s="50"/>
      <c r="AB954" s="50"/>
      <c r="AC954" s="50"/>
      <c r="AD954" s="50"/>
      <c r="AE954" s="50"/>
      <c r="AF954" s="50"/>
      <c r="AG954" s="50"/>
      <c r="AH954" s="50"/>
      <c r="AI954" s="50"/>
      <c r="AJ954" s="50"/>
      <c r="AK954" s="50"/>
      <c r="AL954" s="50"/>
    </row>
    <row r="955">
      <c r="U955" s="50"/>
      <c r="V955" s="50"/>
      <c r="W955" s="50"/>
      <c r="X955" s="50"/>
      <c r="Y955" s="50"/>
      <c r="Z955" s="50"/>
      <c r="AA955" s="50"/>
      <c r="AB955" s="50"/>
      <c r="AC955" s="50"/>
      <c r="AD955" s="50"/>
      <c r="AE955" s="50"/>
      <c r="AF955" s="50"/>
      <c r="AG955" s="50"/>
      <c r="AH955" s="50"/>
      <c r="AI955" s="50"/>
      <c r="AJ955" s="50"/>
      <c r="AK955" s="50"/>
      <c r="AL955" s="50"/>
    </row>
    <row r="956">
      <c r="U956" s="50"/>
      <c r="V956" s="50"/>
      <c r="W956" s="50"/>
      <c r="X956" s="50"/>
      <c r="Y956" s="50"/>
      <c r="Z956" s="50"/>
      <c r="AA956" s="50"/>
      <c r="AB956" s="50"/>
      <c r="AC956" s="50"/>
      <c r="AD956" s="50"/>
      <c r="AE956" s="50"/>
      <c r="AF956" s="50"/>
      <c r="AG956" s="50"/>
      <c r="AH956" s="50"/>
      <c r="AI956" s="50"/>
      <c r="AJ956" s="50"/>
      <c r="AK956" s="50"/>
      <c r="AL956" s="50"/>
    </row>
    <row r="957">
      <c r="U957" s="50"/>
      <c r="V957" s="50"/>
      <c r="W957" s="50"/>
      <c r="X957" s="50"/>
      <c r="Y957" s="50"/>
      <c r="Z957" s="50"/>
      <c r="AA957" s="50"/>
      <c r="AB957" s="50"/>
      <c r="AC957" s="50"/>
      <c r="AD957" s="50"/>
      <c r="AE957" s="50"/>
      <c r="AF957" s="50"/>
      <c r="AG957" s="50"/>
      <c r="AH957" s="50"/>
      <c r="AI957" s="50"/>
      <c r="AJ957" s="50"/>
      <c r="AK957" s="50"/>
      <c r="AL957" s="50"/>
    </row>
    <row r="958">
      <c r="U958" s="50"/>
      <c r="V958" s="50"/>
      <c r="W958" s="50"/>
      <c r="X958" s="50"/>
      <c r="Y958" s="50"/>
      <c r="Z958" s="50"/>
      <c r="AA958" s="50"/>
      <c r="AB958" s="50"/>
      <c r="AC958" s="50"/>
      <c r="AD958" s="50"/>
      <c r="AE958" s="50"/>
      <c r="AF958" s="50"/>
      <c r="AG958" s="50"/>
      <c r="AH958" s="50"/>
      <c r="AI958" s="50"/>
      <c r="AJ958" s="50"/>
      <c r="AK958" s="50"/>
      <c r="AL958" s="50"/>
    </row>
    <row r="959">
      <c r="U959" s="50"/>
      <c r="V959" s="50"/>
      <c r="W959" s="50"/>
      <c r="X959" s="50"/>
      <c r="Y959" s="50"/>
      <c r="Z959" s="50"/>
      <c r="AA959" s="50"/>
      <c r="AB959" s="50"/>
      <c r="AC959" s="50"/>
      <c r="AD959" s="50"/>
      <c r="AE959" s="50"/>
      <c r="AF959" s="50"/>
      <c r="AG959" s="50"/>
      <c r="AH959" s="50"/>
      <c r="AI959" s="50"/>
      <c r="AJ959" s="50"/>
      <c r="AK959" s="50"/>
      <c r="AL959" s="50"/>
    </row>
    <row r="960">
      <c r="U960" s="50"/>
      <c r="V960" s="50"/>
      <c r="W960" s="50"/>
      <c r="X960" s="50"/>
      <c r="Y960" s="50"/>
      <c r="Z960" s="50"/>
      <c r="AA960" s="50"/>
      <c r="AB960" s="50"/>
      <c r="AC960" s="50"/>
      <c r="AD960" s="50"/>
      <c r="AE960" s="50"/>
      <c r="AF960" s="50"/>
      <c r="AG960" s="50"/>
      <c r="AH960" s="50"/>
      <c r="AI960" s="50"/>
      <c r="AJ960" s="50"/>
      <c r="AK960" s="50"/>
      <c r="AL960" s="50"/>
    </row>
    <row r="961">
      <c r="U961" s="50"/>
      <c r="V961" s="50"/>
      <c r="W961" s="50"/>
      <c r="X961" s="50"/>
      <c r="Y961" s="50"/>
      <c r="Z961" s="50"/>
      <c r="AA961" s="50"/>
      <c r="AB961" s="50"/>
      <c r="AC961" s="50"/>
      <c r="AD961" s="50"/>
      <c r="AE961" s="50"/>
      <c r="AF961" s="50"/>
      <c r="AG961" s="50"/>
      <c r="AH961" s="50"/>
      <c r="AI961" s="50"/>
      <c r="AJ961" s="50"/>
      <c r="AK961" s="50"/>
      <c r="AL961" s="50"/>
    </row>
    <row r="962">
      <c r="U962" s="50"/>
      <c r="V962" s="50"/>
      <c r="W962" s="50"/>
      <c r="X962" s="50"/>
      <c r="Y962" s="50"/>
      <c r="Z962" s="50"/>
      <c r="AA962" s="50"/>
      <c r="AB962" s="50"/>
      <c r="AC962" s="50"/>
      <c r="AD962" s="50"/>
      <c r="AE962" s="50"/>
      <c r="AF962" s="50"/>
      <c r="AG962" s="50"/>
      <c r="AH962" s="50"/>
      <c r="AI962" s="50"/>
      <c r="AJ962" s="50"/>
      <c r="AK962" s="50"/>
      <c r="AL962" s="50"/>
    </row>
    <row r="963">
      <c r="U963" s="50"/>
      <c r="V963" s="50"/>
      <c r="W963" s="50"/>
      <c r="X963" s="50"/>
      <c r="Y963" s="50"/>
      <c r="Z963" s="50"/>
      <c r="AA963" s="50"/>
      <c r="AB963" s="50"/>
      <c r="AC963" s="50"/>
      <c r="AD963" s="50"/>
      <c r="AE963" s="50"/>
      <c r="AF963" s="50"/>
      <c r="AG963" s="50"/>
      <c r="AH963" s="50"/>
      <c r="AI963" s="50"/>
      <c r="AJ963" s="50"/>
      <c r="AK963" s="50"/>
      <c r="AL963" s="50"/>
    </row>
    <row r="964">
      <c r="U964" s="50"/>
      <c r="V964" s="50"/>
      <c r="W964" s="50"/>
      <c r="X964" s="50"/>
      <c r="Y964" s="50"/>
      <c r="Z964" s="50"/>
      <c r="AA964" s="50"/>
      <c r="AB964" s="50"/>
      <c r="AC964" s="50"/>
      <c r="AD964" s="50"/>
      <c r="AE964" s="50"/>
      <c r="AF964" s="50"/>
      <c r="AG964" s="50"/>
      <c r="AH964" s="50"/>
      <c r="AI964" s="50"/>
      <c r="AJ964" s="50"/>
      <c r="AK964" s="50"/>
      <c r="AL964" s="50"/>
    </row>
    <row r="965">
      <c r="U965" s="50"/>
      <c r="V965" s="50"/>
      <c r="W965" s="50"/>
      <c r="X965" s="50"/>
      <c r="Y965" s="50"/>
      <c r="Z965" s="50"/>
      <c r="AA965" s="50"/>
      <c r="AB965" s="50"/>
      <c r="AC965" s="50"/>
      <c r="AD965" s="50"/>
      <c r="AE965" s="50"/>
      <c r="AF965" s="50"/>
      <c r="AG965" s="50"/>
      <c r="AH965" s="50"/>
      <c r="AI965" s="50"/>
      <c r="AJ965" s="50"/>
      <c r="AK965" s="50"/>
      <c r="AL965" s="50"/>
    </row>
    <row r="966">
      <c r="U966" s="50"/>
      <c r="V966" s="50"/>
      <c r="W966" s="50"/>
      <c r="X966" s="50"/>
      <c r="Y966" s="50"/>
      <c r="Z966" s="50"/>
      <c r="AA966" s="50"/>
      <c r="AB966" s="50"/>
      <c r="AC966" s="50"/>
      <c r="AD966" s="50"/>
      <c r="AE966" s="50"/>
      <c r="AF966" s="50"/>
      <c r="AG966" s="50"/>
      <c r="AH966" s="50"/>
      <c r="AI966" s="50"/>
      <c r="AJ966" s="50"/>
      <c r="AK966" s="50"/>
      <c r="AL966" s="50"/>
    </row>
    <row r="967">
      <c r="U967" s="50"/>
      <c r="V967" s="50"/>
      <c r="W967" s="50"/>
      <c r="X967" s="50"/>
      <c r="Y967" s="50"/>
      <c r="Z967" s="50"/>
      <c r="AA967" s="50"/>
      <c r="AB967" s="50"/>
      <c r="AC967" s="50"/>
      <c r="AD967" s="50"/>
      <c r="AE967" s="50"/>
      <c r="AF967" s="50"/>
      <c r="AG967" s="50"/>
      <c r="AH967" s="50"/>
      <c r="AI967" s="50"/>
      <c r="AJ967" s="50"/>
      <c r="AK967" s="50"/>
      <c r="AL967" s="50"/>
    </row>
    <row r="968">
      <c r="U968" s="50"/>
      <c r="V968" s="50"/>
      <c r="W968" s="50"/>
      <c r="X968" s="50"/>
      <c r="Y968" s="50"/>
      <c r="Z968" s="50"/>
      <c r="AA968" s="50"/>
      <c r="AB968" s="50"/>
      <c r="AC968" s="50"/>
      <c r="AD968" s="50"/>
      <c r="AE968" s="50"/>
      <c r="AF968" s="50"/>
      <c r="AG968" s="50"/>
      <c r="AH968" s="50"/>
      <c r="AI968" s="50"/>
      <c r="AJ968" s="50"/>
      <c r="AK968" s="50"/>
      <c r="AL968" s="50"/>
    </row>
    <row r="969">
      <c r="U969" s="50"/>
      <c r="V969" s="50"/>
      <c r="W969" s="50"/>
      <c r="X969" s="50"/>
      <c r="Y969" s="50"/>
      <c r="Z969" s="50"/>
      <c r="AA969" s="50"/>
      <c r="AB969" s="50"/>
      <c r="AC969" s="50"/>
      <c r="AD969" s="50"/>
      <c r="AE969" s="50"/>
      <c r="AF969" s="50"/>
      <c r="AG969" s="50"/>
      <c r="AH969" s="50"/>
      <c r="AI969" s="50"/>
      <c r="AJ969" s="50"/>
      <c r="AK969" s="50"/>
      <c r="AL969" s="50"/>
    </row>
    <row r="970">
      <c r="U970" s="50"/>
      <c r="V970" s="50"/>
      <c r="W970" s="50"/>
      <c r="X970" s="50"/>
      <c r="Y970" s="50"/>
      <c r="Z970" s="50"/>
      <c r="AA970" s="50"/>
      <c r="AB970" s="50"/>
      <c r="AC970" s="50"/>
      <c r="AD970" s="50"/>
      <c r="AE970" s="50"/>
      <c r="AF970" s="50"/>
      <c r="AG970" s="50"/>
      <c r="AH970" s="50"/>
      <c r="AI970" s="50"/>
      <c r="AJ970" s="50"/>
      <c r="AK970" s="50"/>
      <c r="AL970" s="50"/>
    </row>
    <row r="971">
      <c r="U971" s="50"/>
      <c r="V971" s="50"/>
      <c r="W971" s="50"/>
      <c r="X971" s="50"/>
      <c r="Y971" s="50"/>
      <c r="Z971" s="50"/>
      <c r="AA971" s="50"/>
      <c r="AB971" s="50"/>
      <c r="AC971" s="50"/>
      <c r="AD971" s="50"/>
      <c r="AE971" s="50"/>
      <c r="AF971" s="50"/>
      <c r="AG971" s="50"/>
      <c r="AH971" s="50"/>
      <c r="AI971" s="50"/>
      <c r="AJ971" s="50"/>
      <c r="AK971" s="50"/>
      <c r="AL971" s="50"/>
    </row>
    <row r="972">
      <c r="U972" s="50"/>
      <c r="V972" s="50"/>
      <c r="W972" s="50"/>
      <c r="X972" s="50"/>
      <c r="Y972" s="50"/>
      <c r="Z972" s="50"/>
      <c r="AA972" s="50"/>
      <c r="AB972" s="50"/>
      <c r="AC972" s="50"/>
      <c r="AD972" s="50"/>
      <c r="AE972" s="50"/>
      <c r="AF972" s="50"/>
      <c r="AG972" s="50"/>
      <c r="AH972" s="50"/>
      <c r="AI972" s="50"/>
      <c r="AJ972" s="50"/>
      <c r="AK972" s="50"/>
      <c r="AL972" s="50"/>
    </row>
    <row r="973">
      <c r="U973" s="50"/>
      <c r="V973" s="50"/>
      <c r="W973" s="50"/>
      <c r="X973" s="50"/>
      <c r="Y973" s="50"/>
      <c r="Z973" s="50"/>
      <c r="AA973" s="50"/>
      <c r="AB973" s="50"/>
      <c r="AC973" s="50"/>
      <c r="AD973" s="50"/>
      <c r="AE973" s="50"/>
      <c r="AF973" s="50"/>
      <c r="AG973" s="50"/>
      <c r="AH973" s="50"/>
      <c r="AI973" s="50"/>
      <c r="AJ973" s="50"/>
      <c r="AK973" s="50"/>
      <c r="AL973" s="50"/>
    </row>
    <row r="974">
      <c r="U974" s="50"/>
      <c r="V974" s="50"/>
      <c r="W974" s="50"/>
      <c r="X974" s="50"/>
      <c r="Y974" s="50"/>
      <c r="Z974" s="50"/>
      <c r="AA974" s="50"/>
      <c r="AB974" s="50"/>
      <c r="AC974" s="50"/>
      <c r="AD974" s="50"/>
      <c r="AE974" s="50"/>
      <c r="AF974" s="50"/>
      <c r="AG974" s="50"/>
      <c r="AH974" s="50"/>
      <c r="AI974" s="50"/>
      <c r="AJ974" s="50"/>
      <c r="AK974" s="50"/>
      <c r="AL974" s="50"/>
    </row>
    <row r="975">
      <c r="U975" s="50"/>
      <c r="V975" s="50"/>
      <c r="W975" s="50"/>
      <c r="X975" s="50"/>
      <c r="Y975" s="50"/>
      <c r="Z975" s="50"/>
      <c r="AA975" s="50"/>
      <c r="AB975" s="50"/>
      <c r="AC975" s="50"/>
      <c r="AD975" s="50"/>
      <c r="AE975" s="50"/>
      <c r="AF975" s="50"/>
      <c r="AG975" s="50"/>
      <c r="AH975" s="50"/>
      <c r="AI975" s="50"/>
      <c r="AJ975" s="50"/>
      <c r="AK975" s="50"/>
      <c r="AL975" s="50"/>
    </row>
    <row r="976">
      <c r="U976" s="50"/>
      <c r="V976" s="50"/>
      <c r="W976" s="50"/>
      <c r="X976" s="50"/>
      <c r="Y976" s="50"/>
      <c r="Z976" s="50"/>
      <c r="AA976" s="50"/>
      <c r="AB976" s="50"/>
      <c r="AC976" s="50"/>
      <c r="AD976" s="50"/>
      <c r="AE976" s="50"/>
      <c r="AF976" s="50"/>
      <c r="AG976" s="50"/>
      <c r="AH976" s="50"/>
      <c r="AI976" s="50"/>
      <c r="AJ976" s="50"/>
      <c r="AK976" s="50"/>
      <c r="AL976" s="50"/>
    </row>
    <row r="977">
      <c r="U977" s="50"/>
      <c r="V977" s="50"/>
      <c r="W977" s="50"/>
      <c r="X977" s="50"/>
      <c r="Y977" s="50"/>
      <c r="Z977" s="50"/>
      <c r="AA977" s="50"/>
      <c r="AB977" s="50"/>
      <c r="AC977" s="50"/>
      <c r="AD977" s="50"/>
      <c r="AE977" s="50"/>
      <c r="AF977" s="50"/>
      <c r="AG977" s="50"/>
      <c r="AH977" s="50"/>
      <c r="AI977" s="50"/>
      <c r="AJ977" s="50"/>
      <c r="AK977" s="50"/>
      <c r="AL977" s="50"/>
    </row>
    <row r="978">
      <c r="U978" s="50"/>
      <c r="V978" s="50"/>
      <c r="W978" s="50"/>
      <c r="X978" s="50"/>
      <c r="Y978" s="50"/>
      <c r="Z978" s="50"/>
      <c r="AA978" s="50"/>
      <c r="AB978" s="50"/>
      <c r="AC978" s="50"/>
      <c r="AD978" s="50"/>
      <c r="AE978" s="50"/>
      <c r="AF978" s="50"/>
      <c r="AG978" s="50"/>
      <c r="AH978" s="50"/>
      <c r="AI978" s="50"/>
      <c r="AJ978" s="50"/>
      <c r="AK978" s="50"/>
      <c r="AL978" s="50"/>
    </row>
    <row r="979">
      <c r="U979" s="50"/>
      <c r="V979" s="50"/>
      <c r="W979" s="50"/>
      <c r="X979" s="50"/>
      <c r="Y979" s="50"/>
      <c r="Z979" s="50"/>
      <c r="AA979" s="50"/>
      <c r="AB979" s="50"/>
      <c r="AC979" s="50"/>
      <c r="AD979" s="50"/>
      <c r="AE979" s="50"/>
      <c r="AF979" s="50"/>
      <c r="AG979" s="50"/>
      <c r="AH979" s="50"/>
      <c r="AI979" s="50"/>
      <c r="AJ979" s="50"/>
      <c r="AK979" s="50"/>
      <c r="AL979" s="50"/>
    </row>
    <row r="980">
      <c r="U980" s="50"/>
      <c r="V980" s="50"/>
      <c r="W980" s="50"/>
      <c r="X980" s="50"/>
      <c r="Y980" s="50"/>
      <c r="Z980" s="50"/>
      <c r="AA980" s="50"/>
      <c r="AB980" s="50"/>
      <c r="AC980" s="50"/>
      <c r="AD980" s="50"/>
      <c r="AE980" s="50"/>
      <c r="AF980" s="50"/>
      <c r="AG980" s="50"/>
      <c r="AH980" s="50"/>
      <c r="AI980" s="50"/>
      <c r="AJ980" s="50"/>
      <c r="AK980" s="50"/>
      <c r="AL980" s="50"/>
    </row>
    <row r="981">
      <c r="U981" s="50"/>
      <c r="V981" s="50"/>
      <c r="W981" s="50"/>
      <c r="X981" s="50"/>
      <c r="Y981" s="50"/>
      <c r="Z981" s="50"/>
      <c r="AA981" s="50"/>
      <c r="AB981" s="50"/>
      <c r="AC981" s="50"/>
      <c r="AD981" s="50"/>
      <c r="AE981" s="50"/>
      <c r="AF981" s="50"/>
      <c r="AG981" s="50"/>
      <c r="AH981" s="50"/>
      <c r="AI981" s="50"/>
      <c r="AJ981" s="50"/>
      <c r="AK981" s="50"/>
      <c r="AL981" s="50"/>
    </row>
    <row r="982">
      <c r="U982" s="50"/>
      <c r="V982" s="50"/>
      <c r="W982" s="50"/>
      <c r="X982" s="50"/>
      <c r="Y982" s="50"/>
      <c r="Z982" s="50"/>
      <c r="AA982" s="50"/>
      <c r="AB982" s="50"/>
      <c r="AC982" s="50"/>
      <c r="AD982" s="50"/>
      <c r="AE982" s="50"/>
      <c r="AF982" s="50"/>
      <c r="AG982" s="50"/>
      <c r="AH982" s="50"/>
      <c r="AI982" s="50"/>
      <c r="AJ982" s="50"/>
      <c r="AK982" s="50"/>
      <c r="AL982" s="50"/>
    </row>
    <row r="983">
      <c r="U983" s="50"/>
      <c r="V983" s="50"/>
      <c r="W983" s="50"/>
      <c r="X983" s="50"/>
      <c r="Y983" s="50"/>
      <c r="Z983" s="50"/>
      <c r="AA983" s="50"/>
      <c r="AB983" s="50"/>
      <c r="AC983" s="50"/>
      <c r="AD983" s="50"/>
      <c r="AE983" s="50"/>
      <c r="AF983" s="50"/>
      <c r="AG983" s="50"/>
      <c r="AH983" s="50"/>
      <c r="AI983" s="50"/>
      <c r="AJ983" s="50"/>
      <c r="AK983" s="50"/>
      <c r="AL983" s="50"/>
    </row>
    <row r="984">
      <c r="U984" s="50"/>
      <c r="V984" s="50"/>
      <c r="W984" s="50"/>
      <c r="X984" s="50"/>
      <c r="Y984" s="50"/>
      <c r="Z984" s="50"/>
      <c r="AA984" s="50"/>
      <c r="AB984" s="50"/>
      <c r="AC984" s="50"/>
      <c r="AD984" s="50"/>
      <c r="AE984" s="50"/>
      <c r="AF984" s="50"/>
      <c r="AG984" s="50"/>
      <c r="AH984" s="50"/>
      <c r="AI984" s="50"/>
      <c r="AJ984" s="50"/>
      <c r="AK984" s="50"/>
      <c r="AL984" s="50"/>
    </row>
    <row r="985">
      <c r="U985" s="50"/>
      <c r="V985" s="50"/>
      <c r="W985" s="50"/>
      <c r="X985" s="50"/>
      <c r="Y985" s="50"/>
      <c r="Z985" s="50"/>
      <c r="AA985" s="50"/>
      <c r="AB985" s="50"/>
      <c r="AC985" s="50"/>
      <c r="AD985" s="50"/>
      <c r="AE985" s="50"/>
      <c r="AF985" s="50"/>
      <c r="AG985" s="50"/>
      <c r="AH985" s="50"/>
      <c r="AI985" s="50"/>
      <c r="AJ985" s="50"/>
      <c r="AK985" s="50"/>
      <c r="AL985" s="50"/>
    </row>
    <row r="986">
      <c r="U986" s="50"/>
      <c r="V986" s="50"/>
      <c r="W986" s="50"/>
      <c r="X986" s="50"/>
      <c r="Y986" s="50"/>
      <c r="Z986" s="50"/>
      <c r="AA986" s="50"/>
      <c r="AB986" s="50"/>
      <c r="AC986" s="50"/>
      <c r="AD986" s="50"/>
      <c r="AE986" s="50"/>
      <c r="AF986" s="50"/>
      <c r="AG986" s="50"/>
      <c r="AH986" s="50"/>
      <c r="AI986" s="50"/>
      <c r="AJ986" s="50"/>
      <c r="AK986" s="50"/>
      <c r="AL986" s="50"/>
    </row>
    <row r="987">
      <c r="U987" s="50"/>
      <c r="V987" s="50"/>
      <c r="W987" s="50"/>
      <c r="X987" s="50"/>
      <c r="Y987" s="50"/>
      <c r="Z987" s="50"/>
      <c r="AA987" s="50"/>
      <c r="AB987" s="50"/>
      <c r="AC987" s="50"/>
      <c r="AD987" s="50"/>
      <c r="AE987" s="50"/>
      <c r="AF987" s="50"/>
      <c r="AG987" s="50"/>
      <c r="AH987" s="50"/>
      <c r="AI987" s="50"/>
      <c r="AJ987" s="50"/>
      <c r="AK987" s="50"/>
      <c r="AL987" s="50"/>
    </row>
    <row r="988">
      <c r="U988" s="50"/>
      <c r="V988" s="50"/>
      <c r="W988" s="50"/>
      <c r="X988" s="50"/>
      <c r="Y988" s="50"/>
      <c r="Z988" s="50"/>
      <c r="AA988" s="50"/>
      <c r="AB988" s="50"/>
      <c r="AC988" s="50"/>
      <c r="AD988" s="50"/>
      <c r="AE988" s="50"/>
      <c r="AF988" s="50"/>
      <c r="AG988" s="50"/>
      <c r="AH988" s="50"/>
      <c r="AI988" s="50"/>
      <c r="AJ988" s="50"/>
      <c r="AK988" s="50"/>
      <c r="AL988" s="50"/>
    </row>
    <row r="989">
      <c r="U989" s="50"/>
      <c r="V989" s="50"/>
      <c r="W989" s="50"/>
      <c r="X989" s="50"/>
      <c r="Y989" s="50"/>
      <c r="Z989" s="50"/>
      <c r="AA989" s="50"/>
      <c r="AB989" s="50"/>
      <c r="AC989" s="50"/>
      <c r="AD989" s="50"/>
      <c r="AE989" s="50"/>
      <c r="AF989" s="50"/>
      <c r="AG989" s="50"/>
      <c r="AH989" s="50"/>
      <c r="AI989" s="50"/>
      <c r="AJ989" s="50"/>
      <c r="AK989" s="50"/>
      <c r="AL989" s="50"/>
    </row>
    <row r="990">
      <c r="U990" s="50"/>
      <c r="V990" s="50"/>
      <c r="W990" s="50"/>
      <c r="X990" s="50"/>
      <c r="Y990" s="50"/>
      <c r="Z990" s="50"/>
      <c r="AA990" s="50"/>
      <c r="AB990" s="50"/>
      <c r="AC990" s="50"/>
      <c r="AD990" s="50"/>
      <c r="AE990" s="50"/>
      <c r="AF990" s="50"/>
      <c r="AG990" s="50"/>
      <c r="AH990" s="50"/>
      <c r="AI990" s="50"/>
      <c r="AJ990" s="50"/>
      <c r="AK990" s="50"/>
      <c r="AL990" s="50"/>
    </row>
    <row r="991">
      <c r="U991" s="50"/>
      <c r="V991" s="50"/>
      <c r="W991" s="50"/>
      <c r="X991" s="50"/>
      <c r="Y991" s="50"/>
      <c r="Z991" s="50"/>
      <c r="AA991" s="50"/>
      <c r="AB991" s="50"/>
      <c r="AC991" s="50"/>
      <c r="AD991" s="50"/>
      <c r="AE991" s="50"/>
      <c r="AF991" s="50"/>
      <c r="AG991" s="50"/>
      <c r="AH991" s="50"/>
      <c r="AI991" s="50"/>
      <c r="AJ991" s="50"/>
      <c r="AK991" s="50"/>
      <c r="AL991" s="50"/>
    </row>
    <row r="992">
      <c r="U992" s="50"/>
      <c r="V992" s="50"/>
      <c r="W992" s="50"/>
      <c r="X992" s="50"/>
      <c r="Y992" s="50"/>
      <c r="Z992" s="50"/>
      <c r="AA992" s="50"/>
      <c r="AB992" s="50"/>
      <c r="AC992" s="50"/>
      <c r="AD992" s="50"/>
      <c r="AE992" s="50"/>
      <c r="AF992" s="50"/>
      <c r="AG992" s="50"/>
      <c r="AH992" s="50"/>
      <c r="AI992" s="50"/>
      <c r="AJ992" s="50"/>
      <c r="AK992" s="50"/>
      <c r="AL992" s="50"/>
    </row>
    <row r="993">
      <c r="U993" s="50"/>
      <c r="V993" s="50"/>
      <c r="W993" s="50"/>
      <c r="X993" s="50"/>
      <c r="Y993" s="50"/>
      <c r="Z993" s="50"/>
      <c r="AA993" s="50"/>
      <c r="AB993" s="50"/>
      <c r="AC993" s="50"/>
      <c r="AD993" s="50"/>
      <c r="AE993" s="50"/>
      <c r="AF993" s="50"/>
      <c r="AG993" s="50"/>
      <c r="AH993" s="50"/>
      <c r="AI993" s="50"/>
      <c r="AJ993" s="50"/>
      <c r="AK993" s="50"/>
      <c r="AL993" s="50"/>
    </row>
    <row r="994">
      <c r="U994" s="50"/>
      <c r="V994" s="50"/>
      <c r="W994" s="50"/>
      <c r="X994" s="50"/>
      <c r="Y994" s="50"/>
      <c r="Z994" s="50"/>
      <c r="AA994" s="50"/>
      <c r="AB994" s="50"/>
      <c r="AC994" s="50"/>
      <c r="AD994" s="50"/>
      <c r="AE994" s="50"/>
      <c r="AF994" s="50"/>
      <c r="AG994" s="50"/>
      <c r="AH994" s="50"/>
      <c r="AI994" s="50"/>
      <c r="AJ994" s="50"/>
      <c r="AK994" s="50"/>
      <c r="AL994" s="50"/>
    </row>
    <row r="995">
      <c r="U995" s="50"/>
      <c r="V995" s="50"/>
      <c r="W995" s="50"/>
      <c r="X995" s="50"/>
      <c r="Y995" s="50"/>
      <c r="Z995" s="50"/>
      <c r="AA995" s="50"/>
      <c r="AB995" s="50"/>
      <c r="AC995" s="50"/>
      <c r="AD995" s="50"/>
      <c r="AE995" s="50"/>
      <c r="AF995" s="50"/>
      <c r="AG995" s="50"/>
      <c r="AH995" s="50"/>
      <c r="AI995" s="50"/>
      <c r="AJ995" s="50"/>
      <c r="AK995" s="50"/>
      <c r="AL995" s="50"/>
    </row>
    <row r="996">
      <c r="U996" s="50"/>
      <c r="V996" s="50"/>
      <c r="W996" s="50"/>
      <c r="X996" s="50"/>
      <c r="Y996" s="50"/>
      <c r="Z996" s="50"/>
      <c r="AA996" s="50"/>
      <c r="AB996" s="50"/>
      <c r="AC996" s="50"/>
      <c r="AD996" s="50"/>
      <c r="AE996" s="50"/>
      <c r="AF996" s="50"/>
      <c r="AG996" s="50"/>
      <c r="AH996" s="50"/>
      <c r="AI996" s="50"/>
      <c r="AJ996" s="50"/>
      <c r="AK996" s="50"/>
      <c r="AL996" s="50"/>
    </row>
    <row r="997">
      <c r="U997" s="50"/>
      <c r="V997" s="50"/>
      <c r="W997" s="50"/>
      <c r="X997" s="50"/>
      <c r="Y997" s="50"/>
      <c r="Z997" s="50"/>
      <c r="AA997" s="50"/>
      <c r="AB997" s="50"/>
      <c r="AC997" s="50"/>
      <c r="AD997" s="50"/>
      <c r="AE997" s="50"/>
      <c r="AF997" s="50"/>
      <c r="AG997" s="50"/>
      <c r="AH997" s="50"/>
      <c r="AI997" s="50"/>
      <c r="AJ997" s="50"/>
      <c r="AK997" s="50"/>
      <c r="AL997" s="50"/>
    </row>
    <row r="998">
      <c r="U998" s="50"/>
      <c r="V998" s="50"/>
      <c r="W998" s="50"/>
      <c r="X998" s="50"/>
      <c r="Y998" s="50"/>
      <c r="Z998" s="50"/>
      <c r="AA998" s="50"/>
      <c r="AB998" s="50"/>
      <c r="AC998" s="50"/>
      <c r="AD998" s="50"/>
      <c r="AE998" s="50"/>
      <c r="AF998" s="50"/>
      <c r="AG998" s="50"/>
      <c r="AH998" s="50"/>
      <c r="AI998" s="50"/>
      <c r="AJ998" s="50"/>
      <c r="AK998" s="50"/>
      <c r="AL998" s="50"/>
    </row>
    <row r="999">
      <c r="U999" s="50"/>
      <c r="V999" s="50"/>
      <c r="W999" s="50"/>
      <c r="X999" s="50"/>
      <c r="Y999" s="50"/>
      <c r="Z999" s="50"/>
      <c r="AA999" s="50"/>
      <c r="AB999" s="50"/>
      <c r="AC999" s="50"/>
      <c r="AD999" s="50"/>
      <c r="AE999" s="50"/>
      <c r="AF999" s="50"/>
      <c r="AG999" s="50"/>
      <c r="AH999" s="50"/>
      <c r="AI999" s="50"/>
      <c r="AJ999" s="50"/>
      <c r="AK999" s="50"/>
      <c r="AL999" s="50"/>
    </row>
    <row r="1000">
      <c r="U1000" s="50"/>
      <c r="V1000" s="50"/>
      <c r="W1000" s="50"/>
      <c r="X1000" s="50"/>
      <c r="Y1000" s="50"/>
      <c r="Z1000" s="50"/>
      <c r="AA1000" s="50"/>
      <c r="AB1000" s="50"/>
      <c r="AC1000" s="50"/>
      <c r="AD1000" s="50"/>
      <c r="AE1000" s="50"/>
      <c r="AF1000" s="50"/>
      <c r="AG1000" s="50"/>
      <c r="AH1000" s="50"/>
      <c r="AI1000" s="50"/>
      <c r="AJ1000" s="50"/>
      <c r="AK1000" s="50"/>
      <c r="AL1000" s="50"/>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1.22" defaultRowHeight="15.0"/>
  <cols>
    <col customWidth="1" min="1" max="1" width="27.89"/>
    <col customWidth="1" min="2" max="2" width="15.22"/>
    <col customWidth="1" min="3" max="8" width="8.11"/>
    <col customWidth="1" min="9" max="26" width="8.44"/>
  </cols>
  <sheetData>
    <row r="1">
      <c r="A1" s="99" t="s">
        <v>2548</v>
      </c>
      <c r="B1" s="100"/>
      <c r="C1" s="100"/>
      <c r="G1" s="101"/>
      <c r="H1" s="101"/>
    </row>
    <row r="2" ht="31.5" customHeight="1">
      <c r="C2" s="102" t="s">
        <v>2549</v>
      </c>
      <c r="D2" s="100"/>
      <c r="E2" s="100"/>
      <c r="F2" s="100"/>
      <c r="G2" s="100"/>
      <c r="H2" s="100"/>
      <c r="I2" s="100"/>
    </row>
    <row r="3">
      <c r="D3" s="100"/>
      <c r="E3" s="100"/>
      <c r="F3" s="100"/>
      <c r="G3" s="100"/>
      <c r="H3" s="100"/>
      <c r="I3" s="100"/>
    </row>
    <row r="4" hidden="1">
      <c r="A4" s="103" t="s">
        <v>2550</v>
      </c>
      <c r="B4" s="104"/>
      <c r="C4" s="2">
        <v>4.0</v>
      </c>
      <c r="D4" s="2">
        <v>5.0</v>
      </c>
      <c r="E4" s="2">
        <v>6.0</v>
      </c>
      <c r="F4" s="2">
        <v>7.0</v>
      </c>
      <c r="G4" s="101">
        <v>8.0</v>
      </c>
      <c r="H4" s="101">
        <v>9.0</v>
      </c>
      <c r="I4" s="101"/>
    </row>
    <row r="5">
      <c r="A5" s="105" t="s">
        <v>88</v>
      </c>
      <c r="B5" s="105" t="str">
        <f>Datensammler!B3</f>
        <v>EDV Nummer</v>
      </c>
      <c r="C5" s="106" t="s">
        <v>2551</v>
      </c>
      <c r="D5" s="106" t="s">
        <v>2552</v>
      </c>
      <c r="E5" s="106" t="s">
        <v>2553</v>
      </c>
      <c r="F5" s="106" t="s">
        <v>2554</v>
      </c>
      <c r="G5" s="107" t="s">
        <v>2555</v>
      </c>
      <c r="H5" s="107" t="s">
        <v>2556</v>
      </c>
      <c r="I5" s="108" t="s">
        <v>2557</v>
      </c>
      <c r="J5" s="109"/>
      <c r="K5" s="109"/>
      <c r="L5" s="109"/>
      <c r="M5" s="110"/>
      <c r="N5" s="110"/>
      <c r="O5" s="110"/>
      <c r="P5" s="110"/>
      <c r="Q5" s="110"/>
      <c r="R5" s="110"/>
      <c r="S5" s="110"/>
      <c r="T5" s="110"/>
      <c r="U5" s="110"/>
      <c r="V5" s="110"/>
      <c r="W5" s="110"/>
      <c r="X5" s="110"/>
      <c r="Y5" s="110"/>
      <c r="Z5" s="110"/>
    </row>
    <row r="6">
      <c r="A6" s="111" t="str">
        <f>IF(B6="","",VLOOKUP(B6,'Mitglieder BBU'!A:K,6,0))</f>
        <v>Else Schuster</v>
      </c>
      <c r="B6" s="81">
        <v>7709.0</v>
      </c>
      <c r="C6" s="112">
        <v>131.0</v>
      </c>
      <c r="D6" s="112">
        <v>156.0</v>
      </c>
      <c r="E6" s="112">
        <v>123.0</v>
      </c>
      <c r="F6" s="112">
        <v>174.0</v>
      </c>
      <c r="G6" s="112">
        <v>132.0</v>
      </c>
      <c r="H6" s="112">
        <v>172.0</v>
      </c>
      <c r="I6" s="113">
        <f t="shared" ref="I6:I400" si="1">SUM(C6:H6)</f>
        <v>888</v>
      </c>
    </row>
    <row r="7">
      <c r="A7" s="111" t="str">
        <f>IF(B7="","",VLOOKUP(B7,'Mitglieder BBU'!A:K,6,0))</f>
        <v>Roswitha Schulz-Burkert</v>
      </c>
      <c r="B7" s="81">
        <v>25347.0</v>
      </c>
      <c r="C7" s="112">
        <v>149.0</v>
      </c>
      <c r="D7" s="112">
        <v>140.0</v>
      </c>
      <c r="E7" s="112">
        <v>127.0</v>
      </c>
      <c r="F7" s="112">
        <v>163.0</v>
      </c>
      <c r="G7" s="112">
        <v>121.0</v>
      </c>
      <c r="H7" s="112">
        <v>116.0</v>
      </c>
      <c r="I7" s="113">
        <f t="shared" si="1"/>
        <v>816</v>
      </c>
    </row>
    <row r="8">
      <c r="A8" s="111" t="str">
        <f>IF(B8="","",VLOOKUP(B8,'Mitglieder BBU'!A:K,6,0))</f>
        <v>Ingeborg Schmitt</v>
      </c>
      <c r="B8" s="81">
        <v>7974.0</v>
      </c>
      <c r="C8" s="112">
        <v>142.0</v>
      </c>
      <c r="D8" s="112">
        <v>104.0</v>
      </c>
      <c r="E8" s="112">
        <v>159.0</v>
      </c>
      <c r="F8" s="112">
        <v>119.0</v>
      </c>
      <c r="G8" s="112">
        <v>130.0</v>
      </c>
      <c r="H8" s="112">
        <v>165.0</v>
      </c>
      <c r="I8" s="113">
        <f t="shared" si="1"/>
        <v>819</v>
      </c>
    </row>
    <row r="9">
      <c r="A9" s="111" t="str">
        <f>IF(B9="","",VLOOKUP(B9,'Mitglieder BBU'!A:K,6,0))</f>
        <v>Katharina Mang</v>
      </c>
      <c r="B9" s="81">
        <v>25329.0</v>
      </c>
      <c r="C9" s="112">
        <v>176.0</v>
      </c>
      <c r="D9" s="112">
        <v>207.0</v>
      </c>
      <c r="E9" s="112">
        <v>158.0</v>
      </c>
      <c r="F9" s="112">
        <v>152.0</v>
      </c>
      <c r="G9" s="112">
        <v>186.0</v>
      </c>
      <c r="H9" s="112">
        <v>149.0</v>
      </c>
      <c r="I9" s="113">
        <f t="shared" si="1"/>
        <v>1028</v>
      </c>
    </row>
    <row r="10">
      <c r="A10" s="111" t="str">
        <f>IF(B10="","",VLOOKUP(B10,'Mitglieder BBU'!A:K,6,0))</f>
        <v>Denise Schwertfeger</v>
      </c>
      <c r="B10" s="81">
        <v>38934.0</v>
      </c>
      <c r="C10" s="112">
        <v>134.0</v>
      </c>
      <c r="D10" s="112">
        <v>132.0</v>
      </c>
      <c r="E10" s="112">
        <v>120.0</v>
      </c>
      <c r="F10" s="112">
        <v>136.0</v>
      </c>
      <c r="G10" s="112">
        <v>160.0</v>
      </c>
      <c r="H10" s="112">
        <v>148.0</v>
      </c>
      <c r="I10" s="113">
        <f t="shared" si="1"/>
        <v>830</v>
      </c>
    </row>
    <row r="11">
      <c r="A11" s="111" t="str">
        <f>IF(B11="","",VLOOKUP(B11,'Mitglieder BBU'!A:K,6,0))</f>
        <v>Nicole Schott</v>
      </c>
      <c r="B11" s="81">
        <v>16595.0</v>
      </c>
      <c r="C11" s="112">
        <v>177.0</v>
      </c>
      <c r="D11" s="112">
        <v>162.0</v>
      </c>
      <c r="E11" s="112">
        <v>196.0</v>
      </c>
      <c r="F11" s="112">
        <v>136.0</v>
      </c>
      <c r="G11" s="112">
        <v>165.0</v>
      </c>
      <c r="H11" s="112">
        <v>153.0</v>
      </c>
      <c r="I11" s="113">
        <f t="shared" si="1"/>
        <v>989</v>
      </c>
    </row>
    <row r="12">
      <c r="A12" s="111" t="str">
        <f>IF(B12="","",VLOOKUP(B12,'Mitglieder BBU'!A:K,6,0))</f>
        <v>Monika Schott</v>
      </c>
      <c r="B12" s="81">
        <v>16594.0</v>
      </c>
      <c r="C12" s="112">
        <v>200.0</v>
      </c>
      <c r="D12" s="112">
        <v>152.0</v>
      </c>
      <c r="E12" s="112">
        <v>161.0</v>
      </c>
      <c r="F12" s="112">
        <v>178.0</v>
      </c>
      <c r="G12" s="112">
        <v>159.0</v>
      </c>
      <c r="H12" s="112">
        <v>170.0</v>
      </c>
      <c r="I12" s="113">
        <f t="shared" si="1"/>
        <v>1020</v>
      </c>
    </row>
    <row r="13">
      <c r="A13" s="111" t="str">
        <f>IF(B13="","",VLOOKUP(B13,'Mitglieder BBU'!A:K,6,0))</f>
        <v>Helene Schick</v>
      </c>
      <c r="B13" s="81">
        <v>38931.0</v>
      </c>
      <c r="C13" s="112">
        <v>153.0</v>
      </c>
      <c r="D13" s="112">
        <v>202.0</v>
      </c>
      <c r="E13" s="112">
        <v>141.0</v>
      </c>
      <c r="F13" s="112">
        <v>141.0</v>
      </c>
      <c r="G13" s="112">
        <v>148.0</v>
      </c>
      <c r="H13" s="112">
        <v>186.0</v>
      </c>
      <c r="I13" s="113">
        <f t="shared" si="1"/>
        <v>971</v>
      </c>
    </row>
    <row r="14">
      <c r="A14" s="111" t="str">
        <f>IF(B14="","",VLOOKUP(B14,'Mitglieder BBU'!A:K,6,0))</f>
        <v>Anika Kristof</v>
      </c>
      <c r="B14" s="81">
        <v>38045.0</v>
      </c>
      <c r="C14" s="112">
        <v>201.0</v>
      </c>
      <c r="D14" s="112">
        <v>223.0</v>
      </c>
      <c r="E14" s="112">
        <v>196.0</v>
      </c>
      <c r="F14" s="112">
        <v>191.0</v>
      </c>
      <c r="G14" s="112">
        <v>181.0</v>
      </c>
      <c r="H14" s="112">
        <v>208.0</v>
      </c>
      <c r="I14" s="113">
        <f t="shared" si="1"/>
        <v>1200</v>
      </c>
    </row>
    <row r="15">
      <c r="A15" s="111" t="str">
        <f>IF(B15="","",VLOOKUP(B15,'Mitglieder BBU'!A:K,6,0))</f>
        <v>Bianca Leinemann</v>
      </c>
      <c r="B15" s="81">
        <v>38876.0</v>
      </c>
      <c r="C15" s="112">
        <v>125.0</v>
      </c>
      <c r="D15" s="112">
        <v>140.0</v>
      </c>
      <c r="E15" s="112">
        <v>157.0</v>
      </c>
      <c r="F15" s="112">
        <v>211.0</v>
      </c>
      <c r="G15" s="112">
        <v>175.0</v>
      </c>
      <c r="H15" s="112">
        <v>116.0</v>
      </c>
      <c r="I15" s="113">
        <f t="shared" si="1"/>
        <v>924</v>
      </c>
    </row>
    <row r="16">
      <c r="A16" s="111" t="str">
        <f>IF(B16="","",VLOOKUP(B16,'Mitglieder BBU'!A:K,6,0))</f>
        <v>Sabaithip Mekjinda</v>
      </c>
      <c r="B16" s="81">
        <v>38780.0</v>
      </c>
      <c r="C16" s="112">
        <v>140.0</v>
      </c>
      <c r="D16" s="112">
        <v>165.0</v>
      </c>
      <c r="E16" s="112">
        <v>144.0</v>
      </c>
      <c r="F16" s="112">
        <v>165.0</v>
      </c>
      <c r="G16" s="112">
        <v>136.0</v>
      </c>
      <c r="H16" s="112">
        <v>145.0</v>
      </c>
      <c r="I16" s="113">
        <f t="shared" si="1"/>
        <v>895</v>
      </c>
    </row>
    <row r="17">
      <c r="A17" s="111" t="str">
        <f>IF(B17="","",VLOOKUP(B17,'Mitglieder BBU'!A:K,6,0))</f>
        <v>Stephanie Fischer</v>
      </c>
      <c r="B17" s="81">
        <v>38789.0</v>
      </c>
      <c r="C17" s="112">
        <v>118.0</v>
      </c>
      <c r="D17" s="112">
        <v>144.0</v>
      </c>
      <c r="E17" s="112">
        <v>128.0</v>
      </c>
      <c r="F17" s="112">
        <v>102.0</v>
      </c>
      <c r="G17" s="112">
        <v>112.0</v>
      </c>
      <c r="H17" s="112">
        <v>172.0</v>
      </c>
      <c r="I17" s="113">
        <f t="shared" si="1"/>
        <v>776</v>
      </c>
    </row>
    <row r="18">
      <c r="A18" s="111" t="str">
        <f>IF(B18="","",VLOOKUP(B18,'Mitglieder BBU'!A:K,6,0))</f>
        <v>Nadja Seidlein</v>
      </c>
      <c r="B18" s="81">
        <v>38173.0</v>
      </c>
      <c r="C18" s="112">
        <v>175.0</v>
      </c>
      <c r="D18" s="112">
        <v>147.0</v>
      </c>
      <c r="E18" s="112">
        <v>132.0</v>
      </c>
      <c r="F18" s="112">
        <v>136.0</v>
      </c>
      <c r="G18" s="112">
        <v>144.0</v>
      </c>
      <c r="H18" s="112">
        <v>133.0</v>
      </c>
      <c r="I18" s="113">
        <f t="shared" si="1"/>
        <v>867</v>
      </c>
    </row>
    <row r="19">
      <c r="A19" s="111" t="str">
        <f>IF(B19="","",VLOOKUP(B19,'Mitglieder BBU'!A:K,6,0))</f>
        <v>Laura Piros</v>
      </c>
      <c r="B19" s="81">
        <v>36696.0</v>
      </c>
      <c r="C19" s="112">
        <v>169.0</v>
      </c>
      <c r="D19" s="112">
        <v>227.0</v>
      </c>
      <c r="E19" s="112">
        <v>202.0</v>
      </c>
      <c r="F19" s="112">
        <v>245.0</v>
      </c>
      <c r="G19" s="112">
        <v>255.0</v>
      </c>
      <c r="H19" s="112">
        <v>178.0</v>
      </c>
      <c r="I19" s="113">
        <f t="shared" si="1"/>
        <v>1276</v>
      </c>
      <c r="K19" s="114"/>
    </row>
    <row r="20">
      <c r="A20" s="111" t="str">
        <f>IF(B20="","",VLOOKUP(B20,'Mitglieder BBU'!A:K,6,0))</f>
        <v>Alexandra Mareiser</v>
      </c>
      <c r="B20" s="81">
        <v>7083.0</v>
      </c>
      <c r="C20" s="112">
        <v>215.0</v>
      </c>
      <c r="D20" s="112">
        <v>134.0</v>
      </c>
      <c r="E20" s="112">
        <v>182.0</v>
      </c>
      <c r="F20" s="112">
        <v>247.0</v>
      </c>
      <c r="G20" s="112">
        <v>149.0</v>
      </c>
      <c r="H20" s="112">
        <v>226.0</v>
      </c>
      <c r="I20" s="113">
        <f t="shared" si="1"/>
        <v>1153</v>
      </c>
    </row>
    <row r="21">
      <c r="A21" s="111" t="str">
        <f>IF(B21="","",VLOOKUP(B21,'Mitglieder BBU'!A:K,6,0))</f>
        <v>Regina Gahr</v>
      </c>
      <c r="B21" s="81">
        <v>38555.0</v>
      </c>
      <c r="C21" s="112">
        <v>170.0</v>
      </c>
      <c r="D21" s="112">
        <v>146.0</v>
      </c>
      <c r="E21" s="112">
        <v>151.0</v>
      </c>
      <c r="F21" s="112">
        <v>139.0</v>
      </c>
      <c r="G21" s="112">
        <v>132.0</v>
      </c>
      <c r="H21" s="112">
        <v>125.0</v>
      </c>
      <c r="I21" s="113">
        <f t="shared" si="1"/>
        <v>863</v>
      </c>
    </row>
    <row r="22">
      <c r="A22" s="111" t="str">
        <f>IF(B22="","",VLOOKUP(B22,'Mitglieder BBU'!A:K,6,0))</f>
        <v>Jana Witthinrich</v>
      </c>
      <c r="B22" s="81">
        <v>38355.0</v>
      </c>
      <c r="C22" s="112">
        <v>151.0</v>
      </c>
      <c r="D22" s="112">
        <v>135.0</v>
      </c>
      <c r="E22" s="112">
        <v>164.0</v>
      </c>
      <c r="F22" s="112">
        <v>171.0</v>
      </c>
      <c r="G22" s="112">
        <v>145.0</v>
      </c>
      <c r="H22" s="112">
        <v>178.0</v>
      </c>
      <c r="I22" s="113">
        <f t="shared" si="1"/>
        <v>944</v>
      </c>
    </row>
    <row r="23">
      <c r="A23" s="111" t="str">
        <f>IF(B23="","",VLOOKUP(B23,'Mitglieder BBU'!A:K,6,0))</f>
        <v>Natalie Groll</v>
      </c>
      <c r="B23" s="81">
        <v>25857.0</v>
      </c>
      <c r="C23" s="112">
        <v>196.0</v>
      </c>
      <c r="D23" s="112">
        <v>138.0</v>
      </c>
      <c r="E23" s="112">
        <v>194.0</v>
      </c>
      <c r="F23" s="112">
        <v>190.0</v>
      </c>
      <c r="G23" s="112">
        <v>225.0</v>
      </c>
      <c r="H23" s="112">
        <v>161.0</v>
      </c>
      <c r="I23" s="113">
        <f t="shared" si="1"/>
        <v>1104</v>
      </c>
    </row>
    <row r="24">
      <c r="A24" s="111" t="str">
        <f>IF(B24="","",VLOOKUP(B24,'Mitglieder BBU'!A:K,6,0))</f>
        <v>Johanna Groll</v>
      </c>
      <c r="B24" s="81">
        <v>25630.0</v>
      </c>
      <c r="C24" s="112">
        <v>155.0</v>
      </c>
      <c r="D24" s="112">
        <v>202.0</v>
      </c>
      <c r="E24" s="112">
        <v>168.0</v>
      </c>
      <c r="F24" s="112">
        <v>171.0</v>
      </c>
      <c r="G24" s="112">
        <v>159.0</v>
      </c>
      <c r="H24" s="112">
        <v>167.0</v>
      </c>
      <c r="I24" s="113">
        <f t="shared" si="1"/>
        <v>1022</v>
      </c>
    </row>
    <row r="25">
      <c r="A25" s="111" t="str">
        <f>IF(B25="","",VLOOKUP(B25,'Mitglieder BBU'!A:K,6,0))</f>
        <v>Julia Völlmerk</v>
      </c>
      <c r="B25" s="81">
        <v>16093.0</v>
      </c>
      <c r="C25" s="112">
        <v>199.0</v>
      </c>
      <c r="D25" s="112">
        <v>186.0</v>
      </c>
      <c r="E25" s="112">
        <v>207.0</v>
      </c>
      <c r="F25" s="112">
        <v>187.0</v>
      </c>
      <c r="G25" s="112">
        <v>170.0</v>
      </c>
      <c r="H25" s="112">
        <v>171.0</v>
      </c>
      <c r="I25" s="113">
        <f t="shared" si="1"/>
        <v>1120</v>
      </c>
    </row>
    <row r="26">
      <c r="A26" s="111" t="str">
        <f>IF(B26="","",VLOOKUP(B26,'Mitglieder BBU'!A:K,6,0))</f>
        <v>Rica Jahre</v>
      </c>
      <c r="B26" s="81">
        <v>38980.0</v>
      </c>
      <c r="C26" s="112">
        <v>166.0</v>
      </c>
      <c r="D26" s="112">
        <v>116.0</v>
      </c>
      <c r="E26" s="112">
        <v>164.0</v>
      </c>
      <c r="F26" s="112">
        <v>150.0</v>
      </c>
      <c r="G26" s="112">
        <v>97.0</v>
      </c>
      <c r="H26" s="112">
        <v>168.0</v>
      </c>
      <c r="I26" s="113">
        <f t="shared" si="1"/>
        <v>861</v>
      </c>
    </row>
    <row r="27">
      <c r="A27" s="111" t="str">
        <f>IF(B27="","",VLOOKUP(B27,'Mitglieder BBU'!A:K,6,0))</f>
        <v>Marina Weiske</v>
      </c>
      <c r="B27" s="81">
        <v>7154.0</v>
      </c>
      <c r="C27" s="112">
        <v>162.0</v>
      </c>
      <c r="D27" s="112">
        <v>194.0</v>
      </c>
      <c r="E27" s="112">
        <v>187.0</v>
      </c>
      <c r="F27" s="112">
        <v>146.0</v>
      </c>
      <c r="G27" s="112">
        <v>188.0</v>
      </c>
      <c r="H27" s="112">
        <v>170.0</v>
      </c>
      <c r="I27" s="113">
        <f t="shared" si="1"/>
        <v>1047</v>
      </c>
    </row>
    <row r="28">
      <c r="A28" s="111" t="str">
        <f>IF(B28="","",VLOOKUP(B28,'Mitglieder BBU'!A:K,6,0))</f>
        <v/>
      </c>
      <c r="B28" s="81"/>
      <c r="C28" s="112"/>
      <c r="D28" s="112"/>
      <c r="E28" s="112"/>
      <c r="F28" s="112"/>
      <c r="G28" s="112"/>
      <c r="H28" s="112"/>
      <c r="I28" s="113">
        <f t="shared" si="1"/>
        <v>0</v>
      </c>
    </row>
    <row r="29">
      <c r="A29" s="111" t="str">
        <f>IF(B29="","",VLOOKUP(B29,'Mitglieder BBU'!A:K,6,0))</f>
        <v/>
      </c>
      <c r="B29" s="81"/>
      <c r="C29" s="112"/>
      <c r="D29" s="112"/>
      <c r="E29" s="112"/>
      <c r="F29" s="112"/>
      <c r="G29" s="112"/>
      <c r="H29" s="112"/>
      <c r="I29" s="113">
        <f t="shared" si="1"/>
        <v>0</v>
      </c>
    </row>
    <row r="30">
      <c r="A30" s="111" t="str">
        <f>IF(B30="","",VLOOKUP(B30,'Mitglieder BBU'!A:K,6,0))</f>
        <v/>
      </c>
      <c r="B30" s="81"/>
      <c r="C30" s="112"/>
      <c r="D30" s="112"/>
      <c r="E30" s="112"/>
      <c r="F30" s="112"/>
      <c r="G30" s="112"/>
      <c r="H30" s="112"/>
      <c r="I30" s="113">
        <f t="shared" si="1"/>
        <v>0</v>
      </c>
      <c r="M30" s="110"/>
      <c r="N30" s="110"/>
      <c r="O30" s="110"/>
      <c r="P30" s="110"/>
      <c r="Q30" s="110"/>
      <c r="R30" s="110"/>
      <c r="S30" s="110"/>
      <c r="T30" s="110"/>
      <c r="U30" s="110"/>
      <c r="V30" s="110"/>
      <c r="W30" s="110"/>
      <c r="X30" s="110"/>
      <c r="Y30" s="110"/>
      <c r="Z30" s="110"/>
    </row>
    <row r="31">
      <c r="A31" s="111" t="str">
        <f>IF(B31="","",VLOOKUP(B31,'Mitglieder BBU'!A:K,6,0))</f>
        <v/>
      </c>
      <c r="B31" s="81"/>
      <c r="C31" s="112"/>
      <c r="D31" s="112"/>
      <c r="E31" s="112"/>
      <c r="F31" s="112"/>
      <c r="G31" s="112"/>
      <c r="H31" s="112"/>
      <c r="I31" s="113">
        <f t="shared" si="1"/>
        <v>0</v>
      </c>
    </row>
    <row r="32">
      <c r="A32" s="111" t="str">
        <f>IF(B32="","",VLOOKUP(B32,'Mitglieder BBU'!A:K,6,0))</f>
        <v/>
      </c>
      <c r="B32" s="81"/>
      <c r="C32" s="112"/>
      <c r="D32" s="112"/>
      <c r="E32" s="112"/>
      <c r="F32" s="112"/>
      <c r="G32" s="112"/>
      <c r="H32" s="112"/>
      <c r="I32" s="113">
        <f t="shared" si="1"/>
        <v>0</v>
      </c>
    </row>
    <row r="33">
      <c r="A33" s="111" t="str">
        <f>IF(B33="","",VLOOKUP(B33,'Mitglieder BBU'!A:K,6,0))</f>
        <v/>
      </c>
      <c r="B33" s="81"/>
      <c r="C33" s="112"/>
      <c r="D33" s="112"/>
      <c r="E33" s="112"/>
      <c r="F33" s="112"/>
      <c r="G33" s="112"/>
      <c r="H33" s="112"/>
      <c r="I33" s="113">
        <f t="shared" si="1"/>
        <v>0</v>
      </c>
    </row>
    <row r="34">
      <c r="A34" s="111" t="str">
        <f>IF(B34="","",VLOOKUP(B34,'Mitglieder BBU'!A:K,6,0))</f>
        <v/>
      </c>
      <c r="B34" s="81"/>
      <c r="C34" s="112"/>
      <c r="D34" s="112"/>
      <c r="E34" s="112"/>
      <c r="F34" s="112"/>
      <c r="G34" s="112"/>
      <c r="H34" s="112"/>
      <c r="I34" s="113">
        <f t="shared" si="1"/>
        <v>0</v>
      </c>
    </row>
    <row r="35">
      <c r="A35" s="111" t="str">
        <f>IF(B35="","",VLOOKUP(B35,'Mitglieder BBU'!A:K,6,0))</f>
        <v/>
      </c>
      <c r="B35" s="81"/>
      <c r="C35" s="112"/>
      <c r="D35" s="112"/>
      <c r="E35" s="112"/>
      <c r="F35" s="112"/>
      <c r="G35" s="112"/>
      <c r="H35" s="112"/>
      <c r="I35" s="113">
        <f t="shared" si="1"/>
        <v>0</v>
      </c>
    </row>
    <row r="36">
      <c r="A36" s="111" t="str">
        <f>IF(B36="","",VLOOKUP(B36,'Mitglieder BBU'!A:K,6,0))</f>
        <v/>
      </c>
      <c r="B36" s="81"/>
      <c r="C36" s="112"/>
      <c r="D36" s="112"/>
      <c r="E36" s="112"/>
      <c r="F36" s="112"/>
      <c r="G36" s="112"/>
      <c r="H36" s="112"/>
      <c r="I36" s="113">
        <f t="shared" si="1"/>
        <v>0</v>
      </c>
    </row>
    <row r="37">
      <c r="A37" s="111" t="str">
        <f>IF(B37="","",VLOOKUP(B37,'Mitglieder BBU'!A:K,6,0))</f>
        <v/>
      </c>
      <c r="B37" s="81"/>
      <c r="C37" s="112"/>
      <c r="D37" s="112"/>
      <c r="E37" s="112"/>
      <c r="F37" s="112"/>
      <c r="G37" s="112"/>
      <c r="H37" s="112"/>
      <c r="I37" s="113">
        <f t="shared" si="1"/>
        <v>0</v>
      </c>
    </row>
    <row r="38">
      <c r="A38" s="111" t="str">
        <f>IF(B38="","",VLOOKUP(B38,'Mitglieder BBU'!A:K,6,0))</f>
        <v/>
      </c>
      <c r="B38" s="81"/>
      <c r="C38" s="112"/>
      <c r="D38" s="112"/>
      <c r="E38" s="112"/>
      <c r="F38" s="112"/>
      <c r="G38" s="112"/>
      <c r="H38" s="112"/>
      <c r="I38" s="113">
        <f t="shared" si="1"/>
        <v>0</v>
      </c>
    </row>
    <row r="39">
      <c r="A39" s="111" t="str">
        <f>IF(B39="","",VLOOKUP(B39,'Mitglieder BBU'!A:K,6,0))</f>
        <v/>
      </c>
      <c r="B39" s="81"/>
      <c r="C39" s="112"/>
      <c r="D39" s="112"/>
      <c r="E39" s="112"/>
      <c r="F39" s="112"/>
      <c r="G39" s="112"/>
      <c r="H39" s="112"/>
      <c r="I39" s="113">
        <f t="shared" si="1"/>
        <v>0</v>
      </c>
    </row>
    <row r="40">
      <c r="A40" s="111" t="str">
        <f>IF(B40="","",VLOOKUP(B40,'Mitglieder BBU'!A:K,6,0))</f>
        <v/>
      </c>
      <c r="B40" s="86"/>
      <c r="C40" s="112"/>
      <c r="D40" s="112"/>
      <c r="E40" s="112"/>
      <c r="F40" s="112"/>
      <c r="G40" s="112"/>
      <c r="H40" s="112"/>
      <c r="I40" s="113">
        <f t="shared" si="1"/>
        <v>0</v>
      </c>
    </row>
    <row r="41">
      <c r="A41" s="111" t="str">
        <f>IF(B41="","",VLOOKUP(B41,'Mitglieder BBU'!A:K,6,0))</f>
        <v/>
      </c>
      <c r="B41" s="87"/>
      <c r="C41" s="112"/>
      <c r="D41" s="112"/>
      <c r="E41" s="112"/>
      <c r="F41" s="112"/>
      <c r="G41" s="112"/>
      <c r="H41" s="112"/>
      <c r="I41" s="113">
        <f t="shared" si="1"/>
        <v>0</v>
      </c>
    </row>
    <row r="42">
      <c r="A42" s="111" t="str">
        <f>IF(B42="","",VLOOKUP(B42,'Mitglieder BBU'!A:K,6,0))</f>
        <v/>
      </c>
      <c r="B42" s="87"/>
      <c r="C42" s="112"/>
      <c r="D42" s="112"/>
      <c r="E42" s="112"/>
      <c r="F42" s="112"/>
      <c r="G42" s="112"/>
      <c r="H42" s="112"/>
      <c r="I42" s="113">
        <f t="shared" si="1"/>
        <v>0</v>
      </c>
    </row>
    <row r="43">
      <c r="A43" s="111" t="str">
        <f>IF(B43="","",VLOOKUP(B43,'Mitglieder BBU'!A:K,6,0))</f>
        <v/>
      </c>
      <c r="B43" s="87"/>
      <c r="C43" s="112"/>
      <c r="D43" s="112"/>
      <c r="E43" s="112"/>
      <c r="F43" s="112"/>
      <c r="G43" s="112"/>
      <c r="H43" s="112"/>
      <c r="I43" s="113">
        <f t="shared" si="1"/>
        <v>0</v>
      </c>
    </row>
    <row r="44">
      <c r="A44" s="111" t="str">
        <f>IF(B44="","",VLOOKUP(B44,'Mitglieder BBU'!A:K,6,0))</f>
        <v/>
      </c>
      <c r="B44" s="87"/>
      <c r="C44" s="112"/>
      <c r="D44" s="112"/>
      <c r="E44" s="112"/>
      <c r="F44" s="112"/>
      <c r="G44" s="112"/>
      <c r="H44" s="112"/>
      <c r="I44" s="113">
        <f t="shared" si="1"/>
        <v>0</v>
      </c>
    </row>
    <row r="45">
      <c r="A45" s="111" t="str">
        <f>IF(B45="","",VLOOKUP(B45,'Mitglieder BBU'!A:K,6,0))</f>
        <v/>
      </c>
      <c r="B45" s="87"/>
      <c r="C45" s="112"/>
      <c r="D45" s="112"/>
      <c r="E45" s="112"/>
      <c r="F45" s="112"/>
      <c r="G45" s="112"/>
      <c r="H45" s="112"/>
      <c r="I45" s="113">
        <f t="shared" si="1"/>
        <v>0</v>
      </c>
    </row>
    <row r="46">
      <c r="A46" s="111" t="str">
        <f>IF(B46="","",VLOOKUP(B46,'Mitglieder BBU'!A:K,6,0))</f>
        <v/>
      </c>
      <c r="B46" s="87"/>
      <c r="C46" s="112"/>
      <c r="D46" s="112"/>
      <c r="E46" s="112"/>
      <c r="F46" s="112"/>
      <c r="G46" s="112"/>
      <c r="H46" s="112"/>
      <c r="I46" s="113">
        <f t="shared" si="1"/>
        <v>0</v>
      </c>
    </row>
    <row r="47">
      <c r="A47" s="111" t="str">
        <f>IF(B47="","",VLOOKUP(B47,'Mitglieder BBU'!A:K,6,0))</f>
        <v/>
      </c>
      <c r="B47" s="87"/>
      <c r="C47" s="112"/>
      <c r="D47" s="112"/>
      <c r="E47" s="112"/>
      <c r="F47" s="112"/>
      <c r="G47" s="112"/>
      <c r="H47" s="112"/>
      <c r="I47" s="113">
        <f t="shared" si="1"/>
        <v>0</v>
      </c>
    </row>
    <row r="48">
      <c r="A48" s="111" t="str">
        <f>IF(B48="","",VLOOKUP(B48,'Mitglieder BBU'!A:K,6,0))</f>
        <v/>
      </c>
      <c r="B48" s="87"/>
      <c r="C48" s="112"/>
      <c r="D48" s="112"/>
      <c r="E48" s="112"/>
      <c r="F48" s="112"/>
      <c r="G48" s="112"/>
      <c r="H48" s="112"/>
      <c r="I48" s="113">
        <f t="shared" si="1"/>
        <v>0</v>
      </c>
    </row>
    <row r="49">
      <c r="A49" s="111" t="str">
        <f>IF(B49="","",VLOOKUP(B49,'Mitglieder BBU'!A:K,6,0))</f>
        <v/>
      </c>
      <c r="B49" s="87"/>
      <c r="C49" s="112"/>
      <c r="D49" s="112"/>
      <c r="E49" s="112"/>
      <c r="F49" s="112"/>
      <c r="G49" s="112"/>
      <c r="H49" s="112"/>
      <c r="I49" s="113">
        <f t="shared" si="1"/>
        <v>0</v>
      </c>
    </row>
    <row r="50">
      <c r="A50" s="111" t="str">
        <f>IF(B50="","",VLOOKUP(B50,'Mitglieder BBU'!A:K,6,0))</f>
        <v/>
      </c>
      <c r="B50" s="87"/>
      <c r="C50" s="112"/>
      <c r="D50" s="112"/>
      <c r="E50" s="112"/>
      <c r="F50" s="112"/>
      <c r="G50" s="112"/>
      <c r="H50" s="112"/>
      <c r="I50" s="113">
        <f t="shared" si="1"/>
        <v>0</v>
      </c>
    </row>
    <row r="51">
      <c r="A51" s="111" t="str">
        <f>IF(B51="","",VLOOKUP(B51,'Mitglieder BBU'!A:K,6,0))</f>
        <v/>
      </c>
      <c r="B51" s="87"/>
      <c r="C51" s="112"/>
      <c r="D51" s="112"/>
      <c r="E51" s="112"/>
      <c r="F51" s="112"/>
      <c r="G51" s="112"/>
      <c r="H51" s="112"/>
      <c r="I51" s="113">
        <f t="shared" si="1"/>
        <v>0</v>
      </c>
    </row>
    <row r="52">
      <c r="A52" s="111" t="str">
        <f>IF(B52="","",VLOOKUP(B52,'Mitglieder BBU'!A:K,6,0))</f>
        <v/>
      </c>
      <c r="B52" s="87"/>
      <c r="C52" s="112"/>
      <c r="D52" s="112"/>
      <c r="E52" s="112"/>
      <c r="F52" s="112"/>
      <c r="G52" s="112"/>
      <c r="H52" s="112"/>
      <c r="I52" s="113">
        <f t="shared" si="1"/>
        <v>0</v>
      </c>
    </row>
    <row r="53">
      <c r="A53" s="111" t="str">
        <f>IF(B53="","",VLOOKUP(B53,'Mitglieder BBU'!A:K,6,0))</f>
        <v/>
      </c>
      <c r="B53" s="87"/>
      <c r="C53" s="112"/>
      <c r="D53" s="112"/>
      <c r="E53" s="112"/>
      <c r="F53" s="112"/>
      <c r="G53" s="112"/>
      <c r="H53" s="112"/>
      <c r="I53" s="113">
        <f t="shared" si="1"/>
        <v>0</v>
      </c>
    </row>
    <row r="54">
      <c r="A54" s="111" t="str">
        <f>IF(B54="","",VLOOKUP(B54,'Mitglieder BBU'!A:K,6,0))</f>
        <v/>
      </c>
      <c r="B54" s="87"/>
      <c r="C54" s="112"/>
      <c r="D54" s="112"/>
      <c r="E54" s="112"/>
      <c r="F54" s="112"/>
      <c r="G54" s="112"/>
      <c r="H54" s="112"/>
      <c r="I54" s="113">
        <f t="shared" si="1"/>
        <v>0</v>
      </c>
    </row>
    <row r="55">
      <c r="A55" s="111" t="str">
        <f>IF(B55="","",VLOOKUP(B55,'Mitglieder BBU'!A:K,6,0))</f>
        <v/>
      </c>
      <c r="B55" s="87"/>
      <c r="C55" s="112"/>
      <c r="D55" s="112"/>
      <c r="E55" s="112"/>
      <c r="F55" s="112"/>
      <c r="G55" s="112"/>
      <c r="H55" s="112"/>
      <c r="I55" s="113">
        <f t="shared" si="1"/>
        <v>0</v>
      </c>
    </row>
    <row r="56">
      <c r="A56" s="111" t="str">
        <f>IF(B56="","",VLOOKUP(B56,'Mitglieder BBU'!A:K,6,0))</f>
        <v/>
      </c>
      <c r="B56" s="87"/>
      <c r="C56" s="112"/>
      <c r="D56" s="112"/>
      <c r="E56" s="112"/>
      <c r="F56" s="112"/>
      <c r="G56" s="112"/>
      <c r="H56" s="112"/>
      <c r="I56" s="113">
        <f t="shared" si="1"/>
        <v>0</v>
      </c>
    </row>
    <row r="57">
      <c r="A57" s="111" t="str">
        <f>IF(B57="","",VLOOKUP(B57,'Mitglieder BBU'!A:K,6,0))</f>
        <v/>
      </c>
      <c r="B57" s="87"/>
      <c r="C57" s="112"/>
      <c r="D57" s="112"/>
      <c r="E57" s="112"/>
      <c r="F57" s="112"/>
      <c r="G57" s="112"/>
      <c r="H57" s="112"/>
      <c r="I57" s="113">
        <f t="shared" si="1"/>
        <v>0</v>
      </c>
    </row>
    <row r="58">
      <c r="A58" s="111" t="str">
        <f>IF(B58="","",VLOOKUP(B58,'Mitglieder BBU'!A:K,6,0))</f>
        <v/>
      </c>
      <c r="B58" s="87"/>
      <c r="C58" s="112"/>
      <c r="D58" s="112"/>
      <c r="E58" s="112"/>
      <c r="F58" s="112"/>
      <c r="G58" s="112"/>
      <c r="H58" s="112"/>
      <c r="I58" s="113">
        <f t="shared" si="1"/>
        <v>0</v>
      </c>
    </row>
    <row r="59">
      <c r="A59" s="111" t="str">
        <f>IF(B59="","",VLOOKUP(B59,'Mitglieder BBU'!A:K,6,0))</f>
        <v/>
      </c>
      <c r="B59" s="87"/>
      <c r="C59" s="112"/>
      <c r="D59" s="112"/>
      <c r="E59" s="112"/>
      <c r="F59" s="112"/>
      <c r="G59" s="112"/>
      <c r="H59" s="112"/>
      <c r="I59" s="113">
        <f t="shared" si="1"/>
        <v>0</v>
      </c>
    </row>
    <row r="60">
      <c r="A60" s="111" t="str">
        <f>IF(B60="","",VLOOKUP(B60,'Mitglieder BBU'!A:K,6,0))</f>
        <v/>
      </c>
      <c r="B60" s="87"/>
      <c r="C60" s="112"/>
      <c r="D60" s="112"/>
      <c r="E60" s="112"/>
      <c r="F60" s="112"/>
      <c r="G60" s="112"/>
      <c r="H60" s="112"/>
      <c r="I60" s="113">
        <f t="shared" si="1"/>
        <v>0</v>
      </c>
    </row>
    <row r="61">
      <c r="A61" s="111" t="str">
        <f>IF(B61="","",VLOOKUP(B61,'Mitglieder BBU'!A:K,6,0))</f>
        <v/>
      </c>
      <c r="B61" s="87"/>
      <c r="C61" s="112"/>
      <c r="D61" s="112"/>
      <c r="E61" s="112"/>
      <c r="F61" s="112"/>
      <c r="G61" s="112"/>
      <c r="H61" s="112"/>
      <c r="I61" s="113">
        <f t="shared" si="1"/>
        <v>0</v>
      </c>
    </row>
    <row r="62">
      <c r="A62" s="111" t="str">
        <f>IF(B62="","",VLOOKUP(B62,'Mitglieder BBU'!A:K,6,0))</f>
        <v/>
      </c>
      <c r="B62" s="87"/>
      <c r="C62" s="112"/>
      <c r="D62" s="112"/>
      <c r="E62" s="112"/>
      <c r="F62" s="112"/>
      <c r="G62" s="112"/>
      <c r="H62" s="112"/>
      <c r="I62" s="113">
        <f t="shared" si="1"/>
        <v>0</v>
      </c>
    </row>
    <row r="63">
      <c r="A63" s="111" t="str">
        <f>IF(B63="","",VLOOKUP(B63,'Mitglieder BBU'!A:K,6,0))</f>
        <v/>
      </c>
      <c r="B63" s="87"/>
      <c r="C63" s="112"/>
      <c r="D63" s="112"/>
      <c r="E63" s="112"/>
      <c r="F63" s="112"/>
      <c r="G63" s="112"/>
      <c r="H63" s="112"/>
      <c r="I63" s="113">
        <f t="shared" si="1"/>
        <v>0</v>
      </c>
    </row>
    <row r="64">
      <c r="A64" s="111" t="str">
        <f>IF(B64="","",VLOOKUP(B64,'Mitglieder BBU'!A:K,6,0))</f>
        <v/>
      </c>
      <c r="B64" s="87"/>
      <c r="C64" s="112"/>
      <c r="D64" s="112"/>
      <c r="E64" s="112"/>
      <c r="F64" s="112"/>
      <c r="G64" s="112"/>
      <c r="H64" s="112"/>
      <c r="I64" s="113">
        <f t="shared" si="1"/>
        <v>0</v>
      </c>
    </row>
    <row r="65">
      <c r="A65" s="111" t="str">
        <f>IF(B65="","",VLOOKUP(B65,'Mitglieder BBU'!A:K,6,0))</f>
        <v/>
      </c>
      <c r="B65" s="87"/>
      <c r="C65" s="112"/>
      <c r="D65" s="112"/>
      <c r="E65" s="112"/>
      <c r="F65" s="112"/>
      <c r="G65" s="112"/>
      <c r="H65" s="112"/>
      <c r="I65" s="113">
        <f t="shared" si="1"/>
        <v>0</v>
      </c>
    </row>
    <row r="66">
      <c r="A66" s="111" t="str">
        <f>IF(B66="","",VLOOKUP(B66,'Mitglieder BBU'!A:K,6,0))</f>
        <v/>
      </c>
      <c r="B66" s="88"/>
      <c r="C66" s="112"/>
      <c r="D66" s="112"/>
      <c r="E66" s="112"/>
      <c r="F66" s="112"/>
      <c r="G66" s="112"/>
      <c r="H66" s="112"/>
      <c r="I66" s="113">
        <f t="shared" si="1"/>
        <v>0</v>
      </c>
    </row>
    <row r="67">
      <c r="A67" s="111" t="str">
        <f>IF(B67="","",VLOOKUP(B67,'Mitglieder BBU'!A:K,6,0))</f>
        <v/>
      </c>
      <c r="B67" s="88"/>
      <c r="C67" s="112"/>
      <c r="D67" s="112"/>
      <c r="E67" s="112"/>
      <c r="F67" s="112"/>
      <c r="G67" s="112"/>
      <c r="H67" s="112"/>
      <c r="I67" s="113">
        <f t="shared" si="1"/>
        <v>0</v>
      </c>
    </row>
    <row r="68">
      <c r="A68" s="111" t="str">
        <f>IF(B68="","",VLOOKUP(B68,'Mitglieder BBU'!A:K,6,0))</f>
        <v/>
      </c>
      <c r="B68" s="88"/>
      <c r="C68" s="112"/>
      <c r="D68" s="112"/>
      <c r="E68" s="112"/>
      <c r="F68" s="112"/>
      <c r="G68" s="112"/>
      <c r="H68" s="112"/>
      <c r="I68" s="113">
        <f t="shared" si="1"/>
        <v>0</v>
      </c>
    </row>
    <row r="69">
      <c r="A69" s="111" t="str">
        <f>IF(B69="","",VLOOKUP(B69,'Mitglieder BBU'!A:K,6,0))</f>
        <v/>
      </c>
      <c r="B69" s="88"/>
      <c r="C69" s="112"/>
      <c r="D69" s="112"/>
      <c r="E69" s="112"/>
      <c r="F69" s="112"/>
      <c r="G69" s="112"/>
      <c r="H69" s="112"/>
      <c r="I69" s="113">
        <f t="shared" si="1"/>
        <v>0</v>
      </c>
    </row>
    <row r="70">
      <c r="A70" s="111" t="str">
        <f>IF(B70="","",VLOOKUP(B70,'Mitglieder BBU'!A:K,6,0))</f>
        <v/>
      </c>
      <c r="B70" s="88"/>
      <c r="C70" s="112"/>
      <c r="D70" s="112"/>
      <c r="E70" s="112"/>
      <c r="F70" s="112"/>
      <c r="G70" s="112"/>
      <c r="H70" s="112"/>
      <c r="I70" s="113">
        <f t="shared" si="1"/>
        <v>0</v>
      </c>
    </row>
    <row r="71">
      <c r="A71" s="111" t="str">
        <f>IF(B71="","",VLOOKUP(B71,'Mitglieder BBU'!A:K,6,0))</f>
        <v/>
      </c>
      <c r="B71" s="88"/>
      <c r="C71" s="112"/>
      <c r="D71" s="112"/>
      <c r="E71" s="112"/>
      <c r="F71" s="112"/>
      <c r="G71" s="112"/>
      <c r="H71" s="112"/>
      <c r="I71" s="113">
        <f t="shared" si="1"/>
        <v>0</v>
      </c>
    </row>
    <row r="72">
      <c r="A72" s="111" t="str">
        <f>IF(B72="","",VLOOKUP(B72,'Mitglieder BBU'!A:K,6,0))</f>
        <v/>
      </c>
      <c r="B72" s="88"/>
      <c r="C72" s="112"/>
      <c r="D72" s="112"/>
      <c r="E72" s="112"/>
      <c r="F72" s="112"/>
      <c r="G72" s="112"/>
      <c r="H72" s="112"/>
      <c r="I72" s="113">
        <f t="shared" si="1"/>
        <v>0</v>
      </c>
    </row>
    <row r="73">
      <c r="A73" s="111" t="str">
        <f>IF(B73="","",VLOOKUP(B73,'Mitglieder BBU'!A:K,6,0))</f>
        <v/>
      </c>
      <c r="B73" s="88"/>
      <c r="C73" s="112"/>
      <c r="D73" s="112"/>
      <c r="E73" s="112"/>
      <c r="F73" s="112"/>
      <c r="G73" s="112"/>
      <c r="H73" s="112"/>
      <c r="I73" s="113">
        <f t="shared" si="1"/>
        <v>0</v>
      </c>
    </row>
    <row r="74">
      <c r="A74" s="111" t="str">
        <f>IF(B74="","",VLOOKUP(B74,'Mitglieder BBU'!A:K,6,0))</f>
        <v/>
      </c>
      <c r="B74" s="88"/>
      <c r="C74" s="112"/>
      <c r="D74" s="112"/>
      <c r="E74" s="112"/>
      <c r="F74" s="112"/>
      <c r="G74" s="112"/>
      <c r="H74" s="112"/>
      <c r="I74" s="113">
        <f t="shared" si="1"/>
        <v>0</v>
      </c>
    </row>
    <row r="75">
      <c r="A75" s="111" t="str">
        <f>IF(B75="","",VLOOKUP(B75,'Mitglieder BBU'!A:K,6,0))</f>
        <v/>
      </c>
      <c r="B75" s="88"/>
      <c r="C75" s="112"/>
      <c r="D75" s="112"/>
      <c r="E75" s="112"/>
      <c r="F75" s="112"/>
      <c r="G75" s="112"/>
      <c r="H75" s="112"/>
      <c r="I75" s="113">
        <f t="shared" si="1"/>
        <v>0</v>
      </c>
    </row>
    <row r="76">
      <c r="A76" s="111" t="str">
        <f>IF(B76="","",VLOOKUP(B76,'Mitglieder BBU'!A:K,6,0))</f>
        <v/>
      </c>
      <c r="B76" s="88"/>
      <c r="C76" s="112"/>
      <c r="D76" s="112"/>
      <c r="E76" s="112"/>
      <c r="F76" s="112"/>
      <c r="G76" s="112"/>
      <c r="H76" s="112"/>
      <c r="I76" s="113">
        <f t="shared" si="1"/>
        <v>0</v>
      </c>
    </row>
    <row r="77">
      <c r="A77" s="111" t="str">
        <f>IF(B77="","",VLOOKUP(B77,'Mitglieder BBU'!A:K,6,0))</f>
        <v/>
      </c>
      <c r="B77" s="88"/>
      <c r="C77" s="112"/>
      <c r="D77" s="112"/>
      <c r="E77" s="112"/>
      <c r="F77" s="112"/>
      <c r="G77" s="112"/>
      <c r="H77" s="112"/>
      <c r="I77" s="113">
        <f t="shared" si="1"/>
        <v>0</v>
      </c>
    </row>
    <row r="78">
      <c r="A78" s="111" t="str">
        <f>IF(B78="","",VLOOKUP(B78,'Mitglieder BBU'!A:K,6,0))</f>
        <v/>
      </c>
      <c r="B78" s="88"/>
      <c r="C78" s="112"/>
      <c r="D78" s="112"/>
      <c r="E78" s="112"/>
      <c r="F78" s="112"/>
      <c r="G78" s="112"/>
      <c r="H78" s="112"/>
      <c r="I78" s="113">
        <f t="shared" si="1"/>
        <v>0</v>
      </c>
    </row>
    <row r="79">
      <c r="A79" s="111" t="str">
        <f>IF(B79="","",VLOOKUP(B79,'Mitglieder BBU'!A:K,6,0))</f>
        <v/>
      </c>
      <c r="B79" s="88"/>
      <c r="C79" s="112"/>
      <c r="D79" s="112"/>
      <c r="E79" s="112"/>
      <c r="F79" s="112"/>
      <c r="G79" s="112"/>
      <c r="H79" s="112"/>
      <c r="I79" s="113">
        <f t="shared" si="1"/>
        <v>0</v>
      </c>
    </row>
    <row r="80">
      <c r="A80" s="111" t="str">
        <f>IF(B80="","",VLOOKUP(B80,'Mitglieder BBU'!A:K,6,0))</f>
        <v/>
      </c>
      <c r="B80" s="88"/>
      <c r="C80" s="112"/>
      <c r="D80" s="112"/>
      <c r="E80" s="112"/>
      <c r="F80" s="112"/>
      <c r="G80" s="112"/>
      <c r="H80" s="112"/>
      <c r="I80" s="113">
        <f t="shared" si="1"/>
        <v>0</v>
      </c>
    </row>
    <row r="81">
      <c r="A81" s="111" t="str">
        <f>IF(B81="","",VLOOKUP(B81,'Mitglieder BBU'!A:K,6,0))</f>
        <v/>
      </c>
      <c r="B81" s="88"/>
      <c r="C81" s="112"/>
      <c r="D81" s="112"/>
      <c r="E81" s="112"/>
      <c r="F81" s="112"/>
      <c r="G81" s="112"/>
      <c r="H81" s="112"/>
      <c r="I81" s="113">
        <f t="shared" si="1"/>
        <v>0</v>
      </c>
    </row>
    <row r="82">
      <c r="A82" s="111" t="str">
        <f>IF(B82="","",VLOOKUP(B82,'Mitglieder BBU'!A:K,6,0))</f>
        <v/>
      </c>
      <c r="B82" s="88"/>
      <c r="C82" s="112"/>
      <c r="D82" s="112"/>
      <c r="E82" s="112"/>
      <c r="F82" s="112"/>
      <c r="G82" s="112"/>
      <c r="H82" s="112"/>
      <c r="I82" s="113">
        <f t="shared" si="1"/>
        <v>0</v>
      </c>
    </row>
    <row r="83">
      <c r="A83" s="111" t="str">
        <f>IF(B83="","",VLOOKUP(B83,'Mitglieder BBU'!A:K,6,0))</f>
        <v/>
      </c>
      <c r="B83" s="88"/>
      <c r="C83" s="112"/>
      <c r="D83" s="112"/>
      <c r="E83" s="112"/>
      <c r="F83" s="112"/>
      <c r="G83" s="112"/>
      <c r="H83" s="112"/>
      <c r="I83" s="113">
        <f t="shared" si="1"/>
        <v>0</v>
      </c>
    </row>
    <row r="84">
      <c r="A84" s="111" t="str">
        <f>IF(B84="","",VLOOKUP(B84,'Mitglieder BBU'!A:K,6,0))</f>
        <v/>
      </c>
      <c r="B84" s="88"/>
      <c r="C84" s="112"/>
      <c r="D84" s="112"/>
      <c r="E84" s="112"/>
      <c r="F84" s="112"/>
      <c r="G84" s="112"/>
      <c r="H84" s="112"/>
      <c r="I84" s="113">
        <f t="shared" si="1"/>
        <v>0</v>
      </c>
    </row>
    <row r="85">
      <c r="A85" s="111" t="str">
        <f>IF(B85="","",VLOOKUP(B85,'Mitglieder BBU'!A:K,6,0))</f>
        <v/>
      </c>
      <c r="B85" s="88"/>
      <c r="C85" s="112"/>
      <c r="D85" s="112"/>
      <c r="E85" s="112"/>
      <c r="F85" s="112"/>
      <c r="G85" s="112"/>
      <c r="H85" s="112"/>
      <c r="I85" s="113">
        <f t="shared" si="1"/>
        <v>0</v>
      </c>
    </row>
    <row r="86">
      <c r="A86" s="111" t="str">
        <f>IF(B86="","",VLOOKUP(B86,'Mitglieder BBU'!A:K,6,0))</f>
        <v/>
      </c>
      <c r="B86" s="88"/>
      <c r="C86" s="112"/>
      <c r="D86" s="112"/>
      <c r="E86" s="112"/>
      <c r="F86" s="112"/>
      <c r="G86" s="112"/>
      <c r="H86" s="112"/>
      <c r="I86" s="113">
        <f t="shared" si="1"/>
        <v>0</v>
      </c>
    </row>
    <row r="87">
      <c r="A87" s="111" t="str">
        <f>IF(B87="","",VLOOKUP(B87,'Mitglieder BBU'!A:K,6,0))</f>
        <v/>
      </c>
      <c r="B87" s="88"/>
      <c r="C87" s="112"/>
      <c r="D87" s="112"/>
      <c r="E87" s="112"/>
      <c r="F87" s="112"/>
      <c r="G87" s="112"/>
      <c r="H87" s="112"/>
      <c r="I87" s="113">
        <f t="shared" si="1"/>
        <v>0</v>
      </c>
    </row>
    <row r="88">
      <c r="A88" s="111" t="str">
        <f>IF(B88="","",VLOOKUP(B88,'Mitglieder BBU'!A:K,6,0))</f>
        <v/>
      </c>
      <c r="B88" s="88"/>
      <c r="C88" s="112"/>
      <c r="D88" s="112"/>
      <c r="E88" s="112"/>
      <c r="F88" s="112"/>
      <c r="G88" s="112"/>
      <c r="H88" s="112"/>
      <c r="I88" s="113">
        <f t="shared" si="1"/>
        <v>0</v>
      </c>
    </row>
    <row r="89">
      <c r="A89" s="111" t="str">
        <f>IF(B89="","",VLOOKUP(B89,'Mitglieder BBU'!A:K,6,0))</f>
        <v/>
      </c>
      <c r="B89" s="88"/>
      <c r="C89" s="112"/>
      <c r="D89" s="112"/>
      <c r="E89" s="112"/>
      <c r="F89" s="112"/>
      <c r="G89" s="112"/>
      <c r="H89" s="112"/>
      <c r="I89" s="113">
        <f t="shared" si="1"/>
        <v>0</v>
      </c>
    </row>
    <row r="90">
      <c r="A90" s="111" t="str">
        <f>IF(B90="","",VLOOKUP(B90,'Mitglieder BBU'!A:K,6,0))</f>
        <v/>
      </c>
      <c r="B90" s="88"/>
      <c r="C90" s="112"/>
      <c r="D90" s="112"/>
      <c r="E90" s="112"/>
      <c r="F90" s="112"/>
      <c r="G90" s="112"/>
      <c r="H90" s="112"/>
      <c r="I90" s="113">
        <f t="shared" si="1"/>
        <v>0</v>
      </c>
    </row>
    <row r="91">
      <c r="A91" s="111" t="str">
        <f>IF(B91="","",VLOOKUP(B91,'Mitglieder BBU'!A:K,6,0))</f>
        <v/>
      </c>
      <c r="B91" s="88"/>
      <c r="C91" s="112"/>
      <c r="D91" s="112"/>
      <c r="E91" s="112"/>
      <c r="F91" s="112"/>
      <c r="G91" s="112"/>
      <c r="H91" s="112"/>
      <c r="I91" s="113">
        <f t="shared" si="1"/>
        <v>0</v>
      </c>
    </row>
    <row r="92">
      <c r="A92" s="111" t="str">
        <f>IF(B92="","",VLOOKUP(B92,'Mitglieder BBU'!A:K,6,0))</f>
        <v/>
      </c>
      <c r="B92" s="88"/>
      <c r="C92" s="112"/>
      <c r="D92" s="112"/>
      <c r="E92" s="112"/>
      <c r="F92" s="112"/>
      <c r="G92" s="112"/>
      <c r="H92" s="112"/>
      <c r="I92" s="113">
        <f t="shared" si="1"/>
        <v>0</v>
      </c>
    </row>
    <row r="93">
      <c r="A93" s="111" t="str">
        <f>IF(B93="","",VLOOKUP(B93,'Mitglieder BBU'!A:K,6,0))</f>
        <v/>
      </c>
      <c r="B93" s="88"/>
      <c r="C93" s="112"/>
      <c r="D93" s="112"/>
      <c r="E93" s="112"/>
      <c r="F93" s="112"/>
      <c r="G93" s="112"/>
      <c r="H93" s="112"/>
      <c r="I93" s="113">
        <f t="shared" si="1"/>
        <v>0</v>
      </c>
    </row>
    <row r="94">
      <c r="A94" s="111" t="str">
        <f>IF(B94="","",VLOOKUP(B94,'Mitglieder BBU'!A:K,6,0))</f>
        <v/>
      </c>
      <c r="B94" s="88"/>
      <c r="C94" s="112"/>
      <c r="D94" s="112"/>
      <c r="E94" s="112"/>
      <c r="F94" s="112"/>
      <c r="G94" s="112"/>
      <c r="H94" s="112"/>
      <c r="I94" s="113">
        <f t="shared" si="1"/>
        <v>0</v>
      </c>
    </row>
    <row r="95">
      <c r="A95" s="111" t="str">
        <f>IF(B95="","",VLOOKUP(B95,'Mitglieder BBU'!A:K,6,0))</f>
        <v/>
      </c>
      <c r="B95" s="88"/>
      <c r="C95" s="112"/>
      <c r="D95" s="112"/>
      <c r="E95" s="112"/>
      <c r="F95" s="112"/>
      <c r="G95" s="112"/>
      <c r="H95" s="112"/>
      <c r="I95" s="113">
        <f t="shared" si="1"/>
        <v>0</v>
      </c>
    </row>
    <row r="96">
      <c r="A96" s="111" t="str">
        <f>IF(B96="","",VLOOKUP(B96,'Mitglieder BBU'!A:K,6,0))</f>
        <v/>
      </c>
      <c r="B96" s="88"/>
      <c r="C96" s="112"/>
      <c r="D96" s="112"/>
      <c r="E96" s="112"/>
      <c r="F96" s="112"/>
      <c r="G96" s="112"/>
      <c r="H96" s="112"/>
      <c r="I96" s="113">
        <f t="shared" si="1"/>
        <v>0</v>
      </c>
    </row>
    <row r="97">
      <c r="A97" s="111" t="str">
        <f>IF(B97="","",VLOOKUP(B97,'Mitglieder BBU'!A:K,6,0))</f>
        <v/>
      </c>
      <c r="B97" s="88"/>
      <c r="C97" s="112"/>
      <c r="D97" s="112"/>
      <c r="E97" s="112"/>
      <c r="F97" s="112"/>
      <c r="G97" s="112"/>
      <c r="H97" s="112"/>
      <c r="I97" s="113">
        <f t="shared" si="1"/>
        <v>0</v>
      </c>
    </row>
    <row r="98">
      <c r="A98" s="111" t="str">
        <f>IF(B98="","",VLOOKUP(B98,'Mitglieder BBU'!A:K,6,0))</f>
        <v/>
      </c>
      <c r="B98" s="88"/>
      <c r="C98" s="112"/>
      <c r="D98" s="112"/>
      <c r="E98" s="112"/>
      <c r="F98" s="112"/>
      <c r="G98" s="112"/>
      <c r="H98" s="112"/>
      <c r="I98" s="113">
        <f t="shared" si="1"/>
        <v>0</v>
      </c>
    </row>
    <row r="99">
      <c r="A99" s="111" t="str">
        <f>IF(B99="","",VLOOKUP(B99,'Mitglieder BBU'!A:K,6,0))</f>
        <v/>
      </c>
      <c r="B99" s="88"/>
      <c r="C99" s="112"/>
      <c r="D99" s="112"/>
      <c r="E99" s="112"/>
      <c r="F99" s="112"/>
      <c r="G99" s="112"/>
      <c r="H99" s="112"/>
      <c r="I99" s="113">
        <f t="shared" si="1"/>
        <v>0</v>
      </c>
    </row>
    <row r="100">
      <c r="A100" s="111" t="str">
        <f>IF(B100="","",VLOOKUP(B100,'Mitglieder BBU'!A:K,6,0))</f>
        <v/>
      </c>
      <c r="B100" s="88"/>
      <c r="C100" s="112"/>
      <c r="D100" s="112"/>
      <c r="E100" s="112"/>
      <c r="F100" s="112"/>
      <c r="G100" s="112"/>
      <c r="H100" s="112"/>
      <c r="I100" s="113">
        <f t="shared" si="1"/>
        <v>0</v>
      </c>
    </row>
    <row r="101">
      <c r="A101" s="111" t="str">
        <f>IF(B101="","",VLOOKUP(B101,'Mitglieder BBU'!A:K,6,0))</f>
        <v/>
      </c>
      <c r="B101" s="88"/>
      <c r="C101" s="112"/>
      <c r="D101" s="112"/>
      <c r="E101" s="112"/>
      <c r="F101" s="112"/>
      <c r="G101" s="112"/>
      <c r="H101" s="112"/>
      <c r="I101" s="113">
        <f t="shared" si="1"/>
        <v>0</v>
      </c>
    </row>
    <row r="102">
      <c r="A102" s="111" t="str">
        <f>IF(B102="","",VLOOKUP(B102,'Mitglieder BBU'!A:K,6,0))</f>
        <v/>
      </c>
      <c r="B102" s="88"/>
      <c r="C102" s="112"/>
      <c r="D102" s="112"/>
      <c r="E102" s="112"/>
      <c r="F102" s="112"/>
      <c r="G102" s="112"/>
      <c r="H102" s="112"/>
      <c r="I102" s="113">
        <f t="shared" si="1"/>
        <v>0</v>
      </c>
    </row>
    <row r="103">
      <c r="A103" s="111" t="str">
        <f>IF(B103="","",VLOOKUP(B103,'Mitglieder BBU'!A:K,6,0))</f>
        <v/>
      </c>
      <c r="B103" s="88"/>
      <c r="C103" s="112"/>
      <c r="D103" s="112"/>
      <c r="E103" s="112"/>
      <c r="F103" s="112"/>
      <c r="G103" s="112"/>
      <c r="H103" s="112"/>
      <c r="I103" s="113">
        <f t="shared" si="1"/>
        <v>0</v>
      </c>
    </row>
    <row r="104">
      <c r="A104" s="111" t="str">
        <f>IF(B104="","",VLOOKUP(B104,'Mitglieder BBU'!A:K,6,0))</f>
        <v/>
      </c>
      <c r="B104" s="88"/>
      <c r="C104" s="112"/>
      <c r="D104" s="112"/>
      <c r="E104" s="112"/>
      <c r="F104" s="112"/>
      <c r="G104" s="112"/>
      <c r="H104" s="112"/>
      <c r="I104" s="113">
        <f t="shared" si="1"/>
        <v>0</v>
      </c>
    </row>
    <row r="105">
      <c r="A105" s="111" t="str">
        <f>IF(B105="","",VLOOKUP(B105,'Mitglieder BBU'!A:K,6,0))</f>
        <v/>
      </c>
      <c r="B105" s="88"/>
      <c r="C105" s="112"/>
      <c r="D105" s="112"/>
      <c r="E105" s="112"/>
      <c r="F105" s="112"/>
      <c r="G105" s="112"/>
      <c r="H105" s="112"/>
      <c r="I105" s="113">
        <f t="shared" si="1"/>
        <v>0</v>
      </c>
    </row>
    <row r="106">
      <c r="A106" s="111" t="str">
        <f>IF(B106="","",VLOOKUP(B106,'Mitglieder BBU'!A:K,6,0))</f>
        <v/>
      </c>
      <c r="B106" s="88"/>
      <c r="C106" s="112"/>
      <c r="D106" s="112"/>
      <c r="E106" s="112"/>
      <c r="F106" s="112"/>
      <c r="G106" s="112"/>
      <c r="H106" s="112"/>
      <c r="I106" s="113">
        <f t="shared" si="1"/>
        <v>0</v>
      </c>
    </row>
    <row r="107">
      <c r="A107" s="111" t="str">
        <f>IF(B107="","",VLOOKUP(B107,'Mitglieder BBU'!A:K,6,0))</f>
        <v/>
      </c>
      <c r="B107" s="88"/>
      <c r="C107" s="112"/>
      <c r="D107" s="112"/>
      <c r="E107" s="112"/>
      <c r="F107" s="112"/>
      <c r="G107" s="112"/>
      <c r="H107" s="112"/>
      <c r="I107" s="113">
        <f t="shared" si="1"/>
        <v>0</v>
      </c>
    </row>
    <row r="108">
      <c r="A108" s="111" t="str">
        <f>IF(B108="","",VLOOKUP(B108,'Mitglieder BBU'!A:K,6,0))</f>
        <v/>
      </c>
      <c r="B108" s="88"/>
      <c r="C108" s="112"/>
      <c r="D108" s="112"/>
      <c r="E108" s="112"/>
      <c r="F108" s="112"/>
      <c r="G108" s="112"/>
      <c r="H108" s="112"/>
      <c r="I108" s="113">
        <f t="shared" si="1"/>
        <v>0</v>
      </c>
    </row>
    <row r="109">
      <c r="A109" s="111" t="str">
        <f>IF(B109="","",VLOOKUP(B109,'Mitglieder BBU'!A:K,6,0))</f>
        <v/>
      </c>
      <c r="B109" s="88"/>
      <c r="C109" s="112"/>
      <c r="D109" s="112"/>
      <c r="E109" s="112"/>
      <c r="F109" s="112"/>
      <c r="G109" s="112"/>
      <c r="H109" s="112"/>
      <c r="I109" s="113">
        <f t="shared" si="1"/>
        <v>0</v>
      </c>
    </row>
    <row r="110">
      <c r="A110" s="111" t="str">
        <f>IF(B110="","",VLOOKUP(B110,'Mitglieder BBU'!A:K,6,0))</f>
        <v/>
      </c>
      <c r="B110" s="88"/>
      <c r="C110" s="112"/>
      <c r="D110" s="112"/>
      <c r="E110" s="112"/>
      <c r="F110" s="112"/>
      <c r="G110" s="112"/>
      <c r="H110" s="112"/>
      <c r="I110" s="113">
        <f t="shared" si="1"/>
        <v>0</v>
      </c>
    </row>
    <row r="111">
      <c r="A111" s="111" t="str">
        <f>IF(B111="","",VLOOKUP(B111,'Mitglieder BBU'!A:K,6,0))</f>
        <v/>
      </c>
      <c r="B111" s="88"/>
      <c r="C111" s="112"/>
      <c r="D111" s="112"/>
      <c r="E111" s="112"/>
      <c r="F111" s="112"/>
      <c r="G111" s="112"/>
      <c r="H111" s="112"/>
      <c r="I111" s="113">
        <f t="shared" si="1"/>
        <v>0</v>
      </c>
    </row>
    <row r="112">
      <c r="A112" s="111" t="str">
        <f>IF(B112="","",VLOOKUP(B112,'Mitglieder BBU'!A:K,6,0))</f>
        <v/>
      </c>
      <c r="B112" s="88"/>
      <c r="C112" s="112"/>
      <c r="D112" s="112"/>
      <c r="E112" s="112"/>
      <c r="F112" s="112"/>
      <c r="G112" s="112"/>
      <c r="H112" s="112"/>
      <c r="I112" s="113">
        <f t="shared" si="1"/>
        <v>0</v>
      </c>
    </row>
    <row r="113">
      <c r="A113" s="111" t="str">
        <f>IF(B113="","",VLOOKUP(B113,'Mitglieder BBU'!A:K,6,0))</f>
        <v/>
      </c>
      <c r="B113" s="88"/>
      <c r="C113" s="112"/>
      <c r="D113" s="112"/>
      <c r="E113" s="112"/>
      <c r="F113" s="112"/>
      <c r="G113" s="112"/>
      <c r="H113" s="112"/>
      <c r="I113" s="113">
        <f t="shared" si="1"/>
        <v>0</v>
      </c>
    </row>
    <row r="114">
      <c r="A114" s="111" t="str">
        <f>IF(B114="","",VLOOKUP(B114,'Mitglieder BBU'!A:K,6,0))</f>
        <v/>
      </c>
      <c r="B114" s="88"/>
      <c r="C114" s="112"/>
      <c r="D114" s="112"/>
      <c r="E114" s="112"/>
      <c r="F114" s="112"/>
      <c r="G114" s="112"/>
      <c r="H114" s="112"/>
      <c r="I114" s="113">
        <f t="shared" si="1"/>
        <v>0</v>
      </c>
    </row>
    <row r="115">
      <c r="A115" s="111" t="str">
        <f>IF(B115="","",VLOOKUP(B115,'Mitglieder BBU'!A:K,6,0))</f>
        <v/>
      </c>
      <c r="B115" s="88"/>
      <c r="C115" s="112"/>
      <c r="D115" s="112"/>
      <c r="E115" s="112"/>
      <c r="F115" s="112"/>
      <c r="G115" s="112"/>
      <c r="H115" s="112"/>
      <c r="I115" s="113">
        <f t="shared" si="1"/>
        <v>0</v>
      </c>
    </row>
    <row r="116">
      <c r="A116" s="111" t="str">
        <f>IF(B116="","",VLOOKUP(B116,'Mitglieder BBU'!A:K,6,0))</f>
        <v/>
      </c>
      <c r="B116" s="88"/>
      <c r="C116" s="112"/>
      <c r="D116" s="112"/>
      <c r="E116" s="112"/>
      <c r="F116" s="112"/>
      <c r="G116" s="112"/>
      <c r="H116" s="112"/>
      <c r="I116" s="113">
        <f t="shared" si="1"/>
        <v>0</v>
      </c>
    </row>
    <row r="117">
      <c r="A117" s="111" t="str">
        <f>IF(B117="","",VLOOKUP(B117,'Mitglieder BBU'!A:K,6,0))</f>
        <v/>
      </c>
      <c r="B117" s="88"/>
      <c r="C117" s="112"/>
      <c r="D117" s="112"/>
      <c r="E117" s="112"/>
      <c r="F117" s="112"/>
      <c r="G117" s="112"/>
      <c r="H117" s="112"/>
      <c r="I117" s="113">
        <f t="shared" si="1"/>
        <v>0</v>
      </c>
    </row>
    <row r="118">
      <c r="A118" s="111" t="str">
        <f>IF(B118="","",VLOOKUP(B118,'Mitglieder BBU'!A:K,6,0))</f>
        <v/>
      </c>
      <c r="B118" s="88"/>
      <c r="C118" s="112"/>
      <c r="D118" s="112"/>
      <c r="E118" s="112"/>
      <c r="F118" s="112"/>
      <c r="G118" s="112"/>
      <c r="H118" s="112"/>
      <c r="I118" s="113">
        <f t="shared" si="1"/>
        <v>0</v>
      </c>
    </row>
    <row r="119">
      <c r="A119" s="111" t="str">
        <f>IF(B119="","",VLOOKUP(B119,'Mitglieder BBU'!A:K,6,0))</f>
        <v/>
      </c>
      <c r="B119" s="88"/>
      <c r="C119" s="112"/>
      <c r="D119" s="112"/>
      <c r="E119" s="112"/>
      <c r="F119" s="112"/>
      <c r="G119" s="112"/>
      <c r="H119" s="112"/>
      <c r="I119" s="113">
        <f t="shared" si="1"/>
        <v>0</v>
      </c>
    </row>
    <row r="120">
      <c r="A120" s="111" t="str">
        <f>IF(B120="","",VLOOKUP(B120,'Mitglieder BBU'!A:K,6,0))</f>
        <v/>
      </c>
      <c r="B120" s="88"/>
      <c r="C120" s="112"/>
      <c r="D120" s="112"/>
      <c r="E120" s="112"/>
      <c r="F120" s="112"/>
      <c r="G120" s="112"/>
      <c r="H120" s="112"/>
      <c r="I120" s="113">
        <f t="shared" si="1"/>
        <v>0</v>
      </c>
    </row>
    <row r="121">
      <c r="A121" s="111" t="str">
        <f>IF(B121="","",VLOOKUP(B121,'Mitglieder BBU'!A:K,6,0))</f>
        <v/>
      </c>
      <c r="B121" s="88"/>
      <c r="C121" s="112"/>
      <c r="D121" s="112"/>
      <c r="E121" s="112"/>
      <c r="F121" s="112"/>
      <c r="G121" s="112"/>
      <c r="H121" s="112"/>
      <c r="I121" s="113">
        <f t="shared" si="1"/>
        <v>0</v>
      </c>
    </row>
    <row r="122">
      <c r="A122" s="111" t="str">
        <f>IF(B122="","",VLOOKUP(B122,'Mitglieder BBU'!A:K,6,0))</f>
        <v/>
      </c>
      <c r="B122" s="88"/>
      <c r="C122" s="112"/>
      <c r="D122" s="112"/>
      <c r="E122" s="112"/>
      <c r="F122" s="112"/>
      <c r="G122" s="112"/>
      <c r="H122" s="112"/>
      <c r="I122" s="113">
        <f t="shared" si="1"/>
        <v>0</v>
      </c>
    </row>
    <row r="123">
      <c r="A123" s="111" t="str">
        <f>IF(B123="","",VLOOKUP(B123,'Mitglieder BBU'!A:K,6,0))</f>
        <v/>
      </c>
      <c r="B123" s="88"/>
      <c r="C123" s="112"/>
      <c r="D123" s="112"/>
      <c r="E123" s="112"/>
      <c r="F123" s="112"/>
      <c r="G123" s="112"/>
      <c r="H123" s="112"/>
      <c r="I123" s="113">
        <f t="shared" si="1"/>
        <v>0</v>
      </c>
    </row>
    <row r="124">
      <c r="A124" s="111" t="str">
        <f>IF(B124="","",VLOOKUP(B124,'Mitglieder BBU'!A:K,6,0))</f>
        <v/>
      </c>
      <c r="B124" s="88"/>
      <c r="C124" s="112"/>
      <c r="D124" s="112"/>
      <c r="E124" s="112"/>
      <c r="F124" s="112"/>
      <c r="G124" s="112"/>
      <c r="H124" s="112"/>
      <c r="I124" s="113">
        <f t="shared" si="1"/>
        <v>0</v>
      </c>
    </row>
    <row r="125">
      <c r="A125" s="111" t="str">
        <f>IF(B125="","",VLOOKUP(B125,'Mitglieder BBU'!A:K,6,0))</f>
        <v/>
      </c>
      <c r="B125" s="88"/>
      <c r="C125" s="112"/>
      <c r="D125" s="112"/>
      <c r="E125" s="112"/>
      <c r="F125" s="112"/>
      <c r="G125" s="112"/>
      <c r="H125" s="112"/>
      <c r="I125" s="113">
        <f t="shared" si="1"/>
        <v>0</v>
      </c>
    </row>
    <row r="126">
      <c r="A126" s="111" t="str">
        <f>IF(B126="","",VLOOKUP(B126,'Mitglieder BBU'!A:K,6,0))</f>
        <v/>
      </c>
      <c r="B126" s="115"/>
      <c r="C126" s="112"/>
      <c r="D126" s="112"/>
      <c r="E126" s="112"/>
      <c r="F126" s="112"/>
      <c r="G126" s="112"/>
      <c r="H126" s="112"/>
      <c r="I126" s="113">
        <f t="shared" si="1"/>
        <v>0</v>
      </c>
    </row>
    <row r="127">
      <c r="A127" s="111" t="str">
        <f>IF(B127="","",VLOOKUP(B127,'Mitglieder BBU'!A:K,6,0))</f>
        <v/>
      </c>
      <c r="B127" s="115"/>
      <c r="C127" s="112"/>
      <c r="D127" s="112"/>
      <c r="E127" s="112"/>
      <c r="F127" s="112"/>
      <c r="G127" s="112"/>
      <c r="H127" s="112"/>
      <c r="I127" s="113">
        <f t="shared" si="1"/>
        <v>0</v>
      </c>
    </row>
    <row r="128">
      <c r="A128" s="111" t="str">
        <f>IF(B128="","",VLOOKUP(B128,'Mitglieder BBU'!A:K,6,0))</f>
        <v/>
      </c>
      <c r="B128" s="115"/>
      <c r="C128" s="112"/>
      <c r="D128" s="112"/>
      <c r="E128" s="112"/>
      <c r="F128" s="112"/>
      <c r="G128" s="112"/>
      <c r="H128" s="112"/>
      <c r="I128" s="113">
        <f t="shared" si="1"/>
        <v>0</v>
      </c>
    </row>
    <row r="129">
      <c r="A129" s="111" t="str">
        <f>IF(B129="","",VLOOKUP(B129,'Mitglieder BBU'!A:K,6,0))</f>
        <v/>
      </c>
      <c r="B129" s="115"/>
      <c r="C129" s="112"/>
      <c r="D129" s="112"/>
      <c r="E129" s="112"/>
      <c r="F129" s="112"/>
      <c r="G129" s="112"/>
      <c r="H129" s="112"/>
      <c r="I129" s="113">
        <f t="shared" si="1"/>
        <v>0</v>
      </c>
    </row>
    <row r="130">
      <c r="A130" s="111" t="str">
        <f>IF(B130="","",VLOOKUP(B130,'Mitglieder BBU'!A:K,6,0))</f>
        <v/>
      </c>
      <c r="B130" s="115"/>
      <c r="C130" s="112"/>
      <c r="D130" s="112"/>
      <c r="E130" s="112"/>
      <c r="F130" s="112"/>
      <c r="G130" s="112"/>
      <c r="H130" s="112"/>
      <c r="I130" s="113">
        <f t="shared" si="1"/>
        <v>0</v>
      </c>
    </row>
    <row r="131">
      <c r="A131" s="111" t="str">
        <f>IF(B131="","",VLOOKUP(B131,'Mitglieder BBU'!A:K,6,0))</f>
        <v/>
      </c>
      <c r="B131" s="115"/>
      <c r="C131" s="112"/>
      <c r="D131" s="112"/>
      <c r="E131" s="112"/>
      <c r="F131" s="112"/>
      <c r="G131" s="112"/>
      <c r="H131" s="112"/>
      <c r="I131" s="113">
        <f t="shared" si="1"/>
        <v>0</v>
      </c>
    </row>
    <row r="132">
      <c r="A132" s="111" t="str">
        <f>IF(B132="","",VLOOKUP(B132,'Mitglieder BBU'!A:K,6,0))</f>
        <v/>
      </c>
      <c r="B132" s="115"/>
      <c r="C132" s="112"/>
      <c r="D132" s="112"/>
      <c r="E132" s="112"/>
      <c r="F132" s="112"/>
      <c r="G132" s="112"/>
      <c r="H132" s="112"/>
      <c r="I132" s="113">
        <f t="shared" si="1"/>
        <v>0</v>
      </c>
    </row>
    <row r="133">
      <c r="A133" s="111" t="str">
        <f>IF(B133="","",VLOOKUP(B133,'Mitglieder BBU'!A:K,6,0))</f>
        <v/>
      </c>
      <c r="B133" s="115"/>
      <c r="C133" s="112"/>
      <c r="D133" s="112"/>
      <c r="E133" s="112"/>
      <c r="F133" s="112"/>
      <c r="G133" s="112"/>
      <c r="H133" s="112"/>
      <c r="I133" s="113">
        <f t="shared" si="1"/>
        <v>0</v>
      </c>
    </row>
    <row r="134">
      <c r="A134" s="111" t="str">
        <f>IF(B134="","",VLOOKUP(B134,'Mitglieder BBU'!A:K,6,0))</f>
        <v/>
      </c>
      <c r="B134" s="115"/>
      <c r="C134" s="112"/>
      <c r="D134" s="112"/>
      <c r="E134" s="112"/>
      <c r="F134" s="112"/>
      <c r="G134" s="112"/>
      <c r="H134" s="112"/>
      <c r="I134" s="113">
        <f t="shared" si="1"/>
        <v>0</v>
      </c>
    </row>
    <row r="135">
      <c r="A135" s="111" t="str">
        <f>IF(B135="","",VLOOKUP(B135,'Mitglieder BBU'!A:K,6,0))</f>
        <v/>
      </c>
      <c r="B135" s="115"/>
      <c r="C135" s="112"/>
      <c r="D135" s="112"/>
      <c r="E135" s="112"/>
      <c r="F135" s="112"/>
      <c r="G135" s="112"/>
      <c r="H135" s="112"/>
      <c r="I135" s="113">
        <f t="shared" si="1"/>
        <v>0</v>
      </c>
    </row>
    <row r="136">
      <c r="A136" s="111" t="str">
        <f>IF(B136="","",VLOOKUP(B136,'Mitglieder BBU'!A:K,6,0))</f>
        <v/>
      </c>
      <c r="B136" s="115"/>
      <c r="C136" s="112"/>
      <c r="D136" s="112"/>
      <c r="E136" s="112"/>
      <c r="F136" s="112"/>
      <c r="G136" s="112"/>
      <c r="H136" s="112"/>
      <c r="I136" s="113">
        <f t="shared" si="1"/>
        <v>0</v>
      </c>
    </row>
    <row r="137">
      <c r="A137" s="111" t="str">
        <f>IF(B137="","",VLOOKUP(B137,'Mitglieder BBU'!A:K,6,0))</f>
        <v/>
      </c>
      <c r="B137" s="115"/>
      <c r="C137" s="112"/>
      <c r="D137" s="112"/>
      <c r="E137" s="112"/>
      <c r="F137" s="112"/>
      <c r="G137" s="112"/>
      <c r="H137" s="112"/>
      <c r="I137" s="113">
        <f t="shared" si="1"/>
        <v>0</v>
      </c>
    </row>
    <row r="138">
      <c r="A138" s="111" t="str">
        <f>IF(B138="","",VLOOKUP(B138,'Mitglieder BBU'!A:K,6,0))</f>
        <v/>
      </c>
      <c r="B138" s="115"/>
      <c r="C138" s="112"/>
      <c r="D138" s="112"/>
      <c r="E138" s="112"/>
      <c r="F138" s="112"/>
      <c r="G138" s="112"/>
      <c r="H138" s="112"/>
      <c r="I138" s="113">
        <f t="shared" si="1"/>
        <v>0</v>
      </c>
    </row>
    <row r="139">
      <c r="A139" s="111" t="str">
        <f>IF(B139="","",VLOOKUP(B139,'Mitglieder BBU'!A:K,6,0))</f>
        <v/>
      </c>
      <c r="B139" s="115"/>
      <c r="C139" s="112"/>
      <c r="D139" s="112"/>
      <c r="E139" s="112"/>
      <c r="F139" s="112"/>
      <c r="G139" s="112"/>
      <c r="H139" s="112"/>
      <c r="I139" s="113">
        <f t="shared" si="1"/>
        <v>0</v>
      </c>
    </row>
    <row r="140">
      <c r="A140" s="111" t="str">
        <f>IF(B140="","",VLOOKUP(B140,'Mitglieder BBU'!A:K,6,0))</f>
        <v/>
      </c>
      <c r="B140" s="115"/>
      <c r="C140" s="112"/>
      <c r="D140" s="112"/>
      <c r="E140" s="112"/>
      <c r="F140" s="112"/>
      <c r="G140" s="112"/>
      <c r="H140" s="112"/>
      <c r="I140" s="113">
        <f t="shared" si="1"/>
        <v>0</v>
      </c>
    </row>
    <row r="141">
      <c r="A141" s="111" t="str">
        <f>IF(B141="","",VLOOKUP(B141,'Mitglieder BBU'!A:K,6,0))</f>
        <v/>
      </c>
      <c r="B141" s="115"/>
      <c r="C141" s="112"/>
      <c r="D141" s="112"/>
      <c r="E141" s="112"/>
      <c r="F141" s="112"/>
      <c r="G141" s="112"/>
      <c r="H141" s="112"/>
      <c r="I141" s="113">
        <f t="shared" si="1"/>
        <v>0</v>
      </c>
    </row>
    <row r="142">
      <c r="A142" s="111" t="str">
        <f>IF(B142="","",VLOOKUP(B142,'Mitglieder BBU'!A:K,6,0))</f>
        <v/>
      </c>
      <c r="B142" s="115"/>
      <c r="C142" s="112"/>
      <c r="D142" s="112"/>
      <c r="E142" s="112"/>
      <c r="F142" s="112"/>
      <c r="G142" s="112"/>
      <c r="H142" s="112"/>
      <c r="I142" s="113">
        <f t="shared" si="1"/>
        <v>0</v>
      </c>
    </row>
    <row r="143">
      <c r="A143" s="111" t="str">
        <f>IF(B143="","",VLOOKUP(B143,'Mitglieder BBU'!A:K,6,0))</f>
        <v/>
      </c>
      <c r="B143" s="115"/>
      <c r="C143" s="112"/>
      <c r="D143" s="112"/>
      <c r="E143" s="112"/>
      <c r="F143" s="112"/>
      <c r="G143" s="112"/>
      <c r="H143" s="112"/>
      <c r="I143" s="113">
        <f t="shared" si="1"/>
        <v>0</v>
      </c>
    </row>
    <row r="144">
      <c r="A144" s="111" t="str">
        <f>IF(B144="","",VLOOKUP(B144,'Mitglieder BBU'!A:K,6,0))</f>
        <v/>
      </c>
      <c r="B144" s="115"/>
      <c r="C144" s="112"/>
      <c r="D144" s="112"/>
      <c r="E144" s="112"/>
      <c r="F144" s="112"/>
      <c r="G144" s="112"/>
      <c r="H144" s="112"/>
      <c r="I144" s="113">
        <f t="shared" si="1"/>
        <v>0</v>
      </c>
    </row>
    <row r="145">
      <c r="A145" s="111" t="str">
        <f>IF(B145="","",VLOOKUP(B145,'Mitglieder BBU'!A:K,6,0))</f>
        <v/>
      </c>
      <c r="B145" s="115"/>
      <c r="C145" s="112"/>
      <c r="D145" s="112"/>
      <c r="E145" s="112"/>
      <c r="F145" s="112"/>
      <c r="G145" s="112"/>
      <c r="H145" s="112"/>
      <c r="I145" s="113">
        <f t="shared" si="1"/>
        <v>0</v>
      </c>
    </row>
    <row r="146">
      <c r="A146" s="111" t="str">
        <f>IF(B146="","",VLOOKUP(B146,'Mitglieder BBU'!A:K,6,0))</f>
        <v/>
      </c>
      <c r="B146" s="115"/>
      <c r="C146" s="112"/>
      <c r="D146" s="112"/>
      <c r="E146" s="112"/>
      <c r="F146" s="112"/>
      <c r="G146" s="112"/>
      <c r="H146" s="112"/>
      <c r="I146" s="113">
        <f t="shared" si="1"/>
        <v>0</v>
      </c>
    </row>
    <row r="147">
      <c r="A147" s="111" t="str">
        <f>IF(B147="","",VLOOKUP(B147,'Mitglieder BBU'!A:K,6,0))</f>
        <v/>
      </c>
      <c r="B147" s="115"/>
      <c r="C147" s="112"/>
      <c r="D147" s="112"/>
      <c r="E147" s="112"/>
      <c r="F147" s="112"/>
      <c r="G147" s="112"/>
      <c r="H147" s="112"/>
      <c r="I147" s="113">
        <f t="shared" si="1"/>
        <v>0</v>
      </c>
    </row>
    <row r="148">
      <c r="A148" s="111" t="str">
        <f>IF(B148="","",VLOOKUP(B148,'Mitglieder BBU'!A:K,6,0))</f>
        <v/>
      </c>
      <c r="B148" s="115"/>
      <c r="C148" s="112"/>
      <c r="D148" s="112"/>
      <c r="E148" s="112"/>
      <c r="F148" s="112"/>
      <c r="G148" s="112"/>
      <c r="H148" s="112"/>
      <c r="I148" s="113">
        <f t="shared" si="1"/>
        <v>0</v>
      </c>
    </row>
    <row r="149">
      <c r="A149" s="111" t="str">
        <f>IF(B149="","",VLOOKUP(B149,'Mitglieder BBU'!A:K,6,0))</f>
        <v/>
      </c>
      <c r="B149" s="115"/>
      <c r="C149" s="112"/>
      <c r="D149" s="112"/>
      <c r="E149" s="112"/>
      <c r="F149" s="112"/>
      <c r="G149" s="112"/>
      <c r="H149" s="112"/>
      <c r="I149" s="113">
        <f t="shared" si="1"/>
        <v>0</v>
      </c>
    </row>
    <row r="150">
      <c r="A150" s="111" t="str">
        <f>IF(B150="","",VLOOKUP(B150,'Mitglieder BBU'!A:K,6,0))</f>
        <v/>
      </c>
      <c r="B150" s="115"/>
      <c r="C150" s="112"/>
      <c r="D150" s="112"/>
      <c r="E150" s="112"/>
      <c r="F150" s="112"/>
      <c r="G150" s="112"/>
      <c r="H150" s="112"/>
      <c r="I150" s="113">
        <f t="shared" si="1"/>
        <v>0</v>
      </c>
    </row>
    <row r="151">
      <c r="A151" s="111" t="str">
        <f>IF(B151="","",VLOOKUP(B151,'Mitglieder BBU'!A:K,6,0))</f>
        <v/>
      </c>
      <c r="B151" s="115"/>
      <c r="C151" s="112"/>
      <c r="D151" s="112"/>
      <c r="E151" s="112"/>
      <c r="F151" s="112"/>
      <c r="G151" s="112"/>
      <c r="H151" s="112"/>
      <c r="I151" s="113">
        <f t="shared" si="1"/>
        <v>0</v>
      </c>
    </row>
    <row r="152">
      <c r="A152" s="111" t="str">
        <f>IF(B152="","",VLOOKUP(B152,'Mitglieder BBU'!A:K,6,0))</f>
        <v/>
      </c>
      <c r="B152" s="115"/>
      <c r="C152" s="112"/>
      <c r="D152" s="112"/>
      <c r="E152" s="112"/>
      <c r="F152" s="112"/>
      <c r="G152" s="112"/>
      <c r="H152" s="112"/>
      <c r="I152" s="113">
        <f t="shared" si="1"/>
        <v>0</v>
      </c>
    </row>
    <row r="153">
      <c r="A153" s="111" t="str">
        <f>IF(B153="","",VLOOKUP(B153,'Mitglieder BBU'!A:K,6,0))</f>
        <v/>
      </c>
      <c r="B153" s="115"/>
      <c r="C153" s="112"/>
      <c r="D153" s="112"/>
      <c r="E153" s="112"/>
      <c r="F153" s="112"/>
      <c r="G153" s="112"/>
      <c r="H153" s="112"/>
      <c r="I153" s="113">
        <f t="shared" si="1"/>
        <v>0</v>
      </c>
    </row>
    <row r="154">
      <c r="A154" s="111" t="str">
        <f>IF(B154="","",VLOOKUP(B154,'Mitglieder BBU'!A:K,6,0))</f>
        <v/>
      </c>
      <c r="B154" s="115"/>
      <c r="C154" s="112"/>
      <c r="D154" s="112"/>
      <c r="E154" s="112"/>
      <c r="F154" s="112"/>
      <c r="G154" s="112"/>
      <c r="H154" s="112"/>
      <c r="I154" s="113">
        <f t="shared" si="1"/>
        <v>0</v>
      </c>
    </row>
    <row r="155">
      <c r="A155" s="111" t="str">
        <f>IF(B155="","",VLOOKUP(B155,'Mitglieder BBU'!A:K,6,0))</f>
        <v/>
      </c>
      <c r="B155" s="115"/>
      <c r="C155" s="112"/>
      <c r="D155" s="112"/>
      <c r="E155" s="112"/>
      <c r="F155" s="112"/>
      <c r="G155" s="112"/>
      <c r="H155" s="112"/>
      <c r="I155" s="113">
        <f t="shared" si="1"/>
        <v>0</v>
      </c>
    </row>
    <row r="156">
      <c r="A156" s="111" t="str">
        <f>IF(B156="","",VLOOKUP(B156,'Mitglieder BBU'!A:K,6,0))</f>
        <v/>
      </c>
      <c r="B156" s="115"/>
      <c r="C156" s="112"/>
      <c r="D156" s="112"/>
      <c r="E156" s="112"/>
      <c r="F156" s="112"/>
      <c r="G156" s="112"/>
      <c r="H156" s="112"/>
      <c r="I156" s="113">
        <f t="shared" si="1"/>
        <v>0</v>
      </c>
    </row>
    <row r="157">
      <c r="A157" s="111" t="str">
        <f>IF(B157="","",VLOOKUP(B157,'Mitglieder BBU'!A:K,6,0))</f>
        <v/>
      </c>
      <c r="B157" s="115"/>
      <c r="C157" s="112"/>
      <c r="D157" s="112"/>
      <c r="E157" s="112"/>
      <c r="F157" s="112"/>
      <c r="G157" s="112"/>
      <c r="H157" s="112"/>
      <c r="I157" s="113">
        <f t="shared" si="1"/>
        <v>0</v>
      </c>
    </row>
    <row r="158">
      <c r="A158" s="111" t="str">
        <f>IF(B158="","",VLOOKUP(B158,'Mitglieder BBU'!A:K,6,0))</f>
        <v/>
      </c>
      <c r="B158" s="115"/>
      <c r="C158" s="112"/>
      <c r="D158" s="112"/>
      <c r="E158" s="112"/>
      <c r="F158" s="112"/>
      <c r="G158" s="112"/>
      <c r="H158" s="112"/>
      <c r="I158" s="113">
        <f t="shared" si="1"/>
        <v>0</v>
      </c>
    </row>
    <row r="159">
      <c r="A159" s="111" t="str">
        <f>IF(B159="","",VLOOKUP(B159,'Mitglieder BBU'!A:K,6,0))</f>
        <v/>
      </c>
      <c r="B159" s="115"/>
      <c r="C159" s="112"/>
      <c r="D159" s="112"/>
      <c r="E159" s="112"/>
      <c r="F159" s="112"/>
      <c r="G159" s="112"/>
      <c r="H159" s="112"/>
      <c r="I159" s="113">
        <f t="shared" si="1"/>
        <v>0</v>
      </c>
    </row>
    <row r="160">
      <c r="A160" s="111" t="str">
        <f>IF(B160="","",VLOOKUP(B160,'Mitglieder BBU'!A:K,6,0))</f>
        <v/>
      </c>
      <c r="B160" s="115"/>
      <c r="C160" s="112"/>
      <c r="D160" s="112"/>
      <c r="E160" s="112"/>
      <c r="F160" s="112"/>
      <c r="G160" s="112"/>
      <c r="H160" s="112"/>
      <c r="I160" s="113">
        <f t="shared" si="1"/>
        <v>0</v>
      </c>
    </row>
    <row r="161">
      <c r="A161" s="111" t="str">
        <f>IF(B161="","",VLOOKUP(B161,'Mitglieder BBU'!A:K,6,0))</f>
        <v/>
      </c>
      <c r="B161" s="115"/>
      <c r="C161" s="112"/>
      <c r="D161" s="112"/>
      <c r="E161" s="112"/>
      <c r="F161" s="112"/>
      <c r="G161" s="112"/>
      <c r="H161" s="112"/>
      <c r="I161" s="113">
        <f t="shared" si="1"/>
        <v>0</v>
      </c>
    </row>
    <row r="162">
      <c r="A162" s="111" t="str">
        <f>IF(B162="","",VLOOKUP(B162,'Mitglieder BBU'!A:K,6,0))</f>
        <v/>
      </c>
      <c r="B162" s="115"/>
      <c r="C162" s="112"/>
      <c r="D162" s="112"/>
      <c r="E162" s="112"/>
      <c r="F162" s="112"/>
      <c r="G162" s="112"/>
      <c r="H162" s="112"/>
      <c r="I162" s="113">
        <f t="shared" si="1"/>
        <v>0</v>
      </c>
    </row>
    <row r="163">
      <c r="A163" s="111" t="str">
        <f>IF(B163="","",VLOOKUP(B163,'Mitglieder BBU'!A:K,6,0))</f>
        <v/>
      </c>
      <c r="B163" s="115"/>
      <c r="C163" s="112"/>
      <c r="D163" s="112"/>
      <c r="E163" s="112"/>
      <c r="F163" s="112"/>
      <c r="G163" s="112"/>
      <c r="H163" s="112"/>
      <c r="I163" s="113">
        <f t="shared" si="1"/>
        <v>0</v>
      </c>
    </row>
    <row r="164">
      <c r="A164" s="111" t="str">
        <f>IF(B164="","",VLOOKUP(B164,'Mitglieder BBU'!A:K,6,0))</f>
        <v/>
      </c>
      <c r="B164" s="115"/>
      <c r="C164" s="112"/>
      <c r="D164" s="112"/>
      <c r="E164" s="112"/>
      <c r="F164" s="112"/>
      <c r="G164" s="112"/>
      <c r="H164" s="112"/>
      <c r="I164" s="113">
        <f t="shared" si="1"/>
        <v>0</v>
      </c>
    </row>
    <row r="165">
      <c r="A165" s="111" t="str">
        <f>IF(B165="","",VLOOKUP(B165,'Mitglieder BBU'!A:K,6,0))</f>
        <v/>
      </c>
      <c r="B165" s="115"/>
      <c r="C165" s="112"/>
      <c r="D165" s="112"/>
      <c r="E165" s="112"/>
      <c r="F165" s="112"/>
      <c r="G165" s="112"/>
      <c r="H165" s="112"/>
      <c r="I165" s="113">
        <f t="shared" si="1"/>
        <v>0</v>
      </c>
    </row>
    <row r="166">
      <c r="A166" s="111" t="str">
        <f>IF(B166="","",VLOOKUP(B166,'Mitglieder BBU'!A:K,6,0))</f>
        <v/>
      </c>
      <c r="B166" s="115"/>
      <c r="C166" s="112"/>
      <c r="D166" s="112"/>
      <c r="E166" s="112"/>
      <c r="F166" s="112"/>
      <c r="G166" s="112"/>
      <c r="H166" s="112"/>
      <c r="I166" s="113">
        <f t="shared" si="1"/>
        <v>0</v>
      </c>
    </row>
    <row r="167">
      <c r="A167" s="111" t="str">
        <f>IF(B167="","",VLOOKUP(B167,'Mitglieder BBU'!A:K,6,0))</f>
        <v/>
      </c>
      <c r="B167" s="115"/>
      <c r="C167" s="112"/>
      <c r="D167" s="112"/>
      <c r="E167" s="112"/>
      <c r="F167" s="112"/>
      <c r="G167" s="112"/>
      <c r="H167" s="112"/>
      <c r="I167" s="113">
        <f t="shared" si="1"/>
        <v>0</v>
      </c>
    </row>
    <row r="168">
      <c r="A168" s="111" t="str">
        <f>IF(B168="","",VLOOKUP(B168,'Mitglieder BBU'!A:K,6,0))</f>
        <v/>
      </c>
      <c r="B168" s="115"/>
      <c r="C168" s="112"/>
      <c r="D168" s="112"/>
      <c r="E168" s="112"/>
      <c r="F168" s="112"/>
      <c r="G168" s="112"/>
      <c r="H168" s="112"/>
      <c r="I168" s="113">
        <f t="shared" si="1"/>
        <v>0</v>
      </c>
    </row>
    <row r="169">
      <c r="A169" s="111" t="str">
        <f>IF(B169="","",VLOOKUP(B169,'Mitglieder BBU'!A:K,6,0))</f>
        <v/>
      </c>
      <c r="B169" s="115"/>
      <c r="C169" s="112"/>
      <c r="D169" s="112"/>
      <c r="E169" s="112"/>
      <c r="F169" s="112"/>
      <c r="G169" s="112"/>
      <c r="H169" s="112"/>
      <c r="I169" s="113">
        <f t="shared" si="1"/>
        <v>0</v>
      </c>
    </row>
    <row r="170">
      <c r="A170" s="111" t="str">
        <f>IF(B170="","",VLOOKUP(B170,'Mitglieder BBU'!A:K,6,0))</f>
        <v/>
      </c>
      <c r="B170" s="115"/>
      <c r="C170" s="112"/>
      <c r="D170" s="112"/>
      <c r="E170" s="112"/>
      <c r="F170" s="112"/>
      <c r="G170" s="112"/>
      <c r="H170" s="112"/>
      <c r="I170" s="113">
        <f t="shared" si="1"/>
        <v>0</v>
      </c>
    </row>
    <row r="171">
      <c r="A171" s="111" t="str">
        <f>IF(B171="","",VLOOKUP(B171,'Mitglieder BBU'!A:K,6,0))</f>
        <v/>
      </c>
      <c r="B171" s="115"/>
      <c r="C171" s="112"/>
      <c r="D171" s="112"/>
      <c r="E171" s="112"/>
      <c r="F171" s="112"/>
      <c r="G171" s="112"/>
      <c r="H171" s="112"/>
      <c r="I171" s="113">
        <f t="shared" si="1"/>
        <v>0</v>
      </c>
    </row>
    <row r="172">
      <c r="A172" s="111" t="str">
        <f>IF(B172="","",VLOOKUP(B172,'Mitglieder BBU'!A:K,6,0))</f>
        <v/>
      </c>
      <c r="B172" s="115"/>
      <c r="C172" s="112"/>
      <c r="D172" s="112"/>
      <c r="E172" s="112"/>
      <c r="F172" s="112"/>
      <c r="G172" s="112"/>
      <c r="H172" s="112"/>
      <c r="I172" s="113">
        <f t="shared" si="1"/>
        <v>0</v>
      </c>
    </row>
    <row r="173">
      <c r="A173" s="111" t="str">
        <f>IF(B173="","",VLOOKUP(B173,'Mitglieder BBU'!A:K,6,0))</f>
        <v/>
      </c>
      <c r="B173" s="115"/>
      <c r="C173" s="112"/>
      <c r="D173" s="112"/>
      <c r="E173" s="112"/>
      <c r="F173" s="112"/>
      <c r="G173" s="112"/>
      <c r="H173" s="112"/>
      <c r="I173" s="113">
        <f t="shared" si="1"/>
        <v>0</v>
      </c>
    </row>
    <row r="174">
      <c r="A174" s="111" t="str">
        <f>IF(B174="","",VLOOKUP(B174,'Mitglieder BBU'!A:K,6,0))</f>
        <v/>
      </c>
      <c r="B174" s="115"/>
      <c r="C174" s="112"/>
      <c r="D174" s="112"/>
      <c r="E174" s="112"/>
      <c r="F174" s="112"/>
      <c r="G174" s="112"/>
      <c r="H174" s="112"/>
      <c r="I174" s="113">
        <f t="shared" si="1"/>
        <v>0</v>
      </c>
    </row>
    <row r="175">
      <c r="A175" s="111" t="str">
        <f>IF(B175="","",VLOOKUP(B175,'Mitglieder BBU'!A:K,6,0))</f>
        <v/>
      </c>
      <c r="B175" s="115"/>
      <c r="C175" s="112"/>
      <c r="D175" s="112"/>
      <c r="E175" s="112"/>
      <c r="F175" s="112"/>
      <c r="G175" s="112"/>
      <c r="H175" s="112"/>
      <c r="I175" s="113">
        <f t="shared" si="1"/>
        <v>0</v>
      </c>
    </row>
    <row r="176">
      <c r="A176" s="111" t="str">
        <f>IF(B176="","",VLOOKUP(B176,'Mitglieder BBU'!A:K,6,0))</f>
        <v/>
      </c>
      <c r="B176" s="115"/>
      <c r="C176" s="112"/>
      <c r="D176" s="112"/>
      <c r="E176" s="112"/>
      <c r="F176" s="112"/>
      <c r="G176" s="112"/>
      <c r="H176" s="112"/>
      <c r="I176" s="113">
        <f t="shared" si="1"/>
        <v>0</v>
      </c>
    </row>
    <row r="177">
      <c r="A177" s="111" t="str">
        <f>IF(B177="","",VLOOKUP(B177,'Mitglieder BBU'!A:K,6,0))</f>
        <v/>
      </c>
      <c r="B177" s="115"/>
      <c r="C177" s="112"/>
      <c r="D177" s="112"/>
      <c r="E177" s="112"/>
      <c r="F177" s="112"/>
      <c r="G177" s="112"/>
      <c r="H177" s="112"/>
      <c r="I177" s="113">
        <f t="shared" si="1"/>
        <v>0</v>
      </c>
    </row>
    <row r="178">
      <c r="A178" s="111" t="str">
        <f>IF(B178="","",VLOOKUP(B178,'Mitglieder BBU'!A:K,6,0))</f>
        <v/>
      </c>
      <c r="B178" s="115"/>
      <c r="C178" s="112"/>
      <c r="D178" s="112"/>
      <c r="E178" s="112"/>
      <c r="F178" s="112"/>
      <c r="G178" s="112"/>
      <c r="H178" s="112"/>
      <c r="I178" s="113">
        <f t="shared" si="1"/>
        <v>0</v>
      </c>
    </row>
    <row r="179">
      <c r="A179" s="111" t="str">
        <f>IF(B179="","",VLOOKUP(B179,'Mitglieder BBU'!A:K,6,0))</f>
        <v/>
      </c>
      <c r="B179" s="115"/>
      <c r="C179" s="112"/>
      <c r="D179" s="112"/>
      <c r="E179" s="112"/>
      <c r="F179" s="112"/>
      <c r="G179" s="112"/>
      <c r="H179" s="112"/>
      <c r="I179" s="113">
        <f t="shared" si="1"/>
        <v>0</v>
      </c>
    </row>
    <row r="180">
      <c r="A180" s="111" t="str">
        <f>IF(B180="","",VLOOKUP(B180,'Mitglieder BBU'!A:K,6,0))</f>
        <v/>
      </c>
      <c r="B180" s="115"/>
      <c r="C180" s="112"/>
      <c r="D180" s="112"/>
      <c r="E180" s="112"/>
      <c r="F180" s="112"/>
      <c r="G180" s="112"/>
      <c r="H180" s="112"/>
      <c r="I180" s="113">
        <f t="shared" si="1"/>
        <v>0</v>
      </c>
    </row>
    <row r="181">
      <c r="A181" s="111" t="str">
        <f>IF(B181="","",VLOOKUP(B181,'Mitglieder BBU'!A:K,6,0))</f>
        <v/>
      </c>
      <c r="B181" s="115"/>
      <c r="C181" s="112"/>
      <c r="D181" s="112"/>
      <c r="E181" s="112"/>
      <c r="F181" s="112"/>
      <c r="G181" s="112"/>
      <c r="H181" s="112"/>
      <c r="I181" s="113">
        <f t="shared" si="1"/>
        <v>0</v>
      </c>
    </row>
    <row r="182">
      <c r="A182" s="111" t="str">
        <f>IF(B182="","",VLOOKUP(B182,'Mitglieder BBU'!A:K,6,0))</f>
        <v/>
      </c>
      <c r="B182" s="115"/>
      <c r="C182" s="112"/>
      <c r="D182" s="112"/>
      <c r="E182" s="112"/>
      <c r="F182" s="112"/>
      <c r="G182" s="112"/>
      <c r="H182" s="112"/>
      <c r="I182" s="113">
        <f t="shared" si="1"/>
        <v>0</v>
      </c>
    </row>
    <row r="183">
      <c r="A183" s="111" t="str">
        <f>IF(B183="","",VLOOKUP(B183,'Mitglieder BBU'!A:K,6,0))</f>
        <v/>
      </c>
      <c r="B183" s="115"/>
      <c r="C183" s="112"/>
      <c r="D183" s="112"/>
      <c r="E183" s="112"/>
      <c r="F183" s="112"/>
      <c r="G183" s="112"/>
      <c r="H183" s="112"/>
      <c r="I183" s="113">
        <f t="shared" si="1"/>
        <v>0</v>
      </c>
    </row>
    <row r="184">
      <c r="A184" s="111" t="str">
        <f>IF(B184="","",VLOOKUP(B184,'Mitglieder BBU'!A:K,6,0))</f>
        <v/>
      </c>
      <c r="B184" s="115"/>
      <c r="C184" s="112"/>
      <c r="D184" s="112"/>
      <c r="E184" s="112"/>
      <c r="F184" s="112"/>
      <c r="G184" s="112"/>
      <c r="H184" s="112"/>
      <c r="I184" s="113">
        <f t="shared" si="1"/>
        <v>0</v>
      </c>
    </row>
    <row r="185">
      <c r="A185" s="111" t="str">
        <f>IF(B185="","",VLOOKUP(B185,'Mitglieder BBU'!A:K,6,0))</f>
        <v/>
      </c>
      <c r="B185" s="115"/>
      <c r="C185" s="112"/>
      <c r="D185" s="112"/>
      <c r="E185" s="112"/>
      <c r="F185" s="112"/>
      <c r="G185" s="112"/>
      <c r="H185" s="112"/>
      <c r="I185" s="113">
        <f t="shared" si="1"/>
        <v>0</v>
      </c>
    </row>
    <row r="186">
      <c r="A186" s="111" t="str">
        <f>IF(B186="","",VLOOKUP(B186,'Mitglieder BBU'!A:K,6,0))</f>
        <v/>
      </c>
      <c r="B186" s="115"/>
      <c r="C186" s="112"/>
      <c r="D186" s="112"/>
      <c r="E186" s="112"/>
      <c r="F186" s="112"/>
      <c r="G186" s="112"/>
      <c r="H186" s="112"/>
      <c r="I186" s="113">
        <f t="shared" si="1"/>
        <v>0</v>
      </c>
    </row>
    <row r="187">
      <c r="A187" s="111" t="str">
        <f>IF(B187="","",VLOOKUP(B187,'Mitglieder BBU'!A:K,6,0))</f>
        <v/>
      </c>
      <c r="B187" s="115"/>
      <c r="C187" s="112"/>
      <c r="D187" s="112"/>
      <c r="E187" s="112"/>
      <c r="F187" s="112"/>
      <c r="G187" s="112"/>
      <c r="H187" s="112"/>
      <c r="I187" s="113">
        <f t="shared" si="1"/>
        <v>0</v>
      </c>
    </row>
    <row r="188">
      <c r="A188" s="111" t="str">
        <f>IF(B188="","",VLOOKUP(B188,'Mitglieder BBU'!A:K,6,0))</f>
        <v/>
      </c>
      <c r="B188" s="115"/>
      <c r="C188" s="112"/>
      <c r="D188" s="112"/>
      <c r="E188" s="112"/>
      <c r="F188" s="112"/>
      <c r="G188" s="112"/>
      <c r="H188" s="112"/>
      <c r="I188" s="113">
        <f t="shared" si="1"/>
        <v>0</v>
      </c>
    </row>
    <row r="189">
      <c r="A189" s="111" t="str">
        <f>IF(B189="","",VLOOKUP(B189,'Mitglieder BBU'!A:K,6,0))</f>
        <v/>
      </c>
      <c r="B189" s="115"/>
      <c r="C189" s="112"/>
      <c r="D189" s="112"/>
      <c r="E189" s="112"/>
      <c r="F189" s="112"/>
      <c r="G189" s="112"/>
      <c r="H189" s="112"/>
      <c r="I189" s="113">
        <f t="shared" si="1"/>
        <v>0</v>
      </c>
    </row>
    <row r="190">
      <c r="A190" s="111" t="str">
        <f>IF(B190="","",VLOOKUP(B190,'Mitglieder BBU'!A:K,6,0))</f>
        <v/>
      </c>
      <c r="B190" s="115"/>
      <c r="C190" s="112"/>
      <c r="D190" s="112"/>
      <c r="E190" s="112"/>
      <c r="F190" s="112"/>
      <c r="G190" s="112"/>
      <c r="H190" s="112"/>
      <c r="I190" s="113">
        <f t="shared" si="1"/>
        <v>0</v>
      </c>
    </row>
    <row r="191">
      <c r="A191" s="111" t="str">
        <f>IF(B191="","",VLOOKUP(B191,'Mitglieder BBU'!A:K,6,0))</f>
        <v/>
      </c>
      <c r="B191" s="115"/>
      <c r="C191" s="112"/>
      <c r="D191" s="112"/>
      <c r="E191" s="112"/>
      <c r="F191" s="112"/>
      <c r="G191" s="112"/>
      <c r="H191" s="112"/>
      <c r="I191" s="113">
        <f t="shared" si="1"/>
        <v>0</v>
      </c>
    </row>
    <row r="192">
      <c r="A192" s="111" t="str">
        <f>IF(B192="","",VLOOKUP(B192,'Mitglieder BBU'!A:K,6,0))</f>
        <v/>
      </c>
      <c r="B192" s="115"/>
      <c r="C192" s="112"/>
      <c r="D192" s="112"/>
      <c r="E192" s="112"/>
      <c r="F192" s="112"/>
      <c r="G192" s="112"/>
      <c r="H192" s="112"/>
      <c r="I192" s="113">
        <f t="shared" si="1"/>
        <v>0</v>
      </c>
    </row>
    <row r="193">
      <c r="A193" s="111" t="str">
        <f>IF(B193="","",VLOOKUP(B193,'Mitglieder BBU'!A:K,6,0))</f>
        <v/>
      </c>
      <c r="B193" s="115"/>
      <c r="C193" s="112"/>
      <c r="D193" s="112"/>
      <c r="E193" s="112"/>
      <c r="F193" s="112"/>
      <c r="G193" s="112"/>
      <c r="H193" s="112"/>
      <c r="I193" s="113">
        <f t="shared" si="1"/>
        <v>0</v>
      </c>
    </row>
    <row r="194">
      <c r="A194" s="111" t="str">
        <f>IF(B194="","",VLOOKUP(B194,'Mitglieder BBU'!A:K,6,0))</f>
        <v/>
      </c>
      <c r="B194" s="115"/>
      <c r="C194" s="112"/>
      <c r="D194" s="112"/>
      <c r="E194" s="112"/>
      <c r="F194" s="112"/>
      <c r="G194" s="112"/>
      <c r="H194" s="112"/>
      <c r="I194" s="113">
        <f t="shared" si="1"/>
        <v>0</v>
      </c>
    </row>
    <row r="195">
      <c r="A195" s="111" t="str">
        <f>IF(B195="","",VLOOKUP(B195,'Mitglieder BBU'!A:K,6,0))</f>
        <v/>
      </c>
      <c r="B195" s="115"/>
      <c r="C195" s="112"/>
      <c r="D195" s="112"/>
      <c r="E195" s="112"/>
      <c r="F195" s="112"/>
      <c r="G195" s="112"/>
      <c r="H195" s="112"/>
      <c r="I195" s="113">
        <f t="shared" si="1"/>
        <v>0</v>
      </c>
    </row>
    <row r="196">
      <c r="A196" s="111" t="str">
        <f>IF(B196="","",VLOOKUP(B196,'Mitglieder BBU'!A:K,6,0))</f>
        <v/>
      </c>
      <c r="B196" s="115"/>
      <c r="C196" s="112"/>
      <c r="D196" s="112"/>
      <c r="E196" s="112"/>
      <c r="F196" s="112"/>
      <c r="G196" s="112"/>
      <c r="H196" s="112"/>
      <c r="I196" s="113">
        <f t="shared" si="1"/>
        <v>0</v>
      </c>
    </row>
    <row r="197">
      <c r="A197" s="111" t="str">
        <f>IF(B197="","",VLOOKUP(B197,'Mitglieder BBU'!A:K,6,0))</f>
        <v/>
      </c>
      <c r="B197" s="115"/>
      <c r="C197" s="112"/>
      <c r="D197" s="112"/>
      <c r="E197" s="112"/>
      <c r="F197" s="112"/>
      <c r="G197" s="112"/>
      <c r="H197" s="112"/>
      <c r="I197" s="113">
        <f t="shared" si="1"/>
        <v>0</v>
      </c>
    </row>
    <row r="198">
      <c r="A198" s="111" t="str">
        <f>IF(B198="","",VLOOKUP(B198,'Mitglieder BBU'!A:K,6,0))</f>
        <v/>
      </c>
      <c r="B198" s="115"/>
      <c r="C198" s="112"/>
      <c r="D198" s="112"/>
      <c r="E198" s="112"/>
      <c r="F198" s="112"/>
      <c r="G198" s="112"/>
      <c r="H198" s="112"/>
      <c r="I198" s="113">
        <f t="shared" si="1"/>
        <v>0</v>
      </c>
    </row>
    <row r="199">
      <c r="A199" s="111" t="str">
        <f>IF(B199="","",VLOOKUP(B199,'Mitglieder BBU'!A:K,6,0))</f>
        <v/>
      </c>
      <c r="B199" s="115"/>
      <c r="C199" s="116"/>
      <c r="D199" s="116"/>
      <c r="E199" s="116"/>
      <c r="F199" s="116"/>
      <c r="G199" s="116"/>
      <c r="H199" s="116"/>
      <c r="I199" s="113">
        <f t="shared" si="1"/>
        <v>0</v>
      </c>
    </row>
    <row r="200">
      <c r="A200" s="111" t="str">
        <f>IF(B200="","",VLOOKUP(B200,'Mitglieder BBU'!A:K,6,0))</f>
        <v/>
      </c>
      <c r="B200" s="115"/>
      <c r="C200" s="116"/>
      <c r="D200" s="116"/>
      <c r="E200" s="116"/>
      <c r="F200" s="116"/>
      <c r="G200" s="116"/>
      <c r="H200" s="116"/>
      <c r="I200" s="113">
        <f t="shared" si="1"/>
        <v>0</v>
      </c>
    </row>
    <row r="201">
      <c r="A201" s="111" t="str">
        <f>IF(B201="","",VLOOKUP(B201,'Mitglieder BBU'!A:K,6,0))</f>
        <v/>
      </c>
      <c r="B201" s="115"/>
      <c r="C201" s="116"/>
      <c r="D201" s="116"/>
      <c r="E201" s="116"/>
      <c r="F201" s="116"/>
      <c r="G201" s="116"/>
      <c r="H201" s="116"/>
      <c r="I201" s="113">
        <f t="shared" si="1"/>
        <v>0</v>
      </c>
    </row>
    <row r="202">
      <c r="A202" s="111" t="str">
        <f>IF(B202="","",VLOOKUP(B202,'Mitglieder BBU'!A:K,6,0))</f>
        <v/>
      </c>
      <c r="B202" s="115"/>
      <c r="C202" s="116"/>
      <c r="D202" s="116"/>
      <c r="E202" s="116"/>
      <c r="F202" s="116"/>
      <c r="G202" s="116"/>
      <c r="H202" s="116"/>
      <c r="I202" s="113">
        <f t="shared" si="1"/>
        <v>0</v>
      </c>
    </row>
    <row r="203">
      <c r="A203" s="111" t="str">
        <f>IF(B203="","",VLOOKUP(B203,'Mitglieder BBU'!A:K,6,0))</f>
        <v/>
      </c>
      <c r="B203" s="117"/>
      <c r="C203" s="116"/>
      <c r="D203" s="116"/>
      <c r="E203" s="116"/>
      <c r="F203" s="116"/>
      <c r="G203" s="116"/>
      <c r="H203" s="116"/>
      <c r="I203" s="113">
        <f t="shared" si="1"/>
        <v>0</v>
      </c>
    </row>
    <row r="204">
      <c r="A204" s="111" t="str">
        <f>IF(B204="","",VLOOKUP(B204,'Mitglieder BBU'!A:K,6,0))</f>
        <v/>
      </c>
      <c r="B204" s="117"/>
      <c r="C204" s="116"/>
      <c r="D204" s="116"/>
      <c r="E204" s="116"/>
      <c r="F204" s="116"/>
      <c r="G204" s="116"/>
      <c r="H204" s="116"/>
      <c r="I204" s="113">
        <f t="shared" si="1"/>
        <v>0</v>
      </c>
    </row>
    <row r="205">
      <c r="A205" s="111" t="str">
        <f>IF(B205="","",VLOOKUP(B205,'Mitglieder BBU'!A:K,6,0))</f>
        <v/>
      </c>
      <c r="B205" s="117"/>
      <c r="C205" s="116"/>
      <c r="D205" s="116"/>
      <c r="E205" s="116"/>
      <c r="F205" s="116"/>
      <c r="G205" s="116"/>
      <c r="H205" s="116"/>
      <c r="I205" s="113">
        <f t="shared" si="1"/>
        <v>0</v>
      </c>
    </row>
    <row r="206">
      <c r="A206" s="111" t="str">
        <f>IF(B206="","",VLOOKUP(B206,'Mitglieder BBU'!A:K,6,0))</f>
        <v/>
      </c>
      <c r="B206" s="117"/>
      <c r="C206" s="116"/>
      <c r="D206" s="116"/>
      <c r="E206" s="116"/>
      <c r="F206" s="116"/>
      <c r="G206" s="116"/>
      <c r="H206" s="116"/>
      <c r="I206" s="113">
        <f t="shared" si="1"/>
        <v>0</v>
      </c>
    </row>
    <row r="207">
      <c r="A207" s="111" t="str">
        <f>IF(B207="","",VLOOKUP(B207,'Mitglieder BBU'!A:K,6,0))</f>
        <v/>
      </c>
      <c r="B207" s="117"/>
      <c r="C207" s="116"/>
      <c r="D207" s="116"/>
      <c r="E207" s="116"/>
      <c r="F207" s="116"/>
      <c r="G207" s="116"/>
      <c r="H207" s="116"/>
      <c r="I207" s="113">
        <f t="shared" si="1"/>
        <v>0</v>
      </c>
    </row>
    <row r="208">
      <c r="A208" s="111" t="str">
        <f>IF(B208="","",VLOOKUP(B208,'Mitglieder BBU'!A:K,6,0))</f>
        <v/>
      </c>
      <c r="B208" s="117"/>
      <c r="C208" s="116"/>
      <c r="D208" s="116"/>
      <c r="E208" s="116"/>
      <c r="F208" s="116"/>
      <c r="G208" s="116"/>
      <c r="H208" s="116"/>
      <c r="I208" s="113">
        <f t="shared" si="1"/>
        <v>0</v>
      </c>
    </row>
    <row r="209">
      <c r="A209" s="111" t="str">
        <f>IF(B209="","",VLOOKUP(B209,'Mitglieder BBU'!A:K,6,0))</f>
        <v/>
      </c>
      <c r="B209" s="117"/>
      <c r="C209" s="116"/>
      <c r="D209" s="116"/>
      <c r="E209" s="116"/>
      <c r="F209" s="116"/>
      <c r="G209" s="116"/>
      <c r="H209" s="116"/>
      <c r="I209" s="113">
        <f t="shared" si="1"/>
        <v>0</v>
      </c>
    </row>
    <row r="210">
      <c r="A210" s="111" t="str">
        <f>IF(B210="","",VLOOKUP(B210,'Mitglieder BBU'!A:K,6,0))</f>
        <v/>
      </c>
      <c r="B210" s="117"/>
      <c r="C210" s="116"/>
      <c r="D210" s="116"/>
      <c r="E210" s="116"/>
      <c r="F210" s="116"/>
      <c r="G210" s="116"/>
      <c r="H210" s="116"/>
      <c r="I210" s="113">
        <f t="shared" si="1"/>
        <v>0</v>
      </c>
    </row>
    <row r="211">
      <c r="A211" s="111" t="str">
        <f>IF(B211="","",VLOOKUP(B211,'Mitglieder BBU'!A:K,6,0))</f>
        <v/>
      </c>
      <c r="B211" s="117"/>
      <c r="C211" s="116"/>
      <c r="D211" s="116"/>
      <c r="E211" s="116"/>
      <c r="F211" s="116"/>
      <c r="G211" s="116"/>
      <c r="H211" s="116"/>
      <c r="I211" s="113">
        <f t="shared" si="1"/>
        <v>0</v>
      </c>
    </row>
    <row r="212">
      <c r="A212" s="111" t="str">
        <f>IF(B212="","",VLOOKUP(B212,'Mitglieder BBU'!A:K,6,0))</f>
        <v/>
      </c>
      <c r="B212" s="117"/>
      <c r="C212" s="116"/>
      <c r="D212" s="116"/>
      <c r="E212" s="116"/>
      <c r="F212" s="116"/>
      <c r="G212" s="116"/>
      <c r="H212" s="116"/>
      <c r="I212" s="113">
        <f t="shared" si="1"/>
        <v>0</v>
      </c>
    </row>
    <row r="213">
      <c r="A213" s="111" t="str">
        <f>IF(B213="","",VLOOKUP(B213,'Mitglieder BBU'!A:K,6,0))</f>
        <v/>
      </c>
      <c r="B213" s="117"/>
      <c r="C213" s="116"/>
      <c r="D213" s="116"/>
      <c r="E213" s="116"/>
      <c r="F213" s="116"/>
      <c r="G213" s="116"/>
      <c r="H213" s="116"/>
      <c r="I213" s="113">
        <f t="shared" si="1"/>
        <v>0</v>
      </c>
    </row>
    <row r="214">
      <c r="A214" s="111" t="str">
        <f>IF(B214="","",VLOOKUP(B214,'Mitglieder BBU'!A:K,6,0))</f>
        <v/>
      </c>
      <c r="B214" s="117"/>
      <c r="C214" s="116"/>
      <c r="D214" s="116"/>
      <c r="E214" s="116"/>
      <c r="F214" s="116"/>
      <c r="G214" s="116"/>
      <c r="H214" s="116"/>
      <c r="I214" s="113">
        <f t="shared" si="1"/>
        <v>0</v>
      </c>
    </row>
    <row r="215">
      <c r="A215" s="111" t="str">
        <f>IF(B215="","",VLOOKUP(B215,'Mitglieder BBU'!A:K,6,0))</f>
        <v/>
      </c>
      <c r="B215" s="117"/>
      <c r="C215" s="116"/>
      <c r="D215" s="116"/>
      <c r="E215" s="116"/>
      <c r="F215" s="116"/>
      <c r="G215" s="116"/>
      <c r="H215" s="116"/>
      <c r="I215" s="113">
        <f t="shared" si="1"/>
        <v>0</v>
      </c>
    </row>
    <row r="216">
      <c r="A216" s="111" t="str">
        <f>IF(B216="","",VLOOKUP(B216,'Mitglieder BBU'!A:K,6,0))</f>
        <v/>
      </c>
      <c r="B216" s="117"/>
      <c r="C216" s="116"/>
      <c r="D216" s="116"/>
      <c r="E216" s="116"/>
      <c r="F216" s="116"/>
      <c r="G216" s="116"/>
      <c r="H216" s="116"/>
      <c r="I216" s="113">
        <f t="shared" si="1"/>
        <v>0</v>
      </c>
    </row>
    <row r="217">
      <c r="A217" s="111" t="str">
        <f>IF(B217="","",VLOOKUP(B217,'Mitglieder BBU'!A:K,6,0))</f>
        <v/>
      </c>
      <c r="B217" s="117"/>
      <c r="C217" s="116"/>
      <c r="D217" s="116"/>
      <c r="E217" s="116"/>
      <c r="F217" s="116"/>
      <c r="G217" s="116"/>
      <c r="H217" s="116"/>
      <c r="I217" s="113">
        <f t="shared" si="1"/>
        <v>0</v>
      </c>
    </row>
    <row r="218">
      <c r="A218" s="111" t="str">
        <f>IF(B218="","",VLOOKUP(B218,'Mitglieder BBU'!A:K,6,0))</f>
        <v/>
      </c>
      <c r="B218" s="117"/>
      <c r="C218" s="116"/>
      <c r="D218" s="116"/>
      <c r="E218" s="116"/>
      <c r="F218" s="116"/>
      <c r="G218" s="116"/>
      <c r="H218" s="116"/>
      <c r="I218" s="113">
        <f t="shared" si="1"/>
        <v>0</v>
      </c>
    </row>
    <row r="219">
      <c r="A219" s="111" t="str">
        <f>IF(B219="","",VLOOKUP(B219,'Mitglieder BBU'!A:K,6,0))</f>
        <v/>
      </c>
      <c r="B219" s="117"/>
      <c r="C219" s="116"/>
      <c r="D219" s="116"/>
      <c r="E219" s="116"/>
      <c r="F219" s="116"/>
      <c r="G219" s="116"/>
      <c r="H219" s="116"/>
      <c r="I219" s="113">
        <f t="shared" si="1"/>
        <v>0</v>
      </c>
    </row>
    <row r="220">
      <c r="A220" s="111" t="str">
        <f>IF(B220="","",VLOOKUP(B220,'Mitglieder BBU'!A:K,6,0))</f>
        <v/>
      </c>
      <c r="B220" s="117"/>
      <c r="C220" s="116"/>
      <c r="D220" s="116"/>
      <c r="E220" s="116"/>
      <c r="F220" s="116"/>
      <c r="G220" s="116"/>
      <c r="H220" s="116"/>
      <c r="I220" s="113">
        <f t="shared" si="1"/>
        <v>0</v>
      </c>
    </row>
    <row r="221">
      <c r="A221" s="111" t="str">
        <f>IF(B221="","",VLOOKUP(B221,'Mitglieder BBU'!A:K,6,0))</f>
        <v/>
      </c>
      <c r="B221" s="117"/>
      <c r="C221" s="116"/>
      <c r="D221" s="116"/>
      <c r="E221" s="116"/>
      <c r="F221" s="116"/>
      <c r="G221" s="116"/>
      <c r="H221" s="116"/>
      <c r="I221" s="113">
        <f t="shared" si="1"/>
        <v>0</v>
      </c>
    </row>
    <row r="222">
      <c r="A222" s="111" t="str">
        <f>IF(B222="","",VLOOKUP(B222,'Mitglieder BBU'!A:K,6,0))</f>
        <v/>
      </c>
      <c r="B222" s="117"/>
      <c r="C222" s="116"/>
      <c r="D222" s="116"/>
      <c r="E222" s="116"/>
      <c r="F222" s="116"/>
      <c r="G222" s="116"/>
      <c r="H222" s="116"/>
      <c r="I222" s="113">
        <f t="shared" si="1"/>
        <v>0</v>
      </c>
    </row>
    <row r="223">
      <c r="A223" s="111" t="str">
        <f>IF(B223="","",VLOOKUP(B223,'Mitglieder BBU'!A:K,6,0))</f>
        <v/>
      </c>
      <c r="B223" s="117"/>
      <c r="C223" s="116"/>
      <c r="D223" s="116"/>
      <c r="E223" s="116"/>
      <c r="F223" s="116"/>
      <c r="G223" s="116"/>
      <c r="H223" s="116"/>
      <c r="I223" s="113">
        <f t="shared" si="1"/>
        <v>0</v>
      </c>
    </row>
    <row r="224">
      <c r="A224" s="111" t="str">
        <f>IF(B224="","",VLOOKUP(B224,'Mitglieder BBU'!A:K,6,0))</f>
        <v/>
      </c>
      <c r="B224" s="117"/>
      <c r="C224" s="116"/>
      <c r="D224" s="116"/>
      <c r="E224" s="116"/>
      <c r="F224" s="116"/>
      <c r="G224" s="116"/>
      <c r="H224" s="116"/>
      <c r="I224" s="113">
        <f t="shared" si="1"/>
        <v>0</v>
      </c>
    </row>
    <row r="225">
      <c r="A225" s="111" t="str">
        <f>IF(B225="","",VLOOKUP(B225,'Mitglieder BBU'!A:K,6,0))</f>
        <v/>
      </c>
      <c r="B225" s="117"/>
      <c r="C225" s="116"/>
      <c r="D225" s="116"/>
      <c r="E225" s="116"/>
      <c r="F225" s="116"/>
      <c r="G225" s="116"/>
      <c r="H225" s="116"/>
      <c r="I225" s="113">
        <f t="shared" si="1"/>
        <v>0</v>
      </c>
    </row>
    <row r="226">
      <c r="A226" s="111" t="str">
        <f>IF(B226="","",VLOOKUP(B226,'Mitglieder BBU'!A:K,6,0))</f>
        <v/>
      </c>
      <c r="B226" s="117"/>
      <c r="C226" s="116"/>
      <c r="D226" s="116"/>
      <c r="E226" s="116"/>
      <c r="F226" s="116"/>
      <c r="G226" s="116"/>
      <c r="H226" s="116"/>
      <c r="I226" s="113">
        <f t="shared" si="1"/>
        <v>0</v>
      </c>
    </row>
    <row r="227">
      <c r="A227" s="111" t="str">
        <f>IF(B227="","",VLOOKUP(B227,'Mitglieder BBU'!A:K,6,0))</f>
        <v/>
      </c>
      <c r="B227" s="117"/>
      <c r="C227" s="116"/>
      <c r="D227" s="116"/>
      <c r="E227" s="116"/>
      <c r="F227" s="116"/>
      <c r="G227" s="116"/>
      <c r="H227" s="116"/>
      <c r="I227" s="113">
        <f t="shared" si="1"/>
        <v>0</v>
      </c>
    </row>
    <row r="228">
      <c r="A228" s="111" t="str">
        <f>IF(B228="","",VLOOKUP(B228,'Mitglieder BBU'!A:K,6,0))</f>
        <v/>
      </c>
      <c r="B228" s="117"/>
      <c r="C228" s="116"/>
      <c r="D228" s="116"/>
      <c r="E228" s="116"/>
      <c r="F228" s="116"/>
      <c r="G228" s="116"/>
      <c r="H228" s="116"/>
      <c r="I228" s="113">
        <f t="shared" si="1"/>
        <v>0</v>
      </c>
    </row>
    <row r="229">
      <c r="A229" s="111" t="str">
        <f>IF(B229="","",VLOOKUP(B229,'Mitglieder BBU'!A:K,6,0))</f>
        <v/>
      </c>
      <c r="B229" s="117"/>
      <c r="C229" s="116"/>
      <c r="D229" s="116"/>
      <c r="E229" s="116"/>
      <c r="F229" s="116"/>
      <c r="G229" s="116"/>
      <c r="H229" s="116"/>
      <c r="I229" s="113">
        <f t="shared" si="1"/>
        <v>0</v>
      </c>
    </row>
    <row r="230">
      <c r="A230" s="111" t="str">
        <f>IF(B230="","",VLOOKUP(B230,'Mitglieder BBU'!A:K,6,0))</f>
        <v/>
      </c>
      <c r="B230" s="117"/>
      <c r="C230" s="116"/>
      <c r="D230" s="116"/>
      <c r="E230" s="116"/>
      <c r="F230" s="116"/>
      <c r="G230" s="116"/>
      <c r="H230" s="116"/>
      <c r="I230" s="113">
        <f t="shared" si="1"/>
        <v>0</v>
      </c>
    </row>
    <row r="231">
      <c r="A231" s="111" t="str">
        <f>IF(B231="","",VLOOKUP(B231,'Mitglieder BBU'!A:K,6,0))</f>
        <v/>
      </c>
      <c r="B231" s="117"/>
      <c r="C231" s="116"/>
      <c r="D231" s="116"/>
      <c r="E231" s="116"/>
      <c r="F231" s="116"/>
      <c r="G231" s="116"/>
      <c r="H231" s="116"/>
      <c r="I231" s="113">
        <f t="shared" si="1"/>
        <v>0</v>
      </c>
    </row>
    <row r="232">
      <c r="A232" s="111" t="str">
        <f>IF(B232="","",VLOOKUP(B232,'Mitglieder BBU'!A:K,6,0))</f>
        <v/>
      </c>
      <c r="B232" s="117"/>
      <c r="C232" s="116"/>
      <c r="D232" s="116"/>
      <c r="E232" s="116"/>
      <c r="F232" s="116"/>
      <c r="G232" s="116"/>
      <c r="H232" s="116"/>
      <c r="I232" s="113">
        <f t="shared" si="1"/>
        <v>0</v>
      </c>
    </row>
    <row r="233">
      <c r="A233" s="111" t="str">
        <f>IF(B233="","",VLOOKUP(B233,'Mitglieder BBU'!A:K,6,0))</f>
        <v/>
      </c>
      <c r="B233" s="117"/>
      <c r="C233" s="116"/>
      <c r="D233" s="116"/>
      <c r="E233" s="116"/>
      <c r="F233" s="116"/>
      <c r="G233" s="116"/>
      <c r="H233" s="116"/>
      <c r="I233" s="113">
        <f t="shared" si="1"/>
        <v>0</v>
      </c>
    </row>
    <row r="234">
      <c r="A234" s="111" t="str">
        <f>IF(B234="","",VLOOKUP(B234,'Mitglieder BBU'!A:K,6,0))</f>
        <v/>
      </c>
      <c r="B234" s="117"/>
      <c r="C234" s="116"/>
      <c r="D234" s="116"/>
      <c r="E234" s="116"/>
      <c r="F234" s="116"/>
      <c r="G234" s="116"/>
      <c r="H234" s="116"/>
      <c r="I234" s="113">
        <f t="shared" si="1"/>
        <v>0</v>
      </c>
    </row>
    <row r="235">
      <c r="A235" s="111" t="str">
        <f>IF(B235="","",VLOOKUP(B235,'Mitglieder BBU'!A:K,6,0))</f>
        <v/>
      </c>
      <c r="B235" s="117"/>
      <c r="C235" s="116"/>
      <c r="D235" s="116"/>
      <c r="E235" s="116"/>
      <c r="F235" s="116"/>
      <c r="G235" s="116"/>
      <c r="H235" s="116"/>
      <c r="I235" s="113">
        <f t="shared" si="1"/>
        <v>0</v>
      </c>
    </row>
    <row r="236">
      <c r="A236" s="111" t="str">
        <f>IF(B236="","",VLOOKUP(B236,'Mitglieder BBU'!A:K,6,0))</f>
        <v/>
      </c>
      <c r="B236" s="117"/>
      <c r="C236" s="116"/>
      <c r="D236" s="116"/>
      <c r="E236" s="116"/>
      <c r="F236" s="116"/>
      <c r="G236" s="116"/>
      <c r="H236" s="116"/>
      <c r="I236" s="113">
        <f t="shared" si="1"/>
        <v>0</v>
      </c>
    </row>
    <row r="237">
      <c r="A237" s="111" t="str">
        <f>IF(B237="","",VLOOKUP(B237,'Mitglieder BBU'!A:K,6,0))</f>
        <v/>
      </c>
      <c r="B237" s="117"/>
      <c r="C237" s="116"/>
      <c r="D237" s="116"/>
      <c r="E237" s="116"/>
      <c r="F237" s="116"/>
      <c r="G237" s="116"/>
      <c r="H237" s="116"/>
      <c r="I237" s="113">
        <f t="shared" si="1"/>
        <v>0</v>
      </c>
    </row>
    <row r="238">
      <c r="A238" s="111" t="str">
        <f>IF(B238="","",VLOOKUP(B238,'Mitglieder BBU'!A:K,6,0))</f>
        <v/>
      </c>
      <c r="B238" s="117"/>
      <c r="C238" s="116"/>
      <c r="D238" s="116"/>
      <c r="E238" s="116"/>
      <c r="F238" s="116"/>
      <c r="G238" s="116"/>
      <c r="H238" s="116"/>
      <c r="I238" s="113">
        <f t="shared" si="1"/>
        <v>0</v>
      </c>
    </row>
    <row r="239">
      <c r="A239" s="111" t="str">
        <f>IF(B239="","",VLOOKUP(B239,'Mitglieder BBU'!A:K,6,0))</f>
        <v/>
      </c>
      <c r="B239" s="117"/>
      <c r="C239" s="116"/>
      <c r="D239" s="116"/>
      <c r="E239" s="116"/>
      <c r="F239" s="116"/>
      <c r="G239" s="116"/>
      <c r="H239" s="116"/>
      <c r="I239" s="113">
        <f t="shared" si="1"/>
        <v>0</v>
      </c>
    </row>
    <row r="240">
      <c r="A240" s="111" t="str">
        <f>IF(B240="","",VLOOKUP(B240,'Mitglieder BBU'!A:K,6,0))</f>
        <v/>
      </c>
      <c r="B240" s="117"/>
      <c r="C240" s="116"/>
      <c r="D240" s="116"/>
      <c r="E240" s="116"/>
      <c r="F240" s="116"/>
      <c r="G240" s="116"/>
      <c r="H240" s="116"/>
      <c r="I240" s="113">
        <f t="shared" si="1"/>
        <v>0</v>
      </c>
    </row>
    <row r="241">
      <c r="A241" s="111" t="str">
        <f>IF(B241="","",VLOOKUP(B241,'Mitglieder BBU'!A:K,6,0))</f>
        <v/>
      </c>
      <c r="B241" s="117"/>
      <c r="C241" s="116"/>
      <c r="D241" s="116"/>
      <c r="E241" s="116"/>
      <c r="F241" s="116"/>
      <c r="G241" s="116"/>
      <c r="H241" s="116"/>
      <c r="I241" s="113">
        <f t="shared" si="1"/>
        <v>0</v>
      </c>
    </row>
    <row r="242">
      <c r="A242" s="111" t="str">
        <f>IF(B242="","",VLOOKUP(B242,'Mitglieder BBU'!A:K,6,0))</f>
        <v/>
      </c>
      <c r="B242" s="117"/>
      <c r="C242" s="116"/>
      <c r="D242" s="116"/>
      <c r="E242" s="116"/>
      <c r="F242" s="116"/>
      <c r="G242" s="116"/>
      <c r="H242" s="116"/>
      <c r="I242" s="113">
        <f t="shared" si="1"/>
        <v>0</v>
      </c>
    </row>
    <row r="243">
      <c r="A243" s="111" t="str">
        <f>IF(B243="","",VLOOKUP(B243,'Mitglieder BBU'!A:K,6,0))</f>
        <v/>
      </c>
      <c r="B243" s="117"/>
      <c r="C243" s="116"/>
      <c r="D243" s="116"/>
      <c r="E243" s="116"/>
      <c r="F243" s="116"/>
      <c r="G243" s="116"/>
      <c r="H243" s="116"/>
      <c r="I243" s="113">
        <f t="shared" si="1"/>
        <v>0</v>
      </c>
    </row>
    <row r="244">
      <c r="A244" s="111" t="str">
        <f>IF(B244="","",VLOOKUP(B244,'Mitglieder BBU'!A:K,6,0))</f>
        <v/>
      </c>
      <c r="B244" s="117"/>
      <c r="C244" s="116"/>
      <c r="D244" s="116"/>
      <c r="E244" s="116"/>
      <c r="F244" s="116"/>
      <c r="G244" s="116"/>
      <c r="H244" s="116"/>
      <c r="I244" s="113">
        <f t="shared" si="1"/>
        <v>0</v>
      </c>
    </row>
    <row r="245">
      <c r="A245" s="111" t="str">
        <f>IF(B245="","",VLOOKUP(B245,'Mitglieder BBU'!A:K,6,0))</f>
        <v/>
      </c>
      <c r="B245" s="117"/>
      <c r="C245" s="116"/>
      <c r="D245" s="116"/>
      <c r="E245" s="116"/>
      <c r="F245" s="116"/>
      <c r="G245" s="116"/>
      <c r="H245" s="116"/>
      <c r="I245" s="113">
        <f t="shared" si="1"/>
        <v>0</v>
      </c>
    </row>
    <row r="246">
      <c r="A246" s="111" t="str">
        <f>IF(B246="","",VLOOKUP(B246,'Mitglieder BBU'!A:K,6,0))</f>
        <v/>
      </c>
      <c r="B246" s="117"/>
      <c r="C246" s="116"/>
      <c r="D246" s="116"/>
      <c r="E246" s="116"/>
      <c r="F246" s="116"/>
      <c r="G246" s="116"/>
      <c r="H246" s="116"/>
      <c r="I246" s="113">
        <f t="shared" si="1"/>
        <v>0</v>
      </c>
    </row>
    <row r="247">
      <c r="A247" s="111" t="str">
        <f>IF(B247="","",VLOOKUP(B247,'Mitglieder BBU'!A:K,6,0))</f>
        <v/>
      </c>
      <c r="B247" s="117"/>
      <c r="C247" s="116"/>
      <c r="D247" s="116"/>
      <c r="E247" s="116"/>
      <c r="F247" s="116"/>
      <c r="G247" s="116"/>
      <c r="H247" s="116"/>
      <c r="I247" s="113">
        <f t="shared" si="1"/>
        <v>0</v>
      </c>
    </row>
    <row r="248">
      <c r="A248" s="111" t="str">
        <f>IF(B248="","",VLOOKUP(B248,'Mitglieder BBU'!A:K,6,0))</f>
        <v/>
      </c>
      <c r="B248" s="117"/>
      <c r="C248" s="116"/>
      <c r="D248" s="116"/>
      <c r="E248" s="116"/>
      <c r="F248" s="116"/>
      <c r="G248" s="116"/>
      <c r="H248" s="116"/>
      <c r="I248" s="113">
        <f t="shared" si="1"/>
        <v>0</v>
      </c>
    </row>
    <row r="249">
      <c r="A249" s="111" t="str">
        <f>IF(B249="","",VLOOKUP(B249,'Mitglieder BBU'!A:K,6,0))</f>
        <v/>
      </c>
      <c r="B249" s="117"/>
      <c r="C249" s="116"/>
      <c r="D249" s="116"/>
      <c r="E249" s="116"/>
      <c r="F249" s="116"/>
      <c r="G249" s="116"/>
      <c r="H249" s="116"/>
      <c r="I249" s="113">
        <f t="shared" si="1"/>
        <v>0</v>
      </c>
    </row>
    <row r="250">
      <c r="A250" s="111" t="str">
        <f>IF(B250="","",VLOOKUP(B250,'Mitglieder BBU'!A:K,6,0))</f>
        <v/>
      </c>
      <c r="B250" s="117"/>
      <c r="C250" s="116"/>
      <c r="D250" s="116"/>
      <c r="E250" s="116"/>
      <c r="F250" s="116"/>
      <c r="G250" s="116"/>
      <c r="H250" s="116"/>
      <c r="I250" s="113">
        <f t="shared" si="1"/>
        <v>0</v>
      </c>
    </row>
    <row r="251">
      <c r="A251" s="111" t="str">
        <f>IF(B251="","",VLOOKUP(B251,'Mitglieder BBU'!A:K,6,0))</f>
        <v/>
      </c>
      <c r="B251" s="117"/>
      <c r="C251" s="116"/>
      <c r="D251" s="116"/>
      <c r="E251" s="116"/>
      <c r="F251" s="116"/>
      <c r="G251" s="116"/>
      <c r="H251" s="116"/>
      <c r="I251" s="113">
        <f t="shared" si="1"/>
        <v>0</v>
      </c>
    </row>
    <row r="252">
      <c r="A252" s="111" t="str">
        <f>IF(B252="","",VLOOKUP(B252,'Mitglieder BBU'!A:K,6,0))</f>
        <v/>
      </c>
      <c r="B252" s="117"/>
      <c r="C252" s="116"/>
      <c r="D252" s="116"/>
      <c r="E252" s="116"/>
      <c r="F252" s="116"/>
      <c r="G252" s="116"/>
      <c r="H252" s="116"/>
      <c r="I252" s="113">
        <f t="shared" si="1"/>
        <v>0</v>
      </c>
    </row>
    <row r="253">
      <c r="A253" s="111" t="str">
        <f>IF(B253="","",VLOOKUP(B253,'Mitglieder BBU'!A:K,6,0))</f>
        <v/>
      </c>
      <c r="B253" s="117"/>
      <c r="C253" s="116"/>
      <c r="D253" s="116"/>
      <c r="E253" s="116"/>
      <c r="F253" s="116"/>
      <c r="G253" s="116"/>
      <c r="H253" s="116"/>
      <c r="I253" s="113">
        <f t="shared" si="1"/>
        <v>0</v>
      </c>
    </row>
    <row r="254">
      <c r="A254" s="111" t="str">
        <f>IF(B254="","",VLOOKUP(B254,'Mitglieder BBU'!A:K,6,0))</f>
        <v/>
      </c>
      <c r="B254" s="117"/>
      <c r="C254" s="116"/>
      <c r="D254" s="116"/>
      <c r="E254" s="116"/>
      <c r="F254" s="116"/>
      <c r="G254" s="116"/>
      <c r="H254" s="116"/>
      <c r="I254" s="113">
        <f t="shared" si="1"/>
        <v>0</v>
      </c>
    </row>
    <row r="255">
      <c r="A255" s="111" t="str">
        <f>IF(B255="","",VLOOKUP(B255,'Mitglieder BBU'!A:K,6,0))</f>
        <v/>
      </c>
      <c r="B255" s="117"/>
      <c r="C255" s="116"/>
      <c r="D255" s="116"/>
      <c r="E255" s="116"/>
      <c r="F255" s="116"/>
      <c r="G255" s="116"/>
      <c r="H255" s="116"/>
      <c r="I255" s="113">
        <f t="shared" si="1"/>
        <v>0</v>
      </c>
    </row>
    <row r="256">
      <c r="A256" s="111" t="str">
        <f>IF(B256="","",VLOOKUP(B256,'Mitglieder BBU'!A:K,6,0))</f>
        <v/>
      </c>
      <c r="B256" s="117"/>
      <c r="C256" s="116"/>
      <c r="D256" s="116"/>
      <c r="E256" s="116"/>
      <c r="F256" s="116"/>
      <c r="G256" s="116"/>
      <c r="H256" s="116"/>
      <c r="I256" s="113">
        <f t="shared" si="1"/>
        <v>0</v>
      </c>
    </row>
    <row r="257">
      <c r="A257" s="111" t="str">
        <f>IF(B257="","",VLOOKUP(B257,'Mitglieder BBU'!A:K,6,0))</f>
        <v/>
      </c>
      <c r="B257" s="117"/>
      <c r="C257" s="116"/>
      <c r="D257" s="116"/>
      <c r="E257" s="116"/>
      <c r="F257" s="116"/>
      <c r="G257" s="116"/>
      <c r="H257" s="116"/>
      <c r="I257" s="113">
        <f t="shared" si="1"/>
        <v>0</v>
      </c>
    </row>
    <row r="258">
      <c r="A258" s="111" t="str">
        <f>IF(B258="","",VLOOKUP(B258,'Mitglieder BBU'!A:K,6,0))</f>
        <v/>
      </c>
      <c r="B258" s="117"/>
      <c r="C258" s="116"/>
      <c r="D258" s="116"/>
      <c r="E258" s="116"/>
      <c r="F258" s="116"/>
      <c r="G258" s="116"/>
      <c r="H258" s="116"/>
      <c r="I258" s="113">
        <f t="shared" si="1"/>
        <v>0</v>
      </c>
    </row>
    <row r="259">
      <c r="A259" s="111" t="str">
        <f>IF(B259="","",VLOOKUP(B259,'Mitglieder BBU'!A:K,6,0))</f>
        <v/>
      </c>
      <c r="B259" s="117"/>
      <c r="C259" s="116"/>
      <c r="D259" s="116"/>
      <c r="E259" s="116"/>
      <c r="F259" s="116"/>
      <c r="G259" s="116"/>
      <c r="H259" s="116"/>
      <c r="I259" s="113">
        <f t="shared" si="1"/>
        <v>0</v>
      </c>
    </row>
    <row r="260">
      <c r="A260" s="111" t="str">
        <f>IF(B260="","",VLOOKUP(B260,'Mitglieder BBU'!A:K,6,0))</f>
        <v/>
      </c>
      <c r="B260" s="117"/>
      <c r="C260" s="116"/>
      <c r="D260" s="116"/>
      <c r="E260" s="116"/>
      <c r="F260" s="116"/>
      <c r="G260" s="116"/>
      <c r="H260" s="116"/>
      <c r="I260" s="113">
        <f t="shared" si="1"/>
        <v>0</v>
      </c>
    </row>
    <row r="261">
      <c r="A261" s="111" t="str">
        <f>IF(B261="","",VLOOKUP(B261,'Mitglieder BBU'!A:K,6,0))</f>
        <v/>
      </c>
      <c r="B261" s="117"/>
      <c r="C261" s="116"/>
      <c r="D261" s="116"/>
      <c r="E261" s="116"/>
      <c r="F261" s="116"/>
      <c r="G261" s="116"/>
      <c r="H261" s="116"/>
      <c r="I261" s="113">
        <f t="shared" si="1"/>
        <v>0</v>
      </c>
    </row>
    <row r="262">
      <c r="A262" s="111" t="str">
        <f>IF(B262="","",VLOOKUP(B262,'Mitglieder BBU'!A:K,6,0))</f>
        <v/>
      </c>
      <c r="B262" s="117"/>
      <c r="C262" s="116"/>
      <c r="D262" s="116"/>
      <c r="E262" s="116"/>
      <c r="F262" s="116"/>
      <c r="G262" s="116"/>
      <c r="H262" s="116"/>
      <c r="I262" s="113">
        <f t="shared" si="1"/>
        <v>0</v>
      </c>
    </row>
    <row r="263">
      <c r="A263" s="111" t="str">
        <f>IF(B263="","",VLOOKUP(B263,'Mitglieder BBU'!A:K,6,0))</f>
        <v/>
      </c>
      <c r="B263" s="117"/>
      <c r="C263" s="116"/>
      <c r="D263" s="116"/>
      <c r="E263" s="116"/>
      <c r="F263" s="116"/>
      <c r="G263" s="116"/>
      <c r="H263" s="116"/>
      <c r="I263" s="113">
        <f t="shared" si="1"/>
        <v>0</v>
      </c>
    </row>
    <row r="264">
      <c r="A264" s="111" t="str">
        <f>IF(B264="","",VLOOKUP(B264,'Mitglieder BBU'!A:K,6,0))</f>
        <v/>
      </c>
      <c r="B264" s="117"/>
      <c r="C264" s="116"/>
      <c r="D264" s="116"/>
      <c r="E264" s="116"/>
      <c r="F264" s="116"/>
      <c r="G264" s="116"/>
      <c r="H264" s="116"/>
      <c r="I264" s="113">
        <f t="shared" si="1"/>
        <v>0</v>
      </c>
    </row>
    <row r="265">
      <c r="A265" s="111" t="str">
        <f>IF(B265="","",VLOOKUP(B265,'Mitglieder BBU'!A:K,6,0))</f>
        <v/>
      </c>
      <c r="B265" s="117"/>
      <c r="C265" s="116"/>
      <c r="D265" s="116"/>
      <c r="E265" s="116"/>
      <c r="F265" s="116"/>
      <c r="G265" s="116"/>
      <c r="H265" s="116"/>
      <c r="I265" s="113">
        <f t="shared" si="1"/>
        <v>0</v>
      </c>
    </row>
    <row r="266">
      <c r="A266" s="111" t="str">
        <f>IF(B266="","",VLOOKUP(B266,'Mitglieder BBU'!A:K,6,0))</f>
        <v/>
      </c>
      <c r="B266" s="117"/>
      <c r="C266" s="116"/>
      <c r="D266" s="116"/>
      <c r="E266" s="116"/>
      <c r="F266" s="116"/>
      <c r="G266" s="116"/>
      <c r="H266" s="116"/>
      <c r="I266" s="113">
        <f t="shared" si="1"/>
        <v>0</v>
      </c>
    </row>
    <row r="267">
      <c r="A267" s="111" t="str">
        <f>IF(B267="","",VLOOKUP(B267,'Mitglieder BBU'!A:K,6,0))</f>
        <v/>
      </c>
      <c r="B267" s="117"/>
      <c r="C267" s="116"/>
      <c r="D267" s="116"/>
      <c r="E267" s="116"/>
      <c r="F267" s="116"/>
      <c r="G267" s="116"/>
      <c r="H267" s="116"/>
      <c r="I267" s="113">
        <f t="shared" si="1"/>
        <v>0</v>
      </c>
    </row>
    <row r="268">
      <c r="A268" s="111" t="str">
        <f>IF(B268="","",VLOOKUP(B268,'Mitglieder BBU'!A:K,6,0))</f>
        <v/>
      </c>
      <c r="B268" s="117"/>
      <c r="C268" s="116"/>
      <c r="D268" s="116"/>
      <c r="E268" s="116"/>
      <c r="F268" s="116"/>
      <c r="G268" s="116"/>
      <c r="H268" s="116"/>
      <c r="I268" s="113">
        <f t="shared" si="1"/>
        <v>0</v>
      </c>
    </row>
    <row r="269">
      <c r="A269" s="111" t="str">
        <f>IF(B269="","",VLOOKUP(B269,'Mitglieder BBU'!A:K,6,0))</f>
        <v/>
      </c>
      <c r="B269" s="117"/>
      <c r="C269" s="116"/>
      <c r="D269" s="116"/>
      <c r="E269" s="116"/>
      <c r="F269" s="116"/>
      <c r="G269" s="116"/>
      <c r="H269" s="116"/>
      <c r="I269" s="113">
        <f t="shared" si="1"/>
        <v>0</v>
      </c>
    </row>
    <row r="270">
      <c r="A270" s="111" t="str">
        <f>IF(B270="","",VLOOKUP(B270,'Mitglieder BBU'!A:K,6,0))</f>
        <v/>
      </c>
      <c r="B270" s="117"/>
      <c r="C270" s="116"/>
      <c r="D270" s="116"/>
      <c r="E270" s="116"/>
      <c r="F270" s="116"/>
      <c r="G270" s="116"/>
      <c r="H270" s="116"/>
      <c r="I270" s="113">
        <f t="shared" si="1"/>
        <v>0</v>
      </c>
    </row>
    <row r="271">
      <c r="A271" s="111" t="str">
        <f>IF(B271="","",VLOOKUP(B271,'Mitglieder BBU'!A:K,6,0))</f>
        <v/>
      </c>
      <c r="B271" s="117"/>
      <c r="C271" s="116"/>
      <c r="D271" s="116"/>
      <c r="E271" s="116"/>
      <c r="F271" s="116"/>
      <c r="G271" s="116"/>
      <c r="H271" s="116"/>
      <c r="I271" s="113">
        <f t="shared" si="1"/>
        <v>0</v>
      </c>
    </row>
    <row r="272">
      <c r="A272" s="111" t="str">
        <f>IF(B272="","",VLOOKUP(B272,'Mitglieder BBU'!A:K,6,0))</f>
        <v/>
      </c>
      <c r="B272" s="117"/>
      <c r="C272" s="116"/>
      <c r="D272" s="116"/>
      <c r="E272" s="116"/>
      <c r="F272" s="116"/>
      <c r="G272" s="116"/>
      <c r="H272" s="116"/>
      <c r="I272" s="113">
        <f t="shared" si="1"/>
        <v>0</v>
      </c>
    </row>
    <row r="273">
      <c r="A273" s="111" t="str">
        <f>IF(B273="","",VLOOKUP(B273,'Mitglieder BBU'!A:K,6,0))</f>
        <v/>
      </c>
      <c r="B273" s="117"/>
      <c r="C273" s="116"/>
      <c r="D273" s="116"/>
      <c r="E273" s="116"/>
      <c r="F273" s="116"/>
      <c r="G273" s="116"/>
      <c r="H273" s="116"/>
      <c r="I273" s="113">
        <f t="shared" si="1"/>
        <v>0</v>
      </c>
    </row>
    <row r="274">
      <c r="A274" s="111" t="str">
        <f>IF(B274="","",VLOOKUP(B274,'Mitglieder BBU'!A:K,6,0))</f>
        <v/>
      </c>
      <c r="B274" s="117"/>
      <c r="C274" s="116"/>
      <c r="D274" s="116"/>
      <c r="E274" s="116"/>
      <c r="F274" s="116"/>
      <c r="G274" s="116"/>
      <c r="H274" s="116"/>
      <c r="I274" s="113">
        <f t="shared" si="1"/>
        <v>0</v>
      </c>
    </row>
    <row r="275">
      <c r="A275" s="111" t="str">
        <f>IF(B275="","",VLOOKUP(B275,'Mitglieder BBU'!A:K,6,0))</f>
        <v/>
      </c>
      <c r="B275" s="117"/>
      <c r="C275" s="116"/>
      <c r="D275" s="116"/>
      <c r="E275" s="116"/>
      <c r="F275" s="116"/>
      <c r="G275" s="116"/>
      <c r="H275" s="116"/>
      <c r="I275" s="113">
        <f t="shared" si="1"/>
        <v>0</v>
      </c>
    </row>
    <row r="276">
      <c r="A276" s="111" t="str">
        <f>IF(B276="","",VLOOKUP(B276,'Mitglieder BBU'!A:K,6,0))</f>
        <v/>
      </c>
      <c r="B276" s="117"/>
      <c r="C276" s="116"/>
      <c r="D276" s="116"/>
      <c r="E276" s="116"/>
      <c r="F276" s="116"/>
      <c r="G276" s="116"/>
      <c r="H276" s="116"/>
      <c r="I276" s="113">
        <f t="shared" si="1"/>
        <v>0</v>
      </c>
    </row>
    <row r="277">
      <c r="A277" s="111" t="str">
        <f>IF(B277="","",VLOOKUP(B277,'Mitglieder BBU'!A:K,6,0))</f>
        <v/>
      </c>
      <c r="B277" s="117"/>
      <c r="C277" s="116"/>
      <c r="D277" s="116"/>
      <c r="E277" s="116"/>
      <c r="F277" s="116"/>
      <c r="G277" s="116"/>
      <c r="H277" s="116"/>
      <c r="I277" s="113">
        <f t="shared" si="1"/>
        <v>0</v>
      </c>
    </row>
    <row r="278">
      <c r="A278" s="111" t="str">
        <f>IF(B278="","",VLOOKUP(B278,'Mitglieder BBU'!A:K,6,0))</f>
        <v/>
      </c>
      <c r="B278" s="117"/>
      <c r="C278" s="116"/>
      <c r="D278" s="116"/>
      <c r="E278" s="116"/>
      <c r="F278" s="116"/>
      <c r="G278" s="116"/>
      <c r="H278" s="116"/>
      <c r="I278" s="113">
        <f t="shared" si="1"/>
        <v>0</v>
      </c>
    </row>
    <row r="279">
      <c r="A279" s="111" t="str">
        <f>IF(B279="","",VLOOKUP(B279,'Mitglieder BBU'!A:K,6,0))</f>
        <v/>
      </c>
      <c r="B279" s="117"/>
      <c r="C279" s="116"/>
      <c r="D279" s="116"/>
      <c r="E279" s="116"/>
      <c r="F279" s="116"/>
      <c r="G279" s="116"/>
      <c r="H279" s="116"/>
      <c r="I279" s="113">
        <f t="shared" si="1"/>
        <v>0</v>
      </c>
    </row>
    <row r="280">
      <c r="A280" s="111" t="str">
        <f>IF(B280="","",VLOOKUP(B280,'Mitglieder BBU'!A:K,6,0))</f>
        <v/>
      </c>
      <c r="B280" s="117"/>
      <c r="C280" s="116"/>
      <c r="D280" s="116"/>
      <c r="E280" s="116"/>
      <c r="F280" s="116"/>
      <c r="G280" s="116"/>
      <c r="H280" s="116"/>
      <c r="I280" s="113">
        <f t="shared" si="1"/>
        <v>0</v>
      </c>
    </row>
    <row r="281">
      <c r="A281" s="111" t="str">
        <f>IF(B281="","",VLOOKUP(B281,'Mitglieder BBU'!A:K,6,0))</f>
        <v/>
      </c>
      <c r="B281" s="117"/>
      <c r="C281" s="116"/>
      <c r="D281" s="116"/>
      <c r="E281" s="116"/>
      <c r="F281" s="116"/>
      <c r="G281" s="116"/>
      <c r="H281" s="116"/>
      <c r="I281" s="113">
        <f t="shared" si="1"/>
        <v>0</v>
      </c>
    </row>
    <row r="282">
      <c r="A282" s="111" t="str">
        <f>IF(B282="","",VLOOKUP(B282,'Mitglieder BBU'!A:K,6,0))</f>
        <v/>
      </c>
      <c r="B282" s="117"/>
      <c r="C282" s="116"/>
      <c r="D282" s="116"/>
      <c r="E282" s="116"/>
      <c r="F282" s="116"/>
      <c r="G282" s="116"/>
      <c r="H282" s="116"/>
      <c r="I282" s="113">
        <f t="shared" si="1"/>
        <v>0</v>
      </c>
    </row>
    <row r="283">
      <c r="A283" s="111" t="str">
        <f>IF(B283="","",VLOOKUP(B283,'Mitglieder BBU'!A:K,6,0))</f>
        <v/>
      </c>
      <c r="B283" s="117"/>
      <c r="C283" s="116"/>
      <c r="D283" s="116"/>
      <c r="E283" s="116"/>
      <c r="F283" s="116"/>
      <c r="G283" s="116"/>
      <c r="H283" s="116"/>
      <c r="I283" s="113">
        <f t="shared" si="1"/>
        <v>0</v>
      </c>
    </row>
    <row r="284">
      <c r="A284" s="111" t="str">
        <f>IF(B284="","",VLOOKUP(B284,'Mitglieder BBU'!A:K,6,0))</f>
        <v/>
      </c>
      <c r="B284" s="117"/>
      <c r="C284" s="116"/>
      <c r="D284" s="116"/>
      <c r="E284" s="116"/>
      <c r="F284" s="116"/>
      <c r="G284" s="116"/>
      <c r="H284" s="116"/>
      <c r="I284" s="113">
        <f t="shared" si="1"/>
        <v>0</v>
      </c>
    </row>
    <row r="285">
      <c r="A285" s="111" t="str">
        <f>IF(B285="","",VLOOKUP(B285,'Mitglieder BBU'!A:K,6,0))</f>
        <v/>
      </c>
      <c r="B285" s="117"/>
      <c r="C285" s="116"/>
      <c r="D285" s="116"/>
      <c r="E285" s="116"/>
      <c r="F285" s="116"/>
      <c r="G285" s="116"/>
      <c r="H285" s="116"/>
      <c r="I285" s="113">
        <f t="shared" si="1"/>
        <v>0</v>
      </c>
    </row>
    <row r="286">
      <c r="A286" s="111" t="str">
        <f>IF(B286="","",VLOOKUP(B286,'Mitglieder BBU'!A:K,6,0))</f>
        <v/>
      </c>
      <c r="B286" s="117"/>
      <c r="C286" s="116"/>
      <c r="D286" s="116"/>
      <c r="E286" s="116"/>
      <c r="F286" s="116"/>
      <c r="G286" s="116"/>
      <c r="H286" s="116"/>
      <c r="I286" s="113">
        <f t="shared" si="1"/>
        <v>0</v>
      </c>
    </row>
    <row r="287">
      <c r="A287" s="111" t="str">
        <f>IF(B287="","",VLOOKUP(B287,'Mitglieder BBU'!A:K,6,0))</f>
        <v/>
      </c>
      <c r="B287" s="117"/>
      <c r="C287" s="116"/>
      <c r="D287" s="116"/>
      <c r="E287" s="116"/>
      <c r="F287" s="116"/>
      <c r="G287" s="116"/>
      <c r="H287" s="116"/>
      <c r="I287" s="113">
        <f t="shared" si="1"/>
        <v>0</v>
      </c>
    </row>
    <row r="288">
      <c r="A288" s="111" t="str">
        <f>IF(B288="","",VLOOKUP(B288,'Mitglieder BBU'!A:K,6,0))</f>
        <v/>
      </c>
      <c r="B288" s="117"/>
      <c r="C288" s="116"/>
      <c r="D288" s="116"/>
      <c r="E288" s="116"/>
      <c r="F288" s="116"/>
      <c r="G288" s="116"/>
      <c r="H288" s="116"/>
      <c r="I288" s="113">
        <f t="shared" si="1"/>
        <v>0</v>
      </c>
    </row>
    <row r="289">
      <c r="A289" s="111" t="str">
        <f>IF(B289="","",VLOOKUP(B289,'Mitglieder BBU'!A:K,6,0))</f>
        <v/>
      </c>
      <c r="B289" s="117"/>
      <c r="C289" s="116"/>
      <c r="D289" s="116"/>
      <c r="E289" s="116"/>
      <c r="F289" s="116"/>
      <c r="G289" s="116"/>
      <c r="H289" s="116"/>
      <c r="I289" s="113">
        <f t="shared" si="1"/>
        <v>0</v>
      </c>
    </row>
    <row r="290">
      <c r="A290" s="111" t="str">
        <f>IF(B290="","",VLOOKUP(B290,'Mitglieder BBU'!A:K,6,0))</f>
        <v/>
      </c>
      <c r="B290" s="117"/>
      <c r="C290" s="116"/>
      <c r="D290" s="116"/>
      <c r="E290" s="116"/>
      <c r="F290" s="116"/>
      <c r="G290" s="116"/>
      <c r="H290" s="116"/>
      <c r="I290" s="113">
        <f t="shared" si="1"/>
        <v>0</v>
      </c>
    </row>
    <row r="291">
      <c r="A291" s="111" t="str">
        <f>IF(B291="","",VLOOKUP(B291,'Mitglieder BBU'!A:K,6,0))</f>
        <v/>
      </c>
      <c r="B291" s="117"/>
      <c r="C291" s="116"/>
      <c r="D291" s="116"/>
      <c r="E291" s="116"/>
      <c r="F291" s="116"/>
      <c r="G291" s="116"/>
      <c r="H291" s="116"/>
      <c r="I291" s="113">
        <f t="shared" si="1"/>
        <v>0</v>
      </c>
    </row>
    <row r="292">
      <c r="A292" s="111" t="str">
        <f>IF(B292="","",VLOOKUP(B292,'Mitglieder BBU'!A:K,6,0))</f>
        <v/>
      </c>
      <c r="B292" s="117"/>
      <c r="C292" s="116"/>
      <c r="D292" s="116"/>
      <c r="E292" s="116"/>
      <c r="F292" s="116"/>
      <c r="G292" s="116"/>
      <c r="H292" s="116"/>
      <c r="I292" s="113">
        <f t="shared" si="1"/>
        <v>0</v>
      </c>
    </row>
    <row r="293">
      <c r="A293" s="111" t="str">
        <f>IF(B293="","",VLOOKUP(B293,'Mitglieder BBU'!A:K,6,0))</f>
        <v/>
      </c>
      <c r="B293" s="117"/>
      <c r="C293" s="116"/>
      <c r="D293" s="116"/>
      <c r="E293" s="116"/>
      <c r="F293" s="116"/>
      <c r="G293" s="116"/>
      <c r="H293" s="116"/>
      <c r="I293" s="113">
        <f t="shared" si="1"/>
        <v>0</v>
      </c>
    </row>
    <row r="294">
      <c r="A294" s="111" t="str">
        <f>IF(B294="","",VLOOKUP(B294,'Mitglieder BBU'!A:K,6,0))</f>
        <v/>
      </c>
      <c r="B294" s="117"/>
      <c r="C294" s="116"/>
      <c r="D294" s="116"/>
      <c r="E294" s="116"/>
      <c r="F294" s="116"/>
      <c r="G294" s="116"/>
      <c r="H294" s="116"/>
      <c r="I294" s="113">
        <f t="shared" si="1"/>
        <v>0</v>
      </c>
    </row>
    <row r="295">
      <c r="A295" s="111" t="str">
        <f>IF(B295="","",VLOOKUP(B295,'Mitglieder BBU'!A:K,6,0))</f>
        <v/>
      </c>
      <c r="B295" s="117"/>
      <c r="C295" s="116"/>
      <c r="D295" s="116"/>
      <c r="E295" s="116"/>
      <c r="F295" s="116"/>
      <c r="G295" s="116"/>
      <c r="H295" s="116"/>
      <c r="I295" s="113">
        <f t="shared" si="1"/>
        <v>0</v>
      </c>
    </row>
    <row r="296">
      <c r="A296" s="111" t="str">
        <f>IF(B296="","",VLOOKUP(B296,'Mitglieder BBU'!A:K,6,0))</f>
        <v/>
      </c>
      <c r="B296" s="117"/>
      <c r="C296" s="116"/>
      <c r="D296" s="116"/>
      <c r="E296" s="116"/>
      <c r="F296" s="116"/>
      <c r="G296" s="116"/>
      <c r="H296" s="116"/>
      <c r="I296" s="113">
        <f t="shared" si="1"/>
        <v>0</v>
      </c>
    </row>
    <row r="297">
      <c r="A297" s="111" t="str">
        <f>IF(B297="","",VLOOKUP(B297,'Mitglieder BBU'!A:K,6,0))</f>
        <v/>
      </c>
      <c r="B297" s="117"/>
      <c r="C297" s="116"/>
      <c r="D297" s="116"/>
      <c r="E297" s="116"/>
      <c r="F297" s="116"/>
      <c r="G297" s="116"/>
      <c r="H297" s="116"/>
      <c r="I297" s="113">
        <f t="shared" si="1"/>
        <v>0</v>
      </c>
    </row>
    <row r="298">
      <c r="A298" s="111" t="str">
        <f>IF(B298="","",VLOOKUP(B298,'Mitglieder BBU'!A:K,6,0))</f>
        <v/>
      </c>
      <c r="B298" s="117"/>
      <c r="C298" s="116"/>
      <c r="D298" s="116"/>
      <c r="E298" s="116"/>
      <c r="F298" s="116"/>
      <c r="G298" s="116"/>
      <c r="H298" s="116"/>
      <c r="I298" s="113">
        <f t="shared" si="1"/>
        <v>0</v>
      </c>
    </row>
    <row r="299">
      <c r="A299" s="111" t="str">
        <f>IF(B299="","",VLOOKUP(B299,'Mitglieder BBU'!A:K,6,0))</f>
        <v/>
      </c>
      <c r="B299" s="117"/>
      <c r="C299" s="116"/>
      <c r="D299" s="116"/>
      <c r="E299" s="116"/>
      <c r="F299" s="116"/>
      <c r="G299" s="116"/>
      <c r="H299" s="116"/>
      <c r="I299" s="113">
        <f t="shared" si="1"/>
        <v>0</v>
      </c>
    </row>
    <row r="300">
      <c r="A300" s="111" t="str">
        <f>IF(B300="","",VLOOKUP(B300,'Mitglieder BBU'!A:K,6,0))</f>
        <v/>
      </c>
      <c r="B300" s="117"/>
      <c r="C300" s="116"/>
      <c r="D300" s="116"/>
      <c r="E300" s="116"/>
      <c r="F300" s="116"/>
      <c r="G300" s="116"/>
      <c r="H300" s="116"/>
      <c r="I300" s="113">
        <f t="shared" si="1"/>
        <v>0</v>
      </c>
    </row>
    <row r="301">
      <c r="A301" s="111" t="str">
        <f>IF(B301="","",VLOOKUP(B301,'Mitglieder BBU'!A:K,6,0))</f>
        <v/>
      </c>
      <c r="B301" s="117"/>
      <c r="C301" s="116"/>
      <c r="D301" s="116"/>
      <c r="E301" s="116"/>
      <c r="F301" s="116"/>
      <c r="G301" s="116"/>
      <c r="H301" s="116"/>
      <c r="I301" s="113">
        <f t="shared" si="1"/>
        <v>0</v>
      </c>
    </row>
    <row r="302">
      <c r="A302" s="111" t="str">
        <f>IF(B302="","",VLOOKUP(B302,'Mitglieder BBU'!A:K,6,0))</f>
        <v/>
      </c>
      <c r="B302" s="117"/>
      <c r="C302" s="116"/>
      <c r="D302" s="116"/>
      <c r="E302" s="116"/>
      <c r="F302" s="116"/>
      <c r="G302" s="116"/>
      <c r="H302" s="116"/>
      <c r="I302" s="113">
        <f t="shared" si="1"/>
        <v>0</v>
      </c>
    </row>
    <row r="303">
      <c r="A303" s="111" t="str">
        <f>IF(B303="","",VLOOKUP(B303,'Mitglieder BBU'!A:K,6,0))</f>
        <v/>
      </c>
      <c r="B303" s="117"/>
      <c r="C303" s="116"/>
      <c r="D303" s="116"/>
      <c r="E303" s="116"/>
      <c r="F303" s="116"/>
      <c r="G303" s="116"/>
      <c r="H303" s="116"/>
      <c r="I303" s="113">
        <f t="shared" si="1"/>
        <v>0</v>
      </c>
    </row>
    <row r="304">
      <c r="A304" s="111" t="str">
        <f>IF(B304="","",VLOOKUP(B304,'Mitglieder BBU'!A:K,6,0))</f>
        <v/>
      </c>
      <c r="B304" s="117"/>
      <c r="C304" s="116"/>
      <c r="D304" s="116"/>
      <c r="E304" s="116"/>
      <c r="F304" s="116"/>
      <c r="G304" s="116"/>
      <c r="H304" s="116"/>
      <c r="I304" s="113">
        <f t="shared" si="1"/>
        <v>0</v>
      </c>
    </row>
    <row r="305">
      <c r="A305" s="111" t="str">
        <f>IF(B305="","",VLOOKUP(B305,'Mitglieder BBU'!A:K,6,0))</f>
        <v/>
      </c>
      <c r="B305" s="117"/>
      <c r="C305" s="116"/>
      <c r="D305" s="116"/>
      <c r="E305" s="116"/>
      <c r="F305" s="116"/>
      <c r="G305" s="116"/>
      <c r="H305" s="116"/>
      <c r="I305" s="113">
        <f t="shared" si="1"/>
        <v>0</v>
      </c>
    </row>
    <row r="306">
      <c r="A306" s="111" t="str">
        <f>IF(B306="","",VLOOKUP(B306,'Mitglieder BBU'!A:K,6,0))</f>
        <v/>
      </c>
      <c r="B306" s="117"/>
      <c r="C306" s="116"/>
      <c r="D306" s="116"/>
      <c r="E306" s="116"/>
      <c r="F306" s="116"/>
      <c r="G306" s="116"/>
      <c r="H306" s="116"/>
      <c r="I306" s="113">
        <f t="shared" si="1"/>
        <v>0</v>
      </c>
    </row>
    <row r="307">
      <c r="A307" s="111" t="str">
        <f>IF(B307="","",VLOOKUP(B307,'Mitglieder BBU'!A:K,6,0))</f>
        <v/>
      </c>
      <c r="B307" s="117"/>
      <c r="C307" s="116"/>
      <c r="D307" s="116"/>
      <c r="E307" s="116"/>
      <c r="F307" s="116"/>
      <c r="G307" s="116"/>
      <c r="H307" s="116"/>
      <c r="I307" s="113">
        <f t="shared" si="1"/>
        <v>0</v>
      </c>
    </row>
    <row r="308">
      <c r="A308" s="111" t="str">
        <f>IF(B308="","",VLOOKUP(B308,'Mitglieder BBU'!A:K,6,0))</f>
        <v/>
      </c>
      <c r="B308" s="117"/>
      <c r="C308" s="116"/>
      <c r="D308" s="116"/>
      <c r="E308" s="116"/>
      <c r="F308" s="116"/>
      <c r="G308" s="116"/>
      <c r="H308" s="116"/>
      <c r="I308" s="113">
        <f t="shared" si="1"/>
        <v>0</v>
      </c>
    </row>
    <row r="309">
      <c r="A309" s="111" t="str">
        <f>IF(B309="","",VLOOKUP(B309,'Mitglieder BBU'!A:K,6,0))</f>
        <v/>
      </c>
      <c r="B309" s="117"/>
      <c r="C309" s="116"/>
      <c r="D309" s="116"/>
      <c r="E309" s="116"/>
      <c r="F309" s="116"/>
      <c r="G309" s="116"/>
      <c r="H309" s="116"/>
      <c r="I309" s="113">
        <f t="shared" si="1"/>
        <v>0</v>
      </c>
    </row>
    <row r="310">
      <c r="A310" s="111" t="str">
        <f>IF(B310="","",VLOOKUP(B310,'Mitglieder BBU'!A:K,6,0))</f>
        <v/>
      </c>
      <c r="B310" s="117"/>
      <c r="C310" s="116"/>
      <c r="D310" s="116"/>
      <c r="E310" s="116"/>
      <c r="F310" s="116"/>
      <c r="G310" s="116"/>
      <c r="H310" s="116"/>
      <c r="I310" s="113">
        <f t="shared" si="1"/>
        <v>0</v>
      </c>
    </row>
    <row r="311">
      <c r="A311" s="111" t="str">
        <f>IF(B311="","",VLOOKUP(B311,'Mitglieder BBU'!A:K,6,0))</f>
        <v/>
      </c>
      <c r="B311" s="117"/>
      <c r="C311" s="116"/>
      <c r="D311" s="116"/>
      <c r="E311" s="116"/>
      <c r="F311" s="116"/>
      <c r="G311" s="116"/>
      <c r="H311" s="116"/>
      <c r="I311" s="113">
        <f t="shared" si="1"/>
        <v>0</v>
      </c>
    </row>
    <row r="312">
      <c r="A312" s="111" t="str">
        <f>IF(B312="","",VLOOKUP(B312,'Mitglieder BBU'!A:K,6,0))</f>
        <v/>
      </c>
      <c r="B312" s="117"/>
      <c r="C312" s="116"/>
      <c r="D312" s="116"/>
      <c r="E312" s="116"/>
      <c r="F312" s="116"/>
      <c r="G312" s="116"/>
      <c r="H312" s="116"/>
      <c r="I312" s="113">
        <f t="shared" si="1"/>
        <v>0</v>
      </c>
    </row>
    <row r="313">
      <c r="A313" s="111" t="str">
        <f>IF(B313="","",VLOOKUP(B313,'Mitglieder BBU'!A:K,6,0))</f>
        <v/>
      </c>
      <c r="B313" s="117"/>
      <c r="C313" s="116"/>
      <c r="D313" s="116"/>
      <c r="E313" s="116"/>
      <c r="F313" s="116"/>
      <c r="G313" s="116"/>
      <c r="H313" s="116"/>
      <c r="I313" s="113">
        <f t="shared" si="1"/>
        <v>0</v>
      </c>
    </row>
    <row r="314">
      <c r="A314" s="111" t="str">
        <f>IF(B314="","",VLOOKUP(B314,'Mitglieder BBU'!A:K,6,0))</f>
        <v/>
      </c>
      <c r="B314" s="117"/>
      <c r="C314" s="116"/>
      <c r="D314" s="116"/>
      <c r="E314" s="116"/>
      <c r="F314" s="116"/>
      <c r="G314" s="116"/>
      <c r="H314" s="116"/>
      <c r="I314" s="113">
        <f t="shared" si="1"/>
        <v>0</v>
      </c>
    </row>
    <row r="315">
      <c r="A315" s="111" t="str">
        <f>IF(B315="","",VLOOKUP(B315,'Mitglieder BBU'!A:K,6,0))</f>
        <v/>
      </c>
      <c r="B315" s="117"/>
      <c r="C315" s="116"/>
      <c r="D315" s="116"/>
      <c r="E315" s="116"/>
      <c r="F315" s="116"/>
      <c r="G315" s="116"/>
      <c r="H315" s="116"/>
      <c r="I315" s="113">
        <f t="shared" si="1"/>
        <v>0</v>
      </c>
    </row>
    <row r="316">
      <c r="A316" s="111" t="str">
        <f>IF(B316="","",VLOOKUP(B316,'Mitglieder BBU'!A:K,6,0))</f>
        <v/>
      </c>
      <c r="B316" s="117"/>
      <c r="C316" s="116"/>
      <c r="D316" s="116"/>
      <c r="E316" s="116"/>
      <c r="F316" s="116"/>
      <c r="G316" s="116"/>
      <c r="H316" s="116"/>
      <c r="I316" s="113">
        <f t="shared" si="1"/>
        <v>0</v>
      </c>
    </row>
    <row r="317">
      <c r="A317" s="111" t="str">
        <f>IF(B317="","",VLOOKUP(B317,'Mitglieder BBU'!A:K,6,0))</f>
        <v/>
      </c>
      <c r="B317" s="117"/>
      <c r="C317" s="116"/>
      <c r="D317" s="116"/>
      <c r="E317" s="116"/>
      <c r="F317" s="116"/>
      <c r="G317" s="116"/>
      <c r="H317" s="116"/>
      <c r="I317" s="113">
        <f t="shared" si="1"/>
        <v>0</v>
      </c>
    </row>
    <row r="318">
      <c r="A318" s="111" t="str">
        <f>IF(B318="","",VLOOKUP(B318,'Mitglieder BBU'!A:K,6,0))</f>
        <v/>
      </c>
      <c r="B318" s="117"/>
      <c r="C318" s="116"/>
      <c r="D318" s="116"/>
      <c r="E318" s="116"/>
      <c r="F318" s="116"/>
      <c r="G318" s="116"/>
      <c r="H318" s="116"/>
      <c r="I318" s="113">
        <f t="shared" si="1"/>
        <v>0</v>
      </c>
    </row>
    <row r="319">
      <c r="A319" s="111" t="str">
        <f>IF(B319="","",VLOOKUP(B319,'Mitglieder BBU'!A:K,6,0))</f>
        <v/>
      </c>
      <c r="B319" s="117"/>
      <c r="C319" s="116"/>
      <c r="D319" s="116"/>
      <c r="E319" s="116"/>
      <c r="F319" s="116"/>
      <c r="G319" s="116"/>
      <c r="H319" s="116"/>
      <c r="I319" s="113">
        <f t="shared" si="1"/>
        <v>0</v>
      </c>
    </row>
    <row r="320">
      <c r="A320" s="111" t="str">
        <f>IF(B320="","",VLOOKUP(B320,'Mitglieder BBU'!A:K,6,0))</f>
        <v/>
      </c>
      <c r="B320" s="117"/>
      <c r="C320" s="116"/>
      <c r="D320" s="116"/>
      <c r="E320" s="116"/>
      <c r="F320" s="116"/>
      <c r="G320" s="116"/>
      <c r="H320" s="116"/>
      <c r="I320" s="113">
        <f t="shared" si="1"/>
        <v>0</v>
      </c>
    </row>
    <row r="321">
      <c r="A321" s="111" t="str">
        <f>IF(B321="","",VLOOKUP(B321,'Mitglieder BBU'!A:K,6,0))</f>
        <v/>
      </c>
      <c r="B321" s="117"/>
      <c r="C321" s="116"/>
      <c r="D321" s="116"/>
      <c r="E321" s="116"/>
      <c r="F321" s="116"/>
      <c r="G321" s="116"/>
      <c r="H321" s="116"/>
      <c r="I321" s="113">
        <f t="shared" si="1"/>
        <v>0</v>
      </c>
    </row>
    <row r="322">
      <c r="A322" s="111" t="str">
        <f>IF(B322="","",VLOOKUP(B322,'Mitglieder BBU'!A:K,6,0))</f>
        <v/>
      </c>
      <c r="B322" s="117"/>
      <c r="C322" s="116"/>
      <c r="D322" s="116"/>
      <c r="E322" s="116"/>
      <c r="F322" s="116"/>
      <c r="G322" s="116"/>
      <c r="H322" s="116"/>
      <c r="I322" s="113">
        <f t="shared" si="1"/>
        <v>0</v>
      </c>
    </row>
    <row r="323">
      <c r="A323" s="111" t="str">
        <f>IF(B323="","",VLOOKUP(B323,'Mitglieder BBU'!A:K,6,0))</f>
        <v/>
      </c>
      <c r="B323" s="117"/>
      <c r="C323" s="116"/>
      <c r="D323" s="116"/>
      <c r="E323" s="116"/>
      <c r="F323" s="116"/>
      <c r="G323" s="116"/>
      <c r="H323" s="116"/>
      <c r="I323" s="113">
        <f t="shared" si="1"/>
        <v>0</v>
      </c>
    </row>
    <row r="324">
      <c r="A324" s="111" t="str">
        <f>IF(B324="","",VLOOKUP(B324,'Mitglieder BBU'!A:K,6,0))</f>
        <v/>
      </c>
      <c r="B324" s="117"/>
      <c r="C324" s="116"/>
      <c r="D324" s="116"/>
      <c r="E324" s="116"/>
      <c r="F324" s="116"/>
      <c r="G324" s="116"/>
      <c r="H324" s="116"/>
      <c r="I324" s="113">
        <f t="shared" si="1"/>
        <v>0</v>
      </c>
    </row>
    <row r="325">
      <c r="A325" s="111" t="str">
        <f>IF(B325="","",VLOOKUP(B325,'Mitglieder BBU'!A:K,6,0))</f>
        <v/>
      </c>
      <c r="B325" s="117"/>
      <c r="C325" s="116"/>
      <c r="D325" s="116"/>
      <c r="E325" s="116"/>
      <c r="F325" s="116"/>
      <c r="G325" s="116"/>
      <c r="H325" s="116"/>
      <c r="I325" s="113">
        <f t="shared" si="1"/>
        <v>0</v>
      </c>
    </row>
    <row r="326">
      <c r="A326" s="111" t="str">
        <f>IF(B326="","",VLOOKUP(B326,'Mitglieder BBU'!A:K,6,0))</f>
        <v/>
      </c>
      <c r="B326" s="117"/>
      <c r="C326" s="116"/>
      <c r="D326" s="116"/>
      <c r="E326" s="116"/>
      <c r="F326" s="116"/>
      <c r="G326" s="116"/>
      <c r="H326" s="116"/>
      <c r="I326" s="113">
        <f t="shared" si="1"/>
        <v>0</v>
      </c>
    </row>
    <row r="327">
      <c r="A327" s="111" t="str">
        <f>IF(B327="","",VLOOKUP(B327,'Mitglieder BBU'!A:K,6,0))</f>
        <v/>
      </c>
      <c r="B327" s="117"/>
      <c r="C327" s="116"/>
      <c r="D327" s="116"/>
      <c r="E327" s="116"/>
      <c r="F327" s="116"/>
      <c r="G327" s="116"/>
      <c r="H327" s="116"/>
      <c r="I327" s="113">
        <f t="shared" si="1"/>
        <v>0</v>
      </c>
    </row>
    <row r="328">
      <c r="A328" s="111" t="str">
        <f>IF(B328="","",VLOOKUP(B328,'Mitglieder BBU'!A:K,6,0))</f>
        <v/>
      </c>
      <c r="B328" s="117"/>
      <c r="C328" s="116"/>
      <c r="D328" s="116"/>
      <c r="E328" s="116"/>
      <c r="F328" s="116"/>
      <c r="G328" s="116"/>
      <c r="H328" s="116"/>
      <c r="I328" s="113">
        <f t="shared" si="1"/>
        <v>0</v>
      </c>
    </row>
    <row r="329">
      <c r="A329" s="111" t="str">
        <f>IF(B329="","",VLOOKUP(B329,'Mitglieder BBU'!A:K,6,0))</f>
        <v/>
      </c>
      <c r="B329" s="117"/>
      <c r="C329" s="116"/>
      <c r="D329" s="116"/>
      <c r="E329" s="116"/>
      <c r="F329" s="116"/>
      <c r="G329" s="116"/>
      <c r="H329" s="116"/>
      <c r="I329" s="113">
        <f t="shared" si="1"/>
        <v>0</v>
      </c>
    </row>
    <row r="330">
      <c r="A330" s="111" t="str">
        <f>IF(B330="","",VLOOKUP(B330,'Mitglieder BBU'!A:K,6,0))</f>
        <v/>
      </c>
      <c r="B330" s="117"/>
      <c r="C330" s="116"/>
      <c r="D330" s="116"/>
      <c r="E330" s="116"/>
      <c r="F330" s="116"/>
      <c r="G330" s="116"/>
      <c r="H330" s="116"/>
      <c r="I330" s="113">
        <f t="shared" si="1"/>
        <v>0</v>
      </c>
    </row>
    <row r="331">
      <c r="A331" s="111" t="str">
        <f>IF(B331="","",VLOOKUP(B331,'Mitglieder BBU'!A:K,6,0))</f>
        <v/>
      </c>
      <c r="B331" s="117"/>
      <c r="C331" s="116"/>
      <c r="D331" s="116"/>
      <c r="E331" s="116"/>
      <c r="F331" s="116"/>
      <c r="G331" s="116"/>
      <c r="H331" s="116"/>
      <c r="I331" s="113">
        <f t="shared" si="1"/>
        <v>0</v>
      </c>
    </row>
    <row r="332">
      <c r="A332" s="111" t="str">
        <f>IF(B332="","",VLOOKUP(B332,'Mitglieder BBU'!A:K,6,0))</f>
        <v/>
      </c>
      <c r="B332" s="117"/>
      <c r="C332" s="116"/>
      <c r="D332" s="116"/>
      <c r="E332" s="116"/>
      <c r="F332" s="116"/>
      <c r="G332" s="116"/>
      <c r="H332" s="116"/>
      <c r="I332" s="113">
        <f t="shared" si="1"/>
        <v>0</v>
      </c>
    </row>
    <row r="333">
      <c r="A333" s="111" t="str">
        <f>IF(B333="","",VLOOKUP(B333,'Mitglieder BBU'!A:K,6,0))</f>
        <v/>
      </c>
      <c r="B333" s="117"/>
      <c r="C333" s="116"/>
      <c r="D333" s="116"/>
      <c r="E333" s="116"/>
      <c r="F333" s="116"/>
      <c r="G333" s="116"/>
      <c r="H333" s="116"/>
      <c r="I333" s="113">
        <f t="shared" si="1"/>
        <v>0</v>
      </c>
    </row>
    <row r="334">
      <c r="A334" s="111" t="str">
        <f>IF(B334="","",VLOOKUP(B334,'Mitglieder BBU'!A:K,6,0))</f>
        <v/>
      </c>
      <c r="B334" s="117"/>
      <c r="C334" s="116"/>
      <c r="D334" s="116"/>
      <c r="E334" s="116"/>
      <c r="F334" s="116"/>
      <c r="G334" s="116"/>
      <c r="H334" s="116"/>
      <c r="I334" s="113">
        <f t="shared" si="1"/>
        <v>0</v>
      </c>
    </row>
    <row r="335">
      <c r="A335" s="111" t="str">
        <f>IF(B335="","",VLOOKUP(B335,'Mitglieder BBU'!A:K,6,0))</f>
        <v/>
      </c>
      <c r="B335" s="117"/>
      <c r="C335" s="116"/>
      <c r="D335" s="116"/>
      <c r="E335" s="116"/>
      <c r="F335" s="116"/>
      <c r="G335" s="116"/>
      <c r="H335" s="116"/>
      <c r="I335" s="113">
        <f t="shared" si="1"/>
        <v>0</v>
      </c>
    </row>
    <row r="336">
      <c r="A336" s="111" t="str">
        <f>IF(B336="","",VLOOKUP(B336,'Mitglieder BBU'!A:K,6,0))</f>
        <v/>
      </c>
      <c r="B336" s="117"/>
      <c r="C336" s="116"/>
      <c r="D336" s="116"/>
      <c r="E336" s="116"/>
      <c r="F336" s="116"/>
      <c r="G336" s="116"/>
      <c r="H336" s="116"/>
      <c r="I336" s="113">
        <f t="shared" si="1"/>
        <v>0</v>
      </c>
    </row>
    <row r="337">
      <c r="A337" s="111" t="str">
        <f>IF(B337="","",VLOOKUP(B337,'Mitglieder BBU'!A:K,6,0))</f>
        <v/>
      </c>
      <c r="B337" s="117"/>
      <c r="C337" s="116"/>
      <c r="D337" s="116"/>
      <c r="E337" s="116"/>
      <c r="F337" s="116"/>
      <c r="G337" s="116"/>
      <c r="H337" s="116"/>
      <c r="I337" s="113">
        <f t="shared" si="1"/>
        <v>0</v>
      </c>
    </row>
    <row r="338">
      <c r="A338" s="111" t="str">
        <f>IF(B338="","",VLOOKUP(B338,'Mitglieder BBU'!A:K,6,0))</f>
        <v/>
      </c>
      <c r="B338" s="118"/>
      <c r="C338" s="116"/>
      <c r="D338" s="116"/>
      <c r="E338" s="116"/>
      <c r="F338" s="116"/>
      <c r="G338" s="116"/>
      <c r="H338" s="116"/>
      <c r="I338" s="113">
        <f t="shared" si="1"/>
        <v>0</v>
      </c>
    </row>
    <row r="339">
      <c r="A339" s="111" t="str">
        <f>IF(B339="","",VLOOKUP(B339,'Mitglieder BBU'!A:K,6,0))</f>
        <v/>
      </c>
      <c r="B339" s="118"/>
      <c r="C339" s="116"/>
      <c r="D339" s="116"/>
      <c r="E339" s="116"/>
      <c r="F339" s="116"/>
      <c r="G339" s="116"/>
      <c r="H339" s="116"/>
      <c r="I339" s="113">
        <f t="shared" si="1"/>
        <v>0</v>
      </c>
    </row>
    <row r="340">
      <c r="A340" s="111" t="str">
        <f>IF(B340="","",VLOOKUP(B340,'Mitglieder BBU'!A:K,6,0))</f>
        <v/>
      </c>
      <c r="B340" s="118"/>
      <c r="C340" s="116"/>
      <c r="D340" s="116"/>
      <c r="E340" s="116"/>
      <c r="F340" s="116"/>
      <c r="G340" s="116"/>
      <c r="H340" s="116"/>
      <c r="I340" s="113">
        <f t="shared" si="1"/>
        <v>0</v>
      </c>
    </row>
    <row r="341">
      <c r="A341" s="111" t="str">
        <f>IF(B341="","",VLOOKUP(B341,'Mitglieder BBU'!A:K,6,0))</f>
        <v/>
      </c>
      <c r="B341" s="118"/>
      <c r="C341" s="116"/>
      <c r="D341" s="116"/>
      <c r="E341" s="116"/>
      <c r="F341" s="116"/>
      <c r="G341" s="116"/>
      <c r="H341" s="116"/>
      <c r="I341" s="113">
        <f t="shared" si="1"/>
        <v>0</v>
      </c>
    </row>
    <row r="342">
      <c r="A342" s="111" t="str">
        <f>IF(B342="","",VLOOKUP(B342,'Mitglieder BBU'!A:K,6,0))</f>
        <v/>
      </c>
      <c r="B342" s="118"/>
      <c r="C342" s="116"/>
      <c r="D342" s="116"/>
      <c r="E342" s="116"/>
      <c r="F342" s="116"/>
      <c r="G342" s="116"/>
      <c r="H342" s="116"/>
      <c r="I342" s="113">
        <f t="shared" si="1"/>
        <v>0</v>
      </c>
    </row>
    <row r="343">
      <c r="A343" s="111" t="str">
        <f>IF(B343="","",VLOOKUP(B343,'Mitglieder BBU'!A:K,6,0))</f>
        <v/>
      </c>
      <c r="B343" s="118"/>
      <c r="C343" s="116"/>
      <c r="D343" s="116"/>
      <c r="E343" s="116"/>
      <c r="F343" s="116"/>
      <c r="G343" s="116"/>
      <c r="H343" s="116"/>
      <c r="I343" s="113">
        <f t="shared" si="1"/>
        <v>0</v>
      </c>
    </row>
    <row r="344">
      <c r="A344" s="111" t="str">
        <f>IF(B344="","",VLOOKUP(B344,'Mitglieder BBU'!A:K,6,0))</f>
        <v/>
      </c>
      <c r="B344" s="118"/>
      <c r="C344" s="116"/>
      <c r="D344" s="116"/>
      <c r="E344" s="116"/>
      <c r="F344" s="116"/>
      <c r="G344" s="116"/>
      <c r="H344" s="116"/>
      <c r="I344" s="113">
        <f t="shared" si="1"/>
        <v>0</v>
      </c>
    </row>
    <row r="345">
      <c r="A345" s="111" t="str">
        <f>IF(B345="","",VLOOKUP(B345,'Mitglieder BBU'!A:K,6,0))</f>
        <v/>
      </c>
      <c r="B345" s="118"/>
      <c r="C345" s="116"/>
      <c r="D345" s="116"/>
      <c r="E345" s="116"/>
      <c r="F345" s="116"/>
      <c r="G345" s="116"/>
      <c r="H345" s="116"/>
      <c r="I345" s="113">
        <f t="shared" si="1"/>
        <v>0</v>
      </c>
    </row>
    <row r="346">
      <c r="A346" s="111" t="str">
        <f>IF(B346="","",VLOOKUP(B346,'Mitglieder BBU'!A:K,6,0))</f>
        <v/>
      </c>
      <c r="B346" s="118"/>
      <c r="C346" s="116"/>
      <c r="D346" s="116"/>
      <c r="E346" s="116"/>
      <c r="F346" s="116"/>
      <c r="G346" s="116"/>
      <c r="H346" s="116"/>
      <c r="I346" s="113">
        <f t="shared" si="1"/>
        <v>0</v>
      </c>
    </row>
    <row r="347">
      <c r="A347" s="111" t="str">
        <f>IF(B347="","",VLOOKUP(B347,'Mitglieder BBU'!A:K,6,0))</f>
        <v/>
      </c>
      <c r="B347" s="118"/>
      <c r="C347" s="116"/>
      <c r="D347" s="116"/>
      <c r="E347" s="116"/>
      <c r="F347" s="116"/>
      <c r="G347" s="116"/>
      <c r="H347" s="116"/>
      <c r="I347" s="113">
        <f t="shared" si="1"/>
        <v>0</v>
      </c>
    </row>
    <row r="348">
      <c r="A348" s="111" t="str">
        <f>IF(B348="","",VLOOKUP(B348,'Mitglieder BBU'!A:K,6,0))</f>
        <v/>
      </c>
      <c r="B348" s="118"/>
      <c r="C348" s="116"/>
      <c r="D348" s="116"/>
      <c r="E348" s="116"/>
      <c r="F348" s="116"/>
      <c r="G348" s="116"/>
      <c r="H348" s="116"/>
      <c r="I348" s="113">
        <f t="shared" si="1"/>
        <v>0</v>
      </c>
    </row>
    <row r="349">
      <c r="A349" s="111" t="str">
        <f>IF(B349="","",VLOOKUP(B349,'Mitglieder BBU'!A:K,6,0))</f>
        <v/>
      </c>
      <c r="B349" s="118"/>
      <c r="C349" s="116"/>
      <c r="D349" s="116"/>
      <c r="E349" s="116"/>
      <c r="F349" s="116"/>
      <c r="G349" s="116"/>
      <c r="H349" s="116"/>
      <c r="I349" s="113">
        <f t="shared" si="1"/>
        <v>0</v>
      </c>
    </row>
    <row r="350">
      <c r="A350" s="111" t="str">
        <f>IF(B350="","",VLOOKUP(B350,'Mitglieder BBU'!A:K,6,0))</f>
        <v/>
      </c>
      <c r="B350" s="118"/>
      <c r="C350" s="116"/>
      <c r="D350" s="116"/>
      <c r="E350" s="116"/>
      <c r="F350" s="116"/>
      <c r="G350" s="116"/>
      <c r="H350" s="116"/>
      <c r="I350" s="113">
        <f t="shared" si="1"/>
        <v>0</v>
      </c>
    </row>
    <row r="351">
      <c r="A351" s="111" t="str">
        <f>IF(B351="","",VLOOKUP(B351,'Mitglieder BBU'!A:K,6,0))</f>
        <v/>
      </c>
      <c r="B351" s="118"/>
      <c r="C351" s="116"/>
      <c r="D351" s="116"/>
      <c r="E351" s="116"/>
      <c r="F351" s="116"/>
      <c r="G351" s="116"/>
      <c r="H351" s="116"/>
      <c r="I351" s="113">
        <f t="shared" si="1"/>
        <v>0</v>
      </c>
    </row>
    <row r="352">
      <c r="A352" s="111" t="str">
        <f>IF(B352="","",VLOOKUP(B352,'Mitglieder BBU'!A:K,6,0))</f>
        <v/>
      </c>
      <c r="B352" s="118"/>
      <c r="C352" s="116"/>
      <c r="D352" s="116"/>
      <c r="E352" s="116"/>
      <c r="F352" s="116"/>
      <c r="G352" s="116"/>
      <c r="H352" s="116"/>
      <c r="I352" s="113">
        <f t="shared" si="1"/>
        <v>0</v>
      </c>
    </row>
    <row r="353">
      <c r="A353" s="111" t="str">
        <f>IF(B353="","",VLOOKUP(B353,'Mitglieder BBU'!A:K,6,0))</f>
        <v/>
      </c>
      <c r="B353" s="118"/>
      <c r="C353" s="116"/>
      <c r="D353" s="116"/>
      <c r="E353" s="116"/>
      <c r="F353" s="116"/>
      <c r="G353" s="116"/>
      <c r="H353" s="116"/>
      <c r="I353" s="113">
        <f t="shared" si="1"/>
        <v>0</v>
      </c>
    </row>
    <row r="354">
      <c r="A354" s="111" t="str">
        <f>IF(B354="","",VLOOKUP(B354,'Mitglieder BBU'!A:K,6,0))</f>
        <v/>
      </c>
      <c r="B354" s="118"/>
      <c r="C354" s="116"/>
      <c r="D354" s="116"/>
      <c r="E354" s="116"/>
      <c r="F354" s="116"/>
      <c r="G354" s="116"/>
      <c r="H354" s="116"/>
      <c r="I354" s="113">
        <f t="shared" si="1"/>
        <v>0</v>
      </c>
    </row>
    <row r="355">
      <c r="A355" s="111" t="str">
        <f>IF(B355="","",VLOOKUP(B355,'Mitglieder BBU'!A:K,6,0))</f>
        <v/>
      </c>
      <c r="B355" s="118"/>
      <c r="C355" s="116"/>
      <c r="D355" s="116"/>
      <c r="E355" s="116"/>
      <c r="F355" s="116"/>
      <c r="G355" s="116"/>
      <c r="H355" s="116"/>
      <c r="I355" s="113">
        <f t="shared" si="1"/>
        <v>0</v>
      </c>
    </row>
    <row r="356">
      <c r="A356" s="111" t="str">
        <f>IF(B356="","",VLOOKUP(B356,'Mitglieder BBU'!A:K,6,0))</f>
        <v/>
      </c>
      <c r="B356" s="118"/>
      <c r="C356" s="116"/>
      <c r="D356" s="116"/>
      <c r="E356" s="116"/>
      <c r="F356" s="116"/>
      <c r="G356" s="116"/>
      <c r="H356" s="116"/>
      <c r="I356" s="113">
        <f t="shared" si="1"/>
        <v>0</v>
      </c>
    </row>
    <row r="357">
      <c r="A357" s="111" t="str">
        <f>IF(B357="","",VLOOKUP(B357,'Mitglieder BBU'!A:K,6,0))</f>
        <v/>
      </c>
      <c r="B357" s="118"/>
      <c r="C357" s="116"/>
      <c r="D357" s="116"/>
      <c r="E357" s="116"/>
      <c r="F357" s="116"/>
      <c r="G357" s="116"/>
      <c r="H357" s="116"/>
      <c r="I357" s="113">
        <f t="shared" si="1"/>
        <v>0</v>
      </c>
    </row>
    <row r="358">
      <c r="A358" s="111" t="str">
        <f>IF(B358="","",VLOOKUP(B358,'Mitglieder BBU'!A:K,6,0))</f>
        <v/>
      </c>
      <c r="B358" s="118"/>
      <c r="C358" s="116"/>
      <c r="D358" s="116"/>
      <c r="E358" s="116"/>
      <c r="F358" s="116"/>
      <c r="G358" s="116"/>
      <c r="H358" s="116"/>
      <c r="I358" s="113">
        <f t="shared" si="1"/>
        <v>0</v>
      </c>
    </row>
    <row r="359">
      <c r="A359" s="111" t="str">
        <f>IF(B359="","",VLOOKUP(B359,'Mitglieder BBU'!A:K,6,0))</f>
        <v/>
      </c>
      <c r="B359" s="118"/>
      <c r="C359" s="116"/>
      <c r="D359" s="116"/>
      <c r="E359" s="116"/>
      <c r="F359" s="116"/>
      <c r="G359" s="116"/>
      <c r="H359" s="116"/>
      <c r="I359" s="113">
        <f t="shared" si="1"/>
        <v>0</v>
      </c>
    </row>
    <row r="360">
      <c r="A360" s="111" t="str">
        <f>IF(B360="","",VLOOKUP(B360,'Mitglieder BBU'!A:K,6,0))</f>
        <v/>
      </c>
      <c r="B360" s="118"/>
      <c r="C360" s="116"/>
      <c r="D360" s="116"/>
      <c r="E360" s="116"/>
      <c r="F360" s="116"/>
      <c r="G360" s="116"/>
      <c r="H360" s="116"/>
      <c r="I360" s="113">
        <f t="shared" si="1"/>
        <v>0</v>
      </c>
    </row>
    <row r="361">
      <c r="A361" s="111" t="str">
        <f>IF(B361="","",VLOOKUP(B361,'Mitglieder BBU'!A:K,6,0))</f>
        <v/>
      </c>
      <c r="B361" s="118"/>
      <c r="C361" s="116"/>
      <c r="D361" s="116"/>
      <c r="E361" s="116"/>
      <c r="F361" s="116"/>
      <c r="G361" s="116"/>
      <c r="H361" s="116"/>
      <c r="I361" s="113">
        <f t="shared" si="1"/>
        <v>0</v>
      </c>
    </row>
    <row r="362">
      <c r="A362" s="111" t="str">
        <f>IF(B362="","",VLOOKUP(B362,'Mitglieder BBU'!A:K,6,0))</f>
        <v/>
      </c>
      <c r="B362" s="118"/>
      <c r="C362" s="116"/>
      <c r="D362" s="116"/>
      <c r="E362" s="116"/>
      <c r="F362" s="116"/>
      <c r="G362" s="116"/>
      <c r="H362" s="116"/>
      <c r="I362" s="113">
        <f t="shared" si="1"/>
        <v>0</v>
      </c>
    </row>
    <row r="363">
      <c r="A363" s="111" t="str">
        <f>IF(B363="","",VLOOKUP(B363,'Mitglieder BBU'!A:K,6,0))</f>
        <v/>
      </c>
      <c r="B363" s="118"/>
      <c r="C363" s="116"/>
      <c r="D363" s="116"/>
      <c r="E363" s="116"/>
      <c r="F363" s="116"/>
      <c r="G363" s="116"/>
      <c r="H363" s="116"/>
      <c r="I363" s="113">
        <f t="shared" si="1"/>
        <v>0</v>
      </c>
    </row>
    <row r="364">
      <c r="A364" s="111" t="str">
        <f>IF(B364="","",VLOOKUP(B364,'Mitglieder BBU'!A:K,6,0))</f>
        <v/>
      </c>
      <c r="B364" s="118"/>
      <c r="C364" s="116"/>
      <c r="D364" s="116"/>
      <c r="E364" s="116"/>
      <c r="F364" s="116"/>
      <c r="G364" s="116"/>
      <c r="H364" s="116"/>
      <c r="I364" s="113">
        <f t="shared" si="1"/>
        <v>0</v>
      </c>
    </row>
    <row r="365">
      <c r="A365" s="111" t="str">
        <f>IF(B365="","",VLOOKUP(B365,'Mitglieder BBU'!A:K,6,0))</f>
        <v/>
      </c>
      <c r="B365" s="118"/>
      <c r="C365" s="116"/>
      <c r="D365" s="116"/>
      <c r="E365" s="116"/>
      <c r="F365" s="116"/>
      <c r="G365" s="116"/>
      <c r="H365" s="116"/>
      <c r="I365" s="113">
        <f t="shared" si="1"/>
        <v>0</v>
      </c>
    </row>
    <row r="366">
      <c r="A366" s="111" t="str">
        <f>IF(B366="","",VLOOKUP(B366,'Mitglieder BBU'!A:K,6,0))</f>
        <v/>
      </c>
      <c r="B366" s="118"/>
      <c r="C366" s="116"/>
      <c r="D366" s="116"/>
      <c r="E366" s="116"/>
      <c r="F366" s="116"/>
      <c r="G366" s="116"/>
      <c r="H366" s="116"/>
      <c r="I366" s="113">
        <f t="shared" si="1"/>
        <v>0</v>
      </c>
    </row>
    <row r="367">
      <c r="A367" s="111" t="str">
        <f>IF(B367="","",VLOOKUP(B367,'Mitglieder BBU'!A:K,6,0))</f>
        <v/>
      </c>
      <c r="B367" s="118"/>
      <c r="C367" s="116"/>
      <c r="D367" s="116"/>
      <c r="E367" s="116"/>
      <c r="F367" s="116"/>
      <c r="G367" s="116"/>
      <c r="H367" s="116"/>
      <c r="I367" s="113">
        <f t="shared" si="1"/>
        <v>0</v>
      </c>
    </row>
    <row r="368">
      <c r="A368" s="111" t="str">
        <f>IF(B368="","",VLOOKUP(B368,'Mitglieder BBU'!A:K,6,0))</f>
        <v/>
      </c>
      <c r="B368" s="118"/>
      <c r="C368" s="116"/>
      <c r="D368" s="116"/>
      <c r="E368" s="116"/>
      <c r="F368" s="116"/>
      <c r="G368" s="116"/>
      <c r="H368" s="116"/>
      <c r="I368" s="113">
        <f t="shared" si="1"/>
        <v>0</v>
      </c>
    </row>
    <row r="369">
      <c r="A369" s="111" t="str">
        <f>IF(B369="","",VLOOKUP(B369,'Mitglieder BBU'!A:K,6,0))</f>
        <v/>
      </c>
      <c r="B369" s="118"/>
      <c r="C369" s="116"/>
      <c r="D369" s="116"/>
      <c r="E369" s="116"/>
      <c r="F369" s="116"/>
      <c r="G369" s="116"/>
      <c r="H369" s="116"/>
      <c r="I369" s="113">
        <f t="shared" si="1"/>
        <v>0</v>
      </c>
    </row>
    <row r="370">
      <c r="A370" s="111" t="str">
        <f>IF(B370="","",VLOOKUP(B370,'Mitglieder BBU'!A:K,6,0))</f>
        <v/>
      </c>
      <c r="B370" s="118"/>
      <c r="C370" s="116"/>
      <c r="D370" s="116"/>
      <c r="E370" s="116"/>
      <c r="F370" s="116"/>
      <c r="G370" s="116"/>
      <c r="H370" s="116"/>
      <c r="I370" s="113">
        <f t="shared" si="1"/>
        <v>0</v>
      </c>
    </row>
    <row r="371">
      <c r="A371" s="111" t="str">
        <f>IF(B371="","",VLOOKUP(B371,'Mitglieder BBU'!A:K,6,0))</f>
        <v/>
      </c>
      <c r="B371" s="118"/>
      <c r="C371" s="116"/>
      <c r="D371" s="116"/>
      <c r="E371" s="116"/>
      <c r="F371" s="116"/>
      <c r="G371" s="116"/>
      <c r="H371" s="116"/>
      <c r="I371" s="113">
        <f t="shared" si="1"/>
        <v>0</v>
      </c>
    </row>
    <row r="372">
      <c r="A372" s="111" t="str">
        <f>IF(B372="","",VLOOKUP(B372,'Mitglieder BBU'!A:K,6,0))</f>
        <v/>
      </c>
      <c r="B372" s="118"/>
      <c r="C372" s="116"/>
      <c r="D372" s="116"/>
      <c r="E372" s="116"/>
      <c r="F372" s="116"/>
      <c r="G372" s="116"/>
      <c r="H372" s="116"/>
      <c r="I372" s="113">
        <f t="shared" si="1"/>
        <v>0</v>
      </c>
    </row>
    <row r="373">
      <c r="A373" s="111" t="str">
        <f>IF(B373="","",VLOOKUP(B373,'Mitglieder BBU'!A:K,6,0))</f>
        <v/>
      </c>
      <c r="B373" s="118"/>
      <c r="C373" s="116"/>
      <c r="D373" s="116"/>
      <c r="E373" s="116"/>
      <c r="F373" s="116"/>
      <c r="G373" s="116"/>
      <c r="H373" s="116"/>
      <c r="I373" s="113">
        <f t="shared" si="1"/>
        <v>0</v>
      </c>
    </row>
    <row r="374">
      <c r="A374" s="111" t="str">
        <f>IF(B374="","",VLOOKUP(B374,'Mitglieder BBU'!A:K,6,0))</f>
        <v/>
      </c>
      <c r="B374" s="118"/>
      <c r="C374" s="116"/>
      <c r="D374" s="116"/>
      <c r="E374" s="116"/>
      <c r="F374" s="116"/>
      <c r="G374" s="116"/>
      <c r="H374" s="116"/>
      <c r="I374" s="113">
        <f t="shared" si="1"/>
        <v>0</v>
      </c>
    </row>
    <row r="375">
      <c r="A375" s="111" t="str">
        <f>IF(B375="","",VLOOKUP(B375,'Mitglieder BBU'!A:K,6,0))</f>
        <v/>
      </c>
      <c r="B375" s="118"/>
      <c r="C375" s="116"/>
      <c r="D375" s="116"/>
      <c r="E375" s="116"/>
      <c r="F375" s="116"/>
      <c r="G375" s="116"/>
      <c r="H375" s="116"/>
      <c r="I375" s="113">
        <f t="shared" si="1"/>
        <v>0</v>
      </c>
    </row>
    <row r="376">
      <c r="A376" s="111" t="str">
        <f>IF(B376="","",VLOOKUP(B376,'Mitglieder BBU'!A:K,6,0))</f>
        <v/>
      </c>
      <c r="B376" s="118"/>
      <c r="C376" s="116"/>
      <c r="D376" s="116"/>
      <c r="E376" s="116"/>
      <c r="F376" s="116"/>
      <c r="G376" s="116"/>
      <c r="H376" s="116"/>
      <c r="I376" s="113">
        <f t="shared" si="1"/>
        <v>0</v>
      </c>
    </row>
    <row r="377">
      <c r="A377" s="111" t="str">
        <f>IF(B377="","",VLOOKUP(B377,'Mitglieder BBU'!A:K,6,0))</f>
        <v/>
      </c>
      <c r="B377" s="118"/>
      <c r="C377" s="116"/>
      <c r="D377" s="116"/>
      <c r="E377" s="116"/>
      <c r="F377" s="116"/>
      <c r="G377" s="116"/>
      <c r="H377" s="116"/>
      <c r="I377" s="113">
        <f t="shared" si="1"/>
        <v>0</v>
      </c>
    </row>
    <row r="378">
      <c r="A378" s="111" t="str">
        <f>IF(B378="","",VLOOKUP(B378,'Mitglieder BBU'!A:K,6,0))</f>
        <v/>
      </c>
      <c r="B378" s="118"/>
      <c r="C378" s="116"/>
      <c r="D378" s="116"/>
      <c r="E378" s="116"/>
      <c r="F378" s="116"/>
      <c r="G378" s="116"/>
      <c r="H378" s="116"/>
      <c r="I378" s="113">
        <f t="shared" si="1"/>
        <v>0</v>
      </c>
    </row>
    <row r="379">
      <c r="A379" s="111" t="str">
        <f>IF(B379="","",VLOOKUP(B379,'Mitglieder BBU'!A:K,6,0))</f>
        <v/>
      </c>
      <c r="B379" s="118"/>
      <c r="C379" s="116"/>
      <c r="D379" s="116"/>
      <c r="E379" s="116"/>
      <c r="F379" s="116"/>
      <c r="G379" s="116"/>
      <c r="H379" s="116"/>
      <c r="I379" s="113">
        <f t="shared" si="1"/>
        <v>0</v>
      </c>
    </row>
    <row r="380">
      <c r="A380" s="111" t="str">
        <f>IF(B380="","",VLOOKUP(B380,'Mitglieder BBU'!A:K,6,0))</f>
        <v/>
      </c>
      <c r="B380" s="118"/>
      <c r="C380" s="116"/>
      <c r="D380" s="116"/>
      <c r="E380" s="116"/>
      <c r="F380" s="116"/>
      <c r="G380" s="116"/>
      <c r="H380" s="116"/>
      <c r="I380" s="113">
        <f t="shared" si="1"/>
        <v>0</v>
      </c>
    </row>
    <row r="381">
      <c r="A381" s="111" t="str">
        <f>IF(B381="","",VLOOKUP(B381,'Mitglieder BBU'!A:K,6,0))</f>
        <v/>
      </c>
      <c r="B381" s="118"/>
      <c r="C381" s="116"/>
      <c r="D381" s="116"/>
      <c r="E381" s="116"/>
      <c r="F381" s="116"/>
      <c r="G381" s="116"/>
      <c r="H381" s="116"/>
      <c r="I381" s="113">
        <f t="shared" si="1"/>
        <v>0</v>
      </c>
    </row>
    <row r="382">
      <c r="A382" s="111" t="str">
        <f>IF(B382="","",VLOOKUP(B382,'Mitglieder BBU'!A:K,6,0))</f>
        <v/>
      </c>
      <c r="B382" s="118"/>
      <c r="C382" s="116"/>
      <c r="D382" s="116"/>
      <c r="E382" s="116"/>
      <c r="F382" s="116"/>
      <c r="G382" s="116"/>
      <c r="H382" s="116"/>
      <c r="I382" s="113">
        <f t="shared" si="1"/>
        <v>0</v>
      </c>
    </row>
    <row r="383">
      <c r="A383" s="111" t="str">
        <f>IF(B383="","",VLOOKUP(B383,'Mitglieder BBU'!A:K,6,0))</f>
        <v/>
      </c>
      <c r="B383" s="118"/>
      <c r="C383" s="116"/>
      <c r="D383" s="116"/>
      <c r="E383" s="116"/>
      <c r="F383" s="116"/>
      <c r="G383" s="116"/>
      <c r="H383" s="116"/>
      <c r="I383" s="113">
        <f t="shared" si="1"/>
        <v>0</v>
      </c>
    </row>
    <row r="384">
      <c r="A384" s="111" t="str">
        <f>IF(B384="","",VLOOKUP(B384,'Mitglieder BBU'!A:K,6,0))</f>
        <v/>
      </c>
      <c r="B384" s="118"/>
      <c r="C384" s="116"/>
      <c r="D384" s="116"/>
      <c r="E384" s="116"/>
      <c r="F384" s="116"/>
      <c r="G384" s="116"/>
      <c r="H384" s="116"/>
      <c r="I384" s="113">
        <f t="shared" si="1"/>
        <v>0</v>
      </c>
    </row>
    <row r="385">
      <c r="A385" s="111" t="str">
        <f>IF(B385="","",VLOOKUP(B385,'Mitglieder BBU'!A:K,6,0))</f>
        <v/>
      </c>
      <c r="B385" s="118"/>
      <c r="C385" s="116"/>
      <c r="D385" s="116"/>
      <c r="E385" s="116"/>
      <c r="F385" s="116"/>
      <c r="G385" s="116"/>
      <c r="H385" s="116"/>
      <c r="I385" s="113">
        <f t="shared" si="1"/>
        <v>0</v>
      </c>
    </row>
    <row r="386">
      <c r="A386" s="111" t="str">
        <f>IF(B386="","",VLOOKUP(B386,'Mitglieder BBU'!A:K,6,0))</f>
        <v/>
      </c>
      <c r="B386" s="118"/>
      <c r="C386" s="116"/>
      <c r="D386" s="116"/>
      <c r="E386" s="116"/>
      <c r="F386" s="116"/>
      <c r="G386" s="116"/>
      <c r="H386" s="116"/>
      <c r="I386" s="113">
        <f t="shared" si="1"/>
        <v>0</v>
      </c>
    </row>
    <row r="387">
      <c r="A387" s="111" t="str">
        <f>IF(B387="","",VLOOKUP(B387,'Mitglieder BBU'!A:K,6,0))</f>
        <v/>
      </c>
      <c r="B387" s="118"/>
      <c r="C387" s="116"/>
      <c r="D387" s="116"/>
      <c r="E387" s="116"/>
      <c r="F387" s="116"/>
      <c r="G387" s="116"/>
      <c r="H387" s="116"/>
      <c r="I387" s="113">
        <f t="shared" si="1"/>
        <v>0</v>
      </c>
    </row>
    <row r="388">
      <c r="A388" s="111" t="str">
        <f>IF(B388="","",VLOOKUP(B388,'Mitglieder BBU'!A:K,6,0))</f>
        <v/>
      </c>
      <c r="B388" s="118"/>
      <c r="C388" s="116"/>
      <c r="D388" s="116"/>
      <c r="E388" s="116"/>
      <c r="F388" s="116"/>
      <c r="G388" s="116"/>
      <c r="H388" s="116"/>
      <c r="I388" s="113">
        <f t="shared" si="1"/>
        <v>0</v>
      </c>
    </row>
    <row r="389">
      <c r="A389" s="111" t="str">
        <f>IF(B389="","",VLOOKUP(B389,'Mitglieder BBU'!A:K,6,0))</f>
        <v/>
      </c>
      <c r="B389" s="118"/>
      <c r="C389" s="116"/>
      <c r="D389" s="116"/>
      <c r="E389" s="116"/>
      <c r="F389" s="116"/>
      <c r="G389" s="116"/>
      <c r="H389" s="116"/>
      <c r="I389" s="113">
        <f t="shared" si="1"/>
        <v>0</v>
      </c>
    </row>
    <row r="390">
      <c r="A390" s="111" t="str">
        <f>IF(B390="","",VLOOKUP(B390,'Mitglieder BBU'!A:K,6,0))</f>
        <v/>
      </c>
      <c r="B390" s="118"/>
      <c r="C390" s="116"/>
      <c r="D390" s="116"/>
      <c r="E390" s="116"/>
      <c r="F390" s="116"/>
      <c r="G390" s="116"/>
      <c r="H390" s="116"/>
      <c r="I390" s="113">
        <f t="shared" si="1"/>
        <v>0</v>
      </c>
    </row>
    <row r="391">
      <c r="A391" s="111" t="str">
        <f>IF(B391="","",VLOOKUP(B391,'Mitglieder BBU'!A:K,6,0))</f>
        <v/>
      </c>
      <c r="B391" s="118"/>
      <c r="C391" s="116"/>
      <c r="D391" s="116"/>
      <c r="E391" s="116"/>
      <c r="F391" s="116"/>
      <c r="G391" s="116"/>
      <c r="H391" s="116"/>
      <c r="I391" s="113">
        <f t="shared" si="1"/>
        <v>0</v>
      </c>
    </row>
    <row r="392">
      <c r="A392" s="111" t="str">
        <f>IF(B392="","",VLOOKUP(B392,'Mitglieder BBU'!A:K,6,0))</f>
        <v/>
      </c>
      <c r="B392" s="118"/>
      <c r="C392" s="116"/>
      <c r="D392" s="116"/>
      <c r="E392" s="116"/>
      <c r="F392" s="116"/>
      <c r="G392" s="116"/>
      <c r="H392" s="116"/>
      <c r="I392" s="113">
        <f t="shared" si="1"/>
        <v>0</v>
      </c>
    </row>
    <row r="393">
      <c r="A393" s="111" t="str">
        <f>IF(B393="","",VLOOKUP(B393,'Mitglieder BBU'!A:K,6,0))</f>
        <v/>
      </c>
      <c r="B393" s="118"/>
      <c r="C393" s="116"/>
      <c r="D393" s="116"/>
      <c r="E393" s="116"/>
      <c r="F393" s="116"/>
      <c r="G393" s="116"/>
      <c r="H393" s="116"/>
      <c r="I393" s="113">
        <f t="shared" si="1"/>
        <v>0</v>
      </c>
    </row>
    <row r="394">
      <c r="A394" s="111" t="str">
        <f>IF(B394="","",VLOOKUP(B394,'Mitglieder BBU'!A:K,6,0))</f>
        <v/>
      </c>
      <c r="B394" s="118"/>
      <c r="C394" s="116"/>
      <c r="D394" s="116"/>
      <c r="E394" s="116"/>
      <c r="F394" s="116"/>
      <c r="G394" s="116"/>
      <c r="H394" s="116"/>
      <c r="I394" s="113">
        <f t="shared" si="1"/>
        <v>0</v>
      </c>
    </row>
    <row r="395">
      <c r="A395" s="111" t="str">
        <f>IF(B395="","",VLOOKUP(B395,'Mitglieder BBU'!A:K,6,0))</f>
        <v/>
      </c>
      <c r="B395" s="118"/>
      <c r="C395" s="116"/>
      <c r="D395" s="116"/>
      <c r="E395" s="116"/>
      <c r="F395" s="116"/>
      <c r="G395" s="116"/>
      <c r="H395" s="116"/>
      <c r="I395" s="113">
        <f t="shared" si="1"/>
        <v>0</v>
      </c>
    </row>
    <row r="396">
      <c r="A396" s="111" t="str">
        <f>IF(B396="","",VLOOKUP(B396,'Mitglieder BBU'!A:K,6,0))</f>
        <v/>
      </c>
      <c r="B396" s="118"/>
      <c r="C396" s="116"/>
      <c r="D396" s="116"/>
      <c r="E396" s="116"/>
      <c r="F396" s="116"/>
      <c r="G396" s="116"/>
      <c r="H396" s="116"/>
      <c r="I396" s="113">
        <f t="shared" si="1"/>
        <v>0</v>
      </c>
    </row>
    <row r="397">
      <c r="A397" s="111" t="str">
        <f>IF(B397="","",VLOOKUP(B397,'Mitglieder BBU'!A:K,6,0))</f>
        <v/>
      </c>
      <c r="B397" s="118"/>
      <c r="C397" s="116"/>
      <c r="D397" s="116"/>
      <c r="E397" s="116"/>
      <c r="F397" s="116"/>
      <c r="G397" s="116"/>
      <c r="H397" s="116"/>
      <c r="I397" s="113">
        <f t="shared" si="1"/>
        <v>0</v>
      </c>
    </row>
    <row r="398">
      <c r="A398" s="111" t="str">
        <f>IF(B398="","",VLOOKUP(B398,'Mitglieder BBU'!A:K,6,0))</f>
        <v/>
      </c>
      <c r="B398" s="118"/>
      <c r="C398" s="116"/>
      <c r="D398" s="116"/>
      <c r="E398" s="116"/>
      <c r="F398" s="116"/>
      <c r="G398" s="116"/>
      <c r="H398" s="116"/>
      <c r="I398" s="113">
        <f t="shared" si="1"/>
        <v>0</v>
      </c>
    </row>
    <row r="399">
      <c r="A399" s="111" t="str">
        <f>IF(B399="","",VLOOKUP(B399,'Mitglieder BBU'!A:K,6,0))</f>
        <v/>
      </c>
      <c r="B399" s="118"/>
      <c r="C399" s="116"/>
      <c r="D399" s="116"/>
      <c r="E399" s="116"/>
      <c r="F399" s="116"/>
      <c r="G399" s="116"/>
      <c r="H399" s="116"/>
      <c r="I399" s="113">
        <f t="shared" si="1"/>
        <v>0</v>
      </c>
    </row>
    <row r="400">
      <c r="A400" s="111" t="str">
        <f>IF(B400="","",VLOOKUP(B400,'Mitglieder BBU'!A:K,6,0))</f>
        <v/>
      </c>
      <c r="B400" s="118"/>
      <c r="C400" s="116"/>
      <c r="D400" s="116"/>
      <c r="E400" s="116"/>
      <c r="F400" s="116"/>
      <c r="G400" s="116"/>
      <c r="H400" s="116"/>
      <c r="I400" s="113">
        <f t="shared" si="1"/>
        <v>0</v>
      </c>
    </row>
    <row r="401">
      <c r="G401" s="101"/>
      <c r="H401" s="101"/>
    </row>
    <row r="402">
      <c r="G402" s="101"/>
      <c r="H402" s="101"/>
    </row>
    <row r="403">
      <c r="G403" s="101"/>
      <c r="H403" s="101"/>
    </row>
    <row r="404">
      <c r="G404" s="101"/>
      <c r="H404" s="101"/>
    </row>
    <row r="405">
      <c r="G405" s="101"/>
      <c r="H405" s="101"/>
    </row>
    <row r="406">
      <c r="G406" s="101"/>
      <c r="H406" s="101"/>
    </row>
    <row r="407">
      <c r="G407" s="101"/>
      <c r="H407" s="101"/>
    </row>
    <row r="408">
      <c r="G408" s="101"/>
      <c r="H408" s="101"/>
    </row>
    <row r="409">
      <c r="G409" s="101"/>
      <c r="H409" s="101"/>
    </row>
    <row r="410">
      <c r="G410" s="101"/>
      <c r="H410" s="101"/>
    </row>
    <row r="411">
      <c r="G411" s="101"/>
      <c r="H411" s="101"/>
    </row>
    <row r="412">
      <c r="G412" s="101"/>
      <c r="H412" s="101"/>
    </row>
    <row r="413">
      <c r="G413" s="101"/>
      <c r="H413" s="101"/>
    </row>
    <row r="414">
      <c r="G414" s="101"/>
      <c r="H414" s="101"/>
    </row>
    <row r="415">
      <c r="G415" s="101"/>
      <c r="H415" s="101"/>
    </row>
    <row r="416">
      <c r="G416" s="101"/>
      <c r="H416" s="101"/>
    </row>
    <row r="417">
      <c r="G417" s="101"/>
      <c r="H417" s="101"/>
    </row>
    <row r="418">
      <c r="G418" s="101"/>
      <c r="H418" s="101"/>
    </row>
    <row r="419">
      <c r="G419" s="101"/>
      <c r="H419" s="101"/>
    </row>
    <row r="420">
      <c r="G420" s="101"/>
      <c r="H420" s="101"/>
    </row>
    <row r="421">
      <c r="G421" s="101"/>
      <c r="H421" s="101"/>
    </row>
    <row r="422">
      <c r="G422" s="101"/>
      <c r="H422" s="101"/>
    </row>
    <row r="423">
      <c r="G423" s="101"/>
      <c r="H423" s="101"/>
    </row>
    <row r="424">
      <c r="G424" s="101"/>
      <c r="H424" s="101"/>
    </row>
    <row r="425">
      <c r="G425" s="101"/>
      <c r="H425" s="101"/>
    </row>
    <row r="426">
      <c r="G426" s="101"/>
      <c r="H426" s="101"/>
    </row>
    <row r="427">
      <c r="G427" s="101"/>
      <c r="H427" s="101"/>
    </row>
    <row r="428">
      <c r="G428" s="101"/>
      <c r="H428" s="101"/>
    </row>
    <row r="429">
      <c r="G429" s="101"/>
      <c r="H429" s="101"/>
    </row>
    <row r="430">
      <c r="G430" s="101"/>
      <c r="H430" s="101"/>
    </row>
    <row r="431">
      <c r="G431" s="101"/>
      <c r="H431" s="101"/>
    </row>
    <row r="432">
      <c r="G432" s="101"/>
      <c r="H432" s="101"/>
    </row>
    <row r="433">
      <c r="G433" s="101"/>
      <c r="H433" s="101"/>
    </row>
    <row r="434">
      <c r="G434" s="101"/>
      <c r="H434" s="101"/>
    </row>
    <row r="435">
      <c r="G435" s="101"/>
      <c r="H435" s="101"/>
    </row>
    <row r="436">
      <c r="G436" s="101"/>
      <c r="H436" s="101"/>
    </row>
    <row r="437">
      <c r="G437" s="101"/>
      <c r="H437" s="101"/>
    </row>
    <row r="438">
      <c r="G438" s="101"/>
      <c r="H438" s="101"/>
    </row>
    <row r="439">
      <c r="G439" s="101"/>
      <c r="H439" s="101"/>
    </row>
    <row r="440">
      <c r="G440" s="101"/>
      <c r="H440" s="101"/>
    </row>
    <row r="441">
      <c r="G441" s="101"/>
      <c r="H441" s="101"/>
    </row>
    <row r="442">
      <c r="G442" s="101"/>
      <c r="H442" s="101"/>
    </row>
    <row r="443">
      <c r="G443" s="101"/>
      <c r="H443" s="101"/>
    </row>
    <row r="444">
      <c r="G444" s="101"/>
      <c r="H444" s="101"/>
    </row>
    <row r="445">
      <c r="G445" s="101"/>
      <c r="H445" s="101"/>
    </row>
    <row r="446">
      <c r="G446" s="101"/>
      <c r="H446" s="101"/>
    </row>
    <row r="447">
      <c r="G447" s="101"/>
      <c r="H447" s="101"/>
    </row>
    <row r="448">
      <c r="G448" s="101"/>
      <c r="H448" s="101"/>
    </row>
    <row r="449">
      <c r="G449" s="101"/>
      <c r="H449" s="101"/>
    </row>
    <row r="450">
      <c r="G450" s="101"/>
      <c r="H450" s="101"/>
    </row>
    <row r="451">
      <c r="G451" s="101"/>
      <c r="H451" s="101"/>
    </row>
    <row r="452">
      <c r="G452" s="101"/>
      <c r="H452" s="101"/>
    </row>
    <row r="453">
      <c r="G453" s="101"/>
      <c r="H453" s="101"/>
    </row>
    <row r="454">
      <c r="G454" s="101"/>
      <c r="H454" s="101"/>
    </row>
    <row r="455">
      <c r="G455" s="101"/>
      <c r="H455" s="101"/>
    </row>
    <row r="456">
      <c r="G456" s="101"/>
      <c r="H456" s="101"/>
    </row>
    <row r="457">
      <c r="G457" s="101"/>
      <c r="H457" s="101"/>
    </row>
    <row r="458">
      <c r="G458" s="101"/>
      <c r="H458" s="101"/>
    </row>
    <row r="459">
      <c r="G459" s="101"/>
      <c r="H459" s="101"/>
    </row>
    <row r="460">
      <c r="G460" s="101"/>
      <c r="H460" s="101"/>
    </row>
    <row r="461">
      <c r="G461" s="101"/>
      <c r="H461" s="101"/>
    </row>
    <row r="462">
      <c r="G462" s="101"/>
      <c r="H462" s="101"/>
    </row>
    <row r="463">
      <c r="G463" s="101"/>
      <c r="H463" s="101"/>
    </row>
    <row r="464">
      <c r="G464" s="101"/>
      <c r="H464" s="101"/>
    </row>
    <row r="465">
      <c r="G465" s="101"/>
      <c r="H465" s="101"/>
    </row>
    <row r="466">
      <c r="G466" s="101"/>
      <c r="H466" s="101"/>
    </row>
    <row r="467">
      <c r="G467" s="101"/>
      <c r="H467" s="101"/>
    </row>
    <row r="468">
      <c r="G468" s="101"/>
      <c r="H468" s="101"/>
    </row>
    <row r="469">
      <c r="G469" s="101"/>
      <c r="H469" s="101"/>
    </row>
    <row r="470">
      <c r="G470" s="101"/>
      <c r="H470" s="101"/>
    </row>
    <row r="471">
      <c r="G471" s="101"/>
      <c r="H471" s="101"/>
    </row>
    <row r="472">
      <c r="G472" s="101"/>
      <c r="H472" s="101"/>
    </row>
    <row r="473">
      <c r="G473" s="101"/>
      <c r="H473" s="101"/>
    </row>
    <row r="474">
      <c r="G474" s="101"/>
      <c r="H474" s="101"/>
    </row>
    <row r="475">
      <c r="G475" s="101"/>
      <c r="H475" s="101"/>
    </row>
    <row r="476">
      <c r="G476" s="101"/>
      <c r="H476" s="101"/>
    </row>
    <row r="477">
      <c r="G477" s="101"/>
      <c r="H477" s="101"/>
    </row>
    <row r="478">
      <c r="G478" s="101"/>
      <c r="H478" s="101"/>
    </row>
    <row r="479">
      <c r="G479" s="101"/>
      <c r="H479" s="101"/>
    </row>
    <row r="480">
      <c r="G480" s="101"/>
      <c r="H480" s="101"/>
    </row>
    <row r="481">
      <c r="G481" s="101"/>
      <c r="H481" s="101"/>
    </row>
    <row r="482">
      <c r="G482" s="101"/>
      <c r="H482" s="101"/>
    </row>
    <row r="483">
      <c r="G483" s="101"/>
      <c r="H483" s="101"/>
    </row>
    <row r="484">
      <c r="G484" s="101"/>
      <c r="H484" s="101"/>
    </row>
    <row r="485">
      <c r="G485" s="101"/>
      <c r="H485" s="101"/>
    </row>
    <row r="486">
      <c r="G486" s="101"/>
      <c r="H486" s="101"/>
    </row>
    <row r="487">
      <c r="G487" s="101"/>
      <c r="H487" s="101"/>
    </row>
    <row r="488">
      <c r="G488" s="101"/>
      <c r="H488" s="101"/>
    </row>
    <row r="489">
      <c r="G489" s="101"/>
      <c r="H489" s="101"/>
    </row>
    <row r="490">
      <c r="G490" s="101"/>
      <c r="H490" s="101"/>
    </row>
    <row r="491">
      <c r="G491" s="101"/>
      <c r="H491" s="101"/>
    </row>
    <row r="492">
      <c r="G492" s="101"/>
      <c r="H492" s="101"/>
    </row>
    <row r="493">
      <c r="G493" s="101"/>
      <c r="H493" s="101"/>
    </row>
    <row r="494">
      <c r="G494" s="101"/>
      <c r="H494" s="101"/>
    </row>
    <row r="495">
      <c r="G495" s="101"/>
      <c r="H495" s="101"/>
    </row>
    <row r="496">
      <c r="G496" s="101"/>
      <c r="H496" s="101"/>
    </row>
    <row r="497">
      <c r="G497" s="101"/>
      <c r="H497" s="101"/>
    </row>
    <row r="498">
      <c r="G498" s="101"/>
      <c r="H498" s="101"/>
    </row>
    <row r="499">
      <c r="G499" s="101"/>
      <c r="H499" s="101"/>
    </row>
    <row r="500">
      <c r="G500" s="101"/>
      <c r="H500" s="101"/>
    </row>
    <row r="501">
      <c r="G501" s="101"/>
      <c r="H501" s="101"/>
    </row>
    <row r="502">
      <c r="G502" s="101"/>
      <c r="H502" s="101"/>
    </row>
    <row r="503">
      <c r="G503" s="101"/>
      <c r="H503" s="101"/>
    </row>
    <row r="504">
      <c r="G504" s="101"/>
      <c r="H504" s="101"/>
    </row>
    <row r="505">
      <c r="G505" s="101"/>
      <c r="H505" s="101"/>
    </row>
    <row r="506">
      <c r="G506" s="101"/>
      <c r="H506" s="101"/>
    </row>
    <row r="507">
      <c r="G507" s="101"/>
      <c r="H507" s="101"/>
    </row>
    <row r="508">
      <c r="G508" s="101"/>
      <c r="H508" s="101"/>
    </row>
    <row r="509">
      <c r="G509" s="101"/>
      <c r="H509" s="101"/>
    </row>
    <row r="510">
      <c r="G510" s="101"/>
      <c r="H510" s="101"/>
    </row>
    <row r="511">
      <c r="G511" s="101"/>
      <c r="H511" s="101"/>
    </row>
    <row r="512">
      <c r="G512" s="101"/>
      <c r="H512" s="101"/>
    </row>
    <row r="513">
      <c r="G513" s="101"/>
      <c r="H513" s="101"/>
    </row>
    <row r="514">
      <c r="G514" s="101"/>
      <c r="H514" s="101"/>
    </row>
    <row r="515">
      <c r="G515" s="101"/>
      <c r="H515" s="101"/>
    </row>
    <row r="516">
      <c r="G516" s="101"/>
      <c r="H516" s="101"/>
    </row>
    <row r="517">
      <c r="G517" s="101"/>
      <c r="H517" s="101"/>
    </row>
    <row r="518">
      <c r="G518" s="101"/>
      <c r="H518" s="101"/>
    </row>
    <row r="519">
      <c r="G519" s="101"/>
      <c r="H519" s="101"/>
    </row>
    <row r="520">
      <c r="G520" s="101"/>
      <c r="H520" s="101"/>
    </row>
    <row r="521">
      <c r="G521" s="101"/>
      <c r="H521" s="101"/>
    </row>
    <row r="522">
      <c r="G522" s="101"/>
      <c r="H522" s="101"/>
    </row>
    <row r="523">
      <c r="G523" s="101"/>
      <c r="H523" s="101"/>
    </row>
    <row r="524">
      <c r="G524" s="101"/>
      <c r="H524" s="101"/>
    </row>
    <row r="525">
      <c r="G525" s="101"/>
      <c r="H525" s="101"/>
    </row>
    <row r="526">
      <c r="G526" s="101"/>
      <c r="H526" s="101"/>
    </row>
    <row r="527">
      <c r="G527" s="101"/>
      <c r="H527" s="101"/>
    </row>
    <row r="528">
      <c r="G528" s="101"/>
      <c r="H528" s="101"/>
    </row>
    <row r="529">
      <c r="G529" s="101"/>
      <c r="H529" s="101"/>
    </row>
    <row r="530">
      <c r="G530" s="101"/>
      <c r="H530" s="101"/>
    </row>
    <row r="531">
      <c r="G531" s="101"/>
      <c r="H531" s="101"/>
    </row>
    <row r="532">
      <c r="G532" s="101"/>
      <c r="H532" s="101"/>
    </row>
    <row r="533">
      <c r="G533" s="101"/>
      <c r="H533" s="101"/>
    </row>
    <row r="534">
      <c r="G534" s="101"/>
      <c r="H534" s="101"/>
    </row>
    <row r="535">
      <c r="G535" s="101"/>
      <c r="H535" s="101"/>
    </row>
    <row r="536">
      <c r="G536" s="101"/>
      <c r="H536" s="101"/>
    </row>
    <row r="537">
      <c r="G537" s="101"/>
      <c r="H537" s="101"/>
    </row>
    <row r="538">
      <c r="G538" s="101"/>
      <c r="H538" s="101"/>
    </row>
    <row r="539">
      <c r="G539" s="101"/>
      <c r="H539" s="101"/>
    </row>
    <row r="540">
      <c r="G540" s="101"/>
      <c r="H540" s="101"/>
    </row>
    <row r="541">
      <c r="G541" s="101"/>
      <c r="H541" s="101"/>
    </row>
    <row r="542">
      <c r="G542" s="101"/>
      <c r="H542" s="101"/>
    </row>
    <row r="543">
      <c r="G543" s="101"/>
      <c r="H543" s="101"/>
    </row>
    <row r="544">
      <c r="G544" s="101"/>
      <c r="H544" s="101"/>
    </row>
    <row r="545">
      <c r="G545" s="101"/>
      <c r="H545" s="101"/>
    </row>
    <row r="546">
      <c r="G546" s="101"/>
      <c r="H546" s="101"/>
    </row>
    <row r="547">
      <c r="G547" s="101"/>
      <c r="H547" s="101"/>
    </row>
    <row r="548">
      <c r="G548" s="101"/>
      <c r="H548" s="101"/>
    </row>
    <row r="549">
      <c r="G549" s="101"/>
      <c r="H549" s="101"/>
    </row>
    <row r="550">
      <c r="G550" s="101"/>
      <c r="H550" s="101"/>
    </row>
    <row r="551">
      <c r="G551" s="101"/>
      <c r="H551" s="101"/>
    </row>
    <row r="552">
      <c r="G552" s="101"/>
      <c r="H552" s="101"/>
    </row>
    <row r="553">
      <c r="G553" s="101"/>
      <c r="H553" s="101"/>
    </row>
    <row r="554">
      <c r="G554" s="101"/>
      <c r="H554" s="101"/>
    </row>
    <row r="555">
      <c r="G555" s="101"/>
      <c r="H555" s="101"/>
    </row>
    <row r="556">
      <c r="G556" s="101"/>
      <c r="H556" s="101"/>
    </row>
    <row r="557">
      <c r="G557" s="101"/>
      <c r="H557" s="101"/>
    </row>
    <row r="558">
      <c r="G558" s="101"/>
      <c r="H558" s="101"/>
    </row>
    <row r="559">
      <c r="G559" s="101"/>
      <c r="H559" s="101"/>
    </row>
    <row r="560">
      <c r="G560" s="101"/>
      <c r="H560" s="101"/>
    </row>
    <row r="561">
      <c r="G561" s="101"/>
      <c r="H561" s="101"/>
    </row>
    <row r="562">
      <c r="G562" s="101"/>
      <c r="H562" s="101"/>
    </row>
    <row r="563">
      <c r="G563" s="101"/>
      <c r="H563" s="101"/>
    </row>
    <row r="564">
      <c r="G564" s="101"/>
      <c r="H564" s="101"/>
    </row>
    <row r="565">
      <c r="G565" s="101"/>
      <c r="H565" s="101"/>
    </row>
    <row r="566">
      <c r="G566" s="101"/>
      <c r="H566" s="101"/>
    </row>
    <row r="567">
      <c r="G567" s="101"/>
      <c r="H567" s="101"/>
    </row>
    <row r="568">
      <c r="G568" s="101"/>
      <c r="H568" s="101"/>
    </row>
    <row r="569">
      <c r="G569" s="101"/>
      <c r="H569" s="101"/>
    </row>
    <row r="570">
      <c r="G570" s="101"/>
      <c r="H570" s="101"/>
    </row>
    <row r="571">
      <c r="G571" s="101"/>
      <c r="H571" s="101"/>
    </row>
    <row r="572">
      <c r="G572" s="101"/>
      <c r="H572" s="101"/>
    </row>
    <row r="573">
      <c r="G573" s="101"/>
      <c r="H573" s="101"/>
    </row>
    <row r="574">
      <c r="G574" s="101"/>
      <c r="H574" s="101"/>
    </row>
    <row r="575">
      <c r="G575" s="101"/>
      <c r="H575" s="101"/>
    </row>
    <row r="576">
      <c r="G576" s="101"/>
      <c r="H576" s="101"/>
    </row>
    <row r="577">
      <c r="G577" s="101"/>
      <c r="H577" s="101"/>
    </row>
    <row r="578">
      <c r="G578" s="101"/>
      <c r="H578" s="101"/>
    </row>
    <row r="579">
      <c r="G579" s="101"/>
      <c r="H579" s="101"/>
    </row>
    <row r="580">
      <c r="G580" s="101"/>
      <c r="H580" s="101"/>
    </row>
    <row r="581">
      <c r="G581" s="101"/>
      <c r="H581" s="101"/>
    </row>
    <row r="582">
      <c r="G582" s="101"/>
      <c r="H582" s="101"/>
    </row>
    <row r="583">
      <c r="G583" s="101"/>
      <c r="H583" s="101"/>
    </row>
    <row r="584">
      <c r="G584" s="101"/>
      <c r="H584" s="101"/>
    </row>
    <row r="585">
      <c r="G585" s="101"/>
      <c r="H585" s="101"/>
    </row>
    <row r="586">
      <c r="G586" s="101"/>
      <c r="H586" s="101"/>
    </row>
    <row r="587">
      <c r="G587" s="101"/>
      <c r="H587" s="101"/>
    </row>
    <row r="588">
      <c r="G588" s="101"/>
      <c r="H588" s="101"/>
    </row>
    <row r="589">
      <c r="G589" s="101"/>
      <c r="H589" s="101"/>
    </row>
    <row r="590">
      <c r="G590" s="101"/>
      <c r="H590" s="101"/>
    </row>
    <row r="591">
      <c r="G591" s="101"/>
      <c r="H591" s="101"/>
    </row>
    <row r="592">
      <c r="G592" s="101"/>
      <c r="H592" s="101"/>
    </row>
    <row r="593">
      <c r="G593" s="101"/>
      <c r="H593" s="101"/>
    </row>
    <row r="594">
      <c r="G594" s="101"/>
      <c r="H594" s="101"/>
    </row>
    <row r="595">
      <c r="G595" s="101"/>
      <c r="H595" s="101"/>
    </row>
    <row r="596">
      <c r="G596" s="101"/>
      <c r="H596" s="101"/>
    </row>
    <row r="597">
      <c r="G597" s="101"/>
      <c r="H597" s="101"/>
    </row>
    <row r="598">
      <c r="G598" s="101"/>
      <c r="H598" s="101"/>
    </row>
    <row r="599">
      <c r="G599" s="101"/>
      <c r="H599" s="101"/>
    </row>
    <row r="600">
      <c r="G600" s="101"/>
      <c r="H600" s="101"/>
    </row>
    <row r="601">
      <c r="G601" s="101"/>
      <c r="H601" s="101"/>
    </row>
    <row r="602">
      <c r="G602" s="101"/>
      <c r="H602" s="101"/>
    </row>
    <row r="603">
      <c r="G603" s="101"/>
      <c r="H603" s="101"/>
    </row>
    <row r="604">
      <c r="G604" s="101"/>
      <c r="H604" s="101"/>
    </row>
    <row r="605">
      <c r="G605" s="101"/>
      <c r="H605" s="101"/>
    </row>
    <row r="606">
      <c r="G606" s="101"/>
      <c r="H606" s="101"/>
    </row>
    <row r="607">
      <c r="G607" s="101"/>
      <c r="H607" s="101"/>
    </row>
    <row r="608">
      <c r="G608" s="101"/>
      <c r="H608" s="101"/>
    </row>
    <row r="609">
      <c r="G609" s="101"/>
      <c r="H609" s="101"/>
    </row>
    <row r="610">
      <c r="G610" s="101"/>
      <c r="H610" s="101"/>
    </row>
    <row r="611">
      <c r="G611" s="101"/>
      <c r="H611" s="101"/>
    </row>
    <row r="612">
      <c r="G612" s="101"/>
      <c r="H612" s="101"/>
    </row>
    <row r="613">
      <c r="G613" s="101"/>
      <c r="H613" s="101"/>
    </row>
    <row r="614">
      <c r="G614" s="101"/>
      <c r="H614" s="101"/>
    </row>
    <row r="615">
      <c r="G615" s="101"/>
      <c r="H615" s="101"/>
    </row>
    <row r="616">
      <c r="G616" s="101"/>
      <c r="H616" s="101"/>
    </row>
    <row r="617">
      <c r="G617" s="101"/>
      <c r="H617" s="101"/>
    </row>
    <row r="618">
      <c r="G618" s="101"/>
      <c r="H618" s="101"/>
    </row>
    <row r="619">
      <c r="G619" s="101"/>
      <c r="H619" s="101"/>
    </row>
    <row r="620">
      <c r="G620" s="101"/>
      <c r="H620" s="101"/>
    </row>
    <row r="621">
      <c r="G621" s="101"/>
      <c r="H621" s="101"/>
    </row>
    <row r="622">
      <c r="G622" s="101"/>
      <c r="H622" s="101"/>
    </row>
    <row r="623">
      <c r="G623" s="101"/>
      <c r="H623" s="101"/>
    </row>
    <row r="624">
      <c r="G624" s="101"/>
      <c r="H624" s="101"/>
    </row>
    <row r="625">
      <c r="G625" s="101"/>
      <c r="H625" s="101"/>
    </row>
    <row r="626">
      <c r="G626" s="101"/>
      <c r="H626" s="101"/>
    </row>
    <row r="627">
      <c r="G627" s="101"/>
      <c r="H627" s="101"/>
    </row>
    <row r="628">
      <c r="G628" s="101"/>
      <c r="H628" s="101"/>
    </row>
    <row r="629">
      <c r="G629" s="101"/>
      <c r="H629" s="101"/>
    </row>
    <row r="630">
      <c r="G630" s="101"/>
      <c r="H630" s="101"/>
    </row>
    <row r="631">
      <c r="G631" s="101"/>
      <c r="H631" s="101"/>
    </row>
    <row r="632">
      <c r="G632" s="101"/>
      <c r="H632" s="101"/>
    </row>
    <row r="633">
      <c r="G633" s="101"/>
      <c r="H633" s="101"/>
    </row>
    <row r="634">
      <c r="G634" s="101"/>
      <c r="H634" s="101"/>
    </row>
    <row r="635">
      <c r="G635" s="101"/>
      <c r="H635" s="101"/>
    </row>
    <row r="636">
      <c r="G636" s="101"/>
      <c r="H636" s="101"/>
    </row>
    <row r="637">
      <c r="G637" s="101"/>
      <c r="H637" s="101"/>
    </row>
    <row r="638">
      <c r="G638" s="101"/>
      <c r="H638" s="101"/>
    </row>
    <row r="639">
      <c r="G639" s="101"/>
      <c r="H639" s="101"/>
    </row>
    <row r="640">
      <c r="G640" s="101"/>
      <c r="H640" s="101"/>
    </row>
    <row r="641">
      <c r="G641" s="101"/>
      <c r="H641" s="101"/>
    </row>
    <row r="642">
      <c r="G642" s="101"/>
      <c r="H642" s="101"/>
    </row>
    <row r="643">
      <c r="G643" s="101"/>
      <c r="H643" s="101"/>
    </row>
    <row r="644">
      <c r="G644" s="101"/>
      <c r="H644" s="101"/>
    </row>
    <row r="645">
      <c r="G645" s="101"/>
      <c r="H645" s="101"/>
    </row>
    <row r="646">
      <c r="G646" s="101"/>
      <c r="H646" s="101"/>
    </row>
    <row r="647">
      <c r="G647" s="101"/>
      <c r="H647" s="101"/>
    </row>
    <row r="648">
      <c r="G648" s="101"/>
      <c r="H648" s="101"/>
    </row>
    <row r="649">
      <c r="G649" s="101"/>
      <c r="H649" s="101"/>
    </row>
    <row r="650">
      <c r="G650" s="101"/>
      <c r="H650" s="101"/>
    </row>
    <row r="651">
      <c r="G651" s="101"/>
      <c r="H651" s="101"/>
    </row>
    <row r="652">
      <c r="G652" s="101"/>
      <c r="H652" s="101"/>
    </row>
    <row r="653">
      <c r="G653" s="101"/>
      <c r="H653" s="101"/>
    </row>
    <row r="654">
      <c r="G654" s="101"/>
      <c r="H654" s="101"/>
    </row>
    <row r="655">
      <c r="G655" s="101"/>
      <c r="H655" s="101"/>
    </row>
    <row r="656">
      <c r="G656" s="101"/>
      <c r="H656" s="101"/>
    </row>
    <row r="657">
      <c r="G657" s="101"/>
      <c r="H657" s="101"/>
    </row>
    <row r="658">
      <c r="G658" s="101"/>
      <c r="H658" s="101"/>
    </row>
    <row r="659">
      <c r="G659" s="101"/>
      <c r="H659" s="101"/>
    </row>
    <row r="660">
      <c r="G660" s="101"/>
      <c r="H660" s="101"/>
    </row>
    <row r="661">
      <c r="G661" s="101"/>
      <c r="H661" s="101"/>
    </row>
    <row r="662">
      <c r="G662" s="101"/>
      <c r="H662" s="101"/>
    </row>
    <row r="663">
      <c r="G663" s="101"/>
      <c r="H663" s="101"/>
    </row>
    <row r="664">
      <c r="G664" s="101"/>
      <c r="H664" s="101"/>
    </row>
    <row r="665">
      <c r="G665" s="101"/>
      <c r="H665" s="101"/>
    </row>
    <row r="666">
      <c r="G666" s="101"/>
      <c r="H666" s="101"/>
    </row>
    <row r="667">
      <c r="G667" s="101"/>
      <c r="H667" s="101"/>
    </row>
    <row r="668">
      <c r="G668" s="101"/>
      <c r="H668" s="101"/>
    </row>
    <row r="669">
      <c r="G669" s="101"/>
      <c r="H669" s="101"/>
    </row>
    <row r="670">
      <c r="G670" s="101"/>
      <c r="H670" s="101"/>
    </row>
    <row r="671">
      <c r="G671" s="101"/>
      <c r="H671" s="101"/>
    </row>
    <row r="672">
      <c r="G672" s="101"/>
      <c r="H672" s="101"/>
    </row>
    <row r="673">
      <c r="G673" s="101"/>
      <c r="H673" s="101"/>
    </row>
    <row r="674">
      <c r="G674" s="101"/>
      <c r="H674" s="101"/>
    </row>
    <row r="675">
      <c r="G675" s="101"/>
      <c r="H675" s="101"/>
    </row>
    <row r="676">
      <c r="G676" s="101"/>
      <c r="H676" s="101"/>
    </row>
    <row r="677">
      <c r="G677" s="101"/>
      <c r="H677" s="101"/>
    </row>
    <row r="678">
      <c r="G678" s="101"/>
      <c r="H678" s="101"/>
    </row>
    <row r="679">
      <c r="G679" s="101"/>
      <c r="H679" s="101"/>
    </row>
    <row r="680">
      <c r="G680" s="101"/>
      <c r="H680" s="101"/>
    </row>
    <row r="681">
      <c r="G681" s="101"/>
      <c r="H681" s="101"/>
    </row>
    <row r="682">
      <c r="G682" s="101"/>
      <c r="H682" s="101"/>
    </row>
    <row r="683">
      <c r="G683" s="101"/>
      <c r="H683" s="101"/>
    </row>
    <row r="684">
      <c r="G684" s="101"/>
      <c r="H684" s="101"/>
    </row>
    <row r="685">
      <c r="G685" s="101"/>
      <c r="H685" s="101"/>
    </row>
    <row r="686">
      <c r="G686" s="101"/>
      <c r="H686" s="101"/>
    </row>
    <row r="687">
      <c r="G687" s="101"/>
      <c r="H687" s="101"/>
    </row>
    <row r="688">
      <c r="G688" s="101"/>
      <c r="H688" s="101"/>
    </row>
    <row r="689">
      <c r="G689" s="101"/>
      <c r="H689" s="101"/>
    </row>
    <row r="690">
      <c r="G690" s="101"/>
      <c r="H690" s="101"/>
    </row>
    <row r="691">
      <c r="G691" s="101"/>
      <c r="H691" s="101"/>
    </row>
    <row r="692">
      <c r="G692" s="101"/>
      <c r="H692" s="101"/>
    </row>
    <row r="693">
      <c r="G693" s="101"/>
      <c r="H693" s="101"/>
    </row>
    <row r="694">
      <c r="G694" s="101"/>
      <c r="H694" s="101"/>
    </row>
    <row r="695">
      <c r="G695" s="101"/>
      <c r="H695" s="101"/>
    </row>
    <row r="696">
      <c r="G696" s="101"/>
      <c r="H696" s="101"/>
    </row>
    <row r="697">
      <c r="G697" s="101"/>
      <c r="H697" s="101"/>
    </row>
    <row r="698">
      <c r="G698" s="101"/>
      <c r="H698" s="101"/>
    </row>
    <row r="699">
      <c r="G699" s="101"/>
      <c r="H699" s="101"/>
    </row>
    <row r="700">
      <c r="G700" s="101"/>
      <c r="H700" s="101"/>
    </row>
    <row r="701">
      <c r="G701" s="101"/>
      <c r="H701" s="101"/>
    </row>
    <row r="702">
      <c r="G702" s="101"/>
      <c r="H702" s="101"/>
    </row>
    <row r="703">
      <c r="G703" s="101"/>
      <c r="H703" s="101"/>
    </row>
    <row r="704">
      <c r="G704" s="101"/>
      <c r="H704" s="101"/>
    </row>
    <row r="705">
      <c r="G705" s="101"/>
      <c r="H705" s="101"/>
    </row>
    <row r="706">
      <c r="G706" s="101"/>
      <c r="H706" s="101"/>
    </row>
    <row r="707">
      <c r="G707" s="101"/>
      <c r="H707" s="101"/>
    </row>
    <row r="708">
      <c r="G708" s="101"/>
      <c r="H708" s="101"/>
    </row>
    <row r="709">
      <c r="G709" s="101"/>
      <c r="H709" s="101"/>
    </row>
    <row r="710">
      <c r="G710" s="101"/>
      <c r="H710" s="101"/>
    </row>
    <row r="711">
      <c r="G711" s="101"/>
      <c r="H711" s="101"/>
    </row>
    <row r="712">
      <c r="G712" s="101"/>
      <c r="H712" s="101"/>
    </row>
    <row r="713">
      <c r="G713" s="101"/>
      <c r="H713" s="101"/>
    </row>
    <row r="714">
      <c r="G714" s="101"/>
      <c r="H714" s="101"/>
    </row>
    <row r="715">
      <c r="G715" s="101"/>
      <c r="H715" s="101"/>
    </row>
    <row r="716">
      <c r="G716" s="101"/>
      <c r="H716" s="101"/>
    </row>
    <row r="717">
      <c r="G717" s="101"/>
      <c r="H717" s="101"/>
    </row>
    <row r="718">
      <c r="G718" s="101"/>
      <c r="H718" s="101"/>
    </row>
    <row r="719">
      <c r="G719" s="101"/>
      <c r="H719" s="101"/>
    </row>
    <row r="720">
      <c r="G720" s="101"/>
      <c r="H720" s="101"/>
    </row>
    <row r="721">
      <c r="G721" s="101"/>
      <c r="H721" s="101"/>
    </row>
    <row r="722">
      <c r="G722" s="101"/>
      <c r="H722" s="101"/>
    </row>
    <row r="723">
      <c r="G723" s="101"/>
      <c r="H723" s="101"/>
    </row>
    <row r="724">
      <c r="G724" s="101"/>
      <c r="H724" s="101"/>
    </row>
    <row r="725">
      <c r="G725" s="101"/>
      <c r="H725" s="101"/>
    </row>
    <row r="726">
      <c r="G726" s="101"/>
      <c r="H726" s="101"/>
    </row>
    <row r="727">
      <c r="G727" s="101"/>
      <c r="H727" s="101"/>
    </row>
    <row r="728">
      <c r="G728" s="101"/>
      <c r="H728" s="101"/>
    </row>
    <row r="729">
      <c r="G729" s="101"/>
      <c r="H729" s="101"/>
    </row>
    <row r="730">
      <c r="G730" s="101"/>
      <c r="H730" s="101"/>
    </row>
    <row r="731">
      <c r="G731" s="101"/>
      <c r="H731" s="101"/>
    </row>
    <row r="732">
      <c r="G732" s="101"/>
      <c r="H732" s="101"/>
    </row>
    <row r="733">
      <c r="G733" s="101"/>
      <c r="H733" s="101"/>
    </row>
    <row r="734">
      <c r="G734" s="101"/>
      <c r="H734" s="101"/>
    </row>
    <row r="735">
      <c r="G735" s="101"/>
      <c r="H735" s="101"/>
    </row>
    <row r="736">
      <c r="G736" s="101"/>
      <c r="H736" s="101"/>
    </row>
    <row r="737">
      <c r="G737" s="101"/>
      <c r="H737" s="101"/>
    </row>
    <row r="738">
      <c r="G738" s="101"/>
      <c r="H738" s="101"/>
    </row>
    <row r="739">
      <c r="G739" s="101"/>
      <c r="H739" s="101"/>
    </row>
    <row r="740">
      <c r="G740" s="101"/>
      <c r="H740" s="101"/>
    </row>
    <row r="741">
      <c r="G741" s="101"/>
      <c r="H741" s="101"/>
    </row>
    <row r="742">
      <c r="G742" s="101"/>
      <c r="H742" s="101"/>
    </row>
    <row r="743">
      <c r="G743" s="101"/>
      <c r="H743" s="101"/>
    </row>
    <row r="744">
      <c r="G744" s="101"/>
      <c r="H744" s="101"/>
    </row>
    <row r="745">
      <c r="G745" s="101"/>
      <c r="H745" s="101"/>
    </row>
    <row r="746">
      <c r="G746" s="101"/>
      <c r="H746" s="101"/>
    </row>
    <row r="747">
      <c r="G747" s="101"/>
      <c r="H747" s="101"/>
    </row>
    <row r="748">
      <c r="G748" s="101"/>
      <c r="H748" s="101"/>
    </row>
    <row r="749">
      <c r="G749" s="101"/>
      <c r="H749" s="101"/>
    </row>
    <row r="750">
      <c r="G750" s="101"/>
      <c r="H750" s="101"/>
    </row>
    <row r="751">
      <c r="G751" s="101"/>
      <c r="H751" s="101"/>
    </row>
    <row r="752">
      <c r="G752" s="101"/>
      <c r="H752" s="101"/>
    </row>
    <row r="753">
      <c r="G753" s="101"/>
      <c r="H753" s="101"/>
    </row>
    <row r="754">
      <c r="G754" s="101"/>
      <c r="H754" s="101"/>
    </row>
    <row r="755">
      <c r="G755" s="101"/>
      <c r="H755" s="101"/>
    </row>
    <row r="756">
      <c r="G756" s="101"/>
      <c r="H756" s="101"/>
    </row>
    <row r="757">
      <c r="G757" s="101"/>
      <c r="H757" s="101"/>
    </row>
    <row r="758">
      <c r="G758" s="101"/>
      <c r="H758" s="101"/>
    </row>
    <row r="759">
      <c r="G759" s="101"/>
      <c r="H759" s="101"/>
    </row>
    <row r="760">
      <c r="G760" s="101"/>
      <c r="H760" s="101"/>
    </row>
    <row r="761">
      <c r="G761" s="101"/>
      <c r="H761" s="101"/>
    </row>
    <row r="762">
      <c r="G762" s="101"/>
      <c r="H762" s="101"/>
    </row>
    <row r="763">
      <c r="G763" s="101"/>
      <c r="H763" s="101"/>
    </row>
    <row r="764">
      <c r="G764" s="101"/>
      <c r="H764" s="101"/>
    </row>
    <row r="765">
      <c r="G765" s="101"/>
      <c r="H765" s="101"/>
    </row>
    <row r="766">
      <c r="G766" s="101"/>
      <c r="H766" s="101"/>
    </row>
    <row r="767">
      <c r="G767" s="101"/>
      <c r="H767" s="101"/>
    </row>
    <row r="768">
      <c r="G768" s="101"/>
      <c r="H768" s="101"/>
    </row>
    <row r="769">
      <c r="G769" s="101"/>
      <c r="H769" s="101"/>
    </row>
    <row r="770">
      <c r="G770" s="101"/>
      <c r="H770" s="101"/>
    </row>
    <row r="771">
      <c r="G771" s="101"/>
      <c r="H771" s="101"/>
    </row>
    <row r="772">
      <c r="G772" s="101"/>
      <c r="H772" s="101"/>
    </row>
    <row r="773">
      <c r="G773" s="101"/>
      <c r="H773" s="101"/>
    </row>
    <row r="774">
      <c r="G774" s="101"/>
      <c r="H774" s="101"/>
    </row>
    <row r="775">
      <c r="G775" s="101"/>
      <c r="H775" s="101"/>
    </row>
    <row r="776">
      <c r="G776" s="101"/>
      <c r="H776" s="101"/>
    </row>
    <row r="777">
      <c r="G777" s="101"/>
      <c r="H777" s="101"/>
    </row>
    <row r="778">
      <c r="G778" s="101"/>
      <c r="H778" s="101"/>
    </row>
    <row r="779">
      <c r="G779" s="101"/>
      <c r="H779" s="101"/>
    </row>
    <row r="780">
      <c r="G780" s="101"/>
      <c r="H780" s="101"/>
    </row>
    <row r="781">
      <c r="G781" s="101"/>
      <c r="H781" s="101"/>
    </row>
    <row r="782">
      <c r="G782" s="101"/>
      <c r="H782" s="101"/>
    </row>
    <row r="783">
      <c r="G783" s="101"/>
      <c r="H783" s="101"/>
    </row>
    <row r="784">
      <c r="G784" s="101"/>
      <c r="H784" s="101"/>
    </row>
    <row r="785">
      <c r="G785" s="101"/>
      <c r="H785" s="101"/>
    </row>
    <row r="786">
      <c r="G786" s="101"/>
      <c r="H786" s="101"/>
    </row>
    <row r="787">
      <c r="G787" s="101"/>
      <c r="H787" s="101"/>
    </row>
    <row r="788">
      <c r="G788" s="101"/>
      <c r="H788" s="101"/>
    </row>
    <row r="789">
      <c r="G789" s="101"/>
      <c r="H789" s="101"/>
    </row>
    <row r="790">
      <c r="G790" s="101"/>
      <c r="H790" s="101"/>
    </row>
    <row r="791">
      <c r="G791" s="101"/>
      <c r="H791" s="101"/>
    </row>
    <row r="792">
      <c r="G792" s="101"/>
      <c r="H792" s="101"/>
    </row>
    <row r="793">
      <c r="G793" s="101"/>
      <c r="H793" s="101"/>
    </row>
    <row r="794">
      <c r="G794" s="101"/>
      <c r="H794" s="101"/>
    </row>
    <row r="795">
      <c r="G795" s="101"/>
      <c r="H795" s="101"/>
    </row>
    <row r="796">
      <c r="G796" s="101"/>
      <c r="H796" s="101"/>
    </row>
    <row r="797">
      <c r="G797" s="101"/>
      <c r="H797" s="101"/>
    </row>
    <row r="798">
      <c r="G798" s="101"/>
      <c r="H798" s="101"/>
    </row>
    <row r="799">
      <c r="G799" s="101"/>
      <c r="H799" s="101"/>
    </row>
    <row r="800">
      <c r="G800" s="101"/>
      <c r="H800" s="101"/>
    </row>
    <row r="801">
      <c r="G801" s="101"/>
      <c r="H801" s="101"/>
    </row>
    <row r="802">
      <c r="G802" s="101"/>
      <c r="H802" s="101"/>
    </row>
    <row r="803">
      <c r="G803" s="101"/>
      <c r="H803" s="101"/>
    </row>
    <row r="804">
      <c r="G804" s="101"/>
      <c r="H804" s="101"/>
    </row>
    <row r="805">
      <c r="G805" s="101"/>
      <c r="H805" s="101"/>
    </row>
    <row r="806">
      <c r="G806" s="101"/>
      <c r="H806" s="101"/>
    </row>
    <row r="807">
      <c r="G807" s="101"/>
      <c r="H807" s="101"/>
    </row>
    <row r="808">
      <c r="G808" s="101"/>
      <c r="H808" s="101"/>
    </row>
    <row r="809">
      <c r="G809" s="101"/>
      <c r="H809" s="101"/>
    </row>
    <row r="810">
      <c r="G810" s="101"/>
      <c r="H810" s="101"/>
    </row>
    <row r="811">
      <c r="G811" s="101"/>
      <c r="H811" s="101"/>
    </row>
    <row r="812">
      <c r="G812" s="101"/>
      <c r="H812" s="101"/>
    </row>
    <row r="813">
      <c r="G813" s="101"/>
      <c r="H813" s="101"/>
    </row>
    <row r="814">
      <c r="G814" s="101"/>
      <c r="H814" s="101"/>
    </row>
    <row r="815">
      <c r="G815" s="101"/>
      <c r="H815" s="101"/>
    </row>
    <row r="816">
      <c r="G816" s="101"/>
      <c r="H816" s="101"/>
    </row>
    <row r="817">
      <c r="G817" s="101"/>
      <c r="H817" s="101"/>
    </row>
    <row r="818">
      <c r="G818" s="101"/>
      <c r="H818" s="101"/>
    </row>
    <row r="819">
      <c r="G819" s="101"/>
      <c r="H819" s="101"/>
    </row>
    <row r="820">
      <c r="G820" s="101"/>
      <c r="H820" s="101"/>
    </row>
    <row r="821">
      <c r="G821" s="101"/>
      <c r="H821" s="101"/>
    </row>
    <row r="822">
      <c r="G822" s="101"/>
      <c r="H822" s="101"/>
    </row>
    <row r="823">
      <c r="G823" s="101"/>
      <c r="H823" s="101"/>
    </row>
    <row r="824">
      <c r="G824" s="101"/>
      <c r="H824" s="101"/>
    </row>
    <row r="825">
      <c r="G825" s="101"/>
      <c r="H825" s="101"/>
    </row>
    <row r="826">
      <c r="G826" s="101"/>
      <c r="H826" s="101"/>
    </row>
    <row r="827">
      <c r="G827" s="101"/>
      <c r="H827" s="101"/>
    </row>
    <row r="828">
      <c r="G828" s="101"/>
      <c r="H828" s="101"/>
    </row>
    <row r="829">
      <c r="G829" s="101"/>
      <c r="H829" s="101"/>
    </row>
    <row r="830">
      <c r="G830" s="101"/>
      <c r="H830" s="101"/>
    </row>
    <row r="831">
      <c r="G831" s="101"/>
      <c r="H831" s="101"/>
    </row>
    <row r="832">
      <c r="G832" s="101"/>
      <c r="H832" s="101"/>
    </row>
    <row r="833">
      <c r="G833" s="101"/>
      <c r="H833" s="101"/>
    </row>
    <row r="834">
      <c r="G834" s="101"/>
      <c r="H834" s="101"/>
    </row>
    <row r="835">
      <c r="G835" s="101"/>
      <c r="H835" s="101"/>
    </row>
    <row r="836">
      <c r="G836" s="101"/>
      <c r="H836" s="101"/>
    </row>
    <row r="837">
      <c r="G837" s="101"/>
      <c r="H837" s="101"/>
    </row>
    <row r="838">
      <c r="G838" s="101"/>
      <c r="H838" s="101"/>
    </row>
    <row r="839">
      <c r="G839" s="101"/>
      <c r="H839" s="101"/>
    </row>
    <row r="840">
      <c r="G840" s="101"/>
      <c r="H840" s="101"/>
    </row>
    <row r="841">
      <c r="G841" s="101"/>
      <c r="H841" s="101"/>
    </row>
    <row r="842">
      <c r="G842" s="101"/>
      <c r="H842" s="101"/>
    </row>
    <row r="843">
      <c r="G843" s="101"/>
      <c r="H843" s="101"/>
    </row>
    <row r="844">
      <c r="G844" s="101"/>
      <c r="H844" s="101"/>
    </row>
    <row r="845">
      <c r="G845" s="101"/>
      <c r="H845" s="101"/>
    </row>
    <row r="846">
      <c r="G846" s="101"/>
      <c r="H846" s="101"/>
    </row>
    <row r="847">
      <c r="G847" s="101"/>
      <c r="H847" s="101"/>
    </row>
    <row r="848">
      <c r="G848" s="101"/>
      <c r="H848" s="101"/>
    </row>
    <row r="849">
      <c r="G849" s="101"/>
      <c r="H849" s="101"/>
    </row>
    <row r="850">
      <c r="G850" s="101"/>
      <c r="H850" s="101"/>
    </row>
    <row r="851">
      <c r="G851" s="101"/>
      <c r="H851" s="101"/>
    </row>
    <row r="852">
      <c r="G852" s="101"/>
      <c r="H852" s="101"/>
    </row>
    <row r="853">
      <c r="G853" s="101"/>
      <c r="H853" s="101"/>
    </row>
    <row r="854">
      <c r="G854" s="101"/>
      <c r="H854" s="101"/>
    </row>
    <row r="855">
      <c r="G855" s="101"/>
      <c r="H855" s="101"/>
    </row>
    <row r="856">
      <c r="G856" s="101"/>
      <c r="H856" s="101"/>
    </row>
    <row r="857">
      <c r="G857" s="101"/>
      <c r="H857" s="101"/>
    </row>
    <row r="858">
      <c r="G858" s="101"/>
      <c r="H858" s="101"/>
    </row>
    <row r="859">
      <c r="G859" s="101"/>
      <c r="H859" s="101"/>
    </row>
    <row r="860">
      <c r="G860" s="101"/>
      <c r="H860" s="101"/>
    </row>
    <row r="861">
      <c r="G861" s="101"/>
      <c r="H861" s="101"/>
    </row>
    <row r="862">
      <c r="G862" s="101"/>
      <c r="H862" s="101"/>
    </row>
    <row r="863">
      <c r="G863" s="101"/>
      <c r="H863" s="101"/>
    </row>
    <row r="864">
      <c r="G864" s="101"/>
      <c r="H864" s="101"/>
    </row>
    <row r="865">
      <c r="G865" s="101"/>
      <c r="H865" s="101"/>
    </row>
    <row r="866">
      <c r="G866" s="101"/>
      <c r="H866" s="101"/>
    </row>
    <row r="867">
      <c r="G867" s="101"/>
      <c r="H867" s="101"/>
    </row>
    <row r="868">
      <c r="G868" s="101"/>
      <c r="H868" s="101"/>
    </row>
    <row r="869">
      <c r="G869" s="101"/>
      <c r="H869" s="101"/>
    </row>
    <row r="870">
      <c r="G870" s="101"/>
      <c r="H870" s="101"/>
    </row>
    <row r="871">
      <c r="G871" s="101"/>
      <c r="H871" s="101"/>
    </row>
    <row r="872">
      <c r="G872" s="101"/>
      <c r="H872" s="101"/>
    </row>
    <row r="873">
      <c r="G873" s="101"/>
      <c r="H873" s="101"/>
    </row>
    <row r="874">
      <c r="G874" s="101"/>
      <c r="H874" s="101"/>
    </row>
    <row r="875">
      <c r="G875" s="101"/>
      <c r="H875" s="101"/>
    </row>
    <row r="876">
      <c r="G876" s="101"/>
      <c r="H876" s="101"/>
    </row>
    <row r="877">
      <c r="G877" s="101"/>
      <c r="H877" s="101"/>
    </row>
    <row r="878">
      <c r="G878" s="101"/>
      <c r="H878" s="101"/>
    </row>
    <row r="879">
      <c r="G879" s="101"/>
      <c r="H879" s="101"/>
    </row>
    <row r="880">
      <c r="G880" s="101"/>
      <c r="H880" s="101"/>
    </row>
    <row r="881">
      <c r="G881" s="101"/>
      <c r="H881" s="101"/>
    </row>
    <row r="882">
      <c r="G882" s="101"/>
      <c r="H882" s="101"/>
    </row>
    <row r="883">
      <c r="G883" s="101"/>
      <c r="H883" s="101"/>
    </row>
    <row r="884">
      <c r="G884" s="101"/>
      <c r="H884" s="101"/>
    </row>
    <row r="885">
      <c r="G885" s="101"/>
      <c r="H885" s="101"/>
    </row>
    <row r="886">
      <c r="G886" s="101"/>
      <c r="H886" s="101"/>
    </row>
    <row r="887">
      <c r="G887" s="101"/>
      <c r="H887" s="101"/>
    </row>
    <row r="888">
      <c r="G888" s="101"/>
      <c r="H888" s="101"/>
    </row>
    <row r="889">
      <c r="G889" s="101"/>
      <c r="H889" s="101"/>
    </row>
    <row r="890">
      <c r="G890" s="101"/>
      <c r="H890" s="101"/>
    </row>
    <row r="891">
      <c r="G891" s="101"/>
      <c r="H891" s="101"/>
    </row>
    <row r="892">
      <c r="G892" s="101"/>
      <c r="H892" s="101"/>
    </row>
    <row r="893">
      <c r="G893" s="101"/>
      <c r="H893" s="101"/>
    </row>
    <row r="894">
      <c r="G894" s="101"/>
      <c r="H894" s="101"/>
    </row>
    <row r="895">
      <c r="G895" s="101"/>
      <c r="H895" s="101"/>
    </row>
    <row r="896">
      <c r="G896" s="101"/>
      <c r="H896" s="101"/>
    </row>
    <row r="897">
      <c r="G897" s="101"/>
      <c r="H897" s="101"/>
    </row>
    <row r="898">
      <c r="G898" s="101"/>
      <c r="H898" s="101"/>
    </row>
    <row r="899">
      <c r="G899" s="101"/>
      <c r="H899" s="101"/>
    </row>
    <row r="900">
      <c r="G900" s="101"/>
      <c r="H900" s="101"/>
    </row>
    <row r="901">
      <c r="G901" s="101"/>
      <c r="H901" s="101"/>
    </row>
    <row r="902">
      <c r="G902" s="101"/>
      <c r="H902" s="101"/>
    </row>
    <row r="903">
      <c r="G903" s="101"/>
      <c r="H903" s="101"/>
    </row>
    <row r="904">
      <c r="G904" s="101"/>
      <c r="H904" s="101"/>
    </row>
    <row r="905">
      <c r="G905" s="101"/>
      <c r="H905" s="101"/>
    </row>
    <row r="906">
      <c r="G906" s="101"/>
      <c r="H906" s="101"/>
    </row>
    <row r="907">
      <c r="G907" s="101"/>
      <c r="H907" s="101"/>
    </row>
    <row r="908">
      <c r="G908" s="101"/>
      <c r="H908" s="101"/>
    </row>
    <row r="909">
      <c r="G909" s="101"/>
      <c r="H909" s="101"/>
    </row>
    <row r="910">
      <c r="G910" s="101"/>
      <c r="H910" s="101"/>
    </row>
    <row r="911">
      <c r="G911" s="101"/>
      <c r="H911" s="101"/>
    </row>
    <row r="912">
      <c r="G912" s="101"/>
      <c r="H912" s="101"/>
    </row>
    <row r="913">
      <c r="G913" s="101"/>
      <c r="H913" s="101"/>
    </row>
    <row r="914">
      <c r="G914" s="101"/>
      <c r="H914" s="101"/>
    </row>
    <row r="915">
      <c r="G915" s="101"/>
      <c r="H915" s="101"/>
    </row>
    <row r="916">
      <c r="G916" s="101"/>
      <c r="H916" s="101"/>
    </row>
    <row r="917">
      <c r="G917" s="101"/>
      <c r="H917" s="101"/>
    </row>
    <row r="918">
      <c r="G918" s="101"/>
      <c r="H918" s="101"/>
    </row>
    <row r="919">
      <c r="G919" s="101"/>
      <c r="H919" s="101"/>
    </row>
    <row r="920">
      <c r="G920" s="101"/>
      <c r="H920" s="101"/>
    </row>
    <row r="921">
      <c r="G921" s="101"/>
      <c r="H921" s="101"/>
    </row>
    <row r="922">
      <c r="G922" s="101"/>
      <c r="H922" s="101"/>
    </row>
    <row r="923">
      <c r="G923" s="101"/>
      <c r="H923" s="101"/>
    </row>
    <row r="924">
      <c r="G924" s="101"/>
      <c r="H924" s="101"/>
    </row>
    <row r="925">
      <c r="G925" s="101"/>
      <c r="H925" s="101"/>
    </row>
    <row r="926">
      <c r="G926" s="101"/>
      <c r="H926" s="101"/>
    </row>
    <row r="927">
      <c r="G927" s="101"/>
      <c r="H927" s="101"/>
    </row>
    <row r="928">
      <c r="G928" s="101"/>
      <c r="H928" s="101"/>
    </row>
    <row r="929">
      <c r="G929" s="101"/>
      <c r="H929" s="101"/>
    </row>
    <row r="930">
      <c r="G930" s="101"/>
      <c r="H930" s="101"/>
    </row>
    <row r="931">
      <c r="G931" s="101"/>
      <c r="H931" s="101"/>
    </row>
    <row r="932">
      <c r="G932" s="101"/>
      <c r="H932" s="101"/>
    </row>
    <row r="933">
      <c r="G933" s="101"/>
      <c r="H933" s="101"/>
    </row>
    <row r="934">
      <c r="G934" s="101"/>
      <c r="H934" s="101"/>
    </row>
    <row r="935">
      <c r="G935" s="101"/>
      <c r="H935" s="101"/>
    </row>
    <row r="936">
      <c r="G936" s="101"/>
      <c r="H936" s="101"/>
    </row>
    <row r="937">
      <c r="G937" s="101"/>
      <c r="H937" s="101"/>
    </row>
    <row r="938">
      <c r="G938" s="101"/>
      <c r="H938" s="101"/>
    </row>
    <row r="939">
      <c r="G939" s="101"/>
      <c r="H939" s="101"/>
    </row>
    <row r="940">
      <c r="G940" s="101"/>
      <c r="H940" s="101"/>
    </row>
    <row r="941">
      <c r="G941" s="101"/>
      <c r="H941" s="101"/>
    </row>
    <row r="942">
      <c r="G942" s="101"/>
      <c r="H942" s="101"/>
    </row>
    <row r="943">
      <c r="G943" s="101"/>
      <c r="H943" s="101"/>
    </row>
    <row r="944">
      <c r="G944" s="101"/>
      <c r="H944" s="101"/>
    </row>
    <row r="945">
      <c r="G945" s="101"/>
      <c r="H945" s="101"/>
    </row>
    <row r="946">
      <c r="G946" s="101"/>
      <c r="H946" s="101"/>
    </row>
    <row r="947">
      <c r="G947" s="101"/>
      <c r="H947" s="101"/>
    </row>
    <row r="948">
      <c r="G948" s="101"/>
      <c r="H948" s="101"/>
    </row>
    <row r="949">
      <c r="G949" s="101"/>
      <c r="H949" s="101"/>
    </row>
    <row r="950">
      <c r="G950" s="101"/>
      <c r="H950" s="101"/>
    </row>
    <row r="951">
      <c r="G951" s="101"/>
      <c r="H951" s="101"/>
    </row>
    <row r="952">
      <c r="G952" s="101"/>
      <c r="H952" s="101"/>
    </row>
    <row r="953">
      <c r="G953" s="101"/>
      <c r="H953" s="101"/>
    </row>
    <row r="954">
      <c r="G954" s="101"/>
      <c r="H954" s="101"/>
    </row>
    <row r="955">
      <c r="G955" s="101"/>
      <c r="H955" s="101"/>
    </row>
    <row r="956">
      <c r="G956" s="101"/>
      <c r="H956" s="101"/>
    </row>
    <row r="957">
      <c r="G957" s="101"/>
      <c r="H957" s="101"/>
    </row>
    <row r="958">
      <c r="G958" s="101"/>
      <c r="H958" s="101"/>
    </row>
    <row r="959">
      <c r="G959" s="101"/>
      <c r="H959" s="101"/>
    </row>
    <row r="960">
      <c r="G960" s="101"/>
      <c r="H960" s="101"/>
    </row>
    <row r="961">
      <c r="G961" s="101"/>
      <c r="H961" s="101"/>
    </row>
    <row r="962">
      <c r="G962" s="101"/>
      <c r="H962" s="101"/>
    </row>
    <row r="963">
      <c r="G963" s="101"/>
      <c r="H963" s="101"/>
    </row>
    <row r="964">
      <c r="G964" s="101"/>
      <c r="H964" s="101"/>
    </row>
    <row r="965">
      <c r="G965" s="101"/>
      <c r="H965" s="101"/>
    </row>
    <row r="966">
      <c r="G966" s="101"/>
      <c r="H966" s="101"/>
    </row>
    <row r="967">
      <c r="G967" s="101"/>
      <c r="H967" s="101"/>
    </row>
    <row r="968">
      <c r="G968" s="101"/>
      <c r="H968" s="101"/>
    </row>
    <row r="969">
      <c r="G969" s="101"/>
      <c r="H969" s="101"/>
    </row>
    <row r="970">
      <c r="G970" s="101"/>
      <c r="H970" s="101"/>
    </row>
    <row r="971">
      <c r="G971" s="101"/>
      <c r="H971" s="101"/>
    </row>
    <row r="972">
      <c r="G972" s="101"/>
      <c r="H972" s="101"/>
    </row>
    <row r="973">
      <c r="G973" s="101"/>
      <c r="H973" s="101"/>
    </row>
    <row r="974">
      <c r="G974" s="101"/>
      <c r="H974" s="101"/>
    </row>
    <row r="975">
      <c r="G975" s="101"/>
      <c r="H975" s="101"/>
    </row>
    <row r="976">
      <c r="G976" s="101"/>
      <c r="H976" s="101"/>
    </row>
    <row r="977">
      <c r="G977" s="101"/>
      <c r="H977" s="101"/>
    </row>
    <row r="978">
      <c r="G978" s="101"/>
      <c r="H978" s="101"/>
    </row>
    <row r="979">
      <c r="G979" s="101"/>
      <c r="H979" s="101"/>
    </row>
    <row r="980">
      <c r="G980" s="101"/>
      <c r="H980" s="101"/>
    </row>
    <row r="981">
      <c r="G981" s="101"/>
      <c r="H981" s="101"/>
    </row>
    <row r="982">
      <c r="G982" s="101"/>
      <c r="H982" s="101"/>
    </row>
    <row r="983">
      <c r="G983" s="101"/>
      <c r="H983" s="101"/>
    </row>
    <row r="984">
      <c r="G984" s="101"/>
      <c r="H984" s="101"/>
    </row>
    <row r="985">
      <c r="G985" s="101"/>
      <c r="H985" s="101"/>
    </row>
    <row r="986">
      <c r="G986" s="101"/>
      <c r="H986" s="101"/>
    </row>
    <row r="987">
      <c r="G987" s="101"/>
      <c r="H987" s="101"/>
    </row>
    <row r="988">
      <c r="G988" s="101"/>
      <c r="H988" s="101"/>
    </row>
    <row r="989">
      <c r="G989" s="101"/>
      <c r="H989" s="101"/>
    </row>
    <row r="990">
      <c r="G990" s="101"/>
      <c r="H990" s="101"/>
    </row>
    <row r="991">
      <c r="G991" s="101"/>
      <c r="H991" s="101"/>
    </row>
    <row r="992">
      <c r="G992" s="101"/>
      <c r="H992" s="101"/>
    </row>
    <row r="993">
      <c r="G993" s="101"/>
      <c r="H993" s="101"/>
    </row>
    <row r="994">
      <c r="G994" s="101"/>
      <c r="H994" s="101"/>
    </row>
    <row r="995">
      <c r="G995" s="101"/>
      <c r="H995" s="101"/>
    </row>
    <row r="996">
      <c r="G996" s="101"/>
      <c r="H996" s="101"/>
    </row>
    <row r="997">
      <c r="G997" s="101"/>
      <c r="H997" s="101"/>
    </row>
    <row r="998">
      <c r="G998" s="101"/>
      <c r="H998" s="101"/>
    </row>
    <row r="999">
      <c r="G999" s="101"/>
      <c r="H999" s="101"/>
    </row>
    <row r="1000">
      <c r="G1000" s="101"/>
      <c r="H1000" s="101"/>
    </row>
  </sheetData>
  <conditionalFormatting sqref="C6:H400">
    <cfRule type="cellIs" dxfId="4" priority="1" operator="greaterThan">
      <formula>300</formula>
    </cfRule>
  </conditionalFormatting>
  <dataValidations>
    <dataValidation type="decimal" allowBlank="1" showErrorMessage="1" sqref="B8:B9">
      <formula1>1.0</formula1>
      <formula2>79999.0</formula2>
    </dataValidation>
  </dataValidations>
  <printOptions/>
  <pageMargins bottom="0.787401575" footer="0.0" header="0.0" left="0.7" right="0.7" top="0.7874015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1.22" defaultRowHeight="15.0"/>
  <cols>
    <col customWidth="1" min="1" max="1" width="27.89"/>
    <col customWidth="1" min="2" max="2" width="15.22"/>
    <col customWidth="1" min="3" max="8" width="8.11"/>
    <col customWidth="1" min="9" max="9" width="8.44"/>
    <col customWidth="1" min="10" max="10" width="4.22"/>
    <col customWidth="1" min="11" max="26" width="8.44"/>
  </cols>
  <sheetData>
    <row r="1">
      <c r="A1" s="99" t="s">
        <v>2558</v>
      </c>
      <c r="B1" s="100"/>
      <c r="C1" s="102" t="s">
        <v>2549</v>
      </c>
      <c r="G1" s="101"/>
      <c r="H1" s="101"/>
    </row>
    <row r="2">
      <c r="C2" s="100"/>
      <c r="D2" s="100"/>
      <c r="E2" s="100"/>
      <c r="F2" s="100"/>
      <c r="G2" s="100"/>
      <c r="H2" s="100"/>
      <c r="I2" s="100"/>
    </row>
    <row r="3">
      <c r="D3" s="100"/>
      <c r="E3" s="100"/>
      <c r="F3" s="100"/>
      <c r="G3" s="100"/>
      <c r="H3" s="100"/>
      <c r="I3" s="100"/>
    </row>
    <row r="4" ht="15.75" hidden="1" customHeight="1">
      <c r="A4" s="103" t="s">
        <v>2550</v>
      </c>
      <c r="B4" s="104"/>
      <c r="C4" s="2">
        <v>4.0</v>
      </c>
      <c r="D4" s="2">
        <v>5.0</v>
      </c>
      <c r="E4" s="2">
        <v>6.0</v>
      </c>
      <c r="F4" s="2">
        <v>7.0</v>
      </c>
      <c r="G4" s="101">
        <v>8.0</v>
      </c>
      <c r="H4" s="101">
        <v>9.0</v>
      </c>
      <c r="I4" s="101"/>
    </row>
    <row r="5">
      <c r="A5" s="105" t="s">
        <v>88</v>
      </c>
      <c r="B5" s="105" t="str">
        <f>Datensammler!B3</f>
        <v>EDV Nummer</v>
      </c>
      <c r="C5" s="106" t="s">
        <v>2551</v>
      </c>
      <c r="D5" s="106" t="s">
        <v>2552</v>
      </c>
      <c r="E5" s="106" t="s">
        <v>2553</v>
      </c>
      <c r="F5" s="106" t="s">
        <v>2554</v>
      </c>
      <c r="G5" s="107" t="s">
        <v>2555</v>
      </c>
      <c r="H5" s="107" t="s">
        <v>2556</v>
      </c>
      <c r="I5" s="108" t="s">
        <v>2557</v>
      </c>
      <c r="J5" s="110"/>
      <c r="K5" s="110"/>
      <c r="L5" s="110"/>
      <c r="M5" s="110"/>
      <c r="N5" s="110"/>
      <c r="O5" s="110"/>
      <c r="P5" s="110"/>
      <c r="Q5" s="110"/>
      <c r="R5" s="110"/>
      <c r="S5" s="110"/>
      <c r="T5" s="110"/>
      <c r="U5" s="110"/>
      <c r="V5" s="110"/>
      <c r="W5" s="110"/>
      <c r="X5" s="110"/>
      <c r="Y5" s="110"/>
      <c r="Z5" s="110"/>
    </row>
    <row r="6">
      <c r="A6" s="111" t="str">
        <f>IF(B6="","",VLOOKUP(B6,'Mitglieder BBU'!A:K,6,0))</f>
        <v>Else Schuster</v>
      </c>
      <c r="B6" s="81">
        <v>7709.0</v>
      </c>
      <c r="C6" s="112">
        <v>183.0</v>
      </c>
      <c r="D6" s="112">
        <v>165.0</v>
      </c>
      <c r="E6" s="112">
        <v>120.0</v>
      </c>
      <c r="F6" s="112">
        <v>171.0</v>
      </c>
      <c r="G6" s="112">
        <v>143.0</v>
      </c>
      <c r="H6" s="112">
        <v>188.0</v>
      </c>
      <c r="I6" s="113">
        <f t="shared" ref="I6:I400" si="1">SUM(C6:H6)</f>
        <v>970</v>
      </c>
    </row>
    <row r="7">
      <c r="A7" s="111" t="str">
        <f>IF(B7="","",VLOOKUP(B7,'Mitglieder BBU'!A:K,6,0))</f>
        <v>Roswitha Schulz-Burkert</v>
      </c>
      <c r="B7" s="81">
        <v>25347.0</v>
      </c>
      <c r="C7" s="112">
        <v>133.0</v>
      </c>
      <c r="D7" s="112">
        <v>132.0</v>
      </c>
      <c r="E7" s="112">
        <v>120.0</v>
      </c>
      <c r="F7" s="112">
        <v>151.0</v>
      </c>
      <c r="G7" s="112">
        <v>153.0</v>
      </c>
      <c r="H7" s="112">
        <v>145.0</v>
      </c>
      <c r="I7" s="113">
        <f t="shared" si="1"/>
        <v>834</v>
      </c>
    </row>
    <row r="8">
      <c r="A8" s="111" t="str">
        <f>IF(B8="","",VLOOKUP(B8,'Mitglieder BBU'!A:K,6,0))</f>
        <v>Ingeborg Schmitt</v>
      </c>
      <c r="B8" s="81">
        <v>7974.0</v>
      </c>
      <c r="C8" s="112">
        <v>122.0</v>
      </c>
      <c r="D8" s="112">
        <v>126.0</v>
      </c>
      <c r="E8" s="112">
        <v>126.0</v>
      </c>
      <c r="F8" s="112">
        <v>151.0</v>
      </c>
      <c r="G8" s="112">
        <v>136.0</v>
      </c>
      <c r="H8" s="112">
        <v>116.0</v>
      </c>
      <c r="I8" s="113">
        <f t="shared" si="1"/>
        <v>777</v>
      </c>
    </row>
    <row r="9">
      <c r="A9" s="111" t="str">
        <f>IF(B9="","",VLOOKUP(B9,'Mitglieder BBU'!A:K,6,0))</f>
        <v>Katharina Mang</v>
      </c>
      <c r="B9" s="81">
        <v>25329.0</v>
      </c>
      <c r="C9" s="112">
        <v>149.0</v>
      </c>
      <c r="D9" s="112">
        <v>155.0</v>
      </c>
      <c r="E9" s="112">
        <v>140.0</v>
      </c>
      <c r="F9" s="112">
        <v>169.0</v>
      </c>
      <c r="G9" s="112">
        <v>159.0</v>
      </c>
      <c r="H9" s="112">
        <v>183.0</v>
      </c>
      <c r="I9" s="113">
        <f t="shared" si="1"/>
        <v>955</v>
      </c>
    </row>
    <row r="10">
      <c r="A10" s="111" t="str">
        <f>IF(B10="","",VLOOKUP(B10,'Mitglieder BBU'!A:K,6,0))</f>
        <v>Denise Schwertfeger</v>
      </c>
      <c r="B10" s="81">
        <v>38934.0</v>
      </c>
      <c r="C10" s="112">
        <v>134.0</v>
      </c>
      <c r="D10" s="112">
        <v>145.0</v>
      </c>
      <c r="E10" s="112">
        <v>125.0</v>
      </c>
      <c r="F10" s="112">
        <v>123.0</v>
      </c>
      <c r="G10" s="112">
        <v>191.0</v>
      </c>
      <c r="H10" s="112">
        <v>153.0</v>
      </c>
      <c r="I10" s="113">
        <f t="shared" si="1"/>
        <v>871</v>
      </c>
    </row>
    <row r="11">
      <c r="A11" s="111" t="str">
        <f>IF(B11="","",VLOOKUP(B11,'Mitglieder BBU'!A:K,6,0))</f>
        <v>Nicole Schott</v>
      </c>
      <c r="B11" s="81">
        <v>16595.0</v>
      </c>
      <c r="C11" s="112">
        <v>141.0</v>
      </c>
      <c r="D11" s="112">
        <v>166.0</v>
      </c>
      <c r="E11" s="112">
        <v>164.0</v>
      </c>
      <c r="F11" s="112">
        <v>194.0</v>
      </c>
      <c r="G11" s="112">
        <v>191.0</v>
      </c>
      <c r="H11" s="112">
        <v>152.0</v>
      </c>
      <c r="I11" s="113">
        <f t="shared" si="1"/>
        <v>1008</v>
      </c>
    </row>
    <row r="12">
      <c r="A12" s="111" t="str">
        <f>IF(B12="","",VLOOKUP(B12,'Mitglieder BBU'!A:K,6,0))</f>
        <v>Monika Schott</v>
      </c>
      <c r="B12" s="81">
        <v>16594.0</v>
      </c>
      <c r="C12" s="112">
        <v>172.0</v>
      </c>
      <c r="D12" s="112">
        <v>145.0</v>
      </c>
      <c r="E12" s="112">
        <v>144.0</v>
      </c>
      <c r="F12" s="112">
        <v>169.0</v>
      </c>
      <c r="G12" s="112">
        <v>153.0</v>
      </c>
      <c r="H12" s="112">
        <v>156.0</v>
      </c>
      <c r="I12" s="113">
        <f t="shared" si="1"/>
        <v>939</v>
      </c>
    </row>
    <row r="13">
      <c r="A13" s="111" t="str">
        <f>IF(B13="","",VLOOKUP(B13,'Mitglieder BBU'!A:K,6,0))</f>
        <v>Helene Schick</v>
      </c>
      <c r="B13" s="81">
        <v>38931.0</v>
      </c>
      <c r="C13" s="112">
        <v>142.0</v>
      </c>
      <c r="D13" s="112">
        <v>185.0</v>
      </c>
      <c r="E13" s="112">
        <v>149.0</v>
      </c>
      <c r="F13" s="112">
        <v>179.0</v>
      </c>
      <c r="G13" s="112">
        <v>160.0</v>
      </c>
      <c r="H13" s="112">
        <v>169.0</v>
      </c>
      <c r="I13" s="113">
        <f t="shared" si="1"/>
        <v>984</v>
      </c>
    </row>
    <row r="14">
      <c r="A14" s="111" t="str">
        <f>IF(B14="","",VLOOKUP(B14,'Mitglieder BBU'!A:K,6,0))</f>
        <v>Anika Kristof</v>
      </c>
      <c r="B14" s="81">
        <v>38045.0</v>
      </c>
      <c r="C14" s="112">
        <v>198.0</v>
      </c>
      <c r="D14" s="112">
        <v>234.0</v>
      </c>
      <c r="E14" s="112">
        <v>170.0</v>
      </c>
      <c r="F14" s="112">
        <v>219.0</v>
      </c>
      <c r="G14" s="112">
        <v>214.0</v>
      </c>
      <c r="H14" s="112">
        <v>206.0</v>
      </c>
      <c r="I14" s="113">
        <f t="shared" si="1"/>
        <v>1241</v>
      </c>
    </row>
    <row r="15">
      <c r="A15" s="111" t="str">
        <f>IF(B15="","",VLOOKUP(B15,'Mitglieder BBU'!A:K,6,0))</f>
        <v>Bianca Leinemann</v>
      </c>
      <c r="B15" s="81">
        <v>38876.0</v>
      </c>
      <c r="C15" s="112">
        <v>146.0</v>
      </c>
      <c r="D15" s="112">
        <v>157.0</v>
      </c>
      <c r="E15" s="112">
        <v>138.0</v>
      </c>
      <c r="F15" s="112">
        <v>157.0</v>
      </c>
      <c r="G15" s="112">
        <v>144.0</v>
      </c>
      <c r="H15" s="112">
        <v>157.0</v>
      </c>
      <c r="I15" s="113">
        <f t="shared" si="1"/>
        <v>899</v>
      </c>
    </row>
    <row r="16">
      <c r="A16" s="111" t="str">
        <f>IF(B16="","",VLOOKUP(B16,'Mitglieder BBU'!A:K,6,0))</f>
        <v>Sabaithip Mekjinda</v>
      </c>
      <c r="B16" s="81">
        <v>38780.0</v>
      </c>
      <c r="C16" s="112">
        <v>166.0</v>
      </c>
      <c r="D16" s="112">
        <v>174.0</v>
      </c>
      <c r="E16" s="112">
        <v>147.0</v>
      </c>
      <c r="F16" s="112">
        <v>126.0</v>
      </c>
      <c r="G16" s="112">
        <v>153.0</v>
      </c>
      <c r="H16" s="112">
        <v>138.0</v>
      </c>
      <c r="I16" s="113">
        <f t="shared" si="1"/>
        <v>904</v>
      </c>
    </row>
    <row r="17">
      <c r="A17" s="111" t="str">
        <f>IF(B17="","",VLOOKUP(B17,'Mitglieder BBU'!A:K,6,0))</f>
        <v>Stephanie Fischer</v>
      </c>
      <c r="B17" s="81">
        <v>38789.0</v>
      </c>
      <c r="C17" s="112">
        <v>135.0</v>
      </c>
      <c r="D17" s="112">
        <v>141.0</v>
      </c>
      <c r="E17" s="112">
        <v>118.0</v>
      </c>
      <c r="F17" s="112">
        <v>119.0</v>
      </c>
      <c r="G17" s="112">
        <v>158.0</v>
      </c>
      <c r="H17" s="112">
        <v>127.0</v>
      </c>
      <c r="I17" s="113">
        <f t="shared" si="1"/>
        <v>798</v>
      </c>
    </row>
    <row r="18">
      <c r="A18" s="111" t="str">
        <f>IF(B18="","",VLOOKUP(B18,'Mitglieder BBU'!A:K,6,0))</f>
        <v>Nadja Seidlein</v>
      </c>
      <c r="B18" s="81">
        <v>38173.0</v>
      </c>
      <c r="C18" s="112">
        <v>159.0</v>
      </c>
      <c r="D18" s="112">
        <v>168.0</v>
      </c>
      <c r="E18" s="112">
        <v>160.0</v>
      </c>
      <c r="F18" s="112">
        <v>136.0</v>
      </c>
      <c r="G18" s="112">
        <v>139.0</v>
      </c>
      <c r="H18" s="112">
        <v>155.0</v>
      </c>
      <c r="I18" s="113">
        <f t="shared" si="1"/>
        <v>917</v>
      </c>
    </row>
    <row r="19">
      <c r="A19" s="111" t="str">
        <f>IF(B19="","",VLOOKUP(B19,'Mitglieder BBU'!A:K,6,0))</f>
        <v>Laura Piros</v>
      </c>
      <c r="B19" s="81">
        <v>36696.0</v>
      </c>
      <c r="C19" s="112">
        <v>182.0</v>
      </c>
      <c r="D19" s="112">
        <v>164.0</v>
      </c>
      <c r="E19" s="112">
        <v>191.0</v>
      </c>
      <c r="F19" s="112">
        <v>170.0</v>
      </c>
      <c r="G19" s="112">
        <v>198.0</v>
      </c>
      <c r="H19" s="112">
        <v>165.0</v>
      </c>
      <c r="I19" s="113">
        <f t="shared" si="1"/>
        <v>1070</v>
      </c>
    </row>
    <row r="20">
      <c r="A20" s="111" t="str">
        <f>IF(B20="","",VLOOKUP(B20,'Mitglieder BBU'!A:K,6,0))</f>
        <v>Alexandra Mareiser</v>
      </c>
      <c r="B20" s="81">
        <v>7083.0</v>
      </c>
      <c r="C20" s="112">
        <v>200.0</v>
      </c>
      <c r="D20" s="112">
        <v>200.0</v>
      </c>
      <c r="E20" s="112">
        <v>203.0</v>
      </c>
      <c r="F20" s="112">
        <v>166.0</v>
      </c>
      <c r="G20" s="112">
        <v>197.0</v>
      </c>
      <c r="H20" s="112">
        <v>150.0</v>
      </c>
      <c r="I20" s="113">
        <f t="shared" si="1"/>
        <v>1116</v>
      </c>
    </row>
    <row r="21">
      <c r="A21" s="111" t="str">
        <f>IF(B21="","",VLOOKUP(B21,'Mitglieder BBU'!A:K,6,0))</f>
        <v>Regina Gahr</v>
      </c>
      <c r="B21" s="81">
        <v>38555.0</v>
      </c>
      <c r="C21" s="112">
        <v>160.0</v>
      </c>
      <c r="D21" s="112">
        <v>178.0</v>
      </c>
      <c r="E21" s="112">
        <v>145.0</v>
      </c>
      <c r="F21" s="112">
        <v>170.0</v>
      </c>
      <c r="G21" s="112">
        <v>166.0</v>
      </c>
      <c r="H21" s="112">
        <v>168.0</v>
      </c>
      <c r="I21" s="113">
        <f t="shared" si="1"/>
        <v>987</v>
      </c>
    </row>
    <row r="22">
      <c r="A22" s="111" t="str">
        <f>IF(B22="","",VLOOKUP(B22,'Mitglieder BBU'!A:K,6,0))</f>
        <v>Jana Witthinrich</v>
      </c>
      <c r="B22" s="81">
        <v>38355.0</v>
      </c>
      <c r="C22" s="112">
        <v>182.0</v>
      </c>
      <c r="D22" s="112">
        <v>182.0</v>
      </c>
      <c r="E22" s="112">
        <v>203.0</v>
      </c>
      <c r="F22" s="112">
        <v>190.0</v>
      </c>
      <c r="G22" s="112">
        <v>179.0</v>
      </c>
      <c r="H22" s="112">
        <v>157.0</v>
      </c>
      <c r="I22" s="113">
        <f t="shared" si="1"/>
        <v>1093</v>
      </c>
    </row>
    <row r="23">
      <c r="A23" s="111" t="str">
        <f>IF(B23="","",VLOOKUP(B23,'Mitglieder BBU'!A:K,6,0))</f>
        <v>Natalie Groll</v>
      </c>
      <c r="B23" s="81">
        <v>25857.0</v>
      </c>
      <c r="C23" s="112">
        <v>180.0</v>
      </c>
      <c r="D23" s="112">
        <v>174.0</v>
      </c>
      <c r="E23" s="112">
        <v>200.0</v>
      </c>
      <c r="F23" s="112">
        <v>156.0</v>
      </c>
      <c r="G23" s="112">
        <v>151.0</v>
      </c>
      <c r="H23" s="112">
        <v>235.0</v>
      </c>
      <c r="I23" s="113">
        <f t="shared" si="1"/>
        <v>1096</v>
      </c>
    </row>
    <row r="24">
      <c r="A24" s="111" t="str">
        <f>IF(B24="","",VLOOKUP(B24,'Mitglieder BBU'!A:K,6,0))</f>
        <v>Johanna Groll</v>
      </c>
      <c r="B24" s="81">
        <v>25630.0</v>
      </c>
      <c r="C24" s="112">
        <v>210.0</v>
      </c>
      <c r="D24" s="112">
        <v>171.0</v>
      </c>
      <c r="E24" s="112">
        <v>184.0</v>
      </c>
      <c r="F24" s="112">
        <v>181.0</v>
      </c>
      <c r="G24" s="112">
        <v>155.0</v>
      </c>
      <c r="H24" s="112">
        <v>158.0</v>
      </c>
      <c r="I24" s="113">
        <f t="shared" si="1"/>
        <v>1059</v>
      </c>
    </row>
    <row r="25">
      <c r="A25" s="111" t="str">
        <f>IF(B25="","",VLOOKUP(B25,'Mitglieder BBU'!A:K,6,0))</f>
        <v>Julia Völlmerk</v>
      </c>
      <c r="B25" s="81">
        <v>16093.0</v>
      </c>
      <c r="C25" s="112">
        <v>178.0</v>
      </c>
      <c r="D25" s="112">
        <v>185.0</v>
      </c>
      <c r="E25" s="112">
        <v>165.0</v>
      </c>
      <c r="F25" s="112">
        <v>188.0</v>
      </c>
      <c r="G25" s="112">
        <v>153.0</v>
      </c>
      <c r="H25" s="112">
        <v>168.0</v>
      </c>
      <c r="I25" s="113">
        <f t="shared" si="1"/>
        <v>1037</v>
      </c>
    </row>
    <row r="26">
      <c r="A26" s="111" t="str">
        <f>IF(B26="","",VLOOKUP(B26,'Mitglieder BBU'!A:K,6,0))</f>
        <v>Rica Jahre</v>
      </c>
      <c r="B26" s="81">
        <v>38980.0</v>
      </c>
      <c r="C26" s="112">
        <v>182.0</v>
      </c>
      <c r="D26" s="112">
        <v>161.0</v>
      </c>
      <c r="E26" s="112">
        <v>129.0</v>
      </c>
      <c r="F26" s="112">
        <v>153.0</v>
      </c>
      <c r="G26" s="112">
        <v>140.0</v>
      </c>
      <c r="H26" s="112">
        <v>177.0</v>
      </c>
      <c r="I26" s="113">
        <f t="shared" si="1"/>
        <v>942</v>
      </c>
    </row>
    <row r="27">
      <c r="A27" s="111" t="str">
        <f>IF(B27="","",VLOOKUP(B27,'Mitglieder BBU'!A:K,6,0))</f>
        <v>Marina Weiske</v>
      </c>
      <c r="B27" s="81">
        <v>7154.0</v>
      </c>
      <c r="C27" s="112">
        <v>151.0</v>
      </c>
      <c r="D27" s="112">
        <v>171.0</v>
      </c>
      <c r="E27" s="112">
        <v>173.0</v>
      </c>
      <c r="F27" s="112">
        <v>166.0</v>
      </c>
      <c r="G27" s="112">
        <v>157.0</v>
      </c>
      <c r="H27" s="112">
        <v>214.0</v>
      </c>
      <c r="I27" s="113">
        <f t="shared" si="1"/>
        <v>1032</v>
      </c>
    </row>
    <row r="28">
      <c r="A28" s="111" t="str">
        <f>IF(B28="","",VLOOKUP(B28,'Mitglieder BBU'!A:K,6,0))</f>
        <v/>
      </c>
      <c r="B28" s="115"/>
      <c r="C28" s="112"/>
      <c r="D28" s="112"/>
      <c r="E28" s="112"/>
      <c r="F28" s="112"/>
      <c r="G28" s="112"/>
      <c r="H28" s="112"/>
      <c r="I28" s="113">
        <f t="shared" si="1"/>
        <v>0</v>
      </c>
    </row>
    <row r="29">
      <c r="A29" s="111" t="str">
        <f>IF(B29="","",VLOOKUP(B29,'Mitglieder BBU'!A:K,6,0))</f>
        <v/>
      </c>
      <c r="B29" s="115"/>
      <c r="C29" s="112"/>
      <c r="D29" s="112"/>
      <c r="E29" s="112"/>
      <c r="F29" s="112"/>
      <c r="G29" s="112"/>
      <c r="H29" s="112"/>
      <c r="I29" s="113">
        <f t="shared" si="1"/>
        <v>0</v>
      </c>
    </row>
    <row r="30">
      <c r="A30" s="111" t="str">
        <f>IF(B30="","",VLOOKUP(B30,'Mitglieder BBU'!A:K,6,0))</f>
        <v/>
      </c>
      <c r="B30" s="115"/>
      <c r="C30" s="112"/>
      <c r="D30" s="112"/>
      <c r="E30" s="112"/>
      <c r="F30" s="112"/>
      <c r="G30" s="112"/>
      <c r="H30" s="112"/>
      <c r="I30" s="113">
        <f t="shared" si="1"/>
        <v>0</v>
      </c>
      <c r="J30" s="110"/>
      <c r="K30" s="110"/>
      <c r="L30" s="110"/>
      <c r="M30" s="110"/>
      <c r="N30" s="110"/>
      <c r="O30" s="110"/>
      <c r="P30" s="110"/>
      <c r="Q30" s="110"/>
      <c r="R30" s="110"/>
      <c r="S30" s="110"/>
      <c r="T30" s="110"/>
      <c r="U30" s="110"/>
      <c r="V30" s="110"/>
      <c r="W30" s="110"/>
      <c r="X30" s="110"/>
      <c r="Y30" s="110"/>
      <c r="Z30" s="110"/>
    </row>
    <row r="31">
      <c r="A31" s="111" t="str">
        <f>IF(B31="","",VLOOKUP(B31,'Mitglieder BBU'!A:K,6,0))</f>
        <v/>
      </c>
      <c r="B31" s="115"/>
      <c r="C31" s="112"/>
      <c r="D31" s="112"/>
      <c r="E31" s="112"/>
      <c r="F31" s="112"/>
      <c r="G31" s="112"/>
      <c r="H31" s="112"/>
      <c r="I31" s="113">
        <f t="shared" si="1"/>
        <v>0</v>
      </c>
    </row>
    <row r="32">
      <c r="A32" s="111" t="str">
        <f>IF(B32="","",VLOOKUP(B32,'Mitglieder BBU'!A:K,6,0))</f>
        <v/>
      </c>
      <c r="B32" s="115"/>
      <c r="C32" s="112"/>
      <c r="D32" s="112"/>
      <c r="E32" s="112"/>
      <c r="F32" s="112"/>
      <c r="G32" s="112"/>
      <c r="H32" s="112"/>
      <c r="I32" s="113">
        <f t="shared" si="1"/>
        <v>0</v>
      </c>
    </row>
    <row r="33">
      <c r="A33" s="111" t="str">
        <f>IF(B33="","",VLOOKUP(B33,'Mitglieder BBU'!A:K,6,0))</f>
        <v/>
      </c>
      <c r="B33" s="115"/>
      <c r="C33" s="112"/>
      <c r="D33" s="112"/>
      <c r="E33" s="112"/>
      <c r="F33" s="112"/>
      <c r="G33" s="112"/>
      <c r="H33" s="112"/>
      <c r="I33" s="113">
        <f t="shared" si="1"/>
        <v>0</v>
      </c>
    </row>
    <row r="34">
      <c r="A34" s="111" t="str">
        <f>IF(B34="","",VLOOKUP(B34,'Mitglieder BBU'!A:K,6,0))</f>
        <v/>
      </c>
      <c r="B34" s="115"/>
      <c r="C34" s="112"/>
      <c r="D34" s="112"/>
      <c r="E34" s="112"/>
      <c r="F34" s="112"/>
      <c r="G34" s="112"/>
      <c r="H34" s="112"/>
      <c r="I34" s="113">
        <f t="shared" si="1"/>
        <v>0</v>
      </c>
    </row>
    <row r="35">
      <c r="A35" s="111" t="str">
        <f>IF(B35="","",VLOOKUP(B35,'Mitglieder BBU'!A:K,6,0))</f>
        <v/>
      </c>
      <c r="B35" s="115"/>
      <c r="C35" s="112"/>
      <c r="D35" s="112"/>
      <c r="E35" s="112"/>
      <c r="F35" s="112"/>
      <c r="G35" s="112"/>
      <c r="H35" s="112"/>
      <c r="I35" s="113">
        <f t="shared" si="1"/>
        <v>0</v>
      </c>
    </row>
    <row r="36">
      <c r="A36" s="111" t="str">
        <f>IF(B36="","",VLOOKUP(B36,'Mitglieder BBU'!A:K,6,0))</f>
        <v/>
      </c>
      <c r="B36" s="115"/>
      <c r="C36" s="112"/>
      <c r="D36" s="112"/>
      <c r="E36" s="112"/>
      <c r="F36" s="112"/>
      <c r="G36" s="112"/>
      <c r="H36" s="112"/>
      <c r="I36" s="113">
        <f t="shared" si="1"/>
        <v>0</v>
      </c>
    </row>
    <row r="37">
      <c r="A37" s="111" t="str">
        <f>IF(B37="","",VLOOKUP(B37,'Mitglieder BBU'!A:K,6,0))</f>
        <v/>
      </c>
      <c r="B37" s="115"/>
      <c r="C37" s="112"/>
      <c r="D37" s="112"/>
      <c r="E37" s="112"/>
      <c r="F37" s="112"/>
      <c r="G37" s="112"/>
      <c r="H37" s="112"/>
      <c r="I37" s="113">
        <f t="shared" si="1"/>
        <v>0</v>
      </c>
    </row>
    <row r="38">
      <c r="A38" s="111" t="str">
        <f>IF(B38="","",VLOOKUP(B38,'Mitglieder BBU'!A:K,6,0))</f>
        <v/>
      </c>
      <c r="B38" s="115"/>
      <c r="C38" s="112"/>
      <c r="D38" s="112"/>
      <c r="E38" s="112"/>
      <c r="F38" s="112"/>
      <c r="G38" s="112"/>
      <c r="H38" s="112"/>
      <c r="I38" s="113">
        <f t="shared" si="1"/>
        <v>0</v>
      </c>
    </row>
    <row r="39">
      <c r="A39" s="111" t="str">
        <f>IF(B39="","",VLOOKUP(B39,'Mitglieder BBU'!A:K,6,0))</f>
        <v/>
      </c>
      <c r="B39" s="115"/>
      <c r="C39" s="112"/>
      <c r="D39" s="112"/>
      <c r="E39" s="112"/>
      <c r="F39" s="112"/>
      <c r="G39" s="112"/>
      <c r="H39" s="112"/>
      <c r="I39" s="113">
        <f t="shared" si="1"/>
        <v>0</v>
      </c>
    </row>
    <row r="40">
      <c r="A40" s="111" t="str">
        <f>IF(B40="","",VLOOKUP(B40,'Mitglieder BBU'!A:K,6,0))</f>
        <v/>
      </c>
      <c r="B40" s="115"/>
      <c r="C40" s="112"/>
      <c r="D40" s="112"/>
      <c r="E40" s="112"/>
      <c r="F40" s="112"/>
      <c r="G40" s="112"/>
      <c r="H40" s="112"/>
      <c r="I40" s="113">
        <f t="shared" si="1"/>
        <v>0</v>
      </c>
    </row>
    <row r="41">
      <c r="A41" s="111" t="str">
        <f>IF(B41="","",VLOOKUP(B41,'Mitglieder BBU'!A:K,6,0))</f>
        <v/>
      </c>
      <c r="B41" s="115"/>
      <c r="C41" s="112"/>
      <c r="D41" s="112"/>
      <c r="E41" s="112"/>
      <c r="F41" s="112"/>
      <c r="G41" s="112"/>
      <c r="H41" s="112"/>
      <c r="I41" s="113">
        <f t="shared" si="1"/>
        <v>0</v>
      </c>
    </row>
    <row r="42">
      <c r="A42" s="111" t="str">
        <f>IF(B42="","",VLOOKUP(B42,'Mitglieder BBU'!A:K,6,0))</f>
        <v/>
      </c>
      <c r="B42" s="115"/>
      <c r="C42" s="112"/>
      <c r="D42" s="112"/>
      <c r="E42" s="112"/>
      <c r="F42" s="112"/>
      <c r="G42" s="112"/>
      <c r="H42" s="112"/>
      <c r="I42" s="113">
        <f t="shared" si="1"/>
        <v>0</v>
      </c>
    </row>
    <row r="43">
      <c r="A43" s="111" t="str">
        <f>IF(B43="","",VLOOKUP(B43,'Mitglieder BBU'!A:K,6,0))</f>
        <v/>
      </c>
      <c r="B43" s="115"/>
      <c r="C43" s="112"/>
      <c r="D43" s="112"/>
      <c r="E43" s="112"/>
      <c r="F43" s="112"/>
      <c r="G43" s="112"/>
      <c r="H43" s="112"/>
      <c r="I43" s="113">
        <f t="shared" si="1"/>
        <v>0</v>
      </c>
    </row>
    <row r="44">
      <c r="A44" s="111" t="str">
        <f>IF(B44="","",VLOOKUP(B44,'Mitglieder BBU'!A:K,6,0))</f>
        <v/>
      </c>
      <c r="B44" s="115"/>
      <c r="C44" s="112"/>
      <c r="D44" s="112"/>
      <c r="E44" s="112"/>
      <c r="F44" s="112"/>
      <c r="G44" s="112"/>
      <c r="H44" s="112"/>
      <c r="I44" s="113">
        <f t="shared" si="1"/>
        <v>0</v>
      </c>
    </row>
    <row r="45">
      <c r="A45" s="111" t="str">
        <f>IF(B45="","",VLOOKUP(B45,'Mitglieder BBU'!A:K,6,0))</f>
        <v/>
      </c>
      <c r="B45" s="115"/>
      <c r="C45" s="112"/>
      <c r="D45" s="112"/>
      <c r="E45" s="112"/>
      <c r="F45" s="112"/>
      <c r="G45" s="112"/>
      <c r="H45" s="112"/>
      <c r="I45" s="113">
        <f t="shared" si="1"/>
        <v>0</v>
      </c>
    </row>
    <row r="46">
      <c r="A46" s="111" t="str">
        <f>IF(B46="","",VLOOKUP(B46,'Mitglieder BBU'!A:K,6,0))</f>
        <v/>
      </c>
      <c r="B46" s="115"/>
      <c r="C46" s="112"/>
      <c r="D46" s="112"/>
      <c r="E46" s="112"/>
      <c r="F46" s="112"/>
      <c r="G46" s="112"/>
      <c r="H46" s="112"/>
      <c r="I46" s="113">
        <f t="shared" si="1"/>
        <v>0</v>
      </c>
    </row>
    <row r="47">
      <c r="A47" s="111" t="str">
        <f>IF(B47="","",VLOOKUP(B47,'Mitglieder BBU'!A:K,6,0))</f>
        <v/>
      </c>
      <c r="B47" s="115"/>
      <c r="C47" s="112"/>
      <c r="D47" s="112"/>
      <c r="E47" s="112"/>
      <c r="F47" s="112"/>
      <c r="G47" s="112"/>
      <c r="H47" s="112"/>
      <c r="I47" s="113">
        <f t="shared" si="1"/>
        <v>0</v>
      </c>
    </row>
    <row r="48">
      <c r="A48" s="111" t="str">
        <f>IF(B48="","",VLOOKUP(B48,'Mitglieder BBU'!A:K,6,0))</f>
        <v/>
      </c>
      <c r="B48" s="115"/>
      <c r="C48" s="112"/>
      <c r="D48" s="112"/>
      <c r="E48" s="112"/>
      <c r="F48" s="112"/>
      <c r="G48" s="112"/>
      <c r="H48" s="112"/>
      <c r="I48" s="113">
        <f t="shared" si="1"/>
        <v>0</v>
      </c>
    </row>
    <row r="49">
      <c r="A49" s="111" t="str">
        <f>IF(B49="","",VLOOKUP(B49,'Mitglieder BBU'!A:K,6,0))</f>
        <v/>
      </c>
      <c r="B49" s="115"/>
      <c r="C49" s="112"/>
      <c r="D49" s="112"/>
      <c r="E49" s="112"/>
      <c r="F49" s="112"/>
      <c r="G49" s="112"/>
      <c r="H49" s="112"/>
      <c r="I49" s="113">
        <f t="shared" si="1"/>
        <v>0</v>
      </c>
    </row>
    <row r="50">
      <c r="A50" s="111" t="str">
        <f>IF(B50="","",VLOOKUP(B50,'Mitglieder BBU'!A:K,6,0))</f>
        <v/>
      </c>
      <c r="B50" s="115"/>
      <c r="C50" s="112"/>
      <c r="D50" s="112"/>
      <c r="E50" s="112"/>
      <c r="F50" s="112"/>
      <c r="G50" s="112"/>
      <c r="H50" s="112"/>
      <c r="I50" s="113">
        <f t="shared" si="1"/>
        <v>0</v>
      </c>
    </row>
    <row r="51">
      <c r="A51" s="111" t="str">
        <f>IF(B51="","",VLOOKUP(B51,'Mitglieder BBU'!A:K,6,0))</f>
        <v/>
      </c>
      <c r="B51" s="115"/>
      <c r="C51" s="112"/>
      <c r="D51" s="112"/>
      <c r="E51" s="112"/>
      <c r="F51" s="112"/>
      <c r="G51" s="112"/>
      <c r="H51" s="112"/>
      <c r="I51" s="113">
        <f t="shared" si="1"/>
        <v>0</v>
      </c>
    </row>
    <row r="52">
      <c r="A52" s="111" t="str">
        <f>IF(B52="","",VLOOKUP(B52,'Mitglieder BBU'!A:K,6,0))</f>
        <v/>
      </c>
      <c r="B52" s="115"/>
      <c r="C52" s="112"/>
      <c r="D52" s="112"/>
      <c r="E52" s="112"/>
      <c r="F52" s="112"/>
      <c r="G52" s="112"/>
      <c r="H52" s="112"/>
      <c r="I52" s="113">
        <f t="shared" si="1"/>
        <v>0</v>
      </c>
    </row>
    <row r="53">
      <c r="A53" s="111" t="str">
        <f>IF(B53="","",VLOOKUP(B53,'Mitglieder BBU'!A:K,6,0))</f>
        <v/>
      </c>
      <c r="B53" s="115"/>
      <c r="C53" s="112"/>
      <c r="D53" s="112"/>
      <c r="E53" s="112"/>
      <c r="F53" s="112"/>
      <c r="G53" s="112"/>
      <c r="H53" s="112"/>
      <c r="I53" s="113">
        <f t="shared" si="1"/>
        <v>0</v>
      </c>
    </row>
    <row r="54">
      <c r="A54" s="111" t="str">
        <f>IF(B54="","",VLOOKUP(B54,'Mitglieder BBU'!A:K,6,0))</f>
        <v/>
      </c>
      <c r="B54" s="115"/>
      <c r="C54" s="112"/>
      <c r="D54" s="112"/>
      <c r="E54" s="112"/>
      <c r="F54" s="112"/>
      <c r="G54" s="112"/>
      <c r="H54" s="112"/>
      <c r="I54" s="113">
        <f t="shared" si="1"/>
        <v>0</v>
      </c>
    </row>
    <row r="55">
      <c r="A55" s="111" t="str">
        <f>IF(B55="","",VLOOKUP(B55,'Mitglieder BBU'!A:K,6,0))</f>
        <v/>
      </c>
      <c r="B55" s="115"/>
      <c r="C55" s="112"/>
      <c r="D55" s="112"/>
      <c r="E55" s="112"/>
      <c r="F55" s="112"/>
      <c r="G55" s="112"/>
      <c r="H55" s="112"/>
      <c r="I55" s="113">
        <f t="shared" si="1"/>
        <v>0</v>
      </c>
    </row>
    <row r="56">
      <c r="A56" s="111" t="str">
        <f>IF(B56="","",VLOOKUP(B56,'Mitglieder BBU'!A:K,6,0))</f>
        <v/>
      </c>
      <c r="B56" s="115"/>
      <c r="C56" s="112"/>
      <c r="D56" s="112"/>
      <c r="E56" s="112"/>
      <c r="F56" s="112"/>
      <c r="G56" s="112"/>
      <c r="H56" s="112"/>
      <c r="I56" s="113">
        <f t="shared" si="1"/>
        <v>0</v>
      </c>
    </row>
    <row r="57">
      <c r="A57" s="111" t="str">
        <f>IF(B57="","",VLOOKUP(B57,'Mitglieder BBU'!A:K,6,0))</f>
        <v/>
      </c>
      <c r="B57" s="115"/>
      <c r="C57" s="112"/>
      <c r="D57" s="112"/>
      <c r="E57" s="112"/>
      <c r="F57" s="112"/>
      <c r="G57" s="112"/>
      <c r="H57" s="112"/>
      <c r="I57" s="113">
        <f t="shared" si="1"/>
        <v>0</v>
      </c>
    </row>
    <row r="58">
      <c r="A58" s="111" t="str">
        <f>IF(B58="","",VLOOKUP(B58,'Mitglieder BBU'!A:K,6,0))</f>
        <v/>
      </c>
      <c r="B58" s="115"/>
      <c r="C58" s="112"/>
      <c r="D58" s="112"/>
      <c r="E58" s="112"/>
      <c r="F58" s="112"/>
      <c r="G58" s="112"/>
      <c r="H58" s="112"/>
      <c r="I58" s="113">
        <f t="shared" si="1"/>
        <v>0</v>
      </c>
    </row>
    <row r="59">
      <c r="A59" s="111" t="str">
        <f>IF(B59="","",VLOOKUP(B59,'Mitglieder BBU'!A:K,6,0))</f>
        <v/>
      </c>
      <c r="B59" s="115"/>
      <c r="C59" s="112"/>
      <c r="D59" s="112"/>
      <c r="E59" s="112"/>
      <c r="F59" s="112"/>
      <c r="G59" s="112"/>
      <c r="H59" s="112"/>
      <c r="I59" s="113">
        <f t="shared" si="1"/>
        <v>0</v>
      </c>
    </row>
    <row r="60">
      <c r="A60" s="111" t="str">
        <f>IF(B60="","",VLOOKUP(B60,'Mitglieder BBU'!A:K,6,0))</f>
        <v/>
      </c>
      <c r="B60" s="115"/>
      <c r="C60" s="112"/>
      <c r="D60" s="112"/>
      <c r="E60" s="112"/>
      <c r="F60" s="112"/>
      <c r="G60" s="112"/>
      <c r="H60" s="112"/>
      <c r="I60" s="113">
        <f t="shared" si="1"/>
        <v>0</v>
      </c>
    </row>
    <row r="61">
      <c r="A61" s="111" t="str">
        <f>IF(B61="","",VLOOKUP(B61,'Mitglieder BBU'!A:K,6,0))</f>
        <v/>
      </c>
      <c r="B61" s="115"/>
      <c r="C61" s="112"/>
      <c r="D61" s="112"/>
      <c r="E61" s="112"/>
      <c r="F61" s="112"/>
      <c r="G61" s="112"/>
      <c r="H61" s="112"/>
      <c r="I61" s="113">
        <f t="shared" si="1"/>
        <v>0</v>
      </c>
    </row>
    <row r="62">
      <c r="A62" s="111" t="str">
        <f>IF(B62="","",VLOOKUP(B62,'Mitglieder BBU'!A:K,6,0))</f>
        <v/>
      </c>
      <c r="B62" s="115"/>
      <c r="C62" s="112"/>
      <c r="D62" s="112"/>
      <c r="E62" s="112"/>
      <c r="F62" s="112"/>
      <c r="G62" s="112"/>
      <c r="H62" s="112"/>
      <c r="I62" s="113">
        <f t="shared" si="1"/>
        <v>0</v>
      </c>
    </row>
    <row r="63">
      <c r="A63" s="111" t="str">
        <f>IF(B63="","",VLOOKUP(B63,'Mitglieder BBU'!A:K,6,0))</f>
        <v/>
      </c>
      <c r="B63" s="115"/>
      <c r="C63" s="112"/>
      <c r="D63" s="112"/>
      <c r="E63" s="112"/>
      <c r="F63" s="112"/>
      <c r="G63" s="112"/>
      <c r="H63" s="112"/>
      <c r="I63" s="113">
        <f t="shared" si="1"/>
        <v>0</v>
      </c>
    </row>
    <row r="64">
      <c r="A64" s="111" t="str">
        <f>IF(B64="","",VLOOKUP(B64,'Mitglieder BBU'!A:K,6,0))</f>
        <v/>
      </c>
      <c r="B64" s="115"/>
      <c r="C64" s="112"/>
      <c r="D64" s="112"/>
      <c r="E64" s="112"/>
      <c r="F64" s="112"/>
      <c r="G64" s="112"/>
      <c r="H64" s="112"/>
      <c r="I64" s="113">
        <f t="shared" si="1"/>
        <v>0</v>
      </c>
    </row>
    <row r="65">
      <c r="A65" s="111" t="str">
        <f>IF(B65="","",VLOOKUP(B65,'Mitglieder BBU'!A:K,6,0))</f>
        <v/>
      </c>
      <c r="B65" s="115"/>
      <c r="C65" s="112"/>
      <c r="D65" s="112"/>
      <c r="E65" s="112"/>
      <c r="F65" s="112"/>
      <c r="G65" s="112"/>
      <c r="H65" s="112"/>
      <c r="I65" s="113">
        <f t="shared" si="1"/>
        <v>0</v>
      </c>
    </row>
    <row r="66">
      <c r="A66" s="111" t="str">
        <f>IF(B66="","",VLOOKUP(B66,'Mitglieder BBU'!A:K,6,0))</f>
        <v/>
      </c>
      <c r="B66" s="115"/>
      <c r="C66" s="112"/>
      <c r="D66" s="112"/>
      <c r="E66" s="112"/>
      <c r="F66" s="112"/>
      <c r="G66" s="112"/>
      <c r="H66" s="112"/>
      <c r="I66" s="113">
        <f t="shared" si="1"/>
        <v>0</v>
      </c>
    </row>
    <row r="67">
      <c r="A67" s="111" t="str">
        <f>IF(B67="","",VLOOKUP(B67,'Mitglieder BBU'!A:K,6,0))</f>
        <v/>
      </c>
      <c r="B67" s="115"/>
      <c r="C67" s="112"/>
      <c r="D67" s="112"/>
      <c r="E67" s="112"/>
      <c r="F67" s="112"/>
      <c r="G67" s="112"/>
      <c r="H67" s="112"/>
      <c r="I67" s="113">
        <f t="shared" si="1"/>
        <v>0</v>
      </c>
    </row>
    <row r="68">
      <c r="A68" s="111" t="str">
        <f>IF(B68="","",VLOOKUP(B68,'Mitglieder BBU'!A:K,6,0))</f>
        <v/>
      </c>
      <c r="B68" s="115"/>
      <c r="C68" s="112"/>
      <c r="D68" s="112"/>
      <c r="E68" s="112"/>
      <c r="F68" s="112"/>
      <c r="G68" s="112"/>
      <c r="H68" s="112"/>
      <c r="I68" s="113">
        <f t="shared" si="1"/>
        <v>0</v>
      </c>
    </row>
    <row r="69">
      <c r="A69" s="111" t="str">
        <f>IF(B69="","",VLOOKUP(B69,'Mitglieder BBU'!A:K,6,0))</f>
        <v/>
      </c>
      <c r="B69" s="115"/>
      <c r="C69" s="112"/>
      <c r="D69" s="112"/>
      <c r="E69" s="112"/>
      <c r="F69" s="112"/>
      <c r="G69" s="112"/>
      <c r="H69" s="112"/>
      <c r="I69" s="113">
        <f t="shared" si="1"/>
        <v>0</v>
      </c>
    </row>
    <row r="70">
      <c r="A70" s="111" t="str">
        <f>IF(B70="","",VLOOKUP(B70,'Mitglieder BBU'!A:K,6,0))</f>
        <v/>
      </c>
      <c r="B70" s="115"/>
      <c r="C70" s="112"/>
      <c r="D70" s="112"/>
      <c r="E70" s="112"/>
      <c r="F70" s="112"/>
      <c r="G70" s="112"/>
      <c r="H70" s="112"/>
      <c r="I70" s="113">
        <f t="shared" si="1"/>
        <v>0</v>
      </c>
    </row>
    <row r="71">
      <c r="A71" s="111" t="str">
        <f>IF(B71="","",VLOOKUP(B71,'Mitglieder BBU'!A:K,6,0))</f>
        <v/>
      </c>
      <c r="B71" s="115"/>
      <c r="C71" s="112"/>
      <c r="D71" s="112"/>
      <c r="E71" s="112"/>
      <c r="F71" s="112"/>
      <c r="G71" s="112"/>
      <c r="H71" s="112"/>
      <c r="I71" s="113">
        <f t="shared" si="1"/>
        <v>0</v>
      </c>
    </row>
    <row r="72">
      <c r="A72" s="111" t="str">
        <f>IF(B72="","",VLOOKUP(B72,'Mitglieder BBU'!A:K,6,0))</f>
        <v/>
      </c>
      <c r="B72" s="115"/>
      <c r="C72" s="112"/>
      <c r="D72" s="112"/>
      <c r="E72" s="112"/>
      <c r="F72" s="112"/>
      <c r="G72" s="112"/>
      <c r="H72" s="112"/>
      <c r="I72" s="113">
        <f t="shared" si="1"/>
        <v>0</v>
      </c>
    </row>
    <row r="73">
      <c r="A73" s="111" t="str">
        <f>IF(B73="","",VLOOKUP(B73,'Mitglieder BBU'!A:K,6,0))</f>
        <v/>
      </c>
      <c r="B73" s="115"/>
      <c r="C73" s="112"/>
      <c r="D73" s="112"/>
      <c r="E73" s="112"/>
      <c r="F73" s="112"/>
      <c r="G73" s="112"/>
      <c r="H73" s="112"/>
      <c r="I73" s="113">
        <f t="shared" si="1"/>
        <v>0</v>
      </c>
    </row>
    <row r="74">
      <c r="A74" s="111" t="str">
        <f>IF(B74="","",VLOOKUP(B74,'Mitglieder BBU'!A:K,6,0))</f>
        <v/>
      </c>
      <c r="B74" s="115"/>
      <c r="C74" s="112"/>
      <c r="D74" s="112"/>
      <c r="E74" s="112"/>
      <c r="F74" s="112"/>
      <c r="G74" s="112"/>
      <c r="H74" s="112"/>
      <c r="I74" s="113">
        <f t="shared" si="1"/>
        <v>0</v>
      </c>
    </row>
    <row r="75">
      <c r="A75" s="111" t="str">
        <f>IF(B75="","",VLOOKUP(B75,'Mitglieder BBU'!A:K,6,0))</f>
        <v/>
      </c>
      <c r="B75" s="115"/>
      <c r="C75" s="112"/>
      <c r="D75" s="112"/>
      <c r="E75" s="112"/>
      <c r="F75" s="112"/>
      <c r="G75" s="112"/>
      <c r="H75" s="112"/>
      <c r="I75" s="113">
        <f t="shared" si="1"/>
        <v>0</v>
      </c>
    </row>
    <row r="76">
      <c r="A76" s="111" t="str">
        <f>IF(B76="","",VLOOKUP(B76,'Mitglieder BBU'!A:K,6,0))</f>
        <v/>
      </c>
      <c r="B76" s="115"/>
      <c r="C76" s="112"/>
      <c r="D76" s="112"/>
      <c r="E76" s="112"/>
      <c r="F76" s="112"/>
      <c r="G76" s="112"/>
      <c r="H76" s="112"/>
      <c r="I76" s="113">
        <f t="shared" si="1"/>
        <v>0</v>
      </c>
    </row>
    <row r="77">
      <c r="A77" s="111" t="str">
        <f>IF(B77="","",VLOOKUP(B77,'Mitglieder BBU'!A:K,6,0))</f>
        <v/>
      </c>
      <c r="B77" s="115"/>
      <c r="C77" s="112"/>
      <c r="D77" s="112"/>
      <c r="E77" s="112"/>
      <c r="F77" s="112"/>
      <c r="G77" s="112"/>
      <c r="H77" s="112"/>
      <c r="I77" s="113">
        <f t="shared" si="1"/>
        <v>0</v>
      </c>
    </row>
    <row r="78">
      <c r="A78" s="111" t="str">
        <f>IF(B78="","",VLOOKUP(B78,'Mitglieder BBU'!A:K,6,0))</f>
        <v/>
      </c>
      <c r="B78" s="115"/>
      <c r="C78" s="112"/>
      <c r="D78" s="112"/>
      <c r="E78" s="112"/>
      <c r="F78" s="112"/>
      <c r="G78" s="112"/>
      <c r="H78" s="112"/>
      <c r="I78" s="113">
        <f t="shared" si="1"/>
        <v>0</v>
      </c>
    </row>
    <row r="79">
      <c r="A79" s="111" t="str">
        <f>IF(B79="","",VLOOKUP(B79,'Mitglieder BBU'!A:K,6,0))</f>
        <v/>
      </c>
      <c r="B79" s="115"/>
      <c r="C79" s="112"/>
      <c r="D79" s="112"/>
      <c r="E79" s="112"/>
      <c r="F79" s="112"/>
      <c r="G79" s="112"/>
      <c r="H79" s="112"/>
      <c r="I79" s="113">
        <f t="shared" si="1"/>
        <v>0</v>
      </c>
    </row>
    <row r="80">
      <c r="A80" s="111" t="str">
        <f>IF(B80="","",VLOOKUP(B80,'Mitglieder BBU'!A:K,6,0))</f>
        <v/>
      </c>
      <c r="B80" s="115"/>
      <c r="C80" s="112"/>
      <c r="D80" s="112"/>
      <c r="E80" s="112"/>
      <c r="F80" s="112"/>
      <c r="G80" s="112"/>
      <c r="H80" s="112"/>
      <c r="I80" s="113">
        <f t="shared" si="1"/>
        <v>0</v>
      </c>
    </row>
    <row r="81">
      <c r="A81" s="111" t="str">
        <f>IF(B81="","",VLOOKUP(B81,'Mitglieder BBU'!A:K,6,0))</f>
        <v/>
      </c>
      <c r="B81" s="115"/>
      <c r="C81" s="112"/>
      <c r="D81" s="112"/>
      <c r="E81" s="112"/>
      <c r="F81" s="112"/>
      <c r="G81" s="112"/>
      <c r="H81" s="112"/>
      <c r="I81" s="113">
        <f t="shared" si="1"/>
        <v>0</v>
      </c>
    </row>
    <row r="82">
      <c r="A82" s="111" t="str">
        <f>IF(B82="","",VLOOKUP(B82,'Mitglieder BBU'!A:K,6,0))</f>
        <v/>
      </c>
      <c r="B82" s="115"/>
      <c r="C82" s="112"/>
      <c r="D82" s="112"/>
      <c r="E82" s="112"/>
      <c r="F82" s="112"/>
      <c r="G82" s="112"/>
      <c r="H82" s="112"/>
      <c r="I82" s="113">
        <f t="shared" si="1"/>
        <v>0</v>
      </c>
    </row>
    <row r="83">
      <c r="A83" s="111" t="str">
        <f>IF(B83="","",VLOOKUP(B83,'Mitglieder BBU'!A:K,6,0))</f>
        <v/>
      </c>
      <c r="B83" s="115"/>
      <c r="C83" s="112"/>
      <c r="D83" s="112"/>
      <c r="E83" s="112"/>
      <c r="F83" s="112"/>
      <c r="G83" s="112"/>
      <c r="H83" s="112"/>
      <c r="I83" s="113">
        <f t="shared" si="1"/>
        <v>0</v>
      </c>
    </row>
    <row r="84">
      <c r="A84" s="111" t="str">
        <f>IF(B84="","",VLOOKUP(B84,'Mitglieder BBU'!A:K,6,0))</f>
        <v/>
      </c>
      <c r="B84" s="115"/>
      <c r="C84" s="112"/>
      <c r="D84" s="112"/>
      <c r="E84" s="112"/>
      <c r="F84" s="112"/>
      <c r="G84" s="112"/>
      <c r="H84" s="112"/>
      <c r="I84" s="113">
        <f t="shared" si="1"/>
        <v>0</v>
      </c>
    </row>
    <row r="85">
      <c r="A85" s="111" t="str">
        <f>IF(B85="","",VLOOKUP(B85,'Mitglieder BBU'!A:K,6,0))</f>
        <v/>
      </c>
      <c r="B85" s="115"/>
      <c r="C85" s="112"/>
      <c r="D85" s="112"/>
      <c r="E85" s="112"/>
      <c r="F85" s="112"/>
      <c r="G85" s="112"/>
      <c r="H85" s="112"/>
      <c r="I85" s="113">
        <f t="shared" si="1"/>
        <v>0</v>
      </c>
    </row>
    <row r="86">
      <c r="A86" s="111" t="str">
        <f>IF(B86="","",VLOOKUP(B86,'Mitglieder BBU'!A:K,6,0))</f>
        <v/>
      </c>
      <c r="B86" s="115"/>
      <c r="C86" s="112"/>
      <c r="D86" s="112"/>
      <c r="E86" s="112"/>
      <c r="F86" s="112"/>
      <c r="G86" s="116"/>
      <c r="H86" s="116"/>
      <c r="I86" s="113">
        <f t="shared" si="1"/>
        <v>0</v>
      </c>
    </row>
    <row r="87">
      <c r="A87" s="111" t="str">
        <f>IF(B87="","",VLOOKUP(B87,'Mitglieder BBU'!A:K,6,0))</f>
        <v/>
      </c>
      <c r="B87" s="115"/>
      <c r="C87" s="112"/>
      <c r="D87" s="112"/>
      <c r="E87" s="112"/>
      <c r="F87" s="112"/>
      <c r="G87" s="116"/>
      <c r="H87" s="116"/>
      <c r="I87" s="113">
        <f t="shared" si="1"/>
        <v>0</v>
      </c>
    </row>
    <row r="88">
      <c r="A88" s="111" t="str">
        <f>IF(B88="","",VLOOKUP(B88,'Mitglieder BBU'!A:K,6,0))</f>
        <v/>
      </c>
      <c r="B88" s="115"/>
      <c r="C88" s="112"/>
      <c r="D88" s="112"/>
      <c r="E88" s="112"/>
      <c r="F88" s="112"/>
      <c r="G88" s="116"/>
      <c r="H88" s="116"/>
      <c r="I88" s="113">
        <f t="shared" si="1"/>
        <v>0</v>
      </c>
    </row>
    <row r="89">
      <c r="A89" s="111" t="str">
        <f>IF(B89="","",VLOOKUP(B89,'Mitglieder BBU'!A:K,6,0))</f>
        <v/>
      </c>
      <c r="B89" s="115"/>
      <c r="C89" s="112"/>
      <c r="D89" s="112"/>
      <c r="E89" s="112"/>
      <c r="F89" s="112"/>
      <c r="G89" s="116"/>
      <c r="H89" s="116"/>
      <c r="I89" s="113">
        <f t="shared" si="1"/>
        <v>0</v>
      </c>
    </row>
    <row r="90">
      <c r="A90" s="111" t="str">
        <f>IF(B90="","",VLOOKUP(B90,'Mitglieder BBU'!A:K,6,0))</f>
        <v/>
      </c>
      <c r="B90" s="115"/>
      <c r="C90" s="112"/>
      <c r="D90" s="112"/>
      <c r="E90" s="112"/>
      <c r="F90" s="112"/>
      <c r="G90" s="116"/>
      <c r="H90" s="116"/>
      <c r="I90" s="113">
        <f t="shared" si="1"/>
        <v>0</v>
      </c>
    </row>
    <row r="91">
      <c r="A91" s="111" t="str">
        <f>IF(B91="","",VLOOKUP(B91,'Mitglieder BBU'!A:K,6,0))</f>
        <v/>
      </c>
      <c r="B91" s="115"/>
      <c r="C91" s="112"/>
      <c r="D91" s="112"/>
      <c r="E91" s="112"/>
      <c r="F91" s="112"/>
      <c r="G91" s="116"/>
      <c r="H91" s="116"/>
      <c r="I91" s="113">
        <f t="shared" si="1"/>
        <v>0</v>
      </c>
    </row>
    <row r="92">
      <c r="A92" s="111" t="str">
        <f>IF(B92="","",VLOOKUP(B92,'Mitglieder BBU'!A:K,6,0))</f>
        <v/>
      </c>
      <c r="B92" s="115"/>
      <c r="C92" s="112"/>
      <c r="D92" s="112"/>
      <c r="E92" s="112"/>
      <c r="F92" s="112"/>
      <c r="G92" s="116"/>
      <c r="H92" s="116"/>
      <c r="I92" s="113">
        <f t="shared" si="1"/>
        <v>0</v>
      </c>
    </row>
    <row r="93">
      <c r="A93" s="111" t="str">
        <f>IF(B93="","",VLOOKUP(B93,'Mitglieder BBU'!A:K,6,0))</f>
        <v/>
      </c>
      <c r="B93" s="115"/>
      <c r="C93" s="112"/>
      <c r="D93" s="112"/>
      <c r="E93" s="112"/>
      <c r="F93" s="112"/>
      <c r="G93" s="116"/>
      <c r="H93" s="116"/>
      <c r="I93" s="113">
        <f t="shared" si="1"/>
        <v>0</v>
      </c>
    </row>
    <row r="94">
      <c r="A94" s="111" t="str">
        <f>IF(B94="","",VLOOKUP(B94,'Mitglieder BBU'!A:K,6,0))</f>
        <v/>
      </c>
      <c r="B94" s="115"/>
      <c r="C94" s="112"/>
      <c r="D94" s="112"/>
      <c r="E94" s="112"/>
      <c r="F94" s="112"/>
      <c r="G94" s="116"/>
      <c r="H94" s="116"/>
      <c r="I94" s="113">
        <f t="shared" si="1"/>
        <v>0</v>
      </c>
    </row>
    <row r="95">
      <c r="A95" s="111" t="str">
        <f>IF(B95="","",VLOOKUP(B95,'Mitglieder BBU'!A:K,6,0))</f>
        <v/>
      </c>
      <c r="B95" s="115"/>
      <c r="C95" s="112"/>
      <c r="D95" s="112"/>
      <c r="E95" s="112"/>
      <c r="F95" s="112"/>
      <c r="G95" s="116"/>
      <c r="H95" s="116"/>
      <c r="I95" s="113">
        <f t="shared" si="1"/>
        <v>0</v>
      </c>
    </row>
    <row r="96">
      <c r="A96" s="111" t="str">
        <f>IF(B96="","",VLOOKUP(B96,'Mitglieder BBU'!A:K,6,0))</f>
        <v/>
      </c>
      <c r="B96" s="115"/>
      <c r="C96" s="112"/>
      <c r="D96" s="112"/>
      <c r="E96" s="112"/>
      <c r="F96" s="112"/>
      <c r="G96" s="116"/>
      <c r="H96" s="116"/>
      <c r="I96" s="113">
        <f t="shared" si="1"/>
        <v>0</v>
      </c>
    </row>
    <row r="97">
      <c r="A97" s="111" t="str">
        <f>IF(B97="","",VLOOKUP(B97,'Mitglieder BBU'!A:K,6,0))</f>
        <v/>
      </c>
      <c r="B97" s="115"/>
      <c r="C97" s="112"/>
      <c r="D97" s="112"/>
      <c r="E97" s="112"/>
      <c r="F97" s="112"/>
      <c r="G97" s="116"/>
      <c r="H97" s="116"/>
      <c r="I97" s="113">
        <f t="shared" si="1"/>
        <v>0</v>
      </c>
    </row>
    <row r="98">
      <c r="A98" s="111" t="str">
        <f>IF(B98="","",VLOOKUP(B98,'Mitglieder BBU'!A:K,6,0))</f>
        <v/>
      </c>
      <c r="B98" s="115"/>
      <c r="C98" s="112"/>
      <c r="D98" s="112"/>
      <c r="E98" s="112"/>
      <c r="F98" s="112"/>
      <c r="G98" s="116"/>
      <c r="H98" s="116"/>
      <c r="I98" s="113">
        <f t="shared" si="1"/>
        <v>0</v>
      </c>
    </row>
    <row r="99">
      <c r="A99" s="111" t="str">
        <f>IF(B99="","",VLOOKUP(B99,'Mitglieder BBU'!A:K,6,0))</f>
        <v/>
      </c>
      <c r="B99" s="115"/>
      <c r="C99" s="112"/>
      <c r="D99" s="112"/>
      <c r="E99" s="112"/>
      <c r="F99" s="112"/>
      <c r="G99" s="116"/>
      <c r="H99" s="116"/>
      <c r="I99" s="113">
        <f t="shared" si="1"/>
        <v>0</v>
      </c>
    </row>
    <row r="100">
      <c r="A100" s="111" t="str">
        <f>IF(B100="","",VLOOKUP(B100,'Mitglieder BBU'!A:K,6,0))</f>
        <v/>
      </c>
      <c r="B100" s="115"/>
      <c r="C100" s="112"/>
      <c r="D100" s="112"/>
      <c r="E100" s="112"/>
      <c r="F100" s="112"/>
      <c r="G100" s="116"/>
      <c r="H100" s="116"/>
      <c r="I100" s="113">
        <f t="shared" si="1"/>
        <v>0</v>
      </c>
    </row>
    <row r="101">
      <c r="A101" s="111" t="str">
        <f>IF(B101="","",VLOOKUP(B101,'Mitglieder BBU'!A:K,6,0))</f>
        <v/>
      </c>
      <c r="B101" s="115"/>
      <c r="C101" s="112"/>
      <c r="D101" s="112"/>
      <c r="E101" s="112"/>
      <c r="F101" s="112"/>
      <c r="G101" s="116"/>
      <c r="H101" s="116"/>
      <c r="I101" s="113">
        <f t="shared" si="1"/>
        <v>0</v>
      </c>
    </row>
    <row r="102">
      <c r="A102" s="111" t="str">
        <f>IF(B102="","",VLOOKUP(B102,'Mitglieder BBU'!A:K,6,0))</f>
        <v/>
      </c>
      <c r="B102" s="115"/>
      <c r="C102" s="112"/>
      <c r="D102" s="112"/>
      <c r="E102" s="112"/>
      <c r="F102" s="112"/>
      <c r="G102" s="116"/>
      <c r="H102" s="116"/>
      <c r="I102" s="113">
        <f t="shared" si="1"/>
        <v>0</v>
      </c>
    </row>
    <row r="103">
      <c r="A103" s="111" t="str">
        <f>IF(B103="","",VLOOKUP(B103,'Mitglieder BBU'!A:K,6,0))</f>
        <v/>
      </c>
      <c r="B103" s="115"/>
      <c r="C103" s="112"/>
      <c r="D103" s="112"/>
      <c r="E103" s="112"/>
      <c r="F103" s="112"/>
      <c r="G103" s="116"/>
      <c r="H103" s="116"/>
      <c r="I103" s="113">
        <f t="shared" si="1"/>
        <v>0</v>
      </c>
    </row>
    <row r="104">
      <c r="A104" s="111" t="str">
        <f>IF(B104="","",VLOOKUP(B104,'Mitglieder BBU'!A:K,6,0))</f>
        <v/>
      </c>
      <c r="B104" s="115"/>
      <c r="C104" s="112"/>
      <c r="D104" s="112"/>
      <c r="E104" s="112"/>
      <c r="F104" s="112"/>
      <c r="G104" s="116"/>
      <c r="H104" s="116"/>
      <c r="I104" s="113">
        <f t="shared" si="1"/>
        <v>0</v>
      </c>
    </row>
    <row r="105">
      <c r="A105" s="111" t="str">
        <f>IF(B105="","",VLOOKUP(B105,'Mitglieder BBU'!A:K,6,0))</f>
        <v/>
      </c>
      <c r="B105" s="115"/>
      <c r="C105" s="112"/>
      <c r="D105" s="112"/>
      <c r="E105" s="112"/>
      <c r="F105" s="112"/>
      <c r="G105" s="116"/>
      <c r="H105" s="116"/>
      <c r="I105" s="113">
        <f t="shared" si="1"/>
        <v>0</v>
      </c>
    </row>
    <row r="106">
      <c r="A106" s="111" t="str">
        <f>IF(B106="","",VLOOKUP(B106,'Mitglieder BBU'!A:K,6,0))</f>
        <v/>
      </c>
      <c r="B106" s="111"/>
      <c r="C106" s="116"/>
      <c r="D106" s="116"/>
      <c r="E106" s="116"/>
      <c r="F106" s="116"/>
      <c r="G106" s="116"/>
      <c r="H106" s="116"/>
      <c r="I106" s="113">
        <f t="shared" si="1"/>
        <v>0</v>
      </c>
    </row>
    <row r="107">
      <c r="A107" s="111" t="str">
        <f>IF(B107="","",VLOOKUP(B107,'Mitglieder BBU'!A:K,6,0))</f>
        <v/>
      </c>
      <c r="B107" s="111"/>
      <c r="C107" s="116"/>
      <c r="D107" s="116"/>
      <c r="E107" s="116"/>
      <c r="F107" s="116"/>
      <c r="G107" s="116"/>
      <c r="H107" s="116"/>
      <c r="I107" s="113">
        <f t="shared" si="1"/>
        <v>0</v>
      </c>
    </row>
    <row r="108">
      <c r="A108" s="111" t="str">
        <f>IF(B108="","",VLOOKUP(B108,'Mitglieder BBU'!A:K,6,0))</f>
        <v/>
      </c>
      <c r="B108" s="111"/>
      <c r="C108" s="116"/>
      <c r="D108" s="116"/>
      <c r="E108" s="116"/>
      <c r="F108" s="116"/>
      <c r="G108" s="116"/>
      <c r="H108" s="116"/>
      <c r="I108" s="113">
        <f t="shared" si="1"/>
        <v>0</v>
      </c>
    </row>
    <row r="109">
      <c r="A109" s="111" t="str">
        <f>IF(B109="","",VLOOKUP(B109,'Mitglieder BBU'!A:K,6,0))</f>
        <v/>
      </c>
      <c r="B109" s="111"/>
      <c r="C109" s="116"/>
      <c r="D109" s="116"/>
      <c r="E109" s="116"/>
      <c r="F109" s="116"/>
      <c r="G109" s="116"/>
      <c r="H109" s="116"/>
      <c r="I109" s="113">
        <f t="shared" si="1"/>
        <v>0</v>
      </c>
    </row>
    <row r="110">
      <c r="A110" s="111" t="str">
        <f>IF(B110="","",VLOOKUP(B110,'Mitglieder BBU'!A:K,6,0))</f>
        <v/>
      </c>
      <c r="B110" s="111"/>
      <c r="C110" s="116"/>
      <c r="D110" s="116"/>
      <c r="E110" s="116"/>
      <c r="F110" s="116"/>
      <c r="G110" s="116"/>
      <c r="H110" s="116"/>
      <c r="I110" s="113">
        <f t="shared" si="1"/>
        <v>0</v>
      </c>
    </row>
    <row r="111">
      <c r="A111" s="111" t="str">
        <f>IF(B111="","",VLOOKUP(B111,'Mitglieder BBU'!A:K,6,0))</f>
        <v/>
      </c>
      <c r="B111" s="111"/>
      <c r="C111" s="116"/>
      <c r="D111" s="116"/>
      <c r="E111" s="116"/>
      <c r="F111" s="116"/>
      <c r="G111" s="116"/>
      <c r="H111" s="116"/>
      <c r="I111" s="113">
        <f t="shared" si="1"/>
        <v>0</v>
      </c>
    </row>
    <row r="112">
      <c r="A112" s="111" t="str">
        <f>IF(B112="","",VLOOKUP(B112,'Mitglieder BBU'!A:K,6,0))</f>
        <v/>
      </c>
      <c r="B112" s="111"/>
      <c r="C112" s="116"/>
      <c r="D112" s="116"/>
      <c r="E112" s="116"/>
      <c r="F112" s="116"/>
      <c r="G112" s="116"/>
      <c r="H112" s="116"/>
      <c r="I112" s="113">
        <f t="shared" si="1"/>
        <v>0</v>
      </c>
    </row>
    <row r="113">
      <c r="A113" s="111" t="str">
        <f>IF(B113="","",VLOOKUP(B113,'Mitglieder BBU'!A:K,6,0))</f>
        <v/>
      </c>
      <c r="B113" s="111"/>
      <c r="C113" s="116"/>
      <c r="D113" s="116"/>
      <c r="E113" s="116"/>
      <c r="F113" s="116"/>
      <c r="G113" s="116"/>
      <c r="H113" s="116"/>
      <c r="I113" s="113">
        <f t="shared" si="1"/>
        <v>0</v>
      </c>
    </row>
    <row r="114">
      <c r="A114" s="111" t="str">
        <f>IF(B114="","",VLOOKUP(B114,'Mitglieder BBU'!A:K,6,0))</f>
        <v/>
      </c>
      <c r="B114" s="111"/>
      <c r="C114" s="116"/>
      <c r="D114" s="116"/>
      <c r="E114" s="116"/>
      <c r="F114" s="116"/>
      <c r="G114" s="116"/>
      <c r="H114" s="116"/>
      <c r="I114" s="113">
        <f t="shared" si="1"/>
        <v>0</v>
      </c>
    </row>
    <row r="115">
      <c r="A115" s="111" t="str">
        <f>IF(B115="","",VLOOKUP(B115,'Mitglieder BBU'!A:K,6,0))</f>
        <v/>
      </c>
      <c r="B115" s="111"/>
      <c r="C115" s="116"/>
      <c r="D115" s="116"/>
      <c r="E115" s="116"/>
      <c r="F115" s="116"/>
      <c r="G115" s="116"/>
      <c r="H115" s="116"/>
      <c r="I115" s="113">
        <f t="shared" si="1"/>
        <v>0</v>
      </c>
    </row>
    <row r="116">
      <c r="A116" s="111" t="str">
        <f>IF(B116="","",VLOOKUP(B116,'Mitglieder BBU'!A:K,6,0))</f>
        <v/>
      </c>
      <c r="B116" s="111"/>
      <c r="C116" s="116"/>
      <c r="D116" s="116"/>
      <c r="E116" s="116"/>
      <c r="F116" s="116"/>
      <c r="G116" s="116"/>
      <c r="H116" s="116"/>
      <c r="I116" s="113">
        <f t="shared" si="1"/>
        <v>0</v>
      </c>
    </row>
    <row r="117">
      <c r="A117" s="111" t="str">
        <f>IF(B117="","",VLOOKUP(B117,'Mitglieder BBU'!A:K,6,0))</f>
        <v/>
      </c>
      <c r="B117" s="111"/>
      <c r="C117" s="116"/>
      <c r="D117" s="116"/>
      <c r="E117" s="116"/>
      <c r="F117" s="116"/>
      <c r="G117" s="116"/>
      <c r="H117" s="116"/>
      <c r="I117" s="113">
        <f t="shared" si="1"/>
        <v>0</v>
      </c>
    </row>
    <row r="118">
      <c r="A118" s="111" t="str">
        <f>IF(B118="","",VLOOKUP(B118,'Mitglieder BBU'!A:K,6,0))</f>
        <v/>
      </c>
      <c r="B118" s="111"/>
      <c r="C118" s="116"/>
      <c r="D118" s="116"/>
      <c r="E118" s="116"/>
      <c r="F118" s="116"/>
      <c r="G118" s="116"/>
      <c r="H118" s="116"/>
      <c r="I118" s="113">
        <f t="shared" si="1"/>
        <v>0</v>
      </c>
    </row>
    <row r="119">
      <c r="A119" s="111" t="str">
        <f>IF(B119="","",VLOOKUP(B119,'Mitglieder BBU'!A:K,6,0))</f>
        <v/>
      </c>
      <c r="B119" s="111"/>
      <c r="C119" s="116"/>
      <c r="D119" s="116"/>
      <c r="E119" s="116"/>
      <c r="F119" s="116"/>
      <c r="G119" s="116"/>
      <c r="H119" s="116"/>
      <c r="I119" s="113">
        <f t="shared" si="1"/>
        <v>0</v>
      </c>
    </row>
    <row r="120">
      <c r="A120" s="111" t="str">
        <f>IF(B120="","",VLOOKUP(B120,'Mitglieder BBU'!A:K,6,0))</f>
        <v/>
      </c>
      <c r="B120" s="111"/>
      <c r="C120" s="116"/>
      <c r="D120" s="116"/>
      <c r="E120" s="116"/>
      <c r="F120" s="116"/>
      <c r="G120" s="116"/>
      <c r="H120" s="116"/>
      <c r="I120" s="113">
        <f t="shared" si="1"/>
        <v>0</v>
      </c>
    </row>
    <row r="121">
      <c r="A121" s="111" t="str">
        <f>IF(B121="","",VLOOKUP(B121,'Mitglieder BBU'!A:K,6,0))</f>
        <v/>
      </c>
      <c r="B121" s="111"/>
      <c r="C121" s="116"/>
      <c r="D121" s="116"/>
      <c r="E121" s="116"/>
      <c r="F121" s="116"/>
      <c r="G121" s="116"/>
      <c r="H121" s="116"/>
      <c r="I121" s="113">
        <f t="shared" si="1"/>
        <v>0</v>
      </c>
    </row>
    <row r="122">
      <c r="A122" s="111" t="str">
        <f>IF(B122="","",VLOOKUP(B122,'Mitglieder BBU'!A:K,6,0))</f>
        <v/>
      </c>
      <c r="B122" s="111"/>
      <c r="C122" s="116"/>
      <c r="D122" s="116"/>
      <c r="E122" s="116"/>
      <c r="F122" s="116"/>
      <c r="G122" s="116"/>
      <c r="H122" s="116"/>
      <c r="I122" s="113">
        <f t="shared" si="1"/>
        <v>0</v>
      </c>
    </row>
    <row r="123">
      <c r="A123" s="111" t="str">
        <f>IF(B123="","",VLOOKUP(B123,'Mitglieder BBU'!A:K,6,0))</f>
        <v/>
      </c>
      <c r="B123" s="111"/>
      <c r="C123" s="116"/>
      <c r="D123" s="116"/>
      <c r="E123" s="116"/>
      <c r="F123" s="116"/>
      <c r="G123" s="116"/>
      <c r="H123" s="116"/>
      <c r="I123" s="113">
        <f t="shared" si="1"/>
        <v>0</v>
      </c>
    </row>
    <row r="124">
      <c r="A124" s="111" t="str">
        <f>IF(B124="","",VLOOKUP(B124,'Mitglieder BBU'!A:K,6,0))</f>
        <v/>
      </c>
      <c r="B124" s="111"/>
      <c r="C124" s="116"/>
      <c r="D124" s="116"/>
      <c r="E124" s="116"/>
      <c r="F124" s="116"/>
      <c r="G124" s="116"/>
      <c r="H124" s="116"/>
      <c r="I124" s="113">
        <f t="shared" si="1"/>
        <v>0</v>
      </c>
    </row>
    <row r="125">
      <c r="A125" s="111" t="str">
        <f>IF(B125="","",VLOOKUP(B125,'Mitglieder BBU'!A:K,6,0))</f>
        <v/>
      </c>
      <c r="B125" s="111"/>
      <c r="C125" s="116"/>
      <c r="D125" s="116"/>
      <c r="E125" s="116"/>
      <c r="F125" s="116"/>
      <c r="G125" s="116"/>
      <c r="H125" s="116"/>
      <c r="I125" s="113">
        <f t="shared" si="1"/>
        <v>0</v>
      </c>
    </row>
    <row r="126">
      <c r="A126" s="111" t="str">
        <f>IF(B126="","",VLOOKUP(B126,'Mitglieder BBU'!A:K,6,0))</f>
        <v/>
      </c>
      <c r="B126" s="111"/>
      <c r="C126" s="116"/>
      <c r="D126" s="116"/>
      <c r="E126" s="116"/>
      <c r="F126" s="116"/>
      <c r="G126" s="116"/>
      <c r="H126" s="116"/>
      <c r="I126" s="113">
        <f t="shared" si="1"/>
        <v>0</v>
      </c>
    </row>
    <row r="127">
      <c r="A127" s="111" t="str">
        <f>IF(B127="","",VLOOKUP(B127,'Mitglieder BBU'!A:K,6,0))</f>
        <v/>
      </c>
      <c r="B127" s="111"/>
      <c r="C127" s="116"/>
      <c r="D127" s="116"/>
      <c r="E127" s="116"/>
      <c r="F127" s="116"/>
      <c r="G127" s="116"/>
      <c r="H127" s="116"/>
      <c r="I127" s="113">
        <f t="shared" si="1"/>
        <v>0</v>
      </c>
    </row>
    <row r="128">
      <c r="A128" s="111" t="str">
        <f>IF(B128="","",VLOOKUP(B128,'Mitglieder BBU'!A:K,6,0))</f>
        <v/>
      </c>
      <c r="B128" s="111"/>
      <c r="C128" s="116"/>
      <c r="D128" s="116"/>
      <c r="E128" s="116"/>
      <c r="F128" s="116"/>
      <c r="G128" s="116"/>
      <c r="H128" s="116"/>
      <c r="I128" s="113">
        <f t="shared" si="1"/>
        <v>0</v>
      </c>
    </row>
    <row r="129">
      <c r="A129" s="111" t="str">
        <f>IF(B129="","",VLOOKUP(B129,'Mitglieder BBU'!A:K,6,0))</f>
        <v/>
      </c>
      <c r="B129" s="111"/>
      <c r="C129" s="116"/>
      <c r="D129" s="116"/>
      <c r="E129" s="116"/>
      <c r="F129" s="116"/>
      <c r="G129" s="116"/>
      <c r="H129" s="116"/>
      <c r="I129" s="113">
        <f t="shared" si="1"/>
        <v>0</v>
      </c>
    </row>
    <row r="130">
      <c r="A130" s="111" t="str">
        <f>IF(B130="","",VLOOKUP(B130,'Mitglieder BBU'!A:K,6,0))</f>
        <v/>
      </c>
      <c r="B130" s="111"/>
      <c r="C130" s="116"/>
      <c r="D130" s="116"/>
      <c r="E130" s="116"/>
      <c r="F130" s="116"/>
      <c r="G130" s="116"/>
      <c r="H130" s="116"/>
      <c r="I130" s="113">
        <f t="shared" si="1"/>
        <v>0</v>
      </c>
      <c r="J130" s="11"/>
      <c r="K130" s="11"/>
    </row>
    <row r="131">
      <c r="A131" s="111" t="str">
        <f>IF(B131="","",VLOOKUP(B131,'Mitglieder BBU'!A:K,6,0))</f>
        <v/>
      </c>
      <c r="B131" s="111"/>
      <c r="C131" s="116"/>
      <c r="D131" s="116"/>
      <c r="E131" s="116"/>
      <c r="F131" s="116"/>
      <c r="G131" s="116"/>
      <c r="H131" s="116"/>
      <c r="I131" s="113">
        <f t="shared" si="1"/>
        <v>0</v>
      </c>
      <c r="J131" s="11"/>
      <c r="K131" s="11"/>
    </row>
    <row r="132">
      <c r="A132" s="111" t="str">
        <f>IF(B132="","",VLOOKUP(B132,'Mitglieder BBU'!A:K,6,0))</f>
        <v/>
      </c>
      <c r="B132" s="111"/>
      <c r="C132" s="116"/>
      <c r="D132" s="116"/>
      <c r="E132" s="116"/>
      <c r="F132" s="116"/>
      <c r="G132" s="116"/>
      <c r="H132" s="116"/>
      <c r="I132" s="113">
        <f t="shared" si="1"/>
        <v>0</v>
      </c>
      <c r="J132" s="11"/>
      <c r="K132" s="11"/>
    </row>
    <row r="133">
      <c r="A133" s="111" t="str">
        <f>IF(B133="","",VLOOKUP(B133,'Mitglieder BBU'!A:K,6,0))</f>
        <v/>
      </c>
      <c r="B133" s="111"/>
      <c r="C133" s="116"/>
      <c r="D133" s="116"/>
      <c r="E133" s="116"/>
      <c r="F133" s="116"/>
      <c r="G133" s="116"/>
      <c r="H133" s="116"/>
      <c r="I133" s="113">
        <f t="shared" si="1"/>
        <v>0</v>
      </c>
      <c r="J133" s="11"/>
      <c r="K133" s="11"/>
    </row>
    <row r="134">
      <c r="A134" s="111" t="str">
        <f>IF(B134="","",VLOOKUP(B134,'Mitglieder BBU'!A:K,6,0))</f>
        <v/>
      </c>
      <c r="B134" s="111"/>
      <c r="C134" s="116"/>
      <c r="D134" s="116"/>
      <c r="E134" s="116"/>
      <c r="F134" s="116"/>
      <c r="G134" s="116"/>
      <c r="H134" s="116"/>
      <c r="I134" s="113">
        <f t="shared" si="1"/>
        <v>0</v>
      </c>
      <c r="J134" s="11"/>
      <c r="K134" s="11"/>
    </row>
    <row r="135">
      <c r="A135" s="111" t="str">
        <f>IF(B135="","",VLOOKUP(B135,'Mitglieder BBU'!A:K,6,0))</f>
        <v/>
      </c>
      <c r="B135" s="111"/>
      <c r="C135" s="116"/>
      <c r="D135" s="116"/>
      <c r="E135" s="116"/>
      <c r="F135" s="116"/>
      <c r="G135" s="116"/>
      <c r="H135" s="116"/>
      <c r="I135" s="113">
        <f t="shared" si="1"/>
        <v>0</v>
      </c>
      <c r="J135" s="11"/>
      <c r="K135" s="11"/>
    </row>
    <row r="136">
      <c r="A136" s="111" t="str">
        <f>IF(B136="","",VLOOKUP(B136,'Mitglieder BBU'!A:K,6,0))</f>
        <v/>
      </c>
      <c r="B136" s="111"/>
      <c r="C136" s="116"/>
      <c r="D136" s="116"/>
      <c r="E136" s="116"/>
      <c r="F136" s="116"/>
      <c r="G136" s="116"/>
      <c r="H136" s="116"/>
      <c r="I136" s="113">
        <f t="shared" si="1"/>
        <v>0</v>
      </c>
      <c r="J136" s="11"/>
      <c r="K136" s="11"/>
    </row>
    <row r="137">
      <c r="A137" s="111" t="str">
        <f>IF(B137="","",VLOOKUP(B137,'Mitglieder BBU'!A:K,6,0))</f>
        <v/>
      </c>
      <c r="B137" s="111"/>
      <c r="C137" s="116"/>
      <c r="D137" s="116"/>
      <c r="E137" s="116"/>
      <c r="F137" s="116"/>
      <c r="G137" s="116"/>
      <c r="H137" s="116"/>
      <c r="I137" s="113">
        <f t="shared" si="1"/>
        <v>0</v>
      </c>
    </row>
    <row r="138">
      <c r="A138" s="111" t="str">
        <f>IF(B138="","",VLOOKUP(B138,'Mitglieder BBU'!A:K,6,0))</f>
        <v/>
      </c>
      <c r="B138" s="111"/>
      <c r="C138" s="116"/>
      <c r="D138" s="116"/>
      <c r="E138" s="116"/>
      <c r="F138" s="116"/>
      <c r="G138" s="116"/>
      <c r="H138" s="116"/>
      <c r="I138" s="113">
        <f t="shared" si="1"/>
        <v>0</v>
      </c>
    </row>
    <row r="139">
      <c r="A139" s="111" t="str">
        <f>IF(B139="","",VLOOKUP(B139,'Mitglieder BBU'!A:K,6,0))</f>
        <v/>
      </c>
      <c r="B139" s="111"/>
      <c r="C139" s="116"/>
      <c r="D139" s="116"/>
      <c r="E139" s="116"/>
      <c r="F139" s="116"/>
      <c r="G139" s="116"/>
      <c r="H139" s="116"/>
      <c r="I139" s="113">
        <f t="shared" si="1"/>
        <v>0</v>
      </c>
    </row>
    <row r="140">
      <c r="A140" s="111" t="str">
        <f>IF(B140="","",VLOOKUP(B140,'Mitglieder BBU'!A:K,6,0))</f>
        <v/>
      </c>
      <c r="B140" s="111"/>
      <c r="C140" s="116"/>
      <c r="D140" s="116"/>
      <c r="E140" s="116"/>
      <c r="F140" s="116"/>
      <c r="G140" s="116"/>
      <c r="H140" s="116"/>
      <c r="I140" s="113">
        <f t="shared" si="1"/>
        <v>0</v>
      </c>
    </row>
    <row r="141">
      <c r="A141" s="111" t="str">
        <f>IF(B141="","",VLOOKUP(B141,'Mitglieder BBU'!A:K,6,0))</f>
        <v/>
      </c>
      <c r="B141" s="111"/>
      <c r="C141" s="116"/>
      <c r="D141" s="116"/>
      <c r="E141" s="116"/>
      <c r="F141" s="116"/>
      <c r="G141" s="116"/>
      <c r="H141" s="116"/>
      <c r="I141" s="113">
        <f t="shared" si="1"/>
        <v>0</v>
      </c>
    </row>
    <row r="142">
      <c r="A142" s="111" t="str">
        <f>IF(B142="","",VLOOKUP(B142,'Mitglieder BBU'!A:K,6,0))</f>
        <v/>
      </c>
      <c r="B142" s="111"/>
      <c r="C142" s="116"/>
      <c r="D142" s="116"/>
      <c r="E142" s="116"/>
      <c r="F142" s="116"/>
      <c r="G142" s="116"/>
      <c r="H142" s="116"/>
      <c r="I142" s="113">
        <f t="shared" si="1"/>
        <v>0</v>
      </c>
    </row>
    <row r="143">
      <c r="A143" s="111" t="str">
        <f>IF(B143="","",VLOOKUP(B143,'Mitglieder BBU'!A:K,6,0))</f>
        <v/>
      </c>
      <c r="B143" s="111"/>
      <c r="C143" s="116"/>
      <c r="D143" s="116"/>
      <c r="E143" s="116"/>
      <c r="F143" s="116"/>
      <c r="G143" s="116"/>
      <c r="H143" s="116"/>
      <c r="I143" s="113">
        <f t="shared" si="1"/>
        <v>0</v>
      </c>
    </row>
    <row r="144">
      <c r="A144" s="111" t="str">
        <f>IF(B144="","",VLOOKUP(B144,'Mitglieder BBU'!A:K,6,0))</f>
        <v/>
      </c>
      <c r="B144" s="111"/>
      <c r="C144" s="116"/>
      <c r="D144" s="116"/>
      <c r="E144" s="116"/>
      <c r="F144" s="116"/>
      <c r="G144" s="116"/>
      <c r="H144" s="116"/>
      <c r="I144" s="113">
        <f t="shared" si="1"/>
        <v>0</v>
      </c>
    </row>
    <row r="145">
      <c r="A145" s="111" t="str">
        <f>IF(B145="","",VLOOKUP(B145,'Mitglieder BBU'!A:K,6,0))</f>
        <v/>
      </c>
      <c r="B145" s="111"/>
      <c r="C145" s="116"/>
      <c r="D145" s="116"/>
      <c r="E145" s="116"/>
      <c r="F145" s="116"/>
      <c r="G145" s="116"/>
      <c r="H145" s="116"/>
      <c r="I145" s="113">
        <f t="shared" si="1"/>
        <v>0</v>
      </c>
    </row>
    <row r="146">
      <c r="A146" s="111" t="str">
        <f>IF(B146="","",VLOOKUP(B146,'Mitglieder BBU'!A:K,6,0))</f>
        <v/>
      </c>
      <c r="B146" s="111"/>
      <c r="C146" s="116"/>
      <c r="D146" s="116"/>
      <c r="E146" s="116"/>
      <c r="F146" s="116"/>
      <c r="G146" s="116"/>
      <c r="H146" s="116"/>
      <c r="I146" s="113">
        <f t="shared" si="1"/>
        <v>0</v>
      </c>
    </row>
    <row r="147">
      <c r="A147" s="111" t="str">
        <f>IF(B147="","",VLOOKUP(B147,'Mitglieder BBU'!A:K,6,0))</f>
        <v/>
      </c>
      <c r="B147" s="111"/>
      <c r="C147" s="116"/>
      <c r="D147" s="116"/>
      <c r="E147" s="116"/>
      <c r="F147" s="116"/>
      <c r="G147" s="116"/>
      <c r="H147" s="116"/>
      <c r="I147" s="113">
        <f t="shared" si="1"/>
        <v>0</v>
      </c>
    </row>
    <row r="148">
      <c r="A148" s="111" t="str">
        <f>IF(B148="","",VLOOKUP(B148,'Mitglieder BBU'!A:K,6,0))</f>
        <v/>
      </c>
      <c r="B148" s="111"/>
      <c r="C148" s="116"/>
      <c r="D148" s="116"/>
      <c r="E148" s="116"/>
      <c r="F148" s="116"/>
      <c r="G148" s="116"/>
      <c r="H148" s="116"/>
      <c r="I148" s="113">
        <f t="shared" si="1"/>
        <v>0</v>
      </c>
    </row>
    <row r="149">
      <c r="A149" s="111" t="str">
        <f>IF(B149="","",VLOOKUP(B149,'Mitglieder BBU'!A:K,6,0))</f>
        <v/>
      </c>
      <c r="B149" s="111"/>
      <c r="C149" s="116"/>
      <c r="D149" s="116"/>
      <c r="E149" s="116"/>
      <c r="F149" s="116"/>
      <c r="G149" s="116"/>
      <c r="H149" s="116"/>
      <c r="I149" s="113">
        <f t="shared" si="1"/>
        <v>0</v>
      </c>
    </row>
    <row r="150">
      <c r="A150" s="111" t="str">
        <f>IF(B150="","",VLOOKUP(B150,'Mitglieder BBU'!A:K,6,0))</f>
        <v/>
      </c>
      <c r="B150" s="111"/>
      <c r="C150" s="116"/>
      <c r="D150" s="116"/>
      <c r="E150" s="116"/>
      <c r="F150" s="116"/>
      <c r="G150" s="116"/>
      <c r="H150" s="116"/>
      <c r="I150" s="113">
        <f t="shared" si="1"/>
        <v>0</v>
      </c>
    </row>
    <row r="151">
      <c r="A151" s="111" t="str">
        <f>IF(B151="","",VLOOKUP(B151,'Mitglieder BBU'!A:K,6,0))</f>
        <v/>
      </c>
      <c r="B151" s="111"/>
      <c r="C151" s="116"/>
      <c r="D151" s="116"/>
      <c r="E151" s="116"/>
      <c r="F151" s="116"/>
      <c r="G151" s="116"/>
      <c r="H151" s="116"/>
      <c r="I151" s="113">
        <f t="shared" si="1"/>
        <v>0</v>
      </c>
    </row>
    <row r="152">
      <c r="A152" s="111" t="str">
        <f>IF(B152="","",VLOOKUP(B152,'Mitglieder BBU'!A:K,6,0))</f>
        <v/>
      </c>
      <c r="B152" s="111"/>
      <c r="C152" s="116"/>
      <c r="D152" s="116"/>
      <c r="E152" s="116"/>
      <c r="F152" s="116"/>
      <c r="G152" s="116"/>
      <c r="H152" s="116"/>
      <c r="I152" s="113">
        <f t="shared" si="1"/>
        <v>0</v>
      </c>
    </row>
    <row r="153">
      <c r="A153" s="111" t="str">
        <f>IF(B153="","",VLOOKUP(B153,'Mitglieder BBU'!A:K,6,0))</f>
        <v/>
      </c>
      <c r="B153" s="111"/>
      <c r="C153" s="116"/>
      <c r="D153" s="116"/>
      <c r="E153" s="116"/>
      <c r="F153" s="116"/>
      <c r="G153" s="116"/>
      <c r="H153" s="116"/>
      <c r="I153" s="113">
        <f t="shared" si="1"/>
        <v>0</v>
      </c>
    </row>
    <row r="154">
      <c r="A154" s="111" t="str">
        <f>IF(B154="","",VLOOKUP(B154,'Mitglieder BBU'!A:K,6,0))</f>
        <v/>
      </c>
      <c r="B154" s="111"/>
      <c r="C154" s="116"/>
      <c r="D154" s="116"/>
      <c r="E154" s="116"/>
      <c r="F154" s="116"/>
      <c r="G154" s="116"/>
      <c r="H154" s="116"/>
      <c r="I154" s="113">
        <f t="shared" si="1"/>
        <v>0</v>
      </c>
    </row>
    <row r="155">
      <c r="A155" s="111" t="str">
        <f>IF(B155="","",VLOOKUP(B155,'Mitglieder BBU'!A:K,6,0))</f>
        <v/>
      </c>
      <c r="B155" s="111"/>
      <c r="C155" s="116"/>
      <c r="D155" s="116"/>
      <c r="E155" s="116"/>
      <c r="F155" s="116"/>
      <c r="G155" s="116"/>
      <c r="H155" s="116"/>
      <c r="I155" s="113">
        <f t="shared" si="1"/>
        <v>0</v>
      </c>
    </row>
    <row r="156">
      <c r="A156" s="111" t="str">
        <f>IF(B156="","",VLOOKUP(B156,'Mitglieder BBU'!A:K,6,0))</f>
        <v/>
      </c>
      <c r="B156" s="111"/>
      <c r="C156" s="116"/>
      <c r="D156" s="116"/>
      <c r="E156" s="116"/>
      <c r="F156" s="116"/>
      <c r="G156" s="116"/>
      <c r="H156" s="116"/>
      <c r="I156" s="113">
        <f t="shared" si="1"/>
        <v>0</v>
      </c>
    </row>
    <row r="157">
      <c r="A157" s="111" t="str">
        <f>IF(B157="","",VLOOKUP(B157,'Mitglieder BBU'!A:K,6,0))</f>
        <v/>
      </c>
      <c r="B157" s="111"/>
      <c r="C157" s="116"/>
      <c r="D157" s="116"/>
      <c r="E157" s="116"/>
      <c r="F157" s="116"/>
      <c r="G157" s="116"/>
      <c r="H157" s="116"/>
      <c r="I157" s="113">
        <f t="shared" si="1"/>
        <v>0</v>
      </c>
    </row>
    <row r="158">
      <c r="A158" s="111" t="str">
        <f>IF(B158="","",VLOOKUP(B158,'Mitglieder BBU'!A:K,6,0))</f>
        <v/>
      </c>
      <c r="B158" s="111"/>
      <c r="C158" s="116"/>
      <c r="D158" s="116"/>
      <c r="E158" s="116"/>
      <c r="F158" s="116"/>
      <c r="G158" s="116"/>
      <c r="H158" s="116"/>
      <c r="I158" s="113">
        <f t="shared" si="1"/>
        <v>0</v>
      </c>
    </row>
    <row r="159">
      <c r="A159" s="111" t="str">
        <f>IF(B159="","",VLOOKUP(B159,'Mitglieder BBU'!A:K,6,0))</f>
        <v/>
      </c>
      <c r="B159" s="111"/>
      <c r="C159" s="116"/>
      <c r="D159" s="116"/>
      <c r="E159" s="116"/>
      <c r="F159" s="116"/>
      <c r="G159" s="116"/>
      <c r="H159" s="116"/>
      <c r="I159" s="113">
        <f t="shared" si="1"/>
        <v>0</v>
      </c>
    </row>
    <row r="160">
      <c r="A160" s="111" t="str">
        <f>IF(B160="","",VLOOKUP(B160,'Mitglieder BBU'!A:K,6,0))</f>
        <v/>
      </c>
      <c r="B160" s="111"/>
      <c r="C160" s="116"/>
      <c r="D160" s="116"/>
      <c r="E160" s="116"/>
      <c r="F160" s="116"/>
      <c r="G160" s="116"/>
      <c r="H160" s="116"/>
      <c r="I160" s="113">
        <f t="shared" si="1"/>
        <v>0</v>
      </c>
    </row>
    <row r="161">
      <c r="A161" s="111" t="str">
        <f>IF(B161="","",VLOOKUP(B161,'Mitglieder BBU'!A:K,6,0))</f>
        <v/>
      </c>
      <c r="B161" s="111"/>
      <c r="C161" s="116"/>
      <c r="D161" s="116"/>
      <c r="E161" s="116"/>
      <c r="F161" s="116"/>
      <c r="G161" s="116"/>
      <c r="H161" s="116"/>
      <c r="I161" s="113">
        <f t="shared" si="1"/>
        <v>0</v>
      </c>
    </row>
    <row r="162">
      <c r="A162" s="111" t="str">
        <f>IF(B162="","",VLOOKUP(B162,'Mitglieder BBU'!A:K,6,0))</f>
        <v/>
      </c>
      <c r="B162" s="111"/>
      <c r="C162" s="116"/>
      <c r="D162" s="116"/>
      <c r="E162" s="116"/>
      <c r="F162" s="116"/>
      <c r="G162" s="116"/>
      <c r="H162" s="116"/>
      <c r="I162" s="113">
        <f t="shared" si="1"/>
        <v>0</v>
      </c>
    </row>
    <row r="163">
      <c r="A163" s="111" t="str">
        <f>IF(B163="","",VLOOKUP(B163,'Mitglieder BBU'!A:K,6,0))</f>
        <v/>
      </c>
      <c r="B163" s="111"/>
      <c r="C163" s="116"/>
      <c r="D163" s="116"/>
      <c r="E163" s="116"/>
      <c r="F163" s="116"/>
      <c r="G163" s="116"/>
      <c r="H163" s="116"/>
      <c r="I163" s="113">
        <f t="shared" si="1"/>
        <v>0</v>
      </c>
    </row>
    <row r="164">
      <c r="A164" s="111" t="str">
        <f>IF(B164="","",VLOOKUP(B164,'Mitglieder BBU'!A:K,6,0))</f>
        <v/>
      </c>
      <c r="B164" s="111"/>
      <c r="C164" s="116"/>
      <c r="D164" s="116"/>
      <c r="E164" s="116"/>
      <c r="F164" s="116"/>
      <c r="G164" s="116"/>
      <c r="H164" s="116"/>
      <c r="I164" s="113">
        <f t="shared" si="1"/>
        <v>0</v>
      </c>
    </row>
    <row r="165">
      <c r="A165" s="111" t="str">
        <f>IF(B165="","",VLOOKUP(B165,'Mitglieder BBU'!A:K,6,0))</f>
        <v/>
      </c>
      <c r="B165" s="111"/>
      <c r="C165" s="116"/>
      <c r="D165" s="116"/>
      <c r="E165" s="116"/>
      <c r="F165" s="116"/>
      <c r="G165" s="116"/>
      <c r="H165" s="116"/>
      <c r="I165" s="113">
        <f t="shared" si="1"/>
        <v>0</v>
      </c>
    </row>
    <row r="166">
      <c r="A166" s="111" t="str">
        <f>IF(B166="","",VLOOKUP(B166,'Mitglieder BBU'!A:K,6,0))</f>
        <v/>
      </c>
      <c r="B166" s="111"/>
      <c r="C166" s="116"/>
      <c r="D166" s="116"/>
      <c r="E166" s="116"/>
      <c r="F166" s="116"/>
      <c r="G166" s="116"/>
      <c r="H166" s="116"/>
      <c r="I166" s="113">
        <f t="shared" si="1"/>
        <v>0</v>
      </c>
    </row>
    <row r="167">
      <c r="A167" s="111" t="str">
        <f>IF(B167="","",VLOOKUP(B167,'Mitglieder BBU'!A:K,6,0))</f>
        <v/>
      </c>
      <c r="B167" s="111"/>
      <c r="C167" s="116"/>
      <c r="D167" s="116"/>
      <c r="E167" s="116"/>
      <c r="F167" s="116"/>
      <c r="G167" s="116"/>
      <c r="H167" s="116"/>
      <c r="I167" s="113">
        <f t="shared" si="1"/>
        <v>0</v>
      </c>
    </row>
    <row r="168">
      <c r="A168" s="111" t="str">
        <f>IF(B168="","",VLOOKUP(B168,'Mitglieder BBU'!A:K,6,0))</f>
        <v/>
      </c>
      <c r="B168" s="111"/>
      <c r="C168" s="116"/>
      <c r="D168" s="116"/>
      <c r="E168" s="116"/>
      <c r="F168" s="116"/>
      <c r="G168" s="116"/>
      <c r="H168" s="116"/>
      <c r="I168" s="113">
        <f t="shared" si="1"/>
        <v>0</v>
      </c>
    </row>
    <row r="169">
      <c r="A169" s="111" t="str">
        <f>IF(B169="","",VLOOKUP(B169,'Mitglieder BBU'!A:K,6,0))</f>
        <v/>
      </c>
      <c r="B169" s="111"/>
      <c r="C169" s="116"/>
      <c r="D169" s="116"/>
      <c r="E169" s="116"/>
      <c r="F169" s="116"/>
      <c r="G169" s="116"/>
      <c r="H169" s="116"/>
      <c r="I169" s="113">
        <f t="shared" si="1"/>
        <v>0</v>
      </c>
    </row>
    <row r="170">
      <c r="A170" s="111" t="str">
        <f>IF(B170="","",VLOOKUP(B170,'Mitglieder BBU'!A:K,6,0))</f>
        <v/>
      </c>
      <c r="B170" s="111"/>
      <c r="C170" s="116"/>
      <c r="D170" s="116"/>
      <c r="E170" s="116"/>
      <c r="F170" s="116"/>
      <c r="G170" s="116"/>
      <c r="H170" s="116"/>
      <c r="I170" s="113">
        <f t="shared" si="1"/>
        <v>0</v>
      </c>
    </row>
    <row r="171">
      <c r="A171" s="111" t="str">
        <f>IF(B171="","",VLOOKUP(B171,'Mitglieder BBU'!A:K,6,0))</f>
        <v/>
      </c>
      <c r="B171" s="111"/>
      <c r="C171" s="116"/>
      <c r="D171" s="116"/>
      <c r="E171" s="116"/>
      <c r="F171" s="116"/>
      <c r="G171" s="116"/>
      <c r="H171" s="116"/>
      <c r="I171" s="113">
        <f t="shared" si="1"/>
        <v>0</v>
      </c>
    </row>
    <row r="172">
      <c r="A172" s="111" t="str">
        <f>IF(B172="","",VLOOKUP(B172,'Mitglieder BBU'!A:K,6,0))</f>
        <v/>
      </c>
      <c r="B172" s="111"/>
      <c r="C172" s="116"/>
      <c r="D172" s="116"/>
      <c r="E172" s="116"/>
      <c r="F172" s="116"/>
      <c r="G172" s="116"/>
      <c r="H172" s="116"/>
      <c r="I172" s="113">
        <f t="shared" si="1"/>
        <v>0</v>
      </c>
    </row>
    <row r="173">
      <c r="A173" s="111" t="str">
        <f>IF(B173="","",VLOOKUP(B173,'Mitglieder BBU'!A:K,6,0))</f>
        <v/>
      </c>
      <c r="B173" s="111"/>
      <c r="C173" s="116"/>
      <c r="D173" s="116"/>
      <c r="E173" s="116"/>
      <c r="F173" s="116"/>
      <c r="G173" s="116"/>
      <c r="H173" s="116"/>
      <c r="I173" s="113">
        <f t="shared" si="1"/>
        <v>0</v>
      </c>
    </row>
    <row r="174">
      <c r="A174" s="111" t="str">
        <f>IF(B174="","",VLOOKUP(B174,'Mitglieder BBU'!A:K,6,0))</f>
        <v/>
      </c>
      <c r="B174" s="111"/>
      <c r="C174" s="116"/>
      <c r="D174" s="116"/>
      <c r="E174" s="116"/>
      <c r="F174" s="116"/>
      <c r="G174" s="116"/>
      <c r="H174" s="116"/>
      <c r="I174" s="113">
        <f t="shared" si="1"/>
        <v>0</v>
      </c>
    </row>
    <row r="175">
      <c r="A175" s="111" t="str">
        <f>IF(B175="","",VLOOKUP(B175,'Mitglieder BBU'!A:K,6,0))</f>
        <v/>
      </c>
      <c r="B175" s="111"/>
      <c r="C175" s="116"/>
      <c r="D175" s="116"/>
      <c r="E175" s="116"/>
      <c r="F175" s="116"/>
      <c r="G175" s="116"/>
      <c r="H175" s="116"/>
      <c r="I175" s="113">
        <f t="shared" si="1"/>
        <v>0</v>
      </c>
    </row>
    <row r="176">
      <c r="A176" s="111" t="str">
        <f>IF(B176="","",VLOOKUP(B176,'Mitglieder BBU'!A:K,6,0))</f>
        <v/>
      </c>
      <c r="B176" s="111"/>
      <c r="C176" s="116"/>
      <c r="D176" s="116"/>
      <c r="E176" s="116"/>
      <c r="F176" s="116"/>
      <c r="G176" s="116"/>
      <c r="H176" s="116"/>
      <c r="I176" s="113">
        <f t="shared" si="1"/>
        <v>0</v>
      </c>
    </row>
    <row r="177">
      <c r="A177" s="111" t="str">
        <f>IF(B177="","",VLOOKUP(B177,'Mitglieder BBU'!A:K,6,0))</f>
        <v/>
      </c>
      <c r="B177" s="111"/>
      <c r="C177" s="116"/>
      <c r="D177" s="116"/>
      <c r="E177" s="116"/>
      <c r="F177" s="116"/>
      <c r="G177" s="116"/>
      <c r="H177" s="116"/>
      <c r="I177" s="113">
        <f t="shared" si="1"/>
        <v>0</v>
      </c>
    </row>
    <row r="178">
      <c r="A178" s="111" t="str">
        <f>IF(B178="","",VLOOKUP(B178,'Mitglieder BBU'!A:K,6,0))</f>
        <v/>
      </c>
      <c r="B178" s="111"/>
      <c r="C178" s="116"/>
      <c r="D178" s="116"/>
      <c r="E178" s="116"/>
      <c r="F178" s="116"/>
      <c r="G178" s="116"/>
      <c r="H178" s="116"/>
      <c r="I178" s="113">
        <f t="shared" si="1"/>
        <v>0</v>
      </c>
    </row>
    <row r="179">
      <c r="A179" s="111" t="str">
        <f>IF(B179="","",VLOOKUP(B179,'Mitglieder BBU'!A:K,6,0))</f>
        <v/>
      </c>
      <c r="B179" s="111"/>
      <c r="C179" s="116"/>
      <c r="D179" s="116"/>
      <c r="E179" s="116"/>
      <c r="F179" s="116"/>
      <c r="G179" s="116"/>
      <c r="H179" s="116"/>
      <c r="I179" s="113">
        <f t="shared" si="1"/>
        <v>0</v>
      </c>
    </row>
    <row r="180">
      <c r="A180" s="111" t="str">
        <f>IF(B180="","",VLOOKUP(B180,'Mitglieder BBU'!A:K,6,0))</f>
        <v/>
      </c>
      <c r="B180" s="111"/>
      <c r="C180" s="116"/>
      <c r="D180" s="116"/>
      <c r="E180" s="116"/>
      <c r="F180" s="116"/>
      <c r="G180" s="116"/>
      <c r="H180" s="116"/>
      <c r="I180" s="113">
        <f t="shared" si="1"/>
        <v>0</v>
      </c>
    </row>
    <row r="181">
      <c r="A181" s="111" t="str">
        <f>IF(B181="","",VLOOKUP(B181,'Mitglieder BBU'!A:K,6,0))</f>
        <v/>
      </c>
      <c r="B181" s="111"/>
      <c r="C181" s="116"/>
      <c r="D181" s="116"/>
      <c r="E181" s="116"/>
      <c r="F181" s="116"/>
      <c r="G181" s="116"/>
      <c r="H181" s="116"/>
      <c r="I181" s="113">
        <f t="shared" si="1"/>
        <v>0</v>
      </c>
    </row>
    <row r="182">
      <c r="A182" s="111" t="str">
        <f>IF(B182="","",VLOOKUP(B182,'Mitglieder BBU'!A:K,6,0))</f>
        <v/>
      </c>
      <c r="B182" s="111"/>
      <c r="C182" s="116"/>
      <c r="D182" s="116"/>
      <c r="E182" s="116"/>
      <c r="F182" s="116"/>
      <c r="G182" s="116"/>
      <c r="H182" s="116"/>
      <c r="I182" s="113">
        <f t="shared" si="1"/>
        <v>0</v>
      </c>
    </row>
    <row r="183">
      <c r="A183" s="111" t="str">
        <f>IF(B183="","",VLOOKUP(B183,'Mitglieder BBU'!A:K,6,0))</f>
        <v/>
      </c>
      <c r="B183" s="111"/>
      <c r="C183" s="116"/>
      <c r="D183" s="116"/>
      <c r="E183" s="116"/>
      <c r="F183" s="116"/>
      <c r="G183" s="116"/>
      <c r="H183" s="116"/>
      <c r="I183" s="113">
        <f t="shared" si="1"/>
        <v>0</v>
      </c>
    </row>
    <row r="184">
      <c r="A184" s="111" t="str">
        <f>IF(B184="","",VLOOKUP(B184,'Mitglieder BBU'!A:K,6,0))</f>
        <v/>
      </c>
      <c r="B184" s="111"/>
      <c r="C184" s="116"/>
      <c r="D184" s="116"/>
      <c r="E184" s="116"/>
      <c r="F184" s="116"/>
      <c r="G184" s="116"/>
      <c r="H184" s="116"/>
      <c r="I184" s="113">
        <f t="shared" si="1"/>
        <v>0</v>
      </c>
    </row>
    <row r="185">
      <c r="A185" s="111" t="str">
        <f>IF(B185="","",VLOOKUP(B185,'Mitglieder BBU'!A:K,6,0))</f>
        <v/>
      </c>
      <c r="B185" s="111"/>
      <c r="C185" s="116"/>
      <c r="D185" s="116"/>
      <c r="E185" s="116"/>
      <c r="F185" s="116"/>
      <c r="G185" s="116"/>
      <c r="H185" s="116"/>
      <c r="I185" s="113">
        <f t="shared" si="1"/>
        <v>0</v>
      </c>
    </row>
    <row r="186">
      <c r="A186" s="111" t="str">
        <f>IF(B186="","",VLOOKUP(B186,'Mitglieder BBU'!A:K,6,0))</f>
        <v/>
      </c>
      <c r="B186" s="111"/>
      <c r="C186" s="116"/>
      <c r="D186" s="116"/>
      <c r="E186" s="116"/>
      <c r="F186" s="116"/>
      <c r="G186" s="116"/>
      <c r="H186" s="116"/>
      <c r="I186" s="113">
        <f t="shared" si="1"/>
        <v>0</v>
      </c>
    </row>
    <row r="187">
      <c r="A187" s="111" t="str">
        <f>IF(B187="","",VLOOKUP(B187,'Mitglieder BBU'!A:K,6,0))</f>
        <v/>
      </c>
      <c r="B187" s="111"/>
      <c r="C187" s="116"/>
      <c r="D187" s="116"/>
      <c r="E187" s="116"/>
      <c r="F187" s="116"/>
      <c r="G187" s="116"/>
      <c r="H187" s="116"/>
      <c r="I187" s="113">
        <f t="shared" si="1"/>
        <v>0</v>
      </c>
    </row>
    <row r="188">
      <c r="A188" s="111" t="str">
        <f>IF(B188="","",VLOOKUP(B188,'Mitglieder BBU'!A:K,6,0))</f>
        <v/>
      </c>
      <c r="B188" s="111"/>
      <c r="C188" s="116"/>
      <c r="D188" s="116"/>
      <c r="E188" s="116"/>
      <c r="F188" s="116"/>
      <c r="G188" s="116"/>
      <c r="H188" s="116"/>
      <c r="I188" s="113">
        <f t="shared" si="1"/>
        <v>0</v>
      </c>
    </row>
    <row r="189">
      <c r="A189" s="111" t="str">
        <f>IF(B189="","",VLOOKUP(B189,'Mitglieder BBU'!A:K,6,0))</f>
        <v/>
      </c>
      <c r="B189" s="111"/>
      <c r="C189" s="116"/>
      <c r="D189" s="116"/>
      <c r="E189" s="116"/>
      <c r="F189" s="116"/>
      <c r="G189" s="116"/>
      <c r="H189" s="116"/>
      <c r="I189" s="113">
        <f t="shared" si="1"/>
        <v>0</v>
      </c>
    </row>
    <row r="190">
      <c r="A190" s="111" t="str">
        <f>IF(B190="","",VLOOKUP(B190,'Mitglieder BBU'!A:K,6,0))</f>
        <v/>
      </c>
      <c r="B190" s="111"/>
      <c r="C190" s="116"/>
      <c r="D190" s="116"/>
      <c r="E190" s="116"/>
      <c r="F190" s="116"/>
      <c r="G190" s="116"/>
      <c r="H190" s="116"/>
      <c r="I190" s="113">
        <f t="shared" si="1"/>
        <v>0</v>
      </c>
    </row>
    <row r="191">
      <c r="A191" s="111" t="str">
        <f>IF(B191="","",VLOOKUP(B191,'Mitglieder BBU'!A:K,6,0))</f>
        <v/>
      </c>
      <c r="B191" s="111"/>
      <c r="C191" s="116"/>
      <c r="D191" s="116"/>
      <c r="E191" s="116"/>
      <c r="F191" s="116"/>
      <c r="G191" s="116"/>
      <c r="H191" s="116"/>
      <c r="I191" s="113">
        <f t="shared" si="1"/>
        <v>0</v>
      </c>
    </row>
    <row r="192">
      <c r="A192" s="111" t="str">
        <f>IF(B192="","",VLOOKUP(B192,'Mitglieder BBU'!A:K,6,0))</f>
        <v/>
      </c>
      <c r="B192" s="111"/>
      <c r="C192" s="116"/>
      <c r="D192" s="116"/>
      <c r="E192" s="116"/>
      <c r="F192" s="116"/>
      <c r="G192" s="116"/>
      <c r="H192" s="116"/>
      <c r="I192" s="113">
        <f t="shared" si="1"/>
        <v>0</v>
      </c>
    </row>
    <row r="193">
      <c r="A193" s="111" t="str">
        <f>IF(B193="","",VLOOKUP(B193,'Mitglieder BBU'!A:K,6,0))</f>
        <v/>
      </c>
      <c r="B193" s="111"/>
      <c r="C193" s="116"/>
      <c r="D193" s="116"/>
      <c r="E193" s="116"/>
      <c r="F193" s="116"/>
      <c r="G193" s="116"/>
      <c r="H193" s="116"/>
      <c r="I193" s="113">
        <f t="shared" si="1"/>
        <v>0</v>
      </c>
    </row>
    <row r="194">
      <c r="A194" s="111" t="str">
        <f>IF(B194="","",VLOOKUP(B194,'Mitglieder BBU'!A:K,6,0))</f>
        <v/>
      </c>
      <c r="B194" s="111"/>
      <c r="C194" s="116"/>
      <c r="D194" s="116"/>
      <c r="E194" s="116"/>
      <c r="F194" s="116"/>
      <c r="G194" s="116"/>
      <c r="H194" s="116"/>
      <c r="I194" s="113">
        <f t="shared" si="1"/>
        <v>0</v>
      </c>
    </row>
    <row r="195">
      <c r="A195" s="111" t="str">
        <f>IF(B195="","",VLOOKUP(B195,'Mitglieder BBU'!A:K,6,0))</f>
        <v/>
      </c>
      <c r="B195" s="111"/>
      <c r="C195" s="116"/>
      <c r="D195" s="116"/>
      <c r="E195" s="116"/>
      <c r="F195" s="116"/>
      <c r="G195" s="116"/>
      <c r="H195" s="116"/>
      <c r="I195" s="113">
        <f t="shared" si="1"/>
        <v>0</v>
      </c>
    </row>
    <row r="196">
      <c r="A196" s="111" t="str">
        <f>IF(B196="","",VLOOKUP(B196,'Mitglieder BBU'!A:K,6,0))</f>
        <v/>
      </c>
      <c r="B196" s="111"/>
      <c r="C196" s="116"/>
      <c r="D196" s="116"/>
      <c r="E196" s="116"/>
      <c r="F196" s="116"/>
      <c r="G196" s="116"/>
      <c r="H196" s="116"/>
      <c r="I196" s="113">
        <f t="shared" si="1"/>
        <v>0</v>
      </c>
    </row>
    <row r="197">
      <c r="A197" s="111" t="str">
        <f>IF(B197="","",VLOOKUP(B197,'Mitglieder BBU'!A:K,6,0))</f>
        <v/>
      </c>
      <c r="B197" s="111"/>
      <c r="C197" s="116"/>
      <c r="D197" s="116"/>
      <c r="E197" s="116"/>
      <c r="F197" s="116"/>
      <c r="G197" s="116"/>
      <c r="H197" s="116"/>
      <c r="I197" s="113">
        <f t="shared" si="1"/>
        <v>0</v>
      </c>
    </row>
    <row r="198">
      <c r="A198" s="111" t="str">
        <f>IF(B198="","",VLOOKUP(B198,'Mitglieder BBU'!A:K,6,0))</f>
        <v/>
      </c>
      <c r="B198" s="111"/>
      <c r="C198" s="116"/>
      <c r="D198" s="116"/>
      <c r="E198" s="116"/>
      <c r="F198" s="116"/>
      <c r="G198" s="116"/>
      <c r="H198" s="116"/>
      <c r="I198" s="113">
        <f t="shared" si="1"/>
        <v>0</v>
      </c>
    </row>
    <row r="199">
      <c r="A199" s="111" t="str">
        <f>IF(B199="","",VLOOKUP(B199,'Mitglieder BBU'!A:K,6,0))</f>
        <v/>
      </c>
      <c r="B199" s="111"/>
      <c r="C199" s="116"/>
      <c r="D199" s="116"/>
      <c r="E199" s="116"/>
      <c r="F199" s="116"/>
      <c r="G199" s="116"/>
      <c r="H199" s="116"/>
      <c r="I199" s="113">
        <f t="shared" si="1"/>
        <v>0</v>
      </c>
    </row>
    <row r="200">
      <c r="A200" s="111" t="str">
        <f>IF(B200="","",VLOOKUP(B200,'Mitglieder BBU'!A:K,6,0))</f>
        <v/>
      </c>
      <c r="B200" s="111"/>
      <c r="C200" s="116"/>
      <c r="D200" s="116"/>
      <c r="E200" s="116"/>
      <c r="F200" s="116"/>
      <c r="G200" s="116"/>
      <c r="H200" s="116"/>
      <c r="I200" s="113">
        <f t="shared" si="1"/>
        <v>0</v>
      </c>
    </row>
    <row r="201">
      <c r="A201" s="111" t="str">
        <f>IF(B201="","",VLOOKUP(B201,'Mitglieder BBU'!A:K,6,0))</f>
        <v/>
      </c>
      <c r="B201" s="111"/>
      <c r="C201" s="116"/>
      <c r="D201" s="116"/>
      <c r="E201" s="116"/>
      <c r="F201" s="116"/>
      <c r="G201" s="116"/>
      <c r="H201" s="116"/>
      <c r="I201" s="113">
        <f t="shared" si="1"/>
        <v>0</v>
      </c>
    </row>
    <row r="202">
      <c r="A202" s="111" t="str">
        <f>IF(B202="","",VLOOKUP(B202,'Mitglieder BBU'!A:K,6,0))</f>
        <v/>
      </c>
      <c r="B202" s="111"/>
      <c r="C202" s="116"/>
      <c r="D202" s="116"/>
      <c r="E202" s="116"/>
      <c r="F202" s="116"/>
      <c r="G202" s="116"/>
      <c r="H202" s="116"/>
      <c r="I202" s="113">
        <f t="shared" si="1"/>
        <v>0</v>
      </c>
    </row>
    <row r="203">
      <c r="A203" s="111" t="str">
        <f>IF(B203="","",VLOOKUP(B203,'Mitglieder BBU'!A:K,6,0))</f>
        <v/>
      </c>
      <c r="B203" s="118"/>
      <c r="C203" s="116"/>
      <c r="D203" s="116"/>
      <c r="E203" s="116"/>
      <c r="F203" s="116"/>
      <c r="G203" s="116"/>
      <c r="H203" s="116"/>
      <c r="I203" s="113">
        <f t="shared" si="1"/>
        <v>0</v>
      </c>
    </row>
    <row r="204">
      <c r="A204" s="111" t="str">
        <f>IF(B204="","",VLOOKUP(B204,'Mitglieder BBU'!A:K,6,0))</f>
        <v/>
      </c>
      <c r="B204" s="118"/>
      <c r="C204" s="116"/>
      <c r="D204" s="116"/>
      <c r="E204" s="116"/>
      <c r="F204" s="116"/>
      <c r="G204" s="116"/>
      <c r="H204" s="116"/>
      <c r="I204" s="113">
        <f t="shared" si="1"/>
        <v>0</v>
      </c>
    </row>
    <row r="205">
      <c r="A205" s="111" t="str">
        <f>IF(B205="","",VLOOKUP(B205,'Mitglieder BBU'!A:K,6,0))</f>
        <v/>
      </c>
      <c r="B205" s="118"/>
      <c r="C205" s="116"/>
      <c r="D205" s="116"/>
      <c r="E205" s="116"/>
      <c r="F205" s="116"/>
      <c r="G205" s="116"/>
      <c r="H205" s="116"/>
      <c r="I205" s="113">
        <f t="shared" si="1"/>
        <v>0</v>
      </c>
    </row>
    <row r="206">
      <c r="A206" s="111" t="str">
        <f>IF(B206="","",VLOOKUP(B206,'Mitglieder BBU'!A:K,6,0))</f>
        <v/>
      </c>
      <c r="B206" s="118"/>
      <c r="C206" s="116"/>
      <c r="D206" s="116"/>
      <c r="E206" s="116"/>
      <c r="F206" s="116"/>
      <c r="G206" s="116"/>
      <c r="H206" s="116"/>
      <c r="I206" s="113">
        <f t="shared" si="1"/>
        <v>0</v>
      </c>
    </row>
    <row r="207">
      <c r="A207" s="111" t="str">
        <f>IF(B207="","",VLOOKUP(B207,'Mitglieder BBU'!A:K,6,0))</f>
        <v/>
      </c>
      <c r="B207" s="118"/>
      <c r="C207" s="116"/>
      <c r="D207" s="116"/>
      <c r="E207" s="116"/>
      <c r="F207" s="116"/>
      <c r="G207" s="116"/>
      <c r="H207" s="116"/>
      <c r="I207" s="113">
        <f t="shared" si="1"/>
        <v>0</v>
      </c>
      <c r="J207" s="11"/>
      <c r="K207" s="11"/>
      <c r="L207" s="11"/>
      <c r="M207" s="11"/>
      <c r="N207" s="11"/>
      <c r="O207" s="11"/>
      <c r="P207" s="11"/>
      <c r="Q207" s="11"/>
      <c r="R207" s="11"/>
      <c r="S207" s="11"/>
      <c r="T207" s="11"/>
      <c r="U207" s="11"/>
      <c r="V207" s="11"/>
      <c r="W207" s="11"/>
      <c r="X207" s="11"/>
      <c r="Y207" s="11"/>
      <c r="Z207" s="11"/>
    </row>
    <row r="208">
      <c r="A208" s="111" t="str">
        <f>IF(B208="","",VLOOKUP(B208,'Mitglieder BBU'!A:K,6,0))</f>
        <v/>
      </c>
      <c r="B208" s="118"/>
      <c r="C208" s="116"/>
      <c r="D208" s="116"/>
      <c r="E208" s="116"/>
      <c r="F208" s="116"/>
      <c r="G208" s="116"/>
      <c r="H208" s="116"/>
      <c r="I208" s="113">
        <f t="shared" si="1"/>
        <v>0</v>
      </c>
      <c r="J208" s="11"/>
      <c r="K208" s="11"/>
      <c r="L208" s="11"/>
      <c r="M208" s="11"/>
      <c r="N208" s="11"/>
      <c r="O208" s="11"/>
      <c r="P208" s="11"/>
      <c r="Q208" s="11"/>
      <c r="R208" s="11"/>
      <c r="S208" s="11"/>
      <c r="T208" s="11"/>
      <c r="U208" s="11"/>
      <c r="V208" s="11"/>
      <c r="W208" s="11"/>
      <c r="X208" s="11"/>
      <c r="Y208" s="11"/>
      <c r="Z208" s="11"/>
    </row>
    <row r="209">
      <c r="A209" s="111" t="str">
        <f>IF(B209="","",VLOOKUP(B209,'Mitglieder BBU'!A:K,6,0))</f>
        <v/>
      </c>
      <c r="B209" s="118"/>
      <c r="C209" s="116"/>
      <c r="D209" s="116"/>
      <c r="E209" s="116"/>
      <c r="F209" s="116"/>
      <c r="G209" s="116"/>
      <c r="H209" s="116"/>
      <c r="I209" s="113">
        <f t="shared" si="1"/>
        <v>0</v>
      </c>
      <c r="J209" s="11"/>
      <c r="K209" s="11"/>
      <c r="L209" s="11"/>
      <c r="M209" s="11"/>
      <c r="N209" s="11"/>
      <c r="O209" s="11"/>
      <c r="P209" s="11"/>
      <c r="Q209" s="11"/>
      <c r="R209" s="11"/>
      <c r="S209" s="11"/>
      <c r="T209" s="11"/>
      <c r="U209" s="11"/>
      <c r="V209" s="11"/>
      <c r="W209" s="11"/>
      <c r="X209" s="11"/>
      <c r="Y209" s="11"/>
      <c r="Z209" s="11"/>
    </row>
    <row r="210">
      <c r="A210" s="111" t="str">
        <f>IF(B210="","",VLOOKUP(B210,'Mitglieder BBU'!A:K,6,0))</f>
        <v/>
      </c>
      <c r="B210" s="118"/>
      <c r="C210" s="116"/>
      <c r="D210" s="116"/>
      <c r="E210" s="116"/>
      <c r="F210" s="116"/>
      <c r="G210" s="116"/>
      <c r="H210" s="116"/>
      <c r="I210" s="113">
        <f t="shared" si="1"/>
        <v>0</v>
      </c>
      <c r="J210" s="11"/>
      <c r="K210" s="11"/>
      <c r="L210" s="11"/>
      <c r="M210" s="11"/>
      <c r="N210" s="11"/>
      <c r="O210" s="11"/>
      <c r="P210" s="11"/>
      <c r="Q210" s="11"/>
      <c r="R210" s="11"/>
      <c r="S210" s="11"/>
      <c r="T210" s="11"/>
      <c r="U210" s="11"/>
      <c r="V210" s="11"/>
      <c r="W210" s="11"/>
      <c r="X210" s="11"/>
      <c r="Y210" s="11"/>
      <c r="Z210" s="11"/>
    </row>
    <row r="211">
      <c r="A211" s="111" t="str">
        <f>IF(B211="","",VLOOKUP(B211,'Mitglieder BBU'!A:K,6,0))</f>
        <v/>
      </c>
      <c r="B211" s="118"/>
      <c r="C211" s="116"/>
      <c r="D211" s="116"/>
      <c r="E211" s="116"/>
      <c r="F211" s="116"/>
      <c r="G211" s="116"/>
      <c r="H211" s="116"/>
      <c r="I211" s="113">
        <f t="shared" si="1"/>
        <v>0</v>
      </c>
      <c r="J211" s="11"/>
      <c r="K211" s="11"/>
      <c r="L211" s="11"/>
      <c r="M211" s="11"/>
      <c r="N211" s="11"/>
      <c r="O211" s="11"/>
      <c r="P211" s="11"/>
      <c r="Q211" s="11"/>
      <c r="R211" s="11"/>
      <c r="S211" s="11"/>
      <c r="T211" s="11"/>
      <c r="U211" s="11"/>
      <c r="V211" s="11"/>
      <c r="W211" s="11"/>
      <c r="X211" s="11"/>
      <c r="Y211" s="11"/>
      <c r="Z211" s="11"/>
    </row>
    <row r="212">
      <c r="A212" s="111" t="str">
        <f>IF(B212="","",VLOOKUP(B212,'Mitglieder BBU'!A:K,6,0))</f>
        <v/>
      </c>
      <c r="B212" s="118"/>
      <c r="C212" s="116"/>
      <c r="D212" s="116"/>
      <c r="E212" s="116"/>
      <c r="F212" s="116"/>
      <c r="G212" s="116"/>
      <c r="H212" s="116"/>
      <c r="I212" s="113">
        <f t="shared" si="1"/>
        <v>0</v>
      </c>
      <c r="J212" s="11"/>
      <c r="K212" s="11"/>
      <c r="L212" s="11"/>
      <c r="M212" s="11"/>
      <c r="N212" s="11"/>
      <c r="O212" s="11"/>
      <c r="P212" s="11"/>
      <c r="Q212" s="11"/>
      <c r="R212" s="11"/>
      <c r="S212" s="11"/>
      <c r="T212" s="11"/>
      <c r="U212" s="11"/>
      <c r="V212" s="11"/>
      <c r="W212" s="11"/>
      <c r="X212" s="11"/>
      <c r="Y212" s="11"/>
      <c r="Z212" s="11"/>
    </row>
    <row r="213">
      <c r="A213" s="111" t="str">
        <f>IF(B213="","",VLOOKUP(B213,'Mitglieder BBU'!A:K,6,0))</f>
        <v/>
      </c>
      <c r="B213" s="118"/>
      <c r="C213" s="116"/>
      <c r="D213" s="116"/>
      <c r="E213" s="116"/>
      <c r="F213" s="116"/>
      <c r="G213" s="116"/>
      <c r="H213" s="116"/>
      <c r="I213" s="113">
        <f t="shared" si="1"/>
        <v>0</v>
      </c>
      <c r="J213" s="11"/>
      <c r="K213" s="11"/>
      <c r="L213" s="11"/>
      <c r="M213" s="11"/>
      <c r="N213" s="11"/>
      <c r="O213" s="11"/>
      <c r="P213" s="11"/>
      <c r="Q213" s="11"/>
      <c r="R213" s="11"/>
      <c r="S213" s="11"/>
      <c r="T213" s="11"/>
      <c r="U213" s="11"/>
      <c r="V213" s="11"/>
      <c r="W213" s="11"/>
      <c r="X213" s="11"/>
      <c r="Y213" s="11"/>
      <c r="Z213" s="11"/>
    </row>
    <row r="214">
      <c r="A214" s="111" t="str">
        <f>IF(B214="","",VLOOKUP(B214,'Mitglieder BBU'!A:K,6,0))</f>
        <v/>
      </c>
      <c r="B214" s="118"/>
      <c r="C214" s="116"/>
      <c r="D214" s="116"/>
      <c r="E214" s="116"/>
      <c r="F214" s="116"/>
      <c r="G214" s="116"/>
      <c r="H214" s="116"/>
      <c r="I214" s="113">
        <f t="shared" si="1"/>
        <v>0</v>
      </c>
      <c r="J214" s="11"/>
      <c r="K214" s="11"/>
      <c r="L214" s="11"/>
      <c r="M214" s="11"/>
      <c r="N214" s="11"/>
      <c r="O214" s="11"/>
      <c r="P214" s="11"/>
      <c r="Q214" s="11"/>
      <c r="R214" s="11"/>
      <c r="S214" s="11"/>
      <c r="T214" s="11"/>
      <c r="U214" s="11"/>
      <c r="V214" s="11"/>
      <c r="W214" s="11"/>
      <c r="X214" s="11"/>
      <c r="Y214" s="11"/>
      <c r="Z214" s="11"/>
    </row>
    <row r="215">
      <c r="A215" s="111" t="str">
        <f>IF(B215="","",VLOOKUP(B215,'Mitglieder BBU'!A:K,6,0))</f>
        <v/>
      </c>
      <c r="B215" s="118"/>
      <c r="C215" s="116"/>
      <c r="D215" s="116"/>
      <c r="E215" s="116"/>
      <c r="F215" s="116"/>
      <c r="G215" s="116"/>
      <c r="H215" s="116"/>
      <c r="I215" s="113">
        <f t="shared" si="1"/>
        <v>0</v>
      </c>
      <c r="J215" s="11"/>
      <c r="K215" s="11"/>
      <c r="L215" s="11"/>
      <c r="M215" s="11"/>
      <c r="N215" s="11"/>
      <c r="O215" s="11"/>
      <c r="P215" s="11"/>
      <c r="Q215" s="11"/>
      <c r="R215" s="11"/>
      <c r="S215" s="11"/>
      <c r="T215" s="11"/>
      <c r="U215" s="11"/>
      <c r="V215" s="11"/>
      <c r="W215" s="11"/>
      <c r="X215" s="11"/>
      <c r="Y215" s="11"/>
      <c r="Z215" s="11"/>
    </row>
    <row r="216">
      <c r="A216" s="111" t="str">
        <f>IF(B216="","",VLOOKUP(B216,'Mitglieder BBU'!A:K,6,0))</f>
        <v/>
      </c>
      <c r="B216" s="118"/>
      <c r="C216" s="116"/>
      <c r="D216" s="116"/>
      <c r="E216" s="116"/>
      <c r="F216" s="116"/>
      <c r="G216" s="116"/>
      <c r="H216" s="116"/>
      <c r="I216" s="113">
        <f t="shared" si="1"/>
        <v>0</v>
      </c>
    </row>
    <row r="217">
      <c r="A217" s="111" t="str">
        <f>IF(B217="","",VLOOKUP(B217,'Mitglieder BBU'!A:K,6,0))</f>
        <v/>
      </c>
      <c r="B217" s="118"/>
      <c r="C217" s="116"/>
      <c r="D217" s="116"/>
      <c r="E217" s="116"/>
      <c r="F217" s="116"/>
      <c r="G217" s="116"/>
      <c r="H217" s="116"/>
      <c r="I217" s="113">
        <f t="shared" si="1"/>
        <v>0</v>
      </c>
    </row>
    <row r="218">
      <c r="A218" s="111" t="str">
        <f>IF(B218="","",VLOOKUP(B218,'Mitglieder BBU'!A:K,6,0))</f>
        <v/>
      </c>
      <c r="B218" s="118"/>
      <c r="C218" s="116"/>
      <c r="D218" s="116"/>
      <c r="E218" s="116"/>
      <c r="F218" s="116"/>
      <c r="G218" s="116"/>
      <c r="H218" s="116"/>
      <c r="I218" s="113">
        <f t="shared" si="1"/>
        <v>0</v>
      </c>
    </row>
    <row r="219">
      <c r="A219" s="111" t="str">
        <f>IF(B219="","",VLOOKUP(B219,'Mitglieder BBU'!A:K,6,0))</f>
        <v/>
      </c>
      <c r="B219" s="118"/>
      <c r="C219" s="116"/>
      <c r="D219" s="116"/>
      <c r="E219" s="116"/>
      <c r="F219" s="116"/>
      <c r="G219" s="116"/>
      <c r="H219" s="116"/>
      <c r="I219" s="113">
        <f t="shared" si="1"/>
        <v>0</v>
      </c>
    </row>
    <row r="220">
      <c r="A220" s="111" t="str">
        <f>IF(B220="","",VLOOKUP(B220,'Mitglieder BBU'!A:K,6,0))</f>
        <v/>
      </c>
      <c r="B220" s="118"/>
      <c r="C220" s="116"/>
      <c r="D220" s="116"/>
      <c r="E220" s="116"/>
      <c r="F220" s="116"/>
      <c r="G220" s="116"/>
      <c r="H220" s="116"/>
      <c r="I220" s="113">
        <f t="shared" si="1"/>
        <v>0</v>
      </c>
    </row>
    <row r="221">
      <c r="A221" s="111" t="str">
        <f>IF(B221="","",VLOOKUP(B221,'Mitglieder BBU'!A:K,6,0))</f>
        <v/>
      </c>
      <c r="B221" s="118"/>
      <c r="C221" s="116"/>
      <c r="D221" s="116"/>
      <c r="E221" s="116"/>
      <c r="F221" s="116"/>
      <c r="G221" s="116"/>
      <c r="H221" s="116"/>
      <c r="I221" s="113">
        <f t="shared" si="1"/>
        <v>0</v>
      </c>
    </row>
    <row r="222">
      <c r="A222" s="111" t="str">
        <f>IF(B222="","",VLOOKUP(B222,'Mitglieder BBU'!A:K,6,0))</f>
        <v/>
      </c>
      <c r="B222" s="118"/>
      <c r="C222" s="116"/>
      <c r="D222" s="116"/>
      <c r="E222" s="116"/>
      <c r="F222" s="116"/>
      <c r="G222" s="116"/>
      <c r="H222" s="116"/>
      <c r="I222" s="113">
        <f t="shared" si="1"/>
        <v>0</v>
      </c>
    </row>
    <row r="223">
      <c r="A223" s="111" t="str">
        <f>IF(B223="","",VLOOKUP(B223,'Mitglieder BBU'!A:K,6,0))</f>
        <v/>
      </c>
      <c r="B223" s="118"/>
      <c r="C223" s="116"/>
      <c r="D223" s="116"/>
      <c r="E223" s="116"/>
      <c r="F223" s="116"/>
      <c r="G223" s="116"/>
      <c r="H223" s="116"/>
      <c r="I223" s="113">
        <f t="shared" si="1"/>
        <v>0</v>
      </c>
    </row>
    <row r="224">
      <c r="A224" s="111" t="str">
        <f>IF(B224="","",VLOOKUP(B224,'Mitglieder BBU'!A:K,6,0))</f>
        <v/>
      </c>
      <c r="B224" s="118"/>
      <c r="C224" s="116"/>
      <c r="D224" s="116"/>
      <c r="E224" s="116"/>
      <c r="F224" s="116"/>
      <c r="G224" s="116"/>
      <c r="H224" s="116"/>
      <c r="I224" s="113">
        <f t="shared" si="1"/>
        <v>0</v>
      </c>
    </row>
    <row r="225">
      <c r="A225" s="111" t="str">
        <f>IF(B225="","",VLOOKUP(B225,'Mitglieder BBU'!A:K,6,0))</f>
        <v/>
      </c>
      <c r="B225" s="118"/>
      <c r="C225" s="116"/>
      <c r="D225" s="116"/>
      <c r="E225" s="116"/>
      <c r="F225" s="116"/>
      <c r="G225" s="116"/>
      <c r="H225" s="116"/>
      <c r="I225" s="113">
        <f t="shared" si="1"/>
        <v>0</v>
      </c>
    </row>
    <row r="226">
      <c r="A226" s="111" t="str">
        <f>IF(B226="","",VLOOKUP(B226,'Mitglieder BBU'!A:K,6,0))</f>
        <v/>
      </c>
      <c r="B226" s="118"/>
      <c r="C226" s="116"/>
      <c r="D226" s="116"/>
      <c r="E226" s="116"/>
      <c r="F226" s="116"/>
      <c r="G226" s="116"/>
      <c r="H226" s="116"/>
      <c r="I226" s="113">
        <f t="shared" si="1"/>
        <v>0</v>
      </c>
    </row>
    <row r="227">
      <c r="A227" s="111" t="str">
        <f>IF(B227="","",VLOOKUP(B227,'Mitglieder BBU'!A:K,6,0))</f>
        <v/>
      </c>
      <c r="B227" s="118"/>
      <c r="C227" s="116"/>
      <c r="D227" s="116"/>
      <c r="E227" s="116"/>
      <c r="F227" s="116"/>
      <c r="G227" s="116"/>
      <c r="H227" s="116"/>
      <c r="I227" s="113">
        <f t="shared" si="1"/>
        <v>0</v>
      </c>
    </row>
    <row r="228">
      <c r="A228" s="111" t="str">
        <f>IF(B228="","",VLOOKUP(B228,'Mitglieder BBU'!A:K,6,0))</f>
        <v/>
      </c>
      <c r="B228" s="118"/>
      <c r="C228" s="116"/>
      <c r="D228" s="116"/>
      <c r="E228" s="116"/>
      <c r="F228" s="116"/>
      <c r="G228" s="116"/>
      <c r="H228" s="116"/>
      <c r="I228" s="113">
        <f t="shared" si="1"/>
        <v>0</v>
      </c>
    </row>
    <row r="229">
      <c r="A229" s="111" t="str">
        <f>IF(B229="","",VLOOKUP(B229,'Mitglieder BBU'!A:K,6,0))</f>
        <v/>
      </c>
      <c r="B229" s="118"/>
      <c r="C229" s="116"/>
      <c r="D229" s="116"/>
      <c r="E229" s="116"/>
      <c r="F229" s="116"/>
      <c r="G229" s="116"/>
      <c r="H229" s="116"/>
      <c r="I229" s="113">
        <f t="shared" si="1"/>
        <v>0</v>
      </c>
    </row>
    <row r="230">
      <c r="A230" s="111" t="str">
        <f>IF(B230="","",VLOOKUP(B230,'Mitglieder BBU'!A:K,6,0))</f>
        <v/>
      </c>
      <c r="B230" s="118"/>
      <c r="C230" s="116"/>
      <c r="D230" s="116"/>
      <c r="E230" s="116"/>
      <c r="F230" s="116"/>
      <c r="G230" s="116"/>
      <c r="H230" s="116"/>
      <c r="I230" s="113">
        <f t="shared" si="1"/>
        <v>0</v>
      </c>
    </row>
    <row r="231">
      <c r="A231" s="111" t="str">
        <f>IF(B231="","",VLOOKUP(B231,'Mitglieder BBU'!A:K,6,0))</f>
        <v/>
      </c>
      <c r="B231" s="118"/>
      <c r="C231" s="116"/>
      <c r="D231" s="116"/>
      <c r="E231" s="116"/>
      <c r="F231" s="116"/>
      <c r="G231" s="116"/>
      <c r="H231" s="116"/>
      <c r="I231" s="113">
        <f t="shared" si="1"/>
        <v>0</v>
      </c>
    </row>
    <row r="232">
      <c r="A232" s="111" t="str">
        <f>IF(B232="","",VLOOKUP(B232,'Mitglieder BBU'!A:K,6,0))</f>
        <v/>
      </c>
      <c r="B232" s="118"/>
      <c r="C232" s="116"/>
      <c r="D232" s="116"/>
      <c r="E232" s="116"/>
      <c r="F232" s="116"/>
      <c r="G232" s="116"/>
      <c r="H232" s="116"/>
      <c r="I232" s="113">
        <f t="shared" si="1"/>
        <v>0</v>
      </c>
    </row>
    <row r="233">
      <c r="A233" s="111" t="str">
        <f>IF(B233="","",VLOOKUP(B233,'Mitglieder BBU'!A:K,6,0))</f>
        <v/>
      </c>
      <c r="B233" s="118"/>
      <c r="C233" s="116"/>
      <c r="D233" s="116"/>
      <c r="E233" s="116"/>
      <c r="F233" s="116"/>
      <c r="G233" s="116"/>
      <c r="H233" s="116"/>
      <c r="I233" s="113">
        <f t="shared" si="1"/>
        <v>0</v>
      </c>
    </row>
    <row r="234">
      <c r="A234" s="111" t="str">
        <f>IF(B234="","",VLOOKUP(B234,'Mitglieder BBU'!A:K,6,0))</f>
        <v/>
      </c>
      <c r="B234" s="118"/>
      <c r="C234" s="116"/>
      <c r="D234" s="116"/>
      <c r="E234" s="116"/>
      <c r="F234" s="116"/>
      <c r="G234" s="116"/>
      <c r="H234" s="116"/>
      <c r="I234" s="113">
        <f t="shared" si="1"/>
        <v>0</v>
      </c>
    </row>
    <row r="235">
      <c r="A235" s="111" t="str">
        <f>IF(B235="","",VLOOKUP(B235,'Mitglieder BBU'!A:K,6,0))</f>
        <v/>
      </c>
      <c r="B235" s="118"/>
      <c r="C235" s="116"/>
      <c r="D235" s="116"/>
      <c r="E235" s="116"/>
      <c r="F235" s="116"/>
      <c r="G235" s="116"/>
      <c r="H235" s="116"/>
      <c r="I235" s="113">
        <f t="shared" si="1"/>
        <v>0</v>
      </c>
    </row>
    <row r="236">
      <c r="A236" s="111" t="str">
        <f>IF(B236="","",VLOOKUP(B236,'Mitglieder BBU'!A:K,6,0))</f>
        <v/>
      </c>
      <c r="B236" s="118"/>
      <c r="C236" s="116"/>
      <c r="D236" s="116"/>
      <c r="E236" s="116"/>
      <c r="F236" s="116"/>
      <c r="G236" s="116"/>
      <c r="H236" s="116"/>
      <c r="I236" s="113">
        <f t="shared" si="1"/>
        <v>0</v>
      </c>
    </row>
    <row r="237">
      <c r="A237" s="111" t="str">
        <f>IF(B237="","",VLOOKUP(B237,'Mitglieder BBU'!A:K,6,0))</f>
        <v/>
      </c>
      <c r="B237" s="118"/>
      <c r="C237" s="116"/>
      <c r="D237" s="116"/>
      <c r="E237" s="116"/>
      <c r="F237" s="116"/>
      <c r="G237" s="116"/>
      <c r="H237" s="116"/>
      <c r="I237" s="113">
        <f t="shared" si="1"/>
        <v>0</v>
      </c>
    </row>
    <row r="238">
      <c r="A238" s="111" t="str">
        <f>IF(B238="","",VLOOKUP(B238,'Mitglieder BBU'!A:K,6,0))</f>
        <v/>
      </c>
      <c r="B238" s="118"/>
      <c r="C238" s="116"/>
      <c r="D238" s="116"/>
      <c r="E238" s="116"/>
      <c r="F238" s="116"/>
      <c r="G238" s="116"/>
      <c r="H238" s="116"/>
      <c r="I238" s="113">
        <f t="shared" si="1"/>
        <v>0</v>
      </c>
    </row>
    <row r="239">
      <c r="A239" s="111" t="str">
        <f>IF(B239="","",VLOOKUP(B239,'Mitglieder BBU'!A:K,6,0))</f>
        <v/>
      </c>
      <c r="B239" s="118"/>
      <c r="C239" s="116"/>
      <c r="D239" s="116"/>
      <c r="E239" s="116"/>
      <c r="F239" s="116"/>
      <c r="G239" s="116"/>
      <c r="H239" s="116"/>
      <c r="I239" s="113">
        <f t="shared" si="1"/>
        <v>0</v>
      </c>
    </row>
    <row r="240">
      <c r="A240" s="111" t="str">
        <f>IF(B240="","",VLOOKUP(B240,'Mitglieder BBU'!A:K,6,0))</f>
        <v/>
      </c>
      <c r="B240" s="118"/>
      <c r="C240" s="116"/>
      <c r="D240" s="116"/>
      <c r="E240" s="116"/>
      <c r="F240" s="116"/>
      <c r="G240" s="116"/>
      <c r="H240" s="116"/>
      <c r="I240" s="113">
        <f t="shared" si="1"/>
        <v>0</v>
      </c>
    </row>
    <row r="241">
      <c r="A241" s="111" t="str">
        <f>IF(B241="","",VLOOKUP(B241,'Mitglieder BBU'!A:K,6,0))</f>
        <v/>
      </c>
      <c r="B241" s="118"/>
      <c r="C241" s="116"/>
      <c r="D241" s="116"/>
      <c r="E241" s="116"/>
      <c r="F241" s="116"/>
      <c r="G241" s="116"/>
      <c r="H241" s="116"/>
      <c r="I241" s="113">
        <f t="shared" si="1"/>
        <v>0</v>
      </c>
    </row>
    <row r="242">
      <c r="A242" s="111" t="str">
        <f>IF(B242="","",VLOOKUP(B242,'Mitglieder BBU'!A:K,6,0))</f>
        <v/>
      </c>
      <c r="B242" s="118"/>
      <c r="C242" s="116"/>
      <c r="D242" s="116"/>
      <c r="E242" s="116"/>
      <c r="F242" s="116"/>
      <c r="G242" s="116"/>
      <c r="H242" s="116"/>
      <c r="I242" s="113">
        <f t="shared" si="1"/>
        <v>0</v>
      </c>
    </row>
    <row r="243">
      <c r="A243" s="111" t="str">
        <f>IF(B243="","",VLOOKUP(B243,'Mitglieder BBU'!A:K,6,0))</f>
        <v/>
      </c>
      <c r="B243" s="118"/>
      <c r="C243" s="116"/>
      <c r="D243" s="116"/>
      <c r="E243" s="116"/>
      <c r="F243" s="116"/>
      <c r="G243" s="116"/>
      <c r="H243" s="116"/>
      <c r="I243" s="113">
        <f t="shared" si="1"/>
        <v>0</v>
      </c>
    </row>
    <row r="244">
      <c r="A244" s="111" t="str">
        <f>IF(B244="","",VLOOKUP(B244,'Mitglieder BBU'!A:K,6,0))</f>
        <v/>
      </c>
      <c r="B244" s="118"/>
      <c r="C244" s="116"/>
      <c r="D244" s="116"/>
      <c r="E244" s="116"/>
      <c r="F244" s="116"/>
      <c r="G244" s="116"/>
      <c r="H244" s="116"/>
      <c r="I244" s="113">
        <f t="shared" si="1"/>
        <v>0</v>
      </c>
    </row>
    <row r="245">
      <c r="A245" s="111" t="str">
        <f>IF(B245="","",VLOOKUP(B245,'Mitglieder BBU'!A:K,6,0))</f>
        <v/>
      </c>
      <c r="B245" s="118"/>
      <c r="C245" s="116"/>
      <c r="D245" s="116"/>
      <c r="E245" s="116"/>
      <c r="F245" s="116"/>
      <c r="G245" s="116"/>
      <c r="H245" s="116"/>
      <c r="I245" s="113">
        <f t="shared" si="1"/>
        <v>0</v>
      </c>
    </row>
    <row r="246">
      <c r="A246" s="111" t="str">
        <f>IF(B246="","",VLOOKUP(B246,'Mitglieder BBU'!A:K,6,0))</f>
        <v/>
      </c>
      <c r="B246" s="118"/>
      <c r="C246" s="116"/>
      <c r="D246" s="116"/>
      <c r="E246" s="116"/>
      <c r="F246" s="116"/>
      <c r="G246" s="116"/>
      <c r="H246" s="116"/>
      <c r="I246" s="113">
        <f t="shared" si="1"/>
        <v>0</v>
      </c>
    </row>
    <row r="247">
      <c r="A247" s="111" t="str">
        <f>IF(B247="","",VLOOKUP(B247,'Mitglieder BBU'!A:K,6,0))</f>
        <v/>
      </c>
      <c r="B247" s="118"/>
      <c r="C247" s="116"/>
      <c r="D247" s="116"/>
      <c r="E247" s="116"/>
      <c r="F247" s="116"/>
      <c r="G247" s="116"/>
      <c r="H247" s="116"/>
      <c r="I247" s="113">
        <f t="shared" si="1"/>
        <v>0</v>
      </c>
    </row>
    <row r="248">
      <c r="A248" s="111" t="str">
        <f>IF(B248="","",VLOOKUP(B248,'Mitglieder BBU'!A:K,6,0))</f>
        <v/>
      </c>
      <c r="B248" s="118"/>
      <c r="C248" s="116"/>
      <c r="D248" s="116"/>
      <c r="E248" s="116"/>
      <c r="F248" s="116"/>
      <c r="G248" s="116"/>
      <c r="H248" s="116"/>
      <c r="I248" s="113">
        <f t="shared" si="1"/>
        <v>0</v>
      </c>
    </row>
    <row r="249">
      <c r="A249" s="111" t="str">
        <f>IF(B249="","",VLOOKUP(B249,'Mitglieder BBU'!A:K,6,0))</f>
        <v/>
      </c>
      <c r="B249" s="118"/>
      <c r="C249" s="116"/>
      <c r="D249" s="116"/>
      <c r="E249" s="116"/>
      <c r="F249" s="116"/>
      <c r="G249" s="116"/>
      <c r="H249" s="116"/>
      <c r="I249" s="113">
        <f t="shared" si="1"/>
        <v>0</v>
      </c>
    </row>
    <row r="250">
      <c r="A250" s="111" t="str">
        <f>IF(B250="","",VLOOKUP(B250,'Mitglieder BBU'!A:K,6,0))</f>
        <v/>
      </c>
      <c r="B250" s="118"/>
      <c r="C250" s="116"/>
      <c r="D250" s="116"/>
      <c r="E250" s="116"/>
      <c r="F250" s="116"/>
      <c r="G250" s="116"/>
      <c r="H250" s="116"/>
      <c r="I250" s="113">
        <f t="shared" si="1"/>
        <v>0</v>
      </c>
    </row>
    <row r="251">
      <c r="A251" s="111" t="str">
        <f>IF(B251="","",VLOOKUP(B251,'Mitglieder BBU'!A:K,6,0))</f>
        <v/>
      </c>
      <c r="B251" s="118"/>
      <c r="C251" s="116"/>
      <c r="D251" s="116"/>
      <c r="E251" s="116"/>
      <c r="F251" s="116"/>
      <c r="G251" s="116"/>
      <c r="H251" s="116"/>
      <c r="I251" s="113">
        <f t="shared" si="1"/>
        <v>0</v>
      </c>
    </row>
    <row r="252">
      <c r="A252" s="111" t="str">
        <f>IF(B252="","",VLOOKUP(B252,'Mitglieder BBU'!A:K,6,0))</f>
        <v/>
      </c>
      <c r="B252" s="118"/>
      <c r="C252" s="116"/>
      <c r="D252" s="116"/>
      <c r="E252" s="116"/>
      <c r="F252" s="116"/>
      <c r="G252" s="116"/>
      <c r="H252" s="116"/>
      <c r="I252" s="113">
        <f t="shared" si="1"/>
        <v>0</v>
      </c>
    </row>
    <row r="253">
      <c r="A253" s="111" t="str">
        <f>IF(B253="","",VLOOKUP(B253,'Mitglieder BBU'!A:K,6,0))</f>
        <v/>
      </c>
      <c r="B253" s="118"/>
      <c r="C253" s="116"/>
      <c r="D253" s="116"/>
      <c r="E253" s="116"/>
      <c r="F253" s="116"/>
      <c r="G253" s="116"/>
      <c r="H253" s="116"/>
      <c r="I253" s="113">
        <f t="shared" si="1"/>
        <v>0</v>
      </c>
    </row>
    <row r="254">
      <c r="A254" s="111" t="str">
        <f>IF(B254="","",VLOOKUP(B254,'Mitglieder BBU'!A:K,6,0))</f>
        <v/>
      </c>
      <c r="B254" s="118"/>
      <c r="C254" s="116"/>
      <c r="D254" s="116"/>
      <c r="E254" s="116"/>
      <c r="F254" s="116"/>
      <c r="G254" s="116"/>
      <c r="H254" s="116"/>
      <c r="I254" s="113">
        <f t="shared" si="1"/>
        <v>0</v>
      </c>
    </row>
    <row r="255">
      <c r="A255" s="111" t="str">
        <f>IF(B255="","",VLOOKUP(B255,'Mitglieder BBU'!A:K,6,0))</f>
        <v/>
      </c>
      <c r="B255" s="118"/>
      <c r="C255" s="116"/>
      <c r="D255" s="116"/>
      <c r="E255" s="116"/>
      <c r="F255" s="116"/>
      <c r="G255" s="116"/>
      <c r="H255" s="116"/>
      <c r="I255" s="113">
        <f t="shared" si="1"/>
        <v>0</v>
      </c>
    </row>
    <row r="256">
      <c r="A256" s="111" t="str">
        <f>IF(B256="","",VLOOKUP(B256,'Mitglieder BBU'!A:K,6,0))</f>
        <v/>
      </c>
      <c r="B256" s="118"/>
      <c r="C256" s="116"/>
      <c r="D256" s="116"/>
      <c r="E256" s="116"/>
      <c r="F256" s="116"/>
      <c r="G256" s="116"/>
      <c r="H256" s="116"/>
      <c r="I256" s="113">
        <f t="shared" si="1"/>
        <v>0</v>
      </c>
    </row>
    <row r="257">
      <c r="A257" s="111" t="str">
        <f>IF(B257="","",VLOOKUP(B257,'Mitglieder BBU'!A:K,6,0))</f>
        <v/>
      </c>
      <c r="B257" s="118"/>
      <c r="C257" s="116"/>
      <c r="D257" s="116"/>
      <c r="E257" s="116"/>
      <c r="F257" s="116"/>
      <c r="G257" s="116"/>
      <c r="H257" s="116"/>
      <c r="I257" s="113">
        <f t="shared" si="1"/>
        <v>0</v>
      </c>
    </row>
    <row r="258">
      <c r="A258" s="111" t="str">
        <f>IF(B258="","",VLOOKUP(B258,'Mitglieder BBU'!A:K,6,0))</f>
        <v/>
      </c>
      <c r="B258" s="118"/>
      <c r="C258" s="116"/>
      <c r="D258" s="116"/>
      <c r="E258" s="116"/>
      <c r="F258" s="116"/>
      <c r="G258" s="116"/>
      <c r="H258" s="116"/>
      <c r="I258" s="113">
        <f t="shared" si="1"/>
        <v>0</v>
      </c>
    </row>
    <row r="259">
      <c r="A259" s="111" t="str">
        <f>IF(B259="","",VLOOKUP(B259,'Mitglieder BBU'!A:K,6,0))</f>
        <v/>
      </c>
      <c r="B259" s="118"/>
      <c r="C259" s="116"/>
      <c r="D259" s="116"/>
      <c r="E259" s="116"/>
      <c r="F259" s="116"/>
      <c r="G259" s="116"/>
      <c r="H259" s="116"/>
      <c r="I259" s="113">
        <f t="shared" si="1"/>
        <v>0</v>
      </c>
    </row>
    <row r="260">
      <c r="A260" s="111" t="str">
        <f>IF(B260="","",VLOOKUP(B260,'Mitglieder BBU'!A:K,6,0))</f>
        <v/>
      </c>
      <c r="B260" s="118"/>
      <c r="C260" s="116"/>
      <c r="D260" s="116"/>
      <c r="E260" s="116"/>
      <c r="F260" s="116"/>
      <c r="G260" s="116"/>
      <c r="H260" s="116"/>
      <c r="I260" s="113">
        <f t="shared" si="1"/>
        <v>0</v>
      </c>
    </row>
    <row r="261">
      <c r="A261" s="111" t="str">
        <f>IF(B261="","",VLOOKUP(B261,'Mitglieder BBU'!A:K,6,0))</f>
        <v/>
      </c>
      <c r="B261" s="118"/>
      <c r="C261" s="116"/>
      <c r="D261" s="116"/>
      <c r="E261" s="116"/>
      <c r="F261" s="116"/>
      <c r="G261" s="116"/>
      <c r="H261" s="116"/>
      <c r="I261" s="113">
        <f t="shared" si="1"/>
        <v>0</v>
      </c>
    </row>
    <row r="262">
      <c r="A262" s="111" t="str">
        <f>IF(B262="","",VLOOKUP(B262,'Mitglieder BBU'!A:K,6,0))</f>
        <v/>
      </c>
      <c r="B262" s="118"/>
      <c r="C262" s="116"/>
      <c r="D262" s="116"/>
      <c r="E262" s="116"/>
      <c r="F262" s="116"/>
      <c r="G262" s="116"/>
      <c r="H262" s="116"/>
      <c r="I262" s="113">
        <f t="shared" si="1"/>
        <v>0</v>
      </c>
    </row>
    <row r="263">
      <c r="A263" s="111" t="str">
        <f>IF(B263="","",VLOOKUP(B263,'Mitglieder BBU'!A:K,6,0))</f>
        <v/>
      </c>
      <c r="B263" s="118"/>
      <c r="C263" s="116"/>
      <c r="D263" s="116"/>
      <c r="E263" s="116"/>
      <c r="F263" s="116"/>
      <c r="G263" s="116"/>
      <c r="H263" s="116"/>
      <c r="I263" s="113">
        <f t="shared" si="1"/>
        <v>0</v>
      </c>
    </row>
    <row r="264">
      <c r="A264" s="111" t="str">
        <f>IF(B264="","",VLOOKUP(B264,'Mitglieder BBU'!A:K,6,0))</f>
        <v/>
      </c>
      <c r="B264" s="118"/>
      <c r="C264" s="116"/>
      <c r="D264" s="116"/>
      <c r="E264" s="116"/>
      <c r="F264" s="116"/>
      <c r="G264" s="116"/>
      <c r="H264" s="116"/>
      <c r="I264" s="113">
        <f t="shared" si="1"/>
        <v>0</v>
      </c>
    </row>
    <row r="265">
      <c r="A265" s="111" t="str">
        <f>IF(B265="","",VLOOKUP(B265,'Mitglieder BBU'!A:K,6,0))</f>
        <v/>
      </c>
      <c r="B265" s="118"/>
      <c r="C265" s="116"/>
      <c r="D265" s="116"/>
      <c r="E265" s="116"/>
      <c r="F265" s="116"/>
      <c r="G265" s="116"/>
      <c r="H265" s="116"/>
      <c r="I265" s="113">
        <f t="shared" si="1"/>
        <v>0</v>
      </c>
    </row>
    <row r="266">
      <c r="A266" s="111" t="str">
        <f>IF(B266="","",VLOOKUP(B266,'Mitglieder BBU'!A:K,6,0))</f>
        <v/>
      </c>
      <c r="B266" s="118"/>
      <c r="C266" s="116"/>
      <c r="D266" s="116"/>
      <c r="E266" s="116"/>
      <c r="F266" s="116"/>
      <c r="G266" s="116"/>
      <c r="H266" s="116"/>
      <c r="I266" s="113">
        <f t="shared" si="1"/>
        <v>0</v>
      </c>
    </row>
    <row r="267">
      <c r="A267" s="111" t="str">
        <f>IF(B267="","",VLOOKUP(B267,'Mitglieder BBU'!A:K,6,0))</f>
        <v/>
      </c>
      <c r="B267" s="118"/>
      <c r="C267" s="116"/>
      <c r="D267" s="116"/>
      <c r="E267" s="116"/>
      <c r="F267" s="116"/>
      <c r="G267" s="116"/>
      <c r="H267" s="116"/>
      <c r="I267" s="113">
        <f t="shared" si="1"/>
        <v>0</v>
      </c>
    </row>
    <row r="268">
      <c r="A268" s="111" t="str">
        <f>IF(B268="","",VLOOKUP(B268,'Mitglieder BBU'!A:K,6,0))</f>
        <v/>
      </c>
      <c r="B268" s="118"/>
      <c r="C268" s="116"/>
      <c r="D268" s="116"/>
      <c r="E268" s="116"/>
      <c r="F268" s="116"/>
      <c r="G268" s="116"/>
      <c r="H268" s="116"/>
      <c r="I268" s="113">
        <f t="shared" si="1"/>
        <v>0</v>
      </c>
    </row>
    <row r="269">
      <c r="A269" s="111" t="str">
        <f>IF(B269="","",VLOOKUP(B269,'Mitglieder BBU'!A:K,6,0))</f>
        <v/>
      </c>
      <c r="B269" s="118"/>
      <c r="C269" s="116"/>
      <c r="D269" s="116"/>
      <c r="E269" s="116"/>
      <c r="F269" s="116"/>
      <c r="G269" s="116"/>
      <c r="H269" s="116"/>
      <c r="I269" s="113">
        <f t="shared" si="1"/>
        <v>0</v>
      </c>
    </row>
    <row r="270">
      <c r="A270" s="111" t="str">
        <f>IF(B270="","",VLOOKUP(B270,'Mitglieder BBU'!A:K,6,0))</f>
        <v/>
      </c>
      <c r="B270" s="118"/>
      <c r="C270" s="116"/>
      <c r="D270" s="116"/>
      <c r="E270" s="116"/>
      <c r="F270" s="116"/>
      <c r="G270" s="116"/>
      <c r="H270" s="116"/>
      <c r="I270" s="113">
        <f t="shared" si="1"/>
        <v>0</v>
      </c>
    </row>
    <row r="271">
      <c r="A271" s="111" t="str">
        <f>IF(B271="","",VLOOKUP(B271,'Mitglieder BBU'!A:K,6,0))</f>
        <v/>
      </c>
      <c r="B271" s="118"/>
      <c r="C271" s="116"/>
      <c r="D271" s="116"/>
      <c r="E271" s="116"/>
      <c r="F271" s="116"/>
      <c r="G271" s="116"/>
      <c r="H271" s="116"/>
      <c r="I271" s="113">
        <f t="shared" si="1"/>
        <v>0</v>
      </c>
    </row>
    <row r="272">
      <c r="A272" s="111" t="str">
        <f>IF(B272="","",VLOOKUP(B272,'Mitglieder BBU'!A:K,6,0))</f>
        <v/>
      </c>
      <c r="B272" s="118"/>
      <c r="C272" s="116"/>
      <c r="D272" s="116"/>
      <c r="E272" s="116"/>
      <c r="F272" s="116"/>
      <c r="G272" s="116"/>
      <c r="H272" s="116"/>
      <c r="I272" s="113">
        <f t="shared" si="1"/>
        <v>0</v>
      </c>
    </row>
    <row r="273">
      <c r="A273" s="111" t="str">
        <f>IF(B273="","",VLOOKUP(B273,'Mitglieder BBU'!A:K,6,0))</f>
        <v/>
      </c>
      <c r="B273" s="118"/>
      <c r="C273" s="116"/>
      <c r="D273" s="116"/>
      <c r="E273" s="116"/>
      <c r="F273" s="116"/>
      <c r="G273" s="116"/>
      <c r="H273" s="116"/>
      <c r="I273" s="113">
        <f t="shared" si="1"/>
        <v>0</v>
      </c>
    </row>
    <row r="274">
      <c r="A274" s="111" t="str">
        <f>IF(B274="","",VLOOKUP(B274,'Mitglieder BBU'!A:K,6,0))</f>
        <v/>
      </c>
      <c r="B274" s="118"/>
      <c r="C274" s="116"/>
      <c r="D274" s="116"/>
      <c r="E274" s="116"/>
      <c r="F274" s="116"/>
      <c r="G274" s="116"/>
      <c r="H274" s="116"/>
      <c r="I274" s="113">
        <f t="shared" si="1"/>
        <v>0</v>
      </c>
    </row>
    <row r="275">
      <c r="A275" s="111" t="str">
        <f>IF(B275="","",VLOOKUP(B275,'Mitglieder BBU'!A:K,6,0))</f>
        <v/>
      </c>
      <c r="B275" s="118"/>
      <c r="C275" s="116"/>
      <c r="D275" s="116"/>
      <c r="E275" s="116"/>
      <c r="F275" s="116"/>
      <c r="G275" s="116"/>
      <c r="H275" s="116"/>
      <c r="I275" s="113">
        <f t="shared" si="1"/>
        <v>0</v>
      </c>
    </row>
    <row r="276">
      <c r="A276" s="111" t="str">
        <f>IF(B276="","",VLOOKUP(B276,'Mitglieder BBU'!A:K,6,0))</f>
        <v/>
      </c>
      <c r="B276" s="118"/>
      <c r="C276" s="116"/>
      <c r="D276" s="116"/>
      <c r="E276" s="116"/>
      <c r="F276" s="116"/>
      <c r="G276" s="116"/>
      <c r="H276" s="116"/>
      <c r="I276" s="113">
        <f t="shared" si="1"/>
        <v>0</v>
      </c>
    </row>
    <row r="277">
      <c r="A277" s="111" t="str">
        <f>IF(B277="","",VLOOKUP(B277,'Mitglieder BBU'!A:K,6,0))</f>
        <v/>
      </c>
      <c r="B277" s="118"/>
      <c r="C277" s="116"/>
      <c r="D277" s="116"/>
      <c r="E277" s="116"/>
      <c r="F277" s="116"/>
      <c r="G277" s="116"/>
      <c r="H277" s="116"/>
      <c r="I277" s="113">
        <f t="shared" si="1"/>
        <v>0</v>
      </c>
    </row>
    <row r="278">
      <c r="A278" s="111" t="str">
        <f>IF(B278="","",VLOOKUP(B278,'Mitglieder BBU'!A:K,6,0))</f>
        <v/>
      </c>
      <c r="B278" s="118"/>
      <c r="C278" s="116"/>
      <c r="D278" s="116"/>
      <c r="E278" s="116"/>
      <c r="F278" s="116"/>
      <c r="G278" s="116"/>
      <c r="H278" s="116"/>
      <c r="I278" s="113">
        <f t="shared" si="1"/>
        <v>0</v>
      </c>
    </row>
    <row r="279">
      <c r="A279" s="111" t="str">
        <f>IF(B279="","",VLOOKUP(B279,'Mitglieder BBU'!A:K,6,0))</f>
        <v/>
      </c>
      <c r="B279" s="118"/>
      <c r="C279" s="116"/>
      <c r="D279" s="116"/>
      <c r="E279" s="116"/>
      <c r="F279" s="116"/>
      <c r="G279" s="116"/>
      <c r="H279" s="116"/>
      <c r="I279" s="113">
        <f t="shared" si="1"/>
        <v>0</v>
      </c>
    </row>
    <row r="280">
      <c r="A280" s="111" t="str">
        <f>IF(B280="","",VLOOKUP(B280,'Mitglieder BBU'!A:K,6,0))</f>
        <v/>
      </c>
      <c r="B280" s="118"/>
      <c r="C280" s="116"/>
      <c r="D280" s="116"/>
      <c r="E280" s="116"/>
      <c r="F280" s="116"/>
      <c r="G280" s="116"/>
      <c r="H280" s="116"/>
      <c r="I280" s="113">
        <f t="shared" si="1"/>
        <v>0</v>
      </c>
    </row>
    <row r="281">
      <c r="A281" s="111" t="str">
        <f>IF(B281="","",VLOOKUP(B281,'Mitglieder BBU'!A:K,6,0))</f>
        <v/>
      </c>
      <c r="B281" s="118"/>
      <c r="C281" s="116"/>
      <c r="D281" s="116"/>
      <c r="E281" s="116"/>
      <c r="F281" s="116"/>
      <c r="G281" s="116"/>
      <c r="H281" s="116"/>
      <c r="I281" s="113">
        <f t="shared" si="1"/>
        <v>0</v>
      </c>
    </row>
    <row r="282">
      <c r="A282" s="111" t="str">
        <f>IF(B282="","",VLOOKUP(B282,'Mitglieder BBU'!A:K,6,0))</f>
        <v/>
      </c>
      <c r="B282" s="118"/>
      <c r="C282" s="116"/>
      <c r="D282" s="116"/>
      <c r="E282" s="116"/>
      <c r="F282" s="116"/>
      <c r="G282" s="116"/>
      <c r="H282" s="116"/>
      <c r="I282" s="113">
        <f t="shared" si="1"/>
        <v>0</v>
      </c>
    </row>
    <row r="283">
      <c r="A283" s="111" t="str">
        <f>IF(B283="","",VLOOKUP(B283,'Mitglieder BBU'!A:K,6,0))</f>
        <v/>
      </c>
      <c r="B283" s="118"/>
      <c r="C283" s="116"/>
      <c r="D283" s="116"/>
      <c r="E283" s="116"/>
      <c r="F283" s="116"/>
      <c r="G283" s="116"/>
      <c r="H283" s="116"/>
      <c r="I283" s="113">
        <f t="shared" si="1"/>
        <v>0</v>
      </c>
    </row>
    <row r="284">
      <c r="A284" s="111" t="str">
        <f>IF(B284="","",VLOOKUP(B284,'Mitglieder BBU'!A:K,6,0))</f>
        <v/>
      </c>
      <c r="B284" s="118"/>
      <c r="C284" s="116"/>
      <c r="D284" s="116"/>
      <c r="E284" s="116"/>
      <c r="F284" s="116"/>
      <c r="G284" s="116"/>
      <c r="H284" s="116"/>
      <c r="I284" s="113">
        <f t="shared" si="1"/>
        <v>0</v>
      </c>
    </row>
    <row r="285">
      <c r="A285" s="111" t="str">
        <f>IF(B285="","",VLOOKUP(B285,'Mitglieder BBU'!A:K,6,0))</f>
        <v/>
      </c>
      <c r="B285" s="118"/>
      <c r="C285" s="116"/>
      <c r="D285" s="116"/>
      <c r="E285" s="116"/>
      <c r="F285" s="116"/>
      <c r="G285" s="116"/>
      <c r="H285" s="116"/>
      <c r="I285" s="113">
        <f t="shared" si="1"/>
        <v>0</v>
      </c>
    </row>
    <row r="286">
      <c r="A286" s="111" t="str">
        <f>IF(B286="","",VLOOKUP(B286,'Mitglieder BBU'!A:K,6,0))</f>
        <v/>
      </c>
      <c r="B286" s="118"/>
      <c r="C286" s="116"/>
      <c r="D286" s="116"/>
      <c r="E286" s="116"/>
      <c r="F286" s="116"/>
      <c r="G286" s="116"/>
      <c r="H286" s="116"/>
      <c r="I286" s="113">
        <f t="shared" si="1"/>
        <v>0</v>
      </c>
      <c r="J286" s="11"/>
      <c r="K286" s="11"/>
      <c r="L286" s="11"/>
      <c r="M286" s="11"/>
      <c r="N286" s="11"/>
      <c r="O286" s="11"/>
      <c r="P286" s="11"/>
      <c r="Q286" s="11"/>
      <c r="R286" s="11"/>
      <c r="S286" s="11"/>
      <c r="T286" s="11"/>
      <c r="U286" s="11"/>
      <c r="V286" s="11"/>
      <c r="W286" s="11"/>
      <c r="X286" s="11"/>
      <c r="Y286" s="11"/>
      <c r="Z286" s="11"/>
    </row>
    <row r="287">
      <c r="A287" s="111" t="str">
        <f>IF(B287="","",VLOOKUP(B287,'Mitglieder BBU'!A:K,6,0))</f>
        <v/>
      </c>
      <c r="B287" s="118"/>
      <c r="C287" s="116"/>
      <c r="D287" s="116"/>
      <c r="E287" s="116"/>
      <c r="F287" s="116"/>
      <c r="G287" s="116"/>
      <c r="H287" s="116"/>
      <c r="I287" s="113">
        <f t="shared" si="1"/>
        <v>0</v>
      </c>
      <c r="J287" s="11"/>
      <c r="K287" s="11"/>
      <c r="L287" s="11"/>
      <c r="M287" s="11"/>
      <c r="N287" s="11"/>
      <c r="O287" s="11"/>
      <c r="P287" s="11"/>
      <c r="Q287" s="11"/>
      <c r="R287" s="11"/>
      <c r="S287" s="11"/>
      <c r="T287" s="11"/>
      <c r="U287" s="11"/>
      <c r="V287" s="11"/>
      <c r="W287" s="11"/>
      <c r="X287" s="11"/>
      <c r="Y287" s="11"/>
      <c r="Z287" s="11"/>
    </row>
    <row r="288">
      <c r="A288" s="111" t="str">
        <f>IF(B288="","",VLOOKUP(B288,'Mitglieder BBU'!A:K,6,0))</f>
        <v/>
      </c>
      <c r="B288" s="118"/>
      <c r="C288" s="116"/>
      <c r="D288" s="116"/>
      <c r="E288" s="116"/>
      <c r="F288" s="116"/>
      <c r="G288" s="116"/>
      <c r="H288" s="116"/>
      <c r="I288" s="113">
        <f t="shared" si="1"/>
        <v>0</v>
      </c>
      <c r="J288" s="11"/>
      <c r="K288" s="11"/>
      <c r="L288" s="11"/>
      <c r="M288" s="11"/>
      <c r="N288" s="11"/>
      <c r="O288" s="11"/>
      <c r="P288" s="11"/>
      <c r="Q288" s="11"/>
      <c r="R288" s="11"/>
      <c r="S288" s="11"/>
      <c r="T288" s="11"/>
      <c r="U288" s="11"/>
      <c r="V288" s="11"/>
      <c r="W288" s="11"/>
      <c r="X288" s="11"/>
      <c r="Y288" s="11"/>
      <c r="Z288" s="11"/>
    </row>
    <row r="289">
      <c r="A289" s="111" t="str">
        <f>IF(B289="","",VLOOKUP(B289,'Mitglieder BBU'!A:K,6,0))</f>
        <v/>
      </c>
      <c r="B289" s="118"/>
      <c r="C289" s="116"/>
      <c r="D289" s="116"/>
      <c r="E289" s="116"/>
      <c r="F289" s="116"/>
      <c r="G289" s="116"/>
      <c r="H289" s="116"/>
      <c r="I289" s="113">
        <f t="shared" si="1"/>
        <v>0</v>
      </c>
      <c r="J289" s="11"/>
      <c r="K289" s="11"/>
      <c r="L289" s="11"/>
      <c r="M289" s="11"/>
      <c r="N289" s="11"/>
      <c r="O289" s="11"/>
      <c r="P289" s="11"/>
      <c r="Q289" s="11"/>
      <c r="R289" s="11"/>
      <c r="S289" s="11"/>
      <c r="T289" s="11"/>
      <c r="U289" s="11"/>
      <c r="V289" s="11"/>
      <c r="W289" s="11"/>
      <c r="X289" s="11"/>
      <c r="Y289" s="11"/>
      <c r="Z289" s="11"/>
    </row>
    <row r="290">
      <c r="A290" s="111" t="str">
        <f>IF(B290="","",VLOOKUP(B290,'Mitglieder BBU'!A:K,6,0))</f>
        <v/>
      </c>
      <c r="B290" s="118"/>
      <c r="C290" s="116"/>
      <c r="D290" s="116"/>
      <c r="E290" s="116"/>
      <c r="F290" s="116"/>
      <c r="G290" s="116"/>
      <c r="H290" s="116"/>
      <c r="I290" s="113">
        <f t="shared" si="1"/>
        <v>0</v>
      </c>
      <c r="J290" s="11"/>
      <c r="K290" s="11"/>
      <c r="L290" s="11"/>
      <c r="M290" s="11"/>
      <c r="N290" s="11"/>
      <c r="O290" s="11"/>
      <c r="P290" s="11"/>
      <c r="Q290" s="11"/>
      <c r="R290" s="11"/>
      <c r="S290" s="11"/>
      <c r="T290" s="11"/>
      <c r="U290" s="11"/>
      <c r="V290" s="11"/>
      <c r="W290" s="11"/>
      <c r="X290" s="11"/>
      <c r="Y290" s="11"/>
      <c r="Z290" s="11"/>
    </row>
    <row r="291">
      <c r="A291" s="111" t="str">
        <f>IF(B291="","",VLOOKUP(B291,'Mitglieder BBU'!A:K,6,0))</f>
        <v/>
      </c>
      <c r="B291" s="118"/>
      <c r="C291" s="116"/>
      <c r="D291" s="116"/>
      <c r="E291" s="116"/>
      <c r="F291" s="116"/>
      <c r="G291" s="116"/>
      <c r="H291" s="116"/>
      <c r="I291" s="113">
        <f t="shared" si="1"/>
        <v>0</v>
      </c>
      <c r="J291" s="11"/>
      <c r="K291" s="11"/>
      <c r="L291" s="11"/>
      <c r="M291" s="11"/>
      <c r="N291" s="11"/>
      <c r="O291" s="11"/>
      <c r="P291" s="11"/>
      <c r="Q291" s="11"/>
      <c r="R291" s="11"/>
      <c r="S291" s="11"/>
      <c r="T291" s="11"/>
      <c r="U291" s="11"/>
      <c r="V291" s="11"/>
      <c r="W291" s="11"/>
      <c r="X291" s="11"/>
      <c r="Y291" s="11"/>
      <c r="Z291" s="11"/>
    </row>
    <row r="292">
      <c r="A292" s="111" t="str">
        <f>IF(B292="","",VLOOKUP(B292,'Mitglieder BBU'!A:K,6,0))</f>
        <v/>
      </c>
      <c r="B292" s="118"/>
      <c r="C292" s="116"/>
      <c r="D292" s="116"/>
      <c r="E292" s="116"/>
      <c r="F292" s="116"/>
      <c r="G292" s="116"/>
      <c r="H292" s="116"/>
      <c r="I292" s="113">
        <f t="shared" si="1"/>
        <v>0</v>
      </c>
      <c r="J292" s="11"/>
      <c r="K292" s="11"/>
      <c r="L292" s="11"/>
      <c r="M292" s="11"/>
      <c r="N292" s="11"/>
      <c r="O292" s="11"/>
      <c r="P292" s="11"/>
      <c r="Q292" s="11"/>
      <c r="R292" s="11"/>
      <c r="S292" s="11"/>
      <c r="T292" s="11"/>
      <c r="U292" s="11"/>
      <c r="V292" s="11"/>
      <c r="W292" s="11"/>
      <c r="X292" s="11"/>
      <c r="Y292" s="11"/>
      <c r="Z292" s="11"/>
    </row>
    <row r="293">
      <c r="A293" s="111" t="str">
        <f>IF(B293="","",VLOOKUP(B293,'Mitglieder BBU'!A:K,6,0))</f>
        <v/>
      </c>
      <c r="B293" s="118"/>
      <c r="C293" s="116"/>
      <c r="D293" s="116"/>
      <c r="E293" s="116"/>
      <c r="F293" s="116"/>
      <c r="G293" s="116"/>
      <c r="H293" s="116"/>
      <c r="I293" s="113">
        <f t="shared" si="1"/>
        <v>0</v>
      </c>
      <c r="J293" s="11"/>
      <c r="K293" s="11"/>
      <c r="L293" s="11"/>
      <c r="M293" s="11"/>
      <c r="N293" s="11"/>
      <c r="O293" s="11"/>
      <c r="P293" s="11"/>
      <c r="Q293" s="11"/>
      <c r="R293" s="11"/>
      <c r="S293" s="11"/>
      <c r="T293" s="11"/>
      <c r="U293" s="11"/>
      <c r="V293" s="11"/>
      <c r="W293" s="11"/>
      <c r="X293" s="11"/>
      <c r="Y293" s="11"/>
      <c r="Z293" s="11"/>
    </row>
    <row r="294">
      <c r="A294" s="111" t="str">
        <f>IF(B294="","",VLOOKUP(B294,'Mitglieder BBU'!A:K,6,0))</f>
        <v/>
      </c>
      <c r="B294" s="118"/>
      <c r="C294" s="116"/>
      <c r="D294" s="116"/>
      <c r="E294" s="116"/>
      <c r="F294" s="116"/>
      <c r="G294" s="116"/>
      <c r="H294" s="116"/>
      <c r="I294" s="113">
        <f t="shared" si="1"/>
        <v>0</v>
      </c>
    </row>
    <row r="295">
      <c r="A295" s="111" t="str">
        <f>IF(B295="","",VLOOKUP(B295,'Mitglieder BBU'!A:K,6,0))</f>
        <v/>
      </c>
      <c r="B295" s="118"/>
      <c r="C295" s="116"/>
      <c r="D295" s="116"/>
      <c r="E295" s="116"/>
      <c r="F295" s="116"/>
      <c r="G295" s="116"/>
      <c r="H295" s="116"/>
      <c r="I295" s="113">
        <f t="shared" si="1"/>
        <v>0</v>
      </c>
    </row>
    <row r="296">
      <c r="A296" s="111" t="str">
        <f>IF(B296="","",VLOOKUP(B296,'Mitglieder BBU'!A:K,6,0))</f>
        <v/>
      </c>
      <c r="B296" s="118"/>
      <c r="C296" s="116"/>
      <c r="D296" s="116"/>
      <c r="E296" s="116"/>
      <c r="F296" s="116"/>
      <c r="G296" s="116"/>
      <c r="H296" s="116"/>
      <c r="I296" s="113">
        <f t="shared" si="1"/>
        <v>0</v>
      </c>
    </row>
    <row r="297">
      <c r="A297" s="111" t="str">
        <f>IF(B297="","",VLOOKUP(B297,'Mitglieder BBU'!A:K,6,0))</f>
        <v/>
      </c>
      <c r="B297" s="118"/>
      <c r="C297" s="116"/>
      <c r="D297" s="116"/>
      <c r="E297" s="116"/>
      <c r="F297" s="116"/>
      <c r="G297" s="116"/>
      <c r="H297" s="116"/>
      <c r="I297" s="113">
        <f t="shared" si="1"/>
        <v>0</v>
      </c>
    </row>
    <row r="298">
      <c r="A298" s="111" t="str">
        <f>IF(B298="","",VLOOKUP(B298,'Mitglieder BBU'!A:K,6,0))</f>
        <v/>
      </c>
      <c r="B298" s="118"/>
      <c r="C298" s="116"/>
      <c r="D298" s="116"/>
      <c r="E298" s="116"/>
      <c r="F298" s="116"/>
      <c r="G298" s="116"/>
      <c r="H298" s="116"/>
      <c r="I298" s="113">
        <f t="shared" si="1"/>
        <v>0</v>
      </c>
    </row>
    <row r="299">
      <c r="A299" s="111" t="str">
        <f>IF(B299="","",VLOOKUP(B299,'Mitglieder BBU'!A:K,6,0))</f>
        <v/>
      </c>
      <c r="B299" s="118"/>
      <c r="C299" s="116"/>
      <c r="D299" s="116"/>
      <c r="E299" s="116"/>
      <c r="F299" s="116"/>
      <c r="G299" s="116"/>
      <c r="H299" s="116"/>
      <c r="I299" s="113">
        <f t="shared" si="1"/>
        <v>0</v>
      </c>
    </row>
    <row r="300">
      <c r="A300" s="111" t="str">
        <f>IF(B300="","",VLOOKUP(B300,'Mitglieder BBU'!A:K,6,0))</f>
        <v/>
      </c>
      <c r="B300" s="118"/>
      <c r="C300" s="116"/>
      <c r="D300" s="116"/>
      <c r="E300" s="116"/>
      <c r="F300" s="116"/>
      <c r="G300" s="116"/>
      <c r="H300" s="116"/>
      <c r="I300" s="113">
        <f t="shared" si="1"/>
        <v>0</v>
      </c>
    </row>
    <row r="301">
      <c r="A301" s="111" t="str">
        <f>IF(B301="","",VLOOKUP(B301,'Mitglieder BBU'!A:K,6,0))</f>
        <v/>
      </c>
      <c r="B301" s="118"/>
      <c r="C301" s="116"/>
      <c r="D301" s="116"/>
      <c r="E301" s="116"/>
      <c r="F301" s="116"/>
      <c r="G301" s="116"/>
      <c r="H301" s="116"/>
      <c r="I301" s="113">
        <f t="shared" si="1"/>
        <v>0</v>
      </c>
    </row>
    <row r="302">
      <c r="A302" s="111" t="str">
        <f>IF(B302="","",VLOOKUP(B302,'Mitglieder BBU'!A:K,6,0))</f>
        <v/>
      </c>
      <c r="B302" s="118"/>
      <c r="C302" s="116"/>
      <c r="D302" s="116"/>
      <c r="E302" s="116"/>
      <c r="F302" s="116"/>
      <c r="G302" s="116"/>
      <c r="H302" s="116"/>
      <c r="I302" s="113">
        <f t="shared" si="1"/>
        <v>0</v>
      </c>
    </row>
    <row r="303">
      <c r="A303" s="111" t="str">
        <f>IF(B303="","",VLOOKUP(B303,'Mitglieder BBU'!A:K,6,0))</f>
        <v/>
      </c>
      <c r="B303" s="118"/>
      <c r="C303" s="116"/>
      <c r="D303" s="116"/>
      <c r="E303" s="116"/>
      <c r="F303" s="116"/>
      <c r="G303" s="116"/>
      <c r="H303" s="116"/>
      <c r="I303" s="113">
        <f t="shared" si="1"/>
        <v>0</v>
      </c>
    </row>
    <row r="304">
      <c r="A304" s="111" t="str">
        <f>IF(B304="","",VLOOKUP(B304,'Mitglieder BBU'!A:K,6,0))</f>
        <v/>
      </c>
      <c r="B304" s="118"/>
      <c r="C304" s="116"/>
      <c r="D304" s="116"/>
      <c r="E304" s="116"/>
      <c r="F304" s="116"/>
      <c r="G304" s="116"/>
      <c r="H304" s="116"/>
      <c r="I304" s="113">
        <f t="shared" si="1"/>
        <v>0</v>
      </c>
    </row>
    <row r="305">
      <c r="A305" s="111" t="str">
        <f>IF(B305="","",VLOOKUP(B305,'Mitglieder BBU'!A:K,6,0))</f>
        <v/>
      </c>
      <c r="B305" s="118"/>
      <c r="C305" s="116"/>
      <c r="D305" s="116"/>
      <c r="E305" s="116"/>
      <c r="F305" s="116"/>
      <c r="G305" s="116"/>
      <c r="H305" s="116"/>
      <c r="I305" s="113">
        <f t="shared" si="1"/>
        <v>0</v>
      </c>
    </row>
    <row r="306">
      <c r="A306" s="111" t="str">
        <f>IF(B306="","",VLOOKUP(B306,'Mitglieder BBU'!A:K,6,0))</f>
        <v/>
      </c>
      <c r="B306" s="118"/>
      <c r="C306" s="116"/>
      <c r="D306" s="116"/>
      <c r="E306" s="116"/>
      <c r="F306" s="116"/>
      <c r="G306" s="116"/>
      <c r="H306" s="116"/>
      <c r="I306" s="113">
        <f t="shared" si="1"/>
        <v>0</v>
      </c>
    </row>
    <row r="307">
      <c r="A307" s="111" t="str">
        <f>IF(B307="","",VLOOKUP(B307,'Mitglieder BBU'!A:K,6,0))</f>
        <v/>
      </c>
      <c r="B307" s="118"/>
      <c r="C307" s="116"/>
      <c r="D307" s="116"/>
      <c r="E307" s="116"/>
      <c r="F307" s="116"/>
      <c r="G307" s="116"/>
      <c r="H307" s="116"/>
      <c r="I307" s="113">
        <f t="shared" si="1"/>
        <v>0</v>
      </c>
    </row>
    <row r="308">
      <c r="A308" s="111" t="str">
        <f>IF(B308="","",VLOOKUP(B308,'Mitglieder BBU'!A:K,6,0))</f>
        <v/>
      </c>
      <c r="B308" s="118"/>
      <c r="C308" s="116"/>
      <c r="D308" s="116"/>
      <c r="E308" s="116"/>
      <c r="F308" s="116"/>
      <c r="G308" s="116"/>
      <c r="H308" s="116"/>
      <c r="I308" s="113">
        <f t="shared" si="1"/>
        <v>0</v>
      </c>
    </row>
    <row r="309">
      <c r="A309" s="111" t="str">
        <f>IF(B309="","",VLOOKUP(B309,'Mitglieder BBU'!A:K,6,0))</f>
        <v/>
      </c>
      <c r="B309" s="118"/>
      <c r="C309" s="116"/>
      <c r="D309" s="116"/>
      <c r="E309" s="116"/>
      <c r="F309" s="116"/>
      <c r="G309" s="116"/>
      <c r="H309" s="116"/>
      <c r="I309" s="113">
        <f t="shared" si="1"/>
        <v>0</v>
      </c>
    </row>
    <row r="310">
      <c r="A310" s="111" t="str">
        <f>IF(B310="","",VLOOKUP(B310,'Mitglieder BBU'!A:K,6,0))</f>
        <v/>
      </c>
      <c r="B310" s="118"/>
      <c r="C310" s="116"/>
      <c r="D310" s="116"/>
      <c r="E310" s="116"/>
      <c r="F310" s="116"/>
      <c r="G310" s="116"/>
      <c r="H310" s="116"/>
      <c r="I310" s="113">
        <f t="shared" si="1"/>
        <v>0</v>
      </c>
    </row>
    <row r="311">
      <c r="A311" s="111" t="str">
        <f>IF(B311="","",VLOOKUP(B311,'Mitglieder BBU'!A:K,6,0))</f>
        <v/>
      </c>
      <c r="B311" s="118"/>
      <c r="C311" s="116"/>
      <c r="D311" s="116"/>
      <c r="E311" s="116"/>
      <c r="F311" s="116"/>
      <c r="G311" s="116"/>
      <c r="H311" s="116"/>
      <c r="I311" s="113">
        <f t="shared" si="1"/>
        <v>0</v>
      </c>
    </row>
    <row r="312">
      <c r="A312" s="111" t="str">
        <f>IF(B312="","",VLOOKUP(B312,'Mitglieder BBU'!A:K,6,0))</f>
        <v/>
      </c>
      <c r="B312" s="118"/>
      <c r="C312" s="116"/>
      <c r="D312" s="116"/>
      <c r="E312" s="116"/>
      <c r="F312" s="116"/>
      <c r="G312" s="116"/>
      <c r="H312" s="116"/>
      <c r="I312" s="113">
        <f t="shared" si="1"/>
        <v>0</v>
      </c>
    </row>
    <row r="313">
      <c r="A313" s="111" t="str">
        <f>IF(B313="","",VLOOKUP(B313,'Mitglieder BBU'!A:K,6,0))</f>
        <v/>
      </c>
      <c r="B313" s="118"/>
      <c r="C313" s="116"/>
      <c r="D313" s="116"/>
      <c r="E313" s="116"/>
      <c r="F313" s="116"/>
      <c r="G313" s="116"/>
      <c r="H313" s="116"/>
      <c r="I313" s="113">
        <f t="shared" si="1"/>
        <v>0</v>
      </c>
    </row>
    <row r="314">
      <c r="A314" s="111" t="str">
        <f>IF(B314="","",VLOOKUP(B314,'Mitglieder BBU'!A:K,6,0))</f>
        <v/>
      </c>
      <c r="B314" s="118"/>
      <c r="C314" s="116"/>
      <c r="D314" s="116"/>
      <c r="E314" s="116"/>
      <c r="F314" s="116"/>
      <c r="G314" s="116"/>
      <c r="H314" s="116"/>
      <c r="I314" s="113">
        <f t="shared" si="1"/>
        <v>0</v>
      </c>
    </row>
    <row r="315">
      <c r="A315" s="111" t="str">
        <f>IF(B315="","",VLOOKUP(B315,'Mitglieder BBU'!A:K,6,0))</f>
        <v/>
      </c>
      <c r="B315" s="118"/>
      <c r="C315" s="116"/>
      <c r="D315" s="116"/>
      <c r="E315" s="116"/>
      <c r="F315" s="116"/>
      <c r="G315" s="116"/>
      <c r="H315" s="116"/>
      <c r="I315" s="113">
        <f t="shared" si="1"/>
        <v>0</v>
      </c>
    </row>
    <row r="316">
      <c r="A316" s="111" t="str">
        <f>IF(B316="","",VLOOKUP(B316,'Mitglieder BBU'!A:K,6,0))</f>
        <v/>
      </c>
      <c r="B316" s="118"/>
      <c r="C316" s="116"/>
      <c r="D316" s="116"/>
      <c r="E316" s="116"/>
      <c r="F316" s="116"/>
      <c r="G316" s="116"/>
      <c r="H316" s="116"/>
      <c r="I316" s="113">
        <f t="shared" si="1"/>
        <v>0</v>
      </c>
    </row>
    <row r="317">
      <c r="A317" s="111" t="str">
        <f>IF(B317="","",VLOOKUP(B317,'Mitglieder BBU'!A:K,6,0))</f>
        <v/>
      </c>
      <c r="B317" s="118"/>
      <c r="C317" s="116"/>
      <c r="D317" s="116"/>
      <c r="E317" s="116"/>
      <c r="F317" s="116"/>
      <c r="G317" s="116"/>
      <c r="H317" s="116"/>
      <c r="I317" s="113">
        <f t="shared" si="1"/>
        <v>0</v>
      </c>
    </row>
    <row r="318">
      <c r="A318" s="111" t="str">
        <f>IF(B318="","",VLOOKUP(B318,'Mitglieder BBU'!A:K,6,0))</f>
        <v/>
      </c>
      <c r="B318" s="118"/>
      <c r="C318" s="116"/>
      <c r="D318" s="116"/>
      <c r="E318" s="116"/>
      <c r="F318" s="116"/>
      <c r="G318" s="116"/>
      <c r="H318" s="116"/>
      <c r="I318" s="113">
        <f t="shared" si="1"/>
        <v>0</v>
      </c>
    </row>
    <row r="319">
      <c r="A319" s="111" t="str">
        <f>IF(B319="","",VLOOKUP(B319,'Mitglieder BBU'!A:K,6,0))</f>
        <v/>
      </c>
      <c r="B319" s="118"/>
      <c r="C319" s="116"/>
      <c r="D319" s="116"/>
      <c r="E319" s="116"/>
      <c r="F319" s="116"/>
      <c r="G319" s="116"/>
      <c r="H319" s="116"/>
      <c r="I319" s="113">
        <f t="shared" si="1"/>
        <v>0</v>
      </c>
    </row>
    <row r="320">
      <c r="A320" s="111" t="str">
        <f>IF(B320="","",VLOOKUP(B320,'Mitglieder BBU'!A:K,6,0))</f>
        <v/>
      </c>
      <c r="B320" s="118"/>
      <c r="C320" s="116"/>
      <c r="D320" s="116"/>
      <c r="E320" s="116"/>
      <c r="F320" s="116"/>
      <c r="G320" s="116"/>
      <c r="H320" s="116"/>
      <c r="I320" s="113">
        <f t="shared" si="1"/>
        <v>0</v>
      </c>
    </row>
    <row r="321">
      <c r="A321" s="111" t="str">
        <f>IF(B321="","",VLOOKUP(B321,'Mitglieder BBU'!A:K,6,0))</f>
        <v/>
      </c>
      <c r="B321" s="118"/>
      <c r="C321" s="116"/>
      <c r="D321" s="116"/>
      <c r="E321" s="116"/>
      <c r="F321" s="116"/>
      <c r="G321" s="116"/>
      <c r="H321" s="116"/>
      <c r="I321" s="113">
        <f t="shared" si="1"/>
        <v>0</v>
      </c>
    </row>
    <row r="322">
      <c r="A322" s="111" t="str">
        <f>IF(B322="","",VLOOKUP(B322,'Mitglieder BBU'!A:K,6,0))</f>
        <v/>
      </c>
      <c r="B322" s="118"/>
      <c r="C322" s="116"/>
      <c r="D322" s="116"/>
      <c r="E322" s="116"/>
      <c r="F322" s="116"/>
      <c r="G322" s="116"/>
      <c r="H322" s="116"/>
      <c r="I322" s="113">
        <f t="shared" si="1"/>
        <v>0</v>
      </c>
    </row>
    <row r="323">
      <c r="A323" s="111" t="str">
        <f>IF(B323="","",VLOOKUP(B323,'Mitglieder BBU'!A:K,6,0))</f>
        <v/>
      </c>
      <c r="B323" s="118"/>
      <c r="C323" s="116"/>
      <c r="D323" s="116"/>
      <c r="E323" s="116"/>
      <c r="F323" s="116"/>
      <c r="G323" s="116"/>
      <c r="H323" s="116"/>
      <c r="I323" s="113">
        <f t="shared" si="1"/>
        <v>0</v>
      </c>
    </row>
    <row r="324">
      <c r="A324" s="111" t="str">
        <f>IF(B324="","",VLOOKUP(B324,'Mitglieder BBU'!A:K,6,0))</f>
        <v/>
      </c>
      <c r="B324" s="118"/>
      <c r="C324" s="116"/>
      <c r="D324" s="116"/>
      <c r="E324" s="116"/>
      <c r="F324" s="116"/>
      <c r="G324" s="116"/>
      <c r="H324" s="116"/>
      <c r="I324" s="113">
        <f t="shared" si="1"/>
        <v>0</v>
      </c>
    </row>
    <row r="325">
      <c r="A325" s="111" t="str">
        <f>IF(B325="","",VLOOKUP(B325,'Mitglieder BBU'!A:K,6,0))</f>
        <v/>
      </c>
      <c r="B325" s="118"/>
      <c r="C325" s="116"/>
      <c r="D325" s="116"/>
      <c r="E325" s="116"/>
      <c r="F325" s="116"/>
      <c r="G325" s="116"/>
      <c r="H325" s="116"/>
      <c r="I325" s="113">
        <f t="shared" si="1"/>
        <v>0</v>
      </c>
    </row>
    <row r="326">
      <c r="A326" s="111" t="str">
        <f>IF(B326="","",VLOOKUP(B326,'Mitglieder BBU'!A:K,6,0))</f>
        <v/>
      </c>
      <c r="B326" s="118"/>
      <c r="C326" s="116"/>
      <c r="D326" s="116"/>
      <c r="E326" s="116"/>
      <c r="F326" s="116"/>
      <c r="G326" s="116"/>
      <c r="H326" s="116"/>
      <c r="I326" s="113">
        <f t="shared" si="1"/>
        <v>0</v>
      </c>
    </row>
    <row r="327">
      <c r="A327" s="111" t="str">
        <f>IF(B327="","",VLOOKUP(B327,'Mitglieder BBU'!A:K,6,0))</f>
        <v/>
      </c>
      <c r="B327" s="118"/>
      <c r="C327" s="116"/>
      <c r="D327" s="116"/>
      <c r="E327" s="116"/>
      <c r="F327" s="116"/>
      <c r="G327" s="116"/>
      <c r="H327" s="116"/>
      <c r="I327" s="113">
        <f t="shared" si="1"/>
        <v>0</v>
      </c>
    </row>
    <row r="328">
      <c r="A328" s="111" t="str">
        <f>IF(B328="","",VLOOKUP(B328,'Mitglieder BBU'!A:K,6,0))</f>
        <v/>
      </c>
      <c r="B328" s="118"/>
      <c r="C328" s="116"/>
      <c r="D328" s="116"/>
      <c r="E328" s="116"/>
      <c r="F328" s="116"/>
      <c r="G328" s="116"/>
      <c r="H328" s="116"/>
      <c r="I328" s="113">
        <f t="shared" si="1"/>
        <v>0</v>
      </c>
    </row>
    <row r="329">
      <c r="A329" s="111" t="str">
        <f>IF(B329="","",VLOOKUP(B329,'Mitglieder BBU'!A:K,6,0))</f>
        <v/>
      </c>
      <c r="B329" s="118"/>
      <c r="C329" s="116"/>
      <c r="D329" s="116"/>
      <c r="E329" s="116"/>
      <c r="F329" s="116"/>
      <c r="G329" s="116"/>
      <c r="H329" s="116"/>
      <c r="I329" s="113">
        <f t="shared" si="1"/>
        <v>0</v>
      </c>
    </row>
    <row r="330">
      <c r="A330" s="111" t="str">
        <f>IF(B330="","",VLOOKUP(B330,'Mitglieder BBU'!A:K,6,0))</f>
        <v/>
      </c>
      <c r="B330" s="118"/>
      <c r="C330" s="116"/>
      <c r="D330" s="116"/>
      <c r="E330" s="116"/>
      <c r="F330" s="116"/>
      <c r="G330" s="116"/>
      <c r="H330" s="116"/>
      <c r="I330" s="113">
        <f t="shared" si="1"/>
        <v>0</v>
      </c>
    </row>
    <row r="331">
      <c r="A331" s="111" t="str">
        <f>IF(B331="","",VLOOKUP(B331,'Mitglieder BBU'!A:K,6,0))</f>
        <v/>
      </c>
      <c r="B331" s="118"/>
      <c r="C331" s="116"/>
      <c r="D331" s="116"/>
      <c r="E331" s="116"/>
      <c r="F331" s="116"/>
      <c r="G331" s="116"/>
      <c r="H331" s="116"/>
      <c r="I331" s="113">
        <f t="shared" si="1"/>
        <v>0</v>
      </c>
    </row>
    <row r="332">
      <c r="A332" s="111" t="str">
        <f>IF(B332="","",VLOOKUP(B332,'Mitglieder BBU'!A:K,6,0))</f>
        <v/>
      </c>
      <c r="B332" s="118"/>
      <c r="C332" s="116"/>
      <c r="D332" s="116"/>
      <c r="E332" s="116"/>
      <c r="F332" s="116"/>
      <c r="G332" s="116"/>
      <c r="H332" s="116"/>
      <c r="I332" s="113">
        <f t="shared" si="1"/>
        <v>0</v>
      </c>
    </row>
    <row r="333">
      <c r="A333" s="111" t="str">
        <f>IF(B333="","",VLOOKUP(B333,'Mitglieder BBU'!A:K,6,0))</f>
        <v/>
      </c>
      <c r="B333" s="118"/>
      <c r="C333" s="116"/>
      <c r="D333" s="116"/>
      <c r="E333" s="116"/>
      <c r="F333" s="116"/>
      <c r="G333" s="116"/>
      <c r="H333" s="116"/>
      <c r="I333" s="113">
        <f t="shared" si="1"/>
        <v>0</v>
      </c>
    </row>
    <row r="334">
      <c r="A334" s="111" t="str">
        <f>IF(B334="","",VLOOKUP(B334,'Mitglieder BBU'!A:K,6,0))</f>
        <v/>
      </c>
      <c r="B334" s="118"/>
      <c r="C334" s="116"/>
      <c r="D334" s="116"/>
      <c r="E334" s="116"/>
      <c r="F334" s="116"/>
      <c r="G334" s="116"/>
      <c r="H334" s="116"/>
      <c r="I334" s="113">
        <f t="shared" si="1"/>
        <v>0</v>
      </c>
    </row>
    <row r="335">
      <c r="A335" s="111" t="str">
        <f>IF(B335="","",VLOOKUP(B335,'Mitglieder BBU'!A:K,6,0))</f>
        <v/>
      </c>
      <c r="B335" s="118"/>
      <c r="C335" s="116"/>
      <c r="D335" s="116"/>
      <c r="E335" s="116"/>
      <c r="F335" s="116"/>
      <c r="G335" s="116"/>
      <c r="H335" s="116"/>
      <c r="I335" s="113">
        <f t="shared" si="1"/>
        <v>0</v>
      </c>
    </row>
    <row r="336">
      <c r="A336" s="111" t="str">
        <f>IF(B336="","",VLOOKUP(B336,'Mitglieder BBU'!A:K,6,0))</f>
        <v/>
      </c>
      <c r="B336" s="118"/>
      <c r="C336" s="116"/>
      <c r="D336" s="116"/>
      <c r="E336" s="116"/>
      <c r="F336" s="116"/>
      <c r="G336" s="116"/>
      <c r="H336" s="116"/>
      <c r="I336" s="113">
        <f t="shared" si="1"/>
        <v>0</v>
      </c>
    </row>
    <row r="337">
      <c r="A337" s="111" t="str">
        <f>IF(B337="","",VLOOKUP(B337,'Mitglieder BBU'!A:K,6,0))</f>
        <v/>
      </c>
      <c r="B337" s="118"/>
      <c r="C337" s="116"/>
      <c r="D337" s="116"/>
      <c r="E337" s="116"/>
      <c r="F337" s="116"/>
      <c r="G337" s="116"/>
      <c r="H337" s="116"/>
      <c r="I337" s="113">
        <f t="shared" si="1"/>
        <v>0</v>
      </c>
    </row>
    <row r="338">
      <c r="A338" s="111" t="str">
        <f>IF(B338="","",VLOOKUP(B338,'Mitglieder BBU'!A:K,6,0))</f>
        <v/>
      </c>
      <c r="B338" s="118"/>
      <c r="C338" s="116"/>
      <c r="D338" s="116"/>
      <c r="E338" s="116"/>
      <c r="F338" s="116"/>
      <c r="G338" s="116"/>
      <c r="H338" s="116"/>
      <c r="I338" s="113">
        <f t="shared" si="1"/>
        <v>0</v>
      </c>
    </row>
    <row r="339">
      <c r="A339" s="111" t="str">
        <f>IF(B339="","",VLOOKUP(B339,'Mitglieder BBU'!A:K,6,0))</f>
        <v/>
      </c>
      <c r="B339" s="118"/>
      <c r="C339" s="116"/>
      <c r="D339" s="116"/>
      <c r="E339" s="116"/>
      <c r="F339" s="116"/>
      <c r="G339" s="116"/>
      <c r="H339" s="116"/>
      <c r="I339" s="113">
        <f t="shared" si="1"/>
        <v>0</v>
      </c>
    </row>
    <row r="340">
      <c r="A340" s="111" t="str">
        <f>IF(B340="","",VLOOKUP(B340,'Mitglieder BBU'!A:K,6,0))</f>
        <v/>
      </c>
      <c r="B340" s="118"/>
      <c r="C340" s="116"/>
      <c r="D340" s="116"/>
      <c r="E340" s="116"/>
      <c r="F340" s="116"/>
      <c r="G340" s="116"/>
      <c r="H340" s="116"/>
      <c r="I340" s="113">
        <f t="shared" si="1"/>
        <v>0</v>
      </c>
    </row>
    <row r="341">
      <c r="A341" s="111" t="str">
        <f>IF(B341="","",VLOOKUP(B341,'Mitglieder BBU'!A:K,6,0))</f>
        <v/>
      </c>
      <c r="B341" s="118"/>
      <c r="C341" s="116"/>
      <c r="D341" s="116"/>
      <c r="E341" s="116"/>
      <c r="F341" s="116"/>
      <c r="G341" s="116"/>
      <c r="H341" s="116"/>
      <c r="I341" s="113">
        <f t="shared" si="1"/>
        <v>0</v>
      </c>
    </row>
    <row r="342">
      <c r="A342" s="111" t="str">
        <f>IF(B342="","",VLOOKUP(B342,'Mitglieder BBU'!A:K,6,0))</f>
        <v/>
      </c>
      <c r="B342" s="118"/>
      <c r="C342" s="116"/>
      <c r="D342" s="116"/>
      <c r="E342" s="116"/>
      <c r="F342" s="116"/>
      <c r="G342" s="116"/>
      <c r="H342" s="116"/>
      <c r="I342" s="113">
        <f t="shared" si="1"/>
        <v>0</v>
      </c>
    </row>
    <row r="343">
      <c r="A343" s="111" t="str">
        <f>IF(B343="","",VLOOKUP(B343,'Mitglieder BBU'!A:K,6,0))</f>
        <v/>
      </c>
      <c r="B343" s="118"/>
      <c r="C343" s="116"/>
      <c r="D343" s="116"/>
      <c r="E343" s="116"/>
      <c r="F343" s="116"/>
      <c r="G343" s="116"/>
      <c r="H343" s="116"/>
      <c r="I343" s="113">
        <f t="shared" si="1"/>
        <v>0</v>
      </c>
    </row>
    <row r="344">
      <c r="A344" s="111" t="str">
        <f>IF(B344="","",VLOOKUP(B344,'Mitglieder BBU'!A:K,6,0))</f>
        <v/>
      </c>
      <c r="B344" s="118"/>
      <c r="C344" s="116"/>
      <c r="D344" s="116"/>
      <c r="E344" s="116"/>
      <c r="F344" s="116"/>
      <c r="G344" s="116"/>
      <c r="H344" s="116"/>
      <c r="I344" s="113">
        <f t="shared" si="1"/>
        <v>0</v>
      </c>
    </row>
    <row r="345">
      <c r="A345" s="111" t="str">
        <f>IF(B345="","",VLOOKUP(B345,'Mitglieder BBU'!A:K,6,0))</f>
        <v/>
      </c>
      <c r="B345" s="118"/>
      <c r="C345" s="116"/>
      <c r="D345" s="116"/>
      <c r="E345" s="116"/>
      <c r="F345" s="116"/>
      <c r="G345" s="116"/>
      <c r="H345" s="116"/>
      <c r="I345" s="113">
        <f t="shared" si="1"/>
        <v>0</v>
      </c>
    </row>
    <row r="346">
      <c r="A346" s="111" t="str">
        <f>IF(B346="","",VLOOKUP(B346,'Mitglieder BBU'!A:K,6,0))</f>
        <v/>
      </c>
      <c r="B346" s="118"/>
      <c r="C346" s="116"/>
      <c r="D346" s="116"/>
      <c r="E346" s="116"/>
      <c r="F346" s="116"/>
      <c r="G346" s="116"/>
      <c r="H346" s="116"/>
      <c r="I346" s="113">
        <f t="shared" si="1"/>
        <v>0</v>
      </c>
    </row>
    <row r="347">
      <c r="A347" s="111" t="str">
        <f>IF(B347="","",VLOOKUP(B347,'Mitglieder BBU'!A:K,6,0))</f>
        <v/>
      </c>
      <c r="B347" s="118"/>
      <c r="C347" s="116"/>
      <c r="D347" s="116"/>
      <c r="E347" s="116"/>
      <c r="F347" s="116"/>
      <c r="G347" s="116"/>
      <c r="H347" s="116"/>
      <c r="I347" s="113">
        <f t="shared" si="1"/>
        <v>0</v>
      </c>
    </row>
    <row r="348">
      <c r="A348" s="111" t="str">
        <f>IF(B348="","",VLOOKUP(B348,'Mitglieder BBU'!A:K,6,0))</f>
        <v/>
      </c>
      <c r="B348" s="118"/>
      <c r="C348" s="116"/>
      <c r="D348" s="116"/>
      <c r="E348" s="116"/>
      <c r="F348" s="116"/>
      <c r="G348" s="116"/>
      <c r="H348" s="116"/>
      <c r="I348" s="113">
        <f t="shared" si="1"/>
        <v>0</v>
      </c>
    </row>
    <row r="349">
      <c r="A349" s="111" t="str">
        <f>IF(B349="","",VLOOKUP(B349,'Mitglieder BBU'!A:K,6,0))</f>
        <v/>
      </c>
      <c r="B349" s="118"/>
      <c r="C349" s="116"/>
      <c r="D349" s="116"/>
      <c r="E349" s="116"/>
      <c r="F349" s="116"/>
      <c r="G349" s="116"/>
      <c r="H349" s="116"/>
      <c r="I349" s="113">
        <f t="shared" si="1"/>
        <v>0</v>
      </c>
    </row>
    <row r="350">
      <c r="A350" s="111" t="str">
        <f>IF(B350="","",VLOOKUP(B350,'Mitglieder BBU'!A:K,6,0))</f>
        <v/>
      </c>
      <c r="B350" s="118"/>
      <c r="C350" s="116"/>
      <c r="D350" s="116"/>
      <c r="E350" s="116"/>
      <c r="F350" s="116"/>
      <c r="G350" s="116"/>
      <c r="H350" s="116"/>
      <c r="I350" s="113">
        <f t="shared" si="1"/>
        <v>0</v>
      </c>
    </row>
    <row r="351">
      <c r="A351" s="111" t="str">
        <f>IF(B351="","",VLOOKUP(B351,'Mitglieder BBU'!A:K,6,0))</f>
        <v/>
      </c>
      <c r="B351" s="118"/>
      <c r="C351" s="116"/>
      <c r="D351" s="116"/>
      <c r="E351" s="116"/>
      <c r="F351" s="116"/>
      <c r="G351" s="116"/>
      <c r="H351" s="116"/>
      <c r="I351" s="113">
        <f t="shared" si="1"/>
        <v>0</v>
      </c>
    </row>
    <row r="352">
      <c r="A352" s="111" t="str">
        <f>IF(B352="","",VLOOKUP(B352,'Mitglieder BBU'!A:K,6,0))</f>
        <v/>
      </c>
      <c r="B352" s="118"/>
      <c r="C352" s="116"/>
      <c r="D352" s="116"/>
      <c r="E352" s="116"/>
      <c r="F352" s="116"/>
      <c r="G352" s="116"/>
      <c r="H352" s="116"/>
      <c r="I352" s="113">
        <f t="shared" si="1"/>
        <v>0</v>
      </c>
    </row>
    <row r="353">
      <c r="A353" s="111" t="str">
        <f>IF(B353="","",VLOOKUP(B353,'Mitglieder BBU'!A:K,6,0))</f>
        <v/>
      </c>
      <c r="B353" s="118"/>
      <c r="C353" s="116"/>
      <c r="D353" s="116"/>
      <c r="E353" s="116"/>
      <c r="F353" s="116"/>
      <c r="G353" s="116"/>
      <c r="H353" s="116"/>
      <c r="I353" s="113">
        <f t="shared" si="1"/>
        <v>0</v>
      </c>
    </row>
    <row r="354">
      <c r="A354" s="111" t="str">
        <f>IF(B354="","",VLOOKUP(B354,'Mitglieder BBU'!A:K,6,0))</f>
        <v/>
      </c>
      <c r="B354" s="118"/>
      <c r="C354" s="116"/>
      <c r="D354" s="116"/>
      <c r="E354" s="116"/>
      <c r="F354" s="116"/>
      <c r="G354" s="116"/>
      <c r="H354" s="116"/>
      <c r="I354" s="113">
        <f t="shared" si="1"/>
        <v>0</v>
      </c>
    </row>
    <row r="355">
      <c r="A355" s="111" t="str">
        <f>IF(B355="","",VLOOKUP(B355,'Mitglieder BBU'!A:K,6,0))</f>
        <v/>
      </c>
      <c r="B355" s="118"/>
      <c r="C355" s="116"/>
      <c r="D355" s="116"/>
      <c r="E355" s="116"/>
      <c r="F355" s="116"/>
      <c r="G355" s="116"/>
      <c r="H355" s="116"/>
      <c r="I355" s="113">
        <f t="shared" si="1"/>
        <v>0</v>
      </c>
    </row>
    <row r="356">
      <c r="A356" s="111" t="str">
        <f>IF(B356="","",VLOOKUP(B356,'Mitglieder BBU'!A:K,6,0))</f>
        <v/>
      </c>
      <c r="B356" s="118"/>
      <c r="C356" s="116"/>
      <c r="D356" s="116"/>
      <c r="E356" s="116"/>
      <c r="F356" s="116"/>
      <c r="G356" s="116"/>
      <c r="H356" s="116"/>
      <c r="I356" s="113">
        <f t="shared" si="1"/>
        <v>0</v>
      </c>
    </row>
    <row r="357">
      <c r="A357" s="111" t="str">
        <f>IF(B357="","",VLOOKUP(B357,'Mitglieder BBU'!A:K,6,0))</f>
        <v/>
      </c>
      <c r="B357" s="118"/>
      <c r="C357" s="116"/>
      <c r="D357" s="116"/>
      <c r="E357" s="116"/>
      <c r="F357" s="116"/>
      <c r="G357" s="116"/>
      <c r="H357" s="116"/>
      <c r="I357" s="113">
        <f t="shared" si="1"/>
        <v>0</v>
      </c>
    </row>
    <row r="358">
      <c r="A358" s="111" t="str">
        <f>IF(B358="","",VLOOKUP(B358,'Mitglieder BBU'!A:K,6,0))</f>
        <v/>
      </c>
      <c r="B358" s="118"/>
      <c r="C358" s="116"/>
      <c r="D358" s="116"/>
      <c r="E358" s="116"/>
      <c r="F358" s="116"/>
      <c r="G358" s="116"/>
      <c r="H358" s="116"/>
      <c r="I358" s="113">
        <f t="shared" si="1"/>
        <v>0</v>
      </c>
    </row>
    <row r="359">
      <c r="A359" s="111" t="str">
        <f>IF(B359="","",VLOOKUP(B359,'Mitglieder BBU'!A:K,6,0))</f>
        <v/>
      </c>
      <c r="B359" s="118"/>
      <c r="C359" s="116"/>
      <c r="D359" s="116"/>
      <c r="E359" s="116"/>
      <c r="F359" s="116"/>
      <c r="G359" s="116"/>
      <c r="H359" s="116"/>
      <c r="I359" s="113">
        <f t="shared" si="1"/>
        <v>0</v>
      </c>
    </row>
    <row r="360">
      <c r="A360" s="111" t="str">
        <f>IF(B360="","",VLOOKUP(B360,'Mitglieder BBU'!A:K,6,0))</f>
        <v/>
      </c>
      <c r="B360" s="118"/>
      <c r="C360" s="116"/>
      <c r="D360" s="116"/>
      <c r="E360" s="116"/>
      <c r="F360" s="116"/>
      <c r="G360" s="116"/>
      <c r="H360" s="116"/>
      <c r="I360" s="113">
        <f t="shared" si="1"/>
        <v>0</v>
      </c>
    </row>
    <row r="361">
      <c r="A361" s="111" t="str">
        <f>IF(B361="","",VLOOKUP(B361,'Mitglieder BBU'!A:K,6,0))</f>
        <v/>
      </c>
      <c r="B361" s="118"/>
      <c r="C361" s="116"/>
      <c r="D361" s="116"/>
      <c r="E361" s="116"/>
      <c r="F361" s="116"/>
      <c r="G361" s="116"/>
      <c r="H361" s="116"/>
      <c r="I361" s="113">
        <f t="shared" si="1"/>
        <v>0</v>
      </c>
    </row>
    <row r="362">
      <c r="A362" s="111" t="str">
        <f>IF(B362="","",VLOOKUP(B362,'Mitglieder BBU'!A:K,6,0))</f>
        <v/>
      </c>
      <c r="B362" s="118"/>
      <c r="C362" s="116"/>
      <c r="D362" s="116"/>
      <c r="E362" s="116"/>
      <c r="F362" s="116"/>
      <c r="G362" s="116"/>
      <c r="H362" s="116"/>
      <c r="I362" s="113">
        <f t="shared" si="1"/>
        <v>0</v>
      </c>
    </row>
    <row r="363">
      <c r="A363" s="111" t="str">
        <f>IF(B363="","",VLOOKUP(B363,'Mitglieder BBU'!A:K,6,0))</f>
        <v/>
      </c>
      <c r="B363" s="118"/>
      <c r="C363" s="116"/>
      <c r="D363" s="116"/>
      <c r="E363" s="116"/>
      <c r="F363" s="116"/>
      <c r="G363" s="116"/>
      <c r="H363" s="116"/>
      <c r="I363" s="113">
        <f t="shared" si="1"/>
        <v>0</v>
      </c>
    </row>
    <row r="364">
      <c r="A364" s="111" t="str">
        <f>IF(B364="","",VLOOKUP(B364,'Mitglieder BBU'!A:K,6,0))</f>
        <v/>
      </c>
      <c r="B364" s="118"/>
      <c r="C364" s="116"/>
      <c r="D364" s="116"/>
      <c r="E364" s="116"/>
      <c r="F364" s="116"/>
      <c r="G364" s="116"/>
      <c r="H364" s="116"/>
      <c r="I364" s="113">
        <f t="shared" si="1"/>
        <v>0</v>
      </c>
    </row>
    <row r="365">
      <c r="A365" s="111" t="str">
        <f>IF(B365="","",VLOOKUP(B365,'Mitglieder BBU'!A:K,6,0))</f>
        <v/>
      </c>
      <c r="B365" s="118"/>
      <c r="C365" s="116"/>
      <c r="D365" s="116"/>
      <c r="E365" s="116"/>
      <c r="F365" s="116"/>
      <c r="G365" s="116"/>
      <c r="H365" s="116"/>
      <c r="I365" s="113">
        <f t="shared" si="1"/>
        <v>0</v>
      </c>
    </row>
    <row r="366">
      <c r="A366" s="111" t="str">
        <f>IF(B366="","",VLOOKUP(B366,'Mitglieder BBU'!A:K,6,0))</f>
        <v/>
      </c>
      <c r="B366" s="118"/>
      <c r="C366" s="116"/>
      <c r="D366" s="116"/>
      <c r="E366" s="116"/>
      <c r="F366" s="116"/>
      <c r="G366" s="116"/>
      <c r="H366" s="116"/>
      <c r="I366" s="113">
        <f t="shared" si="1"/>
        <v>0</v>
      </c>
    </row>
    <row r="367">
      <c r="A367" s="111" t="str">
        <f>IF(B367="","",VLOOKUP(B367,'Mitglieder BBU'!A:K,6,0))</f>
        <v/>
      </c>
      <c r="B367" s="118"/>
      <c r="C367" s="116"/>
      <c r="D367" s="116"/>
      <c r="E367" s="116"/>
      <c r="F367" s="116"/>
      <c r="G367" s="116"/>
      <c r="H367" s="116"/>
      <c r="I367" s="113">
        <f t="shared" si="1"/>
        <v>0</v>
      </c>
    </row>
    <row r="368">
      <c r="A368" s="111" t="str">
        <f>IF(B368="","",VLOOKUP(B368,'Mitglieder BBU'!A:K,6,0))</f>
        <v/>
      </c>
      <c r="B368" s="118"/>
      <c r="C368" s="116"/>
      <c r="D368" s="116"/>
      <c r="E368" s="116"/>
      <c r="F368" s="116"/>
      <c r="G368" s="116"/>
      <c r="H368" s="116"/>
      <c r="I368" s="113">
        <f t="shared" si="1"/>
        <v>0</v>
      </c>
    </row>
    <row r="369">
      <c r="A369" s="111" t="str">
        <f>IF(B369="","",VLOOKUP(B369,'Mitglieder BBU'!A:K,6,0))</f>
        <v/>
      </c>
      <c r="B369" s="118"/>
      <c r="C369" s="116"/>
      <c r="D369" s="116"/>
      <c r="E369" s="116"/>
      <c r="F369" s="116"/>
      <c r="G369" s="116"/>
      <c r="H369" s="116"/>
      <c r="I369" s="113">
        <f t="shared" si="1"/>
        <v>0</v>
      </c>
    </row>
    <row r="370">
      <c r="A370" s="111" t="str">
        <f>IF(B370="","",VLOOKUP(B370,'Mitglieder BBU'!A:K,6,0))</f>
        <v/>
      </c>
      <c r="B370" s="118"/>
      <c r="C370" s="116"/>
      <c r="D370" s="116"/>
      <c r="E370" s="116"/>
      <c r="F370" s="116"/>
      <c r="G370" s="116"/>
      <c r="H370" s="116"/>
      <c r="I370" s="113">
        <f t="shared" si="1"/>
        <v>0</v>
      </c>
    </row>
    <row r="371">
      <c r="A371" s="111" t="str">
        <f>IF(B371="","",VLOOKUP(B371,'Mitglieder BBU'!A:K,6,0))</f>
        <v/>
      </c>
      <c r="B371" s="118"/>
      <c r="C371" s="116"/>
      <c r="D371" s="116"/>
      <c r="E371" s="116"/>
      <c r="F371" s="116"/>
      <c r="G371" s="116"/>
      <c r="H371" s="116"/>
      <c r="I371" s="113">
        <f t="shared" si="1"/>
        <v>0</v>
      </c>
    </row>
    <row r="372">
      <c r="A372" s="111" t="str">
        <f>IF(B372="","",VLOOKUP(B372,'Mitglieder BBU'!A:K,6,0))</f>
        <v/>
      </c>
      <c r="B372" s="118"/>
      <c r="C372" s="116"/>
      <c r="D372" s="116"/>
      <c r="E372" s="116"/>
      <c r="F372" s="116"/>
      <c r="G372" s="116"/>
      <c r="H372" s="116"/>
      <c r="I372" s="113">
        <f t="shared" si="1"/>
        <v>0</v>
      </c>
    </row>
    <row r="373">
      <c r="A373" s="111" t="str">
        <f>IF(B373="","",VLOOKUP(B373,'Mitglieder BBU'!A:K,6,0))</f>
        <v/>
      </c>
      <c r="B373" s="118"/>
      <c r="C373" s="116"/>
      <c r="D373" s="116"/>
      <c r="E373" s="116"/>
      <c r="F373" s="116"/>
      <c r="G373" s="116"/>
      <c r="H373" s="116"/>
      <c r="I373" s="113">
        <f t="shared" si="1"/>
        <v>0</v>
      </c>
    </row>
    <row r="374">
      <c r="A374" s="111" t="str">
        <f>IF(B374="","",VLOOKUP(B374,'Mitglieder BBU'!A:K,6,0))</f>
        <v/>
      </c>
      <c r="B374" s="118"/>
      <c r="C374" s="116"/>
      <c r="D374" s="116"/>
      <c r="E374" s="116"/>
      <c r="F374" s="116"/>
      <c r="G374" s="116"/>
      <c r="H374" s="116"/>
      <c r="I374" s="113">
        <f t="shared" si="1"/>
        <v>0</v>
      </c>
    </row>
    <row r="375">
      <c r="A375" s="111" t="str">
        <f>IF(B375="","",VLOOKUP(B375,'Mitglieder BBU'!A:K,6,0))</f>
        <v/>
      </c>
      <c r="B375" s="118"/>
      <c r="C375" s="116"/>
      <c r="D375" s="116"/>
      <c r="E375" s="116"/>
      <c r="F375" s="116"/>
      <c r="G375" s="116"/>
      <c r="H375" s="116"/>
      <c r="I375" s="113">
        <f t="shared" si="1"/>
        <v>0</v>
      </c>
    </row>
    <row r="376">
      <c r="A376" s="111" t="str">
        <f>IF(B376="","",VLOOKUP(B376,'Mitglieder BBU'!A:K,6,0))</f>
        <v/>
      </c>
      <c r="B376" s="118"/>
      <c r="C376" s="116"/>
      <c r="D376" s="116"/>
      <c r="E376" s="116"/>
      <c r="F376" s="116"/>
      <c r="G376" s="116"/>
      <c r="H376" s="116"/>
      <c r="I376" s="113">
        <f t="shared" si="1"/>
        <v>0</v>
      </c>
    </row>
    <row r="377">
      <c r="A377" s="111" t="str">
        <f>IF(B377="","",VLOOKUP(B377,'Mitglieder BBU'!A:K,6,0))</f>
        <v/>
      </c>
      <c r="B377" s="118"/>
      <c r="C377" s="116"/>
      <c r="D377" s="116"/>
      <c r="E377" s="116"/>
      <c r="F377" s="116"/>
      <c r="G377" s="116"/>
      <c r="H377" s="116"/>
      <c r="I377" s="113">
        <f t="shared" si="1"/>
        <v>0</v>
      </c>
    </row>
    <row r="378">
      <c r="A378" s="111" t="str">
        <f>IF(B378="","",VLOOKUP(B378,'Mitglieder BBU'!A:K,6,0))</f>
        <v/>
      </c>
      <c r="B378" s="118"/>
      <c r="C378" s="116"/>
      <c r="D378" s="116"/>
      <c r="E378" s="116"/>
      <c r="F378" s="116"/>
      <c r="G378" s="116"/>
      <c r="H378" s="116"/>
      <c r="I378" s="113">
        <f t="shared" si="1"/>
        <v>0</v>
      </c>
    </row>
    <row r="379">
      <c r="A379" s="111" t="str">
        <f>IF(B379="","",VLOOKUP(B379,'Mitglieder BBU'!A:K,6,0))</f>
        <v/>
      </c>
      <c r="B379" s="118"/>
      <c r="C379" s="116"/>
      <c r="D379" s="116"/>
      <c r="E379" s="116"/>
      <c r="F379" s="116"/>
      <c r="G379" s="116"/>
      <c r="H379" s="116"/>
      <c r="I379" s="113">
        <f t="shared" si="1"/>
        <v>0</v>
      </c>
    </row>
    <row r="380">
      <c r="A380" s="111" t="str">
        <f>IF(B380="","",VLOOKUP(B380,'Mitglieder BBU'!A:K,6,0))</f>
        <v/>
      </c>
      <c r="B380" s="118"/>
      <c r="C380" s="116"/>
      <c r="D380" s="116"/>
      <c r="E380" s="116"/>
      <c r="F380" s="116"/>
      <c r="G380" s="116"/>
      <c r="H380" s="116"/>
      <c r="I380" s="113">
        <f t="shared" si="1"/>
        <v>0</v>
      </c>
    </row>
    <row r="381">
      <c r="A381" s="111" t="str">
        <f>IF(B381="","",VLOOKUP(B381,'Mitglieder BBU'!A:K,6,0))</f>
        <v/>
      </c>
      <c r="B381" s="118"/>
      <c r="C381" s="116"/>
      <c r="D381" s="116"/>
      <c r="E381" s="116"/>
      <c r="F381" s="116"/>
      <c r="G381" s="116"/>
      <c r="H381" s="116"/>
      <c r="I381" s="113">
        <f t="shared" si="1"/>
        <v>0</v>
      </c>
    </row>
    <row r="382">
      <c r="A382" s="111" t="str">
        <f>IF(B382="","",VLOOKUP(B382,'Mitglieder BBU'!A:K,6,0))</f>
        <v/>
      </c>
      <c r="B382" s="118"/>
      <c r="C382" s="116"/>
      <c r="D382" s="116"/>
      <c r="E382" s="116"/>
      <c r="F382" s="116"/>
      <c r="G382" s="116"/>
      <c r="H382" s="116"/>
      <c r="I382" s="113">
        <f t="shared" si="1"/>
        <v>0</v>
      </c>
    </row>
    <row r="383">
      <c r="A383" s="111" t="str">
        <f>IF(B383="","",VLOOKUP(B383,'Mitglieder BBU'!A:K,6,0))</f>
        <v/>
      </c>
      <c r="B383" s="118"/>
      <c r="C383" s="116"/>
      <c r="D383" s="116"/>
      <c r="E383" s="116"/>
      <c r="F383" s="116"/>
      <c r="G383" s="116"/>
      <c r="H383" s="116"/>
      <c r="I383" s="113">
        <f t="shared" si="1"/>
        <v>0</v>
      </c>
    </row>
    <row r="384">
      <c r="A384" s="111" t="str">
        <f>IF(B384="","",VLOOKUP(B384,'Mitglieder BBU'!A:K,6,0))</f>
        <v/>
      </c>
      <c r="B384" s="118"/>
      <c r="C384" s="116"/>
      <c r="D384" s="116"/>
      <c r="E384" s="116"/>
      <c r="F384" s="116"/>
      <c r="G384" s="116"/>
      <c r="H384" s="116"/>
      <c r="I384" s="113">
        <f t="shared" si="1"/>
        <v>0</v>
      </c>
    </row>
    <row r="385">
      <c r="A385" s="111" t="str">
        <f>IF(B385="","",VLOOKUP(B385,'Mitglieder BBU'!A:K,6,0))</f>
        <v/>
      </c>
      <c r="B385" s="118"/>
      <c r="C385" s="116"/>
      <c r="D385" s="116"/>
      <c r="E385" s="116"/>
      <c r="F385" s="116"/>
      <c r="G385" s="116"/>
      <c r="H385" s="116"/>
      <c r="I385" s="113">
        <f t="shared" si="1"/>
        <v>0</v>
      </c>
    </row>
    <row r="386">
      <c r="A386" s="111" t="str">
        <f>IF(B386="","",VLOOKUP(B386,'Mitglieder BBU'!A:K,6,0))</f>
        <v/>
      </c>
      <c r="B386" s="118"/>
      <c r="C386" s="116"/>
      <c r="D386" s="116"/>
      <c r="E386" s="116"/>
      <c r="F386" s="116"/>
      <c r="G386" s="116"/>
      <c r="H386" s="116"/>
      <c r="I386" s="113">
        <f t="shared" si="1"/>
        <v>0</v>
      </c>
    </row>
    <row r="387">
      <c r="A387" s="111" t="str">
        <f>IF(B387="","",VLOOKUP(B387,'Mitglieder BBU'!A:K,6,0))</f>
        <v/>
      </c>
      <c r="B387" s="118"/>
      <c r="C387" s="116"/>
      <c r="D387" s="116"/>
      <c r="E387" s="116"/>
      <c r="F387" s="116"/>
      <c r="G387" s="116"/>
      <c r="H387" s="116"/>
      <c r="I387" s="113">
        <f t="shared" si="1"/>
        <v>0</v>
      </c>
    </row>
    <row r="388">
      <c r="A388" s="111" t="str">
        <f>IF(B388="","",VLOOKUP(B388,'Mitglieder BBU'!A:K,6,0))</f>
        <v/>
      </c>
      <c r="B388" s="118"/>
      <c r="C388" s="116"/>
      <c r="D388" s="116"/>
      <c r="E388" s="116"/>
      <c r="F388" s="116"/>
      <c r="G388" s="116"/>
      <c r="H388" s="116"/>
      <c r="I388" s="113">
        <f t="shared" si="1"/>
        <v>0</v>
      </c>
    </row>
    <row r="389">
      <c r="A389" s="111" t="str">
        <f>IF(B389="","",VLOOKUP(B389,'Mitglieder BBU'!A:K,6,0))</f>
        <v/>
      </c>
      <c r="B389" s="118"/>
      <c r="C389" s="116"/>
      <c r="D389" s="116"/>
      <c r="E389" s="116"/>
      <c r="F389" s="116"/>
      <c r="G389" s="116"/>
      <c r="H389" s="116"/>
      <c r="I389" s="113">
        <f t="shared" si="1"/>
        <v>0</v>
      </c>
    </row>
    <row r="390">
      <c r="A390" s="111" t="str">
        <f>IF(B390="","",VLOOKUP(B390,'Mitglieder BBU'!A:K,6,0))</f>
        <v/>
      </c>
      <c r="B390" s="118"/>
      <c r="C390" s="116"/>
      <c r="D390" s="116"/>
      <c r="E390" s="116"/>
      <c r="F390" s="116"/>
      <c r="G390" s="116"/>
      <c r="H390" s="116"/>
      <c r="I390" s="113">
        <f t="shared" si="1"/>
        <v>0</v>
      </c>
    </row>
    <row r="391">
      <c r="A391" s="111" t="str">
        <f>IF(B391="","",VLOOKUP(B391,'Mitglieder BBU'!A:K,6,0))</f>
        <v/>
      </c>
      <c r="B391" s="118"/>
      <c r="C391" s="116"/>
      <c r="D391" s="116"/>
      <c r="E391" s="116"/>
      <c r="F391" s="116"/>
      <c r="G391" s="116"/>
      <c r="H391" s="116"/>
      <c r="I391" s="113">
        <f t="shared" si="1"/>
        <v>0</v>
      </c>
    </row>
    <row r="392">
      <c r="A392" s="111" t="str">
        <f>IF(B392="","",VLOOKUP(B392,'Mitglieder BBU'!A:K,6,0))</f>
        <v/>
      </c>
      <c r="B392" s="118"/>
      <c r="C392" s="116"/>
      <c r="D392" s="116"/>
      <c r="E392" s="116"/>
      <c r="F392" s="116"/>
      <c r="G392" s="116"/>
      <c r="H392" s="116"/>
      <c r="I392" s="113">
        <f t="shared" si="1"/>
        <v>0</v>
      </c>
    </row>
    <row r="393">
      <c r="A393" s="111" t="str">
        <f>IF(B393="","",VLOOKUP(B393,'Mitglieder BBU'!A:K,6,0))</f>
        <v/>
      </c>
      <c r="B393" s="118"/>
      <c r="C393" s="116"/>
      <c r="D393" s="116"/>
      <c r="E393" s="116"/>
      <c r="F393" s="116"/>
      <c r="G393" s="116"/>
      <c r="H393" s="116"/>
      <c r="I393" s="113">
        <f t="shared" si="1"/>
        <v>0</v>
      </c>
    </row>
    <row r="394">
      <c r="A394" s="111" t="str">
        <f>IF(B394="","",VLOOKUP(B394,'Mitglieder BBU'!A:K,6,0))</f>
        <v/>
      </c>
      <c r="B394" s="118"/>
      <c r="C394" s="116"/>
      <c r="D394" s="116"/>
      <c r="E394" s="116"/>
      <c r="F394" s="116"/>
      <c r="G394" s="116"/>
      <c r="H394" s="116"/>
      <c r="I394" s="113">
        <f t="shared" si="1"/>
        <v>0</v>
      </c>
    </row>
    <row r="395">
      <c r="A395" s="111" t="str">
        <f>IF(B395="","",VLOOKUP(B395,'Mitglieder BBU'!A:K,6,0))</f>
        <v/>
      </c>
      <c r="B395" s="118"/>
      <c r="C395" s="116"/>
      <c r="D395" s="116"/>
      <c r="E395" s="116"/>
      <c r="F395" s="116"/>
      <c r="G395" s="116"/>
      <c r="H395" s="116"/>
      <c r="I395" s="113">
        <f t="shared" si="1"/>
        <v>0</v>
      </c>
    </row>
    <row r="396">
      <c r="A396" s="111" t="str">
        <f>IF(B396="","",VLOOKUP(B396,'Mitglieder BBU'!A:K,6,0))</f>
        <v/>
      </c>
      <c r="B396" s="118"/>
      <c r="C396" s="116"/>
      <c r="D396" s="116"/>
      <c r="E396" s="116"/>
      <c r="F396" s="116"/>
      <c r="G396" s="116"/>
      <c r="H396" s="116"/>
      <c r="I396" s="113">
        <f t="shared" si="1"/>
        <v>0</v>
      </c>
    </row>
    <row r="397">
      <c r="A397" s="111" t="str">
        <f>IF(B397="","",VLOOKUP(B397,'Mitglieder BBU'!A:K,6,0))</f>
        <v/>
      </c>
      <c r="B397" s="118"/>
      <c r="C397" s="116"/>
      <c r="D397" s="116"/>
      <c r="E397" s="116"/>
      <c r="F397" s="116"/>
      <c r="G397" s="116"/>
      <c r="H397" s="116"/>
      <c r="I397" s="113">
        <f t="shared" si="1"/>
        <v>0</v>
      </c>
    </row>
    <row r="398">
      <c r="A398" s="111" t="str">
        <f>IF(B398="","",VLOOKUP(B398,'Mitglieder BBU'!A:K,6,0))</f>
        <v/>
      </c>
      <c r="B398" s="118"/>
      <c r="C398" s="116"/>
      <c r="D398" s="116"/>
      <c r="E398" s="116"/>
      <c r="F398" s="116"/>
      <c r="G398" s="116"/>
      <c r="H398" s="116"/>
      <c r="I398" s="113">
        <f t="shared" si="1"/>
        <v>0</v>
      </c>
    </row>
    <row r="399">
      <c r="A399" s="111" t="str">
        <f>IF(B399="","",VLOOKUP(B399,'Mitglieder BBU'!A:K,6,0))</f>
        <v/>
      </c>
      <c r="B399" s="118"/>
      <c r="C399" s="116"/>
      <c r="D399" s="116"/>
      <c r="E399" s="116"/>
      <c r="F399" s="116"/>
      <c r="G399" s="116"/>
      <c r="H399" s="116"/>
      <c r="I399" s="113">
        <f t="shared" si="1"/>
        <v>0</v>
      </c>
    </row>
    <row r="400">
      <c r="A400" s="111" t="str">
        <f>IF(B400="","",VLOOKUP(B400,'Mitglieder BBU'!A:K,6,0))</f>
        <v/>
      </c>
      <c r="B400" s="118"/>
      <c r="C400" s="116"/>
      <c r="D400" s="116"/>
      <c r="E400" s="116"/>
      <c r="F400" s="116"/>
      <c r="G400" s="116"/>
      <c r="H400" s="116"/>
      <c r="I400" s="113">
        <f t="shared" si="1"/>
        <v>0</v>
      </c>
    </row>
    <row r="401">
      <c r="G401" s="101"/>
      <c r="H401" s="101"/>
    </row>
    <row r="402">
      <c r="G402" s="101"/>
      <c r="H402" s="101"/>
    </row>
    <row r="403">
      <c r="G403" s="101"/>
      <c r="H403" s="101"/>
    </row>
    <row r="404">
      <c r="G404" s="101"/>
      <c r="H404" s="101"/>
    </row>
    <row r="405">
      <c r="G405" s="101"/>
      <c r="H405" s="101"/>
    </row>
    <row r="406">
      <c r="G406" s="101"/>
      <c r="H406" s="101"/>
    </row>
    <row r="407">
      <c r="G407" s="101"/>
      <c r="H407" s="101"/>
    </row>
    <row r="408">
      <c r="G408" s="101"/>
      <c r="H408" s="101"/>
    </row>
    <row r="409">
      <c r="G409" s="101"/>
      <c r="H409" s="101"/>
    </row>
    <row r="410">
      <c r="G410" s="101"/>
      <c r="H410" s="101"/>
    </row>
    <row r="411">
      <c r="G411" s="101"/>
      <c r="H411" s="101"/>
    </row>
    <row r="412">
      <c r="G412" s="101"/>
      <c r="H412" s="101"/>
    </row>
    <row r="413">
      <c r="G413" s="101"/>
      <c r="H413" s="101"/>
    </row>
    <row r="414">
      <c r="G414" s="101"/>
      <c r="H414" s="101"/>
    </row>
    <row r="415">
      <c r="G415" s="101"/>
      <c r="H415" s="101"/>
    </row>
    <row r="416">
      <c r="G416" s="101"/>
      <c r="H416" s="101"/>
    </row>
    <row r="417">
      <c r="G417" s="101"/>
      <c r="H417" s="101"/>
    </row>
    <row r="418">
      <c r="G418" s="101"/>
      <c r="H418" s="101"/>
    </row>
    <row r="419">
      <c r="G419" s="101"/>
      <c r="H419" s="101"/>
    </row>
    <row r="420">
      <c r="G420" s="101"/>
      <c r="H420" s="101"/>
    </row>
    <row r="421">
      <c r="G421" s="101"/>
      <c r="H421" s="101"/>
    </row>
    <row r="422">
      <c r="G422" s="101"/>
      <c r="H422" s="101"/>
    </row>
    <row r="423">
      <c r="G423" s="101"/>
      <c r="H423" s="101"/>
    </row>
    <row r="424">
      <c r="G424" s="101"/>
      <c r="H424" s="101"/>
    </row>
    <row r="425">
      <c r="G425" s="101"/>
      <c r="H425" s="101"/>
    </row>
    <row r="426">
      <c r="G426" s="101"/>
      <c r="H426" s="101"/>
    </row>
    <row r="427">
      <c r="G427" s="101"/>
      <c r="H427" s="101"/>
    </row>
    <row r="428">
      <c r="G428" s="101"/>
      <c r="H428" s="101"/>
    </row>
    <row r="429">
      <c r="G429" s="101"/>
      <c r="H429" s="101"/>
    </row>
    <row r="430">
      <c r="G430" s="101"/>
      <c r="H430" s="101"/>
    </row>
    <row r="431">
      <c r="G431" s="101"/>
      <c r="H431" s="101"/>
    </row>
    <row r="432">
      <c r="G432" s="101"/>
      <c r="H432" s="101"/>
    </row>
    <row r="433">
      <c r="G433" s="101"/>
      <c r="H433" s="101"/>
    </row>
    <row r="434">
      <c r="G434" s="101"/>
      <c r="H434" s="101"/>
    </row>
    <row r="435">
      <c r="G435" s="101"/>
      <c r="H435" s="101"/>
    </row>
    <row r="436">
      <c r="G436" s="101"/>
      <c r="H436" s="101"/>
    </row>
    <row r="437">
      <c r="G437" s="101"/>
      <c r="H437" s="101"/>
    </row>
    <row r="438">
      <c r="G438" s="101"/>
      <c r="H438" s="101"/>
    </row>
    <row r="439">
      <c r="G439" s="101"/>
      <c r="H439" s="101"/>
    </row>
    <row r="440">
      <c r="G440" s="101"/>
      <c r="H440" s="101"/>
    </row>
    <row r="441">
      <c r="G441" s="101"/>
      <c r="H441" s="101"/>
    </row>
    <row r="442">
      <c r="G442" s="101"/>
      <c r="H442" s="101"/>
    </row>
    <row r="443">
      <c r="G443" s="101"/>
      <c r="H443" s="101"/>
    </row>
    <row r="444">
      <c r="G444" s="101"/>
      <c r="H444" s="101"/>
    </row>
    <row r="445">
      <c r="G445" s="101"/>
      <c r="H445" s="101"/>
    </row>
    <row r="446">
      <c r="G446" s="101"/>
      <c r="H446" s="101"/>
    </row>
    <row r="447">
      <c r="G447" s="101"/>
      <c r="H447" s="101"/>
    </row>
    <row r="448">
      <c r="G448" s="101"/>
      <c r="H448" s="101"/>
    </row>
    <row r="449">
      <c r="G449" s="101"/>
      <c r="H449" s="101"/>
    </row>
    <row r="450">
      <c r="G450" s="101"/>
      <c r="H450" s="101"/>
    </row>
    <row r="451">
      <c r="G451" s="101"/>
      <c r="H451" s="101"/>
    </row>
    <row r="452">
      <c r="G452" s="101"/>
      <c r="H452" s="101"/>
    </row>
    <row r="453">
      <c r="G453" s="101"/>
      <c r="H453" s="101"/>
    </row>
    <row r="454">
      <c r="G454" s="101"/>
      <c r="H454" s="101"/>
    </row>
    <row r="455">
      <c r="G455" s="101"/>
      <c r="H455" s="101"/>
    </row>
    <row r="456">
      <c r="G456" s="101"/>
      <c r="H456" s="101"/>
    </row>
    <row r="457">
      <c r="G457" s="101"/>
      <c r="H457" s="101"/>
    </row>
    <row r="458">
      <c r="G458" s="101"/>
      <c r="H458" s="101"/>
    </row>
    <row r="459">
      <c r="G459" s="101"/>
      <c r="H459" s="101"/>
    </row>
    <row r="460">
      <c r="G460" s="101"/>
      <c r="H460" s="101"/>
    </row>
    <row r="461">
      <c r="G461" s="101"/>
      <c r="H461" s="101"/>
    </row>
    <row r="462">
      <c r="G462" s="101"/>
      <c r="H462" s="101"/>
    </row>
    <row r="463">
      <c r="G463" s="101"/>
      <c r="H463" s="101"/>
    </row>
    <row r="464">
      <c r="G464" s="101"/>
      <c r="H464" s="101"/>
    </row>
    <row r="465">
      <c r="G465" s="101"/>
      <c r="H465" s="101"/>
    </row>
    <row r="466">
      <c r="G466" s="101"/>
      <c r="H466" s="101"/>
    </row>
    <row r="467">
      <c r="G467" s="101"/>
      <c r="H467" s="101"/>
    </row>
    <row r="468">
      <c r="G468" s="101"/>
      <c r="H468" s="101"/>
    </row>
    <row r="469">
      <c r="G469" s="101"/>
      <c r="H469" s="101"/>
    </row>
    <row r="470">
      <c r="G470" s="101"/>
      <c r="H470" s="101"/>
    </row>
    <row r="471">
      <c r="G471" s="101"/>
      <c r="H471" s="101"/>
    </row>
    <row r="472">
      <c r="G472" s="101"/>
      <c r="H472" s="101"/>
    </row>
    <row r="473">
      <c r="G473" s="101"/>
      <c r="H473" s="101"/>
    </row>
    <row r="474">
      <c r="G474" s="101"/>
      <c r="H474" s="101"/>
    </row>
    <row r="475">
      <c r="G475" s="101"/>
      <c r="H475" s="101"/>
    </row>
    <row r="476">
      <c r="G476" s="101"/>
      <c r="H476" s="101"/>
    </row>
    <row r="477">
      <c r="G477" s="101"/>
      <c r="H477" s="101"/>
    </row>
    <row r="478">
      <c r="G478" s="101"/>
      <c r="H478" s="101"/>
    </row>
    <row r="479">
      <c r="G479" s="101"/>
      <c r="H479" s="101"/>
    </row>
    <row r="480">
      <c r="G480" s="101"/>
      <c r="H480" s="101"/>
    </row>
    <row r="481">
      <c r="G481" s="101"/>
      <c r="H481" s="101"/>
    </row>
    <row r="482">
      <c r="G482" s="101"/>
      <c r="H482" s="101"/>
    </row>
    <row r="483">
      <c r="G483" s="101"/>
      <c r="H483" s="101"/>
    </row>
    <row r="484">
      <c r="G484" s="101"/>
      <c r="H484" s="101"/>
    </row>
    <row r="485">
      <c r="G485" s="101"/>
      <c r="H485" s="101"/>
    </row>
    <row r="486">
      <c r="G486" s="101"/>
      <c r="H486" s="101"/>
    </row>
    <row r="487">
      <c r="G487" s="101"/>
      <c r="H487" s="101"/>
    </row>
    <row r="488">
      <c r="G488" s="101"/>
      <c r="H488" s="101"/>
    </row>
    <row r="489">
      <c r="G489" s="101"/>
      <c r="H489" s="101"/>
    </row>
    <row r="490">
      <c r="G490" s="101"/>
      <c r="H490" s="101"/>
    </row>
    <row r="491">
      <c r="G491" s="101"/>
      <c r="H491" s="101"/>
    </row>
    <row r="492">
      <c r="G492" s="101"/>
      <c r="H492" s="101"/>
    </row>
    <row r="493">
      <c r="G493" s="101"/>
      <c r="H493" s="101"/>
    </row>
    <row r="494">
      <c r="G494" s="101"/>
      <c r="H494" s="101"/>
    </row>
    <row r="495">
      <c r="G495" s="101"/>
      <c r="H495" s="101"/>
    </row>
    <row r="496">
      <c r="G496" s="101"/>
      <c r="H496" s="101"/>
    </row>
    <row r="497">
      <c r="G497" s="101"/>
      <c r="H497" s="101"/>
    </row>
    <row r="498">
      <c r="G498" s="101"/>
      <c r="H498" s="101"/>
    </row>
    <row r="499">
      <c r="G499" s="101"/>
      <c r="H499" s="101"/>
    </row>
    <row r="500">
      <c r="G500" s="101"/>
      <c r="H500" s="101"/>
    </row>
    <row r="501">
      <c r="G501" s="101"/>
      <c r="H501" s="101"/>
    </row>
    <row r="502">
      <c r="G502" s="101"/>
      <c r="H502" s="101"/>
    </row>
    <row r="503">
      <c r="G503" s="101"/>
      <c r="H503" s="101"/>
    </row>
    <row r="504">
      <c r="G504" s="101"/>
      <c r="H504" s="101"/>
    </row>
    <row r="505">
      <c r="G505" s="101"/>
      <c r="H505" s="101"/>
    </row>
    <row r="506">
      <c r="G506" s="101"/>
      <c r="H506" s="101"/>
    </row>
    <row r="507">
      <c r="G507" s="101"/>
      <c r="H507" s="101"/>
    </row>
    <row r="508">
      <c r="G508" s="101"/>
      <c r="H508" s="101"/>
    </row>
    <row r="509">
      <c r="G509" s="101"/>
      <c r="H509" s="101"/>
    </row>
    <row r="510">
      <c r="G510" s="101"/>
      <c r="H510" s="101"/>
    </row>
    <row r="511">
      <c r="G511" s="101"/>
      <c r="H511" s="101"/>
    </row>
    <row r="512">
      <c r="G512" s="101"/>
      <c r="H512" s="101"/>
    </row>
    <row r="513">
      <c r="G513" s="101"/>
      <c r="H513" s="101"/>
    </row>
    <row r="514">
      <c r="G514" s="101"/>
      <c r="H514" s="101"/>
    </row>
    <row r="515">
      <c r="G515" s="101"/>
      <c r="H515" s="101"/>
    </row>
    <row r="516">
      <c r="G516" s="101"/>
      <c r="H516" s="101"/>
    </row>
    <row r="517">
      <c r="G517" s="101"/>
      <c r="H517" s="101"/>
    </row>
    <row r="518">
      <c r="G518" s="101"/>
      <c r="H518" s="101"/>
    </row>
    <row r="519">
      <c r="G519" s="101"/>
      <c r="H519" s="101"/>
    </row>
    <row r="520">
      <c r="G520" s="101"/>
      <c r="H520" s="101"/>
    </row>
    <row r="521">
      <c r="G521" s="101"/>
      <c r="H521" s="101"/>
    </row>
    <row r="522">
      <c r="G522" s="101"/>
      <c r="H522" s="101"/>
    </row>
    <row r="523">
      <c r="G523" s="101"/>
      <c r="H523" s="101"/>
    </row>
    <row r="524">
      <c r="G524" s="101"/>
      <c r="H524" s="101"/>
    </row>
    <row r="525">
      <c r="G525" s="101"/>
      <c r="H525" s="101"/>
    </row>
    <row r="526">
      <c r="G526" s="101"/>
      <c r="H526" s="101"/>
    </row>
    <row r="527">
      <c r="G527" s="101"/>
      <c r="H527" s="101"/>
    </row>
    <row r="528">
      <c r="G528" s="101"/>
      <c r="H528" s="101"/>
    </row>
    <row r="529">
      <c r="G529" s="101"/>
      <c r="H529" s="101"/>
    </row>
    <row r="530">
      <c r="G530" s="101"/>
      <c r="H530" s="101"/>
    </row>
    <row r="531">
      <c r="G531" s="101"/>
      <c r="H531" s="101"/>
    </row>
    <row r="532">
      <c r="G532" s="101"/>
      <c r="H532" s="101"/>
    </row>
    <row r="533">
      <c r="G533" s="101"/>
      <c r="H533" s="101"/>
    </row>
    <row r="534">
      <c r="G534" s="101"/>
      <c r="H534" s="101"/>
    </row>
    <row r="535">
      <c r="G535" s="101"/>
      <c r="H535" s="101"/>
    </row>
    <row r="536">
      <c r="G536" s="101"/>
      <c r="H536" s="101"/>
    </row>
    <row r="537">
      <c r="G537" s="101"/>
      <c r="H537" s="101"/>
    </row>
    <row r="538">
      <c r="G538" s="101"/>
      <c r="H538" s="101"/>
    </row>
    <row r="539">
      <c r="G539" s="101"/>
      <c r="H539" s="101"/>
    </row>
    <row r="540">
      <c r="G540" s="101"/>
      <c r="H540" s="101"/>
    </row>
    <row r="541">
      <c r="G541" s="101"/>
      <c r="H541" s="101"/>
    </row>
    <row r="542">
      <c r="G542" s="101"/>
      <c r="H542" s="101"/>
    </row>
    <row r="543">
      <c r="G543" s="101"/>
      <c r="H543" s="101"/>
    </row>
    <row r="544">
      <c r="G544" s="101"/>
      <c r="H544" s="101"/>
    </row>
    <row r="545">
      <c r="G545" s="101"/>
      <c r="H545" s="101"/>
    </row>
    <row r="546">
      <c r="G546" s="101"/>
      <c r="H546" s="101"/>
    </row>
    <row r="547">
      <c r="G547" s="101"/>
      <c r="H547" s="101"/>
    </row>
    <row r="548">
      <c r="G548" s="101"/>
      <c r="H548" s="101"/>
    </row>
    <row r="549">
      <c r="G549" s="101"/>
      <c r="H549" s="101"/>
    </row>
    <row r="550">
      <c r="G550" s="101"/>
      <c r="H550" s="101"/>
    </row>
    <row r="551">
      <c r="G551" s="101"/>
      <c r="H551" s="101"/>
    </row>
    <row r="552">
      <c r="G552" s="101"/>
      <c r="H552" s="101"/>
    </row>
    <row r="553">
      <c r="G553" s="101"/>
      <c r="H553" s="101"/>
    </row>
    <row r="554">
      <c r="G554" s="101"/>
      <c r="H554" s="101"/>
    </row>
    <row r="555">
      <c r="G555" s="101"/>
      <c r="H555" s="101"/>
    </row>
    <row r="556">
      <c r="G556" s="101"/>
      <c r="H556" s="101"/>
    </row>
    <row r="557">
      <c r="G557" s="101"/>
      <c r="H557" s="101"/>
    </row>
    <row r="558">
      <c r="G558" s="101"/>
      <c r="H558" s="101"/>
    </row>
    <row r="559">
      <c r="G559" s="101"/>
      <c r="H559" s="101"/>
    </row>
    <row r="560">
      <c r="G560" s="101"/>
      <c r="H560" s="101"/>
    </row>
    <row r="561">
      <c r="G561" s="101"/>
      <c r="H561" s="101"/>
    </row>
    <row r="562">
      <c r="G562" s="101"/>
      <c r="H562" s="101"/>
    </row>
    <row r="563">
      <c r="G563" s="101"/>
      <c r="H563" s="101"/>
    </row>
    <row r="564">
      <c r="G564" s="101"/>
      <c r="H564" s="101"/>
    </row>
    <row r="565">
      <c r="G565" s="101"/>
      <c r="H565" s="101"/>
    </row>
    <row r="566">
      <c r="G566" s="101"/>
      <c r="H566" s="101"/>
    </row>
    <row r="567">
      <c r="G567" s="101"/>
      <c r="H567" s="101"/>
    </row>
    <row r="568">
      <c r="G568" s="101"/>
      <c r="H568" s="101"/>
    </row>
    <row r="569">
      <c r="G569" s="101"/>
      <c r="H569" s="101"/>
    </row>
    <row r="570">
      <c r="G570" s="101"/>
      <c r="H570" s="101"/>
    </row>
    <row r="571">
      <c r="G571" s="101"/>
      <c r="H571" s="101"/>
    </row>
    <row r="572">
      <c r="G572" s="101"/>
      <c r="H572" s="101"/>
    </row>
    <row r="573">
      <c r="G573" s="101"/>
      <c r="H573" s="101"/>
    </row>
    <row r="574">
      <c r="G574" s="101"/>
      <c r="H574" s="101"/>
    </row>
    <row r="575">
      <c r="G575" s="101"/>
      <c r="H575" s="101"/>
    </row>
    <row r="576">
      <c r="G576" s="101"/>
      <c r="H576" s="101"/>
    </row>
    <row r="577">
      <c r="G577" s="101"/>
      <c r="H577" s="101"/>
    </row>
    <row r="578">
      <c r="G578" s="101"/>
      <c r="H578" s="101"/>
    </row>
    <row r="579">
      <c r="G579" s="101"/>
      <c r="H579" s="101"/>
    </row>
    <row r="580">
      <c r="G580" s="101"/>
      <c r="H580" s="101"/>
    </row>
    <row r="581">
      <c r="G581" s="101"/>
      <c r="H581" s="101"/>
    </row>
    <row r="582">
      <c r="G582" s="101"/>
      <c r="H582" s="101"/>
    </row>
    <row r="583">
      <c r="G583" s="101"/>
      <c r="H583" s="101"/>
    </row>
    <row r="584">
      <c r="G584" s="101"/>
      <c r="H584" s="101"/>
    </row>
    <row r="585">
      <c r="G585" s="101"/>
      <c r="H585" s="101"/>
    </row>
    <row r="586">
      <c r="G586" s="101"/>
      <c r="H586" s="101"/>
    </row>
    <row r="587">
      <c r="G587" s="101"/>
      <c r="H587" s="101"/>
    </row>
    <row r="588">
      <c r="G588" s="101"/>
      <c r="H588" s="101"/>
    </row>
    <row r="589">
      <c r="G589" s="101"/>
      <c r="H589" s="101"/>
    </row>
    <row r="590">
      <c r="G590" s="101"/>
      <c r="H590" s="101"/>
    </row>
    <row r="591">
      <c r="G591" s="101"/>
      <c r="H591" s="101"/>
    </row>
    <row r="592">
      <c r="G592" s="101"/>
      <c r="H592" s="101"/>
    </row>
    <row r="593">
      <c r="G593" s="101"/>
      <c r="H593" s="101"/>
    </row>
    <row r="594">
      <c r="G594" s="101"/>
      <c r="H594" s="101"/>
    </row>
    <row r="595">
      <c r="G595" s="101"/>
      <c r="H595" s="101"/>
    </row>
    <row r="596">
      <c r="G596" s="101"/>
      <c r="H596" s="101"/>
    </row>
    <row r="597">
      <c r="G597" s="101"/>
      <c r="H597" s="101"/>
    </row>
    <row r="598">
      <c r="G598" s="101"/>
      <c r="H598" s="101"/>
    </row>
    <row r="599">
      <c r="G599" s="101"/>
      <c r="H599" s="101"/>
    </row>
    <row r="600">
      <c r="G600" s="101"/>
      <c r="H600" s="101"/>
    </row>
    <row r="601">
      <c r="G601" s="101"/>
      <c r="H601" s="101"/>
    </row>
    <row r="602">
      <c r="G602" s="101"/>
      <c r="H602" s="101"/>
    </row>
    <row r="603">
      <c r="G603" s="101"/>
      <c r="H603" s="101"/>
    </row>
    <row r="604">
      <c r="G604" s="101"/>
      <c r="H604" s="101"/>
    </row>
    <row r="605">
      <c r="G605" s="101"/>
      <c r="H605" s="101"/>
    </row>
    <row r="606">
      <c r="G606" s="101"/>
      <c r="H606" s="101"/>
    </row>
    <row r="607">
      <c r="G607" s="101"/>
      <c r="H607" s="101"/>
    </row>
    <row r="608">
      <c r="G608" s="101"/>
      <c r="H608" s="101"/>
    </row>
    <row r="609">
      <c r="G609" s="101"/>
      <c r="H609" s="101"/>
    </row>
    <row r="610">
      <c r="G610" s="101"/>
      <c r="H610" s="101"/>
    </row>
    <row r="611">
      <c r="G611" s="101"/>
      <c r="H611" s="101"/>
    </row>
    <row r="612">
      <c r="G612" s="101"/>
      <c r="H612" s="101"/>
    </row>
    <row r="613">
      <c r="G613" s="101"/>
      <c r="H613" s="101"/>
    </row>
    <row r="614">
      <c r="G614" s="101"/>
      <c r="H614" s="101"/>
    </row>
    <row r="615">
      <c r="G615" s="101"/>
      <c r="H615" s="101"/>
    </row>
    <row r="616">
      <c r="G616" s="101"/>
      <c r="H616" s="101"/>
    </row>
    <row r="617">
      <c r="G617" s="101"/>
      <c r="H617" s="101"/>
    </row>
    <row r="618">
      <c r="G618" s="101"/>
      <c r="H618" s="101"/>
    </row>
    <row r="619">
      <c r="G619" s="101"/>
      <c r="H619" s="101"/>
    </row>
    <row r="620">
      <c r="G620" s="101"/>
      <c r="H620" s="101"/>
    </row>
    <row r="621">
      <c r="G621" s="101"/>
      <c r="H621" s="101"/>
    </row>
    <row r="622">
      <c r="G622" s="101"/>
      <c r="H622" s="101"/>
    </row>
    <row r="623">
      <c r="G623" s="101"/>
      <c r="H623" s="101"/>
    </row>
    <row r="624">
      <c r="G624" s="101"/>
      <c r="H624" s="101"/>
    </row>
    <row r="625">
      <c r="G625" s="101"/>
      <c r="H625" s="101"/>
    </row>
    <row r="626">
      <c r="G626" s="101"/>
      <c r="H626" s="101"/>
    </row>
    <row r="627">
      <c r="G627" s="101"/>
      <c r="H627" s="101"/>
    </row>
    <row r="628">
      <c r="G628" s="101"/>
      <c r="H628" s="101"/>
    </row>
    <row r="629">
      <c r="G629" s="101"/>
      <c r="H629" s="101"/>
    </row>
    <row r="630">
      <c r="G630" s="101"/>
      <c r="H630" s="101"/>
    </row>
    <row r="631">
      <c r="G631" s="101"/>
      <c r="H631" s="101"/>
    </row>
    <row r="632">
      <c r="G632" s="101"/>
      <c r="H632" s="101"/>
    </row>
    <row r="633">
      <c r="G633" s="101"/>
      <c r="H633" s="101"/>
    </row>
    <row r="634">
      <c r="G634" s="101"/>
      <c r="H634" s="101"/>
    </row>
    <row r="635">
      <c r="G635" s="101"/>
      <c r="H635" s="101"/>
    </row>
    <row r="636">
      <c r="G636" s="101"/>
      <c r="H636" s="101"/>
    </row>
    <row r="637">
      <c r="G637" s="101"/>
      <c r="H637" s="101"/>
    </row>
    <row r="638">
      <c r="G638" s="101"/>
      <c r="H638" s="101"/>
    </row>
    <row r="639">
      <c r="G639" s="101"/>
      <c r="H639" s="101"/>
    </row>
    <row r="640">
      <c r="G640" s="101"/>
      <c r="H640" s="101"/>
    </row>
    <row r="641">
      <c r="G641" s="101"/>
      <c r="H641" s="101"/>
    </row>
    <row r="642">
      <c r="G642" s="101"/>
      <c r="H642" s="101"/>
    </row>
    <row r="643">
      <c r="G643" s="101"/>
      <c r="H643" s="101"/>
    </row>
    <row r="644">
      <c r="G644" s="101"/>
      <c r="H644" s="101"/>
    </row>
    <row r="645">
      <c r="G645" s="101"/>
      <c r="H645" s="101"/>
    </row>
    <row r="646">
      <c r="G646" s="101"/>
      <c r="H646" s="101"/>
    </row>
    <row r="647">
      <c r="G647" s="101"/>
      <c r="H647" s="101"/>
    </row>
    <row r="648">
      <c r="G648" s="101"/>
      <c r="H648" s="101"/>
    </row>
    <row r="649">
      <c r="G649" s="101"/>
      <c r="H649" s="101"/>
    </row>
    <row r="650">
      <c r="G650" s="101"/>
      <c r="H650" s="101"/>
    </row>
    <row r="651">
      <c r="G651" s="101"/>
      <c r="H651" s="101"/>
    </row>
    <row r="652">
      <c r="G652" s="101"/>
      <c r="H652" s="101"/>
    </row>
    <row r="653">
      <c r="G653" s="101"/>
      <c r="H653" s="101"/>
    </row>
    <row r="654">
      <c r="G654" s="101"/>
      <c r="H654" s="101"/>
    </row>
    <row r="655">
      <c r="G655" s="101"/>
      <c r="H655" s="101"/>
    </row>
    <row r="656">
      <c r="G656" s="101"/>
      <c r="H656" s="101"/>
    </row>
    <row r="657">
      <c r="G657" s="101"/>
      <c r="H657" s="101"/>
    </row>
    <row r="658">
      <c r="G658" s="101"/>
      <c r="H658" s="101"/>
    </row>
    <row r="659">
      <c r="G659" s="101"/>
      <c r="H659" s="101"/>
    </row>
    <row r="660">
      <c r="G660" s="101"/>
      <c r="H660" s="101"/>
    </row>
    <row r="661">
      <c r="G661" s="101"/>
      <c r="H661" s="101"/>
    </row>
    <row r="662">
      <c r="G662" s="101"/>
      <c r="H662" s="101"/>
    </row>
    <row r="663">
      <c r="G663" s="101"/>
      <c r="H663" s="101"/>
    </row>
    <row r="664">
      <c r="G664" s="101"/>
      <c r="H664" s="101"/>
    </row>
    <row r="665">
      <c r="G665" s="101"/>
      <c r="H665" s="101"/>
    </row>
    <row r="666">
      <c r="G666" s="101"/>
      <c r="H666" s="101"/>
    </row>
    <row r="667">
      <c r="G667" s="101"/>
      <c r="H667" s="101"/>
    </row>
    <row r="668">
      <c r="G668" s="101"/>
      <c r="H668" s="101"/>
    </row>
    <row r="669">
      <c r="G669" s="101"/>
      <c r="H669" s="101"/>
    </row>
    <row r="670">
      <c r="G670" s="101"/>
      <c r="H670" s="101"/>
    </row>
    <row r="671">
      <c r="G671" s="101"/>
      <c r="H671" s="101"/>
    </row>
    <row r="672">
      <c r="G672" s="101"/>
      <c r="H672" s="101"/>
    </row>
    <row r="673">
      <c r="G673" s="101"/>
      <c r="H673" s="101"/>
    </row>
    <row r="674">
      <c r="G674" s="101"/>
      <c r="H674" s="101"/>
    </row>
    <row r="675">
      <c r="G675" s="101"/>
      <c r="H675" s="101"/>
    </row>
    <row r="676">
      <c r="G676" s="101"/>
      <c r="H676" s="101"/>
    </row>
    <row r="677">
      <c r="G677" s="101"/>
      <c r="H677" s="101"/>
    </row>
    <row r="678">
      <c r="G678" s="101"/>
      <c r="H678" s="101"/>
    </row>
    <row r="679">
      <c r="G679" s="101"/>
      <c r="H679" s="101"/>
    </row>
    <row r="680">
      <c r="G680" s="101"/>
      <c r="H680" s="101"/>
    </row>
    <row r="681">
      <c r="G681" s="101"/>
      <c r="H681" s="101"/>
    </row>
    <row r="682">
      <c r="G682" s="101"/>
      <c r="H682" s="101"/>
    </row>
    <row r="683">
      <c r="G683" s="101"/>
      <c r="H683" s="101"/>
    </row>
    <row r="684">
      <c r="G684" s="101"/>
      <c r="H684" s="101"/>
    </row>
    <row r="685">
      <c r="G685" s="101"/>
      <c r="H685" s="101"/>
    </row>
    <row r="686">
      <c r="G686" s="101"/>
      <c r="H686" s="101"/>
    </row>
    <row r="687">
      <c r="G687" s="101"/>
      <c r="H687" s="101"/>
    </row>
    <row r="688">
      <c r="G688" s="101"/>
      <c r="H688" s="101"/>
    </row>
    <row r="689">
      <c r="G689" s="101"/>
      <c r="H689" s="101"/>
    </row>
    <row r="690">
      <c r="G690" s="101"/>
      <c r="H690" s="101"/>
    </row>
    <row r="691">
      <c r="G691" s="101"/>
      <c r="H691" s="101"/>
    </row>
    <row r="692">
      <c r="G692" s="101"/>
      <c r="H692" s="101"/>
    </row>
    <row r="693">
      <c r="G693" s="101"/>
      <c r="H693" s="101"/>
    </row>
    <row r="694">
      <c r="G694" s="101"/>
      <c r="H694" s="101"/>
    </row>
    <row r="695">
      <c r="G695" s="101"/>
      <c r="H695" s="101"/>
    </row>
    <row r="696">
      <c r="G696" s="101"/>
      <c r="H696" s="101"/>
    </row>
    <row r="697">
      <c r="G697" s="101"/>
      <c r="H697" s="101"/>
    </row>
    <row r="698">
      <c r="G698" s="101"/>
      <c r="H698" s="101"/>
    </row>
    <row r="699">
      <c r="G699" s="101"/>
      <c r="H699" s="101"/>
    </row>
    <row r="700">
      <c r="G700" s="101"/>
      <c r="H700" s="101"/>
    </row>
    <row r="701">
      <c r="G701" s="101"/>
      <c r="H701" s="101"/>
    </row>
    <row r="702">
      <c r="G702" s="101"/>
      <c r="H702" s="101"/>
    </row>
    <row r="703">
      <c r="G703" s="101"/>
      <c r="H703" s="101"/>
    </row>
    <row r="704">
      <c r="G704" s="101"/>
      <c r="H704" s="101"/>
    </row>
    <row r="705">
      <c r="G705" s="101"/>
      <c r="H705" s="101"/>
    </row>
    <row r="706">
      <c r="G706" s="101"/>
      <c r="H706" s="101"/>
    </row>
    <row r="707">
      <c r="G707" s="101"/>
      <c r="H707" s="101"/>
    </row>
    <row r="708">
      <c r="G708" s="101"/>
      <c r="H708" s="101"/>
    </row>
    <row r="709">
      <c r="G709" s="101"/>
      <c r="H709" s="101"/>
    </row>
    <row r="710">
      <c r="G710" s="101"/>
      <c r="H710" s="101"/>
    </row>
    <row r="711">
      <c r="G711" s="101"/>
      <c r="H711" s="101"/>
    </row>
    <row r="712">
      <c r="G712" s="101"/>
      <c r="H712" s="101"/>
    </row>
    <row r="713">
      <c r="G713" s="101"/>
      <c r="H713" s="101"/>
    </row>
    <row r="714">
      <c r="G714" s="101"/>
      <c r="H714" s="101"/>
    </row>
    <row r="715">
      <c r="G715" s="101"/>
      <c r="H715" s="101"/>
    </row>
    <row r="716">
      <c r="G716" s="101"/>
      <c r="H716" s="101"/>
    </row>
    <row r="717">
      <c r="G717" s="101"/>
      <c r="H717" s="101"/>
    </row>
    <row r="718">
      <c r="G718" s="101"/>
      <c r="H718" s="101"/>
    </row>
    <row r="719">
      <c r="G719" s="101"/>
      <c r="H719" s="101"/>
    </row>
    <row r="720">
      <c r="G720" s="101"/>
      <c r="H720" s="101"/>
    </row>
    <row r="721">
      <c r="G721" s="101"/>
      <c r="H721" s="101"/>
    </row>
    <row r="722">
      <c r="G722" s="101"/>
      <c r="H722" s="101"/>
    </row>
    <row r="723">
      <c r="G723" s="101"/>
      <c r="H723" s="101"/>
    </row>
    <row r="724">
      <c r="G724" s="101"/>
      <c r="H724" s="101"/>
    </row>
    <row r="725">
      <c r="G725" s="101"/>
      <c r="H725" s="101"/>
    </row>
    <row r="726">
      <c r="G726" s="101"/>
      <c r="H726" s="101"/>
    </row>
    <row r="727">
      <c r="G727" s="101"/>
      <c r="H727" s="101"/>
    </row>
    <row r="728">
      <c r="G728" s="101"/>
      <c r="H728" s="101"/>
    </row>
    <row r="729">
      <c r="G729" s="101"/>
      <c r="H729" s="101"/>
    </row>
    <row r="730">
      <c r="G730" s="101"/>
      <c r="H730" s="101"/>
    </row>
    <row r="731">
      <c r="G731" s="101"/>
      <c r="H731" s="101"/>
    </row>
    <row r="732">
      <c r="G732" s="101"/>
      <c r="H732" s="101"/>
    </row>
    <row r="733">
      <c r="G733" s="101"/>
      <c r="H733" s="101"/>
    </row>
    <row r="734">
      <c r="G734" s="101"/>
      <c r="H734" s="101"/>
    </row>
    <row r="735">
      <c r="G735" s="101"/>
      <c r="H735" s="101"/>
    </row>
    <row r="736">
      <c r="G736" s="101"/>
      <c r="H736" s="101"/>
    </row>
    <row r="737">
      <c r="G737" s="101"/>
      <c r="H737" s="101"/>
    </row>
    <row r="738">
      <c r="G738" s="101"/>
      <c r="H738" s="101"/>
    </row>
    <row r="739">
      <c r="G739" s="101"/>
      <c r="H739" s="101"/>
    </row>
    <row r="740">
      <c r="G740" s="101"/>
      <c r="H740" s="101"/>
    </row>
    <row r="741">
      <c r="G741" s="101"/>
      <c r="H741" s="101"/>
    </row>
    <row r="742">
      <c r="G742" s="101"/>
      <c r="H742" s="101"/>
    </row>
    <row r="743">
      <c r="G743" s="101"/>
      <c r="H743" s="101"/>
    </row>
    <row r="744">
      <c r="G744" s="101"/>
      <c r="H744" s="101"/>
    </row>
    <row r="745">
      <c r="G745" s="101"/>
      <c r="H745" s="101"/>
    </row>
    <row r="746">
      <c r="G746" s="101"/>
      <c r="H746" s="101"/>
    </row>
    <row r="747">
      <c r="G747" s="101"/>
      <c r="H747" s="101"/>
    </row>
    <row r="748">
      <c r="G748" s="101"/>
      <c r="H748" s="101"/>
    </row>
    <row r="749">
      <c r="G749" s="101"/>
      <c r="H749" s="101"/>
    </row>
    <row r="750">
      <c r="G750" s="101"/>
      <c r="H750" s="101"/>
    </row>
    <row r="751">
      <c r="G751" s="101"/>
      <c r="H751" s="101"/>
    </row>
    <row r="752">
      <c r="G752" s="101"/>
      <c r="H752" s="101"/>
    </row>
    <row r="753">
      <c r="G753" s="101"/>
      <c r="H753" s="101"/>
    </row>
    <row r="754">
      <c r="G754" s="101"/>
      <c r="H754" s="101"/>
    </row>
    <row r="755">
      <c r="G755" s="101"/>
      <c r="H755" s="101"/>
    </row>
    <row r="756">
      <c r="G756" s="101"/>
      <c r="H756" s="101"/>
    </row>
    <row r="757">
      <c r="G757" s="101"/>
      <c r="H757" s="101"/>
    </row>
    <row r="758">
      <c r="G758" s="101"/>
      <c r="H758" s="101"/>
    </row>
    <row r="759">
      <c r="G759" s="101"/>
      <c r="H759" s="101"/>
    </row>
    <row r="760">
      <c r="G760" s="101"/>
      <c r="H760" s="101"/>
    </row>
    <row r="761">
      <c r="G761" s="101"/>
      <c r="H761" s="101"/>
    </row>
    <row r="762">
      <c r="G762" s="101"/>
      <c r="H762" s="101"/>
    </row>
    <row r="763">
      <c r="G763" s="101"/>
      <c r="H763" s="101"/>
    </row>
    <row r="764">
      <c r="G764" s="101"/>
      <c r="H764" s="101"/>
    </row>
    <row r="765">
      <c r="G765" s="101"/>
      <c r="H765" s="101"/>
    </row>
    <row r="766">
      <c r="G766" s="101"/>
      <c r="H766" s="101"/>
    </row>
    <row r="767">
      <c r="G767" s="101"/>
      <c r="H767" s="101"/>
    </row>
    <row r="768">
      <c r="G768" s="101"/>
      <c r="H768" s="101"/>
    </row>
    <row r="769">
      <c r="G769" s="101"/>
      <c r="H769" s="101"/>
    </row>
    <row r="770">
      <c r="G770" s="101"/>
      <c r="H770" s="101"/>
    </row>
    <row r="771">
      <c r="G771" s="101"/>
      <c r="H771" s="101"/>
    </row>
    <row r="772">
      <c r="G772" s="101"/>
      <c r="H772" s="101"/>
    </row>
    <row r="773">
      <c r="G773" s="101"/>
      <c r="H773" s="101"/>
    </row>
    <row r="774">
      <c r="G774" s="101"/>
      <c r="H774" s="101"/>
    </row>
    <row r="775">
      <c r="G775" s="101"/>
      <c r="H775" s="101"/>
    </row>
    <row r="776">
      <c r="G776" s="101"/>
      <c r="H776" s="101"/>
    </row>
    <row r="777">
      <c r="G777" s="101"/>
      <c r="H777" s="101"/>
    </row>
    <row r="778">
      <c r="G778" s="101"/>
      <c r="H778" s="101"/>
    </row>
    <row r="779">
      <c r="G779" s="101"/>
      <c r="H779" s="101"/>
    </row>
    <row r="780">
      <c r="G780" s="101"/>
      <c r="H780" s="101"/>
    </row>
    <row r="781">
      <c r="G781" s="101"/>
      <c r="H781" s="101"/>
    </row>
    <row r="782">
      <c r="G782" s="101"/>
      <c r="H782" s="101"/>
    </row>
    <row r="783">
      <c r="G783" s="101"/>
      <c r="H783" s="101"/>
    </row>
    <row r="784">
      <c r="G784" s="101"/>
      <c r="H784" s="101"/>
    </row>
    <row r="785">
      <c r="G785" s="101"/>
      <c r="H785" s="101"/>
    </row>
    <row r="786">
      <c r="G786" s="101"/>
      <c r="H786" s="101"/>
    </row>
    <row r="787">
      <c r="G787" s="101"/>
      <c r="H787" s="101"/>
    </row>
    <row r="788">
      <c r="G788" s="101"/>
      <c r="H788" s="101"/>
    </row>
    <row r="789">
      <c r="G789" s="101"/>
      <c r="H789" s="101"/>
    </row>
    <row r="790">
      <c r="G790" s="101"/>
      <c r="H790" s="101"/>
    </row>
    <row r="791">
      <c r="G791" s="101"/>
      <c r="H791" s="101"/>
    </row>
    <row r="792">
      <c r="G792" s="101"/>
      <c r="H792" s="101"/>
    </row>
    <row r="793">
      <c r="G793" s="101"/>
      <c r="H793" s="101"/>
    </row>
    <row r="794">
      <c r="G794" s="101"/>
      <c r="H794" s="101"/>
    </row>
    <row r="795">
      <c r="G795" s="101"/>
      <c r="H795" s="101"/>
    </row>
    <row r="796">
      <c r="G796" s="101"/>
      <c r="H796" s="101"/>
    </row>
    <row r="797">
      <c r="G797" s="101"/>
      <c r="H797" s="101"/>
    </row>
    <row r="798">
      <c r="G798" s="101"/>
      <c r="H798" s="101"/>
    </row>
    <row r="799">
      <c r="G799" s="101"/>
      <c r="H799" s="101"/>
    </row>
    <row r="800">
      <c r="G800" s="101"/>
      <c r="H800" s="101"/>
    </row>
    <row r="801">
      <c r="G801" s="101"/>
      <c r="H801" s="101"/>
    </row>
    <row r="802">
      <c r="G802" s="101"/>
      <c r="H802" s="101"/>
    </row>
    <row r="803">
      <c r="G803" s="101"/>
      <c r="H803" s="101"/>
    </row>
    <row r="804">
      <c r="G804" s="101"/>
      <c r="H804" s="101"/>
    </row>
    <row r="805">
      <c r="G805" s="101"/>
      <c r="H805" s="101"/>
    </row>
    <row r="806">
      <c r="G806" s="101"/>
      <c r="H806" s="101"/>
    </row>
    <row r="807">
      <c r="G807" s="101"/>
      <c r="H807" s="101"/>
    </row>
    <row r="808">
      <c r="G808" s="101"/>
      <c r="H808" s="101"/>
    </row>
    <row r="809">
      <c r="G809" s="101"/>
      <c r="H809" s="101"/>
    </row>
    <row r="810">
      <c r="G810" s="101"/>
      <c r="H810" s="101"/>
    </row>
    <row r="811">
      <c r="G811" s="101"/>
      <c r="H811" s="101"/>
    </row>
    <row r="812">
      <c r="G812" s="101"/>
      <c r="H812" s="101"/>
    </row>
    <row r="813">
      <c r="G813" s="101"/>
      <c r="H813" s="101"/>
    </row>
    <row r="814">
      <c r="G814" s="101"/>
      <c r="H814" s="101"/>
    </row>
    <row r="815">
      <c r="G815" s="101"/>
      <c r="H815" s="101"/>
    </row>
    <row r="816">
      <c r="G816" s="101"/>
      <c r="H816" s="101"/>
    </row>
    <row r="817">
      <c r="G817" s="101"/>
      <c r="H817" s="101"/>
    </row>
    <row r="818">
      <c r="G818" s="101"/>
      <c r="H818" s="101"/>
    </row>
    <row r="819">
      <c r="G819" s="101"/>
      <c r="H819" s="101"/>
    </row>
    <row r="820">
      <c r="G820" s="101"/>
      <c r="H820" s="101"/>
    </row>
    <row r="821">
      <c r="G821" s="101"/>
      <c r="H821" s="101"/>
    </row>
    <row r="822">
      <c r="G822" s="101"/>
      <c r="H822" s="101"/>
    </row>
    <row r="823">
      <c r="G823" s="101"/>
      <c r="H823" s="101"/>
    </row>
    <row r="824">
      <c r="G824" s="101"/>
      <c r="H824" s="101"/>
    </row>
    <row r="825">
      <c r="G825" s="101"/>
      <c r="H825" s="101"/>
    </row>
    <row r="826">
      <c r="G826" s="101"/>
      <c r="H826" s="101"/>
    </row>
    <row r="827">
      <c r="G827" s="101"/>
      <c r="H827" s="101"/>
    </row>
    <row r="828">
      <c r="G828" s="101"/>
      <c r="H828" s="101"/>
    </row>
    <row r="829">
      <c r="G829" s="101"/>
      <c r="H829" s="101"/>
    </row>
    <row r="830">
      <c r="G830" s="101"/>
      <c r="H830" s="101"/>
    </row>
    <row r="831">
      <c r="G831" s="101"/>
      <c r="H831" s="101"/>
    </row>
    <row r="832">
      <c r="G832" s="101"/>
      <c r="H832" s="101"/>
    </row>
    <row r="833">
      <c r="G833" s="101"/>
      <c r="H833" s="101"/>
    </row>
    <row r="834">
      <c r="G834" s="101"/>
      <c r="H834" s="101"/>
    </row>
    <row r="835">
      <c r="G835" s="101"/>
      <c r="H835" s="101"/>
    </row>
    <row r="836">
      <c r="G836" s="101"/>
      <c r="H836" s="101"/>
    </row>
    <row r="837">
      <c r="G837" s="101"/>
      <c r="H837" s="101"/>
    </row>
    <row r="838">
      <c r="G838" s="101"/>
      <c r="H838" s="101"/>
    </row>
    <row r="839">
      <c r="G839" s="101"/>
      <c r="H839" s="101"/>
    </row>
    <row r="840">
      <c r="G840" s="101"/>
      <c r="H840" s="101"/>
    </row>
    <row r="841">
      <c r="G841" s="101"/>
      <c r="H841" s="101"/>
    </row>
    <row r="842">
      <c r="G842" s="101"/>
      <c r="H842" s="101"/>
    </row>
    <row r="843">
      <c r="G843" s="101"/>
      <c r="H843" s="101"/>
    </row>
    <row r="844">
      <c r="G844" s="101"/>
      <c r="H844" s="101"/>
    </row>
    <row r="845">
      <c r="G845" s="101"/>
      <c r="H845" s="101"/>
    </row>
    <row r="846">
      <c r="G846" s="101"/>
      <c r="H846" s="101"/>
    </row>
    <row r="847">
      <c r="G847" s="101"/>
      <c r="H847" s="101"/>
    </row>
    <row r="848">
      <c r="G848" s="101"/>
      <c r="H848" s="101"/>
    </row>
    <row r="849">
      <c r="G849" s="101"/>
      <c r="H849" s="101"/>
    </row>
    <row r="850">
      <c r="G850" s="101"/>
      <c r="H850" s="101"/>
    </row>
    <row r="851">
      <c r="G851" s="101"/>
      <c r="H851" s="101"/>
    </row>
    <row r="852">
      <c r="G852" s="101"/>
      <c r="H852" s="101"/>
    </row>
    <row r="853">
      <c r="G853" s="101"/>
      <c r="H853" s="101"/>
    </row>
    <row r="854">
      <c r="G854" s="101"/>
      <c r="H854" s="101"/>
    </row>
    <row r="855">
      <c r="G855" s="101"/>
      <c r="H855" s="101"/>
    </row>
    <row r="856">
      <c r="G856" s="101"/>
      <c r="H856" s="101"/>
    </row>
    <row r="857">
      <c r="G857" s="101"/>
      <c r="H857" s="101"/>
    </row>
    <row r="858">
      <c r="G858" s="101"/>
      <c r="H858" s="101"/>
    </row>
    <row r="859">
      <c r="G859" s="101"/>
      <c r="H859" s="101"/>
    </row>
    <row r="860">
      <c r="G860" s="101"/>
      <c r="H860" s="101"/>
    </row>
    <row r="861">
      <c r="G861" s="101"/>
      <c r="H861" s="101"/>
    </row>
    <row r="862">
      <c r="G862" s="101"/>
      <c r="H862" s="101"/>
    </row>
    <row r="863">
      <c r="G863" s="101"/>
      <c r="H863" s="101"/>
    </row>
    <row r="864">
      <c r="G864" s="101"/>
      <c r="H864" s="101"/>
    </row>
    <row r="865">
      <c r="G865" s="101"/>
      <c r="H865" s="101"/>
    </row>
    <row r="866">
      <c r="G866" s="101"/>
      <c r="H866" s="101"/>
    </row>
    <row r="867">
      <c r="G867" s="101"/>
      <c r="H867" s="101"/>
    </row>
    <row r="868">
      <c r="G868" s="101"/>
      <c r="H868" s="101"/>
    </row>
    <row r="869">
      <c r="G869" s="101"/>
      <c r="H869" s="101"/>
    </row>
    <row r="870">
      <c r="G870" s="101"/>
      <c r="H870" s="101"/>
    </row>
    <row r="871">
      <c r="G871" s="101"/>
      <c r="H871" s="101"/>
    </row>
    <row r="872">
      <c r="G872" s="101"/>
      <c r="H872" s="101"/>
    </row>
    <row r="873">
      <c r="G873" s="101"/>
      <c r="H873" s="101"/>
    </row>
    <row r="874">
      <c r="G874" s="101"/>
      <c r="H874" s="101"/>
    </row>
    <row r="875">
      <c r="G875" s="101"/>
      <c r="H875" s="101"/>
    </row>
    <row r="876">
      <c r="G876" s="101"/>
      <c r="H876" s="101"/>
    </row>
    <row r="877">
      <c r="G877" s="101"/>
      <c r="H877" s="101"/>
    </row>
    <row r="878">
      <c r="G878" s="101"/>
      <c r="H878" s="101"/>
    </row>
    <row r="879">
      <c r="G879" s="101"/>
      <c r="H879" s="101"/>
    </row>
    <row r="880">
      <c r="G880" s="101"/>
      <c r="H880" s="101"/>
    </row>
    <row r="881">
      <c r="G881" s="101"/>
      <c r="H881" s="101"/>
    </row>
    <row r="882">
      <c r="G882" s="101"/>
      <c r="H882" s="101"/>
    </row>
    <row r="883">
      <c r="G883" s="101"/>
      <c r="H883" s="101"/>
    </row>
    <row r="884">
      <c r="G884" s="101"/>
      <c r="H884" s="101"/>
    </row>
    <row r="885">
      <c r="G885" s="101"/>
      <c r="H885" s="101"/>
    </row>
    <row r="886">
      <c r="G886" s="101"/>
      <c r="H886" s="101"/>
    </row>
    <row r="887">
      <c r="G887" s="101"/>
      <c r="H887" s="101"/>
    </row>
    <row r="888">
      <c r="G888" s="101"/>
      <c r="H888" s="101"/>
    </row>
    <row r="889">
      <c r="G889" s="101"/>
      <c r="H889" s="101"/>
    </row>
    <row r="890">
      <c r="G890" s="101"/>
      <c r="H890" s="101"/>
    </row>
    <row r="891">
      <c r="G891" s="101"/>
      <c r="H891" s="101"/>
    </row>
    <row r="892">
      <c r="G892" s="101"/>
      <c r="H892" s="101"/>
    </row>
    <row r="893">
      <c r="G893" s="101"/>
      <c r="H893" s="101"/>
    </row>
    <row r="894">
      <c r="G894" s="101"/>
      <c r="H894" s="101"/>
    </row>
    <row r="895">
      <c r="G895" s="101"/>
      <c r="H895" s="101"/>
    </row>
    <row r="896">
      <c r="G896" s="101"/>
      <c r="H896" s="101"/>
    </row>
    <row r="897">
      <c r="G897" s="101"/>
      <c r="H897" s="101"/>
    </row>
    <row r="898">
      <c r="G898" s="101"/>
      <c r="H898" s="101"/>
    </row>
    <row r="899">
      <c r="G899" s="101"/>
      <c r="H899" s="101"/>
    </row>
    <row r="900">
      <c r="G900" s="101"/>
      <c r="H900" s="101"/>
    </row>
    <row r="901">
      <c r="G901" s="101"/>
      <c r="H901" s="101"/>
    </row>
    <row r="902">
      <c r="G902" s="101"/>
      <c r="H902" s="101"/>
    </row>
    <row r="903">
      <c r="G903" s="101"/>
      <c r="H903" s="101"/>
    </row>
    <row r="904">
      <c r="G904" s="101"/>
      <c r="H904" s="101"/>
    </row>
    <row r="905">
      <c r="G905" s="101"/>
      <c r="H905" s="101"/>
    </row>
    <row r="906">
      <c r="G906" s="101"/>
      <c r="H906" s="101"/>
    </row>
    <row r="907">
      <c r="G907" s="101"/>
      <c r="H907" s="101"/>
    </row>
    <row r="908">
      <c r="G908" s="101"/>
      <c r="H908" s="101"/>
    </row>
    <row r="909">
      <c r="G909" s="101"/>
      <c r="H909" s="101"/>
    </row>
    <row r="910">
      <c r="G910" s="101"/>
      <c r="H910" s="101"/>
    </row>
    <row r="911">
      <c r="G911" s="101"/>
      <c r="H911" s="101"/>
    </row>
    <row r="912">
      <c r="G912" s="101"/>
      <c r="H912" s="101"/>
    </row>
    <row r="913">
      <c r="G913" s="101"/>
      <c r="H913" s="101"/>
    </row>
    <row r="914">
      <c r="G914" s="101"/>
      <c r="H914" s="101"/>
    </row>
    <row r="915">
      <c r="G915" s="101"/>
      <c r="H915" s="101"/>
    </row>
    <row r="916">
      <c r="G916" s="101"/>
      <c r="H916" s="101"/>
    </row>
    <row r="917">
      <c r="G917" s="101"/>
      <c r="H917" s="101"/>
    </row>
    <row r="918">
      <c r="G918" s="101"/>
      <c r="H918" s="101"/>
    </row>
    <row r="919">
      <c r="G919" s="101"/>
      <c r="H919" s="101"/>
    </row>
    <row r="920">
      <c r="G920" s="101"/>
      <c r="H920" s="101"/>
    </row>
    <row r="921">
      <c r="G921" s="101"/>
      <c r="H921" s="101"/>
    </row>
    <row r="922">
      <c r="G922" s="101"/>
      <c r="H922" s="101"/>
    </row>
    <row r="923">
      <c r="G923" s="101"/>
      <c r="H923" s="101"/>
    </row>
    <row r="924">
      <c r="G924" s="101"/>
      <c r="H924" s="101"/>
    </row>
    <row r="925">
      <c r="G925" s="101"/>
      <c r="H925" s="101"/>
    </row>
    <row r="926">
      <c r="G926" s="101"/>
      <c r="H926" s="101"/>
    </row>
    <row r="927">
      <c r="G927" s="101"/>
      <c r="H927" s="101"/>
    </row>
    <row r="928">
      <c r="G928" s="101"/>
      <c r="H928" s="101"/>
    </row>
    <row r="929">
      <c r="G929" s="101"/>
      <c r="H929" s="101"/>
    </row>
    <row r="930">
      <c r="G930" s="101"/>
      <c r="H930" s="101"/>
    </row>
    <row r="931">
      <c r="G931" s="101"/>
      <c r="H931" s="101"/>
    </row>
    <row r="932">
      <c r="G932" s="101"/>
      <c r="H932" s="101"/>
    </row>
    <row r="933">
      <c r="G933" s="101"/>
      <c r="H933" s="101"/>
    </row>
    <row r="934">
      <c r="G934" s="101"/>
      <c r="H934" s="101"/>
    </row>
    <row r="935">
      <c r="G935" s="101"/>
      <c r="H935" s="101"/>
    </row>
    <row r="936">
      <c r="G936" s="101"/>
      <c r="H936" s="101"/>
    </row>
    <row r="937">
      <c r="G937" s="101"/>
      <c r="H937" s="101"/>
    </row>
    <row r="938">
      <c r="G938" s="101"/>
      <c r="H938" s="101"/>
    </row>
    <row r="939">
      <c r="G939" s="101"/>
      <c r="H939" s="101"/>
    </row>
    <row r="940">
      <c r="G940" s="101"/>
      <c r="H940" s="101"/>
    </row>
    <row r="941">
      <c r="G941" s="101"/>
      <c r="H941" s="101"/>
    </row>
    <row r="942">
      <c r="G942" s="101"/>
      <c r="H942" s="101"/>
    </row>
    <row r="943">
      <c r="G943" s="101"/>
      <c r="H943" s="101"/>
    </row>
    <row r="944">
      <c r="G944" s="101"/>
      <c r="H944" s="101"/>
    </row>
    <row r="945">
      <c r="G945" s="101"/>
      <c r="H945" s="101"/>
    </row>
    <row r="946">
      <c r="G946" s="101"/>
      <c r="H946" s="101"/>
    </row>
    <row r="947">
      <c r="G947" s="101"/>
      <c r="H947" s="101"/>
    </row>
    <row r="948">
      <c r="G948" s="101"/>
      <c r="H948" s="101"/>
    </row>
    <row r="949">
      <c r="G949" s="101"/>
      <c r="H949" s="101"/>
    </row>
    <row r="950">
      <c r="G950" s="101"/>
      <c r="H950" s="101"/>
    </row>
    <row r="951">
      <c r="G951" s="101"/>
      <c r="H951" s="101"/>
    </row>
    <row r="952">
      <c r="G952" s="101"/>
      <c r="H952" s="101"/>
    </row>
    <row r="953">
      <c r="G953" s="101"/>
      <c r="H953" s="101"/>
    </row>
    <row r="954">
      <c r="G954" s="101"/>
      <c r="H954" s="101"/>
    </row>
    <row r="955">
      <c r="G955" s="101"/>
      <c r="H955" s="101"/>
    </row>
    <row r="956">
      <c r="G956" s="101"/>
      <c r="H956" s="101"/>
    </row>
    <row r="957">
      <c r="G957" s="101"/>
      <c r="H957" s="101"/>
    </row>
    <row r="958">
      <c r="G958" s="101"/>
      <c r="H958" s="101"/>
    </row>
    <row r="959">
      <c r="G959" s="101"/>
      <c r="H959" s="101"/>
    </row>
    <row r="960">
      <c r="G960" s="101"/>
      <c r="H960" s="101"/>
    </row>
    <row r="961">
      <c r="G961" s="101"/>
      <c r="H961" s="101"/>
    </row>
    <row r="962">
      <c r="G962" s="101"/>
      <c r="H962" s="101"/>
    </row>
    <row r="963">
      <c r="G963" s="101"/>
      <c r="H963" s="101"/>
    </row>
    <row r="964">
      <c r="G964" s="101"/>
      <c r="H964" s="101"/>
    </row>
    <row r="965">
      <c r="G965" s="101"/>
      <c r="H965" s="101"/>
    </row>
    <row r="966">
      <c r="G966" s="101"/>
      <c r="H966" s="101"/>
    </row>
    <row r="967">
      <c r="G967" s="101"/>
      <c r="H967" s="101"/>
    </row>
    <row r="968">
      <c r="G968" s="101"/>
      <c r="H968" s="101"/>
    </row>
    <row r="969">
      <c r="G969" s="101"/>
      <c r="H969" s="101"/>
    </row>
    <row r="970">
      <c r="G970" s="101"/>
      <c r="H970" s="101"/>
    </row>
    <row r="971">
      <c r="G971" s="101"/>
      <c r="H971" s="101"/>
    </row>
    <row r="972">
      <c r="G972" s="101"/>
      <c r="H972" s="101"/>
    </row>
    <row r="973">
      <c r="G973" s="101"/>
      <c r="H973" s="101"/>
    </row>
    <row r="974">
      <c r="G974" s="101"/>
      <c r="H974" s="101"/>
    </row>
    <row r="975">
      <c r="G975" s="101"/>
      <c r="H975" s="101"/>
    </row>
    <row r="976">
      <c r="G976" s="101"/>
      <c r="H976" s="101"/>
    </row>
    <row r="977">
      <c r="G977" s="101"/>
      <c r="H977" s="101"/>
    </row>
    <row r="978">
      <c r="G978" s="101"/>
      <c r="H978" s="101"/>
    </row>
    <row r="979">
      <c r="G979" s="101"/>
      <c r="H979" s="101"/>
    </row>
    <row r="980">
      <c r="G980" s="101"/>
      <c r="H980" s="101"/>
    </row>
    <row r="981">
      <c r="G981" s="101"/>
      <c r="H981" s="101"/>
    </row>
    <row r="982">
      <c r="G982" s="101"/>
      <c r="H982" s="101"/>
    </row>
    <row r="983">
      <c r="G983" s="101"/>
      <c r="H983" s="101"/>
    </row>
    <row r="984">
      <c r="G984" s="101"/>
      <c r="H984" s="101"/>
    </row>
    <row r="985">
      <c r="G985" s="101"/>
      <c r="H985" s="101"/>
    </row>
    <row r="986">
      <c r="G986" s="101"/>
      <c r="H986" s="101"/>
    </row>
    <row r="987">
      <c r="G987" s="101"/>
      <c r="H987" s="101"/>
    </row>
    <row r="988">
      <c r="G988" s="101"/>
      <c r="H988" s="101"/>
    </row>
    <row r="989">
      <c r="G989" s="101"/>
      <c r="H989" s="101"/>
    </row>
    <row r="990">
      <c r="G990" s="101"/>
      <c r="H990" s="101"/>
    </row>
    <row r="991">
      <c r="G991" s="101"/>
      <c r="H991" s="101"/>
    </row>
    <row r="992">
      <c r="G992" s="101"/>
      <c r="H992" s="101"/>
    </row>
    <row r="993">
      <c r="G993" s="101"/>
      <c r="H993" s="101"/>
    </row>
    <row r="994">
      <c r="G994" s="101"/>
      <c r="H994" s="101"/>
    </row>
    <row r="995">
      <c r="G995" s="101"/>
      <c r="H995" s="101"/>
    </row>
    <row r="996">
      <c r="G996" s="101"/>
      <c r="H996" s="101"/>
    </row>
    <row r="997">
      <c r="G997" s="101"/>
      <c r="H997" s="101"/>
    </row>
    <row r="998">
      <c r="G998" s="101"/>
      <c r="H998" s="101"/>
    </row>
    <row r="999">
      <c r="G999" s="101"/>
      <c r="H999" s="101"/>
    </row>
    <row r="1000">
      <c r="G1000" s="101"/>
      <c r="H1000" s="101"/>
    </row>
  </sheetData>
  <conditionalFormatting sqref="C6:H400">
    <cfRule type="cellIs" dxfId="4" priority="1" operator="greaterThan">
      <formula>300</formula>
    </cfRule>
  </conditionalFormatting>
  <dataValidations>
    <dataValidation type="decimal" allowBlank="1" showErrorMessage="1" sqref="B8:B9">
      <formula1>1.0</formula1>
      <formula2>79999.0</formula2>
    </dataValidation>
  </dataValidations>
  <printOptions/>
  <pageMargins bottom="0.787401575" footer="0.0" header="0.0" left="0.7" right="0.7"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1.22" defaultRowHeight="15.0"/>
  <cols>
    <col customWidth="1" min="1" max="1" width="27.89"/>
    <col customWidth="1" min="2" max="2" width="18.89"/>
    <col customWidth="1" min="3" max="8" width="8.11"/>
    <col customWidth="1" min="9" max="9" width="14.11"/>
    <col customWidth="1" min="10" max="26" width="8.44"/>
  </cols>
  <sheetData>
    <row r="1" ht="23.25" customHeight="1">
      <c r="A1" s="49" t="s">
        <v>2559</v>
      </c>
      <c r="B1" s="119"/>
      <c r="C1" s="102" t="s">
        <v>2549</v>
      </c>
      <c r="D1" s="48"/>
      <c r="E1" s="48"/>
      <c r="F1" s="48"/>
      <c r="G1" s="80"/>
      <c r="H1" s="80"/>
      <c r="I1" s="48"/>
      <c r="J1" s="48"/>
      <c r="K1" s="48"/>
      <c r="L1" s="48"/>
      <c r="M1" s="48"/>
      <c r="N1" s="48"/>
      <c r="O1" s="48"/>
      <c r="P1" s="48"/>
      <c r="Q1" s="48"/>
      <c r="R1" s="48"/>
      <c r="S1" s="48"/>
      <c r="T1" s="48"/>
      <c r="U1" s="48"/>
      <c r="V1" s="48"/>
      <c r="W1" s="48"/>
      <c r="X1" s="48"/>
      <c r="Y1" s="48"/>
      <c r="Z1" s="48"/>
    </row>
    <row r="2" ht="23.25" customHeight="1">
      <c r="A2" s="48"/>
      <c r="B2" s="48"/>
      <c r="C2" s="120"/>
      <c r="D2" s="120"/>
      <c r="E2" s="120"/>
      <c r="F2" s="120"/>
      <c r="G2" s="120"/>
      <c r="H2" s="120"/>
      <c r="I2" s="120"/>
      <c r="J2" s="48"/>
      <c r="K2" s="48"/>
      <c r="L2" s="48"/>
      <c r="M2" s="48"/>
      <c r="N2" s="48"/>
      <c r="O2" s="48"/>
      <c r="P2" s="48"/>
      <c r="Q2" s="48"/>
      <c r="R2" s="48"/>
      <c r="S2" s="48"/>
      <c r="T2" s="48"/>
      <c r="U2" s="48"/>
      <c r="V2" s="48"/>
      <c r="W2" s="48"/>
      <c r="X2" s="48"/>
      <c r="Y2" s="48"/>
      <c r="Z2" s="48"/>
    </row>
    <row r="3" ht="23.25" customHeight="1">
      <c r="A3" s="48"/>
      <c r="B3" s="48"/>
      <c r="C3" s="48"/>
      <c r="D3" s="120"/>
      <c r="E3" s="120"/>
      <c r="F3" s="120"/>
      <c r="G3" s="120"/>
      <c r="H3" s="120"/>
      <c r="I3" s="120"/>
      <c r="J3" s="48"/>
      <c r="K3" s="48"/>
      <c r="L3" s="48"/>
      <c r="M3" s="48"/>
      <c r="N3" s="48"/>
      <c r="O3" s="48"/>
      <c r="P3" s="48"/>
      <c r="Q3" s="48"/>
      <c r="R3" s="48"/>
      <c r="S3" s="48"/>
      <c r="T3" s="48"/>
      <c r="U3" s="48"/>
      <c r="V3" s="48"/>
      <c r="W3" s="48"/>
      <c r="X3" s="48"/>
      <c r="Y3" s="48"/>
      <c r="Z3" s="48"/>
    </row>
    <row r="4" ht="15.75" hidden="1" customHeight="1">
      <c r="A4" s="121" t="s">
        <v>2550</v>
      </c>
      <c r="B4" s="122"/>
      <c r="C4" s="48">
        <v>4.0</v>
      </c>
      <c r="D4" s="48">
        <v>5.0</v>
      </c>
      <c r="E4" s="48">
        <v>6.0</v>
      </c>
      <c r="F4" s="48">
        <v>7.0</v>
      </c>
      <c r="G4" s="80">
        <v>8.0</v>
      </c>
      <c r="H4" s="80">
        <v>9.0</v>
      </c>
      <c r="I4" s="80"/>
      <c r="J4" s="48"/>
      <c r="K4" s="48"/>
      <c r="L4" s="48"/>
      <c r="M4" s="48"/>
      <c r="N4" s="48"/>
      <c r="O4" s="48"/>
      <c r="P4" s="48"/>
      <c r="Q4" s="48"/>
      <c r="R4" s="48"/>
      <c r="S4" s="48"/>
      <c r="T4" s="48"/>
      <c r="U4" s="48"/>
      <c r="V4" s="48"/>
      <c r="W4" s="48"/>
      <c r="X4" s="48"/>
      <c r="Y4" s="48"/>
      <c r="Z4" s="48"/>
    </row>
    <row r="5" ht="23.25" customHeight="1">
      <c r="A5" s="105" t="s">
        <v>88</v>
      </c>
      <c r="B5" s="105" t="str">
        <f>Datensammler!B3</f>
        <v>EDV Nummer</v>
      </c>
      <c r="C5" s="123" t="s">
        <v>2551</v>
      </c>
      <c r="D5" s="123" t="s">
        <v>2552</v>
      </c>
      <c r="E5" s="123" t="s">
        <v>2553</v>
      </c>
      <c r="F5" s="123" t="s">
        <v>2554</v>
      </c>
      <c r="G5" s="124" t="s">
        <v>2555</v>
      </c>
      <c r="H5" s="124" t="s">
        <v>2556</v>
      </c>
      <c r="I5" s="125" t="s">
        <v>2557</v>
      </c>
      <c r="J5" s="126"/>
      <c r="K5" s="126"/>
      <c r="L5" s="126"/>
      <c r="M5" s="126"/>
      <c r="N5" s="126"/>
      <c r="O5" s="126"/>
      <c r="P5" s="126"/>
      <c r="Q5" s="126"/>
      <c r="R5" s="126"/>
      <c r="S5" s="126"/>
      <c r="T5" s="126"/>
      <c r="U5" s="126"/>
      <c r="V5" s="126"/>
      <c r="W5" s="126"/>
      <c r="X5" s="126"/>
      <c r="Y5" s="126"/>
      <c r="Z5" s="126"/>
    </row>
    <row r="6" ht="23.25" customHeight="1">
      <c r="A6" s="111" t="str">
        <f>IF(B6="","",VLOOKUP(B6,'Mitglieder BBU'!A:K,6,0))</f>
        <v>Else Schuster</v>
      </c>
      <c r="B6" s="81">
        <v>7709.0</v>
      </c>
      <c r="C6" s="127"/>
      <c r="D6" s="127"/>
      <c r="E6" s="127"/>
      <c r="F6" s="127"/>
      <c r="G6" s="127"/>
      <c r="H6" s="127"/>
      <c r="I6" s="128">
        <f t="shared" ref="I6:I400" si="1">SUM(C6:H6)</f>
        <v>0</v>
      </c>
      <c r="J6" s="72"/>
      <c r="K6" s="48"/>
      <c r="L6" s="48"/>
      <c r="M6" s="48"/>
      <c r="N6" s="48"/>
      <c r="O6" s="48"/>
      <c r="P6" s="48"/>
      <c r="Q6" s="48"/>
      <c r="R6" s="48"/>
      <c r="S6" s="48"/>
      <c r="T6" s="48"/>
      <c r="U6" s="48"/>
      <c r="V6" s="48"/>
      <c r="W6" s="48"/>
      <c r="X6" s="48"/>
      <c r="Y6" s="48"/>
      <c r="Z6" s="48"/>
    </row>
    <row r="7" ht="23.25" customHeight="1">
      <c r="A7" s="111" t="str">
        <f>IF(B7="","",VLOOKUP(B7,'Mitglieder BBU'!A:K,6,0))</f>
        <v>Roswitha Schulz-Burkert</v>
      </c>
      <c r="B7" s="81">
        <v>25347.0</v>
      </c>
      <c r="C7" s="127"/>
      <c r="D7" s="127"/>
      <c r="E7" s="127"/>
      <c r="F7" s="127"/>
      <c r="G7" s="127"/>
      <c r="H7" s="127"/>
      <c r="I7" s="128">
        <f t="shared" si="1"/>
        <v>0</v>
      </c>
      <c r="J7" s="72"/>
      <c r="K7" s="48"/>
      <c r="L7" s="48"/>
      <c r="M7" s="48"/>
      <c r="N7" s="48"/>
      <c r="O7" s="48"/>
      <c r="P7" s="48"/>
      <c r="Q7" s="48"/>
      <c r="R7" s="48"/>
      <c r="S7" s="48"/>
      <c r="T7" s="48"/>
      <c r="U7" s="48"/>
      <c r="V7" s="48"/>
      <c r="W7" s="48"/>
      <c r="X7" s="48"/>
      <c r="Y7" s="48"/>
      <c r="Z7" s="48"/>
    </row>
    <row r="8" ht="23.25" customHeight="1">
      <c r="A8" s="111" t="str">
        <f>IF(B8="","",VLOOKUP(B8,'Mitglieder BBU'!A:K,6,0))</f>
        <v>Ingeborg Schmitt</v>
      </c>
      <c r="B8" s="81">
        <v>7974.0</v>
      </c>
      <c r="C8" s="127"/>
      <c r="D8" s="127"/>
      <c r="E8" s="127"/>
      <c r="F8" s="127"/>
      <c r="G8" s="127"/>
      <c r="H8" s="127"/>
      <c r="I8" s="128">
        <f t="shared" si="1"/>
        <v>0</v>
      </c>
      <c r="J8" s="72"/>
      <c r="K8" s="48"/>
      <c r="L8" s="48"/>
      <c r="M8" s="48"/>
      <c r="N8" s="48"/>
      <c r="O8" s="48"/>
      <c r="P8" s="48"/>
      <c r="Q8" s="48"/>
      <c r="R8" s="48"/>
      <c r="S8" s="48"/>
      <c r="T8" s="48"/>
      <c r="U8" s="48"/>
      <c r="V8" s="48"/>
      <c r="W8" s="48"/>
      <c r="X8" s="48"/>
      <c r="Y8" s="48"/>
      <c r="Z8" s="48"/>
    </row>
    <row r="9" ht="23.25" customHeight="1">
      <c r="A9" s="111" t="str">
        <f>IF(B9="","",VLOOKUP(B9,'Mitglieder BBU'!A:K,6,0))</f>
        <v>Katharina Mang</v>
      </c>
      <c r="B9" s="81">
        <v>25329.0</v>
      </c>
      <c r="C9" s="127"/>
      <c r="D9" s="127"/>
      <c r="E9" s="127"/>
      <c r="F9" s="127"/>
      <c r="G9" s="127"/>
      <c r="H9" s="127"/>
      <c r="I9" s="128">
        <f t="shared" si="1"/>
        <v>0</v>
      </c>
      <c r="J9" s="72"/>
      <c r="K9" s="48"/>
      <c r="L9" s="48"/>
      <c r="M9" s="48"/>
      <c r="N9" s="48"/>
      <c r="O9" s="48"/>
      <c r="P9" s="48"/>
      <c r="Q9" s="48"/>
      <c r="R9" s="48"/>
      <c r="S9" s="48"/>
      <c r="T9" s="48"/>
      <c r="U9" s="48"/>
      <c r="V9" s="48"/>
      <c r="W9" s="48"/>
      <c r="X9" s="48"/>
      <c r="Y9" s="48"/>
      <c r="Z9" s="48"/>
    </row>
    <row r="10" ht="23.25" customHeight="1">
      <c r="A10" s="111" t="str">
        <f>IF(B10="","",VLOOKUP(B10,'Mitglieder BBU'!A:K,6,0))</f>
        <v>Denise Schwertfeger</v>
      </c>
      <c r="B10" s="81">
        <v>38934.0</v>
      </c>
      <c r="C10" s="127"/>
      <c r="D10" s="127"/>
      <c r="E10" s="127"/>
      <c r="F10" s="127"/>
      <c r="G10" s="127"/>
      <c r="H10" s="127"/>
      <c r="I10" s="128">
        <f t="shared" si="1"/>
        <v>0</v>
      </c>
      <c r="J10" s="72"/>
      <c r="K10" s="48"/>
      <c r="L10" s="48"/>
      <c r="M10" s="48"/>
      <c r="N10" s="48"/>
      <c r="O10" s="48"/>
      <c r="P10" s="48"/>
      <c r="Q10" s="48"/>
      <c r="R10" s="48"/>
      <c r="S10" s="48"/>
      <c r="T10" s="48"/>
      <c r="U10" s="48"/>
      <c r="V10" s="48"/>
      <c r="W10" s="48"/>
      <c r="X10" s="48"/>
      <c r="Y10" s="48"/>
      <c r="Z10" s="48"/>
    </row>
    <row r="11" ht="23.25" customHeight="1">
      <c r="A11" s="111" t="str">
        <f>IF(B11="","",VLOOKUP(B11,'Mitglieder BBU'!A:K,6,0))</f>
        <v>Nicole Schott</v>
      </c>
      <c r="B11" s="81">
        <v>16595.0</v>
      </c>
      <c r="C11" s="127"/>
      <c r="D11" s="127"/>
      <c r="E11" s="127"/>
      <c r="F11" s="127"/>
      <c r="G11" s="127"/>
      <c r="H11" s="127"/>
      <c r="I11" s="128">
        <f t="shared" si="1"/>
        <v>0</v>
      </c>
      <c r="J11" s="72"/>
      <c r="K11" s="48"/>
      <c r="L11" s="48"/>
      <c r="M11" s="48"/>
      <c r="N11" s="48"/>
      <c r="O11" s="48"/>
      <c r="P11" s="48"/>
      <c r="Q11" s="48"/>
      <c r="R11" s="48"/>
      <c r="S11" s="48"/>
      <c r="T11" s="48"/>
      <c r="U11" s="48"/>
      <c r="V11" s="48"/>
      <c r="W11" s="48"/>
      <c r="X11" s="48"/>
      <c r="Y11" s="48"/>
      <c r="Z11" s="48"/>
    </row>
    <row r="12" ht="23.25" customHeight="1">
      <c r="A12" s="111" t="str">
        <f>IF(B12="","",VLOOKUP(B12,'Mitglieder BBU'!A:K,6,0))</f>
        <v>Monika Schott</v>
      </c>
      <c r="B12" s="81">
        <v>16594.0</v>
      </c>
      <c r="C12" s="127"/>
      <c r="D12" s="127"/>
      <c r="E12" s="127"/>
      <c r="F12" s="127"/>
      <c r="G12" s="127"/>
      <c r="H12" s="127"/>
      <c r="I12" s="128">
        <f t="shared" si="1"/>
        <v>0</v>
      </c>
      <c r="J12" s="72"/>
      <c r="K12" s="48"/>
      <c r="L12" s="48"/>
      <c r="M12" s="48"/>
      <c r="N12" s="48"/>
      <c r="O12" s="48"/>
      <c r="P12" s="48"/>
      <c r="Q12" s="48"/>
      <c r="R12" s="48"/>
      <c r="S12" s="48"/>
      <c r="T12" s="48"/>
      <c r="U12" s="48"/>
      <c r="V12" s="48"/>
      <c r="W12" s="48"/>
      <c r="X12" s="48"/>
      <c r="Y12" s="48"/>
      <c r="Z12" s="48"/>
    </row>
    <row r="13" ht="23.25" customHeight="1">
      <c r="A13" s="111" t="str">
        <f>IF(B13="","",VLOOKUP(B13,'Mitglieder BBU'!A:K,6,0))</f>
        <v>Helene Schick</v>
      </c>
      <c r="B13" s="81">
        <v>38931.0</v>
      </c>
      <c r="C13" s="127"/>
      <c r="D13" s="127"/>
      <c r="E13" s="127"/>
      <c r="F13" s="127"/>
      <c r="G13" s="127"/>
      <c r="H13" s="127"/>
      <c r="I13" s="128">
        <f t="shared" si="1"/>
        <v>0</v>
      </c>
      <c r="J13" s="72"/>
      <c r="K13" s="48"/>
      <c r="L13" s="48"/>
      <c r="M13" s="48"/>
      <c r="N13" s="48"/>
      <c r="O13" s="48"/>
      <c r="P13" s="48"/>
      <c r="Q13" s="48"/>
      <c r="R13" s="48"/>
      <c r="S13" s="48"/>
      <c r="T13" s="48"/>
      <c r="U13" s="48"/>
      <c r="V13" s="48"/>
      <c r="W13" s="48"/>
      <c r="X13" s="48"/>
      <c r="Y13" s="48"/>
      <c r="Z13" s="48"/>
    </row>
    <row r="14" ht="23.25" customHeight="1">
      <c r="A14" s="111" t="str">
        <f>IF(B14="","",VLOOKUP(B14,'Mitglieder BBU'!A:K,6,0))</f>
        <v>Anika Kristof</v>
      </c>
      <c r="B14" s="81">
        <v>38045.0</v>
      </c>
      <c r="C14" s="127"/>
      <c r="D14" s="127"/>
      <c r="E14" s="127"/>
      <c r="F14" s="127"/>
      <c r="G14" s="127"/>
      <c r="H14" s="127"/>
      <c r="I14" s="128">
        <f t="shared" si="1"/>
        <v>0</v>
      </c>
      <c r="J14" s="72"/>
      <c r="K14" s="48"/>
      <c r="L14" s="48"/>
      <c r="M14" s="48"/>
      <c r="N14" s="72"/>
      <c r="O14" s="48"/>
      <c r="P14" s="48"/>
      <c r="Q14" s="48"/>
      <c r="R14" s="48"/>
      <c r="S14" s="48"/>
      <c r="T14" s="48"/>
      <c r="U14" s="48"/>
      <c r="V14" s="48"/>
      <c r="W14" s="48"/>
      <c r="X14" s="48"/>
      <c r="Y14" s="48"/>
      <c r="Z14" s="48"/>
    </row>
    <row r="15" ht="23.25" customHeight="1">
      <c r="A15" s="111" t="str">
        <f>IF(B15="","",VLOOKUP(B15,'Mitglieder BBU'!A:K,6,0))</f>
        <v>Bianca Leinemann</v>
      </c>
      <c r="B15" s="81">
        <v>38876.0</v>
      </c>
      <c r="C15" s="127"/>
      <c r="D15" s="127"/>
      <c r="E15" s="127"/>
      <c r="F15" s="127"/>
      <c r="G15" s="127"/>
      <c r="H15" s="127"/>
      <c r="I15" s="128">
        <f t="shared" si="1"/>
        <v>0</v>
      </c>
      <c r="J15" s="72"/>
      <c r="K15" s="48"/>
      <c r="L15" s="48"/>
      <c r="M15" s="48"/>
      <c r="N15" s="72"/>
      <c r="O15" s="48"/>
      <c r="P15" s="48"/>
      <c r="Q15" s="48"/>
      <c r="R15" s="48"/>
      <c r="S15" s="48"/>
      <c r="T15" s="48"/>
      <c r="U15" s="48"/>
      <c r="V15" s="48"/>
      <c r="W15" s="48"/>
      <c r="X15" s="48"/>
      <c r="Y15" s="48"/>
      <c r="Z15" s="48"/>
    </row>
    <row r="16" ht="23.25" customHeight="1">
      <c r="A16" s="111" t="str">
        <f>IF(B16="","",VLOOKUP(B16,'Mitglieder BBU'!A:K,6,0))</f>
        <v>Sabaithip Mekjinda</v>
      </c>
      <c r="B16" s="81">
        <v>38780.0</v>
      </c>
      <c r="C16" s="127"/>
      <c r="D16" s="127"/>
      <c r="E16" s="127"/>
      <c r="F16" s="127"/>
      <c r="G16" s="127"/>
      <c r="H16" s="127"/>
      <c r="I16" s="128">
        <f t="shared" si="1"/>
        <v>0</v>
      </c>
      <c r="J16" s="72"/>
      <c r="K16" s="48"/>
      <c r="L16" s="48"/>
      <c r="M16" s="48"/>
      <c r="N16" s="48"/>
      <c r="O16" s="48"/>
      <c r="P16" s="48"/>
      <c r="Q16" s="48"/>
      <c r="R16" s="48"/>
      <c r="S16" s="48"/>
      <c r="T16" s="48"/>
      <c r="U16" s="48"/>
      <c r="V16" s="48"/>
      <c r="W16" s="48"/>
      <c r="X16" s="48"/>
      <c r="Y16" s="48"/>
      <c r="Z16" s="48"/>
    </row>
    <row r="17" ht="23.25" customHeight="1">
      <c r="A17" s="111" t="str">
        <f>IF(B17="","",VLOOKUP(B17,'Mitglieder BBU'!A:K,6,0))</f>
        <v>Stephanie Fischer</v>
      </c>
      <c r="B17" s="81">
        <v>38789.0</v>
      </c>
      <c r="C17" s="127"/>
      <c r="D17" s="127"/>
      <c r="E17" s="127"/>
      <c r="F17" s="127"/>
      <c r="G17" s="127"/>
      <c r="H17" s="127"/>
      <c r="I17" s="128">
        <f t="shared" si="1"/>
        <v>0</v>
      </c>
      <c r="J17" s="72"/>
      <c r="K17" s="48"/>
      <c r="L17" s="48"/>
      <c r="M17" s="48"/>
      <c r="N17" s="48"/>
      <c r="O17" s="48"/>
      <c r="P17" s="48"/>
      <c r="Q17" s="48"/>
      <c r="R17" s="48"/>
      <c r="S17" s="48"/>
      <c r="T17" s="48"/>
      <c r="U17" s="48"/>
      <c r="V17" s="48"/>
      <c r="W17" s="48"/>
      <c r="X17" s="48"/>
      <c r="Y17" s="48"/>
      <c r="Z17" s="48"/>
    </row>
    <row r="18" ht="23.25" customHeight="1">
      <c r="A18" s="111" t="str">
        <f>IF(B18="","",VLOOKUP(B18,'Mitglieder BBU'!A:K,6,0))</f>
        <v>Nadja Seidlein</v>
      </c>
      <c r="B18" s="81">
        <v>38173.0</v>
      </c>
      <c r="C18" s="127"/>
      <c r="D18" s="127"/>
      <c r="E18" s="127"/>
      <c r="F18" s="127"/>
      <c r="G18" s="127"/>
      <c r="H18" s="127"/>
      <c r="I18" s="128">
        <f t="shared" si="1"/>
        <v>0</v>
      </c>
      <c r="J18" s="48"/>
      <c r="K18" s="48"/>
      <c r="L18" s="48"/>
      <c r="M18" s="48"/>
      <c r="N18" s="48"/>
      <c r="O18" s="48"/>
      <c r="P18" s="48"/>
      <c r="Q18" s="48"/>
      <c r="R18" s="48"/>
      <c r="S18" s="48"/>
      <c r="T18" s="48"/>
      <c r="U18" s="48"/>
      <c r="V18" s="48"/>
      <c r="W18" s="48"/>
      <c r="X18" s="48"/>
      <c r="Y18" s="48"/>
      <c r="Z18" s="48"/>
    </row>
    <row r="19" ht="23.25" customHeight="1">
      <c r="A19" s="111" t="str">
        <f>IF(B19="","",VLOOKUP(B19,'Mitglieder BBU'!A:K,6,0))</f>
        <v>Laura Piros</v>
      </c>
      <c r="B19" s="81">
        <v>36696.0</v>
      </c>
      <c r="C19" s="127"/>
      <c r="D19" s="127"/>
      <c r="E19" s="127"/>
      <c r="F19" s="127"/>
      <c r="G19" s="127"/>
      <c r="H19" s="127"/>
      <c r="I19" s="128">
        <f t="shared" si="1"/>
        <v>0</v>
      </c>
      <c r="J19" s="48"/>
      <c r="K19" s="48"/>
      <c r="L19" s="48"/>
      <c r="M19" s="48"/>
      <c r="N19" s="48"/>
      <c r="O19" s="48"/>
      <c r="P19" s="48"/>
      <c r="Q19" s="48"/>
      <c r="R19" s="48"/>
      <c r="S19" s="48"/>
      <c r="T19" s="48"/>
      <c r="U19" s="48"/>
      <c r="V19" s="48"/>
      <c r="W19" s="48"/>
      <c r="X19" s="48"/>
      <c r="Y19" s="48"/>
      <c r="Z19" s="48"/>
    </row>
    <row r="20" ht="23.25" customHeight="1">
      <c r="A20" s="111" t="str">
        <f>IF(B20="","",VLOOKUP(B20,'Mitglieder BBU'!A:K,6,0))</f>
        <v>Alexandra Mareiser</v>
      </c>
      <c r="B20" s="81">
        <v>7083.0</v>
      </c>
      <c r="C20" s="127"/>
      <c r="D20" s="127"/>
      <c r="E20" s="127"/>
      <c r="F20" s="127"/>
      <c r="G20" s="127"/>
      <c r="H20" s="127"/>
      <c r="I20" s="128">
        <f t="shared" si="1"/>
        <v>0</v>
      </c>
      <c r="J20" s="48"/>
      <c r="K20" s="48"/>
      <c r="L20" s="48"/>
      <c r="M20" s="48"/>
      <c r="N20" s="48"/>
      <c r="O20" s="48"/>
      <c r="P20" s="48"/>
      <c r="Q20" s="48"/>
      <c r="R20" s="48"/>
      <c r="S20" s="48"/>
      <c r="T20" s="48"/>
      <c r="U20" s="48"/>
      <c r="V20" s="48"/>
      <c r="W20" s="48"/>
      <c r="X20" s="48"/>
      <c r="Y20" s="48"/>
      <c r="Z20" s="48"/>
    </row>
    <row r="21" ht="23.25" customHeight="1">
      <c r="A21" s="111" t="str">
        <f>IF(B21="","",VLOOKUP(B21,'Mitglieder BBU'!A:K,6,0))</f>
        <v>Regina Gahr</v>
      </c>
      <c r="B21" s="81">
        <v>38555.0</v>
      </c>
      <c r="C21" s="127"/>
      <c r="D21" s="127"/>
      <c r="E21" s="127"/>
      <c r="F21" s="127"/>
      <c r="G21" s="127"/>
      <c r="H21" s="127"/>
      <c r="I21" s="128">
        <f t="shared" si="1"/>
        <v>0</v>
      </c>
      <c r="J21" s="48"/>
      <c r="K21" s="48"/>
      <c r="L21" s="48"/>
      <c r="M21" s="48"/>
      <c r="N21" s="48"/>
      <c r="O21" s="48"/>
      <c r="P21" s="48"/>
      <c r="Q21" s="48"/>
      <c r="R21" s="48"/>
      <c r="S21" s="48"/>
      <c r="T21" s="48"/>
      <c r="U21" s="48"/>
      <c r="V21" s="48"/>
      <c r="W21" s="48"/>
      <c r="X21" s="48"/>
      <c r="Y21" s="48"/>
      <c r="Z21" s="48"/>
    </row>
    <row r="22" ht="23.25" customHeight="1">
      <c r="A22" s="111" t="str">
        <f>IF(B22="","",VLOOKUP(B22,'Mitglieder BBU'!A:K,6,0))</f>
        <v>Jana Witthinrich</v>
      </c>
      <c r="B22" s="81">
        <v>38355.0</v>
      </c>
      <c r="C22" s="127"/>
      <c r="D22" s="127"/>
      <c r="E22" s="127"/>
      <c r="F22" s="127"/>
      <c r="G22" s="127"/>
      <c r="H22" s="127"/>
      <c r="I22" s="128">
        <f t="shared" si="1"/>
        <v>0</v>
      </c>
      <c r="J22" s="48"/>
      <c r="K22" s="48"/>
      <c r="L22" s="48"/>
      <c r="M22" s="48"/>
      <c r="N22" s="48"/>
      <c r="O22" s="48"/>
      <c r="P22" s="48"/>
      <c r="Q22" s="48"/>
      <c r="R22" s="48"/>
      <c r="S22" s="48"/>
      <c r="T22" s="48"/>
      <c r="U22" s="48"/>
      <c r="V22" s="48"/>
      <c r="W22" s="48"/>
      <c r="X22" s="48"/>
      <c r="Y22" s="48"/>
      <c r="Z22" s="48"/>
    </row>
    <row r="23" ht="23.25" customHeight="1">
      <c r="A23" s="111" t="str">
        <f>IF(B23="","",VLOOKUP(B23,'Mitglieder BBU'!A:K,6,0))</f>
        <v>Natalie Groll</v>
      </c>
      <c r="B23" s="81">
        <v>25857.0</v>
      </c>
      <c r="C23" s="127"/>
      <c r="D23" s="127"/>
      <c r="E23" s="127"/>
      <c r="F23" s="127"/>
      <c r="G23" s="127"/>
      <c r="H23" s="127"/>
      <c r="I23" s="128">
        <f t="shared" si="1"/>
        <v>0</v>
      </c>
      <c r="J23" s="48"/>
      <c r="K23" s="48"/>
      <c r="L23" s="48"/>
      <c r="M23" s="48"/>
      <c r="N23" s="48"/>
      <c r="O23" s="48"/>
      <c r="P23" s="48"/>
      <c r="Q23" s="48"/>
      <c r="R23" s="48"/>
      <c r="S23" s="48"/>
      <c r="T23" s="48"/>
      <c r="U23" s="48"/>
      <c r="V23" s="48"/>
      <c r="W23" s="48"/>
      <c r="X23" s="48"/>
      <c r="Y23" s="48"/>
      <c r="Z23" s="48"/>
    </row>
    <row r="24" ht="23.25" customHeight="1">
      <c r="A24" s="111" t="str">
        <f>IF(B24="","",VLOOKUP(B24,'Mitglieder BBU'!A:K,6,0))</f>
        <v>Johanna Groll</v>
      </c>
      <c r="B24" s="81">
        <v>25630.0</v>
      </c>
      <c r="C24" s="127"/>
      <c r="D24" s="127"/>
      <c r="E24" s="127"/>
      <c r="F24" s="127"/>
      <c r="G24" s="127"/>
      <c r="H24" s="127"/>
      <c r="I24" s="128">
        <f t="shared" si="1"/>
        <v>0</v>
      </c>
      <c r="J24" s="48"/>
      <c r="K24" s="48"/>
      <c r="L24" s="48"/>
      <c r="M24" s="48"/>
      <c r="N24" s="48"/>
      <c r="O24" s="48"/>
      <c r="P24" s="48"/>
      <c r="Q24" s="48"/>
      <c r="R24" s="48"/>
      <c r="S24" s="48"/>
      <c r="T24" s="48"/>
      <c r="U24" s="48"/>
      <c r="V24" s="48"/>
      <c r="W24" s="48"/>
      <c r="X24" s="48"/>
      <c r="Y24" s="48"/>
      <c r="Z24" s="48"/>
    </row>
    <row r="25" ht="23.25" customHeight="1">
      <c r="A25" s="111" t="str">
        <f>IF(B25="","",VLOOKUP(B25,'Mitglieder BBU'!A:K,6,0))</f>
        <v>Julia Völlmerk</v>
      </c>
      <c r="B25" s="81">
        <v>16093.0</v>
      </c>
      <c r="C25" s="127"/>
      <c r="D25" s="127"/>
      <c r="E25" s="127"/>
      <c r="F25" s="127"/>
      <c r="G25" s="127"/>
      <c r="H25" s="127"/>
      <c r="I25" s="128">
        <f t="shared" si="1"/>
        <v>0</v>
      </c>
      <c r="J25" s="48"/>
      <c r="K25" s="48"/>
      <c r="L25" s="48"/>
      <c r="M25" s="48"/>
      <c r="N25" s="48"/>
      <c r="O25" s="48"/>
      <c r="P25" s="48"/>
      <c r="Q25" s="48"/>
      <c r="R25" s="48"/>
      <c r="S25" s="48"/>
      <c r="T25" s="48"/>
      <c r="U25" s="48"/>
      <c r="V25" s="48"/>
      <c r="W25" s="48"/>
      <c r="X25" s="48"/>
      <c r="Y25" s="48"/>
      <c r="Z25" s="48"/>
    </row>
    <row r="26" ht="23.25" customHeight="1">
      <c r="A26" s="111" t="str">
        <f>IF(B26="","",VLOOKUP(B26,'Mitglieder BBU'!A:K,6,0))</f>
        <v>Rica Jahre</v>
      </c>
      <c r="B26" s="81">
        <v>38980.0</v>
      </c>
      <c r="C26" s="127"/>
      <c r="D26" s="127"/>
      <c r="E26" s="127"/>
      <c r="F26" s="127"/>
      <c r="G26" s="127"/>
      <c r="H26" s="127"/>
      <c r="I26" s="128">
        <f t="shared" si="1"/>
        <v>0</v>
      </c>
      <c r="J26" s="48"/>
      <c r="K26" s="48"/>
      <c r="L26" s="48"/>
      <c r="M26" s="48"/>
      <c r="N26" s="48"/>
      <c r="O26" s="48"/>
      <c r="P26" s="48"/>
      <c r="Q26" s="48"/>
      <c r="R26" s="48"/>
      <c r="S26" s="48"/>
      <c r="T26" s="48"/>
      <c r="U26" s="48"/>
      <c r="V26" s="48"/>
      <c r="W26" s="48"/>
      <c r="X26" s="48"/>
      <c r="Y26" s="48"/>
      <c r="Z26" s="48"/>
    </row>
    <row r="27" ht="23.25" customHeight="1">
      <c r="A27" s="111" t="str">
        <f>IF(B27="","",VLOOKUP(B27,'Mitglieder BBU'!A:K,6,0))</f>
        <v>Marina Weiske</v>
      </c>
      <c r="B27" s="81">
        <v>7154.0</v>
      </c>
      <c r="C27" s="127"/>
      <c r="D27" s="127"/>
      <c r="E27" s="127"/>
      <c r="F27" s="127"/>
      <c r="G27" s="127"/>
      <c r="H27" s="127"/>
      <c r="I27" s="128">
        <f t="shared" si="1"/>
        <v>0</v>
      </c>
      <c r="J27" s="48"/>
      <c r="K27" s="48"/>
      <c r="L27" s="48"/>
      <c r="M27" s="48"/>
      <c r="N27" s="48"/>
      <c r="O27" s="48"/>
      <c r="P27" s="48"/>
      <c r="Q27" s="48"/>
      <c r="R27" s="48"/>
      <c r="S27" s="48"/>
      <c r="T27" s="48"/>
      <c r="U27" s="48"/>
      <c r="V27" s="48"/>
      <c r="W27" s="48"/>
      <c r="X27" s="48"/>
      <c r="Y27" s="48"/>
      <c r="Z27" s="48"/>
    </row>
    <row r="28" ht="23.25" customHeight="1">
      <c r="A28" s="111" t="str">
        <f>IF(B28="","",VLOOKUP(B28,'Mitglieder BBU'!A:K,6,0))</f>
        <v/>
      </c>
      <c r="B28" s="115"/>
      <c r="C28" s="127"/>
      <c r="D28" s="127"/>
      <c r="E28" s="127"/>
      <c r="F28" s="127"/>
      <c r="G28" s="127"/>
      <c r="H28" s="127"/>
      <c r="I28" s="128">
        <f t="shared" si="1"/>
        <v>0</v>
      </c>
      <c r="J28" s="48"/>
      <c r="K28" s="48"/>
      <c r="L28" s="48"/>
      <c r="M28" s="48"/>
      <c r="N28" s="48"/>
      <c r="O28" s="48"/>
      <c r="P28" s="48"/>
      <c r="Q28" s="48"/>
      <c r="R28" s="48"/>
      <c r="S28" s="48"/>
      <c r="T28" s="48"/>
      <c r="U28" s="48"/>
      <c r="V28" s="48"/>
      <c r="W28" s="48"/>
      <c r="X28" s="48"/>
      <c r="Y28" s="48"/>
      <c r="Z28" s="48"/>
    </row>
    <row r="29" ht="23.25" customHeight="1">
      <c r="A29" s="111" t="str">
        <f>IF(B29="","",VLOOKUP(B29,'Mitglieder BBU'!A:K,6,0))</f>
        <v/>
      </c>
      <c r="B29" s="115"/>
      <c r="C29" s="127"/>
      <c r="D29" s="127"/>
      <c r="E29" s="127"/>
      <c r="F29" s="127"/>
      <c r="G29" s="127"/>
      <c r="H29" s="127"/>
      <c r="I29" s="128">
        <f t="shared" si="1"/>
        <v>0</v>
      </c>
      <c r="J29" s="48"/>
      <c r="K29" s="48"/>
      <c r="L29" s="48"/>
      <c r="M29" s="48"/>
      <c r="N29" s="48"/>
      <c r="O29" s="48"/>
      <c r="P29" s="48"/>
      <c r="Q29" s="48"/>
      <c r="R29" s="48"/>
      <c r="S29" s="48"/>
      <c r="T29" s="48"/>
      <c r="U29" s="48"/>
      <c r="V29" s="48"/>
      <c r="W29" s="48"/>
      <c r="X29" s="48"/>
      <c r="Y29" s="48"/>
      <c r="Z29" s="48"/>
    </row>
    <row r="30" ht="23.25" customHeight="1">
      <c r="A30" s="111" t="str">
        <f>IF(B30="","",VLOOKUP(B30,'Mitglieder BBU'!A:K,6,0))</f>
        <v/>
      </c>
      <c r="B30" s="115"/>
      <c r="C30" s="127"/>
      <c r="D30" s="127"/>
      <c r="E30" s="127"/>
      <c r="F30" s="127"/>
      <c r="G30" s="127"/>
      <c r="H30" s="127"/>
      <c r="I30" s="128">
        <f t="shared" si="1"/>
        <v>0</v>
      </c>
      <c r="J30" s="126"/>
      <c r="K30" s="126"/>
      <c r="L30" s="126"/>
      <c r="M30" s="126"/>
      <c r="N30" s="126"/>
      <c r="O30" s="126"/>
      <c r="P30" s="126"/>
      <c r="Q30" s="126"/>
      <c r="R30" s="126"/>
      <c r="S30" s="126"/>
      <c r="T30" s="126"/>
      <c r="U30" s="126"/>
      <c r="V30" s="126"/>
      <c r="W30" s="126"/>
      <c r="X30" s="126"/>
      <c r="Y30" s="126"/>
      <c r="Z30" s="126"/>
    </row>
    <row r="31" ht="23.25" customHeight="1">
      <c r="A31" s="111" t="str">
        <f>IF(B31="","",VLOOKUP(B31,'Mitglieder BBU'!A:K,6,0))</f>
        <v/>
      </c>
      <c r="B31" s="115"/>
      <c r="C31" s="127"/>
      <c r="D31" s="127"/>
      <c r="E31" s="127"/>
      <c r="F31" s="127"/>
      <c r="G31" s="127"/>
      <c r="H31" s="127"/>
      <c r="I31" s="128">
        <f t="shared" si="1"/>
        <v>0</v>
      </c>
      <c r="J31" s="48"/>
      <c r="K31" s="48"/>
      <c r="L31" s="48"/>
      <c r="M31" s="48"/>
      <c r="N31" s="48"/>
      <c r="O31" s="48"/>
      <c r="P31" s="48"/>
      <c r="Q31" s="48"/>
      <c r="R31" s="48"/>
      <c r="S31" s="48"/>
      <c r="T31" s="48"/>
      <c r="U31" s="48"/>
      <c r="V31" s="48"/>
      <c r="W31" s="48"/>
      <c r="X31" s="48"/>
      <c r="Y31" s="48"/>
      <c r="Z31" s="48"/>
    </row>
    <row r="32" ht="23.25" customHeight="1">
      <c r="A32" s="111" t="str">
        <f>IF(B32="","",VLOOKUP(B32,'Mitglieder BBU'!A:K,6,0))</f>
        <v/>
      </c>
      <c r="B32" s="115"/>
      <c r="C32" s="127"/>
      <c r="D32" s="127"/>
      <c r="E32" s="127"/>
      <c r="F32" s="127"/>
      <c r="G32" s="127"/>
      <c r="H32" s="127"/>
      <c r="I32" s="128">
        <f t="shared" si="1"/>
        <v>0</v>
      </c>
      <c r="J32" s="48"/>
      <c r="K32" s="48"/>
      <c r="L32" s="48"/>
      <c r="M32" s="48"/>
      <c r="N32" s="48"/>
      <c r="O32" s="48"/>
      <c r="P32" s="48"/>
      <c r="Q32" s="48"/>
      <c r="R32" s="48"/>
      <c r="S32" s="48"/>
      <c r="T32" s="48"/>
      <c r="U32" s="48"/>
      <c r="V32" s="48"/>
      <c r="W32" s="48"/>
      <c r="X32" s="48"/>
      <c r="Y32" s="48"/>
      <c r="Z32" s="48"/>
    </row>
    <row r="33" ht="23.25" customHeight="1">
      <c r="A33" s="111" t="str">
        <f>IF(B33="","",VLOOKUP(B33,'Mitglieder BBU'!A:K,6,0))</f>
        <v/>
      </c>
      <c r="B33" s="115"/>
      <c r="C33" s="127"/>
      <c r="D33" s="127"/>
      <c r="E33" s="127"/>
      <c r="F33" s="127"/>
      <c r="G33" s="127"/>
      <c r="H33" s="127"/>
      <c r="I33" s="128">
        <f t="shared" si="1"/>
        <v>0</v>
      </c>
      <c r="J33" s="48"/>
      <c r="K33" s="48"/>
      <c r="L33" s="48"/>
      <c r="M33" s="48"/>
      <c r="N33" s="48"/>
      <c r="O33" s="48"/>
      <c r="P33" s="48"/>
      <c r="Q33" s="48"/>
      <c r="R33" s="48"/>
      <c r="S33" s="48"/>
      <c r="T33" s="48"/>
      <c r="U33" s="48"/>
      <c r="V33" s="48"/>
      <c r="W33" s="48"/>
      <c r="X33" s="48"/>
      <c r="Y33" s="48"/>
      <c r="Z33" s="48"/>
    </row>
    <row r="34" ht="23.25" customHeight="1">
      <c r="A34" s="111" t="str">
        <f>IF(B34="","",VLOOKUP(B34,'Mitglieder BBU'!A:K,6,0))</f>
        <v/>
      </c>
      <c r="B34" s="115"/>
      <c r="C34" s="127"/>
      <c r="D34" s="127"/>
      <c r="E34" s="127"/>
      <c r="F34" s="127"/>
      <c r="G34" s="127"/>
      <c r="H34" s="127"/>
      <c r="I34" s="128">
        <f t="shared" si="1"/>
        <v>0</v>
      </c>
      <c r="J34" s="48"/>
      <c r="K34" s="48"/>
      <c r="L34" s="48"/>
      <c r="M34" s="48"/>
      <c r="N34" s="48"/>
      <c r="O34" s="48"/>
      <c r="P34" s="48"/>
      <c r="Q34" s="48"/>
      <c r="R34" s="48"/>
      <c r="S34" s="48"/>
      <c r="T34" s="48"/>
      <c r="U34" s="48"/>
      <c r="V34" s="48"/>
      <c r="W34" s="48"/>
      <c r="X34" s="48"/>
      <c r="Y34" s="48"/>
      <c r="Z34" s="48"/>
    </row>
    <row r="35" ht="23.25" customHeight="1">
      <c r="A35" s="111" t="str">
        <f>IF(B35="","",VLOOKUP(B35,'Mitglieder BBU'!A:K,6,0))</f>
        <v/>
      </c>
      <c r="B35" s="115"/>
      <c r="C35" s="127"/>
      <c r="D35" s="127"/>
      <c r="E35" s="127"/>
      <c r="F35" s="127"/>
      <c r="G35" s="127"/>
      <c r="H35" s="127"/>
      <c r="I35" s="128">
        <f t="shared" si="1"/>
        <v>0</v>
      </c>
      <c r="J35" s="48"/>
      <c r="K35" s="48"/>
      <c r="L35" s="48"/>
      <c r="M35" s="48"/>
      <c r="N35" s="48"/>
      <c r="O35" s="48"/>
      <c r="P35" s="48"/>
      <c r="Q35" s="48"/>
      <c r="R35" s="48"/>
      <c r="S35" s="48"/>
      <c r="T35" s="48"/>
      <c r="U35" s="48"/>
      <c r="V35" s="48"/>
      <c r="W35" s="48"/>
      <c r="X35" s="48"/>
      <c r="Y35" s="48"/>
      <c r="Z35" s="48"/>
    </row>
    <row r="36" ht="23.25" customHeight="1">
      <c r="A36" s="111" t="str">
        <f>IF(B36="","",VLOOKUP(B36,'Mitglieder BBU'!A:K,6,0))</f>
        <v/>
      </c>
      <c r="B36" s="115"/>
      <c r="C36" s="127"/>
      <c r="D36" s="127"/>
      <c r="E36" s="127"/>
      <c r="F36" s="127"/>
      <c r="G36" s="127"/>
      <c r="H36" s="127"/>
      <c r="I36" s="128">
        <f t="shared" si="1"/>
        <v>0</v>
      </c>
      <c r="J36" s="48"/>
      <c r="K36" s="48"/>
      <c r="L36" s="48"/>
      <c r="M36" s="48"/>
      <c r="N36" s="48"/>
      <c r="O36" s="48"/>
      <c r="P36" s="48"/>
      <c r="Q36" s="48"/>
      <c r="R36" s="48"/>
      <c r="S36" s="48"/>
      <c r="T36" s="48"/>
      <c r="U36" s="48"/>
      <c r="V36" s="48"/>
      <c r="W36" s="48"/>
      <c r="X36" s="48"/>
      <c r="Y36" s="48"/>
      <c r="Z36" s="48"/>
    </row>
    <row r="37" ht="23.25" customHeight="1">
      <c r="A37" s="111" t="str">
        <f>IF(B37="","",VLOOKUP(B37,'Mitglieder BBU'!A:K,6,0))</f>
        <v/>
      </c>
      <c r="B37" s="115"/>
      <c r="C37" s="127"/>
      <c r="D37" s="127"/>
      <c r="E37" s="127"/>
      <c r="F37" s="127"/>
      <c r="G37" s="127"/>
      <c r="H37" s="127"/>
      <c r="I37" s="128">
        <f t="shared" si="1"/>
        <v>0</v>
      </c>
      <c r="J37" s="48"/>
      <c r="K37" s="48"/>
      <c r="L37" s="48"/>
      <c r="M37" s="48"/>
      <c r="N37" s="48"/>
      <c r="O37" s="48"/>
      <c r="P37" s="48"/>
      <c r="Q37" s="48"/>
      <c r="R37" s="48"/>
      <c r="S37" s="48"/>
      <c r="T37" s="48"/>
      <c r="U37" s="48"/>
      <c r="V37" s="48"/>
      <c r="W37" s="48"/>
      <c r="X37" s="48"/>
      <c r="Y37" s="48"/>
      <c r="Z37" s="48"/>
    </row>
    <row r="38" ht="23.25" customHeight="1">
      <c r="A38" s="111" t="str">
        <f>IF(B38="","",VLOOKUP(B38,'Mitglieder BBU'!A:K,6,0))</f>
        <v/>
      </c>
      <c r="B38" s="115"/>
      <c r="C38" s="127"/>
      <c r="D38" s="127"/>
      <c r="E38" s="127"/>
      <c r="F38" s="127"/>
      <c r="G38" s="127"/>
      <c r="H38" s="127"/>
      <c r="I38" s="128">
        <f t="shared" si="1"/>
        <v>0</v>
      </c>
      <c r="J38" s="48"/>
      <c r="K38" s="48"/>
      <c r="L38" s="48"/>
      <c r="M38" s="48"/>
      <c r="N38" s="48"/>
      <c r="O38" s="48"/>
      <c r="P38" s="48"/>
      <c r="Q38" s="48"/>
      <c r="R38" s="48"/>
      <c r="S38" s="48"/>
      <c r="T38" s="48"/>
      <c r="U38" s="48"/>
      <c r="V38" s="48"/>
      <c r="W38" s="48"/>
      <c r="X38" s="48"/>
      <c r="Y38" s="48"/>
      <c r="Z38" s="48"/>
    </row>
    <row r="39" ht="23.25" customHeight="1">
      <c r="A39" s="111" t="str">
        <f>IF(B39="","",VLOOKUP(B39,'Mitglieder BBU'!A:K,6,0))</f>
        <v/>
      </c>
      <c r="B39" s="115"/>
      <c r="C39" s="127"/>
      <c r="D39" s="127"/>
      <c r="E39" s="127"/>
      <c r="F39" s="127"/>
      <c r="G39" s="127"/>
      <c r="H39" s="127"/>
      <c r="I39" s="128">
        <f t="shared" si="1"/>
        <v>0</v>
      </c>
      <c r="J39" s="48"/>
      <c r="K39" s="48"/>
      <c r="L39" s="48"/>
      <c r="M39" s="48"/>
      <c r="N39" s="48"/>
      <c r="O39" s="48"/>
      <c r="P39" s="48"/>
      <c r="Q39" s="48"/>
      <c r="R39" s="48"/>
      <c r="S39" s="48"/>
      <c r="T39" s="48"/>
      <c r="U39" s="48"/>
      <c r="V39" s="48"/>
      <c r="W39" s="48"/>
      <c r="X39" s="48"/>
      <c r="Y39" s="48"/>
      <c r="Z39" s="48"/>
    </row>
    <row r="40" ht="23.25" customHeight="1">
      <c r="A40" s="111" t="str">
        <f>IF(B40="","",VLOOKUP(B40,'Mitglieder BBU'!A:K,6,0))</f>
        <v/>
      </c>
      <c r="B40" s="115"/>
      <c r="C40" s="127"/>
      <c r="D40" s="127"/>
      <c r="E40" s="127"/>
      <c r="F40" s="127"/>
      <c r="G40" s="127"/>
      <c r="H40" s="127"/>
      <c r="I40" s="128">
        <f t="shared" si="1"/>
        <v>0</v>
      </c>
      <c r="J40" s="48"/>
      <c r="K40" s="48"/>
      <c r="L40" s="48"/>
      <c r="M40" s="48"/>
      <c r="N40" s="48"/>
      <c r="O40" s="48"/>
      <c r="P40" s="48"/>
      <c r="Q40" s="48"/>
      <c r="R40" s="48"/>
      <c r="S40" s="48"/>
      <c r="T40" s="48"/>
      <c r="U40" s="48"/>
      <c r="V40" s="48"/>
      <c r="W40" s="48"/>
      <c r="X40" s="48"/>
      <c r="Y40" s="48"/>
      <c r="Z40" s="48"/>
    </row>
    <row r="41" ht="23.25" customHeight="1">
      <c r="A41" s="111" t="str">
        <f>IF(B41="","",VLOOKUP(B41,'Mitglieder BBU'!A:K,6,0))</f>
        <v/>
      </c>
      <c r="B41" s="115"/>
      <c r="C41" s="127"/>
      <c r="D41" s="127"/>
      <c r="E41" s="127"/>
      <c r="F41" s="127"/>
      <c r="G41" s="127"/>
      <c r="H41" s="127"/>
      <c r="I41" s="128">
        <f t="shared" si="1"/>
        <v>0</v>
      </c>
      <c r="J41" s="48"/>
      <c r="K41" s="48"/>
      <c r="L41" s="48"/>
      <c r="M41" s="48"/>
      <c r="N41" s="48"/>
      <c r="O41" s="48"/>
      <c r="P41" s="48"/>
      <c r="Q41" s="48"/>
      <c r="R41" s="48"/>
      <c r="S41" s="48"/>
      <c r="T41" s="48"/>
      <c r="U41" s="48"/>
      <c r="V41" s="48"/>
      <c r="W41" s="48"/>
      <c r="X41" s="48"/>
      <c r="Y41" s="48"/>
      <c r="Z41" s="48"/>
    </row>
    <row r="42" ht="23.25" customHeight="1">
      <c r="A42" s="111" t="str">
        <f>IF(B42="","",VLOOKUP(B42,'Mitglieder BBU'!A:K,6,0))</f>
        <v/>
      </c>
      <c r="B42" s="115"/>
      <c r="C42" s="127"/>
      <c r="D42" s="127"/>
      <c r="E42" s="127"/>
      <c r="F42" s="127"/>
      <c r="G42" s="127"/>
      <c r="H42" s="127"/>
      <c r="I42" s="128">
        <f t="shared" si="1"/>
        <v>0</v>
      </c>
      <c r="J42" s="48"/>
      <c r="K42" s="48"/>
      <c r="L42" s="48"/>
      <c r="M42" s="48"/>
      <c r="N42" s="48"/>
      <c r="O42" s="48"/>
      <c r="P42" s="48"/>
      <c r="Q42" s="48"/>
      <c r="R42" s="48"/>
      <c r="S42" s="48"/>
      <c r="T42" s="48"/>
      <c r="U42" s="48"/>
      <c r="V42" s="48"/>
      <c r="W42" s="48"/>
      <c r="X42" s="48"/>
      <c r="Y42" s="48"/>
      <c r="Z42" s="48"/>
    </row>
    <row r="43" ht="23.25" customHeight="1">
      <c r="A43" s="111" t="str">
        <f>IF(B43="","",VLOOKUP(B43,'Mitglieder BBU'!A:K,6,0))</f>
        <v/>
      </c>
      <c r="B43" s="115"/>
      <c r="C43" s="127"/>
      <c r="D43" s="127"/>
      <c r="E43" s="127"/>
      <c r="F43" s="127"/>
      <c r="G43" s="127"/>
      <c r="H43" s="127"/>
      <c r="I43" s="128">
        <f t="shared" si="1"/>
        <v>0</v>
      </c>
      <c r="J43" s="48"/>
      <c r="K43" s="48"/>
      <c r="L43" s="48"/>
      <c r="M43" s="48"/>
      <c r="N43" s="48"/>
      <c r="O43" s="48"/>
      <c r="P43" s="48"/>
      <c r="Q43" s="48"/>
      <c r="R43" s="48"/>
      <c r="S43" s="48"/>
      <c r="T43" s="48"/>
      <c r="U43" s="48"/>
      <c r="V43" s="48"/>
      <c r="W43" s="48"/>
      <c r="X43" s="48"/>
      <c r="Y43" s="48"/>
      <c r="Z43" s="48"/>
    </row>
    <row r="44" ht="23.25" customHeight="1">
      <c r="A44" s="111" t="str">
        <f>IF(B44="","",VLOOKUP(B44,'Mitglieder BBU'!A:K,6,0))</f>
        <v/>
      </c>
      <c r="B44" s="115"/>
      <c r="C44" s="127"/>
      <c r="D44" s="127"/>
      <c r="E44" s="127"/>
      <c r="F44" s="127"/>
      <c r="G44" s="127"/>
      <c r="H44" s="127"/>
      <c r="I44" s="128">
        <f t="shared" si="1"/>
        <v>0</v>
      </c>
      <c r="J44" s="48"/>
      <c r="K44" s="48"/>
      <c r="L44" s="48"/>
      <c r="M44" s="48"/>
      <c r="N44" s="48"/>
      <c r="O44" s="48"/>
      <c r="P44" s="48"/>
      <c r="Q44" s="48"/>
      <c r="R44" s="48"/>
      <c r="S44" s="48"/>
      <c r="T44" s="48"/>
      <c r="U44" s="48"/>
      <c r="V44" s="48"/>
      <c r="W44" s="48"/>
      <c r="X44" s="48"/>
      <c r="Y44" s="48"/>
      <c r="Z44" s="48"/>
    </row>
    <row r="45" ht="23.25" customHeight="1">
      <c r="A45" s="111" t="str">
        <f>IF(B45="","",VLOOKUP(B45,'Mitglieder BBU'!A:K,6,0))</f>
        <v/>
      </c>
      <c r="B45" s="115"/>
      <c r="C45" s="127"/>
      <c r="D45" s="127"/>
      <c r="E45" s="127"/>
      <c r="F45" s="127"/>
      <c r="G45" s="127"/>
      <c r="H45" s="127"/>
      <c r="I45" s="128">
        <f t="shared" si="1"/>
        <v>0</v>
      </c>
      <c r="J45" s="48"/>
      <c r="K45" s="48"/>
      <c r="L45" s="48"/>
      <c r="M45" s="48"/>
      <c r="N45" s="48"/>
      <c r="O45" s="48"/>
      <c r="P45" s="48"/>
      <c r="Q45" s="48"/>
      <c r="R45" s="48"/>
      <c r="S45" s="48"/>
      <c r="T45" s="48"/>
      <c r="U45" s="48"/>
      <c r="V45" s="48"/>
      <c r="W45" s="48"/>
      <c r="X45" s="48"/>
      <c r="Y45" s="48"/>
      <c r="Z45" s="48"/>
    </row>
    <row r="46" ht="23.25" customHeight="1">
      <c r="A46" s="111" t="str">
        <f>IF(B46="","",VLOOKUP(B46,'Mitglieder BBU'!A:K,6,0))</f>
        <v/>
      </c>
      <c r="B46" s="115"/>
      <c r="C46" s="127"/>
      <c r="D46" s="127"/>
      <c r="E46" s="127"/>
      <c r="F46" s="127"/>
      <c r="G46" s="129"/>
      <c r="H46" s="129"/>
      <c r="I46" s="128">
        <f t="shared" si="1"/>
        <v>0</v>
      </c>
      <c r="J46" s="48"/>
      <c r="K46" s="48"/>
      <c r="L46" s="48"/>
      <c r="M46" s="48"/>
      <c r="N46" s="48"/>
      <c r="O46" s="48"/>
      <c r="P46" s="48"/>
      <c r="Q46" s="48"/>
      <c r="R46" s="48"/>
      <c r="S46" s="48"/>
      <c r="T46" s="48"/>
      <c r="U46" s="48"/>
      <c r="V46" s="48"/>
      <c r="W46" s="48"/>
      <c r="X46" s="48"/>
      <c r="Y46" s="48"/>
      <c r="Z46" s="48"/>
    </row>
    <row r="47" ht="23.25" customHeight="1">
      <c r="A47" s="111" t="str">
        <f>IF(B47="","",VLOOKUP(B47,'Mitglieder BBU'!A:K,6,0))</f>
        <v/>
      </c>
      <c r="B47" s="115"/>
      <c r="C47" s="127"/>
      <c r="D47" s="127"/>
      <c r="E47" s="127"/>
      <c r="F47" s="127"/>
      <c r="G47" s="129"/>
      <c r="H47" s="129"/>
      <c r="I47" s="128">
        <f t="shared" si="1"/>
        <v>0</v>
      </c>
      <c r="J47" s="48"/>
      <c r="K47" s="48"/>
      <c r="L47" s="48"/>
      <c r="M47" s="48"/>
      <c r="N47" s="48"/>
      <c r="O47" s="48"/>
      <c r="P47" s="48"/>
      <c r="Q47" s="48"/>
      <c r="R47" s="48"/>
      <c r="S47" s="48"/>
      <c r="T47" s="48"/>
      <c r="U47" s="48"/>
      <c r="V47" s="48"/>
      <c r="W47" s="48"/>
      <c r="X47" s="48"/>
      <c r="Y47" s="48"/>
      <c r="Z47" s="48"/>
    </row>
    <row r="48" ht="23.25" customHeight="1">
      <c r="A48" s="111" t="str">
        <f>IF(B48="","",VLOOKUP(B48,'Mitglieder BBU'!A:K,6,0))</f>
        <v/>
      </c>
      <c r="B48" s="115"/>
      <c r="C48" s="127"/>
      <c r="D48" s="127"/>
      <c r="E48" s="127"/>
      <c r="F48" s="127"/>
      <c r="G48" s="129"/>
      <c r="H48" s="129"/>
      <c r="I48" s="128">
        <f t="shared" si="1"/>
        <v>0</v>
      </c>
      <c r="J48" s="48"/>
      <c r="K48" s="48"/>
      <c r="L48" s="48"/>
      <c r="M48" s="48"/>
      <c r="N48" s="48"/>
      <c r="O48" s="48"/>
      <c r="P48" s="48"/>
      <c r="Q48" s="48"/>
      <c r="R48" s="48"/>
      <c r="S48" s="48"/>
      <c r="T48" s="48"/>
      <c r="U48" s="48"/>
      <c r="V48" s="48"/>
      <c r="W48" s="48"/>
      <c r="X48" s="48"/>
      <c r="Y48" s="48"/>
      <c r="Z48" s="48"/>
    </row>
    <row r="49" ht="23.25" customHeight="1">
      <c r="A49" s="111" t="str">
        <f>IF(B49="","",VLOOKUP(B49,'Mitglieder BBU'!A:K,6,0))</f>
        <v/>
      </c>
      <c r="B49" s="115"/>
      <c r="C49" s="127"/>
      <c r="D49" s="127"/>
      <c r="E49" s="127"/>
      <c r="F49" s="127"/>
      <c r="G49" s="129"/>
      <c r="H49" s="129"/>
      <c r="I49" s="128">
        <f t="shared" si="1"/>
        <v>0</v>
      </c>
      <c r="J49" s="48"/>
      <c r="K49" s="48"/>
      <c r="L49" s="48"/>
      <c r="M49" s="48"/>
      <c r="N49" s="48"/>
      <c r="O49" s="48"/>
      <c r="P49" s="48"/>
      <c r="Q49" s="48"/>
      <c r="R49" s="48"/>
      <c r="S49" s="48"/>
      <c r="T49" s="48"/>
      <c r="U49" s="48"/>
      <c r="V49" s="48"/>
      <c r="W49" s="48"/>
      <c r="X49" s="48"/>
      <c r="Y49" s="48"/>
      <c r="Z49" s="48"/>
    </row>
    <row r="50" ht="23.25" customHeight="1">
      <c r="A50" s="111" t="str">
        <f>IF(B50="","",VLOOKUP(B50,'Mitglieder BBU'!A:K,6,0))</f>
        <v/>
      </c>
      <c r="B50" s="115"/>
      <c r="C50" s="127"/>
      <c r="D50" s="127"/>
      <c r="E50" s="127"/>
      <c r="F50" s="127"/>
      <c r="G50" s="129"/>
      <c r="H50" s="129"/>
      <c r="I50" s="128">
        <f t="shared" si="1"/>
        <v>0</v>
      </c>
      <c r="J50" s="48"/>
      <c r="K50" s="48"/>
      <c r="L50" s="48"/>
      <c r="M50" s="48"/>
      <c r="N50" s="48"/>
      <c r="O50" s="48"/>
      <c r="P50" s="48"/>
      <c r="Q50" s="48"/>
      <c r="R50" s="48"/>
      <c r="S50" s="48"/>
      <c r="T50" s="48"/>
      <c r="U50" s="48"/>
      <c r="V50" s="48"/>
      <c r="W50" s="48"/>
      <c r="X50" s="48"/>
      <c r="Y50" s="48"/>
      <c r="Z50" s="48"/>
    </row>
    <row r="51" ht="23.25" customHeight="1">
      <c r="A51" s="111" t="str">
        <f>IF(B51="","",VLOOKUP(B51,'Mitglieder BBU'!A:K,6,0))</f>
        <v/>
      </c>
      <c r="B51" s="115"/>
      <c r="C51" s="127"/>
      <c r="D51" s="127"/>
      <c r="E51" s="127"/>
      <c r="F51" s="127"/>
      <c r="G51" s="129"/>
      <c r="H51" s="129"/>
      <c r="I51" s="128">
        <f t="shared" si="1"/>
        <v>0</v>
      </c>
      <c r="J51" s="48"/>
      <c r="K51" s="48"/>
      <c r="L51" s="48"/>
      <c r="M51" s="48"/>
      <c r="N51" s="48"/>
      <c r="O51" s="48"/>
      <c r="P51" s="48"/>
      <c r="Q51" s="48"/>
      <c r="R51" s="48"/>
      <c r="S51" s="48"/>
      <c r="T51" s="48"/>
      <c r="U51" s="48"/>
      <c r="V51" s="48"/>
      <c r="W51" s="48"/>
      <c r="X51" s="48"/>
      <c r="Y51" s="48"/>
      <c r="Z51" s="48"/>
    </row>
    <row r="52" ht="23.25" customHeight="1">
      <c r="A52" s="111" t="str">
        <f>IF(B52="","",VLOOKUP(B52,'Mitglieder BBU'!A:K,6,0))</f>
        <v/>
      </c>
      <c r="B52" s="115"/>
      <c r="C52" s="127"/>
      <c r="D52" s="127"/>
      <c r="E52" s="127"/>
      <c r="F52" s="127"/>
      <c r="G52" s="129"/>
      <c r="H52" s="129"/>
      <c r="I52" s="128">
        <f t="shared" si="1"/>
        <v>0</v>
      </c>
      <c r="J52" s="48"/>
      <c r="K52" s="48"/>
      <c r="L52" s="48"/>
      <c r="M52" s="48"/>
      <c r="N52" s="48"/>
      <c r="O52" s="48"/>
      <c r="P52" s="48"/>
      <c r="Q52" s="48"/>
      <c r="R52" s="48"/>
      <c r="S52" s="48"/>
      <c r="T52" s="48"/>
      <c r="U52" s="48"/>
      <c r="V52" s="48"/>
      <c r="W52" s="48"/>
      <c r="X52" s="48"/>
      <c r="Y52" s="48"/>
      <c r="Z52" s="48"/>
    </row>
    <row r="53" ht="23.25" customHeight="1">
      <c r="A53" s="111" t="str">
        <f>IF(B53="","",VLOOKUP(B53,'Mitglieder BBU'!A:K,6,0))</f>
        <v/>
      </c>
      <c r="B53" s="115"/>
      <c r="C53" s="127"/>
      <c r="D53" s="127"/>
      <c r="E53" s="127"/>
      <c r="F53" s="127"/>
      <c r="G53" s="129"/>
      <c r="H53" s="129"/>
      <c r="I53" s="128">
        <f t="shared" si="1"/>
        <v>0</v>
      </c>
      <c r="J53" s="48"/>
      <c r="K53" s="48"/>
      <c r="L53" s="48"/>
      <c r="M53" s="48"/>
      <c r="N53" s="48"/>
      <c r="O53" s="48"/>
      <c r="P53" s="48"/>
      <c r="Q53" s="48"/>
      <c r="R53" s="48"/>
      <c r="S53" s="48"/>
      <c r="T53" s="48"/>
      <c r="U53" s="48"/>
      <c r="V53" s="48"/>
      <c r="W53" s="48"/>
      <c r="X53" s="48"/>
      <c r="Y53" s="48"/>
      <c r="Z53" s="48"/>
    </row>
    <row r="54" ht="23.25" customHeight="1">
      <c r="A54" s="111" t="str">
        <f>IF(B54="","",VLOOKUP(B54,'Mitglieder BBU'!A:K,6,0))</f>
        <v/>
      </c>
      <c r="B54" s="115"/>
      <c r="C54" s="127"/>
      <c r="D54" s="127"/>
      <c r="E54" s="127"/>
      <c r="F54" s="127"/>
      <c r="G54" s="129"/>
      <c r="H54" s="129"/>
      <c r="I54" s="128">
        <f t="shared" si="1"/>
        <v>0</v>
      </c>
      <c r="J54" s="48"/>
      <c r="K54" s="48"/>
      <c r="L54" s="48"/>
      <c r="M54" s="48"/>
      <c r="N54" s="48"/>
      <c r="O54" s="48"/>
      <c r="P54" s="48"/>
      <c r="Q54" s="48"/>
      <c r="R54" s="48"/>
      <c r="S54" s="48"/>
      <c r="T54" s="48"/>
      <c r="U54" s="48"/>
      <c r="V54" s="48"/>
      <c r="W54" s="48"/>
      <c r="X54" s="48"/>
      <c r="Y54" s="48"/>
      <c r="Z54" s="48"/>
    </row>
    <row r="55" ht="23.25" customHeight="1">
      <c r="A55" s="111" t="str">
        <f>IF(B55="","",VLOOKUP(B55,'Mitglieder BBU'!A:K,6,0))</f>
        <v/>
      </c>
      <c r="B55" s="115"/>
      <c r="C55" s="127"/>
      <c r="D55" s="127"/>
      <c r="E55" s="127"/>
      <c r="F55" s="127"/>
      <c r="G55" s="129"/>
      <c r="H55" s="129"/>
      <c r="I55" s="128">
        <f t="shared" si="1"/>
        <v>0</v>
      </c>
      <c r="J55" s="48"/>
      <c r="K55" s="48"/>
      <c r="L55" s="48"/>
      <c r="M55" s="48"/>
      <c r="N55" s="48"/>
      <c r="O55" s="48"/>
      <c r="P55" s="48"/>
      <c r="Q55" s="48"/>
      <c r="R55" s="48"/>
      <c r="S55" s="48"/>
      <c r="T55" s="48"/>
      <c r="U55" s="48"/>
      <c r="V55" s="48"/>
      <c r="W55" s="48"/>
      <c r="X55" s="48"/>
      <c r="Y55" s="48"/>
      <c r="Z55" s="48"/>
    </row>
    <row r="56" ht="23.25" customHeight="1">
      <c r="A56" s="111" t="str">
        <f>IF(B56="","",VLOOKUP(B56,'Mitglieder BBU'!A:K,6,0))</f>
        <v/>
      </c>
      <c r="B56" s="115"/>
      <c r="C56" s="127"/>
      <c r="D56" s="127"/>
      <c r="E56" s="127"/>
      <c r="F56" s="127"/>
      <c r="G56" s="129"/>
      <c r="H56" s="129"/>
      <c r="I56" s="128">
        <f t="shared" si="1"/>
        <v>0</v>
      </c>
      <c r="J56" s="48"/>
      <c r="K56" s="48"/>
      <c r="L56" s="48"/>
      <c r="M56" s="48"/>
      <c r="N56" s="48"/>
      <c r="O56" s="48"/>
      <c r="P56" s="48"/>
      <c r="Q56" s="48"/>
      <c r="R56" s="48"/>
      <c r="S56" s="48"/>
      <c r="T56" s="48"/>
      <c r="U56" s="48"/>
      <c r="V56" s="48"/>
      <c r="W56" s="48"/>
      <c r="X56" s="48"/>
      <c r="Y56" s="48"/>
      <c r="Z56" s="48"/>
    </row>
    <row r="57" ht="23.25" customHeight="1">
      <c r="A57" s="111" t="str">
        <f>IF(B57="","",VLOOKUP(B57,'Mitglieder BBU'!A:K,6,0))</f>
        <v/>
      </c>
      <c r="B57" s="115"/>
      <c r="C57" s="127"/>
      <c r="D57" s="127"/>
      <c r="E57" s="127"/>
      <c r="F57" s="127"/>
      <c r="G57" s="129"/>
      <c r="H57" s="129"/>
      <c r="I57" s="128">
        <f t="shared" si="1"/>
        <v>0</v>
      </c>
      <c r="J57" s="48"/>
      <c r="K57" s="48"/>
      <c r="L57" s="48"/>
      <c r="M57" s="48"/>
      <c r="N57" s="48"/>
      <c r="O57" s="48"/>
      <c r="P57" s="48"/>
      <c r="Q57" s="48"/>
      <c r="R57" s="48"/>
      <c r="S57" s="48"/>
      <c r="T57" s="48"/>
      <c r="U57" s="48"/>
      <c r="V57" s="48"/>
      <c r="W57" s="48"/>
      <c r="X57" s="48"/>
      <c r="Y57" s="48"/>
      <c r="Z57" s="48"/>
    </row>
    <row r="58" ht="23.25" customHeight="1">
      <c r="A58" s="111" t="str">
        <f>IF(B58="","",VLOOKUP(B58,'Mitglieder BBU'!A:K,6,0))</f>
        <v/>
      </c>
      <c r="B58" s="115"/>
      <c r="C58" s="127"/>
      <c r="D58" s="127"/>
      <c r="E58" s="127"/>
      <c r="F58" s="127"/>
      <c r="G58" s="129"/>
      <c r="H58" s="129"/>
      <c r="I58" s="128">
        <f t="shared" si="1"/>
        <v>0</v>
      </c>
      <c r="J58" s="48"/>
      <c r="K58" s="48"/>
      <c r="L58" s="48"/>
      <c r="M58" s="48"/>
      <c r="N58" s="48"/>
      <c r="O58" s="48"/>
      <c r="P58" s="48"/>
      <c r="Q58" s="48"/>
      <c r="R58" s="48"/>
      <c r="S58" s="48"/>
      <c r="T58" s="48"/>
      <c r="U58" s="48"/>
      <c r="V58" s="48"/>
      <c r="W58" s="48"/>
      <c r="X58" s="48"/>
      <c r="Y58" s="48"/>
      <c r="Z58" s="48"/>
    </row>
    <row r="59" ht="23.25" customHeight="1">
      <c r="A59" s="111" t="str">
        <f>IF(B59="","",VLOOKUP(B59,'Mitglieder BBU'!A:K,6,0))</f>
        <v/>
      </c>
      <c r="B59" s="115"/>
      <c r="C59" s="127"/>
      <c r="D59" s="127"/>
      <c r="E59" s="127"/>
      <c r="F59" s="127"/>
      <c r="G59" s="129"/>
      <c r="H59" s="129"/>
      <c r="I59" s="128">
        <f t="shared" si="1"/>
        <v>0</v>
      </c>
      <c r="J59" s="48"/>
      <c r="K59" s="48"/>
      <c r="L59" s="48"/>
      <c r="M59" s="48"/>
      <c r="N59" s="48"/>
      <c r="O59" s="48"/>
      <c r="P59" s="48"/>
      <c r="Q59" s="48"/>
      <c r="R59" s="48"/>
      <c r="S59" s="48"/>
      <c r="T59" s="48"/>
      <c r="U59" s="48"/>
      <c r="V59" s="48"/>
      <c r="W59" s="48"/>
      <c r="X59" s="48"/>
      <c r="Y59" s="48"/>
      <c r="Z59" s="48"/>
    </row>
    <row r="60" ht="23.25" customHeight="1">
      <c r="A60" s="111" t="str">
        <f>IF(B60="","",VLOOKUP(B60,'Mitglieder BBU'!A:K,6,0))</f>
        <v/>
      </c>
      <c r="B60" s="115"/>
      <c r="C60" s="127"/>
      <c r="D60" s="127"/>
      <c r="E60" s="127"/>
      <c r="F60" s="127"/>
      <c r="G60" s="129"/>
      <c r="H60" s="129"/>
      <c r="I60" s="128">
        <f t="shared" si="1"/>
        <v>0</v>
      </c>
      <c r="J60" s="48"/>
      <c r="K60" s="48"/>
      <c r="L60" s="48"/>
      <c r="M60" s="48"/>
      <c r="N60" s="48"/>
      <c r="O60" s="48"/>
      <c r="P60" s="48"/>
      <c r="Q60" s="48"/>
      <c r="R60" s="48"/>
      <c r="S60" s="48"/>
      <c r="T60" s="48"/>
      <c r="U60" s="48"/>
      <c r="V60" s="48"/>
      <c r="W60" s="48"/>
      <c r="X60" s="48"/>
      <c r="Y60" s="48"/>
      <c r="Z60" s="48"/>
    </row>
    <row r="61" ht="23.25" customHeight="1">
      <c r="A61" s="111" t="str">
        <f>IF(B61="","",VLOOKUP(B61,'Mitglieder BBU'!A:K,6,0))</f>
        <v/>
      </c>
      <c r="B61" s="115"/>
      <c r="C61" s="127"/>
      <c r="D61" s="127"/>
      <c r="E61" s="127"/>
      <c r="F61" s="127"/>
      <c r="G61" s="129"/>
      <c r="H61" s="129"/>
      <c r="I61" s="128">
        <f t="shared" si="1"/>
        <v>0</v>
      </c>
      <c r="J61" s="48"/>
      <c r="K61" s="48"/>
      <c r="L61" s="48"/>
      <c r="M61" s="48"/>
      <c r="N61" s="48"/>
      <c r="O61" s="48"/>
      <c r="P61" s="48"/>
      <c r="Q61" s="48"/>
      <c r="R61" s="48"/>
      <c r="S61" s="48"/>
      <c r="T61" s="48"/>
      <c r="U61" s="48"/>
      <c r="V61" s="48"/>
      <c r="W61" s="48"/>
      <c r="X61" s="48"/>
      <c r="Y61" s="48"/>
      <c r="Z61" s="48"/>
    </row>
    <row r="62" ht="23.25" customHeight="1">
      <c r="A62" s="111" t="str">
        <f>IF(B62="","",VLOOKUP(B62,'Mitglieder BBU'!A:K,6,0))</f>
        <v/>
      </c>
      <c r="B62" s="115"/>
      <c r="C62" s="127"/>
      <c r="D62" s="127"/>
      <c r="E62" s="127"/>
      <c r="F62" s="127"/>
      <c r="G62" s="129"/>
      <c r="H62" s="129"/>
      <c r="I62" s="128">
        <f t="shared" si="1"/>
        <v>0</v>
      </c>
      <c r="J62" s="48"/>
      <c r="K62" s="48"/>
      <c r="L62" s="48"/>
      <c r="M62" s="48"/>
      <c r="N62" s="48"/>
      <c r="O62" s="48"/>
      <c r="P62" s="48"/>
      <c r="Q62" s="48"/>
      <c r="R62" s="48"/>
      <c r="S62" s="48"/>
      <c r="T62" s="48"/>
      <c r="U62" s="48"/>
      <c r="V62" s="48"/>
      <c r="W62" s="48"/>
      <c r="X62" s="48"/>
      <c r="Y62" s="48"/>
      <c r="Z62" s="48"/>
    </row>
    <row r="63" ht="23.25" customHeight="1">
      <c r="A63" s="111" t="str">
        <f>IF(B63="","",VLOOKUP(B63,'Mitglieder BBU'!A:K,6,0))</f>
        <v/>
      </c>
      <c r="B63" s="115"/>
      <c r="C63" s="127"/>
      <c r="D63" s="127"/>
      <c r="E63" s="127"/>
      <c r="F63" s="127"/>
      <c r="G63" s="129"/>
      <c r="H63" s="129"/>
      <c r="I63" s="128">
        <f t="shared" si="1"/>
        <v>0</v>
      </c>
      <c r="J63" s="48"/>
      <c r="K63" s="48"/>
      <c r="L63" s="48"/>
      <c r="M63" s="48"/>
      <c r="N63" s="48"/>
      <c r="O63" s="48"/>
      <c r="P63" s="48"/>
      <c r="Q63" s="48"/>
      <c r="R63" s="48"/>
      <c r="S63" s="48"/>
      <c r="T63" s="48"/>
      <c r="U63" s="48"/>
      <c r="V63" s="48"/>
      <c r="W63" s="48"/>
      <c r="X63" s="48"/>
      <c r="Y63" s="48"/>
      <c r="Z63" s="48"/>
    </row>
    <row r="64" ht="23.25" customHeight="1">
      <c r="A64" s="111" t="str">
        <f>IF(B64="","",VLOOKUP(B64,'Mitglieder BBU'!A:K,6,0))</f>
        <v/>
      </c>
      <c r="B64" s="115"/>
      <c r="C64" s="127"/>
      <c r="D64" s="127"/>
      <c r="E64" s="127"/>
      <c r="F64" s="127"/>
      <c r="G64" s="129"/>
      <c r="H64" s="129"/>
      <c r="I64" s="128">
        <f t="shared" si="1"/>
        <v>0</v>
      </c>
      <c r="J64" s="48"/>
      <c r="K64" s="48"/>
      <c r="L64" s="48"/>
      <c r="M64" s="48"/>
      <c r="N64" s="48"/>
      <c r="O64" s="48"/>
      <c r="P64" s="48"/>
      <c r="Q64" s="48"/>
      <c r="R64" s="48"/>
      <c r="S64" s="48"/>
      <c r="T64" s="48"/>
      <c r="U64" s="48"/>
      <c r="V64" s="48"/>
      <c r="W64" s="48"/>
      <c r="X64" s="48"/>
      <c r="Y64" s="48"/>
      <c r="Z64" s="48"/>
    </row>
    <row r="65" ht="23.25" customHeight="1">
      <c r="A65" s="111" t="str">
        <f>IF(B65="","",VLOOKUP(B65,'Mitglieder BBU'!A:K,6,0))</f>
        <v/>
      </c>
      <c r="B65" s="115"/>
      <c r="C65" s="127"/>
      <c r="D65" s="127"/>
      <c r="E65" s="127"/>
      <c r="F65" s="127"/>
      <c r="G65" s="129"/>
      <c r="H65" s="129"/>
      <c r="I65" s="128">
        <f t="shared" si="1"/>
        <v>0</v>
      </c>
      <c r="J65" s="48"/>
      <c r="K65" s="48"/>
      <c r="L65" s="48"/>
      <c r="M65" s="48"/>
      <c r="N65" s="48"/>
      <c r="O65" s="48"/>
      <c r="P65" s="48"/>
      <c r="Q65" s="48"/>
      <c r="R65" s="48"/>
      <c r="S65" s="48"/>
      <c r="T65" s="48"/>
      <c r="U65" s="48"/>
      <c r="V65" s="48"/>
      <c r="W65" s="48"/>
      <c r="X65" s="48"/>
      <c r="Y65" s="48"/>
      <c r="Z65" s="48"/>
    </row>
    <row r="66" ht="23.25" customHeight="1">
      <c r="A66" s="111" t="str">
        <f>IF(B66="","",VLOOKUP(B66,'Mitglieder BBU'!A:K,6,0))</f>
        <v/>
      </c>
      <c r="B66" s="115"/>
      <c r="C66" s="127"/>
      <c r="D66" s="127"/>
      <c r="E66" s="127"/>
      <c r="F66" s="127"/>
      <c r="G66" s="129"/>
      <c r="H66" s="129"/>
      <c r="I66" s="128">
        <f t="shared" si="1"/>
        <v>0</v>
      </c>
      <c r="J66" s="48"/>
      <c r="K66" s="48"/>
      <c r="L66" s="48"/>
      <c r="M66" s="48"/>
      <c r="N66" s="48"/>
      <c r="O66" s="48"/>
      <c r="P66" s="48"/>
      <c r="Q66" s="48"/>
      <c r="R66" s="48"/>
      <c r="S66" s="48"/>
      <c r="T66" s="48"/>
      <c r="U66" s="48"/>
      <c r="V66" s="48"/>
      <c r="W66" s="48"/>
      <c r="X66" s="48"/>
      <c r="Y66" s="48"/>
      <c r="Z66" s="48"/>
    </row>
    <row r="67" ht="23.25" customHeight="1">
      <c r="A67" s="111" t="str">
        <f>IF(B67="","",VLOOKUP(B67,'Mitglieder BBU'!A:K,6,0))</f>
        <v/>
      </c>
      <c r="B67" s="115"/>
      <c r="C67" s="127"/>
      <c r="D67" s="127"/>
      <c r="E67" s="127"/>
      <c r="F67" s="127"/>
      <c r="G67" s="129"/>
      <c r="H67" s="129"/>
      <c r="I67" s="128">
        <f t="shared" si="1"/>
        <v>0</v>
      </c>
      <c r="J67" s="48"/>
      <c r="K67" s="48"/>
      <c r="L67" s="48"/>
      <c r="M67" s="48"/>
      <c r="N67" s="48"/>
      <c r="O67" s="48"/>
      <c r="P67" s="48"/>
      <c r="Q67" s="48"/>
      <c r="R67" s="48"/>
      <c r="S67" s="48"/>
      <c r="T67" s="48"/>
      <c r="U67" s="48"/>
      <c r="V67" s="48"/>
      <c r="W67" s="48"/>
      <c r="X67" s="48"/>
      <c r="Y67" s="48"/>
      <c r="Z67" s="48"/>
    </row>
    <row r="68" ht="23.25" customHeight="1">
      <c r="A68" s="111" t="str">
        <f>IF(B68="","",VLOOKUP(B68,'Mitglieder BBU'!A:K,6,0))</f>
        <v/>
      </c>
      <c r="B68" s="115"/>
      <c r="C68" s="127"/>
      <c r="D68" s="127"/>
      <c r="E68" s="127"/>
      <c r="F68" s="127"/>
      <c r="G68" s="129"/>
      <c r="H68" s="129"/>
      <c r="I68" s="128">
        <f t="shared" si="1"/>
        <v>0</v>
      </c>
      <c r="J68" s="48"/>
      <c r="K68" s="48"/>
      <c r="L68" s="48"/>
      <c r="M68" s="48"/>
      <c r="N68" s="48"/>
      <c r="O68" s="48"/>
      <c r="P68" s="48"/>
      <c r="Q68" s="48"/>
      <c r="R68" s="48"/>
      <c r="S68" s="48"/>
      <c r="T68" s="48"/>
      <c r="U68" s="48"/>
      <c r="V68" s="48"/>
      <c r="W68" s="48"/>
      <c r="X68" s="48"/>
      <c r="Y68" s="48"/>
      <c r="Z68" s="48"/>
    </row>
    <row r="69" ht="23.25" customHeight="1">
      <c r="A69" s="111" t="str">
        <f>IF(B69="","",VLOOKUP(B69,'Mitglieder BBU'!A:K,6,0))</f>
        <v/>
      </c>
      <c r="B69" s="115"/>
      <c r="C69" s="127"/>
      <c r="D69" s="127"/>
      <c r="E69" s="127"/>
      <c r="F69" s="127"/>
      <c r="G69" s="129"/>
      <c r="H69" s="129"/>
      <c r="I69" s="128">
        <f t="shared" si="1"/>
        <v>0</v>
      </c>
      <c r="J69" s="48"/>
      <c r="K69" s="48"/>
      <c r="L69" s="48"/>
      <c r="M69" s="48"/>
      <c r="N69" s="48"/>
      <c r="O69" s="48"/>
      <c r="P69" s="48"/>
      <c r="Q69" s="48"/>
      <c r="R69" s="48"/>
      <c r="S69" s="48"/>
      <c r="T69" s="48"/>
      <c r="U69" s="48"/>
      <c r="V69" s="48"/>
      <c r="W69" s="48"/>
      <c r="X69" s="48"/>
      <c r="Y69" s="48"/>
      <c r="Z69" s="48"/>
    </row>
    <row r="70" ht="23.25" customHeight="1">
      <c r="A70" s="111" t="str">
        <f>IF(B70="","",VLOOKUP(B70,'Mitglieder BBU'!A:K,6,0))</f>
        <v/>
      </c>
      <c r="B70" s="115"/>
      <c r="C70" s="127"/>
      <c r="D70" s="127"/>
      <c r="E70" s="127"/>
      <c r="F70" s="127"/>
      <c r="G70" s="129"/>
      <c r="H70" s="129"/>
      <c r="I70" s="128">
        <f t="shared" si="1"/>
        <v>0</v>
      </c>
      <c r="J70" s="48"/>
      <c r="K70" s="48"/>
      <c r="L70" s="48"/>
      <c r="M70" s="48"/>
      <c r="N70" s="48"/>
      <c r="O70" s="48"/>
      <c r="P70" s="48"/>
      <c r="Q70" s="48"/>
      <c r="R70" s="48"/>
      <c r="S70" s="48"/>
      <c r="T70" s="48"/>
      <c r="U70" s="48"/>
      <c r="V70" s="48"/>
      <c r="W70" s="48"/>
      <c r="X70" s="48"/>
      <c r="Y70" s="48"/>
      <c r="Z70" s="48"/>
    </row>
    <row r="71" ht="23.25" customHeight="1">
      <c r="A71" s="111" t="str">
        <f>IF(B71="","",VLOOKUP(B71,'Mitglieder BBU'!A:K,6,0))</f>
        <v/>
      </c>
      <c r="B71" s="115"/>
      <c r="C71" s="127"/>
      <c r="D71" s="127"/>
      <c r="E71" s="127"/>
      <c r="F71" s="127"/>
      <c r="G71" s="129"/>
      <c r="H71" s="129"/>
      <c r="I71" s="128">
        <f t="shared" si="1"/>
        <v>0</v>
      </c>
      <c r="J71" s="48"/>
      <c r="K71" s="48"/>
      <c r="L71" s="48"/>
      <c r="M71" s="48"/>
      <c r="N71" s="48"/>
      <c r="O71" s="48"/>
      <c r="P71" s="48"/>
      <c r="Q71" s="48"/>
      <c r="R71" s="48"/>
      <c r="S71" s="48"/>
      <c r="T71" s="48"/>
      <c r="U71" s="48"/>
      <c r="V71" s="48"/>
      <c r="W71" s="48"/>
      <c r="X71" s="48"/>
      <c r="Y71" s="48"/>
      <c r="Z71" s="48"/>
    </row>
    <row r="72" ht="23.25" customHeight="1">
      <c r="A72" s="111" t="str">
        <f>IF(B72="","",VLOOKUP(B72,'Mitglieder BBU'!A:K,6,0))</f>
        <v/>
      </c>
      <c r="B72" s="115"/>
      <c r="C72" s="127"/>
      <c r="D72" s="127"/>
      <c r="E72" s="127"/>
      <c r="F72" s="127"/>
      <c r="G72" s="129"/>
      <c r="H72" s="129"/>
      <c r="I72" s="128">
        <f t="shared" si="1"/>
        <v>0</v>
      </c>
      <c r="J72" s="48"/>
      <c r="K72" s="48"/>
      <c r="L72" s="48"/>
      <c r="M72" s="48"/>
      <c r="N72" s="48"/>
      <c r="O72" s="48"/>
      <c r="P72" s="48"/>
      <c r="Q72" s="48"/>
      <c r="R72" s="48"/>
      <c r="S72" s="48"/>
      <c r="T72" s="48"/>
      <c r="U72" s="48"/>
      <c r="V72" s="48"/>
      <c r="W72" s="48"/>
      <c r="X72" s="48"/>
      <c r="Y72" s="48"/>
      <c r="Z72" s="48"/>
    </row>
    <row r="73" ht="23.25" customHeight="1">
      <c r="A73" s="111" t="str">
        <f>IF(B73="","",VLOOKUP(B73,'Mitglieder BBU'!A:K,6,0))</f>
        <v/>
      </c>
      <c r="B73" s="115"/>
      <c r="C73" s="127"/>
      <c r="D73" s="127"/>
      <c r="E73" s="127"/>
      <c r="F73" s="127"/>
      <c r="G73" s="129"/>
      <c r="H73" s="129"/>
      <c r="I73" s="128">
        <f t="shared" si="1"/>
        <v>0</v>
      </c>
      <c r="J73" s="48"/>
      <c r="K73" s="48"/>
      <c r="L73" s="48"/>
      <c r="M73" s="48"/>
      <c r="N73" s="48"/>
      <c r="O73" s="48"/>
      <c r="P73" s="48"/>
      <c r="Q73" s="48"/>
      <c r="R73" s="48"/>
      <c r="S73" s="48"/>
      <c r="T73" s="48"/>
      <c r="U73" s="48"/>
      <c r="V73" s="48"/>
      <c r="W73" s="48"/>
      <c r="X73" s="48"/>
      <c r="Y73" s="48"/>
      <c r="Z73" s="48"/>
    </row>
    <row r="74" ht="23.25" customHeight="1">
      <c r="A74" s="111" t="str">
        <f>IF(B74="","",VLOOKUP(B74,'Mitglieder BBU'!A:K,6,0))</f>
        <v/>
      </c>
      <c r="B74" s="115"/>
      <c r="C74" s="127"/>
      <c r="D74" s="127"/>
      <c r="E74" s="127"/>
      <c r="F74" s="127"/>
      <c r="G74" s="129"/>
      <c r="H74" s="129"/>
      <c r="I74" s="128">
        <f t="shared" si="1"/>
        <v>0</v>
      </c>
      <c r="J74" s="48"/>
      <c r="K74" s="48"/>
      <c r="L74" s="48"/>
      <c r="M74" s="48"/>
      <c r="N74" s="48"/>
      <c r="O74" s="48"/>
      <c r="P74" s="48"/>
      <c r="Q74" s="48"/>
      <c r="R74" s="48"/>
      <c r="S74" s="48"/>
      <c r="T74" s="48"/>
      <c r="U74" s="48"/>
      <c r="V74" s="48"/>
      <c r="W74" s="48"/>
      <c r="X74" s="48"/>
      <c r="Y74" s="48"/>
      <c r="Z74" s="48"/>
    </row>
    <row r="75" ht="23.25" customHeight="1">
      <c r="A75" s="111" t="str">
        <f>IF(B75="","",VLOOKUP(B75,'Mitglieder BBU'!A:K,6,0))</f>
        <v/>
      </c>
      <c r="B75" s="115"/>
      <c r="C75" s="127"/>
      <c r="D75" s="127"/>
      <c r="E75" s="127"/>
      <c r="F75" s="127"/>
      <c r="G75" s="129"/>
      <c r="H75" s="129"/>
      <c r="I75" s="128">
        <f t="shared" si="1"/>
        <v>0</v>
      </c>
      <c r="J75" s="48"/>
      <c r="K75" s="48"/>
      <c r="L75" s="48"/>
      <c r="M75" s="48"/>
      <c r="N75" s="48"/>
      <c r="O75" s="48"/>
      <c r="P75" s="48"/>
      <c r="Q75" s="48"/>
      <c r="R75" s="48"/>
      <c r="S75" s="48"/>
      <c r="T75" s="48"/>
      <c r="U75" s="48"/>
      <c r="V75" s="48"/>
      <c r="W75" s="48"/>
      <c r="X75" s="48"/>
      <c r="Y75" s="48"/>
      <c r="Z75" s="48"/>
    </row>
    <row r="76" ht="23.25" customHeight="1">
      <c r="A76" s="111" t="str">
        <f>IF(B76="","",VLOOKUP(B76,'Mitglieder BBU'!A:K,6,0))</f>
        <v/>
      </c>
      <c r="B76" s="115"/>
      <c r="C76" s="127"/>
      <c r="D76" s="127"/>
      <c r="E76" s="127"/>
      <c r="F76" s="127"/>
      <c r="G76" s="129"/>
      <c r="H76" s="129"/>
      <c r="I76" s="128">
        <f t="shared" si="1"/>
        <v>0</v>
      </c>
      <c r="J76" s="48"/>
      <c r="K76" s="48"/>
      <c r="L76" s="48"/>
      <c r="M76" s="48"/>
      <c r="N76" s="48"/>
      <c r="O76" s="48"/>
      <c r="P76" s="48"/>
      <c r="Q76" s="48"/>
      <c r="R76" s="48"/>
      <c r="S76" s="48"/>
      <c r="T76" s="48"/>
      <c r="U76" s="48"/>
      <c r="V76" s="48"/>
      <c r="W76" s="48"/>
      <c r="X76" s="48"/>
      <c r="Y76" s="48"/>
      <c r="Z76" s="48"/>
    </row>
    <row r="77" ht="23.25" customHeight="1">
      <c r="A77" s="111" t="str">
        <f>IF(B77="","",VLOOKUP(B77,'Mitglieder BBU'!A:K,6,0))</f>
        <v/>
      </c>
      <c r="B77" s="115"/>
      <c r="C77" s="127"/>
      <c r="D77" s="127"/>
      <c r="E77" s="127"/>
      <c r="F77" s="127"/>
      <c r="G77" s="129"/>
      <c r="H77" s="129"/>
      <c r="I77" s="128">
        <f t="shared" si="1"/>
        <v>0</v>
      </c>
      <c r="J77" s="48"/>
      <c r="K77" s="48"/>
      <c r="L77" s="48"/>
      <c r="M77" s="48"/>
      <c r="N77" s="48"/>
      <c r="O77" s="48"/>
      <c r="P77" s="48"/>
      <c r="Q77" s="48"/>
      <c r="R77" s="48"/>
      <c r="S77" s="48"/>
      <c r="T77" s="48"/>
      <c r="U77" s="48"/>
      <c r="V77" s="48"/>
      <c r="W77" s="48"/>
      <c r="X77" s="48"/>
      <c r="Y77" s="48"/>
      <c r="Z77" s="48"/>
    </row>
    <row r="78" ht="23.25" customHeight="1">
      <c r="A78" s="111" t="str">
        <f>IF(B78="","",VLOOKUP(B78,'Mitglieder BBU'!A:K,6,0))</f>
        <v/>
      </c>
      <c r="B78" s="115"/>
      <c r="C78" s="127"/>
      <c r="D78" s="127"/>
      <c r="E78" s="127"/>
      <c r="F78" s="127"/>
      <c r="G78" s="129"/>
      <c r="H78" s="129"/>
      <c r="I78" s="128">
        <f t="shared" si="1"/>
        <v>0</v>
      </c>
      <c r="J78" s="48"/>
      <c r="K78" s="48"/>
      <c r="L78" s="48"/>
      <c r="M78" s="48"/>
      <c r="N78" s="48"/>
      <c r="O78" s="48"/>
      <c r="P78" s="48"/>
      <c r="Q78" s="48"/>
      <c r="R78" s="48"/>
      <c r="S78" s="48"/>
      <c r="T78" s="48"/>
      <c r="U78" s="48"/>
      <c r="V78" s="48"/>
      <c r="W78" s="48"/>
      <c r="X78" s="48"/>
      <c r="Y78" s="48"/>
      <c r="Z78" s="48"/>
    </row>
    <row r="79" ht="23.25" customHeight="1">
      <c r="A79" s="111" t="str">
        <f>IF(B79="","",VLOOKUP(B79,'Mitglieder BBU'!A:K,6,0))</f>
        <v/>
      </c>
      <c r="B79" s="115"/>
      <c r="C79" s="127"/>
      <c r="D79" s="127"/>
      <c r="E79" s="127"/>
      <c r="F79" s="127"/>
      <c r="G79" s="129"/>
      <c r="H79" s="129"/>
      <c r="I79" s="128">
        <f t="shared" si="1"/>
        <v>0</v>
      </c>
      <c r="J79" s="48"/>
      <c r="K79" s="48"/>
      <c r="L79" s="48"/>
      <c r="M79" s="48"/>
      <c r="N79" s="48"/>
      <c r="O79" s="48"/>
      <c r="P79" s="48"/>
      <c r="Q79" s="48"/>
      <c r="R79" s="48"/>
      <c r="S79" s="48"/>
      <c r="T79" s="48"/>
      <c r="U79" s="48"/>
      <c r="V79" s="48"/>
      <c r="W79" s="48"/>
      <c r="X79" s="48"/>
      <c r="Y79" s="48"/>
      <c r="Z79" s="48"/>
    </row>
    <row r="80" ht="23.25" customHeight="1">
      <c r="A80" s="111" t="str">
        <f>IF(B80="","",VLOOKUP(B80,'Mitglieder BBU'!A:K,6,0))</f>
        <v/>
      </c>
      <c r="B80" s="115"/>
      <c r="C80" s="127"/>
      <c r="D80" s="127"/>
      <c r="E80" s="127"/>
      <c r="F80" s="127"/>
      <c r="G80" s="129"/>
      <c r="H80" s="129"/>
      <c r="I80" s="128">
        <f t="shared" si="1"/>
        <v>0</v>
      </c>
      <c r="J80" s="48"/>
      <c r="K80" s="48"/>
      <c r="L80" s="48"/>
      <c r="M80" s="48"/>
      <c r="N80" s="48"/>
      <c r="O80" s="48"/>
      <c r="P80" s="48"/>
      <c r="Q80" s="48"/>
      <c r="R80" s="48"/>
      <c r="S80" s="48"/>
      <c r="T80" s="48"/>
      <c r="U80" s="48"/>
      <c r="V80" s="48"/>
      <c r="W80" s="48"/>
      <c r="X80" s="48"/>
      <c r="Y80" s="48"/>
      <c r="Z80" s="48"/>
    </row>
    <row r="81" ht="23.25" customHeight="1">
      <c r="A81" s="111" t="str">
        <f>IF(B81="","",VLOOKUP(B81,'Mitglieder BBU'!A:K,6,0))</f>
        <v/>
      </c>
      <c r="B81" s="115"/>
      <c r="C81" s="127"/>
      <c r="D81" s="127"/>
      <c r="E81" s="127"/>
      <c r="F81" s="127"/>
      <c r="G81" s="129"/>
      <c r="H81" s="129"/>
      <c r="I81" s="128">
        <f t="shared" si="1"/>
        <v>0</v>
      </c>
      <c r="J81" s="48"/>
      <c r="K81" s="48"/>
      <c r="L81" s="48"/>
      <c r="M81" s="48"/>
      <c r="N81" s="48"/>
      <c r="O81" s="48"/>
      <c r="P81" s="48"/>
      <c r="Q81" s="48"/>
      <c r="R81" s="48"/>
      <c r="S81" s="48"/>
      <c r="T81" s="48"/>
      <c r="U81" s="48"/>
      <c r="V81" s="48"/>
      <c r="W81" s="48"/>
      <c r="X81" s="48"/>
      <c r="Y81" s="48"/>
      <c r="Z81" s="48"/>
    </row>
    <row r="82" ht="23.25" customHeight="1">
      <c r="A82" s="111" t="str">
        <f>IF(B82="","",VLOOKUP(B82,'Mitglieder BBU'!A:K,6,0))</f>
        <v/>
      </c>
      <c r="B82" s="115"/>
      <c r="C82" s="127"/>
      <c r="D82" s="127"/>
      <c r="E82" s="127"/>
      <c r="F82" s="127"/>
      <c r="G82" s="129"/>
      <c r="H82" s="129"/>
      <c r="I82" s="128">
        <f t="shared" si="1"/>
        <v>0</v>
      </c>
      <c r="J82" s="48"/>
      <c r="K82" s="48"/>
      <c r="L82" s="48"/>
      <c r="M82" s="48"/>
      <c r="N82" s="48"/>
      <c r="O82" s="48"/>
      <c r="P82" s="48"/>
      <c r="Q82" s="48"/>
      <c r="R82" s="48"/>
      <c r="S82" s="48"/>
      <c r="T82" s="48"/>
      <c r="U82" s="48"/>
      <c r="V82" s="48"/>
      <c r="W82" s="48"/>
      <c r="X82" s="48"/>
      <c r="Y82" s="48"/>
      <c r="Z82" s="48"/>
    </row>
    <row r="83" ht="23.25" customHeight="1">
      <c r="A83" s="111" t="str">
        <f>IF(B83="","",VLOOKUP(B83,'Mitglieder BBU'!A:K,6,0))</f>
        <v/>
      </c>
      <c r="B83" s="115"/>
      <c r="C83" s="127"/>
      <c r="D83" s="127"/>
      <c r="E83" s="127"/>
      <c r="F83" s="127"/>
      <c r="G83" s="129"/>
      <c r="H83" s="129"/>
      <c r="I83" s="128">
        <f t="shared" si="1"/>
        <v>0</v>
      </c>
      <c r="J83" s="48"/>
      <c r="K83" s="48"/>
      <c r="L83" s="48"/>
      <c r="M83" s="48"/>
      <c r="N83" s="48"/>
      <c r="O83" s="48"/>
      <c r="P83" s="48"/>
      <c r="Q83" s="48"/>
      <c r="R83" s="48"/>
      <c r="S83" s="48"/>
      <c r="T83" s="48"/>
      <c r="U83" s="48"/>
      <c r="V83" s="48"/>
      <c r="W83" s="48"/>
      <c r="X83" s="48"/>
      <c r="Y83" s="48"/>
      <c r="Z83" s="48"/>
    </row>
    <row r="84" ht="23.25" customHeight="1">
      <c r="A84" s="111" t="str">
        <f>IF(B84="","",VLOOKUP(B84,'Mitglieder BBU'!A:K,6,0))</f>
        <v/>
      </c>
      <c r="B84" s="111"/>
      <c r="C84" s="129"/>
      <c r="D84" s="129"/>
      <c r="E84" s="129"/>
      <c r="F84" s="129"/>
      <c r="G84" s="129"/>
      <c r="H84" s="129"/>
      <c r="I84" s="128">
        <f t="shared" si="1"/>
        <v>0</v>
      </c>
      <c r="J84" s="48"/>
      <c r="K84" s="48"/>
      <c r="L84" s="48"/>
      <c r="M84" s="48"/>
      <c r="N84" s="48"/>
      <c r="O84" s="48"/>
      <c r="P84" s="48"/>
      <c r="Q84" s="48"/>
      <c r="R84" s="48"/>
      <c r="S84" s="48"/>
      <c r="T84" s="48"/>
      <c r="U84" s="48"/>
      <c r="V84" s="48"/>
      <c r="W84" s="48"/>
      <c r="X84" s="48"/>
      <c r="Y84" s="48"/>
      <c r="Z84" s="48"/>
    </row>
    <row r="85" ht="23.25" customHeight="1">
      <c r="A85" s="111" t="str">
        <f>IF(B85="","",VLOOKUP(B85,'Mitglieder BBU'!A:K,6,0))</f>
        <v/>
      </c>
      <c r="B85" s="111"/>
      <c r="C85" s="129"/>
      <c r="D85" s="129"/>
      <c r="E85" s="129"/>
      <c r="F85" s="129"/>
      <c r="G85" s="129"/>
      <c r="H85" s="129"/>
      <c r="I85" s="128">
        <f t="shared" si="1"/>
        <v>0</v>
      </c>
      <c r="J85" s="48"/>
      <c r="K85" s="48"/>
      <c r="L85" s="48"/>
      <c r="M85" s="48"/>
      <c r="N85" s="48"/>
      <c r="O85" s="48"/>
      <c r="P85" s="48"/>
      <c r="Q85" s="48"/>
      <c r="R85" s="48"/>
      <c r="S85" s="48"/>
      <c r="T85" s="48"/>
      <c r="U85" s="48"/>
      <c r="V85" s="48"/>
      <c r="W85" s="48"/>
      <c r="X85" s="48"/>
      <c r="Y85" s="48"/>
      <c r="Z85" s="48"/>
    </row>
    <row r="86" ht="23.25" customHeight="1">
      <c r="A86" s="111" t="str">
        <f>IF(B86="","",VLOOKUP(B86,'Mitglieder BBU'!A:K,6,0))</f>
        <v/>
      </c>
      <c r="B86" s="111"/>
      <c r="C86" s="129"/>
      <c r="D86" s="129"/>
      <c r="E86" s="129"/>
      <c r="F86" s="129"/>
      <c r="G86" s="129"/>
      <c r="H86" s="129"/>
      <c r="I86" s="128">
        <f t="shared" si="1"/>
        <v>0</v>
      </c>
      <c r="J86" s="48"/>
      <c r="K86" s="48"/>
      <c r="L86" s="48"/>
      <c r="M86" s="48"/>
      <c r="N86" s="48"/>
      <c r="O86" s="48"/>
      <c r="P86" s="48"/>
      <c r="Q86" s="48"/>
      <c r="R86" s="48"/>
      <c r="S86" s="48"/>
      <c r="T86" s="48"/>
      <c r="U86" s="48"/>
      <c r="V86" s="48"/>
      <c r="W86" s="48"/>
      <c r="X86" s="48"/>
      <c r="Y86" s="48"/>
      <c r="Z86" s="48"/>
    </row>
    <row r="87" ht="23.25" customHeight="1">
      <c r="A87" s="111" t="str">
        <f>IF(B87="","",VLOOKUP(B87,'Mitglieder BBU'!A:K,6,0))</f>
        <v/>
      </c>
      <c r="B87" s="111"/>
      <c r="C87" s="129"/>
      <c r="D87" s="129"/>
      <c r="E87" s="129"/>
      <c r="F87" s="129"/>
      <c r="G87" s="129"/>
      <c r="H87" s="129"/>
      <c r="I87" s="128">
        <f t="shared" si="1"/>
        <v>0</v>
      </c>
      <c r="J87" s="48"/>
      <c r="K87" s="48"/>
      <c r="L87" s="48"/>
      <c r="M87" s="48"/>
      <c r="N87" s="48"/>
      <c r="O87" s="48"/>
      <c r="P87" s="48"/>
      <c r="Q87" s="48"/>
      <c r="R87" s="48"/>
      <c r="S87" s="48"/>
      <c r="T87" s="48"/>
      <c r="U87" s="48"/>
      <c r="V87" s="48"/>
      <c r="W87" s="48"/>
      <c r="X87" s="48"/>
      <c r="Y87" s="48"/>
      <c r="Z87" s="48"/>
    </row>
    <row r="88" ht="23.25" customHeight="1">
      <c r="A88" s="111" t="str">
        <f>IF(B88="","",VLOOKUP(B88,'Mitglieder BBU'!A:K,6,0))</f>
        <v/>
      </c>
      <c r="B88" s="111"/>
      <c r="C88" s="129"/>
      <c r="D88" s="129"/>
      <c r="E88" s="129"/>
      <c r="F88" s="129"/>
      <c r="G88" s="129"/>
      <c r="H88" s="129"/>
      <c r="I88" s="128">
        <f t="shared" si="1"/>
        <v>0</v>
      </c>
      <c r="J88" s="48"/>
      <c r="K88" s="48"/>
      <c r="L88" s="48"/>
      <c r="M88" s="48"/>
      <c r="N88" s="48"/>
      <c r="O88" s="48"/>
      <c r="P88" s="48"/>
      <c r="Q88" s="48"/>
      <c r="R88" s="48"/>
      <c r="S88" s="48"/>
      <c r="T88" s="48"/>
      <c r="U88" s="48"/>
      <c r="V88" s="48"/>
      <c r="W88" s="48"/>
      <c r="X88" s="48"/>
      <c r="Y88" s="48"/>
      <c r="Z88" s="48"/>
    </row>
    <row r="89" ht="23.25" customHeight="1">
      <c r="A89" s="111" t="str">
        <f>IF(B89="","",VLOOKUP(B89,'Mitglieder BBU'!A:K,6,0))</f>
        <v/>
      </c>
      <c r="B89" s="111"/>
      <c r="C89" s="129"/>
      <c r="D89" s="129"/>
      <c r="E89" s="129"/>
      <c r="F89" s="129"/>
      <c r="G89" s="129"/>
      <c r="H89" s="129"/>
      <c r="I89" s="128">
        <f t="shared" si="1"/>
        <v>0</v>
      </c>
      <c r="J89" s="48"/>
      <c r="K89" s="48"/>
      <c r="L89" s="48"/>
      <c r="M89" s="48"/>
      <c r="N89" s="48"/>
      <c r="O89" s="48"/>
      <c r="P89" s="48"/>
      <c r="Q89" s="48"/>
      <c r="R89" s="48"/>
      <c r="S89" s="48"/>
      <c r="T89" s="48"/>
      <c r="U89" s="48"/>
      <c r="V89" s="48"/>
      <c r="W89" s="48"/>
      <c r="X89" s="48"/>
      <c r="Y89" s="48"/>
      <c r="Z89" s="48"/>
    </row>
    <row r="90" ht="23.25" customHeight="1">
      <c r="A90" s="111" t="str">
        <f>IF(B90="","",VLOOKUP(B90,'Mitglieder BBU'!A:K,6,0))</f>
        <v/>
      </c>
      <c r="B90" s="111"/>
      <c r="C90" s="129"/>
      <c r="D90" s="129"/>
      <c r="E90" s="129"/>
      <c r="F90" s="129"/>
      <c r="G90" s="129"/>
      <c r="H90" s="129"/>
      <c r="I90" s="128">
        <f t="shared" si="1"/>
        <v>0</v>
      </c>
      <c r="J90" s="48"/>
      <c r="K90" s="48"/>
      <c r="L90" s="48"/>
      <c r="M90" s="48"/>
      <c r="N90" s="48"/>
      <c r="O90" s="48"/>
      <c r="P90" s="48"/>
      <c r="Q90" s="48"/>
      <c r="R90" s="48"/>
      <c r="S90" s="48"/>
      <c r="T90" s="48"/>
      <c r="U90" s="48"/>
      <c r="V90" s="48"/>
      <c r="W90" s="48"/>
      <c r="X90" s="48"/>
      <c r="Y90" s="48"/>
      <c r="Z90" s="48"/>
    </row>
    <row r="91" ht="23.25" customHeight="1">
      <c r="A91" s="111" t="str">
        <f>IF(B91="","",VLOOKUP(B91,'Mitglieder BBU'!A:K,6,0))</f>
        <v/>
      </c>
      <c r="B91" s="111"/>
      <c r="C91" s="129"/>
      <c r="D91" s="129"/>
      <c r="E91" s="129"/>
      <c r="F91" s="129"/>
      <c r="G91" s="129"/>
      <c r="H91" s="129"/>
      <c r="I91" s="128">
        <f t="shared" si="1"/>
        <v>0</v>
      </c>
      <c r="J91" s="48"/>
      <c r="K91" s="48"/>
      <c r="L91" s="48"/>
      <c r="M91" s="48"/>
      <c r="N91" s="48"/>
      <c r="O91" s="48"/>
      <c r="P91" s="48"/>
      <c r="Q91" s="48"/>
      <c r="R91" s="48"/>
      <c r="S91" s="48"/>
      <c r="T91" s="48"/>
      <c r="U91" s="48"/>
      <c r="V91" s="48"/>
      <c r="W91" s="48"/>
      <c r="X91" s="48"/>
      <c r="Y91" s="48"/>
      <c r="Z91" s="48"/>
    </row>
    <row r="92" ht="23.25" customHeight="1">
      <c r="A92" s="111" t="str">
        <f>IF(B92="","",VLOOKUP(B92,'Mitglieder BBU'!A:K,6,0))</f>
        <v/>
      </c>
      <c r="B92" s="111"/>
      <c r="C92" s="129"/>
      <c r="D92" s="129"/>
      <c r="E92" s="129"/>
      <c r="F92" s="129"/>
      <c r="G92" s="129"/>
      <c r="H92" s="129"/>
      <c r="I92" s="128">
        <f t="shared" si="1"/>
        <v>0</v>
      </c>
      <c r="J92" s="48"/>
      <c r="K92" s="48"/>
      <c r="L92" s="48"/>
      <c r="M92" s="48"/>
      <c r="N92" s="48"/>
      <c r="O92" s="48"/>
      <c r="P92" s="48"/>
      <c r="Q92" s="48"/>
      <c r="R92" s="48"/>
      <c r="S92" s="48"/>
      <c r="T92" s="48"/>
      <c r="U92" s="48"/>
      <c r="V92" s="48"/>
      <c r="W92" s="48"/>
      <c r="X92" s="48"/>
      <c r="Y92" s="48"/>
      <c r="Z92" s="48"/>
    </row>
    <row r="93" ht="23.25" customHeight="1">
      <c r="A93" s="111" t="str">
        <f>IF(B93="","",VLOOKUP(B93,'Mitglieder BBU'!A:K,6,0))</f>
        <v/>
      </c>
      <c r="B93" s="111"/>
      <c r="C93" s="129"/>
      <c r="D93" s="129"/>
      <c r="E93" s="129"/>
      <c r="F93" s="129"/>
      <c r="G93" s="129"/>
      <c r="H93" s="129"/>
      <c r="I93" s="128">
        <f t="shared" si="1"/>
        <v>0</v>
      </c>
      <c r="J93" s="48"/>
      <c r="K93" s="48"/>
      <c r="L93" s="48"/>
      <c r="M93" s="48"/>
      <c r="N93" s="48"/>
      <c r="O93" s="48"/>
      <c r="P93" s="48"/>
      <c r="Q93" s="48"/>
      <c r="R93" s="48"/>
      <c r="S93" s="48"/>
      <c r="T93" s="48"/>
      <c r="U93" s="48"/>
      <c r="V93" s="48"/>
      <c r="W93" s="48"/>
      <c r="X93" s="48"/>
      <c r="Y93" s="48"/>
      <c r="Z93" s="48"/>
    </row>
    <row r="94" ht="23.25" customHeight="1">
      <c r="A94" s="111" t="str">
        <f>IF(B94="","",VLOOKUP(B94,'Mitglieder BBU'!A:K,6,0))</f>
        <v/>
      </c>
      <c r="B94" s="111"/>
      <c r="C94" s="129"/>
      <c r="D94" s="129"/>
      <c r="E94" s="129"/>
      <c r="F94" s="129"/>
      <c r="G94" s="129"/>
      <c r="H94" s="129"/>
      <c r="I94" s="128">
        <f t="shared" si="1"/>
        <v>0</v>
      </c>
      <c r="J94" s="48"/>
      <c r="K94" s="48"/>
      <c r="L94" s="48"/>
      <c r="M94" s="48"/>
      <c r="N94" s="48"/>
      <c r="O94" s="48"/>
      <c r="P94" s="48"/>
      <c r="Q94" s="48"/>
      <c r="R94" s="48"/>
      <c r="S94" s="48"/>
      <c r="T94" s="48"/>
      <c r="U94" s="48"/>
      <c r="V94" s="48"/>
      <c r="W94" s="48"/>
      <c r="X94" s="48"/>
      <c r="Y94" s="48"/>
      <c r="Z94" s="48"/>
    </row>
    <row r="95" ht="23.25" customHeight="1">
      <c r="A95" s="111" t="str">
        <f>IF(B95="","",VLOOKUP(B95,'Mitglieder BBU'!A:K,6,0))</f>
        <v/>
      </c>
      <c r="B95" s="111"/>
      <c r="C95" s="129"/>
      <c r="D95" s="129"/>
      <c r="E95" s="129"/>
      <c r="F95" s="129"/>
      <c r="G95" s="129"/>
      <c r="H95" s="129"/>
      <c r="I95" s="128">
        <f t="shared" si="1"/>
        <v>0</v>
      </c>
      <c r="J95" s="48"/>
      <c r="K95" s="48"/>
      <c r="L95" s="48"/>
      <c r="M95" s="48"/>
      <c r="N95" s="48"/>
      <c r="O95" s="48"/>
      <c r="P95" s="48"/>
      <c r="Q95" s="48"/>
      <c r="R95" s="48"/>
      <c r="S95" s="48"/>
      <c r="T95" s="48"/>
      <c r="U95" s="48"/>
      <c r="V95" s="48"/>
      <c r="W95" s="48"/>
      <c r="X95" s="48"/>
      <c r="Y95" s="48"/>
      <c r="Z95" s="48"/>
    </row>
    <row r="96" ht="23.25" customHeight="1">
      <c r="A96" s="111" t="str">
        <f>IF(B96="","",VLOOKUP(B96,'Mitglieder BBU'!A:K,6,0))</f>
        <v/>
      </c>
      <c r="B96" s="111"/>
      <c r="C96" s="129"/>
      <c r="D96" s="129"/>
      <c r="E96" s="129"/>
      <c r="F96" s="129"/>
      <c r="G96" s="129"/>
      <c r="H96" s="129"/>
      <c r="I96" s="128">
        <f t="shared" si="1"/>
        <v>0</v>
      </c>
      <c r="J96" s="48"/>
      <c r="K96" s="48"/>
      <c r="L96" s="48"/>
      <c r="M96" s="48"/>
      <c r="N96" s="48"/>
      <c r="O96" s="48"/>
      <c r="P96" s="48"/>
      <c r="Q96" s="48"/>
      <c r="R96" s="48"/>
      <c r="S96" s="48"/>
      <c r="T96" s="48"/>
      <c r="U96" s="48"/>
      <c r="V96" s="48"/>
      <c r="W96" s="48"/>
      <c r="X96" s="48"/>
      <c r="Y96" s="48"/>
      <c r="Z96" s="48"/>
    </row>
    <row r="97" ht="23.25" customHeight="1">
      <c r="A97" s="111" t="str">
        <f>IF(B97="","",VLOOKUP(B97,'Mitglieder BBU'!A:K,6,0))</f>
        <v/>
      </c>
      <c r="B97" s="111"/>
      <c r="C97" s="129"/>
      <c r="D97" s="129"/>
      <c r="E97" s="129"/>
      <c r="F97" s="129"/>
      <c r="G97" s="129"/>
      <c r="H97" s="129"/>
      <c r="I97" s="128">
        <f t="shared" si="1"/>
        <v>0</v>
      </c>
      <c r="J97" s="48"/>
      <c r="K97" s="48"/>
      <c r="L97" s="48"/>
      <c r="M97" s="48"/>
      <c r="N97" s="48"/>
      <c r="O97" s="48"/>
      <c r="P97" s="48"/>
      <c r="Q97" s="48"/>
      <c r="R97" s="48"/>
      <c r="S97" s="48"/>
      <c r="T97" s="48"/>
      <c r="U97" s="48"/>
      <c r="V97" s="48"/>
      <c r="W97" s="48"/>
      <c r="X97" s="48"/>
      <c r="Y97" s="48"/>
      <c r="Z97" s="48"/>
    </row>
    <row r="98" ht="23.25" customHeight="1">
      <c r="A98" s="111" t="str">
        <f>IF(B98="","",VLOOKUP(B98,'Mitglieder BBU'!A:K,6,0))</f>
        <v/>
      </c>
      <c r="B98" s="111"/>
      <c r="C98" s="129"/>
      <c r="D98" s="129"/>
      <c r="E98" s="129"/>
      <c r="F98" s="129"/>
      <c r="G98" s="129"/>
      <c r="H98" s="129"/>
      <c r="I98" s="128">
        <f t="shared" si="1"/>
        <v>0</v>
      </c>
      <c r="J98" s="48"/>
      <c r="K98" s="48"/>
      <c r="L98" s="48"/>
      <c r="M98" s="48"/>
      <c r="N98" s="48"/>
      <c r="O98" s="48"/>
      <c r="P98" s="48"/>
      <c r="Q98" s="48"/>
      <c r="R98" s="48"/>
      <c r="S98" s="48"/>
      <c r="T98" s="48"/>
      <c r="U98" s="48"/>
      <c r="V98" s="48"/>
      <c r="W98" s="48"/>
      <c r="X98" s="48"/>
      <c r="Y98" s="48"/>
      <c r="Z98" s="48"/>
    </row>
    <row r="99" ht="23.25" customHeight="1">
      <c r="A99" s="111" t="str">
        <f>IF(B99="","",VLOOKUP(B99,'Mitglieder BBU'!A:K,6,0))</f>
        <v/>
      </c>
      <c r="B99" s="111"/>
      <c r="C99" s="129"/>
      <c r="D99" s="129"/>
      <c r="E99" s="129"/>
      <c r="F99" s="129"/>
      <c r="G99" s="129"/>
      <c r="H99" s="129"/>
      <c r="I99" s="128">
        <f t="shared" si="1"/>
        <v>0</v>
      </c>
      <c r="J99" s="48"/>
      <c r="K99" s="48"/>
      <c r="L99" s="48"/>
      <c r="M99" s="48"/>
      <c r="N99" s="48"/>
      <c r="O99" s="48"/>
      <c r="P99" s="48"/>
      <c r="Q99" s="48"/>
      <c r="R99" s="48"/>
      <c r="S99" s="48"/>
      <c r="T99" s="48"/>
      <c r="U99" s="48"/>
      <c r="V99" s="48"/>
      <c r="W99" s="48"/>
      <c r="X99" s="48"/>
      <c r="Y99" s="48"/>
      <c r="Z99" s="48"/>
    </row>
    <row r="100" ht="23.25" customHeight="1">
      <c r="A100" s="111" t="str">
        <f>IF(B100="","",VLOOKUP(B100,'Mitglieder BBU'!A:K,6,0))</f>
        <v/>
      </c>
      <c r="B100" s="111"/>
      <c r="C100" s="129"/>
      <c r="D100" s="129"/>
      <c r="E100" s="129"/>
      <c r="F100" s="129"/>
      <c r="G100" s="129"/>
      <c r="H100" s="129"/>
      <c r="I100" s="128">
        <f t="shared" si="1"/>
        <v>0</v>
      </c>
      <c r="J100" s="48"/>
      <c r="K100" s="48"/>
      <c r="L100" s="48"/>
      <c r="M100" s="48"/>
      <c r="N100" s="48"/>
      <c r="O100" s="48"/>
      <c r="P100" s="48"/>
      <c r="Q100" s="48"/>
      <c r="R100" s="48"/>
      <c r="S100" s="48"/>
      <c r="T100" s="48"/>
      <c r="U100" s="48"/>
      <c r="V100" s="48"/>
      <c r="W100" s="48"/>
      <c r="X100" s="48"/>
      <c r="Y100" s="48"/>
      <c r="Z100" s="48"/>
    </row>
    <row r="101" ht="23.25" customHeight="1">
      <c r="A101" s="111" t="str">
        <f>IF(B101="","",VLOOKUP(B101,'Mitglieder BBU'!A:K,6,0))</f>
        <v/>
      </c>
      <c r="B101" s="111"/>
      <c r="C101" s="129"/>
      <c r="D101" s="129"/>
      <c r="E101" s="129"/>
      <c r="F101" s="129"/>
      <c r="G101" s="129"/>
      <c r="H101" s="129"/>
      <c r="I101" s="128">
        <f t="shared" si="1"/>
        <v>0</v>
      </c>
      <c r="J101" s="48"/>
      <c r="K101" s="48"/>
      <c r="L101" s="48"/>
      <c r="M101" s="48"/>
      <c r="N101" s="48"/>
      <c r="O101" s="48"/>
      <c r="P101" s="48"/>
      <c r="Q101" s="48"/>
      <c r="R101" s="48"/>
      <c r="S101" s="48"/>
      <c r="T101" s="48"/>
      <c r="U101" s="48"/>
      <c r="V101" s="48"/>
      <c r="W101" s="48"/>
      <c r="X101" s="48"/>
      <c r="Y101" s="48"/>
      <c r="Z101" s="48"/>
    </row>
    <row r="102" ht="23.25" customHeight="1">
      <c r="A102" s="111" t="str">
        <f>IF(B102="","",VLOOKUP(B102,'Mitglieder BBU'!A:K,6,0))</f>
        <v/>
      </c>
      <c r="B102" s="111"/>
      <c r="C102" s="129"/>
      <c r="D102" s="129"/>
      <c r="E102" s="129"/>
      <c r="F102" s="129"/>
      <c r="G102" s="129"/>
      <c r="H102" s="129"/>
      <c r="I102" s="128">
        <f t="shared" si="1"/>
        <v>0</v>
      </c>
      <c r="J102" s="48"/>
      <c r="K102" s="48"/>
      <c r="L102" s="48"/>
      <c r="M102" s="48"/>
      <c r="N102" s="48"/>
      <c r="O102" s="48"/>
      <c r="P102" s="48"/>
      <c r="Q102" s="48"/>
      <c r="R102" s="48"/>
      <c r="S102" s="48"/>
      <c r="T102" s="48"/>
      <c r="U102" s="48"/>
      <c r="V102" s="48"/>
      <c r="W102" s="48"/>
      <c r="X102" s="48"/>
      <c r="Y102" s="48"/>
      <c r="Z102" s="48"/>
    </row>
    <row r="103" ht="23.25" customHeight="1">
      <c r="A103" s="111" t="str">
        <f>IF(B103="","",VLOOKUP(B103,'Mitglieder BBU'!A:K,6,0))</f>
        <v/>
      </c>
      <c r="B103" s="111"/>
      <c r="C103" s="129"/>
      <c r="D103" s="129"/>
      <c r="E103" s="129"/>
      <c r="F103" s="129"/>
      <c r="G103" s="129"/>
      <c r="H103" s="129"/>
      <c r="I103" s="128">
        <f t="shared" si="1"/>
        <v>0</v>
      </c>
      <c r="J103" s="48"/>
      <c r="K103" s="48"/>
      <c r="L103" s="48"/>
      <c r="M103" s="48"/>
      <c r="N103" s="48"/>
      <c r="O103" s="48"/>
      <c r="P103" s="48"/>
      <c r="Q103" s="48"/>
      <c r="R103" s="48"/>
      <c r="S103" s="48"/>
      <c r="T103" s="48"/>
      <c r="U103" s="48"/>
      <c r="V103" s="48"/>
      <c r="W103" s="48"/>
      <c r="X103" s="48"/>
      <c r="Y103" s="48"/>
      <c r="Z103" s="48"/>
    </row>
    <row r="104" ht="23.25" customHeight="1">
      <c r="A104" s="111" t="str">
        <f>IF(B104="","",VLOOKUP(B104,'Mitglieder BBU'!A:K,6,0))</f>
        <v/>
      </c>
      <c r="B104" s="111"/>
      <c r="C104" s="129"/>
      <c r="D104" s="129"/>
      <c r="E104" s="129"/>
      <c r="F104" s="129"/>
      <c r="G104" s="129"/>
      <c r="H104" s="129"/>
      <c r="I104" s="128">
        <f t="shared" si="1"/>
        <v>0</v>
      </c>
      <c r="J104" s="48"/>
      <c r="K104" s="48"/>
      <c r="L104" s="48"/>
      <c r="M104" s="48"/>
      <c r="N104" s="48"/>
      <c r="O104" s="48"/>
      <c r="P104" s="48"/>
      <c r="Q104" s="48"/>
      <c r="R104" s="48"/>
      <c r="S104" s="48"/>
      <c r="T104" s="48"/>
      <c r="U104" s="48"/>
      <c r="V104" s="48"/>
      <c r="W104" s="48"/>
      <c r="X104" s="48"/>
      <c r="Y104" s="48"/>
      <c r="Z104" s="48"/>
    </row>
    <row r="105" ht="23.25" customHeight="1">
      <c r="A105" s="111" t="str">
        <f>IF(B105="","",VLOOKUP(B105,'Mitglieder BBU'!A:K,6,0))</f>
        <v/>
      </c>
      <c r="B105" s="111"/>
      <c r="C105" s="129"/>
      <c r="D105" s="129"/>
      <c r="E105" s="129"/>
      <c r="F105" s="129"/>
      <c r="G105" s="129"/>
      <c r="H105" s="129"/>
      <c r="I105" s="128">
        <f t="shared" si="1"/>
        <v>0</v>
      </c>
      <c r="J105" s="48"/>
      <c r="K105" s="48"/>
      <c r="L105" s="48"/>
      <c r="M105" s="48"/>
      <c r="N105" s="48"/>
      <c r="O105" s="48"/>
      <c r="P105" s="48"/>
      <c r="Q105" s="48"/>
      <c r="R105" s="48"/>
      <c r="S105" s="48"/>
      <c r="T105" s="48"/>
      <c r="U105" s="48"/>
      <c r="V105" s="48"/>
      <c r="W105" s="48"/>
      <c r="X105" s="48"/>
      <c r="Y105" s="48"/>
      <c r="Z105" s="48"/>
    </row>
    <row r="106" ht="23.25" customHeight="1">
      <c r="A106" s="111" t="str">
        <f>IF(B106="","",VLOOKUP(B106,'Mitglieder BBU'!A:K,6,0))</f>
        <v/>
      </c>
      <c r="B106" s="111"/>
      <c r="C106" s="129"/>
      <c r="D106" s="129"/>
      <c r="E106" s="129"/>
      <c r="F106" s="129"/>
      <c r="G106" s="129"/>
      <c r="H106" s="129"/>
      <c r="I106" s="128">
        <f t="shared" si="1"/>
        <v>0</v>
      </c>
      <c r="J106" s="48"/>
      <c r="K106" s="48"/>
      <c r="L106" s="48"/>
      <c r="M106" s="48"/>
      <c r="N106" s="48"/>
      <c r="O106" s="48"/>
      <c r="P106" s="48"/>
      <c r="Q106" s="48"/>
      <c r="R106" s="48"/>
      <c r="S106" s="48"/>
      <c r="T106" s="48"/>
      <c r="U106" s="48"/>
      <c r="V106" s="48"/>
      <c r="W106" s="48"/>
      <c r="X106" s="48"/>
      <c r="Y106" s="48"/>
      <c r="Z106" s="48"/>
    </row>
    <row r="107" ht="23.25" customHeight="1">
      <c r="A107" s="111" t="str">
        <f>IF(B107="","",VLOOKUP(B107,'Mitglieder BBU'!A:K,6,0))</f>
        <v/>
      </c>
      <c r="B107" s="111"/>
      <c r="C107" s="129"/>
      <c r="D107" s="129"/>
      <c r="E107" s="129"/>
      <c r="F107" s="129"/>
      <c r="G107" s="129"/>
      <c r="H107" s="129"/>
      <c r="I107" s="128">
        <f t="shared" si="1"/>
        <v>0</v>
      </c>
      <c r="J107" s="48"/>
      <c r="K107" s="48"/>
      <c r="L107" s="48"/>
      <c r="M107" s="48"/>
      <c r="N107" s="48"/>
      <c r="O107" s="48"/>
      <c r="P107" s="48"/>
      <c r="Q107" s="48"/>
      <c r="R107" s="48"/>
      <c r="S107" s="48"/>
      <c r="T107" s="48"/>
      <c r="U107" s="48"/>
      <c r="V107" s="48"/>
      <c r="W107" s="48"/>
      <c r="X107" s="48"/>
      <c r="Y107" s="48"/>
      <c r="Z107" s="48"/>
    </row>
    <row r="108" ht="23.25" customHeight="1">
      <c r="A108" s="111" t="str">
        <f>IF(B108="","",VLOOKUP(B108,'Mitglieder BBU'!A:K,6,0))</f>
        <v/>
      </c>
      <c r="B108" s="111"/>
      <c r="C108" s="129"/>
      <c r="D108" s="129"/>
      <c r="E108" s="129"/>
      <c r="F108" s="129"/>
      <c r="G108" s="129"/>
      <c r="H108" s="129"/>
      <c r="I108" s="128">
        <f t="shared" si="1"/>
        <v>0</v>
      </c>
      <c r="J108" s="48"/>
      <c r="K108" s="48"/>
      <c r="L108" s="48"/>
      <c r="M108" s="48"/>
      <c r="N108" s="48"/>
      <c r="O108" s="48"/>
      <c r="P108" s="48"/>
      <c r="Q108" s="48"/>
      <c r="R108" s="48"/>
      <c r="S108" s="48"/>
      <c r="T108" s="48"/>
      <c r="U108" s="48"/>
      <c r="V108" s="48"/>
      <c r="W108" s="48"/>
      <c r="X108" s="48"/>
      <c r="Y108" s="48"/>
      <c r="Z108" s="48"/>
    </row>
    <row r="109" ht="23.25" customHeight="1">
      <c r="A109" s="111" t="str">
        <f>IF(B109="","",VLOOKUP(B109,'Mitglieder BBU'!A:K,6,0))</f>
        <v/>
      </c>
      <c r="B109" s="111"/>
      <c r="C109" s="129"/>
      <c r="D109" s="129"/>
      <c r="E109" s="129"/>
      <c r="F109" s="129"/>
      <c r="G109" s="129"/>
      <c r="H109" s="129"/>
      <c r="I109" s="128">
        <f t="shared" si="1"/>
        <v>0</v>
      </c>
      <c r="J109" s="48"/>
      <c r="K109" s="48"/>
      <c r="L109" s="48"/>
      <c r="M109" s="48"/>
      <c r="N109" s="48"/>
      <c r="O109" s="48"/>
      <c r="P109" s="48"/>
      <c r="Q109" s="48"/>
      <c r="R109" s="48"/>
      <c r="S109" s="48"/>
      <c r="T109" s="48"/>
      <c r="U109" s="48"/>
      <c r="V109" s="48"/>
      <c r="W109" s="48"/>
      <c r="X109" s="48"/>
      <c r="Y109" s="48"/>
      <c r="Z109" s="48"/>
    </row>
    <row r="110" ht="23.25" customHeight="1">
      <c r="A110" s="111" t="str">
        <f>IF(B110="","",VLOOKUP(B110,'Mitglieder BBU'!A:K,6,0))</f>
        <v/>
      </c>
      <c r="B110" s="111"/>
      <c r="C110" s="129"/>
      <c r="D110" s="129"/>
      <c r="E110" s="129"/>
      <c r="F110" s="129"/>
      <c r="G110" s="129"/>
      <c r="H110" s="129"/>
      <c r="I110" s="128">
        <f t="shared" si="1"/>
        <v>0</v>
      </c>
      <c r="J110" s="48"/>
      <c r="K110" s="48"/>
      <c r="L110" s="48"/>
      <c r="M110" s="48"/>
      <c r="N110" s="48"/>
      <c r="O110" s="48"/>
      <c r="P110" s="48"/>
      <c r="Q110" s="48"/>
      <c r="R110" s="48"/>
      <c r="S110" s="48"/>
      <c r="T110" s="48"/>
      <c r="U110" s="48"/>
      <c r="V110" s="48"/>
      <c r="W110" s="48"/>
      <c r="X110" s="48"/>
      <c r="Y110" s="48"/>
      <c r="Z110" s="48"/>
    </row>
    <row r="111" ht="23.25" customHeight="1">
      <c r="A111" s="111" t="str">
        <f>IF(B111="","",VLOOKUP(B111,'Mitglieder BBU'!A:K,6,0))</f>
        <v/>
      </c>
      <c r="B111" s="111"/>
      <c r="C111" s="129"/>
      <c r="D111" s="129"/>
      <c r="E111" s="129"/>
      <c r="F111" s="129"/>
      <c r="G111" s="129"/>
      <c r="H111" s="129"/>
      <c r="I111" s="128">
        <f t="shared" si="1"/>
        <v>0</v>
      </c>
      <c r="J111" s="48"/>
      <c r="K111" s="48"/>
      <c r="L111" s="48"/>
      <c r="M111" s="48"/>
      <c r="N111" s="48"/>
      <c r="O111" s="48"/>
      <c r="P111" s="48"/>
      <c r="Q111" s="48"/>
      <c r="R111" s="48"/>
      <c r="S111" s="48"/>
      <c r="T111" s="48"/>
      <c r="U111" s="48"/>
      <c r="V111" s="48"/>
      <c r="W111" s="48"/>
      <c r="X111" s="48"/>
      <c r="Y111" s="48"/>
      <c r="Z111" s="48"/>
    </row>
    <row r="112" ht="23.25" customHeight="1">
      <c r="A112" s="111" t="str">
        <f>IF(B112="","",VLOOKUP(B112,'Mitglieder BBU'!A:K,6,0))</f>
        <v/>
      </c>
      <c r="B112" s="111"/>
      <c r="C112" s="129"/>
      <c r="D112" s="129"/>
      <c r="E112" s="129"/>
      <c r="F112" s="129"/>
      <c r="G112" s="129"/>
      <c r="H112" s="129"/>
      <c r="I112" s="128">
        <f t="shared" si="1"/>
        <v>0</v>
      </c>
      <c r="J112" s="48"/>
      <c r="K112" s="48"/>
      <c r="L112" s="48"/>
      <c r="M112" s="48"/>
      <c r="N112" s="48"/>
      <c r="O112" s="48"/>
      <c r="P112" s="48"/>
      <c r="Q112" s="48"/>
      <c r="R112" s="48"/>
      <c r="S112" s="48"/>
      <c r="T112" s="48"/>
      <c r="U112" s="48"/>
      <c r="V112" s="48"/>
      <c r="W112" s="48"/>
      <c r="X112" s="48"/>
      <c r="Y112" s="48"/>
      <c r="Z112" s="48"/>
    </row>
    <row r="113" ht="23.25" customHeight="1">
      <c r="A113" s="111" t="str">
        <f>IF(B113="","",VLOOKUP(B113,'Mitglieder BBU'!A:K,6,0))</f>
        <v/>
      </c>
      <c r="B113" s="111"/>
      <c r="C113" s="129"/>
      <c r="D113" s="129"/>
      <c r="E113" s="129"/>
      <c r="F113" s="129"/>
      <c r="G113" s="129"/>
      <c r="H113" s="129"/>
      <c r="I113" s="128">
        <f t="shared" si="1"/>
        <v>0</v>
      </c>
      <c r="J113" s="48"/>
      <c r="K113" s="48"/>
      <c r="L113" s="48"/>
      <c r="M113" s="48"/>
      <c r="N113" s="48"/>
      <c r="O113" s="48"/>
      <c r="P113" s="48"/>
      <c r="Q113" s="48"/>
      <c r="R113" s="48"/>
      <c r="S113" s="48"/>
      <c r="T113" s="48"/>
      <c r="U113" s="48"/>
      <c r="V113" s="48"/>
      <c r="W113" s="48"/>
      <c r="X113" s="48"/>
      <c r="Y113" s="48"/>
      <c r="Z113" s="48"/>
    </row>
    <row r="114" ht="23.25" customHeight="1">
      <c r="A114" s="111" t="str">
        <f>IF(B114="","",VLOOKUP(B114,'Mitglieder BBU'!A:K,6,0))</f>
        <v/>
      </c>
      <c r="B114" s="111"/>
      <c r="C114" s="129"/>
      <c r="D114" s="129"/>
      <c r="E114" s="129"/>
      <c r="F114" s="129"/>
      <c r="G114" s="129"/>
      <c r="H114" s="129"/>
      <c r="I114" s="128">
        <f t="shared" si="1"/>
        <v>0</v>
      </c>
      <c r="J114" s="48"/>
      <c r="K114" s="48"/>
      <c r="L114" s="48"/>
      <c r="M114" s="48"/>
      <c r="N114" s="48"/>
      <c r="O114" s="48"/>
      <c r="P114" s="48"/>
      <c r="Q114" s="48"/>
      <c r="R114" s="48"/>
      <c r="S114" s="48"/>
      <c r="T114" s="48"/>
      <c r="U114" s="48"/>
      <c r="V114" s="48"/>
      <c r="W114" s="48"/>
      <c r="X114" s="48"/>
      <c r="Y114" s="48"/>
      <c r="Z114" s="48"/>
    </row>
    <row r="115" ht="23.25" customHeight="1">
      <c r="A115" s="111" t="str">
        <f>IF(B115="","",VLOOKUP(B115,'Mitglieder BBU'!A:K,6,0))</f>
        <v/>
      </c>
      <c r="B115" s="111"/>
      <c r="C115" s="129"/>
      <c r="D115" s="129"/>
      <c r="E115" s="129"/>
      <c r="F115" s="129"/>
      <c r="G115" s="129"/>
      <c r="H115" s="129"/>
      <c r="I115" s="128">
        <f t="shared" si="1"/>
        <v>0</v>
      </c>
      <c r="J115" s="48"/>
      <c r="K115" s="48"/>
      <c r="L115" s="48"/>
      <c r="M115" s="48"/>
      <c r="N115" s="48"/>
      <c r="O115" s="48"/>
      <c r="P115" s="48"/>
      <c r="Q115" s="48"/>
      <c r="R115" s="48"/>
      <c r="S115" s="48"/>
      <c r="T115" s="48"/>
      <c r="U115" s="48"/>
      <c r="V115" s="48"/>
      <c r="W115" s="48"/>
      <c r="X115" s="48"/>
      <c r="Y115" s="48"/>
      <c r="Z115" s="48"/>
    </row>
    <row r="116" ht="23.25" customHeight="1">
      <c r="A116" s="111" t="str">
        <f>IF(B116="","",VLOOKUP(B116,'Mitglieder BBU'!A:K,6,0))</f>
        <v/>
      </c>
      <c r="B116" s="111"/>
      <c r="C116" s="129"/>
      <c r="D116" s="129"/>
      <c r="E116" s="129"/>
      <c r="F116" s="129"/>
      <c r="G116" s="129"/>
      <c r="H116" s="129"/>
      <c r="I116" s="128">
        <f t="shared" si="1"/>
        <v>0</v>
      </c>
      <c r="J116" s="48"/>
      <c r="K116" s="48"/>
      <c r="L116" s="48"/>
      <c r="M116" s="48"/>
      <c r="N116" s="48"/>
      <c r="O116" s="48"/>
      <c r="P116" s="48"/>
      <c r="Q116" s="48"/>
      <c r="R116" s="48"/>
      <c r="S116" s="48"/>
      <c r="T116" s="48"/>
      <c r="U116" s="48"/>
      <c r="V116" s="48"/>
      <c r="W116" s="48"/>
      <c r="X116" s="48"/>
      <c r="Y116" s="48"/>
      <c r="Z116" s="48"/>
    </row>
    <row r="117" ht="23.25" customHeight="1">
      <c r="A117" s="111" t="str">
        <f>IF(B117="","",VLOOKUP(B117,'Mitglieder BBU'!A:K,6,0))</f>
        <v/>
      </c>
      <c r="B117" s="111"/>
      <c r="C117" s="129"/>
      <c r="D117" s="129"/>
      <c r="E117" s="129"/>
      <c r="F117" s="129"/>
      <c r="G117" s="129"/>
      <c r="H117" s="129"/>
      <c r="I117" s="128">
        <f t="shared" si="1"/>
        <v>0</v>
      </c>
      <c r="J117" s="48"/>
      <c r="K117" s="48"/>
      <c r="L117" s="48"/>
      <c r="M117" s="48"/>
      <c r="N117" s="48"/>
      <c r="O117" s="48"/>
      <c r="P117" s="48"/>
      <c r="Q117" s="48"/>
      <c r="R117" s="48"/>
      <c r="S117" s="48"/>
      <c r="T117" s="48"/>
      <c r="U117" s="48"/>
      <c r="V117" s="48"/>
      <c r="W117" s="48"/>
      <c r="X117" s="48"/>
      <c r="Y117" s="48"/>
      <c r="Z117" s="48"/>
    </row>
    <row r="118" ht="23.25" customHeight="1">
      <c r="A118" s="111" t="str">
        <f>IF(B118="","",VLOOKUP(B118,'Mitglieder BBU'!A:K,6,0))</f>
        <v/>
      </c>
      <c r="B118" s="111"/>
      <c r="C118" s="129"/>
      <c r="D118" s="129"/>
      <c r="E118" s="129"/>
      <c r="F118" s="129"/>
      <c r="G118" s="129"/>
      <c r="H118" s="129"/>
      <c r="I118" s="128">
        <f t="shared" si="1"/>
        <v>0</v>
      </c>
      <c r="J118" s="48"/>
      <c r="K118" s="48"/>
      <c r="L118" s="48"/>
      <c r="M118" s="48"/>
      <c r="N118" s="48"/>
      <c r="O118" s="48"/>
      <c r="P118" s="48"/>
      <c r="Q118" s="48"/>
      <c r="R118" s="48"/>
      <c r="S118" s="48"/>
      <c r="T118" s="48"/>
      <c r="U118" s="48"/>
      <c r="V118" s="48"/>
      <c r="W118" s="48"/>
      <c r="X118" s="48"/>
      <c r="Y118" s="48"/>
      <c r="Z118" s="48"/>
    </row>
    <row r="119" ht="23.25" customHeight="1">
      <c r="A119" s="111" t="str">
        <f>IF(B119="","",VLOOKUP(B119,'Mitglieder BBU'!A:K,6,0))</f>
        <v/>
      </c>
      <c r="B119" s="111"/>
      <c r="C119" s="129"/>
      <c r="D119" s="129"/>
      <c r="E119" s="129"/>
      <c r="F119" s="129"/>
      <c r="G119" s="129"/>
      <c r="H119" s="129"/>
      <c r="I119" s="128">
        <f t="shared" si="1"/>
        <v>0</v>
      </c>
      <c r="J119" s="48"/>
      <c r="K119" s="48"/>
      <c r="L119" s="48"/>
      <c r="M119" s="48"/>
      <c r="N119" s="48"/>
      <c r="O119" s="48"/>
      <c r="P119" s="48"/>
      <c r="Q119" s="48"/>
      <c r="R119" s="48"/>
      <c r="S119" s="48"/>
      <c r="T119" s="48"/>
      <c r="U119" s="48"/>
      <c r="V119" s="48"/>
      <c r="W119" s="48"/>
      <c r="X119" s="48"/>
      <c r="Y119" s="48"/>
      <c r="Z119" s="48"/>
    </row>
    <row r="120" ht="23.25" customHeight="1">
      <c r="A120" s="111" t="str">
        <f>IF(B120="","",VLOOKUP(B120,'Mitglieder BBU'!A:K,6,0))</f>
        <v/>
      </c>
      <c r="B120" s="111"/>
      <c r="C120" s="129"/>
      <c r="D120" s="129"/>
      <c r="E120" s="129"/>
      <c r="F120" s="129"/>
      <c r="G120" s="129"/>
      <c r="H120" s="129"/>
      <c r="I120" s="128">
        <f t="shared" si="1"/>
        <v>0</v>
      </c>
      <c r="J120" s="48"/>
      <c r="K120" s="48"/>
      <c r="L120" s="48"/>
      <c r="M120" s="48"/>
      <c r="N120" s="48"/>
      <c r="O120" s="48"/>
      <c r="P120" s="48"/>
      <c r="Q120" s="48"/>
      <c r="R120" s="48"/>
      <c r="S120" s="48"/>
      <c r="T120" s="48"/>
      <c r="U120" s="48"/>
      <c r="V120" s="48"/>
      <c r="W120" s="48"/>
      <c r="X120" s="48"/>
      <c r="Y120" s="48"/>
      <c r="Z120" s="48"/>
    </row>
    <row r="121" ht="23.25" customHeight="1">
      <c r="A121" s="111" t="str">
        <f>IF(B121="","",VLOOKUP(B121,'Mitglieder BBU'!A:K,6,0))</f>
        <v/>
      </c>
      <c r="B121" s="111"/>
      <c r="C121" s="129"/>
      <c r="D121" s="129"/>
      <c r="E121" s="129"/>
      <c r="F121" s="129"/>
      <c r="G121" s="129"/>
      <c r="H121" s="129"/>
      <c r="I121" s="128">
        <f t="shared" si="1"/>
        <v>0</v>
      </c>
      <c r="J121" s="48"/>
      <c r="K121" s="48"/>
      <c r="L121" s="48"/>
      <c r="M121" s="48"/>
      <c r="N121" s="48"/>
      <c r="O121" s="48"/>
      <c r="P121" s="48"/>
      <c r="Q121" s="48"/>
      <c r="R121" s="48"/>
      <c r="S121" s="48"/>
      <c r="T121" s="48"/>
      <c r="U121" s="48"/>
      <c r="V121" s="48"/>
      <c r="W121" s="48"/>
      <c r="X121" s="48"/>
      <c r="Y121" s="48"/>
      <c r="Z121" s="48"/>
    </row>
    <row r="122" ht="23.25" customHeight="1">
      <c r="A122" s="111" t="str">
        <f>IF(B122="","",VLOOKUP(B122,'Mitglieder BBU'!A:K,6,0))</f>
        <v/>
      </c>
      <c r="B122" s="111"/>
      <c r="C122" s="129"/>
      <c r="D122" s="129"/>
      <c r="E122" s="129"/>
      <c r="F122" s="129"/>
      <c r="G122" s="129"/>
      <c r="H122" s="129"/>
      <c r="I122" s="128">
        <f t="shared" si="1"/>
        <v>0</v>
      </c>
      <c r="J122" s="48"/>
      <c r="K122" s="48"/>
      <c r="L122" s="48"/>
      <c r="M122" s="48"/>
      <c r="N122" s="48"/>
      <c r="O122" s="48"/>
      <c r="P122" s="48"/>
      <c r="Q122" s="48"/>
      <c r="R122" s="48"/>
      <c r="S122" s="48"/>
      <c r="T122" s="48"/>
      <c r="U122" s="48"/>
      <c r="V122" s="48"/>
      <c r="W122" s="48"/>
      <c r="X122" s="48"/>
      <c r="Y122" s="48"/>
      <c r="Z122" s="48"/>
    </row>
    <row r="123" ht="23.25" customHeight="1">
      <c r="A123" s="111" t="str">
        <f>IF(B123="","",VLOOKUP(B123,'Mitglieder BBU'!A:K,6,0))</f>
        <v/>
      </c>
      <c r="B123" s="111"/>
      <c r="C123" s="129"/>
      <c r="D123" s="129"/>
      <c r="E123" s="129"/>
      <c r="F123" s="129"/>
      <c r="G123" s="129"/>
      <c r="H123" s="129"/>
      <c r="I123" s="128">
        <f t="shared" si="1"/>
        <v>0</v>
      </c>
      <c r="J123" s="48"/>
      <c r="K123" s="48"/>
      <c r="L123" s="48"/>
      <c r="M123" s="48"/>
      <c r="N123" s="48"/>
      <c r="O123" s="48"/>
      <c r="P123" s="48"/>
      <c r="Q123" s="48"/>
      <c r="R123" s="48"/>
      <c r="S123" s="48"/>
      <c r="T123" s="48"/>
      <c r="U123" s="48"/>
      <c r="V123" s="48"/>
      <c r="W123" s="48"/>
      <c r="X123" s="48"/>
      <c r="Y123" s="48"/>
      <c r="Z123" s="48"/>
    </row>
    <row r="124" ht="23.25" customHeight="1">
      <c r="A124" s="111" t="str">
        <f>IF(B124="","",VLOOKUP(B124,'Mitglieder BBU'!A:K,6,0))</f>
        <v/>
      </c>
      <c r="B124" s="111"/>
      <c r="C124" s="129"/>
      <c r="D124" s="129"/>
      <c r="E124" s="129"/>
      <c r="F124" s="129"/>
      <c r="G124" s="129"/>
      <c r="H124" s="129"/>
      <c r="I124" s="128">
        <f t="shared" si="1"/>
        <v>0</v>
      </c>
      <c r="J124" s="48"/>
      <c r="K124" s="48"/>
      <c r="L124" s="48"/>
      <c r="M124" s="48"/>
      <c r="N124" s="48"/>
      <c r="O124" s="48"/>
      <c r="P124" s="48"/>
      <c r="Q124" s="48"/>
      <c r="R124" s="48"/>
      <c r="S124" s="48"/>
      <c r="T124" s="48"/>
      <c r="U124" s="48"/>
      <c r="V124" s="48"/>
      <c r="W124" s="48"/>
      <c r="X124" s="48"/>
      <c r="Y124" s="48"/>
      <c r="Z124" s="48"/>
    </row>
    <row r="125" ht="23.25" customHeight="1">
      <c r="A125" s="111" t="str">
        <f>IF(B125="","",VLOOKUP(B125,'Mitglieder BBU'!A:K,6,0))</f>
        <v/>
      </c>
      <c r="B125" s="111"/>
      <c r="C125" s="129"/>
      <c r="D125" s="129"/>
      <c r="E125" s="129"/>
      <c r="F125" s="129"/>
      <c r="G125" s="129"/>
      <c r="H125" s="129"/>
      <c r="I125" s="128">
        <f t="shared" si="1"/>
        <v>0</v>
      </c>
      <c r="J125" s="48"/>
      <c r="K125" s="48"/>
      <c r="L125" s="48"/>
      <c r="M125" s="48"/>
      <c r="N125" s="48"/>
      <c r="O125" s="48"/>
      <c r="P125" s="48"/>
      <c r="Q125" s="48"/>
      <c r="R125" s="48"/>
      <c r="S125" s="48"/>
      <c r="T125" s="48"/>
      <c r="U125" s="48"/>
      <c r="V125" s="48"/>
      <c r="W125" s="48"/>
      <c r="X125" s="48"/>
      <c r="Y125" s="48"/>
      <c r="Z125" s="48"/>
    </row>
    <row r="126" ht="23.25" customHeight="1">
      <c r="A126" s="111" t="str">
        <f>IF(B126="","",VLOOKUP(B126,'Mitglieder BBU'!A:K,6,0))</f>
        <v/>
      </c>
      <c r="B126" s="111"/>
      <c r="C126" s="129"/>
      <c r="D126" s="129"/>
      <c r="E126" s="129"/>
      <c r="F126" s="129"/>
      <c r="G126" s="129"/>
      <c r="H126" s="129"/>
      <c r="I126" s="128">
        <f t="shared" si="1"/>
        <v>0</v>
      </c>
      <c r="J126" s="48"/>
      <c r="K126" s="48"/>
      <c r="L126" s="48"/>
      <c r="M126" s="48"/>
      <c r="N126" s="48"/>
      <c r="O126" s="48"/>
      <c r="P126" s="48"/>
      <c r="Q126" s="48"/>
      <c r="R126" s="48"/>
      <c r="S126" s="48"/>
      <c r="T126" s="48"/>
      <c r="U126" s="48"/>
      <c r="V126" s="48"/>
      <c r="W126" s="48"/>
      <c r="X126" s="48"/>
      <c r="Y126" s="48"/>
      <c r="Z126" s="48"/>
    </row>
    <row r="127" ht="23.25" customHeight="1">
      <c r="A127" s="111" t="str">
        <f>IF(B127="","",VLOOKUP(B127,'Mitglieder BBU'!A:K,6,0))</f>
        <v/>
      </c>
      <c r="B127" s="111"/>
      <c r="C127" s="129"/>
      <c r="D127" s="129"/>
      <c r="E127" s="129"/>
      <c r="F127" s="129"/>
      <c r="G127" s="129"/>
      <c r="H127" s="129"/>
      <c r="I127" s="128">
        <f t="shared" si="1"/>
        <v>0</v>
      </c>
      <c r="J127" s="48"/>
      <c r="K127" s="48"/>
      <c r="L127" s="48"/>
      <c r="M127" s="48"/>
      <c r="N127" s="48"/>
      <c r="O127" s="48"/>
      <c r="P127" s="48"/>
      <c r="Q127" s="48"/>
      <c r="R127" s="48"/>
      <c r="S127" s="48"/>
      <c r="T127" s="48"/>
      <c r="U127" s="48"/>
      <c r="V127" s="48"/>
      <c r="W127" s="48"/>
      <c r="X127" s="48"/>
      <c r="Y127" s="48"/>
      <c r="Z127" s="48"/>
    </row>
    <row r="128" ht="23.25" customHeight="1">
      <c r="A128" s="111" t="str">
        <f>IF(B128="","",VLOOKUP(B128,'Mitglieder BBU'!A:K,6,0))</f>
        <v/>
      </c>
      <c r="B128" s="111"/>
      <c r="C128" s="129"/>
      <c r="D128" s="129"/>
      <c r="E128" s="129"/>
      <c r="F128" s="129"/>
      <c r="G128" s="129"/>
      <c r="H128" s="129"/>
      <c r="I128" s="128">
        <f t="shared" si="1"/>
        <v>0</v>
      </c>
      <c r="J128" s="48"/>
      <c r="K128" s="48"/>
      <c r="L128" s="48"/>
      <c r="M128" s="48"/>
      <c r="N128" s="48"/>
      <c r="O128" s="48"/>
      <c r="P128" s="48"/>
      <c r="Q128" s="48"/>
      <c r="R128" s="48"/>
      <c r="S128" s="48"/>
      <c r="T128" s="48"/>
      <c r="U128" s="48"/>
      <c r="V128" s="48"/>
      <c r="W128" s="48"/>
      <c r="X128" s="48"/>
      <c r="Y128" s="48"/>
      <c r="Z128" s="48"/>
    </row>
    <row r="129" ht="23.25" customHeight="1">
      <c r="A129" s="111" t="str">
        <f>IF(B129="","",VLOOKUP(B129,'Mitglieder BBU'!A:K,6,0))</f>
        <v/>
      </c>
      <c r="B129" s="111"/>
      <c r="C129" s="129"/>
      <c r="D129" s="129"/>
      <c r="E129" s="129"/>
      <c r="F129" s="129"/>
      <c r="G129" s="129"/>
      <c r="H129" s="129"/>
      <c r="I129" s="128">
        <f t="shared" si="1"/>
        <v>0</v>
      </c>
      <c r="J129" s="48"/>
      <c r="K129" s="48"/>
      <c r="L129" s="48"/>
      <c r="M129" s="48"/>
      <c r="N129" s="48"/>
      <c r="O129" s="48"/>
      <c r="P129" s="48"/>
      <c r="Q129" s="48"/>
      <c r="R129" s="48"/>
      <c r="S129" s="48"/>
      <c r="T129" s="48"/>
      <c r="U129" s="48"/>
      <c r="V129" s="48"/>
      <c r="W129" s="48"/>
      <c r="X129" s="48"/>
      <c r="Y129" s="48"/>
      <c r="Z129" s="48"/>
    </row>
    <row r="130" ht="23.25" customHeight="1">
      <c r="A130" s="111" t="str">
        <f>IF(B130="","",VLOOKUP(B130,'Mitglieder BBU'!A:K,6,0))</f>
        <v/>
      </c>
      <c r="B130" s="111"/>
      <c r="C130" s="129"/>
      <c r="D130" s="129"/>
      <c r="E130" s="129"/>
      <c r="F130" s="129"/>
      <c r="G130" s="129"/>
      <c r="H130" s="129"/>
      <c r="I130" s="128">
        <f t="shared" si="1"/>
        <v>0</v>
      </c>
      <c r="J130" s="48"/>
      <c r="K130" s="48"/>
      <c r="L130" s="48"/>
      <c r="M130" s="48"/>
      <c r="N130" s="48"/>
      <c r="O130" s="48"/>
      <c r="P130" s="48"/>
      <c r="Q130" s="48"/>
      <c r="R130" s="48"/>
      <c r="S130" s="48"/>
      <c r="T130" s="48"/>
      <c r="U130" s="48"/>
      <c r="V130" s="48"/>
      <c r="W130" s="48"/>
      <c r="X130" s="48"/>
      <c r="Y130" s="48"/>
      <c r="Z130" s="48"/>
    </row>
    <row r="131" ht="23.25" customHeight="1">
      <c r="A131" s="111" t="str">
        <f>IF(B131="","",VLOOKUP(B131,'Mitglieder BBU'!A:K,6,0))</f>
        <v/>
      </c>
      <c r="B131" s="111"/>
      <c r="C131" s="129"/>
      <c r="D131" s="129"/>
      <c r="E131" s="129"/>
      <c r="F131" s="129"/>
      <c r="G131" s="129"/>
      <c r="H131" s="129"/>
      <c r="I131" s="128">
        <f t="shared" si="1"/>
        <v>0</v>
      </c>
      <c r="J131" s="48"/>
      <c r="K131" s="48"/>
      <c r="L131" s="48"/>
      <c r="M131" s="48"/>
      <c r="N131" s="48"/>
      <c r="O131" s="48"/>
      <c r="P131" s="48"/>
      <c r="Q131" s="48"/>
      <c r="R131" s="48"/>
      <c r="S131" s="48"/>
      <c r="T131" s="48"/>
      <c r="U131" s="48"/>
      <c r="V131" s="48"/>
      <c r="W131" s="48"/>
      <c r="X131" s="48"/>
      <c r="Y131" s="48"/>
      <c r="Z131" s="48"/>
    </row>
    <row r="132" ht="23.25" customHeight="1">
      <c r="A132" s="111" t="str">
        <f>IF(B132="","",VLOOKUP(B132,'Mitglieder BBU'!A:K,6,0))</f>
        <v/>
      </c>
      <c r="B132" s="111"/>
      <c r="C132" s="129"/>
      <c r="D132" s="129"/>
      <c r="E132" s="129"/>
      <c r="F132" s="129"/>
      <c r="G132" s="129"/>
      <c r="H132" s="129"/>
      <c r="I132" s="128">
        <f t="shared" si="1"/>
        <v>0</v>
      </c>
      <c r="J132" s="48"/>
      <c r="K132" s="48"/>
      <c r="L132" s="48"/>
      <c r="M132" s="48"/>
      <c r="N132" s="48"/>
      <c r="O132" s="48"/>
      <c r="P132" s="48"/>
      <c r="Q132" s="48"/>
      <c r="R132" s="48"/>
      <c r="S132" s="48"/>
      <c r="T132" s="48"/>
      <c r="U132" s="48"/>
      <c r="V132" s="48"/>
      <c r="W132" s="48"/>
      <c r="X132" s="48"/>
      <c r="Y132" s="48"/>
      <c r="Z132" s="48"/>
    </row>
    <row r="133" ht="23.25" customHeight="1">
      <c r="A133" s="111" t="str">
        <f>IF(B133="","",VLOOKUP(B133,'Mitglieder BBU'!A:K,6,0))</f>
        <v/>
      </c>
      <c r="B133" s="111"/>
      <c r="C133" s="129"/>
      <c r="D133" s="129"/>
      <c r="E133" s="129"/>
      <c r="F133" s="129"/>
      <c r="G133" s="129"/>
      <c r="H133" s="129"/>
      <c r="I133" s="128">
        <f t="shared" si="1"/>
        <v>0</v>
      </c>
      <c r="J133" s="48"/>
      <c r="K133" s="48"/>
      <c r="L133" s="48"/>
      <c r="M133" s="48"/>
      <c r="N133" s="48"/>
      <c r="O133" s="48"/>
      <c r="P133" s="48"/>
      <c r="Q133" s="48"/>
      <c r="R133" s="48"/>
      <c r="S133" s="48"/>
      <c r="T133" s="48"/>
      <c r="U133" s="48"/>
      <c r="V133" s="48"/>
      <c r="W133" s="48"/>
      <c r="X133" s="48"/>
      <c r="Y133" s="48"/>
      <c r="Z133" s="48"/>
    </row>
    <row r="134" ht="23.25" customHeight="1">
      <c r="A134" s="111" t="str">
        <f>IF(B134="","",VLOOKUP(B134,'Mitglieder BBU'!A:K,6,0))</f>
        <v/>
      </c>
      <c r="B134" s="111"/>
      <c r="C134" s="129"/>
      <c r="D134" s="129"/>
      <c r="E134" s="129"/>
      <c r="F134" s="129"/>
      <c r="G134" s="129"/>
      <c r="H134" s="129"/>
      <c r="I134" s="128">
        <f t="shared" si="1"/>
        <v>0</v>
      </c>
      <c r="J134" s="48"/>
      <c r="K134" s="48"/>
      <c r="L134" s="48"/>
      <c r="M134" s="48"/>
      <c r="N134" s="48"/>
      <c r="O134" s="48"/>
      <c r="P134" s="48"/>
      <c r="Q134" s="48"/>
      <c r="R134" s="48"/>
      <c r="S134" s="48"/>
      <c r="T134" s="48"/>
      <c r="U134" s="48"/>
      <c r="V134" s="48"/>
      <c r="W134" s="48"/>
      <c r="X134" s="48"/>
      <c r="Y134" s="48"/>
      <c r="Z134" s="48"/>
    </row>
    <row r="135" ht="23.25" customHeight="1">
      <c r="A135" s="111" t="str">
        <f>IF(B135="","",VLOOKUP(B135,'Mitglieder BBU'!A:K,6,0))</f>
        <v/>
      </c>
      <c r="B135" s="111"/>
      <c r="C135" s="129"/>
      <c r="D135" s="129"/>
      <c r="E135" s="129"/>
      <c r="F135" s="129"/>
      <c r="G135" s="129"/>
      <c r="H135" s="129"/>
      <c r="I135" s="128">
        <f t="shared" si="1"/>
        <v>0</v>
      </c>
      <c r="J135" s="48"/>
      <c r="K135" s="48"/>
      <c r="L135" s="48"/>
      <c r="M135" s="48"/>
      <c r="N135" s="48"/>
      <c r="O135" s="48"/>
      <c r="P135" s="48"/>
      <c r="Q135" s="48"/>
      <c r="R135" s="48"/>
      <c r="S135" s="48"/>
      <c r="T135" s="48"/>
      <c r="U135" s="48"/>
      <c r="V135" s="48"/>
      <c r="W135" s="48"/>
      <c r="X135" s="48"/>
      <c r="Y135" s="48"/>
      <c r="Z135" s="48"/>
    </row>
    <row r="136" ht="23.25" customHeight="1">
      <c r="A136" s="111" t="str">
        <f>IF(B136="","",VLOOKUP(B136,'Mitglieder BBU'!A:K,6,0))</f>
        <v/>
      </c>
      <c r="B136" s="111"/>
      <c r="C136" s="129"/>
      <c r="D136" s="129"/>
      <c r="E136" s="129"/>
      <c r="F136" s="129"/>
      <c r="G136" s="129"/>
      <c r="H136" s="129"/>
      <c r="I136" s="128">
        <f t="shared" si="1"/>
        <v>0</v>
      </c>
      <c r="J136" s="48"/>
      <c r="K136" s="48"/>
      <c r="L136" s="48"/>
      <c r="M136" s="48"/>
      <c r="N136" s="48"/>
      <c r="O136" s="48"/>
      <c r="P136" s="48"/>
      <c r="Q136" s="48"/>
      <c r="R136" s="48"/>
      <c r="S136" s="48"/>
      <c r="T136" s="48"/>
      <c r="U136" s="48"/>
      <c r="V136" s="48"/>
      <c r="W136" s="48"/>
      <c r="X136" s="48"/>
      <c r="Y136" s="48"/>
      <c r="Z136" s="48"/>
    </row>
    <row r="137" ht="23.25" customHeight="1">
      <c r="A137" s="111" t="str">
        <f>IF(B137="","",VLOOKUP(B137,'Mitglieder BBU'!A:K,6,0))</f>
        <v/>
      </c>
      <c r="B137" s="111"/>
      <c r="C137" s="129"/>
      <c r="D137" s="129"/>
      <c r="E137" s="129"/>
      <c r="F137" s="129"/>
      <c r="G137" s="129"/>
      <c r="H137" s="129"/>
      <c r="I137" s="128">
        <f t="shared" si="1"/>
        <v>0</v>
      </c>
      <c r="J137" s="48"/>
      <c r="K137" s="48"/>
      <c r="L137" s="48"/>
      <c r="M137" s="48"/>
      <c r="N137" s="48"/>
      <c r="O137" s="48"/>
      <c r="P137" s="48"/>
      <c r="Q137" s="48"/>
      <c r="R137" s="48"/>
      <c r="S137" s="48"/>
      <c r="T137" s="48"/>
      <c r="U137" s="48"/>
      <c r="V137" s="48"/>
      <c r="W137" s="48"/>
      <c r="X137" s="48"/>
      <c r="Y137" s="48"/>
      <c r="Z137" s="48"/>
    </row>
    <row r="138" ht="23.25" customHeight="1">
      <c r="A138" s="111" t="str">
        <f>IF(B138="","",VLOOKUP(B138,'Mitglieder BBU'!A:K,6,0))</f>
        <v/>
      </c>
      <c r="B138" s="111"/>
      <c r="C138" s="129"/>
      <c r="D138" s="129"/>
      <c r="E138" s="129"/>
      <c r="F138" s="129"/>
      <c r="G138" s="129"/>
      <c r="H138" s="129"/>
      <c r="I138" s="128">
        <f t="shared" si="1"/>
        <v>0</v>
      </c>
      <c r="J138" s="48"/>
      <c r="K138" s="48"/>
      <c r="L138" s="48"/>
      <c r="M138" s="48"/>
      <c r="N138" s="48"/>
      <c r="O138" s="48"/>
      <c r="P138" s="48"/>
      <c r="Q138" s="48"/>
      <c r="R138" s="48"/>
      <c r="S138" s="48"/>
      <c r="T138" s="48"/>
      <c r="U138" s="48"/>
      <c r="V138" s="48"/>
      <c r="W138" s="48"/>
      <c r="X138" s="48"/>
      <c r="Y138" s="48"/>
      <c r="Z138" s="48"/>
    </row>
    <row r="139" ht="23.25" customHeight="1">
      <c r="A139" s="111" t="str">
        <f>IF(B139="","",VLOOKUP(B139,'Mitglieder BBU'!A:K,6,0))</f>
        <v/>
      </c>
      <c r="B139" s="111"/>
      <c r="C139" s="129"/>
      <c r="D139" s="129"/>
      <c r="E139" s="129"/>
      <c r="F139" s="129"/>
      <c r="G139" s="129"/>
      <c r="H139" s="129"/>
      <c r="I139" s="128">
        <f t="shared" si="1"/>
        <v>0</v>
      </c>
      <c r="J139" s="48"/>
      <c r="K139" s="48"/>
      <c r="L139" s="48"/>
      <c r="M139" s="48"/>
      <c r="N139" s="48"/>
      <c r="O139" s="48"/>
      <c r="P139" s="48"/>
      <c r="Q139" s="48"/>
      <c r="R139" s="48"/>
      <c r="S139" s="48"/>
      <c r="T139" s="48"/>
      <c r="U139" s="48"/>
      <c r="V139" s="48"/>
      <c r="W139" s="48"/>
      <c r="X139" s="48"/>
      <c r="Y139" s="48"/>
      <c r="Z139" s="48"/>
    </row>
    <row r="140" ht="23.25" customHeight="1">
      <c r="A140" s="111" t="str">
        <f>IF(B140="","",VLOOKUP(B140,'Mitglieder BBU'!A:K,6,0))</f>
        <v/>
      </c>
      <c r="B140" s="111"/>
      <c r="C140" s="129"/>
      <c r="D140" s="129"/>
      <c r="E140" s="129"/>
      <c r="F140" s="129"/>
      <c r="G140" s="129"/>
      <c r="H140" s="129"/>
      <c r="I140" s="128">
        <f t="shared" si="1"/>
        <v>0</v>
      </c>
      <c r="J140" s="48"/>
      <c r="K140" s="48"/>
      <c r="L140" s="48"/>
      <c r="M140" s="48"/>
      <c r="N140" s="48"/>
      <c r="O140" s="48"/>
      <c r="P140" s="48"/>
      <c r="Q140" s="48"/>
      <c r="R140" s="48"/>
      <c r="S140" s="48"/>
      <c r="T140" s="48"/>
      <c r="U140" s="48"/>
      <c r="V140" s="48"/>
      <c r="W140" s="48"/>
      <c r="X140" s="48"/>
      <c r="Y140" s="48"/>
      <c r="Z140" s="48"/>
    </row>
    <row r="141" ht="23.25" customHeight="1">
      <c r="A141" s="111" t="str">
        <f>IF(B141="","",VLOOKUP(B141,'Mitglieder BBU'!A:K,6,0))</f>
        <v/>
      </c>
      <c r="B141" s="111"/>
      <c r="C141" s="129"/>
      <c r="D141" s="129"/>
      <c r="E141" s="129"/>
      <c r="F141" s="129"/>
      <c r="G141" s="129"/>
      <c r="H141" s="129"/>
      <c r="I141" s="128">
        <f t="shared" si="1"/>
        <v>0</v>
      </c>
      <c r="J141" s="48"/>
      <c r="K141" s="48"/>
      <c r="L141" s="48"/>
      <c r="M141" s="48"/>
      <c r="N141" s="48"/>
      <c r="O141" s="48"/>
      <c r="P141" s="48"/>
      <c r="Q141" s="48"/>
      <c r="R141" s="48"/>
      <c r="S141" s="48"/>
      <c r="T141" s="48"/>
      <c r="U141" s="48"/>
      <c r="V141" s="48"/>
      <c r="W141" s="48"/>
      <c r="X141" s="48"/>
      <c r="Y141" s="48"/>
      <c r="Z141" s="48"/>
    </row>
    <row r="142" ht="23.25" customHeight="1">
      <c r="A142" s="111" t="str">
        <f>IF(B142="","",VLOOKUP(B142,'Mitglieder BBU'!A:K,6,0))</f>
        <v/>
      </c>
      <c r="B142" s="111"/>
      <c r="C142" s="129"/>
      <c r="D142" s="129"/>
      <c r="E142" s="129"/>
      <c r="F142" s="129"/>
      <c r="G142" s="129"/>
      <c r="H142" s="129"/>
      <c r="I142" s="128">
        <f t="shared" si="1"/>
        <v>0</v>
      </c>
      <c r="J142" s="48"/>
      <c r="K142" s="48"/>
      <c r="L142" s="48"/>
      <c r="M142" s="48"/>
      <c r="N142" s="48"/>
      <c r="O142" s="48"/>
      <c r="P142" s="48"/>
      <c r="Q142" s="48"/>
      <c r="R142" s="48"/>
      <c r="S142" s="48"/>
      <c r="T142" s="48"/>
      <c r="U142" s="48"/>
      <c r="V142" s="48"/>
      <c r="W142" s="48"/>
      <c r="X142" s="48"/>
      <c r="Y142" s="48"/>
      <c r="Z142" s="48"/>
    </row>
    <row r="143" ht="23.25" customHeight="1">
      <c r="A143" s="111" t="str">
        <f>IF(B143="","",VLOOKUP(B143,'Mitglieder BBU'!A:K,6,0))</f>
        <v/>
      </c>
      <c r="B143" s="111"/>
      <c r="C143" s="129"/>
      <c r="D143" s="129"/>
      <c r="E143" s="129"/>
      <c r="F143" s="129"/>
      <c r="G143" s="129"/>
      <c r="H143" s="129"/>
      <c r="I143" s="128">
        <f t="shared" si="1"/>
        <v>0</v>
      </c>
      <c r="J143" s="48"/>
      <c r="K143" s="48"/>
      <c r="L143" s="48"/>
      <c r="M143" s="48"/>
      <c r="N143" s="48"/>
      <c r="O143" s="48"/>
      <c r="P143" s="48"/>
      <c r="Q143" s="48"/>
      <c r="R143" s="48"/>
      <c r="S143" s="48"/>
      <c r="T143" s="48"/>
      <c r="U143" s="48"/>
      <c r="V143" s="48"/>
      <c r="W143" s="48"/>
      <c r="X143" s="48"/>
      <c r="Y143" s="48"/>
      <c r="Z143" s="48"/>
    </row>
    <row r="144" ht="23.25" customHeight="1">
      <c r="A144" s="111" t="str">
        <f>IF(B144="","",VLOOKUP(B144,'Mitglieder BBU'!A:K,6,0))</f>
        <v/>
      </c>
      <c r="B144" s="111"/>
      <c r="C144" s="129"/>
      <c r="D144" s="129"/>
      <c r="E144" s="129"/>
      <c r="F144" s="129"/>
      <c r="G144" s="129"/>
      <c r="H144" s="129"/>
      <c r="I144" s="128">
        <f t="shared" si="1"/>
        <v>0</v>
      </c>
      <c r="J144" s="48"/>
      <c r="K144" s="48"/>
      <c r="L144" s="48"/>
      <c r="M144" s="48"/>
      <c r="N144" s="48"/>
      <c r="O144" s="48"/>
      <c r="P144" s="48"/>
      <c r="Q144" s="48"/>
      <c r="R144" s="48"/>
      <c r="S144" s="48"/>
      <c r="T144" s="48"/>
      <c r="U144" s="48"/>
      <c r="V144" s="48"/>
      <c r="W144" s="48"/>
      <c r="X144" s="48"/>
      <c r="Y144" s="48"/>
      <c r="Z144" s="48"/>
    </row>
    <row r="145" ht="23.25" customHeight="1">
      <c r="A145" s="111" t="str">
        <f>IF(B145="","",VLOOKUP(B145,'Mitglieder BBU'!A:K,6,0))</f>
        <v/>
      </c>
      <c r="B145" s="111"/>
      <c r="C145" s="129"/>
      <c r="D145" s="129"/>
      <c r="E145" s="129"/>
      <c r="F145" s="129"/>
      <c r="G145" s="129"/>
      <c r="H145" s="129"/>
      <c r="I145" s="128">
        <f t="shared" si="1"/>
        <v>0</v>
      </c>
      <c r="J145" s="48"/>
      <c r="K145" s="48"/>
      <c r="L145" s="48"/>
      <c r="M145" s="48"/>
      <c r="N145" s="48"/>
      <c r="O145" s="48"/>
      <c r="P145" s="48"/>
      <c r="Q145" s="48"/>
      <c r="R145" s="48"/>
      <c r="S145" s="48"/>
      <c r="T145" s="48"/>
      <c r="U145" s="48"/>
      <c r="V145" s="48"/>
      <c r="W145" s="48"/>
      <c r="X145" s="48"/>
      <c r="Y145" s="48"/>
      <c r="Z145" s="48"/>
    </row>
    <row r="146" ht="23.25" customHeight="1">
      <c r="A146" s="111" t="str">
        <f>IF(B146="","",VLOOKUP(B146,'Mitglieder BBU'!A:K,6,0))</f>
        <v/>
      </c>
      <c r="B146" s="111"/>
      <c r="C146" s="129"/>
      <c r="D146" s="129"/>
      <c r="E146" s="129"/>
      <c r="F146" s="129"/>
      <c r="G146" s="129"/>
      <c r="H146" s="129"/>
      <c r="I146" s="128">
        <f t="shared" si="1"/>
        <v>0</v>
      </c>
      <c r="J146" s="48"/>
      <c r="K146" s="48"/>
      <c r="L146" s="48"/>
      <c r="M146" s="48"/>
      <c r="N146" s="48"/>
      <c r="O146" s="48"/>
      <c r="P146" s="48"/>
      <c r="Q146" s="48"/>
      <c r="R146" s="48"/>
      <c r="S146" s="48"/>
      <c r="T146" s="48"/>
      <c r="U146" s="48"/>
      <c r="V146" s="48"/>
      <c r="W146" s="48"/>
      <c r="X146" s="48"/>
      <c r="Y146" s="48"/>
      <c r="Z146" s="48"/>
    </row>
    <row r="147" ht="23.25" customHeight="1">
      <c r="A147" s="111" t="str">
        <f>IF(B147="","",VLOOKUP(B147,'Mitglieder BBU'!A:K,6,0))</f>
        <v/>
      </c>
      <c r="B147" s="111"/>
      <c r="C147" s="129"/>
      <c r="D147" s="129"/>
      <c r="E147" s="129"/>
      <c r="F147" s="129"/>
      <c r="G147" s="129"/>
      <c r="H147" s="129"/>
      <c r="I147" s="128">
        <f t="shared" si="1"/>
        <v>0</v>
      </c>
      <c r="J147" s="48"/>
      <c r="K147" s="48"/>
      <c r="L147" s="48"/>
      <c r="M147" s="48"/>
      <c r="N147" s="48"/>
      <c r="O147" s="48"/>
      <c r="P147" s="48"/>
      <c r="Q147" s="48"/>
      <c r="R147" s="48"/>
      <c r="S147" s="48"/>
      <c r="T147" s="48"/>
      <c r="U147" s="48"/>
      <c r="V147" s="48"/>
      <c r="W147" s="48"/>
      <c r="X147" s="48"/>
      <c r="Y147" s="48"/>
      <c r="Z147" s="48"/>
    </row>
    <row r="148" ht="23.25" customHeight="1">
      <c r="A148" s="111" t="str">
        <f>IF(B148="","",VLOOKUP(B148,'Mitglieder BBU'!A:K,6,0))</f>
        <v/>
      </c>
      <c r="B148" s="111"/>
      <c r="C148" s="129"/>
      <c r="D148" s="129"/>
      <c r="E148" s="129"/>
      <c r="F148" s="129"/>
      <c r="G148" s="129"/>
      <c r="H148" s="129"/>
      <c r="I148" s="128">
        <f t="shared" si="1"/>
        <v>0</v>
      </c>
      <c r="J148" s="48"/>
      <c r="K148" s="48"/>
      <c r="L148" s="48"/>
      <c r="M148" s="48"/>
      <c r="N148" s="48"/>
      <c r="O148" s="48"/>
      <c r="P148" s="48"/>
      <c r="Q148" s="48"/>
      <c r="R148" s="48"/>
      <c r="S148" s="48"/>
      <c r="T148" s="48"/>
      <c r="U148" s="48"/>
      <c r="V148" s="48"/>
      <c r="W148" s="48"/>
      <c r="X148" s="48"/>
      <c r="Y148" s="48"/>
      <c r="Z148" s="48"/>
    </row>
    <row r="149" ht="23.25" customHeight="1">
      <c r="A149" s="111" t="str">
        <f>IF(B149="","",VLOOKUP(B149,'Mitglieder BBU'!A:K,6,0))</f>
        <v/>
      </c>
      <c r="B149" s="111"/>
      <c r="C149" s="129"/>
      <c r="D149" s="129"/>
      <c r="E149" s="129"/>
      <c r="F149" s="129"/>
      <c r="G149" s="129"/>
      <c r="H149" s="129"/>
      <c r="I149" s="128">
        <f t="shared" si="1"/>
        <v>0</v>
      </c>
      <c r="J149" s="48"/>
      <c r="K149" s="48"/>
      <c r="L149" s="48"/>
      <c r="M149" s="48"/>
      <c r="N149" s="48"/>
      <c r="O149" s="48"/>
      <c r="P149" s="48"/>
      <c r="Q149" s="48"/>
      <c r="R149" s="48"/>
      <c r="S149" s="48"/>
      <c r="T149" s="48"/>
      <c r="U149" s="48"/>
      <c r="V149" s="48"/>
      <c r="W149" s="48"/>
      <c r="X149" s="48"/>
      <c r="Y149" s="48"/>
      <c r="Z149" s="48"/>
    </row>
    <row r="150" ht="23.25" customHeight="1">
      <c r="A150" s="111" t="str">
        <f>IF(B150="","",VLOOKUP(B150,'Mitglieder BBU'!A:K,6,0))</f>
        <v/>
      </c>
      <c r="B150" s="111"/>
      <c r="C150" s="129"/>
      <c r="D150" s="129"/>
      <c r="E150" s="129"/>
      <c r="F150" s="129"/>
      <c r="G150" s="129"/>
      <c r="H150" s="129"/>
      <c r="I150" s="128">
        <f t="shared" si="1"/>
        <v>0</v>
      </c>
      <c r="J150" s="48"/>
      <c r="K150" s="48"/>
      <c r="L150" s="48"/>
      <c r="M150" s="48"/>
      <c r="N150" s="48"/>
      <c r="O150" s="48"/>
      <c r="P150" s="48"/>
      <c r="Q150" s="48"/>
      <c r="R150" s="48"/>
      <c r="S150" s="48"/>
      <c r="T150" s="48"/>
      <c r="U150" s="48"/>
      <c r="V150" s="48"/>
      <c r="W150" s="48"/>
      <c r="X150" s="48"/>
      <c r="Y150" s="48"/>
      <c r="Z150" s="48"/>
    </row>
    <row r="151" ht="23.25" customHeight="1">
      <c r="A151" s="111" t="str">
        <f>IF(B151="","",VLOOKUP(B151,'Mitglieder BBU'!A:K,6,0))</f>
        <v/>
      </c>
      <c r="B151" s="111"/>
      <c r="C151" s="129"/>
      <c r="D151" s="129"/>
      <c r="E151" s="129"/>
      <c r="F151" s="129"/>
      <c r="G151" s="129"/>
      <c r="H151" s="129"/>
      <c r="I151" s="128">
        <f t="shared" si="1"/>
        <v>0</v>
      </c>
      <c r="J151" s="48"/>
      <c r="K151" s="48"/>
      <c r="L151" s="48"/>
      <c r="M151" s="48"/>
      <c r="N151" s="48"/>
      <c r="O151" s="48"/>
      <c r="P151" s="48"/>
      <c r="Q151" s="48"/>
      <c r="R151" s="48"/>
      <c r="S151" s="48"/>
      <c r="T151" s="48"/>
      <c r="U151" s="48"/>
      <c r="V151" s="48"/>
      <c r="W151" s="48"/>
      <c r="X151" s="48"/>
      <c r="Y151" s="48"/>
      <c r="Z151" s="48"/>
    </row>
    <row r="152" ht="23.25" customHeight="1">
      <c r="A152" s="111" t="str">
        <f>IF(B152="","",VLOOKUP(B152,'Mitglieder BBU'!A:K,6,0))</f>
        <v/>
      </c>
      <c r="B152" s="111"/>
      <c r="C152" s="129"/>
      <c r="D152" s="129"/>
      <c r="E152" s="129"/>
      <c r="F152" s="129"/>
      <c r="G152" s="129"/>
      <c r="H152" s="129"/>
      <c r="I152" s="128">
        <f t="shared" si="1"/>
        <v>0</v>
      </c>
      <c r="J152" s="48"/>
      <c r="K152" s="48"/>
      <c r="L152" s="48"/>
      <c r="M152" s="48"/>
      <c r="N152" s="48"/>
      <c r="O152" s="48"/>
      <c r="P152" s="48"/>
      <c r="Q152" s="48"/>
      <c r="R152" s="48"/>
      <c r="S152" s="48"/>
      <c r="T152" s="48"/>
      <c r="U152" s="48"/>
      <c r="V152" s="48"/>
      <c r="W152" s="48"/>
      <c r="X152" s="48"/>
      <c r="Y152" s="48"/>
      <c r="Z152" s="48"/>
    </row>
    <row r="153" ht="23.25" customHeight="1">
      <c r="A153" s="111" t="str">
        <f>IF(B153="","",VLOOKUP(B153,'Mitglieder BBU'!A:K,6,0))</f>
        <v/>
      </c>
      <c r="B153" s="111"/>
      <c r="C153" s="129"/>
      <c r="D153" s="129"/>
      <c r="E153" s="129"/>
      <c r="F153" s="129"/>
      <c r="G153" s="129"/>
      <c r="H153" s="129"/>
      <c r="I153" s="128">
        <f t="shared" si="1"/>
        <v>0</v>
      </c>
      <c r="J153" s="48"/>
      <c r="K153" s="48"/>
      <c r="L153" s="48"/>
      <c r="M153" s="48"/>
      <c r="N153" s="48"/>
      <c r="O153" s="48"/>
      <c r="P153" s="48"/>
      <c r="Q153" s="48"/>
      <c r="R153" s="48"/>
      <c r="S153" s="48"/>
      <c r="T153" s="48"/>
      <c r="U153" s="48"/>
      <c r="V153" s="48"/>
      <c r="W153" s="48"/>
      <c r="X153" s="48"/>
      <c r="Y153" s="48"/>
      <c r="Z153" s="48"/>
    </row>
    <row r="154" ht="23.25" customHeight="1">
      <c r="A154" s="111" t="str">
        <f>IF(B154="","",VLOOKUP(B154,'Mitglieder BBU'!A:K,6,0))</f>
        <v/>
      </c>
      <c r="B154" s="111"/>
      <c r="C154" s="129"/>
      <c r="D154" s="129"/>
      <c r="E154" s="129"/>
      <c r="F154" s="129"/>
      <c r="G154" s="129"/>
      <c r="H154" s="129"/>
      <c r="I154" s="128">
        <f t="shared" si="1"/>
        <v>0</v>
      </c>
      <c r="J154" s="48"/>
      <c r="K154" s="48"/>
      <c r="L154" s="48"/>
      <c r="M154" s="48"/>
      <c r="N154" s="48"/>
      <c r="O154" s="48"/>
      <c r="P154" s="48"/>
      <c r="Q154" s="48"/>
      <c r="R154" s="48"/>
      <c r="S154" s="48"/>
      <c r="T154" s="48"/>
      <c r="U154" s="48"/>
      <c r="V154" s="48"/>
      <c r="W154" s="48"/>
      <c r="X154" s="48"/>
      <c r="Y154" s="48"/>
      <c r="Z154" s="48"/>
    </row>
    <row r="155" ht="23.25" customHeight="1">
      <c r="A155" s="111" t="str">
        <f>IF(B155="","",VLOOKUP(B155,'Mitglieder BBU'!A:K,6,0))</f>
        <v/>
      </c>
      <c r="B155" s="111"/>
      <c r="C155" s="129"/>
      <c r="D155" s="129"/>
      <c r="E155" s="129"/>
      <c r="F155" s="129"/>
      <c r="G155" s="129"/>
      <c r="H155" s="129"/>
      <c r="I155" s="128">
        <f t="shared" si="1"/>
        <v>0</v>
      </c>
      <c r="J155" s="48"/>
      <c r="K155" s="48"/>
      <c r="L155" s="48"/>
      <c r="M155" s="48"/>
      <c r="N155" s="48"/>
      <c r="O155" s="48"/>
      <c r="P155" s="48"/>
      <c r="Q155" s="48"/>
      <c r="R155" s="48"/>
      <c r="S155" s="48"/>
      <c r="T155" s="48"/>
      <c r="U155" s="48"/>
      <c r="V155" s="48"/>
      <c r="W155" s="48"/>
      <c r="X155" s="48"/>
      <c r="Y155" s="48"/>
      <c r="Z155" s="48"/>
    </row>
    <row r="156" ht="23.25" customHeight="1">
      <c r="A156" s="111" t="str">
        <f>IF(B156="","",VLOOKUP(B156,'Mitglieder BBU'!A:K,6,0))</f>
        <v/>
      </c>
      <c r="B156" s="111"/>
      <c r="C156" s="129"/>
      <c r="D156" s="129"/>
      <c r="E156" s="129"/>
      <c r="F156" s="129"/>
      <c r="G156" s="129"/>
      <c r="H156" s="129"/>
      <c r="I156" s="128">
        <f t="shared" si="1"/>
        <v>0</v>
      </c>
      <c r="J156" s="48"/>
      <c r="K156" s="48"/>
      <c r="L156" s="48"/>
      <c r="M156" s="48"/>
      <c r="N156" s="48"/>
      <c r="O156" s="48"/>
      <c r="P156" s="48"/>
      <c r="Q156" s="48"/>
      <c r="R156" s="48"/>
      <c r="S156" s="48"/>
      <c r="T156" s="48"/>
      <c r="U156" s="48"/>
      <c r="V156" s="48"/>
      <c r="W156" s="48"/>
      <c r="X156" s="48"/>
      <c r="Y156" s="48"/>
      <c r="Z156" s="48"/>
    </row>
    <row r="157" ht="23.25" customHeight="1">
      <c r="A157" s="111" t="str">
        <f>IF(B157="","",VLOOKUP(B157,'Mitglieder BBU'!A:K,6,0))</f>
        <v/>
      </c>
      <c r="B157" s="111"/>
      <c r="C157" s="129"/>
      <c r="D157" s="129"/>
      <c r="E157" s="129"/>
      <c r="F157" s="129"/>
      <c r="G157" s="129"/>
      <c r="H157" s="129"/>
      <c r="I157" s="128">
        <f t="shared" si="1"/>
        <v>0</v>
      </c>
      <c r="J157" s="48"/>
      <c r="K157" s="48"/>
      <c r="L157" s="48"/>
      <c r="M157" s="48"/>
      <c r="N157" s="48"/>
      <c r="O157" s="48"/>
      <c r="P157" s="48"/>
      <c r="Q157" s="48"/>
      <c r="R157" s="48"/>
      <c r="S157" s="48"/>
      <c r="T157" s="48"/>
      <c r="U157" s="48"/>
      <c r="V157" s="48"/>
      <c r="W157" s="48"/>
      <c r="X157" s="48"/>
      <c r="Y157" s="48"/>
      <c r="Z157" s="48"/>
    </row>
    <row r="158" ht="23.25" customHeight="1">
      <c r="A158" s="111" t="str">
        <f>IF(B158="","",VLOOKUP(B158,'Mitglieder BBU'!A:K,6,0))</f>
        <v/>
      </c>
      <c r="B158" s="111"/>
      <c r="C158" s="129"/>
      <c r="D158" s="129"/>
      <c r="E158" s="129"/>
      <c r="F158" s="129"/>
      <c r="G158" s="129"/>
      <c r="H158" s="129"/>
      <c r="I158" s="128">
        <f t="shared" si="1"/>
        <v>0</v>
      </c>
      <c r="J158" s="48"/>
      <c r="K158" s="48"/>
      <c r="L158" s="48"/>
      <c r="M158" s="48"/>
      <c r="N158" s="48"/>
      <c r="O158" s="48"/>
      <c r="P158" s="48"/>
      <c r="Q158" s="48"/>
      <c r="R158" s="48"/>
      <c r="S158" s="48"/>
      <c r="T158" s="48"/>
      <c r="U158" s="48"/>
      <c r="V158" s="48"/>
      <c r="W158" s="48"/>
      <c r="X158" s="48"/>
      <c r="Y158" s="48"/>
      <c r="Z158" s="48"/>
    </row>
    <row r="159" ht="23.25" customHeight="1">
      <c r="A159" s="111" t="str">
        <f>IF(B159="","",VLOOKUP(B159,'Mitglieder BBU'!A:K,6,0))</f>
        <v/>
      </c>
      <c r="B159" s="111"/>
      <c r="C159" s="129"/>
      <c r="D159" s="129"/>
      <c r="E159" s="129"/>
      <c r="F159" s="129"/>
      <c r="G159" s="129"/>
      <c r="H159" s="129"/>
      <c r="I159" s="128">
        <f t="shared" si="1"/>
        <v>0</v>
      </c>
      <c r="J159" s="48"/>
      <c r="K159" s="48"/>
      <c r="L159" s="48"/>
      <c r="M159" s="48"/>
      <c r="N159" s="48"/>
      <c r="O159" s="48"/>
      <c r="P159" s="48"/>
      <c r="Q159" s="48"/>
      <c r="R159" s="48"/>
      <c r="S159" s="48"/>
      <c r="T159" s="48"/>
      <c r="U159" s="48"/>
      <c r="V159" s="48"/>
      <c r="W159" s="48"/>
      <c r="X159" s="48"/>
      <c r="Y159" s="48"/>
      <c r="Z159" s="48"/>
    </row>
    <row r="160" ht="23.25" customHeight="1">
      <c r="A160" s="111" t="str">
        <f>IF(B160="","",VLOOKUP(B160,'Mitglieder BBU'!A:K,6,0))</f>
        <v/>
      </c>
      <c r="B160" s="111"/>
      <c r="C160" s="129"/>
      <c r="D160" s="129"/>
      <c r="E160" s="129"/>
      <c r="F160" s="129"/>
      <c r="G160" s="129"/>
      <c r="H160" s="129"/>
      <c r="I160" s="128">
        <f t="shared" si="1"/>
        <v>0</v>
      </c>
      <c r="J160" s="48"/>
      <c r="K160" s="48"/>
      <c r="L160" s="48"/>
      <c r="M160" s="48"/>
      <c r="N160" s="48"/>
      <c r="O160" s="48"/>
      <c r="P160" s="48"/>
      <c r="Q160" s="48"/>
      <c r="R160" s="48"/>
      <c r="S160" s="48"/>
      <c r="T160" s="48"/>
      <c r="U160" s="48"/>
      <c r="V160" s="48"/>
      <c r="W160" s="48"/>
      <c r="X160" s="48"/>
      <c r="Y160" s="48"/>
      <c r="Z160" s="48"/>
    </row>
    <row r="161" ht="23.25" customHeight="1">
      <c r="A161" s="111" t="str">
        <f>IF(B161="","",VLOOKUP(B161,'Mitglieder BBU'!A:K,6,0))</f>
        <v/>
      </c>
      <c r="B161" s="111"/>
      <c r="C161" s="129"/>
      <c r="D161" s="129"/>
      <c r="E161" s="129"/>
      <c r="F161" s="129"/>
      <c r="G161" s="129"/>
      <c r="H161" s="129"/>
      <c r="I161" s="128">
        <f t="shared" si="1"/>
        <v>0</v>
      </c>
      <c r="J161" s="48"/>
      <c r="K161" s="48"/>
      <c r="L161" s="48"/>
      <c r="M161" s="48"/>
      <c r="N161" s="48"/>
      <c r="O161" s="48"/>
      <c r="P161" s="48"/>
      <c r="Q161" s="48"/>
      <c r="R161" s="48"/>
      <c r="S161" s="48"/>
      <c r="T161" s="48"/>
      <c r="U161" s="48"/>
      <c r="V161" s="48"/>
      <c r="W161" s="48"/>
      <c r="X161" s="48"/>
      <c r="Y161" s="48"/>
      <c r="Z161" s="48"/>
    </row>
    <row r="162" ht="23.25" customHeight="1">
      <c r="A162" s="111" t="str">
        <f>IF(B162="","",VLOOKUP(B162,'Mitglieder BBU'!A:K,6,0))</f>
        <v/>
      </c>
      <c r="B162" s="111"/>
      <c r="C162" s="129"/>
      <c r="D162" s="129"/>
      <c r="E162" s="129"/>
      <c r="F162" s="129"/>
      <c r="G162" s="129"/>
      <c r="H162" s="129"/>
      <c r="I162" s="128">
        <f t="shared" si="1"/>
        <v>0</v>
      </c>
      <c r="J162" s="48"/>
      <c r="K162" s="48"/>
      <c r="L162" s="48"/>
      <c r="M162" s="48"/>
      <c r="N162" s="48"/>
      <c r="O162" s="48"/>
      <c r="P162" s="48"/>
      <c r="Q162" s="48"/>
      <c r="R162" s="48"/>
      <c r="S162" s="48"/>
      <c r="T162" s="48"/>
      <c r="U162" s="48"/>
      <c r="V162" s="48"/>
      <c r="W162" s="48"/>
      <c r="X162" s="48"/>
      <c r="Y162" s="48"/>
      <c r="Z162" s="48"/>
    </row>
    <row r="163" ht="23.25" customHeight="1">
      <c r="A163" s="111" t="str">
        <f>IF(B163="","",VLOOKUP(B163,'Mitglieder BBU'!A:K,6,0))</f>
        <v/>
      </c>
      <c r="B163" s="111"/>
      <c r="C163" s="129"/>
      <c r="D163" s="129"/>
      <c r="E163" s="129"/>
      <c r="F163" s="129"/>
      <c r="G163" s="129"/>
      <c r="H163" s="129"/>
      <c r="I163" s="128">
        <f t="shared" si="1"/>
        <v>0</v>
      </c>
      <c r="J163" s="48"/>
      <c r="K163" s="48"/>
      <c r="L163" s="48"/>
      <c r="M163" s="48"/>
      <c r="N163" s="48"/>
      <c r="O163" s="48"/>
      <c r="P163" s="48"/>
      <c r="Q163" s="48"/>
      <c r="R163" s="48"/>
      <c r="S163" s="48"/>
      <c r="T163" s="48"/>
      <c r="U163" s="48"/>
      <c r="V163" s="48"/>
      <c r="W163" s="48"/>
      <c r="X163" s="48"/>
      <c r="Y163" s="48"/>
      <c r="Z163" s="48"/>
    </row>
    <row r="164" ht="23.25" customHeight="1">
      <c r="A164" s="111" t="str">
        <f>IF(B164="","",VLOOKUP(B164,'Mitglieder BBU'!A:K,6,0))</f>
        <v/>
      </c>
      <c r="B164" s="111"/>
      <c r="C164" s="129"/>
      <c r="D164" s="129"/>
      <c r="E164" s="129"/>
      <c r="F164" s="129"/>
      <c r="G164" s="129"/>
      <c r="H164" s="129"/>
      <c r="I164" s="128">
        <f t="shared" si="1"/>
        <v>0</v>
      </c>
      <c r="J164" s="48"/>
      <c r="K164" s="48"/>
      <c r="L164" s="48"/>
      <c r="M164" s="48"/>
      <c r="N164" s="48"/>
      <c r="O164" s="48"/>
      <c r="P164" s="48"/>
      <c r="Q164" s="48"/>
      <c r="R164" s="48"/>
      <c r="S164" s="48"/>
      <c r="T164" s="48"/>
      <c r="U164" s="48"/>
      <c r="V164" s="48"/>
      <c r="W164" s="48"/>
      <c r="X164" s="48"/>
      <c r="Y164" s="48"/>
      <c r="Z164" s="48"/>
    </row>
    <row r="165" ht="23.25" customHeight="1">
      <c r="A165" s="111" t="str">
        <f>IF(B165="","",VLOOKUP(B165,'Mitglieder BBU'!A:K,6,0))</f>
        <v/>
      </c>
      <c r="B165" s="111"/>
      <c r="C165" s="129"/>
      <c r="D165" s="129"/>
      <c r="E165" s="129"/>
      <c r="F165" s="129"/>
      <c r="G165" s="129"/>
      <c r="H165" s="129"/>
      <c r="I165" s="128">
        <f t="shared" si="1"/>
        <v>0</v>
      </c>
      <c r="J165" s="48"/>
      <c r="K165" s="48"/>
      <c r="L165" s="48"/>
      <c r="M165" s="48"/>
      <c r="N165" s="48"/>
      <c r="O165" s="48"/>
      <c r="P165" s="48"/>
      <c r="Q165" s="48"/>
      <c r="R165" s="48"/>
      <c r="S165" s="48"/>
      <c r="T165" s="48"/>
      <c r="U165" s="48"/>
      <c r="V165" s="48"/>
      <c r="W165" s="48"/>
      <c r="X165" s="48"/>
      <c r="Y165" s="48"/>
      <c r="Z165" s="48"/>
    </row>
    <row r="166" ht="23.25" customHeight="1">
      <c r="A166" s="111" t="str">
        <f>IF(B166="","",VLOOKUP(B166,'Mitglieder BBU'!A:K,6,0))</f>
        <v/>
      </c>
      <c r="B166" s="111"/>
      <c r="C166" s="129"/>
      <c r="D166" s="129"/>
      <c r="E166" s="129"/>
      <c r="F166" s="129"/>
      <c r="G166" s="129"/>
      <c r="H166" s="129"/>
      <c r="I166" s="128">
        <f t="shared" si="1"/>
        <v>0</v>
      </c>
      <c r="J166" s="48"/>
      <c r="K166" s="48"/>
      <c r="L166" s="48"/>
      <c r="M166" s="48"/>
      <c r="N166" s="48"/>
      <c r="O166" s="48"/>
      <c r="P166" s="48"/>
      <c r="Q166" s="48"/>
      <c r="R166" s="48"/>
      <c r="S166" s="48"/>
      <c r="T166" s="48"/>
      <c r="U166" s="48"/>
      <c r="V166" s="48"/>
      <c r="W166" s="48"/>
      <c r="X166" s="48"/>
      <c r="Y166" s="48"/>
      <c r="Z166" s="48"/>
    </row>
    <row r="167" ht="23.25" customHeight="1">
      <c r="A167" s="111" t="str">
        <f>IF(B167="","",VLOOKUP(B167,'Mitglieder BBU'!A:K,6,0))</f>
        <v/>
      </c>
      <c r="B167" s="111"/>
      <c r="C167" s="129"/>
      <c r="D167" s="129"/>
      <c r="E167" s="129"/>
      <c r="F167" s="129"/>
      <c r="G167" s="129"/>
      <c r="H167" s="129"/>
      <c r="I167" s="128">
        <f t="shared" si="1"/>
        <v>0</v>
      </c>
      <c r="J167" s="48"/>
      <c r="K167" s="48"/>
      <c r="L167" s="48"/>
      <c r="M167" s="48"/>
      <c r="N167" s="48"/>
      <c r="O167" s="48"/>
      <c r="P167" s="48"/>
      <c r="Q167" s="48"/>
      <c r="R167" s="48"/>
      <c r="S167" s="48"/>
      <c r="T167" s="48"/>
      <c r="U167" s="48"/>
      <c r="V167" s="48"/>
      <c r="W167" s="48"/>
      <c r="X167" s="48"/>
      <c r="Y167" s="48"/>
      <c r="Z167" s="48"/>
    </row>
    <row r="168" ht="23.25" customHeight="1">
      <c r="A168" s="111" t="str">
        <f>IF(B168="","",VLOOKUP(B168,'Mitglieder BBU'!A:K,6,0))</f>
        <v/>
      </c>
      <c r="B168" s="111"/>
      <c r="C168" s="129"/>
      <c r="D168" s="129"/>
      <c r="E168" s="129"/>
      <c r="F168" s="129"/>
      <c r="G168" s="129"/>
      <c r="H168" s="129"/>
      <c r="I168" s="128">
        <f t="shared" si="1"/>
        <v>0</v>
      </c>
      <c r="J168" s="48"/>
      <c r="K168" s="48"/>
      <c r="L168" s="48"/>
      <c r="M168" s="48"/>
      <c r="N168" s="48"/>
      <c r="O168" s="48"/>
      <c r="P168" s="48"/>
      <c r="Q168" s="48"/>
      <c r="R168" s="48"/>
      <c r="S168" s="48"/>
      <c r="T168" s="48"/>
      <c r="U168" s="48"/>
      <c r="V168" s="48"/>
      <c r="W168" s="48"/>
      <c r="X168" s="48"/>
      <c r="Y168" s="48"/>
      <c r="Z168" s="48"/>
    </row>
    <row r="169" ht="23.25" customHeight="1">
      <c r="A169" s="111" t="str">
        <f>IF(B169="","",VLOOKUP(B169,'Mitglieder BBU'!A:K,6,0))</f>
        <v/>
      </c>
      <c r="B169" s="111"/>
      <c r="C169" s="129"/>
      <c r="D169" s="129"/>
      <c r="E169" s="129"/>
      <c r="F169" s="129"/>
      <c r="G169" s="129"/>
      <c r="H169" s="129"/>
      <c r="I169" s="128">
        <f t="shared" si="1"/>
        <v>0</v>
      </c>
      <c r="J169" s="48"/>
      <c r="K169" s="48"/>
      <c r="L169" s="48"/>
      <c r="M169" s="48"/>
      <c r="N169" s="48"/>
      <c r="O169" s="48"/>
      <c r="P169" s="48"/>
      <c r="Q169" s="48"/>
      <c r="R169" s="48"/>
      <c r="S169" s="48"/>
      <c r="T169" s="48"/>
      <c r="U169" s="48"/>
      <c r="V169" s="48"/>
      <c r="W169" s="48"/>
      <c r="X169" s="48"/>
      <c r="Y169" s="48"/>
      <c r="Z169" s="48"/>
    </row>
    <row r="170" ht="23.25" customHeight="1">
      <c r="A170" s="111" t="str">
        <f>IF(B170="","",VLOOKUP(B170,'Mitglieder BBU'!A:K,6,0))</f>
        <v/>
      </c>
      <c r="B170" s="111"/>
      <c r="C170" s="129"/>
      <c r="D170" s="129"/>
      <c r="E170" s="129"/>
      <c r="F170" s="129"/>
      <c r="G170" s="129"/>
      <c r="H170" s="129"/>
      <c r="I170" s="128">
        <f t="shared" si="1"/>
        <v>0</v>
      </c>
      <c r="J170" s="48"/>
      <c r="K170" s="48"/>
      <c r="L170" s="48"/>
      <c r="M170" s="48"/>
      <c r="N170" s="48"/>
      <c r="O170" s="48"/>
      <c r="P170" s="48"/>
      <c r="Q170" s="48"/>
      <c r="R170" s="48"/>
      <c r="S170" s="48"/>
      <c r="T170" s="48"/>
      <c r="U170" s="48"/>
      <c r="V170" s="48"/>
      <c r="W170" s="48"/>
      <c r="X170" s="48"/>
      <c r="Y170" s="48"/>
      <c r="Z170" s="48"/>
    </row>
    <row r="171" ht="23.25" customHeight="1">
      <c r="A171" s="111" t="str">
        <f>IF(B171="","",VLOOKUP(B171,'Mitglieder BBU'!A:K,6,0))</f>
        <v/>
      </c>
      <c r="B171" s="111"/>
      <c r="C171" s="129"/>
      <c r="D171" s="129"/>
      <c r="E171" s="129"/>
      <c r="F171" s="129"/>
      <c r="G171" s="129"/>
      <c r="H171" s="129"/>
      <c r="I171" s="128">
        <f t="shared" si="1"/>
        <v>0</v>
      </c>
      <c r="J171" s="48"/>
      <c r="K171" s="48"/>
      <c r="L171" s="48"/>
      <c r="M171" s="48"/>
      <c r="N171" s="48"/>
      <c r="O171" s="48"/>
      <c r="P171" s="48"/>
      <c r="Q171" s="48"/>
      <c r="R171" s="48"/>
      <c r="S171" s="48"/>
      <c r="T171" s="48"/>
      <c r="U171" s="48"/>
      <c r="V171" s="48"/>
      <c r="W171" s="48"/>
      <c r="X171" s="48"/>
      <c r="Y171" s="48"/>
      <c r="Z171" s="48"/>
    </row>
    <row r="172" ht="23.25" customHeight="1">
      <c r="A172" s="111" t="str">
        <f>IF(B172="","",VLOOKUP(B172,'Mitglieder BBU'!A:K,6,0))</f>
        <v/>
      </c>
      <c r="B172" s="111"/>
      <c r="C172" s="129"/>
      <c r="D172" s="129"/>
      <c r="E172" s="129"/>
      <c r="F172" s="129"/>
      <c r="G172" s="129"/>
      <c r="H172" s="129"/>
      <c r="I172" s="128">
        <f t="shared" si="1"/>
        <v>0</v>
      </c>
      <c r="J172" s="48"/>
      <c r="K172" s="48"/>
      <c r="L172" s="48"/>
      <c r="M172" s="48"/>
      <c r="N172" s="48"/>
      <c r="O172" s="48"/>
      <c r="P172" s="48"/>
      <c r="Q172" s="48"/>
      <c r="R172" s="48"/>
      <c r="S172" s="48"/>
      <c r="T172" s="48"/>
      <c r="U172" s="48"/>
      <c r="V172" s="48"/>
      <c r="W172" s="48"/>
      <c r="X172" s="48"/>
      <c r="Y172" s="48"/>
      <c r="Z172" s="48"/>
    </row>
    <row r="173" ht="23.25" customHeight="1">
      <c r="A173" s="111" t="str">
        <f>IF(B173="","",VLOOKUP(B173,'Mitglieder BBU'!A:K,6,0))</f>
        <v/>
      </c>
      <c r="B173" s="111"/>
      <c r="C173" s="129"/>
      <c r="D173" s="129"/>
      <c r="E173" s="129"/>
      <c r="F173" s="129"/>
      <c r="G173" s="129"/>
      <c r="H173" s="129"/>
      <c r="I173" s="128">
        <f t="shared" si="1"/>
        <v>0</v>
      </c>
      <c r="J173" s="48"/>
      <c r="K173" s="48"/>
      <c r="L173" s="48"/>
      <c r="M173" s="48"/>
      <c r="N173" s="48"/>
      <c r="O173" s="48"/>
      <c r="P173" s="48"/>
      <c r="Q173" s="48"/>
      <c r="R173" s="48"/>
      <c r="S173" s="48"/>
      <c r="T173" s="48"/>
      <c r="U173" s="48"/>
      <c r="V173" s="48"/>
      <c r="W173" s="48"/>
      <c r="X173" s="48"/>
      <c r="Y173" s="48"/>
      <c r="Z173" s="48"/>
    </row>
    <row r="174" ht="23.25" customHeight="1">
      <c r="A174" s="111" t="str">
        <f>IF(B174="","",VLOOKUP(B174,'Mitglieder BBU'!A:K,6,0))</f>
        <v/>
      </c>
      <c r="B174" s="111"/>
      <c r="C174" s="129"/>
      <c r="D174" s="129"/>
      <c r="E174" s="129"/>
      <c r="F174" s="129"/>
      <c r="G174" s="129"/>
      <c r="H174" s="129"/>
      <c r="I174" s="128">
        <f t="shared" si="1"/>
        <v>0</v>
      </c>
      <c r="J174" s="48"/>
      <c r="K174" s="48"/>
      <c r="L174" s="48"/>
      <c r="M174" s="48"/>
      <c r="N174" s="48"/>
      <c r="O174" s="48"/>
      <c r="P174" s="48"/>
      <c r="Q174" s="48"/>
      <c r="R174" s="48"/>
      <c r="S174" s="48"/>
      <c r="T174" s="48"/>
      <c r="U174" s="48"/>
      <c r="V174" s="48"/>
      <c r="W174" s="48"/>
      <c r="X174" s="48"/>
      <c r="Y174" s="48"/>
      <c r="Z174" s="48"/>
    </row>
    <row r="175" ht="23.25" customHeight="1">
      <c r="A175" s="111" t="str">
        <f>IF(B175="","",VLOOKUP(B175,'Mitglieder BBU'!A:K,6,0))</f>
        <v/>
      </c>
      <c r="B175" s="111"/>
      <c r="C175" s="129"/>
      <c r="D175" s="129"/>
      <c r="E175" s="129"/>
      <c r="F175" s="129"/>
      <c r="G175" s="129"/>
      <c r="H175" s="129"/>
      <c r="I175" s="128">
        <f t="shared" si="1"/>
        <v>0</v>
      </c>
      <c r="J175" s="48"/>
      <c r="K175" s="48"/>
      <c r="L175" s="48"/>
      <c r="M175" s="48"/>
      <c r="N175" s="48"/>
      <c r="O175" s="48"/>
      <c r="P175" s="48"/>
      <c r="Q175" s="48"/>
      <c r="R175" s="48"/>
      <c r="S175" s="48"/>
      <c r="T175" s="48"/>
      <c r="U175" s="48"/>
      <c r="V175" s="48"/>
      <c r="W175" s="48"/>
      <c r="X175" s="48"/>
      <c r="Y175" s="48"/>
      <c r="Z175" s="48"/>
    </row>
    <row r="176" ht="23.25" customHeight="1">
      <c r="A176" s="111" t="str">
        <f>IF(B176="","",VLOOKUP(B176,'Mitglieder BBU'!A:K,6,0))</f>
        <v/>
      </c>
      <c r="B176" s="111"/>
      <c r="C176" s="129"/>
      <c r="D176" s="129"/>
      <c r="E176" s="129"/>
      <c r="F176" s="129"/>
      <c r="G176" s="129"/>
      <c r="H176" s="129"/>
      <c r="I176" s="128">
        <f t="shared" si="1"/>
        <v>0</v>
      </c>
      <c r="J176" s="48"/>
      <c r="K176" s="48"/>
      <c r="L176" s="48"/>
      <c r="M176" s="48"/>
      <c r="N176" s="48"/>
      <c r="O176" s="48"/>
      <c r="P176" s="48"/>
      <c r="Q176" s="48"/>
      <c r="R176" s="48"/>
      <c r="S176" s="48"/>
      <c r="T176" s="48"/>
      <c r="U176" s="48"/>
      <c r="V176" s="48"/>
      <c r="W176" s="48"/>
      <c r="X176" s="48"/>
      <c r="Y176" s="48"/>
      <c r="Z176" s="48"/>
    </row>
    <row r="177" ht="23.25" customHeight="1">
      <c r="A177" s="111" t="str">
        <f>IF(B177="","",VLOOKUP(B177,'Mitglieder BBU'!A:K,6,0))</f>
        <v/>
      </c>
      <c r="B177" s="111"/>
      <c r="C177" s="129"/>
      <c r="D177" s="129"/>
      <c r="E177" s="129"/>
      <c r="F177" s="129"/>
      <c r="G177" s="129"/>
      <c r="H177" s="129"/>
      <c r="I177" s="128">
        <f t="shared" si="1"/>
        <v>0</v>
      </c>
      <c r="J177" s="48"/>
      <c r="K177" s="48"/>
      <c r="L177" s="48"/>
      <c r="M177" s="48"/>
      <c r="N177" s="48"/>
      <c r="O177" s="48"/>
      <c r="P177" s="48"/>
      <c r="Q177" s="48"/>
      <c r="R177" s="48"/>
      <c r="S177" s="48"/>
      <c r="T177" s="48"/>
      <c r="U177" s="48"/>
      <c r="V177" s="48"/>
      <c r="W177" s="48"/>
      <c r="X177" s="48"/>
      <c r="Y177" s="48"/>
      <c r="Z177" s="48"/>
    </row>
    <row r="178" ht="23.25" customHeight="1">
      <c r="A178" s="111" t="str">
        <f>IF(B178="","",VLOOKUP(B178,'Mitglieder BBU'!A:K,6,0))</f>
        <v/>
      </c>
      <c r="B178" s="111"/>
      <c r="C178" s="129"/>
      <c r="D178" s="129"/>
      <c r="E178" s="129"/>
      <c r="F178" s="129"/>
      <c r="G178" s="129"/>
      <c r="H178" s="129"/>
      <c r="I178" s="128">
        <f t="shared" si="1"/>
        <v>0</v>
      </c>
      <c r="J178" s="48"/>
      <c r="K178" s="48"/>
      <c r="L178" s="48"/>
      <c r="M178" s="48"/>
      <c r="N178" s="48"/>
      <c r="O178" s="48"/>
      <c r="P178" s="48"/>
      <c r="Q178" s="48"/>
      <c r="R178" s="48"/>
      <c r="S178" s="48"/>
      <c r="T178" s="48"/>
      <c r="U178" s="48"/>
      <c r="V178" s="48"/>
      <c r="W178" s="48"/>
      <c r="X178" s="48"/>
      <c r="Y178" s="48"/>
      <c r="Z178" s="48"/>
    </row>
    <row r="179" ht="23.25" customHeight="1">
      <c r="A179" s="111" t="str">
        <f>IF(B179="","",VLOOKUP(B179,'Mitglieder BBU'!A:K,6,0))</f>
        <v/>
      </c>
      <c r="B179" s="111"/>
      <c r="C179" s="129"/>
      <c r="D179" s="129"/>
      <c r="E179" s="129"/>
      <c r="F179" s="129"/>
      <c r="G179" s="129"/>
      <c r="H179" s="129"/>
      <c r="I179" s="128">
        <f t="shared" si="1"/>
        <v>0</v>
      </c>
      <c r="J179" s="48"/>
      <c r="K179" s="48"/>
      <c r="L179" s="48"/>
      <c r="M179" s="48"/>
      <c r="N179" s="48"/>
      <c r="O179" s="48"/>
      <c r="P179" s="48"/>
      <c r="Q179" s="48"/>
      <c r="R179" s="48"/>
      <c r="S179" s="48"/>
      <c r="T179" s="48"/>
      <c r="U179" s="48"/>
      <c r="V179" s="48"/>
      <c r="W179" s="48"/>
      <c r="X179" s="48"/>
      <c r="Y179" s="48"/>
      <c r="Z179" s="48"/>
    </row>
    <row r="180" ht="23.25" customHeight="1">
      <c r="A180" s="111" t="str">
        <f>IF(B180="","",VLOOKUP(B180,'Mitglieder BBU'!A:K,6,0))</f>
        <v/>
      </c>
      <c r="B180" s="111"/>
      <c r="C180" s="129"/>
      <c r="D180" s="129"/>
      <c r="E180" s="129"/>
      <c r="F180" s="129"/>
      <c r="G180" s="129"/>
      <c r="H180" s="129"/>
      <c r="I180" s="128">
        <f t="shared" si="1"/>
        <v>0</v>
      </c>
      <c r="J180" s="48"/>
      <c r="K180" s="48"/>
      <c r="L180" s="48"/>
      <c r="M180" s="48"/>
      <c r="N180" s="48"/>
      <c r="O180" s="48"/>
      <c r="P180" s="48"/>
      <c r="Q180" s="48"/>
      <c r="R180" s="48"/>
      <c r="S180" s="48"/>
      <c r="T180" s="48"/>
      <c r="U180" s="48"/>
      <c r="V180" s="48"/>
      <c r="W180" s="48"/>
      <c r="X180" s="48"/>
      <c r="Y180" s="48"/>
      <c r="Z180" s="48"/>
    </row>
    <row r="181" ht="23.25" customHeight="1">
      <c r="A181" s="111" t="str">
        <f>IF(B181="","",VLOOKUP(B181,'Mitglieder BBU'!A:K,6,0))</f>
        <v/>
      </c>
      <c r="B181" s="111"/>
      <c r="C181" s="129"/>
      <c r="D181" s="129"/>
      <c r="E181" s="129"/>
      <c r="F181" s="129"/>
      <c r="G181" s="129"/>
      <c r="H181" s="129"/>
      <c r="I181" s="128">
        <f t="shared" si="1"/>
        <v>0</v>
      </c>
      <c r="J181" s="48"/>
      <c r="K181" s="48"/>
      <c r="L181" s="48"/>
      <c r="M181" s="48"/>
      <c r="N181" s="48"/>
      <c r="O181" s="48"/>
      <c r="P181" s="48"/>
      <c r="Q181" s="48"/>
      <c r="R181" s="48"/>
      <c r="S181" s="48"/>
      <c r="T181" s="48"/>
      <c r="U181" s="48"/>
      <c r="V181" s="48"/>
      <c r="W181" s="48"/>
      <c r="X181" s="48"/>
      <c r="Y181" s="48"/>
      <c r="Z181" s="48"/>
    </row>
    <row r="182" ht="23.25" customHeight="1">
      <c r="A182" s="111" t="str">
        <f>IF(B182="","",VLOOKUP(B182,'Mitglieder BBU'!A:K,6,0))</f>
        <v/>
      </c>
      <c r="B182" s="111"/>
      <c r="C182" s="129"/>
      <c r="D182" s="129"/>
      <c r="E182" s="129"/>
      <c r="F182" s="129"/>
      <c r="G182" s="129"/>
      <c r="H182" s="129"/>
      <c r="I182" s="128">
        <f t="shared" si="1"/>
        <v>0</v>
      </c>
      <c r="J182" s="48"/>
      <c r="K182" s="48"/>
      <c r="L182" s="48"/>
      <c r="M182" s="48"/>
      <c r="N182" s="48"/>
      <c r="O182" s="48"/>
      <c r="P182" s="48"/>
      <c r="Q182" s="48"/>
      <c r="R182" s="48"/>
      <c r="S182" s="48"/>
      <c r="T182" s="48"/>
      <c r="U182" s="48"/>
      <c r="V182" s="48"/>
      <c r="W182" s="48"/>
      <c r="X182" s="48"/>
      <c r="Y182" s="48"/>
      <c r="Z182" s="48"/>
    </row>
    <row r="183" ht="23.25" customHeight="1">
      <c r="A183" s="111" t="str">
        <f>IF(B183="","",VLOOKUP(B183,'Mitglieder BBU'!A:K,6,0))</f>
        <v/>
      </c>
      <c r="B183" s="111"/>
      <c r="C183" s="129"/>
      <c r="D183" s="129"/>
      <c r="E183" s="129"/>
      <c r="F183" s="129"/>
      <c r="G183" s="129"/>
      <c r="H183" s="129"/>
      <c r="I183" s="128">
        <f t="shared" si="1"/>
        <v>0</v>
      </c>
      <c r="J183" s="48"/>
      <c r="K183" s="48"/>
      <c r="L183" s="48"/>
      <c r="M183" s="48"/>
      <c r="N183" s="48"/>
      <c r="O183" s="48"/>
      <c r="P183" s="48"/>
      <c r="Q183" s="48"/>
      <c r="R183" s="48"/>
      <c r="S183" s="48"/>
      <c r="T183" s="48"/>
      <c r="U183" s="48"/>
      <c r="V183" s="48"/>
      <c r="W183" s="48"/>
      <c r="X183" s="48"/>
      <c r="Y183" s="48"/>
      <c r="Z183" s="48"/>
    </row>
    <row r="184" ht="23.25" customHeight="1">
      <c r="A184" s="111" t="str">
        <f>IF(B184="","",VLOOKUP(B184,'Mitglieder BBU'!A:K,6,0))</f>
        <v/>
      </c>
      <c r="B184" s="111"/>
      <c r="C184" s="129"/>
      <c r="D184" s="129"/>
      <c r="E184" s="129"/>
      <c r="F184" s="129"/>
      <c r="G184" s="129"/>
      <c r="H184" s="129"/>
      <c r="I184" s="128">
        <f t="shared" si="1"/>
        <v>0</v>
      </c>
      <c r="J184" s="48"/>
      <c r="K184" s="48"/>
      <c r="L184" s="48"/>
      <c r="M184" s="48"/>
      <c r="N184" s="48"/>
      <c r="O184" s="48"/>
      <c r="P184" s="48"/>
      <c r="Q184" s="48"/>
      <c r="R184" s="48"/>
      <c r="S184" s="48"/>
      <c r="T184" s="48"/>
      <c r="U184" s="48"/>
      <c r="V184" s="48"/>
      <c r="W184" s="48"/>
      <c r="X184" s="48"/>
      <c r="Y184" s="48"/>
      <c r="Z184" s="48"/>
    </row>
    <row r="185" ht="23.25" customHeight="1">
      <c r="A185" s="111" t="str">
        <f>IF(B185="","",VLOOKUP(B185,'Mitglieder BBU'!A:K,6,0))</f>
        <v/>
      </c>
      <c r="B185" s="111"/>
      <c r="C185" s="129"/>
      <c r="D185" s="129"/>
      <c r="E185" s="129"/>
      <c r="F185" s="129"/>
      <c r="G185" s="129"/>
      <c r="H185" s="129"/>
      <c r="I185" s="128">
        <f t="shared" si="1"/>
        <v>0</v>
      </c>
      <c r="J185" s="48"/>
      <c r="K185" s="48"/>
      <c r="L185" s="48"/>
      <c r="M185" s="48"/>
      <c r="N185" s="48"/>
      <c r="O185" s="48"/>
      <c r="P185" s="48"/>
      <c r="Q185" s="48"/>
      <c r="R185" s="48"/>
      <c r="S185" s="48"/>
      <c r="T185" s="48"/>
      <c r="U185" s="48"/>
      <c r="V185" s="48"/>
      <c r="W185" s="48"/>
      <c r="X185" s="48"/>
      <c r="Y185" s="48"/>
      <c r="Z185" s="48"/>
    </row>
    <row r="186" ht="23.25" customHeight="1">
      <c r="A186" s="111" t="str">
        <f>IF(B186="","",VLOOKUP(B186,'Mitglieder BBU'!A:K,6,0))</f>
        <v/>
      </c>
      <c r="B186" s="111"/>
      <c r="C186" s="129"/>
      <c r="D186" s="129"/>
      <c r="E186" s="129"/>
      <c r="F186" s="129"/>
      <c r="G186" s="129"/>
      <c r="H186" s="129"/>
      <c r="I186" s="128">
        <f t="shared" si="1"/>
        <v>0</v>
      </c>
      <c r="J186" s="48"/>
      <c r="K186" s="48"/>
      <c r="L186" s="48"/>
      <c r="M186" s="48"/>
      <c r="N186" s="48"/>
      <c r="O186" s="48"/>
      <c r="P186" s="48"/>
      <c r="Q186" s="48"/>
      <c r="R186" s="48"/>
      <c r="S186" s="48"/>
      <c r="T186" s="48"/>
      <c r="U186" s="48"/>
      <c r="V186" s="48"/>
      <c r="W186" s="48"/>
      <c r="X186" s="48"/>
      <c r="Y186" s="48"/>
      <c r="Z186" s="48"/>
    </row>
    <row r="187" ht="23.25" customHeight="1">
      <c r="A187" s="111" t="str">
        <f>IF(B187="","",VLOOKUP(B187,'Mitglieder BBU'!A:K,6,0))</f>
        <v/>
      </c>
      <c r="B187" s="111"/>
      <c r="C187" s="129"/>
      <c r="D187" s="129"/>
      <c r="E187" s="129"/>
      <c r="F187" s="129"/>
      <c r="G187" s="129"/>
      <c r="H187" s="129"/>
      <c r="I187" s="128">
        <f t="shared" si="1"/>
        <v>0</v>
      </c>
      <c r="J187" s="48"/>
      <c r="K187" s="48"/>
      <c r="L187" s="48"/>
      <c r="M187" s="48"/>
      <c r="N187" s="48"/>
      <c r="O187" s="48"/>
      <c r="P187" s="48"/>
      <c r="Q187" s="48"/>
      <c r="R187" s="48"/>
      <c r="S187" s="48"/>
      <c r="T187" s="48"/>
      <c r="U187" s="48"/>
      <c r="V187" s="48"/>
      <c r="W187" s="48"/>
      <c r="X187" s="48"/>
      <c r="Y187" s="48"/>
      <c r="Z187" s="48"/>
    </row>
    <row r="188" ht="23.25" customHeight="1">
      <c r="A188" s="111" t="str">
        <f>IF(B188="","",VLOOKUP(B188,'Mitglieder BBU'!A:K,6,0))</f>
        <v/>
      </c>
      <c r="B188" s="111"/>
      <c r="C188" s="129"/>
      <c r="D188" s="129"/>
      <c r="E188" s="129"/>
      <c r="F188" s="129"/>
      <c r="G188" s="129"/>
      <c r="H188" s="129"/>
      <c r="I188" s="128">
        <f t="shared" si="1"/>
        <v>0</v>
      </c>
      <c r="J188" s="48"/>
      <c r="K188" s="48"/>
      <c r="L188" s="48"/>
      <c r="M188" s="48"/>
      <c r="N188" s="48"/>
      <c r="O188" s="48"/>
      <c r="P188" s="48"/>
      <c r="Q188" s="48"/>
      <c r="R188" s="48"/>
      <c r="S188" s="48"/>
      <c r="T188" s="48"/>
      <c r="U188" s="48"/>
      <c r="V188" s="48"/>
      <c r="W188" s="48"/>
      <c r="X188" s="48"/>
      <c r="Y188" s="48"/>
      <c r="Z188" s="48"/>
    </row>
    <row r="189" ht="23.25" customHeight="1">
      <c r="A189" s="111" t="str">
        <f>IF(B189="","",VLOOKUP(B189,'Mitglieder BBU'!A:K,6,0))</f>
        <v/>
      </c>
      <c r="B189" s="111"/>
      <c r="C189" s="129"/>
      <c r="D189" s="129"/>
      <c r="E189" s="129"/>
      <c r="F189" s="129"/>
      <c r="G189" s="129"/>
      <c r="H189" s="129"/>
      <c r="I189" s="128">
        <f t="shared" si="1"/>
        <v>0</v>
      </c>
      <c r="J189" s="48"/>
      <c r="K189" s="48"/>
      <c r="L189" s="48"/>
      <c r="M189" s="48"/>
      <c r="N189" s="48"/>
      <c r="O189" s="48"/>
      <c r="P189" s="48"/>
      <c r="Q189" s="48"/>
      <c r="R189" s="48"/>
      <c r="S189" s="48"/>
      <c r="T189" s="48"/>
      <c r="U189" s="48"/>
      <c r="V189" s="48"/>
      <c r="W189" s="48"/>
      <c r="X189" s="48"/>
      <c r="Y189" s="48"/>
      <c r="Z189" s="48"/>
    </row>
    <row r="190" ht="23.25" customHeight="1">
      <c r="A190" s="111" t="str">
        <f>IF(B190="","",VLOOKUP(B190,'Mitglieder BBU'!A:K,6,0))</f>
        <v/>
      </c>
      <c r="B190" s="111"/>
      <c r="C190" s="129"/>
      <c r="D190" s="129"/>
      <c r="E190" s="129"/>
      <c r="F190" s="129"/>
      <c r="G190" s="129"/>
      <c r="H190" s="129"/>
      <c r="I190" s="128">
        <f t="shared" si="1"/>
        <v>0</v>
      </c>
      <c r="J190" s="48"/>
      <c r="K190" s="48"/>
      <c r="L190" s="48"/>
      <c r="M190" s="48"/>
      <c r="N190" s="48"/>
      <c r="O190" s="48"/>
      <c r="P190" s="48"/>
      <c r="Q190" s="48"/>
      <c r="R190" s="48"/>
      <c r="S190" s="48"/>
      <c r="T190" s="48"/>
      <c r="U190" s="48"/>
      <c r="V190" s="48"/>
      <c r="W190" s="48"/>
      <c r="X190" s="48"/>
      <c r="Y190" s="48"/>
      <c r="Z190" s="48"/>
    </row>
    <row r="191" ht="23.25" customHeight="1">
      <c r="A191" s="111" t="str">
        <f>IF(B191="","",VLOOKUP(B191,'Mitglieder BBU'!A:K,6,0))</f>
        <v/>
      </c>
      <c r="B191" s="111"/>
      <c r="C191" s="129"/>
      <c r="D191" s="129"/>
      <c r="E191" s="129"/>
      <c r="F191" s="129"/>
      <c r="G191" s="129"/>
      <c r="H191" s="129"/>
      <c r="I191" s="128">
        <f t="shared" si="1"/>
        <v>0</v>
      </c>
      <c r="J191" s="48"/>
      <c r="K191" s="48"/>
      <c r="L191" s="48"/>
      <c r="M191" s="48"/>
      <c r="N191" s="48"/>
      <c r="O191" s="48"/>
      <c r="P191" s="48"/>
      <c r="Q191" s="48"/>
      <c r="R191" s="48"/>
      <c r="S191" s="48"/>
      <c r="T191" s="48"/>
      <c r="U191" s="48"/>
      <c r="V191" s="48"/>
      <c r="W191" s="48"/>
      <c r="X191" s="48"/>
      <c r="Y191" s="48"/>
      <c r="Z191" s="48"/>
    </row>
    <row r="192" ht="23.25" customHeight="1">
      <c r="A192" s="111" t="str">
        <f>IF(B192="","",VLOOKUP(B192,'Mitglieder BBU'!A:K,6,0))</f>
        <v/>
      </c>
      <c r="B192" s="111"/>
      <c r="C192" s="129"/>
      <c r="D192" s="129"/>
      <c r="E192" s="129"/>
      <c r="F192" s="129"/>
      <c r="G192" s="129"/>
      <c r="H192" s="129"/>
      <c r="I192" s="128">
        <f t="shared" si="1"/>
        <v>0</v>
      </c>
      <c r="J192" s="48"/>
      <c r="K192" s="48"/>
      <c r="L192" s="48"/>
      <c r="M192" s="48"/>
      <c r="N192" s="48"/>
      <c r="O192" s="48"/>
      <c r="P192" s="48"/>
      <c r="Q192" s="48"/>
      <c r="R192" s="48"/>
      <c r="S192" s="48"/>
      <c r="T192" s="48"/>
      <c r="U192" s="48"/>
      <c r="V192" s="48"/>
      <c r="W192" s="48"/>
      <c r="X192" s="48"/>
      <c r="Y192" s="48"/>
      <c r="Z192" s="48"/>
    </row>
    <row r="193" ht="23.25" customHeight="1">
      <c r="A193" s="111" t="str">
        <f>IF(B193="","",VLOOKUP(B193,'Mitglieder BBU'!A:K,6,0))</f>
        <v/>
      </c>
      <c r="B193" s="111"/>
      <c r="C193" s="129"/>
      <c r="D193" s="129"/>
      <c r="E193" s="129"/>
      <c r="F193" s="129"/>
      <c r="G193" s="129"/>
      <c r="H193" s="129"/>
      <c r="I193" s="128">
        <f t="shared" si="1"/>
        <v>0</v>
      </c>
      <c r="J193" s="48"/>
      <c r="K193" s="48"/>
      <c r="L193" s="48"/>
      <c r="M193" s="48"/>
      <c r="N193" s="48"/>
      <c r="O193" s="48"/>
      <c r="P193" s="48"/>
      <c r="Q193" s="48"/>
      <c r="R193" s="48"/>
      <c r="S193" s="48"/>
      <c r="T193" s="48"/>
      <c r="U193" s="48"/>
      <c r="V193" s="48"/>
      <c r="W193" s="48"/>
      <c r="X193" s="48"/>
      <c r="Y193" s="48"/>
      <c r="Z193" s="48"/>
    </row>
    <row r="194" ht="23.25" customHeight="1">
      <c r="A194" s="111" t="str">
        <f>IF(B194="","",VLOOKUP(B194,'Mitglieder BBU'!A:K,6,0))</f>
        <v/>
      </c>
      <c r="B194" s="111"/>
      <c r="C194" s="129"/>
      <c r="D194" s="129"/>
      <c r="E194" s="129"/>
      <c r="F194" s="129"/>
      <c r="G194" s="129"/>
      <c r="H194" s="129"/>
      <c r="I194" s="128">
        <f t="shared" si="1"/>
        <v>0</v>
      </c>
      <c r="J194" s="48"/>
      <c r="K194" s="48"/>
      <c r="L194" s="48"/>
      <c r="M194" s="48"/>
      <c r="N194" s="48"/>
      <c r="O194" s="48"/>
      <c r="P194" s="48"/>
      <c r="Q194" s="48"/>
      <c r="R194" s="48"/>
      <c r="S194" s="48"/>
      <c r="T194" s="48"/>
      <c r="U194" s="48"/>
      <c r="V194" s="48"/>
      <c r="W194" s="48"/>
      <c r="X194" s="48"/>
      <c r="Y194" s="48"/>
      <c r="Z194" s="48"/>
    </row>
    <row r="195" ht="23.25" customHeight="1">
      <c r="A195" s="111" t="str">
        <f>IF(B195="","",VLOOKUP(B195,'Mitglieder BBU'!A:K,6,0))</f>
        <v/>
      </c>
      <c r="B195" s="111"/>
      <c r="C195" s="129"/>
      <c r="D195" s="129"/>
      <c r="E195" s="129"/>
      <c r="F195" s="129"/>
      <c r="G195" s="129"/>
      <c r="H195" s="129"/>
      <c r="I195" s="128">
        <f t="shared" si="1"/>
        <v>0</v>
      </c>
      <c r="J195" s="48"/>
      <c r="K195" s="48"/>
      <c r="L195" s="48"/>
      <c r="M195" s="48"/>
      <c r="N195" s="48"/>
      <c r="O195" s="48"/>
      <c r="P195" s="48"/>
      <c r="Q195" s="48"/>
      <c r="R195" s="48"/>
      <c r="S195" s="48"/>
      <c r="T195" s="48"/>
      <c r="U195" s="48"/>
      <c r="V195" s="48"/>
      <c r="W195" s="48"/>
      <c r="X195" s="48"/>
      <c r="Y195" s="48"/>
      <c r="Z195" s="48"/>
    </row>
    <row r="196" ht="23.25" customHeight="1">
      <c r="A196" s="111" t="str">
        <f>IF(B196="","",VLOOKUP(B196,'Mitglieder BBU'!A:K,6,0))</f>
        <v/>
      </c>
      <c r="B196" s="111"/>
      <c r="C196" s="129"/>
      <c r="D196" s="129"/>
      <c r="E196" s="129"/>
      <c r="F196" s="129"/>
      <c r="G196" s="129"/>
      <c r="H196" s="129"/>
      <c r="I196" s="128">
        <f t="shared" si="1"/>
        <v>0</v>
      </c>
      <c r="J196" s="48"/>
      <c r="K196" s="48"/>
      <c r="L196" s="48"/>
      <c r="M196" s="48"/>
      <c r="N196" s="48"/>
      <c r="O196" s="48"/>
      <c r="P196" s="48"/>
      <c r="Q196" s="48"/>
      <c r="R196" s="48"/>
      <c r="S196" s="48"/>
      <c r="T196" s="48"/>
      <c r="U196" s="48"/>
      <c r="V196" s="48"/>
      <c r="W196" s="48"/>
      <c r="X196" s="48"/>
      <c r="Y196" s="48"/>
      <c r="Z196" s="48"/>
    </row>
    <row r="197" ht="23.25" customHeight="1">
      <c r="A197" s="111" t="str">
        <f>IF(B197="","",VLOOKUP(B197,'Mitglieder BBU'!A:K,6,0))</f>
        <v/>
      </c>
      <c r="B197" s="111"/>
      <c r="C197" s="129"/>
      <c r="D197" s="129"/>
      <c r="E197" s="129"/>
      <c r="F197" s="129"/>
      <c r="G197" s="129"/>
      <c r="H197" s="129"/>
      <c r="I197" s="128">
        <f t="shared" si="1"/>
        <v>0</v>
      </c>
      <c r="J197" s="48"/>
      <c r="K197" s="48"/>
      <c r="L197" s="48"/>
      <c r="M197" s="48"/>
      <c r="N197" s="48"/>
      <c r="O197" s="48"/>
      <c r="P197" s="48"/>
      <c r="Q197" s="48"/>
      <c r="R197" s="48"/>
      <c r="S197" s="48"/>
      <c r="T197" s="48"/>
      <c r="U197" s="48"/>
      <c r="V197" s="48"/>
      <c r="W197" s="48"/>
      <c r="X197" s="48"/>
      <c r="Y197" s="48"/>
      <c r="Z197" s="48"/>
    </row>
    <row r="198" ht="23.25" customHeight="1">
      <c r="A198" s="111" t="str">
        <f>IF(B198="","",VLOOKUP(B198,'Mitglieder BBU'!A:K,6,0))</f>
        <v/>
      </c>
      <c r="B198" s="111"/>
      <c r="C198" s="129"/>
      <c r="D198" s="129"/>
      <c r="E198" s="129"/>
      <c r="F198" s="129"/>
      <c r="G198" s="129"/>
      <c r="H198" s="129"/>
      <c r="I198" s="128">
        <f t="shared" si="1"/>
        <v>0</v>
      </c>
      <c r="J198" s="48"/>
      <c r="K198" s="48"/>
      <c r="L198" s="48"/>
      <c r="M198" s="48"/>
      <c r="N198" s="48"/>
      <c r="O198" s="48"/>
      <c r="P198" s="48"/>
      <c r="Q198" s="48"/>
      <c r="R198" s="48"/>
      <c r="S198" s="48"/>
      <c r="T198" s="48"/>
      <c r="U198" s="48"/>
      <c r="V198" s="48"/>
      <c r="W198" s="48"/>
      <c r="X198" s="48"/>
      <c r="Y198" s="48"/>
      <c r="Z198" s="48"/>
    </row>
    <row r="199" ht="23.25" customHeight="1">
      <c r="A199" s="111" t="str">
        <f>IF(B199="","",VLOOKUP(B199,'Mitglieder BBU'!A:K,6,0))</f>
        <v/>
      </c>
      <c r="B199" s="111"/>
      <c r="C199" s="129"/>
      <c r="D199" s="129"/>
      <c r="E199" s="129"/>
      <c r="F199" s="129"/>
      <c r="G199" s="129"/>
      <c r="H199" s="129"/>
      <c r="I199" s="128">
        <f t="shared" si="1"/>
        <v>0</v>
      </c>
      <c r="J199" s="48"/>
      <c r="K199" s="48"/>
      <c r="L199" s="48"/>
      <c r="M199" s="48"/>
      <c r="N199" s="48"/>
      <c r="O199" s="48"/>
      <c r="P199" s="48"/>
      <c r="Q199" s="48"/>
      <c r="R199" s="48"/>
      <c r="S199" s="48"/>
      <c r="T199" s="48"/>
      <c r="U199" s="48"/>
      <c r="V199" s="48"/>
      <c r="W199" s="48"/>
      <c r="X199" s="48"/>
      <c r="Y199" s="48"/>
      <c r="Z199" s="48"/>
    </row>
    <row r="200" ht="23.25" customHeight="1">
      <c r="A200" s="111" t="str">
        <f>IF(B200="","",VLOOKUP(B200,'Mitglieder BBU'!A:K,6,0))</f>
        <v/>
      </c>
      <c r="B200" s="111"/>
      <c r="C200" s="129"/>
      <c r="D200" s="129"/>
      <c r="E200" s="129"/>
      <c r="F200" s="129"/>
      <c r="G200" s="129"/>
      <c r="H200" s="129"/>
      <c r="I200" s="128">
        <f t="shared" si="1"/>
        <v>0</v>
      </c>
      <c r="J200" s="48"/>
      <c r="K200" s="48"/>
      <c r="L200" s="48"/>
      <c r="M200" s="48"/>
      <c r="N200" s="48"/>
      <c r="O200" s="48"/>
      <c r="P200" s="48"/>
      <c r="Q200" s="48"/>
      <c r="R200" s="48"/>
      <c r="S200" s="48"/>
      <c r="T200" s="48"/>
      <c r="U200" s="48"/>
      <c r="V200" s="48"/>
      <c r="W200" s="48"/>
      <c r="X200" s="48"/>
      <c r="Y200" s="48"/>
      <c r="Z200" s="48"/>
    </row>
    <row r="201" ht="23.25" customHeight="1">
      <c r="A201" s="111" t="str">
        <f>IF(B201="","",VLOOKUP(B201,'Mitglieder BBU'!A:K,6,0))</f>
        <v/>
      </c>
      <c r="B201" s="111"/>
      <c r="C201" s="129"/>
      <c r="D201" s="129"/>
      <c r="E201" s="129"/>
      <c r="F201" s="129"/>
      <c r="G201" s="129"/>
      <c r="H201" s="129"/>
      <c r="I201" s="128">
        <f t="shared" si="1"/>
        <v>0</v>
      </c>
      <c r="J201" s="48"/>
      <c r="K201" s="48"/>
      <c r="L201" s="48"/>
      <c r="M201" s="48"/>
      <c r="N201" s="48"/>
      <c r="O201" s="48"/>
      <c r="P201" s="48"/>
      <c r="Q201" s="48"/>
      <c r="R201" s="48"/>
      <c r="S201" s="48"/>
      <c r="T201" s="48"/>
      <c r="U201" s="48"/>
      <c r="V201" s="48"/>
      <c r="W201" s="48"/>
      <c r="X201" s="48"/>
      <c r="Y201" s="48"/>
      <c r="Z201" s="48"/>
    </row>
    <row r="202" ht="23.25" customHeight="1">
      <c r="A202" s="111" t="str">
        <f>IF(B202="","",VLOOKUP(B202,'Mitglieder BBU'!A:K,6,0))</f>
        <v/>
      </c>
      <c r="B202" s="111"/>
      <c r="C202" s="129"/>
      <c r="D202" s="129"/>
      <c r="E202" s="129"/>
      <c r="F202" s="129"/>
      <c r="G202" s="129"/>
      <c r="H202" s="129"/>
      <c r="I202" s="128">
        <f t="shared" si="1"/>
        <v>0</v>
      </c>
      <c r="J202" s="48"/>
      <c r="K202" s="48"/>
      <c r="L202" s="48"/>
      <c r="M202" s="48"/>
      <c r="N202" s="48"/>
      <c r="O202" s="48"/>
      <c r="P202" s="48"/>
      <c r="Q202" s="48"/>
      <c r="R202" s="48"/>
      <c r="S202" s="48"/>
      <c r="T202" s="48"/>
      <c r="U202" s="48"/>
      <c r="V202" s="48"/>
      <c r="W202" s="48"/>
      <c r="X202" s="48"/>
      <c r="Y202" s="48"/>
      <c r="Z202" s="48"/>
    </row>
    <row r="203" ht="23.25" customHeight="1">
      <c r="A203" s="111" t="str">
        <f>IF(B203="","",VLOOKUP(B203,'Mitglieder BBU'!A:K,6,0))</f>
        <v/>
      </c>
      <c r="B203" s="118"/>
      <c r="C203" s="129"/>
      <c r="D203" s="129"/>
      <c r="E203" s="129"/>
      <c r="F203" s="129"/>
      <c r="G203" s="129"/>
      <c r="H203" s="129"/>
      <c r="I203" s="128">
        <f t="shared" si="1"/>
        <v>0</v>
      </c>
      <c r="J203" s="48"/>
      <c r="K203" s="48"/>
      <c r="L203" s="48"/>
      <c r="M203" s="48"/>
      <c r="N203" s="48"/>
      <c r="O203" s="48"/>
      <c r="P203" s="48"/>
      <c r="Q203" s="48"/>
      <c r="R203" s="48"/>
      <c r="S203" s="48"/>
      <c r="T203" s="48"/>
      <c r="U203" s="48"/>
      <c r="V203" s="48"/>
      <c r="W203" s="48"/>
      <c r="X203" s="48"/>
      <c r="Y203" s="48"/>
      <c r="Z203" s="48"/>
    </row>
    <row r="204" ht="23.25" customHeight="1">
      <c r="A204" s="111" t="str">
        <f>IF(B204="","",VLOOKUP(B204,'Mitglieder BBU'!A:K,6,0))</f>
        <v/>
      </c>
      <c r="B204" s="118"/>
      <c r="C204" s="129"/>
      <c r="D204" s="129"/>
      <c r="E204" s="129"/>
      <c r="F204" s="129"/>
      <c r="G204" s="129"/>
      <c r="H204" s="129"/>
      <c r="I204" s="128">
        <f t="shared" si="1"/>
        <v>0</v>
      </c>
      <c r="J204" s="48"/>
      <c r="K204" s="48"/>
      <c r="L204" s="48"/>
      <c r="M204" s="48"/>
      <c r="N204" s="48"/>
      <c r="O204" s="48"/>
      <c r="P204" s="48"/>
      <c r="Q204" s="48"/>
      <c r="R204" s="48"/>
      <c r="S204" s="48"/>
      <c r="T204" s="48"/>
      <c r="U204" s="48"/>
      <c r="V204" s="48"/>
      <c r="W204" s="48"/>
      <c r="X204" s="48"/>
      <c r="Y204" s="48"/>
      <c r="Z204" s="48"/>
    </row>
    <row r="205" ht="23.25" customHeight="1">
      <c r="A205" s="111" t="str">
        <f>IF(B205="","",VLOOKUP(B205,'Mitglieder BBU'!A:K,6,0))</f>
        <v/>
      </c>
      <c r="B205" s="118"/>
      <c r="C205" s="129"/>
      <c r="D205" s="129"/>
      <c r="E205" s="129"/>
      <c r="F205" s="129"/>
      <c r="G205" s="129"/>
      <c r="H205" s="129"/>
      <c r="I205" s="128">
        <f t="shared" si="1"/>
        <v>0</v>
      </c>
      <c r="J205" s="48"/>
      <c r="K205" s="48"/>
      <c r="L205" s="48"/>
      <c r="M205" s="48"/>
      <c r="N205" s="48"/>
      <c r="O205" s="48"/>
      <c r="P205" s="48"/>
      <c r="Q205" s="48"/>
      <c r="R205" s="48"/>
      <c r="S205" s="48"/>
      <c r="T205" s="48"/>
      <c r="U205" s="48"/>
      <c r="V205" s="48"/>
      <c r="W205" s="48"/>
      <c r="X205" s="48"/>
      <c r="Y205" s="48"/>
      <c r="Z205" s="48"/>
    </row>
    <row r="206" ht="23.25" customHeight="1">
      <c r="A206" s="111" t="str">
        <f>IF(B206="","",VLOOKUP(B206,'Mitglieder BBU'!A:K,6,0))</f>
        <v/>
      </c>
      <c r="B206" s="118"/>
      <c r="C206" s="129"/>
      <c r="D206" s="129"/>
      <c r="E206" s="129"/>
      <c r="F206" s="129"/>
      <c r="G206" s="129"/>
      <c r="H206" s="129"/>
      <c r="I206" s="128">
        <f t="shared" si="1"/>
        <v>0</v>
      </c>
      <c r="J206" s="48"/>
      <c r="K206" s="48"/>
      <c r="L206" s="48"/>
      <c r="M206" s="48"/>
      <c r="N206" s="48"/>
      <c r="O206" s="48"/>
      <c r="P206" s="48"/>
      <c r="Q206" s="48"/>
      <c r="R206" s="48"/>
      <c r="S206" s="48"/>
      <c r="T206" s="48"/>
      <c r="U206" s="48"/>
      <c r="V206" s="48"/>
      <c r="W206" s="48"/>
      <c r="X206" s="48"/>
      <c r="Y206" s="48"/>
      <c r="Z206" s="48"/>
    </row>
    <row r="207" ht="23.25" customHeight="1">
      <c r="A207" s="111" t="str">
        <f>IF(B207="","",VLOOKUP(B207,'Mitglieder BBU'!A:K,6,0))</f>
        <v/>
      </c>
      <c r="B207" s="118"/>
      <c r="C207" s="129"/>
      <c r="D207" s="129"/>
      <c r="E207" s="129"/>
      <c r="F207" s="129"/>
      <c r="G207" s="129"/>
      <c r="H207" s="129"/>
      <c r="I207" s="128">
        <f t="shared" si="1"/>
        <v>0</v>
      </c>
      <c r="J207" s="48"/>
      <c r="K207" s="48"/>
      <c r="L207" s="48"/>
      <c r="M207" s="48"/>
      <c r="N207" s="48"/>
      <c r="O207" s="48"/>
      <c r="P207" s="48"/>
      <c r="Q207" s="48"/>
      <c r="R207" s="48"/>
      <c r="S207" s="48"/>
      <c r="T207" s="48"/>
      <c r="U207" s="48"/>
      <c r="V207" s="48"/>
      <c r="W207" s="48"/>
      <c r="X207" s="48"/>
      <c r="Y207" s="48"/>
      <c r="Z207" s="48"/>
    </row>
    <row r="208" ht="23.25" customHeight="1">
      <c r="A208" s="111" t="str">
        <f>IF(B208="","",VLOOKUP(B208,'Mitglieder BBU'!A:K,6,0))</f>
        <v/>
      </c>
      <c r="B208" s="118"/>
      <c r="C208" s="129"/>
      <c r="D208" s="129"/>
      <c r="E208" s="129"/>
      <c r="F208" s="129"/>
      <c r="G208" s="129"/>
      <c r="H208" s="129"/>
      <c r="I208" s="128">
        <f t="shared" si="1"/>
        <v>0</v>
      </c>
      <c r="J208" s="48"/>
      <c r="K208" s="48"/>
      <c r="L208" s="48"/>
      <c r="M208" s="48"/>
      <c r="N208" s="48"/>
      <c r="O208" s="48"/>
      <c r="P208" s="48"/>
      <c r="Q208" s="48"/>
      <c r="R208" s="48"/>
      <c r="S208" s="48"/>
      <c r="T208" s="48"/>
      <c r="U208" s="48"/>
      <c r="V208" s="48"/>
      <c r="W208" s="48"/>
      <c r="X208" s="48"/>
      <c r="Y208" s="48"/>
      <c r="Z208" s="48"/>
    </row>
    <row r="209" ht="23.25" customHeight="1">
      <c r="A209" s="111" t="str">
        <f>IF(B209="","",VLOOKUP(B209,'Mitglieder BBU'!A:K,6,0))</f>
        <v/>
      </c>
      <c r="B209" s="118"/>
      <c r="C209" s="129"/>
      <c r="D209" s="129"/>
      <c r="E209" s="129"/>
      <c r="F209" s="129"/>
      <c r="G209" s="129"/>
      <c r="H209" s="129"/>
      <c r="I209" s="128">
        <f t="shared" si="1"/>
        <v>0</v>
      </c>
      <c r="J209" s="48"/>
      <c r="K209" s="48"/>
      <c r="L209" s="48"/>
      <c r="M209" s="48"/>
      <c r="N209" s="48"/>
      <c r="O209" s="48"/>
      <c r="P209" s="48"/>
      <c r="Q209" s="48"/>
      <c r="R209" s="48"/>
      <c r="S209" s="48"/>
      <c r="T209" s="48"/>
      <c r="U209" s="48"/>
      <c r="V209" s="48"/>
      <c r="W209" s="48"/>
      <c r="X209" s="48"/>
      <c r="Y209" s="48"/>
      <c r="Z209" s="48"/>
    </row>
    <row r="210" ht="23.25" customHeight="1">
      <c r="A210" s="111" t="str">
        <f>IF(B210="","",VLOOKUP(B210,'Mitglieder BBU'!A:K,6,0))</f>
        <v/>
      </c>
      <c r="B210" s="118"/>
      <c r="C210" s="129"/>
      <c r="D210" s="129"/>
      <c r="E210" s="129"/>
      <c r="F210" s="129"/>
      <c r="G210" s="129"/>
      <c r="H210" s="129"/>
      <c r="I210" s="128">
        <f t="shared" si="1"/>
        <v>0</v>
      </c>
      <c r="J210" s="48"/>
      <c r="K210" s="48"/>
      <c r="L210" s="48"/>
      <c r="M210" s="48"/>
      <c r="N210" s="48"/>
      <c r="O210" s="48"/>
      <c r="P210" s="48"/>
      <c r="Q210" s="48"/>
      <c r="R210" s="48"/>
      <c r="S210" s="48"/>
      <c r="T210" s="48"/>
      <c r="U210" s="48"/>
      <c r="V210" s="48"/>
      <c r="W210" s="48"/>
      <c r="X210" s="48"/>
      <c r="Y210" s="48"/>
      <c r="Z210" s="48"/>
    </row>
    <row r="211" ht="23.25" customHeight="1">
      <c r="A211" s="111" t="str">
        <f>IF(B211="","",VLOOKUP(B211,'Mitglieder BBU'!A:K,6,0))</f>
        <v/>
      </c>
      <c r="B211" s="118"/>
      <c r="C211" s="129"/>
      <c r="D211" s="129"/>
      <c r="E211" s="129"/>
      <c r="F211" s="129"/>
      <c r="G211" s="129"/>
      <c r="H211" s="129"/>
      <c r="I211" s="128">
        <f t="shared" si="1"/>
        <v>0</v>
      </c>
      <c r="J211" s="48"/>
      <c r="K211" s="48"/>
      <c r="L211" s="48"/>
      <c r="M211" s="48"/>
      <c r="N211" s="48"/>
      <c r="O211" s="48"/>
      <c r="P211" s="48"/>
      <c r="Q211" s="48"/>
      <c r="R211" s="48"/>
      <c r="S211" s="48"/>
      <c r="T211" s="48"/>
      <c r="U211" s="48"/>
      <c r="V211" s="48"/>
      <c r="W211" s="48"/>
      <c r="X211" s="48"/>
      <c r="Y211" s="48"/>
      <c r="Z211" s="48"/>
    </row>
    <row r="212" ht="23.25" customHeight="1">
      <c r="A212" s="111" t="str">
        <f>IF(B212="","",VLOOKUP(B212,'Mitglieder BBU'!A:K,6,0))</f>
        <v/>
      </c>
      <c r="B212" s="118"/>
      <c r="C212" s="129"/>
      <c r="D212" s="129"/>
      <c r="E212" s="129"/>
      <c r="F212" s="129"/>
      <c r="G212" s="129"/>
      <c r="H212" s="129"/>
      <c r="I212" s="128">
        <f t="shared" si="1"/>
        <v>0</v>
      </c>
      <c r="J212" s="48"/>
      <c r="K212" s="48"/>
      <c r="L212" s="48"/>
      <c r="M212" s="48"/>
      <c r="N212" s="48"/>
      <c r="O212" s="48"/>
      <c r="P212" s="48"/>
      <c r="Q212" s="48"/>
      <c r="R212" s="48"/>
      <c r="S212" s="48"/>
      <c r="T212" s="48"/>
      <c r="U212" s="48"/>
      <c r="V212" s="48"/>
      <c r="W212" s="48"/>
      <c r="X212" s="48"/>
      <c r="Y212" s="48"/>
      <c r="Z212" s="48"/>
    </row>
    <row r="213" ht="23.25" customHeight="1">
      <c r="A213" s="111" t="str">
        <f>IF(B213="","",VLOOKUP(B213,'Mitglieder BBU'!A:K,6,0))</f>
        <v/>
      </c>
      <c r="B213" s="118"/>
      <c r="C213" s="129"/>
      <c r="D213" s="129"/>
      <c r="E213" s="129"/>
      <c r="F213" s="129"/>
      <c r="G213" s="129"/>
      <c r="H213" s="129"/>
      <c r="I213" s="128">
        <f t="shared" si="1"/>
        <v>0</v>
      </c>
      <c r="J213" s="48"/>
      <c r="K213" s="48"/>
      <c r="L213" s="48"/>
      <c r="M213" s="48"/>
      <c r="N213" s="48"/>
      <c r="O213" s="48"/>
      <c r="P213" s="48"/>
      <c r="Q213" s="48"/>
      <c r="R213" s="48"/>
      <c r="S213" s="48"/>
      <c r="T213" s="48"/>
      <c r="U213" s="48"/>
      <c r="V213" s="48"/>
      <c r="W213" s="48"/>
      <c r="X213" s="48"/>
      <c r="Y213" s="48"/>
      <c r="Z213" s="48"/>
    </row>
    <row r="214" ht="23.25" customHeight="1">
      <c r="A214" s="111" t="str">
        <f>IF(B214="","",VLOOKUP(B214,'Mitglieder BBU'!A:K,6,0))</f>
        <v/>
      </c>
      <c r="B214" s="118"/>
      <c r="C214" s="129"/>
      <c r="D214" s="129"/>
      <c r="E214" s="129"/>
      <c r="F214" s="129"/>
      <c r="G214" s="129"/>
      <c r="H214" s="129"/>
      <c r="I214" s="128">
        <f t="shared" si="1"/>
        <v>0</v>
      </c>
      <c r="J214" s="48"/>
      <c r="K214" s="48"/>
      <c r="L214" s="48"/>
      <c r="M214" s="48"/>
      <c r="N214" s="48"/>
      <c r="O214" s="48"/>
      <c r="P214" s="48"/>
      <c r="Q214" s="48"/>
      <c r="R214" s="48"/>
      <c r="S214" s="48"/>
      <c r="T214" s="48"/>
      <c r="U214" s="48"/>
      <c r="V214" s="48"/>
      <c r="W214" s="48"/>
      <c r="X214" s="48"/>
      <c r="Y214" s="48"/>
      <c r="Z214" s="48"/>
    </row>
    <row r="215" ht="23.25" customHeight="1">
      <c r="A215" s="111" t="str">
        <f>IF(B215="","",VLOOKUP(B215,'Mitglieder BBU'!A:K,6,0))</f>
        <v/>
      </c>
      <c r="B215" s="118"/>
      <c r="C215" s="129"/>
      <c r="D215" s="129"/>
      <c r="E215" s="129"/>
      <c r="F215" s="129"/>
      <c r="G215" s="129"/>
      <c r="H215" s="129"/>
      <c r="I215" s="128">
        <f t="shared" si="1"/>
        <v>0</v>
      </c>
      <c r="J215" s="48"/>
      <c r="K215" s="48"/>
      <c r="L215" s="48"/>
      <c r="M215" s="48"/>
      <c r="N215" s="48"/>
      <c r="O215" s="48"/>
      <c r="P215" s="48"/>
      <c r="Q215" s="48"/>
      <c r="R215" s="48"/>
      <c r="S215" s="48"/>
      <c r="T215" s="48"/>
      <c r="U215" s="48"/>
      <c r="V215" s="48"/>
      <c r="W215" s="48"/>
      <c r="X215" s="48"/>
      <c r="Y215" s="48"/>
      <c r="Z215" s="48"/>
    </row>
    <row r="216" ht="23.25" customHeight="1">
      <c r="A216" s="111" t="str">
        <f>IF(B216="","",VLOOKUP(B216,'Mitglieder BBU'!A:K,6,0))</f>
        <v/>
      </c>
      <c r="B216" s="118"/>
      <c r="C216" s="129"/>
      <c r="D216" s="129"/>
      <c r="E216" s="129"/>
      <c r="F216" s="129"/>
      <c r="G216" s="129"/>
      <c r="H216" s="129"/>
      <c r="I216" s="128">
        <f t="shared" si="1"/>
        <v>0</v>
      </c>
      <c r="J216" s="48"/>
      <c r="K216" s="48"/>
      <c r="L216" s="48"/>
      <c r="M216" s="48"/>
      <c r="N216" s="48"/>
      <c r="O216" s="48"/>
      <c r="P216" s="48"/>
      <c r="Q216" s="48"/>
      <c r="R216" s="48"/>
      <c r="S216" s="48"/>
      <c r="T216" s="48"/>
      <c r="U216" s="48"/>
      <c r="V216" s="48"/>
      <c r="W216" s="48"/>
      <c r="X216" s="48"/>
      <c r="Y216" s="48"/>
      <c r="Z216" s="48"/>
    </row>
    <row r="217" ht="23.25" customHeight="1">
      <c r="A217" s="111" t="str">
        <f>IF(B217="","",VLOOKUP(B217,'Mitglieder BBU'!A:K,6,0))</f>
        <v/>
      </c>
      <c r="B217" s="118"/>
      <c r="C217" s="129"/>
      <c r="D217" s="129"/>
      <c r="E217" s="129"/>
      <c r="F217" s="129"/>
      <c r="G217" s="129"/>
      <c r="H217" s="129"/>
      <c r="I217" s="128">
        <f t="shared" si="1"/>
        <v>0</v>
      </c>
      <c r="J217" s="48"/>
      <c r="K217" s="48"/>
      <c r="L217" s="48"/>
      <c r="M217" s="48"/>
      <c r="N217" s="48"/>
      <c r="O217" s="48"/>
      <c r="P217" s="48"/>
      <c r="Q217" s="48"/>
      <c r="R217" s="48"/>
      <c r="S217" s="48"/>
      <c r="T217" s="48"/>
      <c r="U217" s="48"/>
      <c r="V217" s="48"/>
      <c r="W217" s="48"/>
      <c r="X217" s="48"/>
      <c r="Y217" s="48"/>
      <c r="Z217" s="48"/>
    </row>
    <row r="218" ht="23.25" customHeight="1">
      <c r="A218" s="111" t="str">
        <f>IF(B218="","",VLOOKUP(B218,'Mitglieder BBU'!A:K,6,0))</f>
        <v/>
      </c>
      <c r="B218" s="118"/>
      <c r="C218" s="129"/>
      <c r="D218" s="129"/>
      <c r="E218" s="129"/>
      <c r="F218" s="129"/>
      <c r="G218" s="129"/>
      <c r="H218" s="129"/>
      <c r="I218" s="128">
        <f t="shared" si="1"/>
        <v>0</v>
      </c>
      <c r="J218" s="48"/>
      <c r="K218" s="48"/>
      <c r="L218" s="48"/>
      <c r="M218" s="48"/>
      <c r="N218" s="48"/>
      <c r="O218" s="48"/>
      <c r="P218" s="48"/>
      <c r="Q218" s="48"/>
      <c r="R218" s="48"/>
      <c r="S218" s="48"/>
      <c r="T218" s="48"/>
      <c r="U218" s="48"/>
      <c r="V218" s="48"/>
      <c r="W218" s="48"/>
      <c r="X218" s="48"/>
      <c r="Y218" s="48"/>
      <c r="Z218" s="48"/>
    </row>
    <row r="219" ht="23.25" customHeight="1">
      <c r="A219" s="111" t="str">
        <f>IF(B219="","",VLOOKUP(B219,'Mitglieder BBU'!A:K,6,0))</f>
        <v/>
      </c>
      <c r="B219" s="118"/>
      <c r="C219" s="129"/>
      <c r="D219" s="129"/>
      <c r="E219" s="129"/>
      <c r="F219" s="129"/>
      <c r="G219" s="129"/>
      <c r="H219" s="129"/>
      <c r="I219" s="128">
        <f t="shared" si="1"/>
        <v>0</v>
      </c>
      <c r="J219" s="48"/>
      <c r="K219" s="48"/>
      <c r="L219" s="48"/>
      <c r="M219" s="48"/>
      <c r="N219" s="48"/>
      <c r="O219" s="48"/>
      <c r="P219" s="48"/>
      <c r="Q219" s="48"/>
      <c r="R219" s="48"/>
      <c r="S219" s="48"/>
      <c r="T219" s="48"/>
      <c r="U219" s="48"/>
      <c r="V219" s="48"/>
      <c r="W219" s="48"/>
      <c r="X219" s="48"/>
      <c r="Y219" s="48"/>
      <c r="Z219" s="48"/>
    </row>
    <row r="220" ht="23.25" customHeight="1">
      <c r="A220" s="111" t="str">
        <f>IF(B220="","",VLOOKUP(B220,'Mitglieder BBU'!A:K,6,0))</f>
        <v/>
      </c>
      <c r="B220" s="118"/>
      <c r="C220" s="129"/>
      <c r="D220" s="129"/>
      <c r="E220" s="129"/>
      <c r="F220" s="129"/>
      <c r="G220" s="129"/>
      <c r="H220" s="129"/>
      <c r="I220" s="128">
        <f t="shared" si="1"/>
        <v>0</v>
      </c>
      <c r="J220" s="48"/>
      <c r="K220" s="48"/>
      <c r="L220" s="48"/>
      <c r="M220" s="48"/>
      <c r="N220" s="48"/>
      <c r="O220" s="48"/>
      <c r="P220" s="48"/>
      <c r="Q220" s="48"/>
      <c r="R220" s="48"/>
      <c r="S220" s="48"/>
      <c r="T220" s="48"/>
      <c r="U220" s="48"/>
      <c r="V220" s="48"/>
      <c r="W220" s="48"/>
      <c r="X220" s="48"/>
      <c r="Y220" s="48"/>
      <c r="Z220" s="48"/>
    </row>
    <row r="221" ht="23.25" customHeight="1">
      <c r="A221" s="111" t="str">
        <f>IF(B221="","",VLOOKUP(B221,'Mitglieder BBU'!A:K,6,0))</f>
        <v/>
      </c>
      <c r="B221" s="118"/>
      <c r="C221" s="129"/>
      <c r="D221" s="129"/>
      <c r="E221" s="129"/>
      <c r="F221" s="129"/>
      <c r="G221" s="129"/>
      <c r="H221" s="129"/>
      <c r="I221" s="128">
        <f t="shared" si="1"/>
        <v>0</v>
      </c>
      <c r="J221" s="48"/>
      <c r="K221" s="48"/>
      <c r="L221" s="48"/>
      <c r="M221" s="48"/>
      <c r="N221" s="48"/>
      <c r="O221" s="48"/>
      <c r="P221" s="48"/>
      <c r="Q221" s="48"/>
      <c r="R221" s="48"/>
      <c r="S221" s="48"/>
      <c r="T221" s="48"/>
      <c r="U221" s="48"/>
      <c r="V221" s="48"/>
      <c r="W221" s="48"/>
      <c r="X221" s="48"/>
      <c r="Y221" s="48"/>
      <c r="Z221" s="48"/>
    </row>
    <row r="222" ht="23.25" customHeight="1">
      <c r="A222" s="111" t="str">
        <f>IF(B222="","",VLOOKUP(B222,'Mitglieder BBU'!A:K,6,0))</f>
        <v/>
      </c>
      <c r="B222" s="118"/>
      <c r="C222" s="129"/>
      <c r="D222" s="129"/>
      <c r="E222" s="129"/>
      <c r="F222" s="129"/>
      <c r="G222" s="129"/>
      <c r="H222" s="129"/>
      <c r="I222" s="128">
        <f t="shared" si="1"/>
        <v>0</v>
      </c>
      <c r="J222" s="48"/>
      <c r="K222" s="48"/>
      <c r="L222" s="48"/>
      <c r="M222" s="48"/>
      <c r="N222" s="48"/>
      <c r="O222" s="48"/>
      <c r="P222" s="48"/>
      <c r="Q222" s="48"/>
      <c r="R222" s="48"/>
      <c r="S222" s="48"/>
      <c r="T222" s="48"/>
      <c r="U222" s="48"/>
      <c r="V222" s="48"/>
      <c r="W222" s="48"/>
      <c r="X222" s="48"/>
      <c r="Y222" s="48"/>
      <c r="Z222" s="48"/>
    </row>
    <row r="223" ht="23.25" customHeight="1">
      <c r="A223" s="111" t="str">
        <f>IF(B223="","",VLOOKUP(B223,'Mitglieder BBU'!A:K,6,0))</f>
        <v/>
      </c>
      <c r="B223" s="118"/>
      <c r="C223" s="129"/>
      <c r="D223" s="129"/>
      <c r="E223" s="129"/>
      <c r="F223" s="129"/>
      <c r="G223" s="129"/>
      <c r="H223" s="129"/>
      <c r="I223" s="128">
        <f t="shared" si="1"/>
        <v>0</v>
      </c>
      <c r="J223" s="48"/>
      <c r="K223" s="48"/>
      <c r="L223" s="48"/>
      <c r="M223" s="48"/>
      <c r="N223" s="48"/>
      <c r="O223" s="48"/>
      <c r="P223" s="48"/>
      <c r="Q223" s="48"/>
      <c r="R223" s="48"/>
      <c r="S223" s="48"/>
      <c r="T223" s="48"/>
      <c r="U223" s="48"/>
      <c r="V223" s="48"/>
      <c r="W223" s="48"/>
      <c r="X223" s="48"/>
      <c r="Y223" s="48"/>
      <c r="Z223" s="48"/>
    </row>
    <row r="224" ht="23.25" customHeight="1">
      <c r="A224" s="111" t="str">
        <f>IF(B224="","",VLOOKUP(B224,'Mitglieder BBU'!A:K,6,0))</f>
        <v/>
      </c>
      <c r="B224" s="118"/>
      <c r="C224" s="129"/>
      <c r="D224" s="129"/>
      <c r="E224" s="129"/>
      <c r="F224" s="129"/>
      <c r="G224" s="129"/>
      <c r="H224" s="129"/>
      <c r="I224" s="128">
        <f t="shared" si="1"/>
        <v>0</v>
      </c>
      <c r="J224" s="48"/>
      <c r="K224" s="48"/>
      <c r="L224" s="48"/>
      <c r="M224" s="48"/>
      <c r="N224" s="48"/>
      <c r="O224" s="48"/>
      <c r="P224" s="48"/>
      <c r="Q224" s="48"/>
      <c r="R224" s="48"/>
      <c r="S224" s="48"/>
      <c r="T224" s="48"/>
      <c r="U224" s="48"/>
      <c r="V224" s="48"/>
      <c r="W224" s="48"/>
      <c r="X224" s="48"/>
      <c r="Y224" s="48"/>
      <c r="Z224" s="48"/>
    </row>
    <row r="225" ht="23.25" customHeight="1">
      <c r="A225" s="111" t="str">
        <f>IF(B225="","",VLOOKUP(B225,'Mitglieder BBU'!A:K,6,0))</f>
        <v/>
      </c>
      <c r="B225" s="118"/>
      <c r="C225" s="129"/>
      <c r="D225" s="129"/>
      <c r="E225" s="129"/>
      <c r="F225" s="129"/>
      <c r="G225" s="129"/>
      <c r="H225" s="129"/>
      <c r="I225" s="128">
        <f t="shared" si="1"/>
        <v>0</v>
      </c>
      <c r="J225" s="48"/>
      <c r="K225" s="48"/>
      <c r="L225" s="48"/>
      <c r="M225" s="48"/>
      <c r="N225" s="48"/>
      <c r="O225" s="48"/>
      <c r="P225" s="48"/>
      <c r="Q225" s="48"/>
      <c r="R225" s="48"/>
      <c r="S225" s="48"/>
      <c r="T225" s="48"/>
      <c r="U225" s="48"/>
      <c r="V225" s="48"/>
      <c r="W225" s="48"/>
      <c r="X225" s="48"/>
      <c r="Y225" s="48"/>
      <c r="Z225" s="48"/>
    </row>
    <row r="226" ht="23.25" customHeight="1">
      <c r="A226" s="111" t="str">
        <f>IF(B226="","",VLOOKUP(B226,'Mitglieder BBU'!A:K,6,0))</f>
        <v/>
      </c>
      <c r="B226" s="118"/>
      <c r="C226" s="129"/>
      <c r="D226" s="129"/>
      <c r="E226" s="129"/>
      <c r="F226" s="129"/>
      <c r="G226" s="129"/>
      <c r="H226" s="129"/>
      <c r="I226" s="128">
        <f t="shared" si="1"/>
        <v>0</v>
      </c>
      <c r="J226" s="48"/>
      <c r="K226" s="48"/>
      <c r="L226" s="48"/>
      <c r="M226" s="48"/>
      <c r="N226" s="48"/>
      <c r="O226" s="48"/>
      <c r="P226" s="48"/>
      <c r="Q226" s="48"/>
      <c r="R226" s="48"/>
      <c r="S226" s="48"/>
      <c r="T226" s="48"/>
      <c r="U226" s="48"/>
      <c r="V226" s="48"/>
      <c r="W226" s="48"/>
      <c r="X226" s="48"/>
      <c r="Y226" s="48"/>
      <c r="Z226" s="48"/>
    </row>
    <row r="227" ht="23.25" customHeight="1">
      <c r="A227" s="111" t="str">
        <f>IF(B227="","",VLOOKUP(B227,'Mitglieder BBU'!A:K,6,0))</f>
        <v/>
      </c>
      <c r="B227" s="118"/>
      <c r="C227" s="129"/>
      <c r="D227" s="129"/>
      <c r="E227" s="129"/>
      <c r="F227" s="129"/>
      <c r="G227" s="129"/>
      <c r="H227" s="129"/>
      <c r="I227" s="128">
        <f t="shared" si="1"/>
        <v>0</v>
      </c>
      <c r="J227" s="48"/>
      <c r="K227" s="48"/>
      <c r="L227" s="48"/>
      <c r="M227" s="48"/>
      <c r="N227" s="48"/>
      <c r="O227" s="48"/>
      <c r="P227" s="48"/>
      <c r="Q227" s="48"/>
      <c r="R227" s="48"/>
      <c r="S227" s="48"/>
      <c r="T227" s="48"/>
      <c r="U227" s="48"/>
      <c r="V227" s="48"/>
      <c r="W227" s="48"/>
      <c r="X227" s="48"/>
      <c r="Y227" s="48"/>
      <c r="Z227" s="48"/>
    </row>
    <row r="228" ht="23.25" customHeight="1">
      <c r="A228" s="111" t="str">
        <f>IF(B228="","",VLOOKUP(B228,'Mitglieder BBU'!A:K,6,0))</f>
        <v/>
      </c>
      <c r="B228" s="118"/>
      <c r="C228" s="129"/>
      <c r="D228" s="129"/>
      <c r="E228" s="129"/>
      <c r="F228" s="129"/>
      <c r="G228" s="129"/>
      <c r="H228" s="129"/>
      <c r="I228" s="128">
        <f t="shared" si="1"/>
        <v>0</v>
      </c>
      <c r="J228" s="48"/>
      <c r="K228" s="48"/>
      <c r="L228" s="48"/>
      <c r="M228" s="48"/>
      <c r="N228" s="48"/>
      <c r="O228" s="48"/>
      <c r="P228" s="48"/>
      <c r="Q228" s="48"/>
      <c r="R228" s="48"/>
      <c r="S228" s="48"/>
      <c r="T228" s="48"/>
      <c r="U228" s="48"/>
      <c r="V228" s="48"/>
      <c r="W228" s="48"/>
      <c r="X228" s="48"/>
      <c r="Y228" s="48"/>
      <c r="Z228" s="48"/>
    </row>
    <row r="229" ht="23.25" customHeight="1">
      <c r="A229" s="111" t="str">
        <f>IF(B229="","",VLOOKUP(B229,'Mitglieder BBU'!A:K,6,0))</f>
        <v/>
      </c>
      <c r="B229" s="118"/>
      <c r="C229" s="129"/>
      <c r="D229" s="129"/>
      <c r="E229" s="129"/>
      <c r="F229" s="129"/>
      <c r="G229" s="129"/>
      <c r="H229" s="129"/>
      <c r="I229" s="128">
        <f t="shared" si="1"/>
        <v>0</v>
      </c>
      <c r="J229" s="48"/>
      <c r="K229" s="48"/>
      <c r="L229" s="48"/>
      <c r="M229" s="48"/>
      <c r="N229" s="48"/>
      <c r="O229" s="48"/>
      <c r="P229" s="48"/>
      <c r="Q229" s="48"/>
      <c r="R229" s="48"/>
      <c r="S229" s="48"/>
      <c r="T229" s="48"/>
      <c r="U229" s="48"/>
      <c r="V229" s="48"/>
      <c r="W229" s="48"/>
      <c r="X229" s="48"/>
      <c r="Y229" s="48"/>
      <c r="Z229" s="48"/>
    </row>
    <row r="230" ht="23.25" customHeight="1">
      <c r="A230" s="111" t="str">
        <f>IF(B230="","",VLOOKUP(B230,'Mitglieder BBU'!A:K,6,0))</f>
        <v/>
      </c>
      <c r="B230" s="118"/>
      <c r="C230" s="129"/>
      <c r="D230" s="129"/>
      <c r="E230" s="129"/>
      <c r="F230" s="129"/>
      <c r="G230" s="129"/>
      <c r="H230" s="129"/>
      <c r="I230" s="128">
        <f t="shared" si="1"/>
        <v>0</v>
      </c>
      <c r="J230" s="48"/>
      <c r="K230" s="48"/>
      <c r="L230" s="48"/>
      <c r="M230" s="48"/>
      <c r="N230" s="48"/>
      <c r="O230" s="48"/>
      <c r="P230" s="48"/>
      <c r="Q230" s="48"/>
      <c r="R230" s="48"/>
      <c r="S230" s="48"/>
      <c r="T230" s="48"/>
      <c r="U230" s="48"/>
      <c r="V230" s="48"/>
      <c r="W230" s="48"/>
      <c r="X230" s="48"/>
      <c r="Y230" s="48"/>
      <c r="Z230" s="48"/>
    </row>
    <row r="231" ht="23.25" customHeight="1">
      <c r="A231" s="111" t="str">
        <f>IF(B231="","",VLOOKUP(B231,'Mitglieder BBU'!A:K,6,0))</f>
        <v/>
      </c>
      <c r="B231" s="118"/>
      <c r="C231" s="129"/>
      <c r="D231" s="129"/>
      <c r="E231" s="129"/>
      <c r="F231" s="129"/>
      <c r="G231" s="129"/>
      <c r="H231" s="129"/>
      <c r="I231" s="128">
        <f t="shared" si="1"/>
        <v>0</v>
      </c>
      <c r="J231" s="48"/>
      <c r="K231" s="48"/>
      <c r="L231" s="48"/>
      <c r="M231" s="48"/>
      <c r="N231" s="48"/>
      <c r="O231" s="48"/>
      <c r="P231" s="48"/>
      <c r="Q231" s="48"/>
      <c r="R231" s="48"/>
      <c r="S231" s="48"/>
      <c r="T231" s="48"/>
      <c r="U231" s="48"/>
      <c r="V231" s="48"/>
      <c r="W231" s="48"/>
      <c r="X231" s="48"/>
      <c r="Y231" s="48"/>
      <c r="Z231" s="48"/>
    </row>
    <row r="232" ht="23.25" customHeight="1">
      <c r="A232" s="111" t="str">
        <f>IF(B232="","",VLOOKUP(B232,'Mitglieder BBU'!A:K,6,0))</f>
        <v/>
      </c>
      <c r="B232" s="118"/>
      <c r="C232" s="129"/>
      <c r="D232" s="129"/>
      <c r="E232" s="129"/>
      <c r="F232" s="129"/>
      <c r="G232" s="129"/>
      <c r="H232" s="129"/>
      <c r="I232" s="128">
        <f t="shared" si="1"/>
        <v>0</v>
      </c>
      <c r="J232" s="48"/>
      <c r="K232" s="48"/>
      <c r="L232" s="48"/>
      <c r="M232" s="48"/>
      <c r="N232" s="48"/>
      <c r="O232" s="48"/>
      <c r="P232" s="48"/>
      <c r="Q232" s="48"/>
      <c r="R232" s="48"/>
      <c r="S232" s="48"/>
      <c r="T232" s="48"/>
      <c r="U232" s="48"/>
      <c r="V232" s="48"/>
      <c r="W232" s="48"/>
      <c r="X232" s="48"/>
      <c r="Y232" s="48"/>
      <c r="Z232" s="48"/>
    </row>
    <row r="233" ht="23.25" customHeight="1">
      <c r="A233" s="111" t="str">
        <f>IF(B233="","",VLOOKUP(B233,'Mitglieder BBU'!A:K,6,0))</f>
        <v/>
      </c>
      <c r="B233" s="118"/>
      <c r="C233" s="129"/>
      <c r="D233" s="129"/>
      <c r="E233" s="129"/>
      <c r="F233" s="129"/>
      <c r="G233" s="129"/>
      <c r="H233" s="129"/>
      <c r="I233" s="128">
        <f t="shared" si="1"/>
        <v>0</v>
      </c>
      <c r="J233" s="48"/>
      <c r="K233" s="48"/>
      <c r="L233" s="48"/>
      <c r="M233" s="48"/>
      <c r="N233" s="48"/>
      <c r="O233" s="48"/>
      <c r="P233" s="48"/>
      <c r="Q233" s="48"/>
      <c r="R233" s="48"/>
      <c r="S233" s="48"/>
      <c r="T233" s="48"/>
      <c r="U233" s="48"/>
      <c r="V233" s="48"/>
      <c r="W233" s="48"/>
      <c r="X233" s="48"/>
      <c r="Y233" s="48"/>
      <c r="Z233" s="48"/>
    </row>
    <row r="234" ht="23.25" customHeight="1">
      <c r="A234" s="111" t="str">
        <f>IF(B234="","",VLOOKUP(B234,'Mitglieder BBU'!A:K,6,0))</f>
        <v/>
      </c>
      <c r="B234" s="118"/>
      <c r="C234" s="129"/>
      <c r="D234" s="129"/>
      <c r="E234" s="129"/>
      <c r="F234" s="129"/>
      <c r="G234" s="129"/>
      <c r="H234" s="129"/>
      <c r="I234" s="128">
        <f t="shared" si="1"/>
        <v>0</v>
      </c>
      <c r="J234" s="48"/>
      <c r="K234" s="48"/>
      <c r="L234" s="48"/>
      <c r="M234" s="48"/>
      <c r="N234" s="48"/>
      <c r="O234" s="48"/>
      <c r="P234" s="48"/>
      <c r="Q234" s="48"/>
      <c r="R234" s="48"/>
      <c r="S234" s="48"/>
      <c r="T234" s="48"/>
      <c r="U234" s="48"/>
      <c r="V234" s="48"/>
      <c r="W234" s="48"/>
      <c r="X234" s="48"/>
      <c r="Y234" s="48"/>
      <c r="Z234" s="48"/>
    </row>
    <row r="235" ht="23.25" customHeight="1">
      <c r="A235" s="111" t="str">
        <f>IF(B235="","",VLOOKUP(B235,'Mitglieder BBU'!A:K,6,0))</f>
        <v/>
      </c>
      <c r="B235" s="118"/>
      <c r="C235" s="129"/>
      <c r="D235" s="129"/>
      <c r="E235" s="129"/>
      <c r="F235" s="129"/>
      <c r="G235" s="129"/>
      <c r="H235" s="129"/>
      <c r="I235" s="128">
        <f t="shared" si="1"/>
        <v>0</v>
      </c>
      <c r="J235" s="48"/>
      <c r="K235" s="48"/>
      <c r="L235" s="48"/>
      <c r="M235" s="48"/>
      <c r="N235" s="48"/>
      <c r="O235" s="48"/>
      <c r="P235" s="48"/>
      <c r="Q235" s="48"/>
      <c r="R235" s="48"/>
      <c r="S235" s="48"/>
      <c r="T235" s="48"/>
      <c r="U235" s="48"/>
      <c r="V235" s="48"/>
      <c r="W235" s="48"/>
      <c r="X235" s="48"/>
      <c r="Y235" s="48"/>
      <c r="Z235" s="48"/>
    </row>
    <row r="236" ht="23.25" customHeight="1">
      <c r="A236" s="111" t="str">
        <f>IF(B236="","",VLOOKUP(B236,'Mitglieder BBU'!A:K,6,0))</f>
        <v/>
      </c>
      <c r="B236" s="118"/>
      <c r="C236" s="129"/>
      <c r="D236" s="129"/>
      <c r="E236" s="129"/>
      <c r="F236" s="129"/>
      <c r="G236" s="129"/>
      <c r="H236" s="129"/>
      <c r="I236" s="128">
        <f t="shared" si="1"/>
        <v>0</v>
      </c>
      <c r="J236" s="48"/>
      <c r="K236" s="48"/>
      <c r="L236" s="48"/>
      <c r="M236" s="48"/>
      <c r="N236" s="48"/>
      <c r="O236" s="48"/>
      <c r="P236" s="48"/>
      <c r="Q236" s="48"/>
      <c r="R236" s="48"/>
      <c r="S236" s="48"/>
      <c r="T236" s="48"/>
      <c r="U236" s="48"/>
      <c r="V236" s="48"/>
      <c r="W236" s="48"/>
      <c r="X236" s="48"/>
      <c r="Y236" s="48"/>
      <c r="Z236" s="48"/>
    </row>
    <row r="237" ht="23.25" customHeight="1">
      <c r="A237" s="111" t="str">
        <f>IF(B237="","",VLOOKUP(B237,'Mitglieder BBU'!A:K,6,0))</f>
        <v/>
      </c>
      <c r="B237" s="118"/>
      <c r="C237" s="129"/>
      <c r="D237" s="129"/>
      <c r="E237" s="129"/>
      <c r="F237" s="129"/>
      <c r="G237" s="129"/>
      <c r="H237" s="129"/>
      <c r="I237" s="128">
        <f t="shared" si="1"/>
        <v>0</v>
      </c>
      <c r="J237" s="48"/>
      <c r="K237" s="48"/>
      <c r="L237" s="48"/>
      <c r="M237" s="48"/>
      <c r="N237" s="48"/>
      <c r="O237" s="48"/>
      <c r="P237" s="48"/>
      <c r="Q237" s="48"/>
      <c r="R237" s="48"/>
      <c r="S237" s="48"/>
      <c r="T237" s="48"/>
      <c r="U237" s="48"/>
      <c r="V237" s="48"/>
      <c r="W237" s="48"/>
      <c r="X237" s="48"/>
      <c r="Y237" s="48"/>
      <c r="Z237" s="48"/>
    </row>
    <row r="238" ht="23.25" customHeight="1">
      <c r="A238" s="111" t="str">
        <f>IF(B238="","",VLOOKUP(B238,'Mitglieder BBU'!A:K,6,0))</f>
        <v/>
      </c>
      <c r="B238" s="118"/>
      <c r="C238" s="129"/>
      <c r="D238" s="129"/>
      <c r="E238" s="129"/>
      <c r="F238" s="129"/>
      <c r="G238" s="129"/>
      <c r="H238" s="129"/>
      <c r="I238" s="128">
        <f t="shared" si="1"/>
        <v>0</v>
      </c>
      <c r="J238" s="48"/>
      <c r="K238" s="48"/>
      <c r="L238" s="48"/>
      <c r="M238" s="48"/>
      <c r="N238" s="48"/>
      <c r="O238" s="48"/>
      <c r="P238" s="48"/>
      <c r="Q238" s="48"/>
      <c r="R238" s="48"/>
      <c r="S238" s="48"/>
      <c r="T238" s="48"/>
      <c r="U238" s="48"/>
      <c r="V238" s="48"/>
      <c r="W238" s="48"/>
      <c r="X238" s="48"/>
      <c r="Y238" s="48"/>
      <c r="Z238" s="48"/>
    </row>
    <row r="239" ht="23.25" customHeight="1">
      <c r="A239" s="111" t="str">
        <f>IF(B239="","",VLOOKUP(B239,'Mitglieder BBU'!A:K,6,0))</f>
        <v/>
      </c>
      <c r="B239" s="118"/>
      <c r="C239" s="129"/>
      <c r="D239" s="129"/>
      <c r="E239" s="129"/>
      <c r="F239" s="129"/>
      <c r="G239" s="129"/>
      <c r="H239" s="129"/>
      <c r="I239" s="128">
        <f t="shared" si="1"/>
        <v>0</v>
      </c>
      <c r="J239" s="48"/>
      <c r="K239" s="48"/>
      <c r="L239" s="48"/>
      <c r="M239" s="48"/>
      <c r="N239" s="48"/>
      <c r="O239" s="48"/>
      <c r="P239" s="48"/>
      <c r="Q239" s="48"/>
      <c r="R239" s="48"/>
      <c r="S239" s="48"/>
      <c r="T239" s="48"/>
      <c r="U239" s="48"/>
      <c r="V239" s="48"/>
      <c r="W239" s="48"/>
      <c r="X239" s="48"/>
      <c r="Y239" s="48"/>
      <c r="Z239" s="48"/>
    </row>
    <row r="240" ht="23.25" customHeight="1">
      <c r="A240" s="111" t="str">
        <f>IF(B240="","",VLOOKUP(B240,'Mitglieder BBU'!A:K,6,0))</f>
        <v/>
      </c>
      <c r="B240" s="118"/>
      <c r="C240" s="129"/>
      <c r="D240" s="129"/>
      <c r="E240" s="129"/>
      <c r="F240" s="129"/>
      <c r="G240" s="129"/>
      <c r="H240" s="129"/>
      <c r="I240" s="128">
        <f t="shared" si="1"/>
        <v>0</v>
      </c>
      <c r="J240" s="48"/>
      <c r="K240" s="48"/>
      <c r="L240" s="48"/>
      <c r="M240" s="48"/>
      <c r="N240" s="48"/>
      <c r="O240" s="48"/>
      <c r="P240" s="48"/>
      <c r="Q240" s="48"/>
      <c r="R240" s="48"/>
      <c r="S240" s="48"/>
      <c r="T240" s="48"/>
      <c r="U240" s="48"/>
      <c r="V240" s="48"/>
      <c r="W240" s="48"/>
      <c r="X240" s="48"/>
      <c r="Y240" s="48"/>
      <c r="Z240" s="48"/>
    </row>
    <row r="241" ht="23.25" customHeight="1">
      <c r="A241" s="111" t="str">
        <f>IF(B241="","",VLOOKUP(B241,'Mitglieder BBU'!A:K,6,0))</f>
        <v/>
      </c>
      <c r="B241" s="118"/>
      <c r="C241" s="129"/>
      <c r="D241" s="129"/>
      <c r="E241" s="129"/>
      <c r="F241" s="129"/>
      <c r="G241" s="129"/>
      <c r="H241" s="129"/>
      <c r="I241" s="128">
        <f t="shared" si="1"/>
        <v>0</v>
      </c>
      <c r="J241" s="48"/>
      <c r="K241" s="48"/>
      <c r="L241" s="48"/>
      <c r="M241" s="48"/>
      <c r="N241" s="48"/>
      <c r="O241" s="48"/>
      <c r="P241" s="48"/>
      <c r="Q241" s="48"/>
      <c r="R241" s="48"/>
      <c r="S241" s="48"/>
      <c r="T241" s="48"/>
      <c r="U241" s="48"/>
      <c r="V241" s="48"/>
      <c r="W241" s="48"/>
      <c r="X241" s="48"/>
      <c r="Y241" s="48"/>
      <c r="Z241" s="48"/>
    </row>
    <row r="242" ht="23.25" customHeight="1">
      <c r="A242" s="111" t="str">
        <f>IF(B242="","",VLOOKUP(B242,'Mitglieder BBU'!A:K,6,0))</f>
        <v/>
      </c>
      <c r="B242" s="118"/>
      <c r="C242" s="129"/>
      <c r="D242" s="129"/>
      <c r="E242" s="129"/>
      <c r="F242" s="129"/>
      <c r="G242" s="129"/>
      <c r="H242" s="129"/>
      <c r="I242" s="128">
        <f t="shared" si="1"/>
        <v>0</v>
      </c>
      <c r="J242" s="48"/>
      <c r="K242" s="48"/>
      <c r="L242" s="48"/>
      <c r="M242" s="48"/>
      <c r="N242" s="48"/>
      <c r="O242" s="48"/>
      <c r="P242" s="48"/>
      <c r="Q242" s="48"/>
      <c r="R242" s="48"/>
      <c r="S242" s="48"/>
      <c r="T242" s="48"/>
      <c r="U242" s="48"/>
      <c r="V242" s="48"/>
      <c r="W242" s="48"/>
      <c r="X242" s="48"/>
      <c r="Y242" s="48"/>
      <c r="Z242" s="48"/>
    </row>
    <row r="243" ht="23.25" customHeight="1">
      <c r="A243" s="111" t="str">
        <f>IF(B243="","",VLOOKUP(B243,'Mitglieder BBU'!A:K,6,0))</f>
        <v/>
      </c>
      <c r="B243" s="118"/>
      <c r="C243" s="129"/>
      <c r="D243" s="129"/>
      <c r="E243" s="129"/>
      <c r="F243" s="129"/>
      <c r="G243" s="129"/>
      <c r="H243" s="129"/>
      <c r="I243" s="128">
        <f t="shared" si="1"/>
        <v>0</v>
      </c>
      <c r="J243" s="48"/>
      <c r="K243" s="48"/>
      <c r="L243" s="48"/>
      <c r="M243" s="48"/>
      <c r="N243" s="48"/>
      <c r="O243" s="48"/>
      <c r="P243" s="48"/>
      <c r="Q243" s="48"/>
      <c r="R243" s="48"/>
      <c r="S243" s="48"/>
      <c r="T243" s="48"/>
      <c r="U243" s="48"/>
      <c r="V243" s="48"/>
      <c r="W243" s="48"/>
      <c r="X243" s="48"/>
      <c r="Y243" s="48"/>
      <c r="Z243" s="48"/>
    </row>
    <row r="244" ht="23.25" customHeight="1">
      <c r="A244" s="111" t="str">
        <f>IF(B244="","",VLOOKUP(B244,'Mitglieder BBU'!A:K,6,0))</f>
        <v/>
      </c>
      <c r="B244" s="118"/>
      <c r="C244" s="129"/>
      <c r="D244" s="129"/>
      <c r="E244" s="129"/>
      <c r="F244" s="129"/>
      <c r="G244" s="129"/>
      <c r="H244" s="129"/>
      <c r="I244" s="128">
        <f t="shared" si="1"/>
        <v>0</v>
      </c>
      <c r="J244" s="48"/>
      <c r="K244" s="48"/>
      <c r="L244" s="48"/>
      <c r="M244" s="48"/>
      <c r="N244" s="48"/>
      <c r="O244" s="48"/>
      <c r="P244" s="48"/>
      <c r="Q244" s="48"/>
      <c r="R244" s="48"/>
      <c r="S244" s="48"/>
      <c r="T244" s="48"/>
      <c r="U244" s="48"/>
      <c r="V244" s="48"/>
      <c r="W244" s="48"/>
      <c r="X244" s="48"/>
      <c r="Y244" s="48"/>
      <c r="Z244" s="48"/>
    </row>
    <row r="245" ht="23.25" customHeight="1">
      <c r="A245" s="111" t="str">
        <f>IF(B245="","",VLOOKUP(B245,'Mitglieder BBU'!A:K,6,0))</f>
        <v/>
      </c>
      <c r="B245" s="118"/>
      <c r="C245" s="129"/>
      <c r="D245" s="129"/>
      <c r="E245" s="129"/>
      <c r="F245" s="129"/>
      <c r="G245" s="129"/>
      <c r="H245" s="129"/>
      <c r="I245" s="128">
        <f t="shared" si="1"/>
        <v>0</v>
      </c>
      <c r="J245" s="48"/>
      <c r="K245" s="48"/>
      <c r="L245" s="48"/>
      <c r="M245" s="48"/>
      <c r="N245" s="48"/>
      <c r="O245" s="48"/>
      <c r="P245" s="48"/>
      <c r="Q245" s="48"/>
      <c r="R245" s="48"/>
      <c r="S245" s="48"/>
      <c r="T245" s="48"/>
      <c r="U245" s="48"/>
      <c r="V245" s="48"/>
      <c r="W245" s="48"/>
      <c r="X245" s="48"/>
      <c r="Y245" s="48"/>
      <c r="Z245" s="48"/>
    </row>
    <row r="246" ht="23.25" customHeight="1">
      <c r="A246" s="111" t="str">
        <f>IF(B246="","",VLOOKUP(B246,'Mitglieder BBU'!A:K,6,0))</f>
        <v/>
      </c>
      <c r="B246" s="118"/>
      <c r="C246" s="129"/>
      <c r="D246" s="129"/>
      <c r="E246" s="129"/>
      <c r="F246" s="129"/>
      <c r="G246" s="129"/>
      <c r="H246" s="129"/>
      <c r="I246" s="128">
        <f t="shared" si="1"/>
        <v>0</v>
      </c>
      <c r="J246" s="48"/>
      <c r="K246" s="48"/>
      <c r="L246" s="48"/>
      <c r="M246" s="48"/>
      <c r="N246" s="48"/>
      <c r="O246" s="48"/>
      <c r="P246" s="48"/>
      <c r="Q246" s="48"/>
      <c r="R246" s="48"/>
      <c r="S246" s="48"/>
      <c r="T246" s="48"/>
      <c r="U246" s="48"/>
      <c r="V246" s="48"/>
      <c r="W246" s="48"/>
      <c r="X246" s="48"/>
      <c r="Y246" s="48"/>
      <c r="Z246" s="48"/>
    </row>
    <row r="247" ht="23.25" customHeight="1">
      <c r="A247" s="111" t="str">
        <f>IF(B247="","",VLOOKUP(B247,'Mitglieder BBU'!A:K,6,0))</f>
        <v/>
      </c>
      <c r="B247" s="118"/>
      <c r="C247" s="129"/>
      <c r="D247" s="129"/>
      <c r="E247" s="129"/>
      <c r="F247" s="129"/>
      <c r="G247" s="129"/>
      <c r="H247" s="129"/>
      <c r="I247" s="128">
        <f t="shared" si="1"/>
        <v>0</v>
      </c>
      <c r="J247" s="48"/>
      <c r="K247" s="48"/>
      <c r="L247" s="48"/>
      <c r="M247" s="48"/>
      <c r="N247" s="48"/>
      <c r="O247" s="48"/>
      <c r="P247" s="48"/>
      <c r="Q247" s="48"/>
      <c r="R247" s="48"/>
      <c r="S247" s="48"/>
      <c r="T247" s="48"/>
      <c r="U247" s="48"/>
      <c r="V247" s="48"/>
      <c r="W247" s="48"/>
      <c r="X247" s="48"/>
      <c r="Y247" s="48"/>
      <c r="Z247" s="48"/>
    </row>
    <row r="248" ht="23.25" customHeight="1">
      <c r="A248" s="111" t="str">
        <f>IF(B248="","",VLOOKUP(B248,'Mitglieder BBU'!A:K,6,0))</f>
        <v/>
      </c>
      <c r="B248" s="118"/>
      <c r="C248" s="129"/>
      <c r="D248" s="129"/>
      <c r="E248" s="129"/>
      <c r="F248" s="129"/>
      <c r="G248" s="129"/>
      <c r="H248" s="129"/>
      <c r="I248" s="128">
        <f t="shared" si="1"/>
        <v>0</v>
      </c>
      <c r="J248" s="48"/>
      <c r="K248" s="48"/>
      <c r="L248" s="48"/>
      <c r="M248" s="48"/>
      <c r="N248" s="48"/>
      <c r="O248" s="48"/>
      <c r="P248" s="48"/>
      <c r="Q248" s="48"/>
      <c r="R248" s="48"/>
      <c r="S248" s="48"/>
      <c r="T248" s="48"/>
      <c r="U248" s="48"/>
      <c r="V248" s="48"/>
      <c r="W248" s="48"/>
      <c r="X248" s="48"/>
      <c r="Y248" s="48"/>
      <c r="Z248" s="48"/>
    </row>
    <row r="249" ht="23.25" customHeight="1">
      <c r="A249" s="111" t="str">
        <f>IF(B249="","",VLOOKUP(B249,'Mitglieder BBU'!A:K,6,0))</f>
        <v/>
      </c>
      <c r="B249" s="118"/>
      <c r="C249" s="129"/>
      <c r="D249" s="129"/>
      <c r="E249" s="129"/>
      <c r="F249" s="129"/>
      <c r="G249" s="129"/>
      <c r="H249" s="129"/>
      <c r="I249" s="128">
        <f t="shared" si="1"/>
        <v>0</v>
      </c>
      <c r="J249" s="48"/>
      <c r="K249" s="48"/>
      <c r="L249" s="48"/>
      <c r="M249" s="48"/>
      <c r="N249" s="48"/>
      <c r="O249" s="48"/>
      <c r="P249" s="48"/>
      <c r="Q249" s="48"/>
      <c r="R249" s="48"/>
      <c r="S249" s="48"/>
      <c r="T249" s="48"/>
      <c r="U249" s="48"/>
      <c r="V249" s="48"/>
      <c r="W249" s="48"/>
      <c r="X249" s="48"/>
      <c r="Y249" s="48"/>
      <c r="Z249" s="48"/>
    </row>
    <row r="250" ht="23.25" customHeight="1">
      <c r="A250" s="111" t="str">
        <f>IF(B250="","",VLOOKUP(B250,'Mitglieder BBU'!A:K,6,0))</f>
        <v/>
      </c>
      <c r="B250" s="118"/>
      <c r="C250" s="129"/>
      <c r="D250" s="129"/>
      <c r="E250" s="129"/>
      <c r="F250" s="129"/>
      <c r="G250" s="129"/>
      <c r="H250" s="129"/>
      <c r="I250" s="128">
        <f t="shared" si="1"/>
        <v>0</v>
      </c>
      <c r="J250" s="48"/>
      <c r="K250" s="48"/>
      <c r="L250" s="48"/>
      <c r="M250" s="48"/>
      <c r="N250" s="48"/>
      <c r="O250" s="48"/>
      <c r="P250" s="48"/>
      <c r="Q250" s="48"/>
      <c r="R250" s="48"/>
      <c r="S250" s="48"/>
      <c r="T250" s="48"/>
      <c r="U250" s="48"/>
      <c r="V250" s="48"/>
      <c r="W250" s="48"/>
      <c r="X250" s="48"/>
      <c r="Y250" s="48"/>
      <c r="Z250" s="48"/>
    </row>
    <row r="251" ht="23.25" customHeight="1">
      <c r="A251" s="111" t="str">
        <f>IF(B251="","",VLOOKUP(B251,'Mitglieder BBU'!A:K,6,0))</f>
        <v/>
      </c>
      <c r="B251" s="118"/>
      <c r="C251" s="129"/>
      <c r="D251" s="129"/>
      <c r="E251" s="129"/>
      <c r="F251" s="129"/>
      <c r="G251" s="129"/>
      <c r="H251" s="129"/>
      <c r="I251" s="128">
        <f t="shared" si="1"/>
        <v>0</v>
      </c>
      <c r="J251" s="48"/>
      <c r="K251" s="48"/>
      <c r="L251" s="48"/>
      <c r="M251" s="48"/>
      <c r="N251" s="48"/>
      <c r="O251" s="48"/>
      <c r="P251" s="48"/>
      <c r="Q251" s="48"/>
      <c r="R251" s="48"/>
      <c r="S251" s="48"/>
      <c r="T251" s="48"/>
      <c r="U251" s="48"/>
      <c r="V251" s="48"/>
      <c r="W251" s="48"/>
      <c r="X251" s="48"/>
      <c r="Y251" s="48"/>
      <c r="Z251" s="48"/>
    </row>
    <row r="252" ht="23.25" customHeight="1">
      <c r="A252" s="111" t="str">
        <f>IF(B252="","",VLOOKUP(B252,'Mitglieder BBU'!A:K,6,0))</f>
        <v/>
      </c>
      <c r="B252" s="118"/>
      <c r="C252" s="129"/>
      <c r="D252" s="129"/>
      <c r="E252" s="129"/>
      <c r="F252" s="129"/>
      <c r="G252" s="129"/>
      <c r="H252" s="129"/>
      <c r="I252" s="128">
        <f t="shared" si="1"/>
        <v>0</v>
      </c>
      <c r="J252" s="48"/>
      <c r="K252" s="48"/>
      <c r="L252" s="48"/>
      <c r="M252" s="48"/>
      <c r="N252" s="48"/>
      <c r="O252" s="48"/>
      <c r="P252" s="48"/>
      <c r="Q252" s="48"/>
      <c r="R252" s="48"/>
      <c r="S252" s="48"/>
      <c r="T252" s="48"/>
      <c r="U252" s="48"/>
      <c r="V252" s="48"/>
      <c r="W252" s="48"/>
      <c r="X252" s="48"/>
      <c r="Y252" s="48"/>
      <c r="Z252" s="48"/>
    </row>
    <row r="253" ht="23.25" customHeight="1">
      <c r="A253" s="111" t="str">
        <f>IF(B253="","",VLOOKUP(B253,'Mitglieder BBU'!A:K,6,0))</f>
        <v/>
      </c>
      <c r="B253" s="118"/>
      <c r="C253" s="129"/>
      <c r="D253" s="129"/>
      <c r="E253" s="129"/>
      <c r="F253" s="129"/>
      <c r="G253" s="129"/>
      <c r="H253" s="129"/>
      <c r="I253" s="128">
        <f t="shared" si="1"/>
        <v>0</v>
      </c>
      <c r="J253" s="48"/>
      <c r="K253" s="48"/>
      <c r="L253" s="48"/>
      <c r="M253" s="48"/>
      <c r="N253" s="48"/>
      <c r="O253" s="48"/>
      <c r="P253" s="48"/>
      <c r="Q253" s="48"/>
      <c r="R253" s="48"/>
      <c r="S253" s="48"/>
      <c r="T253" s="48"/>
      <c r="U253" s="48"/>
      <c r="V253" s="48"/>
      <c r="W253" s="48"/>
      <c r="X253" s="48"/>
      <c r="Y253" s="48"/>
      <c r="Z253" s="48"/>
    </row>
    <row r="254" ht="23.25" customHeight="1">
      <c r="A254" s="111" t="str">
        <f>IF(B254="","",VLOOKUP(B254,'Mitglieder BBU'!A:K,6,0))</f>
        <v/>
      </c>
      <c r="B254" s="118"/>
      <c r="C254" s="129"/>
      <c r="D254" s="129"/>
      <c r="E254" s="129"/>
      <c r="F254" s="129"/>
      <c r="G254" s="129"/>
      <c r="H254" s="129"/>
      <c r="I254" s="128">
        <f t="shared" si="1"/>
        <v>0</v>
      </c>
      <c r="J254" s="48"/>
      <c r="K254" s="48"/>
      <c r="L254" s="48"/>
      <c r="M254" s="48"/>
      <c r="N254" s="48"/>
      <c r="O254" s="48"/>
      <c r="P254" s="48"/>
      <c r="Q254" s="48"/>
      <c r="R254" s="48"/>
      <c r="S254" s="48"/>
      <c r="T254" s="48"/>
      <c r="U254" s="48"/>
      <c r="V254" s="48"/>
      <c r="W254" s="48"/>
      <c r="X254" s="48"/>
      <c r="Y254" s="48"/>
      <c r="Z254" s="48"/>
    </row>
    <row r="255" ht="23.25" customHeight="1">
      <c r="A255" s="111" t="str">
        <f>IF(B255="","",VLOOKUP(B255,'Mitglieder BBU'!A:K,6,0))</f>
        <v/>
      </c>
      <c r="B255" s="118"/>
      <c r="C255" s="129"/>
      <c r="D255" s="129"/>
      <c r="E255" s="129"/>
      <c r="F255" s="129"/>
      <c r="G255" s="129"/>
      <c r="H255" s="129"/>
      <c r="I255" s="128">
        <f t="shared" si="1"/>
        <v>0</v>
      </c>
      <c r="J255" s="48"/>
      <c r="K255" s="48"/>
      <c r="L255" s="48"/>
      <c r="M255" s="48"/>
      <c r="N255" s="48"/>
      <c r="O255" s="48"/>
      <c r="P255" s="48"/>
      <c r="Q255" s="48"/>
      <c r="R255" s="48"/>
      <c r="S255" s="48"/>
      <c r="T255" s="48"/>
      <c r="U255" s="48"/>
      <c r="V255" s="48"/>
      <c r="W255" s="48"/>
      <c r="X255" s="48"/>
      <c r="Y255" s="48"/>
      <c r="Z255" s="48"/>
    </row>
    <row r="256" ht="23.25" customHeight="1">
      <c r="A256" s="111" t="str">
        <f>IF(B256="","",VLOOKUP(B256,'Mitglieder BBU'!A:K,6,0))</f>
        <v/>
      </c>
      <c r="B256" s="118"/>
      <c r="C256" s="129"/>
      <c r="D256" s="129"/>
      <c r="E256" s="129"/>
      <c r="F256" s="129"/>
      <c r="G256" s="129"/>
      <c r="H256" s="129"/>
      <c r="I256" s="128">
        <f t="shared" si="1"/>
        <v>0</v>
      </c>
      <c r="J256" s="48"/>
      <c r="K256" s="48"/>
      <c r="L256" s="48"/>
      <c r="M256" s="48"/>
      <c r="N256" s="48"/>
      <c r="O256" s="48"/>
      <c r="P256" s="48"/>
      <c r="Q256" s="48"/>
      <c r="R256" s="48"/>
      <c r="S256" s="48"/>
      <c r="T256" s="48"/>
      <c r="U256" s="48"/>
      <c r="V256" s="48"/>
      <c r="W256" s="48"/>
      <c r="X256" s="48"/>
      <c r="Y256" s="48"/>
      <c r="Z256" s="48"/>
    </row>
    <row r="257" ht="23.25" customHeight="1">
      <c r="A257" s="111" t="str">
        <f>IF(B257="","",VLOOKUP(B257,'Mitglieder BBU'!A:K,6,0))</f>
        <v/>
      </c>
      <c r="B257" s="118"/>
      <c r="C257" s="129"/>
      <c r="D257" s="129"/>
      <c r="E257" s="129"/>
      <c r="F257" s="129"/>
      <c r="G257" s="129"/>
      <c r="H257" s="129"/>
      <c r="I257" s="128">
        <f t="shared" si="1"/>
        <v>0</v>
      </c>
      <c r="J257" s="48"/>
      <c r="K257" s="48"/>
      <c r="L257" s="48"/>
      <c r="M257" s="48"/>
      <c r="N257" s="48"/>
      <c r="O257" s="48"/>
      <c r="P257" s="48"/>
      <c r="Q257" s="48"/>
      <c r="R257" s="48"/>
      <c r="S257" s="48"/>
      <c r="T257" s="48"/>
      <c r="U257" s="48"/>
      <c r="V257" s="48"/>
      <c r="W257" s="48"/>
      <c r="X257" s="48"/>
      <c r="Y257" s="48"/>
      <c r="Z257" s="48"/>
    </row>
    <row r="258" ht="23.25" customHeight="1">
      <c r="A258" s="111" t="str">
        <f>IF(B258="","",VLOOKUP(B258,'Mitglieder BBU'!A:K,6,0))</f>
        <v/>
      </c>
      <c r="B258" s="118"/>
      <c r="C258" s="129"/>
      <c r="D258" s="129"/>
      <c r="E258" s="129"/>
      <c r="F258" s="129"/>
      <c r="G258" s="129"/>
      <c r="H258" s="129"/>
      <c r="I258" s="128">
        <f t="shared" si="1"/>
        <v>0</v>
      </c>
      <c r="J258" s="48"/>
      <c r="K258" s="48"/>
      <c r="L258" s="48"/>
      <c r="M258" s="48"/>
      <c r="N258" s="48"/>
      <c r="O258" s="48"/>
      <c r="P258" s="48"/>
      <c r="Q258" s="48"/>
      <c r="R258" s="48"/>
      <c r="S258" s="48"/>
      <c r="T258" s="48"/>
      <c r="U258" s="48"/>
      <c r="V258" s="48"/>
      <c r="W258" s="48"/>
      <c r="X258" s="48"/>
      <c r="Y258" s="48"/>
      <c r="Z258" s="48"/>
    </row>
    <row r="259" ht="23.25" customHeight="1">
      <c r="A259" s="111" t="str">
        <f>IF(B259="","",VLOOKUP(B259,'Mitglieder BBU'!A:K,6,0))</f>
        <v/>
      </c>
      <c r="B259" s="118"/>
      <c r="C259" s="129"/>
      <c r="D259" s="129"/>
      <c r="E259" s="129"/>
      <c r="F259" s="129"/>
      <c r="G259" s="129"/>
      <c r="H259" s="129"/>
      <c r="I259" s="128">
        <f t="shared" si="1"/>
        <v>0</v>
      </c>
      <c r="J259" s="48"/>
      <c r="K259" s="48"/>
      <c r="L259" s="48"/>
      <c r="M259" s="48"/>
      <c r="N259" s="48"/>
      <c r="O259" s="48"/>
      <c r="P259" s="48"/>
      <c r="Q259" s="48"/>
      <c r="R259" s="48"/>
      <c r="S259" s="48"/>
      <c r="T259" s="48"/>
      <c r="U259" s="48"/>
      <c r="V259" s="48"/>
      <c r="W259" s="48"/>
      <c r="X259" s="48"/>
      <c r="Y259" s="48"/>
      <c r="Z259" s="48"/>
    </row>
    <row r="260" ht="23.25" customHeight="1">
      <c r="A260" s="111" t="str">
        <f>IF(B260="","",VLOOKUP(B260,'Mitglieder BBU'!A:K,6,0))</f>
        <v/>
      </c>
      <c r="B260" s="118"/>
      <c r="C260" s="129"/>
      <c r="D260" s="129"/>
      <c r="E260" s="129"/>
      <c r="F260" s="129"/>
      <c r="G260" s="129"/>
      <c r="H260" s="129"/>
      <c r="I260" s="128">
        <f t="shared" si="1"/>
        <v>0</v>
      </c>
      <c r="J260" s="48"/>
      <c r="K260" s="48"/>
      <c r="L260" s="48"/>
      <c r="M260" s="48"/>
      <c r="N260" s="48"/>
      <c r="O260" s="48"/>
      <c r="P260" s="48"/>
      <c r="Q260" s="48"/>
      <c r="R260" s="48"/>
      <c r="S260" s="48"/>
      <c r="T260" s="48"/>
      <c r="U260" s="48"/>
      <c r="V260" s="48"/>
      <c r="W260" s="48"/>
      <c r="X260" s="48"/>
      <c r="Y260" s="48"/>
      <c r="Z260" s="48"/>
    </row>
    <row r="261" ht="23.25" customHeight="1">
      <c r="A261" s="111" t="str">
        <f>IF(B261="","",VLOOKUP(B261,'Mitglieder BBU'!A:K,6,0))</f>
        <v/>
      </c>
      <c r="B261" s="118"/>
      <c r="C261" s="129"/>
      <c r="D261" s="129"/>
      <c r="E261" s="129"/>
      <c r="F261" s="129"/>
      <c r="G261" s="129"/>
      <c r="H261" s="129"/>
      <c r="I261" s="128">
        <f t="shared" si="1"/>
        <v>0</v>
      </c>
      <c r="J261" s="48"/>
      <c r="K261" s="48"/>
      <c r="L261" s="48"/>
      <c r="M261" s="48"/>
      <c r="N261" s="48"/>
      <c r="O261" s="48"/>
      <c r="P261" s="48"/>
      <c r="Q261" s="48"/>
      <c r="R261" s="48"/>
      <c r="S261" s="48"/>
      <c r="T261" s="48"/>
      <c r="U261" s="48"/>
      <c r="V261" s="48"/>
      <c r="W261" s="48"/>
      <c r="X261" s="48"/>
      <c r="Y261" s="48"/>
      <c r="Z261" s="48"/>
    </row>
    <row r="262" ht="23.25" customHeight="1">
      <c r="A262" s="111" t="str">
        <f>IF(B262="","",VLOOKUP(B262,'Mitglieder BBU'!A:K,6,0))</f>
        <v/>
      </c>
      <c r="B262" s="118"/>
      <c r="C262" s="129"/>
      <c r="D262" s="129"/>
      <c r="E262" s="129"/>
      <c r="F262" s="129"/>
      <c r="G262" s="129"/>
      <c r="H262" s="129"/>
      <c r="I262" s="128">
        <f t="shared" si="1"/>
        <v>0</v>
      </c>
      <c r="J262" s="48"/>
      <c r="K262" s="48"/>
      <c r="L262" s="48"/>
      <c r="M262" s="48"/>
      <c r="N262" s="48"/>
      <c r="O262" s="48"/>
      <c r="P262" s="48"/>
      <c r="Q262" s="48"/>
      <c r="R262" s="48"/>
      <c r="S262" s="48"/>
      <c r="T262" s="48"/>
      <c r="U262" s="48"/>
      <c r="V262" s="48"/>
      <c r="W262" s="48"/>
      <c r="X262" s="48"/>
      <c r="Y262" s="48"/>
      <c r="Z262" s="48"/>
    </row>
    <row r="263" ht="23.25" customHeight="1">
      <c r="A263" s="111" t="str">
        <f>IF(B263="","",VLOOKUP(B263,'Mitglieder BBU'!A:K,6,0))</f>
        <v/>
      </c>
      <c r="B263" s="118"/>
      <c r="C263" s="129"/>
      <c r="D263" s="129"/>
      <c r="E263" s="129"/>
      <c r="F263" s="129"/>
      <c r="G263" s="129"/>
      <c r="H263" s="129"/>
      <c r="I263" s="128">
        <f t="shared" si="1"/>
        <v>0</v>
      </c>
      <c r="J263" s="48"/>
      <c r="K263" s="48"/>
      <c r="L263" s="48"/>
      <c r="M263" s="48"/>
      <c r="N263" s="48"/>
      <c r="O263" s="48"/>
      <c r="P263" s="48"/>
      <c r="Q263" s="48"/>
      <c r="R263" s="48"/>
      <c r="S263" s="48"/>
      <c r="T263" s="48"/>
      <c r="U263" s="48"/>
      <c r="V263" s="48"/>
      <c r="W263" s="48"/>
      <c r="X263" s="48"/>
      <c r="Y263" s="48"/>
      <c r="Z263" s="48"/>
    </row>
    <row r="264" ht="23.25" customHeight="1">
      <c r="A264" s="111" t="str">
        <f>IF(B264="","",VLOOKUP(B264,'Mitglieder BBU'!A:K,6,0))</f>
        <v/>
      </c>
      <c r="B264" s="118"/>
      <c r="C264" s="129"/>
      <c r="D264" s="129"/>
      <c r="E264" s="129"/>
      <c r="F264" s="129"/>
      <c r="G264" s="129"/>
      <c r="H264" s="129"/>
      <c r="I264" s="128">
        <f t="shared" si="1"/>
        <v>0</v>
      </c>
      <c r="J264" s="48"/>
      <c r="K264" s="48"/>
      <c r="L264" s="48"/>
      <c r="M264" s="48"/>
      <c r="N264" s="48"/>
      <c r="O264" s="48"/>
      <c r="P264" s="48"/>
      <c r="Q264" s="48"/>
      <c r="R264" s="48"/>
      <c r="S264" s="48"/>
      <c r="T264" s="48"/>
      <c r="U264" s="48"/>
      <c r="V264" s="48"/>
      <c r="W264" s="48"/>
      <c r="X264" s="48"/>
      <c r="Y264" s="48"/>
      <c r="Z264" s="48"/>
    </row>
    <row r="265" ht="23.25" customHeight="1">
      <c r="A265" s="111" t="str">
        <f>IF(B265="","",VLOOKUP(B265,'Mitglieder BBU'!A:K,6,0))</f>
        <v/>
      </c>
      <c r="B265" s="118"/>
      <c r="C265" s="129"/>
      <c r="D265" s="129"/>
      <c r="E265" s="129"/>
      <c r="F265" s="129"/>
      <c r="G265" s="129"/>
      <c r="H265" s="129"/>
      <c r="I265" s="128">
        <f t="shared" si="1"/>
        <v>0</v>
      </c>
      <c r="J265" s="48"/>
      <c r="K265" s="48"/>
      <c r="L265" s="48"/>
      <c r="M265" s="48"/>
      <c r="N265" s="48"/>
      <c r="O265" s="48"/>
      <c r="P265" s="48"/>
      <c r="Q265" s="48"/>
      <c r="R265" s="48"/>
      <c r="S265" s="48"/>
      <c r="T265" s="48"/>
      <c r="U265" s="48"/>
      <c r="V265" s="48"/>
      <c r="W265" s="48"/>
      <c r="X265" s="48"/>
      <c r="Y265" s="48"/>
      <c r="Z265" s="48"/>
    </row>
    <row r="266" ht="23.25" customHeight="1">
      <c r="A266" s="111" t="str">
        <f>IF(B266="","",VLOOKUP(B266,'Mitglieder BBU'!A:K,6,0))</f>
        <v/>
      </c>
      <c r="B266" s="118"/>
      <c r="C266" s="129"/>
      <c r="D266" s="129"/>
      <c r="E266" s="129"/>
      <c r="F266" s="129"/>
      <c r="G266" s="129"/>
      <c r="H266" s="129"/>
      <c r="I266" s="128">
        <f t="shared" si="1"/>
        <v>0</v>
      </c>
      <c r="J266" s="48"/>
      <c r="K266" s="48"/>
      <c r="L266" s="48"/>
      <c r="M266" s="48"/>
      <c r="N266" s="48"/>
      <c r="O266" s="48"/>
      <c r="P266" s="48"/>
      <c r="Q266" s="48"/>
      <c r="R266" s="48"/>
      <c r="S266" s="48"/>
      <c r="T266" s="48"/>
      <c r="U266" s="48"/>
      <c r="V266" s="48"/>
      <c r="W266" s="48"/>
      <c r="X266" s="48"/>
      <c r="Y266" s="48"/>
      <c r="Z266" s="48"/>
    </row>
    <row r="267" ht="23.25" customHeight="1">
      <c r="A267" s="111" t="str">
        <f>IF(B267="","",VLOOKUP(B267,'Mitglieder BBU'!A:K,6,0))</f>
        <v/>
      </c>
      <c r="B267" s="118"/>
      <c r="C267" s="129"/>
      <c r="D267" s="129"/>
      <c r="E267" s="129"/>
      <c r="F267" s="129"/>
      <c r="G267" s="129"/>
      <c r="H267" s="129"/>
      <c r="I267" s="128">
        <f t="shared" si="1"/>
        <v>0</v>
      </c>
      <c r="J267" s="48"/>
      <c r="K267" s="48"/>
      <c r="L267" s="48"/>
      <c r="M267" s="48"/>
      <c r="N267" s="48"/>
      <c r="O267" s="48"/>
      <c r="P267" s="48"/>
      <c r="Q267" s="48"/>
      <c r="R267" s="48"/>
      <c r="S267" s="48"/>
      <c r="T267" s="48"/>
      <c r="U267" s="48"/>
      <c r="V267" s="48"/>
      <c r="W267" s="48"/>
      <c r="X267" s="48"/>
      <c r="Y267" s="48"/>
      <c r="Z267" s="48"/>
    </row>
    <row r="268" ht="23.25" customHeight="1">
      <c r="A268" s="111" t="str">
        <f>IF(B268="","",VLOOKUP(B268,'Mitglieder BBU'!A:K,6,0))</f>
        <v/>
      </c>
      <c r="B268" s="118"/>
      <c r="C268" s="129"/>
      <c r="D268" s="129"/>
      <c r="E268" s="129"/>
      <c r="F268" s="129"/>
      <c r="G268" s="129"/>
      <c r="H268" s="129"/>
      <c r="I268" s="128">
        <f t="shared" si="1"/>
        <v>0</v>
      </c>
      <c r="J268" s="48"/>
      <c r="K268" s="48"/>
      <c r="L268" s="48"/>
      <c r="M268" s="48"/>
      <c r="N268" s="48"/>
      <c r="O268" s="48"/>
      <c r="P268" s="48"/>
      <c r="Q268" s="48"/>
      <c r="R268" s="48"/>
      <c r="S268" s="48"/>
      <c r="T268" s="48"/>
      <c r="U268" s="48"/>
      <c r="V268" s="48"/>
      <c r="W268" s="48"/>
      <c r="X268" s="48"/>
      <c r="Y268" s="48"/>
      <c r="Z268" s="48"/>
    </row>
    <row r="269" ht="23.25" customHeight="1">
      <c r="A269" s="111" t="str">
        <f>IF(B269="","",VLOOKUP(B269,'Mitglieder BBU'!A:K,6,0))</f>
        <v/>
      </c>
      <c r="B269" s="118"/>
      <c r="C269" s="129"/>
      <c r="D269" s="129"/>
      <c r="E269" s="129"/>
      <c r="F269" s="129"/>
      <c r="G269" s="129"/>
      <c r="H269" s="129"/>
      <c r="I269" s="128">
        <f t="shared" si="1"/>
        <v>0</v>
      </c>
      <c r="J269" s="48"/>
      <c r="K269" s="48"/>
      <c r="L269" s="48"/>
      <c r="M269" s="48"/>
      <c r="N269" s="48"/>
      <c r="O269" s="48"/>
      <c r="P269" s="48"/>
      <c r="Q269" s="48"/>
      <c r="R269" s="48"/>
      <c r="S269" s="48"/>
      <c r="T269" s="48"/>
      <c r="U269" s="48"/>
      <c r="V269" s="48"/>
      <c r="W269" s="48"/>
      <c r="X269" s="48"/>
      <c r="Y269" s="48"/>
      <c r="Z269" s="48"/>
    </row>
    <row r="270" ht="23.25" customHeight="1">
      <c r="A270" s="111" t="str">
        <f>IF(B270="","",VLOOKUP(B270,'Mitglieder BBU'!A:K,6,0))</f>
        <v/>
      </c>
      <c r="B270" s="118"/>
      <c r="C270" s="129"/>
      <c r="D270" s="129"/>
      <c r="E270" s="129"/>
      <c r="F270" s="129"/>
      <c r="G270" s="129"/>
      <c r="H270" s="129"/>
      <c r="I270" s="128">
        <f t="shared" si="1"/>
        <v>0</v>
      </c>
      <c r="J270" s="48"/>
      <c r="K270" s="48"/>
      <c r="L270" s="48"/>
      <c r="M270" s="48"/>
      <c r="N270" s="48"/>
      <c r="O270" s="48"/>
      <c r="P270" s="48"/>
      <c r="Q270" s="48"/>
      <c r="R270" s="48"/>
      <c r="S270" s="48"/>
      <c r="T270" s="48"/>
      <c r="U270" s="48"/>
      <c r="V270" s="48"/>
      <c r="W270" s="48"/>
      <c r="X270" s="48"/>
      <c r="Y270" s="48"/>
      <c r="Z270" s="48"/>
    </row>
    <row r="271" ht="23.25" customHeight="1">
      <c r="A271" s="111" t="str">
        <f>IF(B271="","",VLOOKUP(B271,'Mitglieder BBU'!A:K,6,0))</f>
        <v/>
      </c>
      <c r="B271" s="118"/>
      <c r="C271" s="129"/>
      <c r="D271" s="129"/>
      <c r="E271" s="129"/>
      <c r="F271" s="129"/>
      <c r="G271" s="129"/>
      <c r="H271" s="129"/>
      <c r="I271" s="128">
        <f t="shared" si="1"/>
        <v>0</v>
      </c>
      <c r="J271" s="48"/>
      <c r="K271" s="48"/>
      <c r="L271" s="48"/>
      <c r="M271" s="48"/>
      <c r="N271" s="48"/>
      <c r="O271" s="48"/>
      <c r="P271" s="48"/>
      <c r="Q271" s="48"/>
      <c r="R271" s="48"/>
      <c r="S271" s="48"/>
      <c r="T271" s="48"/>
      <c r="U271" s="48"/>
      <c r="V271" s="48"/>
      <c r="W271" s="48"/>
      <c r="X271" s="48"/>
      <c r="Y271" s="48"/>
      <c r="Z271" s="48"/>
    </row>
    <row r="272" ht="23.25" customHeight="1">
      <c r="A272" s="111" t="str">
        <f>IF(B272="","",VLOOKUP(B272,'Mitglieder BBU'!A:K,6,0))</f>
        <v/>
      </c>
      <c r="B272" s="118"/>
      <c r="C272" s="129"/>
      <c r="D272" s="129"/>
      <c r="E272" s="129"/>
      <c r="F272" s="129"/>
      <c r="G272" s="129"/>
      <c r="H272" s="129"/>
      <c r="I272" s="128">
        <f t="shared" si="1"/>
        <v>0</v>
      </c>
      <c r="J272" s="48"/>
      <c r="K272" s="48"/>
      <c r="L272" s="48"/>
      <c r="M272" s="48"/>
      <c r="N272" s="48"/>
      <c r="O272" s="48"/>
      <c r="P272" s="48"/>
      <c r="Q272" s="48"/>
      <c r="R272" s="48"/>
      <c r="S272" s="48"/>
      <c r="T272" s="48"/>
      <c r="U272" s="48"/>
      <c r="V272" s="48"/>
      <c r="W272" s="48"/>
      <c r="X272" s="48"/>
      <c r="Y272" s="48"/>
      <c r="Z272" s="48"/>
    </row>
    <row r="273" ht="23.25" customHeight="1">
      <c r="A273" s="111" t="str">
        <f>IF(B273="","",VLOOKUP(B273,'Mitglieder BBU'!A:K,6,0))</f>
        <v/>
      </c>
      <c r="B273" s="118"/>
      <c r="C273" s="129"/>
      <c r="D273" s="129"/>
      <c r="E273" s="129"/>
      <c r="F273" s="129"/>
      <c r="G273" s="129"/>
      <c r="H273" s="129"/>
      <c r="I273" s="128">
        <f t="shared" si="1"/>
        <v>0</v>
      </c>
      <c r="J273" s="48"/>
      <c r="K273" s="48"/>
      <c r="L273" s="48"/>
      <c r="M273" s="48"/>
      <c r="N273" s="48"/>
      <c r="O273" s="48"/>
      <c r="P273" s="48"/>
      <c r="Q273" s="48"/>
      <c r="R273" s="48"/>
      <c r="S273" s="48"/>
      <c r="T273" s="48"/>
      <c r="U273" s="48"/>
      <c r="V273" s="48"/>
      <c r="W273" s="48"/>
      <c r="X273" s="48"/>
      <c r="Y273" s="48"/>
      <c r="Z273" s="48"/>
    </row>
    <row r="274" ht="23.25" customHeight="1">
      <c r="A274" s="111" t="str">
        <f>IF(B274="","",VLOOKUP(B274,'Mitglieder BBU'!A:K,6,0))</f>
        <v/>
      </c>
      <c r="B274" s="118"/>
      <c r="C274" s="129"/>
      <c r="D274" s="129"/>
      <c r="E274" s="129"/>
      <c r="F274" s="129"/>
      <c r="G274" s="129"/>
      <c r="H274" s="129"/>
      <c r="I274" s="128">
        <f t="shared" si="1"/>
        <v>0</v>
      </c>
      <c r="J274" s="48"/>
      <c r="K274" s="48"/>
      <c r="L274" s="48"/>
      <c r="M274" s="48"/>
      <c r="N274" s="48"/>
      <c r="O274" s="48"/>
      <c r="P274" s="48"/>
      <c r="Q274" s="48"/>
      <c r="R274" s="48"/>
      <c r="S274" s="48"/>
      <c r="T274" s="48"/>
      <c r="U274" s="48"/>
      <c r="V274" s="48"/>
      <c r="W274" s="48"/>
      <c r="X274" s="48"/>
      <c r="Y274" s="48"/>
      <c r="Z274" s="48"/>
    </row>
    <row r="275" ht="23.25" customHeight="1">
      <c r="A275" s="111" t="str">
        <f>IF(B275="","",VLOOKUP(B275,'Mitglieder BBU'!A:K,6,0))</f>
        <v/>
      </c>
      <c r="B275" s="118"/>
      <c r="C275" s="129"/>
      <c r="D275" s="129"/>
      <c r="E275" s="129"/>
      <c r="F275" s="129"/>
      <c r="G275" s="129"/>
      <c r="H275" s="129"/>
      <c r="I275" s="128">
        <f t="shared" si="1"/>
        <v>0</v>
      </c>
      <c r="J275" s="48"/>
      <c r="K275" s="48"/>
      <c r="L275" s="48"/>
      <c r="M275" s="48"/>
      <c r="N275" s="48"/>
      <c r="O275" s="48"/>
      <c r="P275" s="48"/>
      <c r="Q275" s="48"/>
      <c r="R275" s="48"/>
      <c r="S275" s="48"/>
      <c r="T275" s="48"/>
      <c r="U275" s="48"/>
      <c r="V275" s="48"/>
      <c r="W275" s="48"/>
      <c r="X275" s="48"/>
      <c r="Y275" s="48"/>
      <c r="Z275" s="48"/>
    </row>
    <row r="276" ht="23.25" customHeight="1">
      <c r="A276" s="111" t="str">
        <f>IF(B276="","",VLOOKUP(B276,'Mitglieder BBU'!A:K,6,0))</f>
        <v/>
      </c>
      <c r="B276" s="118"/>
      <c r="C276" s="129"/>
      <c r="D276" s="129"/>
      <c r="E276" s="129"/>
      <c r="F276" s="129"/>
      <c r="G276" s="129"/>
      <c r="H276" s="129"/>
      <c r="I276" s="128">
        <f t="shared" si="1"/>
        <v>0</v>
      </c>
      <c r="J276" s="48"/>
      <c r="K276" s="48"/>
      <c r="L276" s="48"/>
      <c r="M276" s="48"/>
      <c r="N276" s="48"/>
      <c r="O276" s="48"/>
      <c r="P276" s="48"/>
      <c r="Q276" s="48"/>
      <c r="R276" s="48"/>
      <c r="S276" s="48"/>
      <c r="T276" s="48"/>
      <c r="U276" s="48"/>
      <c r="V276" s="48"/>
      <c r="W276" s="48"/>
      <c r="X276" s="48"/>
      <c r="Y276" s="48"/>
      <c r="Z276" s="48"/>
    </row>
    <row r="277" ht="23.25" customHeight="1">
      <c r="A277" s="111" t="str">
        <f>IF(B277="","",VLOOKUP(B277,'Mitglieder BBU'!A:K,6,0))</f>
        <v/>
      </c>
      <c r="B277" s="118"/>
      <c r="C277" s="129"/>
      <c r="D277" s="129"/>
      <c r="E277" s="129"/>
      <c r="F277" s="129"/>
      <c r="G277" s="129"/>
      <c r="H277" s="129"/>
      <c r="I277" s="128">
        <f t="shared" si="1"/>
        <v>0</v>
      </c>
      <c r="J277" s="48"/>
      <c r="K277" s="48"/>
      <c r="L277" s="48"/>
      <c r="M277" s="48"/>
      <c r="N277" s="48"/>
      <c r="O277" s="48"/>
      <c r="P277" s="48"/>
      <c r="Q277" s="48"/>
      <c r="R277" s="48"/>
      <c r="S277" s="48"/>
      <c r="T277" s="48"/>
      <c r="U277" s="48"/>
      <c r="V277" s="48"/>
      <c r="W277" s="48"/>
      <c r="X277" s="48"/>
      <c r="Y277" s="48"/>
      <c r="Z277" s="48"/>
    </row>
    <row r="278" ht="23.25" customHeight="1">
      <c r="A278" s="111" t="str">
        <f>IF(B278="","",VLOOKUP(B278,'Mitglieder BBU'!A:K,6,0))</f>
        <v/>
      </c>
      <c r="B278" s="118"/>
      <c r="C278" s="129"/>
      <c r="D278" s="129"/>
      <c r="E278" s="129"/>
      <c r="F278" s="129"/>
      <c r="G278" s="129"/>
      <c r="H278" s="129"/>
      <c r="I278" s="128">
        <f t="shared" si="1"/>
        <v>0</v>
      </c>
      <c r="J278" s="48"/>
      <c r="K278" s="48"/>
      <c r="L278" s="48"/>
      <c r="M278" s="48"/>
      <c r="N278" s="48"/>
      <c r="O278" s="48"/>
      <c r="P278" s="48"/>
      <c r="Q278" s="48"/>
      <c r="R278" s="48"/>
      <c r="S278" s="48"/>
      <c r="T278" s="48"/>
      <c r="U278" s="48"/>
      <c r="V278" s="48"/>
      <c r="W278" s="48"/>
      <c r="X278" s="48"/>
      <c r="Y278" s="48"/>
      <c r="Z278" s="48"/>
    </row>
    <row r="279" ht="23.25" customHeight="1">
      <c r="A279" s="111" t="str">
        <f>IF(B279="","",VLOOKUP(B279,'Mitglieder BBU'!A:K,6,0))</f>
        <v/>
      </c>
      <c r="B279" s="118"/>
      <c r="C279" s="129"/>
      <c r="D279" s="129"/>
      <c r="E279" s="129"/>
      <c r="F279" s="129"/>
      <c r="G279" s="129"/>
      <c r="H279" s="129"/>
      <c r="I279" s="128">
        <f t="shared" si="1"/>
        <v>0</v>
      </c>
      <c r="J279" s="48"/>
      <c r="K279" s="48"/>
      <c r="L279" s="48"/>
      <c r="M279" s="48"/>
      <c r="N279" s="48"/>
      <c r="O279" s="48"/>
      <c r="P279" s="48"/>
      <c r="Q279" s="48"/>
      <c r="R279" s="48"/>
      <c r="S279" s="48"/>
      <c r="T279" s="48"/>
      <c r="U279" s="48"/>
      <c r="V279" s="48"/>
      <c r="W279" s="48"/>
      <c r="X279" s="48"/>
      <c r="Y279" s="48"/>
      <c r="Z279" s="48"/>
    </row>
    <row r="280" ht="23.25" customHeight="1">
      <c r="A280" s="111" t="str">
        <f>IF(B280="","",VLOOKUP(B280,'Mitglieder BBU'!A:K,6,0))</f>
        <v/>
      </c>
      <c r="B280" s="118"/>
      <c r="C280" s="129"/>
      <c r="D280" s="129"/>
      <c r="E280" s="129"/>
      <c r="F280" s="129"/>
      <c r="G280" s="129"/>
      <c r="H280" s="129"/>
      <c r="I280" s="128">
        <f t="shared" si="1"/>
        <v>0</v>
      </c>
      <c r="J280" s="48"/>
      <c r="K280" s="48"/>
      <c r="L280" s="48"/>
      <c r="M280" s="48"/>
      <c r="N280" s="48"/>
      <c r="O280" s="48"/>
      <c r="P280" s="48"/>
      <c r="Q280" s="48"/>
      <c r="R280" s="48"/>
      <c r="S280" s="48"/>
      <c r="T280" s="48"/>
      <c r="U280" s="48"/>
      <c r="V280" s="48"/>
      <c r="W280" s="48"/>
      <c r="X280" s="48"/>
      <c r="Y280" s="48"/>
      <c r="Z280" s="48"/>
    </row>
    <row r="281" ht="23.25" customHeight="1">
      <c r="A281" s="111" t="str">
        <f>IF(B281="","",VLOOKUP(B281,'Mitglieder BBU'!A:K,6,0))</f>
        <v/>
      </c>
      <c r="B281" s="118"/>
      <c r="C281" s="129"/>
      <c r="D281" s="129"/>
      <c r="E281" s="129"/>
      <c r="F281" s="129"/>
      <c r="G281" s="129"/>
      <c r="H281" s="129"/>
      <c r="I281" s="128">
        <f t="shared" si="1"/>
        <v>0</v>
      </c>
      <c r="J281" s="48"/>
      <c r="K281" s="48"/>
      <c r="L281" s="48"/>
      <c r="M281" s="48"/>
      <c r="N281" s="48"/>
      <c r="O281" s="48"/>
      <c r="P281" s="48"/>
      <c r="Q281" s="48"/>
      <c r="R281" s="48"/>
      <c r="S281" s="48"/>
      <c r="T281" s="48"/>
      <c r="U281" s="48"/>
      <c r="V281" s="48"/>
      <c r="W281" s="48"/>
      <c r="X281" s="48"/>
      <c r="Y281" s="48"/>
      <c r="Z281" s="48"/>
    </row>
    <row r="282" ht="23.25" customHeight="1">
      <c r="A282" s="111" t="str">
        <f>IF(B282="","",VLOOKUP(B282,'Mitglieder BBU'!A:K,6,0))</f>
        <v/>
      </c>
      <c r="B282" s="118"/>
      <c r="C282" s="129"/>
      <c r="D282" s="129"/>
      <c r="E282" s="129"/>
      <c r="F282" s="129"/>
      <c r="G282" s="129"/>
      <c r="H282" s="129"/>
      <c r="I282" s="128">
        <f t="shared" si="1"/>
        <v>0</v>
      </c>
      <c r="J282" s="48"/>
      <c r="K282" s="48"/>
      <c r="L282" s="48"/>
      <c r="M282" s="48"/>
      <c r="N282" s="48"/>
      <c r="O282" s="48"/>
      <c r="P282" s="48"/>
      <c r="Q282" s="48"/>
      <c r="R282" s="48"/>
      <c r="S282" s="48"/>
      <c r="T282" s="48"/>
      <c r="U282" s="48"/>
      <c r="V282" s="48"/>
      <c r="W282" s="48"/>
      <c r="X282" s="48"/>
      <c r="Y282" s="48"/>
      <c r="Z282" s="48"/>
    </row>
    <row r="283" ht="23.25" customHeight="1">
      <c r="A283" s="111" t="str">
        <f>IF(B283="","",VLOOKUP(B283,'Mitglieder BBU'!A:K,6,0))</f>
        <v/>
      </c>
      <c r="B283" s="118"/>
      <c r="C283" s="129"/>
      <c r="D283" s="129"/>
      <c r="E283" s="129"/>
      <c r="F283" s="129"/>
      <c r="G283" s="129"/>
      <c r="H283" s="129"/>
      <c r="I283" s="128">
        <f t="shared" si="1"/>
        <v>0</v>
      </c>
      <c r="J283" s="48"/>
      <c r="K283" s="48"/>
      <c r="L283" s="48"/>
      <c r="M283" s="48"/>
      <c r="N283" s="48"/>
      <c r="O283" s="48"/>
      <c r="P283" s="48"/>
      <c r="Q283" s="48"/>
      <c r="R283" s="48"/>
      <c r="S283" s="48"/>
      <c r="T283" s="48"/>
      <c r="U283" s="48"/>
      <c r="V283" s="48"/>
      <c r="W283" s="48"/>
      <c r="X283" s="48"/>
      <c r="Y283" s="48"/>
      <c r="Z283" s="48"/>
    </row>
    <row r="284" ht="23.25" customHeight="1">
      <c r="A284" s="111" t="str">
        <f>IF(B284="","",VLOOKUP(B284,'Mitglieder BBU'!A:K,6,0))</f>
        <v/>
      </c>
      <c r="B284" s="118"/>
      <c r="C284" s="129"/>
      <c r="D284" s="129"/>
      <c r="E284" s="129"/>
      <c r="F284" s="129"/>
      <c r="G284" s="129"/>
      <c r="H284" s="129"/>
      <c r="I284" s="128">
        <f t="shared" si="1"/>
        <v>0</v>
      </c>
      <c r="J284" s="48"/>
      <c r="K284" s="48"/>
      <c r="L284" s="48"/>
      <c r="M284" s="48"/>
      <c r="N284" s="48"/>
      <c r="O284" s="48"/>
      <c r="P284" s="48"/>
      <c r="Q284" s="48"/>
      <c r="R284" s="48"/>
      <c r="S284" s="48"/>
      <c r="T284" s="48"/>
      <c r="U284" s="48"/>
      <c r="V284" s="48"/>
      <c r="W284" s="48"/>
      <c r="X284" s="48"/>
      <c r="Y284" s="48"/>
      <c r="Z284" s="48"/>
    </row>
    <row r="285" ht="23.25" customHeight="1">
      <c r="A285" s="111" t="str">
        <f>IF(B285="","",VLOOKUP(B285,'Mitglieder BBU'!A:K,6,0))</f>
        <v/>
      </c>
      <c r="B285" s="118"/>
      <c r="C285" s="129"/>
      <c r="D285" s="129"/>
      <c r="E285" s="129"/>
      <c r="F285" s="129"/>
      <c r="G285" s="129"/>
      <c r="H285" s="129"/>
      <c r="I285" s="128">
        <f t="shared" si="1"/>
        <v>0</v>
      </c>
      <c r="J285" s="48"/>
      <c r="K285" s="48"/>
      <c r="L285" s="48"/>
      <c r="M285" s="48"/>
      <c r="N285" s="48"/>
      <c r="O285" s="48"/>
      <c r="P285" s="48"/>
      <c r="Q285" s="48"/>
      <c r="R285" s="48"/>
      <c r="S285" s="48"/>
      <c r="T285" s="48"/>
      <c r="U285" s="48"/>
      <c r="V285" s="48"/>
      <c r="W285" s="48"/>
      <c r="X285" s="48"/>
      <c r="Y285" s="48"/>
      <c r="Z285" s="48"/>
    </row>
    <row r="286" ht="23.25" customHeight="1">
      <c r="A286" s="111" t="str">
        <f>IF(B286="","",VLOOKUP(B286,'Mitglieder BBU'!A:K,6,0))</f>
        <v/>
      </c>
      <c r="B286" s="118"/>
      <c r="C286" s="129"/>
      <c r="D286" s="129"/>
      <c r="E286" s="129"/>
      <c r="F286" s="129"/>
      <c r="G286" s="129"/>
      <c r="H286" s="129"/>
      <c r="I286" s="128">
        <f t="shared" si="1"/>
        <v>0</v>
      </c>
      <c r="J286" s="48"/>
      <c r="K286" s="48"/>
      <c r="L286" s="48"/>
      <c r="M286" s="48"/>
      <c r="N286" s="48"/>
      <c r="O286" s="48"/>
      <c r="P286" s="48"/>
      <c r="Q286" s="48"/>
      <c r="R286" s="48"/>
      <c r="S286" s="48"/>
      <c r="T286" s="48"/>
      <c r="U286" s="48"/>
      <c r="V286" s="48"/>
      <c r="W286" s="48"/>
      <c r="X286" s="48"/>
      <c r="Y286" s="48"/>
      <c r="Z286" s="48"/>
    </row>
    <row r="287" ht="23.25" customHeight="1">
      <c r="A287" s="111" t="str">
        <f>IF(B287="","",VLOOKUP(B287,'Mitglieder BBU'!A:K,6,0))</f>
        <v/>
      </c>
      <c r="B287" s="118"/>
      <c r="C287" s="129"/>
      <c r="D287" s="129"/>
      <c r="E287" s="129"/>
      <c r="F287" s="129"/>
      <c r="G287" s="129"/>
      <c r="H287" s="129"/>
      <c r="I287" s="128">
        <f t="shared" si="1"/>
        <v>0</v>
      </c>
      <c r="J287" s="48"/>
      <c r="K287" s="48"/>
      <c r="L287" s="48"/>
      <c r="M287" s="48"/>
      <c r="N287" s="48"/>
      <c r="O287" s="48"/>
      <c r="P287" s="48"/>
      <c r="Q287" s="48"/>
      <c r="R287" s="48"/>
      <c r="S287" s="48"/>
      <c r="T287" s="48"/>
      <c r="U287" s="48"/>
      <c r="V287" s="48"/>
      <c r="W287" s="48"/>
      <c r="X287" s="48"/>
      <c r="Y287" s="48"/>
      <c r="Z287" s="48"/>
    </row>
    <row r="288" ht="23.25" customHeight="1">
      <c r="A288" s="111" t="str">
        <f>IF(B288="","",VLOOKUP(B288,'Mitglieder BBU'!A:K,6,0))</f>
        <v/>
      </c>
      <c r="B288" s="118"/>
      <c r="C288" s="129"/>
      <c r="D288" s="129"/>
      <c r="E288" s="129"/>
      <c r="F288" s="129"/>
      <c r="G288" s="129"/>
      <c r="H288" s="129"/>
      <c r="I288" s="128">
        <f t="shared" si="1"/>
        <v>0</v>
      </c>
      <c r="J288" s="48"/>
      <c r="K288" s="48"/>
      <c r="L288" s="48"/>
      <c r="M288" s="48"/>
      <c r="N288" s="48"/>
      <c r="O288" s="48"/>
      <c r="P288" s="48"/>
      <c r="Q288" s="48"/>
      <c r="R288" s="48"/>
      <c r="S288" s="48"/>
      <c r="T288" s="48"/>
      <c r="U288" s="48"/>
      <c r="V288" s="48"/>
      <c r="W288" s="48"/>
      <c r="X288" s="48"/>
      <c r="Y288" s="48"/>
      <c r="Z288" s="48"/>
    </row>
    <row r="289" ht="23.25" customHeight="1">
      <c r="A289" s="111" t="str">
        <f>IF(B289="","",VLOOKUP(B289,'Mitglieder BBU'!A:K,6,0))</f>
        <v/>
      </c>
      <c r="B289" s="118"/>
      <c r="C289" s="129"/>
      <c r="D289" s="129"/>
      <c r="E289" s="129"/>
      <c r="F289" s="129"/>
      <c r="G289" s="129"/>
      <c r="H289" s="129"/>
      <c r="I289" s="128">
        <f t="shared" si="1"/>
        <v>0</v>
      </c>
      <c r="J289" s="48"/>
      <c r="K289" s="48"/>
      <c r="L289" s="48"/>
      <c r="M289" s="48"/>
      <c r="N289" s="48"/>
      <c r="O289" s="48"/>
      <c r="P289" s="48"/>
      <c r="Q289" s="48"/>
      <c r="R289" s="48"/>
      <c r="S289" s="48"/>
      <c r="T289" s="48"/>
      <c r="U289" s="48"/>
      <c r="V289" s="48"/>
      <c r="W289" s="48"/>
      <c r="X289" s="48"/>
      <c r="Y289" s="48"/>
      <c r="Z289" s="48"/>
    </row>
    <row r="290" ht="23.25" customHeight="1">
      <c r="A290" s="111" t="str">
        <f>IF(B290="","",VLOOKUP(B290,'Mitglieder BBU'!A:K,6,0))</f>
        <v/>
      </c>
      <c r="B290" s="118"/>
      <c r="C290" s="129"/>
      <c r="D290" s="129"/>
      <c r="E290" s="129"/>
      <c r="F290" s="129"/>
      <c r="G290" s="129"/>
      <c r="H290" s="129"/>
      <c r="I290" s="128">
        <f t="shared" si="1"/>
        <v>0</v>
      </c>
      <c r="J290" s="48"/>
      <c r="K290" s="48"/>
      <c r="L290" s="48"/>
      <c r="M290" s="48"/>
      <c r="N290" s="48"/>
      <c r="O290" s="48"/>
      <c r="P290" s="48"/>
      <c r="Q290" s="48"/>
      <c r="R290" s="48"/>
      <c r="S290" s="48"/>
      <c r="T290" s="48"/>
      <c r="U290" s="48"/>
      <c r="V290" s="48"/>
      <c r="W290" s="48"/>
      <c r="X290" s="48"/>
      <c r="Y290" s="48"/>
      <c r="Z290" s="48"/>
    </row>
    <row r="291" ht="23.25" customHeight="1">
      <c r="A291" s="111" t="str">
        <f>IF(B291="","",VLOOKUP(B291,'Mitglieder BBU'!A:K,6,0))</f>
        <v/>
      </c>
      <c r="B291" s="118"/>
      <c r="C291" s="129"/>
      <c r="D291" s="129"/>
      <c r="E291" s="129"/>
      <c r="F291" s="129"/>
      <c r="G291" s="129"/>
      <c r="H291" s="129"/>
      <c r="I291" s="128">
        <f t="shared" si="1"/>
        <v>0</v>
      </c>
      <c r="J291" s="48"/>
      <c r="K291" s="48"/>
      <c r="L291" s="48"/>
      <c r="M291" s="48"/>
      <c r="N291" s="48"/>
      <c r="O291" s="48"/>
      <c r="P291" s="48"/>
      <c r="Q291" s="48"/>
      <c r="R291" s="48"/>
      <c r="S291" s="48"/>
      <c r="T291" s="48"/>
      <c r="U291" s="48"/>
      <c r="V291" s="48"/>
      <c r="W291" s="48"/>
      <c r="X291" s="48"/>
      <c r="Y291" s="48"/>
      <c r="Z291" s="48"/>
    </row>
    <row r="292" ht="23.25" customHeight="1">
      <c r="A292" s="111" t="str">
        <f>IF(B292="","",VLOOKUP(B292,'Mitglieder BBU'!A:K,6,0))</f>
        <v/>
      </c>
      <c r="B292" s="118"/>
      <c r="C292" s="129"/>
      <c r="D292" s="129"/>
      <c r="E292" s="129"/>
      <c r="F292" s="129"/>
      <c r="G292" s="129"/>
      <c r="H292" s="129"/>
      <c r="I292" s="128">
        <f t="shared" si="1"/>
        <v>0</v>
      </c>
      <c r="J292" s="48"/>
      <c r="K292" s="48"/>
      <c r="L292" s="48"/>
      <c r="M292" s="48"/>
      <c r="N292" s="48"/>
      <c r="O292" s="48"/>
      <c r="P292" s="48"/>
      <c r="Q292" s="48"/>
      <c r="R292" s="48"/>
      <c r="S292" s="48"/>
      <c r="T292" s="48"/>
      <c r="U292" s="48"/>
      <c r="V292" s="48"/>
      <c r="W292" s="48"/>
      <c r="X292" s="48"/>
      <c r="Y292" s="48"/>
      <c r="Z292" s="48"/>
    </row>
    <row r="293" ht="23.25" customHeight="1">
      <c r="A293" s="111" t="str">
        <f>IF(B293="","",VLOOKUP(B293,'Mitglieder BBU'!A:K,6,0))</f>
        <v/>
      </c>
      <c r="B293" s="118"/>
      <c r="C293" s="129"/>
      <c r="D293" s="129"/>
      <c r="E293" s="129"/>
      <c r="F293" s="129"/>
      <c r="G293" s="129"/>
      <c r="H293" s="129"/>
      <c r="I293" s="128">
        <f t="shared" si="1"/>
        <v>0</v>
      </c>
      <c r="J293" s="48"/>
      <c r="K293" s="48"/>
      <c r="L293" s="48"/>
      <c r="M293" s="48"/>
      <c r="N293" s="48"/>
      <c r="O293" s="48"/>
      <c r="P293" s="48"/>
      <c r="Q293" s="48"/>
      <c r="R293" s="48"/>
      <c r="S293" s="48"/>
      <c r="T293" s="48"/>
      <c r="U293" s="48"/>
      <c r="V293" s="48"/>
      <c r="W293" s="48"/>
      <c r="X293" s="48"/>
      <c r="Y293" s="48"/>
      <c r="Z293" s="48"/>
    </row>
    <row r="294" ht="23.25" customHeight="1">
      <c r="A294" s="111" t="str">
        <f>IF(B294="","",VLOOKUP(B294,'Mitglieder BBU'!A:K,6,0))</f>
        <v/>
      </c>
      <c r="B294" s="118"/>
      <c r="C294" s="129"/>
      <c r="D294" s="129"/>
      <c r="E294" s="129"/>
      <c r="F294" s="129"/>
      <c r="G294" s="129"/>
      <c r="H294" s="129"/>
      <c r="I294" s="128">
        <f t="shared" si="1"/>
        <v>0</v>
      </c>
      <c r="J294" s="48"/>
      <c r="K294" s="48"/>
      <c r="L294" s="48"/>
      <c r="M294" s="48"/>
      <c r="N294" s="48"/>
      <c r="O294" s="48"/>
      <c r="P294" s="48"/>
      <c r="Q294" s="48"/>
      <c r="R294" s="48"/>
      <c r="S294" s="48"/>
      <c r="T294" s="48"/>
      <c r="U294" s="48"/>
      <c r="V294" s="48"/>
      <c r="W294" s="48"/>
      <c r="X294" s="48"/>
      <c r="Y294" s="48"/>
      <c r="Z294" s="48"/>
    </row>
    <row r="295" ht="23.25" customHeight="1">
      <c r="A295" s="111" t="str">
        <f>IF(B295="","",VLOOKUP(B295,'Mitglieder BBU'!A:K,6,0))</f>
        <v/>
      </c>
      <c r="B295" s="118"/>
      <c r="C295" s="129"/>
      <c r="D295" s="129"/>
      <c r="E295" s="129"/>
      <c r="F295" s="129"/>
      <c r="G295" s="129"/>
      <c r="H295" s="129"/>
      <c r="I295" s="128">
        <f t="shared" si="1"/>
        <v>0</v>
      </c>
      <c r="J295" s="48"/>
      <c r="K295" s="48"/>
      <c r="L295" s="48"/>
      <c r="M295" s="48"/>
      <c r="N295" s="48"/>
      <c r="O295" s="48"/>
      <c r="P295" s="48"/>
      <c r="Q295" s="48"/>
      <c r="R295" s="48"/>
      <c r="S295" s="48"/>
      <c r="T295" s="48"/>
      <c r="U295" s="48"/>
      <c r="V295" s="48"/>
      <c r="W295" s="48"/>
      <c r="X295" s="48"/>
      <c r="Y295" s="48"/>
      <c r="Z295" s="48"/>
    </row>
    <row r="296" ht="23.25" customHeight="1">
      <c r="A296" s="111" t="str">
        <f>IF(B296="","",VLOOKUP(B296,'Mitglieder BBU'!A:K,6,0))</f>
        <v/>
      </c>
      <c r="B296" s="118"/>
      <c r="C296" s="129"/>
      <c r="D296" s="129"/>
      <c r="E296" s="129"/>
      <c r="F296" s="129"/>
      <c r="G296" s="129"/>
      <c r="H296" s="129"/>
      <c r="I296" s="128">
        <f t="shared" si="1"/>
        <v>0</v>
      </c>
      <c r="J296" s="48"/>
      <c r="K296" s="48"/>
      <c r="L296" s="48"/>
      <c r="M296" s="48"/>
      <c r="N296" s="48"/>
      <c r="O296" s="48"/>
      <c r="P296" s="48"/>
      <c r="Q296" s="48"/>
      <c r="R296" s="48"/>
      <c r="S296" s="48"/>
      <c r="T296" s="48"/>
      <c r="U296" s="48"/>
      <c r="V296" s="48"/>
      <c r="W296" s="48"/>
      <c r="X296" s="48"/>
      <c r="Y296" s="48"/>
      <c r="Z296" s="48"/>
    </row>
    <row r="297" ht="23.25" customHeight="1">
      <c r="A297" s="111" t="str">
        <f>IF(B297="","",VLOOKUP(B297,'Mitglieder BBU'!A:K,6,0))</f>
        <v/>
      </c>
      <c r="B297" s="118"/>
      <c r="C297" s="129"/>
      <c r="D297" s="129"/>
      <c r="E297" s="129"/>
      <c r="F297" s="129"/>
      <c r="G297" s="129"/>
      <c r="H297" s="129"/>
      <c r="I297" s="128">
        <f t="shared" si="1"/>
        <v>0</v>
      </c>
      <c r="J297" s="48"/>
      <c r="K297" s="48"/>
      <c r="L297" s="48"/>
      <c r="M297" s="48"/>
      <c r="N297" s="48"/>
      <c r="O297" s="48"/>
      <c r="P297" s="48"/>
      <c r="Q297" s="48"/>
      <c r="R297" s="48"/>
      <c r="S297" s="48"/>
      <c r="T297" s="48"/>
      <c r="U297" s="48"/>
      <c r="V297" s="48"/>
      <c r="W297" s="48"/>
      <c r="X297" s="48"/>
      <c r="Y297" s="48"/>
      <c r="Z297" s="48"/>
    </row>
    <row r="298" ht="23.25" customHeight="1">
      <c r="A298" s="111" t="str">
        <f>IF(B298="","",VLOOKUP(B298,'Mitglieder BBU'!A:K,6,0))</f>
        <v/>
      </c>
      <c r="B298" s="118"/>
      <c r="C298" s="129"/>
      <c r="D298" s="129"/>
      <c r="E298" s="129"/>
      <c r="F298" s="129"/>
      <c r="G298" s="129"/>
      <c r="H298" s="129"/>
      <c r="I298" s="128">
        <f t="shared" si="1"/>
        <v>0</v>
      </c>
      <c r="J298" s="48"/>
      <c r="K298" s="48"/>
      <c r="L298" s="48"/>
      <c r="M298" s="48"/>
      <c r="N298" s="48"/>
      <c r="O298" s="48"/>
      <c r="P298" s="48"/>
      <c r="Q298" s="48"/>
      <c r="R298" s="48"/>
      <c r="S298" s="48"/>
      <c r="T298" s="48"/>
      <c r="U298" s="48"/>
      <c r="V298" s="48"/>
      <c r="W298" s="48"/>
      <c r="X298" s="48"/>
      <c r="Y298" s="48"/>
      <c r="Z298" s="48"/>
    </row>
    <row r="299" ht="23.25" customHeight="1">
      <c r="A299" s="111" t="str">
        <f>IF(B299="","",VLOOKUP(B299,'Mitglieder BBU'!A:K,6,0))</f>
        <v/>
      </c>
      <c r="B299" s="118"/>
      <c r="C299" s="129"/>
      <c r="D299" s="129"/>
      <c r="E299" s="129"/>
      <c r="F299" s="129"/>
      <c r="G299" s="129"/>
      <c r="H299" s="129"/>
      <c r="I299" s="128">
        <f t="shared" si="1"/>
        <v>0</v>
      </c>
      <c r="J299" s="48"/>
      <c r="K299" s="48"/>
      <c r="L299" s="48"/>
      <c r="M299" s="48"/>
      <c r="N299" s="48"/>
      <c r="O299" s="48"/>
      <c r="P299" s="48"/>
      <c r="Q299" s="48"/>
      <c r="R299" s="48"/>
      <c r="S299" s="48"/>
      <c r="T299" s="48"/>
      <c r="U299" s="48"/>
      <c r="V299" s="48"/>
      <c r="W299" s="48"/>
      <c r="X299" s="48"/>
      <c r="Y299" s="48"/>
      <c r="Z299" s="48"/>
    </row>
    <row r="300" ht="23.25" customHeight="1">
      <c r="A300" s="111" t="str">
        <f>IF(B300="","",VLOOKUP(B300,'Mitglieder BBU'!A:K,6,0))</f>
        <v/>
      </c>
      <c r="B300" s="118"/>
      <c r="C300" s="129"/>
      <c r="D300" s="129"/>
      <c r="E300" s="129"/>
      <c r="F300" s="129"/>
      <c r="G300" s="129"/>
      <c r="H300" s="129"/>
      <c r="I300" s="128">
        <f t="shared" si="1"/>
        <v>0</v>
      </c>
      <c r="J300" s="48"/>
      <c r="K300" s="48"/>
      <c r="L300" s="48"/>
      <c r="M300" s="48"/>
      <c r="N300" s="48"/>
      <c r="O300" s="48"/>
      <c r="P300" s="48"/>
      <c r="Q300" s="48"/>
      <c r="R300" s="48"/>
      <c r="S300" s="48"/>
      <c r="T300" s="48"/>
      <c r="U300" s="48"/>
      <c r="V300" s="48"/>
      <c r="W300" s="48"/>
      <c r="X300" s="48"/>
      <c r="Y300" s="48"/>
      <c r="Z300" s="48"/>
    </row>
    <row r="301" ht="23.25" customHeight="1">
      <c r="A301" s="111" t="str">
        <f>IF(B301="","",VLOOKUP(B301,'Mitglieder BBU'!A:K,6,0))</f>
        <v/>
      </c>
      <c r="B301" s="118"/>
      <c r="C301" s="129"/>
      <c r="D301" s="129"/>
      <c r="E301" s="129"/>
      <c r="F301" s="129"/>
      <c r="G301" s="129"/>
      <c r="H301" s="129"/>
      <c r="I301" s="128">
        <f t="shared" si="1"/>
        <v>0</v>
      </c>
      <c r="J301" s="48"/>
      <c r="K301" s="48"/>
      <c r="L301" s="48"/>
      <c r="M301" s="48"/>
      <c r="N301" s="48"/>
      <c r="O301" s="48"/>
      <c r="P301" s="48"/>
      <c r="Q301" s="48"/>
      <c r="R301" s="48"/>
      <c r="S301" s="48"/>
      <c r="T301" s="48"/>
      <c r="U301" s="48"/>
      <c r="V301" s="48"/>
      <c r="W301" s="48"/>
      <c r="X301" s="48"/>
      <c r="Y301" s="48"/>
      <c r="Z301" s="48"/>
    </row>
    <row r="302" ht="23.25" customHeight="1">
      <c r="A302" s="111" t="str">
        <f>IF(B302="","",VLOOKUP(B302,'Mitglieder BBU'!A:K,6,0))</f>
        <v/>
      </c>
      <c r="B302" s="118"/>
      <c r="C302" s="129"/>
      <c r="D302" s="129"/>
      <c r="E302" s="129"/>
      <c r="F302" s="129"/>
      <c r="G302" s="129"/>
      <c r="H302" s="129"/>
      <c r="I302" s="128">
        <f t="shared" si="1"/>
        <v>0</v>
      </c>
      <c r="J302" s="48"/>
      <c r="K302" s="48"/>
      <c r="L302" s="48"/>
      <c r="M302" s="48"/>
      <c r="N302" s="48"/>
      <c r="O302" s="48"/>
      <c r="P302" s="48"/>
      <c r="Q302" s="48"/>
      <c r="R302" s="48"/>
      <c r="S302" s="48"/>
      <c r="T302" s="48"/>
      <c r="U302" s="48"/>
      <c r="V302" s="48"/>
      <c r="W302" s="48"/>
      <c r="X302" s="48"/>
      <c r="Y302" s="48"/>
      <c r="Z302" s="48"/>
    </row>
    <row r="303" ht="23.25" customHeight="1">
      <c r="A303" s="111" t="str">
        <f>IF(B303="","",VLOOKUP(B303,'Mitglieder BBU'!A:K,6,0))</f>
        <v/>
      </c>
      <c r="B303" s="118"/>
      <c r="C303" s="129"/>
      <c r="D303" s="129"/>
      <c r="E303" s="129"/>
      <c r="F303" s="129"/>
      <c r="G303" s="129"/>
      <c r="H303" s="129"/>
      <c r="I303" s="128">
        <f t="shared" si="1"/>
        <v>0</v>
      </c>
      <c r="J303" s="48"/>
      <c r="K303" s="48"/>
      <c r="L303" s="48"/>
      <c r="M303" s="48"/>
      <c r="N303" s="48"/>
      <c r="O303" s="48"/>
      <c r="P303" s="48"/>
      <c r="Q303" s="48"/>
      <c r="R303" s="48"/>
      <c r="S303" s="48"/>
      <c r="T303" s="48"/>
      <c r="U303" s="48"/>
      <c r="V303" s="48"/>
      <c r="W303" s="48"/>
      <c r="X303" s="48"/>
      <c r="Y303" s="48"/>
      <c r="Z303" s="48"/>
    </row>
    <row r="304" ht="23.25" customHeight="1">
      <c r="A304" s="111" t="str">
        <f>IF(B304="","",VLOOKUP(B304,'Mitglieder BBU'!A:K,6,0))</f>
        <v/>
      </c>
      <c r="B304" s="118"/>
      <c r="C304" s="129"/>
      <c r="D304" s="129"/>
      <c r="E304" s="129"/>
      <c r="F304" s="129"/>
      <c r="G304" s="129"/>
      <c r="H304" s="129"/>
      <c r="I304" s="128">
        <f t="shared" si="1"/>
        <v>0</v>
      </c>
      <c r="J304" s="48"/>
      <c r="K304" s="48"/>
      <c r="L304" s="48"/>
      <c r="M304" s="48"/>
      <c r="N304" s="48"/>
      <c r="O304" s="48"/>
      <c r="P304" s="48"/>
      <c r="Q304" s="48"/>
      <c r="R304" s="48"/>
      <c r="S304" s="48"/>
      <c r="T304" s="48"/>
      <c r="U304" s="48"/>
      <c r="V304" s="48"/>
      <c r="W304" s="48"/>
      <c r="X304" s="48"/>
      <c r="Y304" s="48"/>
      <c r="Z304" s="48"/>
    </row>
    <row r="305" ht="23.25" customHeight="1">
      <c r="A305" s="111" t="str">
        <f>IF(B305="","",VLOOKUP(B305,'Mitglieder BBU'!A:K,6,0))</f>
        <v/>
      </c>
      <c r="B305" s="118"/>
      <c r="C305" s="129"/>
      <c r="D305" s="129"/>
      <c r="E305" s="129"/>
      <c r="F305" s="129"/>
      <c r="G305" s="129"/>
      <c r="H305" s="129"/>
      <c r="I305" s="128">
        <f t="shared" si="1"/>
        <v>0</v>
      </c>
      <c r="J305" s="48"/>
      <c r="K305" s="48"/>
      <c r="L305" s="48"/>
      <c r="M305" s="48"/>
      <c r="N305" s="48"/>
      <c r="O305" s="48"/>
      <c r="P305" s="48"/>
      <c r="Q305" s="48"/>
      <c r="R305" s="48"/>
      <c r="S305" s="48"/>
      <c r="T305" s="48"/>
      <c r="U305" s="48"/>
      <c r="V305" s="48"/>
      <c r="W305" s="48"/>
      <c r="X305" s="48"/>
      <c r="Y305" s="48"/>
      <c r="Z305" s="48"/>
    </row>
    <row r="306" ht="23.25" customHeight="1">
      <c r="A306" s="111" t="str">
        <f>IF(B306="","",VLOOKUP(B306,'Mitglieder BBU'!A:K,6,0))</f>
        <v/>
      </c>
      <c r="B306" s="118"/>
      <c r="C306" s="129"/>
      <c r="D306" s="129"/>
      <c r="E306" s="129"/>
      <c r="F306" s="129"/>
      <c r="G306" s="129"/>
      <c r="H306" s="129"/>
      <c r="I306" s="128">
        <f t="shared" si="1"/>
        <v>0</v>
      </c>
      <c r="J306" s="48"/>
      <c r="K306" s="48"/>
      <c r="L306" s="48"/>
      <c r="M306" s="48"/>
      <c r="N306" s="48"/>
      <c r="O306" s="48"/>
      <c r="P306" s="48"/>
      <c r="Q306" s="48"/>
      <c r="R306" s="48"/>
      <c r="S306" s="48"/>
      <c r="T306" s="48"/>
      <c r="U306" s="48"/>
      <c r="V306" s="48"/>
      <c r="W306" s="48"/>
      <c r="X306" s="48"/>
      <c r="Y306" s="48"/>
      <c r="Z306" s="48"/>
    </row>
    <row r="307" ht="23.25" customHeight="1">
      <c r="A307" s="111" t="str">
        <f>IF(B307="","",VLOOKUP(B307,'Mitglieder BBU'!A:K,6,0))</f>
        <v/>
      </c>
      <c r="B307" s="118"/>
      <c r="C307" s="129"/>
      <c r="D307" s="129"/>
      <c r="E307" s="129"/>
      <c r="F307" s="129"/>
      <c r="G307" s="129"/>
      <c r="H307" s="129"/>
      <c r="I307" s="128">
        <f t="shared" si="1"/>
        <v>0</v>
      </c>
      <c r="J307" s="48"/>
      <c r="K307" s="48"/>
      <c r="L307" s="48"/>
      <c r="M307" s="48"/>
      <c r="N307" s="48"/>
      <c r="O307" s="48"/>
      <c r="P307" s="48"/>
      <c r="Q307" s="48"/>
      <c r="R307" s="48"/>
      <c r="S307" s="48"/>
      <c r="T307" s="48"/>
      <c r="U307" s="48"/>
      <c r="V307" s="48"/>
      <c r="W307" s="48"/>
      <c r="X307" s="48"/>
      <c r="Y307" s="48"/>
      <c r="Z307" s="48"/>
    </row>
    <row r="308" ht="23.25" customHeight="1">
      <c r="A308" s="111" t="str">
        <f>IF(B308="","",VLOOKUP(B308,'Mitglieder BBU'!A:K,6,0))</f>
        <v/>
      </c>
      <c r="B308" s="118"/>
      <c r="C308" s="129"/>
      <c r="D308" s="129"/>
      <c r="E308" s="129"/>
      <c r="F308" s="129"/>
      <c r="G308" s="129"/>
      <c r="H308" s="129"/>
      <c r="I308" s="128">
        <f t="shared" si="1"/>
        <v>0</v>
      </c>
      <c r="J308" s="48"/>
      <c r="K308" s="48"/>
      <c r="L308" s="48"/>
      <c r="M308" s="48"/>
      <c r="N308" s="48"/>
      <c r="O308" s="48"/>
      <c r="P308" s="48"/>
      <c r="Q308" s="48"/>
      <c r="R308" s="48"/>
      <c r="S308" s="48"/>
      <c r="T308" s="48"/>
      <c r="U308" s="48"/>
      <c r="V308" s="48"/>
      <c r="W308" s="48"/>
      <c r="X308" s="48"/>
      <c r="Y308" s="48"/>
      <c r="Z308" s="48"/>
    </row>
    <row r="309" ht="23.25" customHeight="1">
      <c r="A309" s="111" t="str">
        <f>IF(B309="","",VLOOKUP(B309,'Mitglieder BBU'!A:K,6,0))</f>
        <v/>
      </c>
      <c r="B309" s="118"/>
      <c r="C309" s="129"/>
      <c r="D309" s="129"/>
      <c r="E309" s="129"/>
      <c r="F309" s="129"/>
      <c r="G309" s="129"/>
      <c r="H309" s="129"/>
      <c r="I309" s="128">
        <f t="shared" si="1"/>
        <v>0</v>
      </c>
      <c r="J309" s="48"/>
      <c r="K309" s="48"/>
      <c r="L309" s="48"/>
      <c r="M309" s="48"/>
      <c r="N309" s="48"/>
      <c r="O309" s="48"/>
      <c r="P309" s="48"/>
      <c r="Q309" s="48"/>
      <c r="R309" s="48"/>
      <c r="S309" s="48"/>
      <c r="T309" s="48"/>
      <c r="U309" s="48"/>
      <c r="V309" s="48"/>
      <c r="W309" s="48"/>
      <c r="X309" s="48"/>
      <c r="Y309" s="48"/>
      <c r="Z309" s="48"/>
    </row>
    <row r="310" ht="23.25" customHeight="1">
      <c r="A310" s="111" t="str">
        <f>IF(B310="","",VLOOKUP(B310,'Mitglieder BBU'!A:K,6,0))</f>
        <v/>
      </c>
      <c r="B310" s="118"/>
      <c r="C310" s="129"/>
      <c r="D310" s="129"/>
      <c r="E310" s="129"/>
      <c r="F310" s="129"/>
      <c r="G310" s="129"/>
      <c r="H310" s="129"/>
      <c r="I310" s="128">
        <f t="shared" si="1"/>
        <v>0</v>
      </c>
      <c r="J310" s="48"/>
      <c r="K310" s="48"/>
      <c r="L310" s="48"/>
      <c r="M310" s="48"/>
      <c r="N310" s="48"/>
      <c r="O310" s="48"/>
      <c r="P310" s="48"/>
      <c r="Q310" s="48"/>
      <c r="R310" s="48"/>
      <c r="S310" s="48"/>
      <c r="T310" s="48"/>
      <c r="U310" s="48"/>
      <c r="V310" s="48"/>
      <c r="W310" s="48"/>
      <c r="X310" s="48"/>
      <c r="Y310" s="48"/>
      <c r="Z310" s="48"/>
    </row>
    <row r="311" ht="23.25" customHeight="1">
      <c r="A311" s="111" t="str">
        <f>IF(B311="","",VLOOKUP(B311,'Mitglieder BBU'!A:K,6,0))</f>
        <v/>
      </c>
      <c r="B311" s="118"/>
      <c r="C311" s="129"/>
      <c r="D311" s="129"/>
      <c r="E311" s="129"/>
      <c r="F311" s="129"/>
      <c r="G311" s="129"/>
      <c r="H311" s="129"/>
      <c r="I311" s="128">
        <f t="shared" si="1"/>
        <v>0</v>
      </c>
      <c r="J311" s="48"/>
      <c r="K311" s="48"/>
      <c r="L311" s="48"/>
      <c r="M311" s="48"/>
      <c r="N311" s="48"/>
      <c r="O311" s="48"/>
      <c r="P311" s="48"/>
      <c r="Q311" s="48"/>
      <c r="R311" s="48"/>
      <c r="S311" s="48"/>
      <c r="T311" s="48"/>
      <c r="U311" s="48"/>
      <c r="V311" s="48"/>
      <c r="W311" s="48"/>
      <c r="X311" s="48"/>
      <c r="Y311" s="48"/>
      <c r="Z311" s="48"/>
    </row>
    <row r="312" ht="23.25" customHeight="1">
      <c r="A312" s="111" t="str">
        <f>IF(B312="","",VLOOKUP(B312,'Mitglieder BBU'!A:K,6,0))</f>
        <v/>
      </c>
      <c r="B312" s="118"/>
      <c r="C312" s="129"/>
      <c r="D312" s="129"/>
      <c r="E312" s="129"/>
      <c r="F312" s="129"/>
      <c r="G312" s="129"/>
      <c r="H312" s="129"/>
      <c r="I312" s="128">
        <f t="shared" si="1"/>
        <v>0</v>
      </c>
      <c r="J312" s="48"/>
      <c r="K312" s="48"/>
      <c r="L312" s="48"/>
      <c r="M312" s="48"/>
      <c r="N312" s="48"/>
      <c r="O312" s="48"/>
      <c r="P312" s="48"/>
      <c r="Q312" s="48"/>
      <c r="R312" s="48"/>
      <c r="S312" s="48"/>
      <c r="T312" s="48"/>
      <c r="U312" s="48"/>
      <c r="V312" s="48"/>
      <c r="W312" s="48"/>
      <c r="X312" s="48"/>
      <c r="Y312" s="48"/>
      <c r="Z312" s="48"/>
    </row>
    <row r="313" ht="23.25" customHeight="1">
      <c r="A313" s="111" t="str">
        <f>IF(B313="","",VLOOKUP(B313,'Mitglieder BBU'!A:K,6,0))</f>
        <v/>
      </c>
      <c r="B313" s="118"/>
      <c r="C313" s="129"/>
      <c r="D313" s="129"/>
      <c r="E313" s="129"/>
      <c r="F313" s="129"/>
      <c r="G313" s="129"/>
      <c r="H313" s="129"/>
      <c r="I313" s="128">
        <f t="shared" si="1"/>
        <v>0</v>
      </c>
      <c r="J313" s="48"/>
      <c r="K313" s="48"/>
      <c r="L313" s="48"/>
      <c r="M313" s="48"/>
      <c r="N313" s="48"/>
      <c r="O313" s="48"/>
      <c r="P313" s="48"/>
      <c r="Q313" s="48"/>
      <c r="R313" s="48"/>
      <c r="S313" s="48"/>
      <c r="T313" s="48"/>
      <c r="U313" s="48"/>
      <c r="V313" s="48"/>
      <c r="W313" s="48"/>
      <c r="X313" s="48"/>
      <c r="Y313" s="48"/>
      <c r="Z313" s="48"/>
    </row>
    <row r="314" ht="23.25" customHeight="1">
      <c r="A314" s="111" t="str">
        <f>IF(B314="","",VLOOKUP(B314,'Mitglieder BBU'!A:K,6,0))</f>
        <v/>
      </c>
      <c r="B314" s="118"/>
      <c r="C314" s="129"/>
      <c r="D314" s="129"/>
      <c r="E314" s="129"/>
      <c r="F314" s="129"/>
      <c r="G314" s="129"/>
      <c r="H314" s="129"/>
      <c r="I314" s="128">
        <f t="shared" si="1"/>
        <v>0</v>
      </c>
      <c r="J314" s="48"/>
      <c r="K314" s="48"/>
      <c r="L314" s="48"/>
      <c r="M314" s="48"/>
      <c r="N314" s="48"/>
      <c r="O314" s="48"/>
      <c r="P314" s="48"/>
      <c r="Q314" s="48"/>
      <c r="R314" s="48"/>
      <c r="S314" s="48"/>
      <c r="T314" s="48"/>
      <c r="U314" s="48"/>
      <c r="V314" s="48"/>
      <c r="W314" s="48"/>
      <c r="X314" s="48"/>
      <c r="Y314" s="48"/>
      <c r="Z314" s="48"/>
    </row>
    <row r="315" ht="23.25" customHeight="1">
      <c r="A315" s="111" t="str">
        <f>IF(B315="","",VLOOKUP(B315,'Mitglieder BBU'!A:K,6,0))</f>
        <v/>
      </c>
      <c r="B315" s="118"/>
      <c r="C315" s="129"/>
      <c r="D315" s="129"/>
      <c r="E315" s="129"/>
      <c r="F315" s="129"/>
      <c r="G315" s="129"/>
      <c r="H315" s="129"/>
      <c r="I315" s="128">
        <f t="shared" si="1"/>
        <v>0</v>
      </c>
      <c r="J315" s="48"/>
      <c r="K315" s="48"/>
      <c r="L315" s="48"/>
      <c r="M315" s="48"/>
      <c r="N315" s="48"/>
      <c r="O315" s="48"/>
      <c r="P315" s="48"/>
      <c r="Q315" s="48"/>
      <c r="R315" s="48"/>
      <c r="S315" s="48"/>
      <c r="T315" s="48"/>
      <c r="U315" s="48"/>
      <c r="V315" s="48"/>
      <c r="W315" s="48"/>
      <c r="X315" s="48"/>
      <c r="Y315" s="48"/>
      <c r="Z315" s="48"/>
    </row>
    <row r="316" ht="23.25" customHeight="1">
      <c r="A316" s="111" t="str">
        <f>IF(B316="","",VLOOKUP(B316,'Mitglieder BBU'!A:K,6,0))</f>
        <v/>
      </c>
      <c r="B316" s="118"/>
      <c r="C316" s="129"/>
      <c r="D316" s="129"/>
      <c r="E316" s="129"/>
      <c r="F316" s="129"/>
      <c r="G316" s="129"/>
      <c r="H316" s="129"/>
      <c r="I316" s="128">
        <f t="shared" si="1"/>
        <v>0</v>
      </c>
      <c r="J316" s="48"/>
      <c r="K316" s="48"/>
      <c r="L316" s="48"/>
      <c r="M316" s="48"/>
      <c r="N316" s="48"/>
      <c r="O316" s="48"/>
      <c r="P316" s="48"/>
      <c r="Q316" s="48"/>
      <c r="R316" s="48"/>
      <c r="S316" s="48"/>
      <c r="T316" s="48"/>
      <c r="U316" s="48"/>
      <c r="V316" s="48"/>
      <c r="W316" s="48"/>
      <c r="X316" s="48"/>
      <c r="Y316" s="48"/>
      <c r="Z316" s="48"/>
    </row>
    <row r="317" ht="23.25" customHeight="1">
      <c r="A317" s="111" t="str">
        <f>IF(B317="","",VLOOKUP(B317,'Mitglieder BBU'!A:K,6,0))</f>
        <v/>
      </c>
      <c r="B317" s="118"/>
      <c r="C317" s="129"/>
      <c r="D317" s="129"/>
      <c r="E317" s="129"/>
      <c r="F317" s="129"/>
      <c r="G317" s="129"/>
      <c r="H317" s="129"/>
      <c r="I317" s="128">
        <f t="shared" si="1"/>
        <v>0</v>
      </c>
      <c r="J317" s="48"/>
      <c r="K317" s="48"/>
      <c r="L317" s="48"/>
      <c r="M317" s="48"/>
      <c r="N317" s="48"/>
      <c r="O317" s="48"/>
      <c r="P317" s="48"/>
      <c r="Q317" s="48"/>
      <c r="R317" s="48"/>
      <c r="S317" s="48"/>
      <c r="T317" s="48"/>
      <c r="U317" s="48"/>
      <c r="V317" s="48"/>
      <c r="W317" s="48"/>
      <c r="X317" s="48"/>
      <c r="Y317" s="48"/>
      <c r="Z317" s="48"/>
    </row>
    <row r="318" ht="23.25" customHeight="1">
      <c r="A318" s="111" t="str">
        <f>IF(B318="","",VLOOKUP(B318,'Mitglieder BBU'!A:K,6,0))</f>
        <v/>
      </c>
      <c r="B318" s="118"/>
      <c r="C318" s="129"/>
      <c r="D318" s="129"/>
      <c r="E318" s="129"/>
      <c r="F318" s="129"/>
      <c r="G318" s="129"/>
      <c r="H318" s="129"/>
      <c r="I318" s="128">
        <f t="shared" si="1"/>
        <v>0</v>
      </c>
      <c r="J318" s="48"/>
      <c r="K318" s="48"/>
      <c r="L318" s="48"/>
      <c r="M318" s="48"/>
      <c r="N318" s="48"/>
      <c r="O318" s="48"/>
      <c r="P318" s="48"/>
      <c r="Q318" s="48"/>
      <c r="R318" s="48"/>
      <c r="S318" s="48"/>
      <c r="T318" s="48"/>
      <c r="U318" s="48"/>
      <c r="V318" s="48"/>
      <c r="W318" s="48"/>
      <c r="X318" s="48"/>
      <c r="Y318" s="48"/>
      <c r="Z318" s="48"/>
    </row>
    <row r="319" ht="23.25" customHeight="1">
      <c r="A319" s="111" t="str">
        <f>IF(B319="","",VLOOKUP(B319,'Mitglieder BBU'!A:K,6,0))</f>
        <v/>
      </c>
      <c r="B319" s="118"/>
      <c r="C319" s="129"/>
      <c r="D319" s="129"/>
      <c r="E319" s="129"/>
      <c r="F319" s="129"/>
      <c r="G319" s="129"/>
      <c r="H319" s="129"/>
      <c r="I319" s="128">
        <f t="shared" si="1"/>
        <v>0</v>
      </c>
      <c r="J319" s="48"/>
      <c r="K319" s="48"/>
      <c r="L319" s="48"/>
      <c r="M319" s="48"/>
      <c r="N319" s="48"/>
      <c r="O319" s="48"/>
      <c r="P319" s="48"/>
      <c r="Q319" s="48"/>
      <c r="R319" s="48"/>
      <c r="S319" s="48"/>
      <c r="T319" s="48"/>
      <c r="U319" s="48"/>
      <c r="V319" s="48"/>
      <c r="W319" s="48"/>
      <c r="X319" s="48"/>
      <c r="Y319" s="48"/>
      <c r="Z319" s="48"/>
    </row>
    <row r="320" ht="23.25" customHeight="1">
      <c r="A320" s="111" t="str">
        <f>IF(B320="","",VLOOKUP(B320,'Mitglieder BBU'!A:K,6,0))</f>
        <v/>
      </c>
      <c r="B320" s="118"/>
      <c r="C320" s="129"/>
      <c r="D320" s="129"/>
      <c r="E320" s="129"/>
      <c r="F320" s="129"/>
      <c r="G320" s="129"/>
      <c r="H320" s="129"/>
      <c r="I320" s="128">
        <f t="shared" si="1"/>
        <v>0</v>
      </c>
      <c r="J320" s="48"/>
      <c r="K320" s="48"/>
      <c r="L320" s="48"/>
      <c r="M320" s="48"/>
      <c r="N320" s="48"/>
      <c r="O320" s="48"/>
      <c r="P320" s="48"/>
      <c r="Q320" s="48"/>
      <c r="R320" s="48"/>
      <c r="S320" s="48"/>
      <c r="T320" s="48"/>
      <c r="U320" s="48"/>
      <c r="V320" s="48"/>
      <c r="W320" s="48"/>
      <c r="X320" s="48"/>
      <c r="Y320" s="48"/>
      <c r="Z320" s="48"/>
    </row>
    <row r="321" ht="23.25" customHeight="1">
      <c r="A321" s="111" t="str">
        <f>IF(B321="","",VLOOKUP(B321,'Mitglieder BBU'!A:K,6,0))</f>
        <v/>
      </c>
      <c r="B321" s="118"/>
      <c r="C321" s="129"/>
      <c r="D321" s="129"/>
      <c r="E321" s="129"/>
      <c r="F321" s="129"/>
      <c r="G321" s="129"/>
      <c r="H321" s="129"/>
      <c r="I321" s="128">
        <f t="shared" si="1"/>
        <v>0</v>
      </c>
      <c r="J321" s="48"/>
      <c r="K321" s="48"/>
      <c r="L321" s="48"/>
      <c r="M321" s="48"/>
      <c r="N321" s="48"/>
      <c r="O321" s="48"/>
      <c r="P321" s="48"/>
      <c r="Q321" s="48"/>
      <c r="R321" s="48"/>
      <c r="S321" s="48"/>
      <c r="T321" s="48"/>
      <c r="U321" s="48"/>
      <c r="V321" s="48"/>
      <c r="W321" s="48"/>
      <c r="X321" s="48"/>
      <c r="Y321" s="48"/>
      <c r="Z321" s="48"/>
    </row>
    <row r="322" ht="23.25" customHeight="1">
      <c r="A322" s="111" t="str">
        <f>IF(B322="","",VLOOKUP(B322,'Mitglieder BBU'!A:K,6,0))</f>
        <v/>
      </c>
      <c r="B322" s="118"/>
      <c r="C322" s="129"/>
      <c r="D322" s="129"/>
      <c r="E322" s="129"/>
      <c r="F322" s="129"/>
      <c r="G322" s="129"/>
      <c r="H322" s="129"/>
      <c r="I322" s="128">
        <f t="shared" si="1"/>
        <v>0</v>
      </c>
      <c r="J322" s="48"/>
      <c r="K322" s="48"/>
      <c r="L322" s="48"/>
      <c r="M322" s="48"/>
      <c r="N322" s="48"/>
      <c r="O322" s="48"/>
      <c r="P322" s="48"/>
      <c r="Q322" s="48"/>
      <c r="R322" s="48"/>
      <c r="S322" s="48"/>
      <c r="T322" s="48"/>
      <c r="U322" s="48"/>
      <c r="V322" s="48"/>
      <c r="W322" s="48"/>
      <c r="X322" s="48"/>
      <c r="Y322" s="48"/>
      <c r="Z322" s="48"/>
    </row>
    <row r="323" ht="23.25" customHeight="1">
      <c r="A323" s="111" t="str">
        <f>IF(B323="","",VLOOKUP(B323,'Mitglieder BBU'!A:K,6,0))</f>
        <v/>
      </c>
      <c r="B323" s="118"/>
      <c r="C323" s="129"/>
      <c r="D323" s="129"/>
      <c r="E323" s="129"/>
      <c r="F323" s="129"/>
      <c r="G323" s="129"/>
      <c r="H323" s="129"/>
      <c r="I323" s="128">
        <f t="shared" si="1"/>
        <v>0</v>
      </c>
      <c r="J323" s="48"/>
      <c r="K323" s="48"/>
      <c r="L323" s="48"/>
      <c r="M323" s="48"/>
      <c r="N323" s="48"/>
      <c r="O323" s="48"/>
      <c r="P323" s="48"/>
      <c r="Q323" s="48"/>
      <c r="R323" s="48"/>
      <c r="S323" s="48"/>
      <c r="T323" s="48"/>
      <c r="U323" s="48"/>
      <c r="V323" s="48"/>
      <c r="W323" s="48"/>
      <c r="X323" s="48"/>
      <c r="Y323" s="48"/>
      <c r="Z323" s="48"/>
    </row>
    <row r="324" ht="23.25" customHeight="1">
      <c r="A324" s="111" t="str">
        <f>IF(B324="","",VLOOKUP(B324,'Mitglieder BBU'!A:K,6,0))</f>
        <v/>
      </c>
      <c r="B324" s="118"/>
      <c r="C324" s="129"/>
      <c r="D324" s="129"/>
      <c r="E324" s="129"/>
      <c r="F324" s="129"/>
      <c r="G324" s="129"/>
      <c r="H324" s="129"/>
      <c r="I324" s="128">
        <f t="shared" si="1"/>
        <v>0</v>
      </c>
      <c r="J324" s="48"/>
      <c r="K324" s="48"/>
      <c r="L324" s="48"/>
      <c r="M324" s="48"/>
      <c r="N324" s="48"/>
      <c r="O324" s="48"/>
      <c r="P324" s="48"/>
      <c r="Q324" s="48"/>
      <c r="R324" s="48"/>
      <c r="S324" s="48"/>
      <c r="T324" s="48"/>
      <c r="U324" s="48"/>
      <c r="V324" s="48"/>
      <c r="W324" s="48"/>
      <c r="X324" s="48"/>
      <c r="Y324" s="48"/>
      <c r="Z324" s="48"/>
    </row>
    <row r="325" ht="23.25" customHeight="1">
      <c r="A325" s="111" t="str">
        <f>IF(B325="","",VLOOKUP(B325,'Mitglieder BBU'!A:K,6,0))</f>
        <v/>
      </c>
      <c r="B325" s="118"/>
      <c r="C325" s="129"/>
      <c r="D325" s="129"/>
      <c r="E325" s="129"/>
      <c r="F325" s="129"/>
      <c r="G325" s="129"/>
      <c r="H325" s="129"/>
      <c r="I325" s="128">
        <f t="shared" si="1"/>
        <v>0</v>
      </c>
      <c r="J325" s="48"/>
      <c r="K325" s="48"/>
      <c r="L325" s="48"/>
      <c r="M325" s="48"/>
      <c r="N325" s="48"/>
      <c r="O325" s="48"/>
      <c r="P325" s="48"/>
      <c r="Q325" s="48"/>
      <c r="R325" s="48"/>
      <c r="S325" s="48"/>
      <c r="T325" s="48"/>
      <c r="U325" s="48"/>
      <c r="V325" s="48"/>
      <c r="W325" s="48"/>
      <c r="X325" s="48"/>
      <c r="Y325" s="48"/>
      <c r="Z325" s="48"/>
    </row>
    <row r="326" ht="23.25" customHeight="1">
      <c r="A326" s="111" t="str">
        <f>IF(B326="","",VLOOKUP(B326,'Mitglieder BBU'!A:K,6,0))</f>
        <v/>
      </c>
      <c r="B326" s="118"/>
      <c r="C326" s="129"/>
      <c r="D326" s="129"/>
      <c r="E326" s="129"/>
      <c r="F326" s="129"/>
      <c r="G326" s="129"/>
      <c r="H326" s="129"/>
      <c r="I326" s="128">
        <f t="shared" si="1"/>
        <v>0</v>
      </c>
      <c r="J326" s="48"/>
      <c r="K326" s="48"/>
      <c r="L326" s="48"/>
      <c r="M326" s="48"/>
      <c r="N326" s="48"/>
      <c r="O326" s="48"/>
      <c r="P326" s="48"/>
      <c r="Q326" s="48"/>
      <c r="R326" s="48"/>
      <c r="S326" s="48"/>
      <c r="T326" s="48"/>
      <c r="U326" s="48"/>
      <c r="V326" s="48"/>
      <c r="W326" s="48"/>
      <c r="X326" s="48"/>
      <c r="Y326" s="48"/>
      <c r="Z326" s="48"/>
    </row>
    <row r="327" ht="23.25" customHeight="1">
      <c r="A327" s="111" t="str">
        <f>IF(B327="","",VLOOKUP(B327,'Mitglieder BBU'!A:K,6,0))</f>
        <v/>
      </c>
      <c r="B327" s="118"/>
      <c r="C327" s="129"/>
      <c r="D327" s="129"/>
      <c r="E327" s="129"/>
      <c r="F327" s="129"/>
      <c r="G327" s="129"/>
      <c r="H327" s="129"/>
      <c r="I327" s="128">
        <f t="shared" si="1"/>
        <v>0</v>
      </c>
      <c r="J327" s="48"/>
      <c r="K327" s="48"/>
      <c r="L327" s="48"/>
      <c r="M327" s="48"/>
      <c r="N327" s="48"/>
      <c r="O327" s="48"/>
      <c r="P327" s="48"/>
      <c r="Q327" s="48"/>
      <c r="R327" s="48"/>
      <c r="S327" s="48"/>
      <c r="T327" s="48"/>
      <c r="U327" s="48"/>
      <c r="V327" s="48"/>
      <c r="W327" s="48"/>
      <c r="X327" s="48"/>
      <c r="Y327" s="48"/>
      <c r="Z327" s="48"/>
    </row>
    <row r="328" ht="23.25" customHeight="1">
      <c r="A328" s="111" t="str">
        <f>IF(B328="","",VLOOKUP(B328,'Mitglieder BBU'!A:K,6,0))</f>
        <v/>
      </c>
      <c r="B328" s="118"/>
      <c r="C328" s="129"/>
      <c r="D328" s="129"/>
      <c r="E328" s="129"/>
      <c r="F328" s="129"/>
      <c r="G328" s="129"/>
      <c r="H328" s="129"/>
      <c r="I328" s="128">
        <f t="shared" si="1"/>
        <v>0</v>
      </c>
      <c r="J328" s="48"/>
      <c r="K328" s="48"/>
      <c r="L328" s="48"/>
      <c r="M328" s="48"/>
      <c r="N328" s="48"/>
      <c r="O328" s="48"/>
      <c r="P328" s="48"/>
      <c r="Q328" s="48"/>
      <c r="R328" s="48"/>
      <c r="S328" s="48"/>
      <c r="T328" s="48"/>
      <c r="U328" s="48"/>
      <c r="V328" s="48"/>
      <c r="W328" s="48"/>
      <c r="X328" s="48"/>
      <c r="Y328" s="48"/>
      <c r="Z328" s="48"/>
    </row>
    <row r="329" ht="23.25" customHeight="1">
      <c r="A329" s="111" t="str">
        <f>IF(B329="","",VLOOKUP(B329,'Mitglieder BBU'!A:K,6,0))</f>
        <v/>
      </c>
      <c r="B329" s="118"/>
      <c r="C329" s="129"/>
      <c r="D329" s="129"/>
      <c r="E329" s="129"/>
      <c r="F329" s="129"/>
      <c r="G329" s="129"/>
      <c r="H329" s="129"/>
      <c r="I329" s="128">
        <f t="shared" si="1"/>
        <v>0</v>
      </c>
      <c r="J329" s="48"/>
      <c r="K329" s="48"/>
      <c r="L329" s="48"/>
      <c r="M329" s="48"/>
      <c r="N329" s="48"/>
      <c r="O329" s="48"/>
      <c r="P329" s="48"/>
      <c r="Q329" s="48"/>
      <c r="R329" s="48"/>
      <c r="S329" s="48"/>
      <c r="T329" s="48"/>
      <c r="U329" s="48"/>
      <c r="V329" s="48"/>
      <c r="W329" s="48"/>
      <c r="X329" s="48"/>
      <c r="Y329" s="48"/>
      <c r="Z329" s="48"/>
    </row>
    <row r="330" ht="23.25" customHeight="1">
      <c r="A330" s="111" t="str">
        <f>IF(B330="","",VLOOKUP(B330,'Mitglieder BBU'!A:K,6,0))</f>
        <v/>
      </c>
      <c r="B330" s="118"/>
      <c r="C330" s="129"/>
      <c r="D330" s="129"/>
      <c r="E330" s="129"/>
      <c r="F330" s="129"/>
      <c r="G330" s="129"/>
      <c r="H330" s="129"/>
      <c r="I330" s="128">
        <f t="shared" si="1"/>
        <v>0</v>
      </c>
      <c r="J330" s="48"/>
      <c r="K330" s="48"/>
      <c r="L330" s="48"/>
      <c r="M330" s="48"/>
      <c r="N330" s="48"/>
      <c r="O330" s="48"/>
      <c r="P330" s="48"/>
      <c r="Q330" s="48"/>
      <c r="R330" s="48"/>
      <c r="S330" s="48"/>
      <c r="T330" s="48"/>
      <c r="U330" s="48"/>
      <c r="V330" s="48"/>
      <c r="W330" s="48"/>
      <c r="X330" s="48"/>
      <c r="Y330" s="48"/>
      <c r="Z330" s="48"/>
    </row>
    <row r="331" ht="23.25" customHeight="1">
      <c r="A331" s="111" t="str">
        <f>IF(B331="","",VLOOKUP(B331,'Mitglieder BBU'!A:K,6,0))</f>
        <v/>
      </c>
      <c r="B331" s="118"/>
      <c r="C331" s="129"/>
      <c r="D331" s="129"/>
      <c r="E331" s="129"/>
      <c r="F331" s="129"/>
      <c r="G331" s="129"/>
      <c r="H331" s="129"/>
      <c r="I331" s="128">
        <f t="shared" si="1"/>
        <v>0</v>
      </c>
      <c r="J331" s="48"/>
      <c r="K331" s="48"/>
      <c r="L331" s="48"/>
      <c r="M331" s="48"/>
      <c r="N331" s="48"/>
      <c r="O331" s="48"/>
      <c r="P331" s="48"/>
      <c r="Q331" s="48"/>
      <c r="R331" s="48"/>
      <c r="S331" s="48"/>
      <c r="T331" s="48"/>
      <c r="U331" s="48"/>
      <c r="V331" s="48"/>
      <c r="W331" s="48"/>
      <c r="X331" s="48"/>
      <c r="Y331" s="48"/>
      <c r="Z331" s="48"/>
    </row>
    <row r="332" ht="23.25" customHeight="1">
      <c r="A332" s="111" t="str">
        <f>IF(B332="","",VLOOKUP(B332,'Mitglieder BBU'!A:K,6,0))</f>
        <v/>
      </c>
      <c r="B332" s="118"/>
      <c r="C332" s="129"/>
      <c r="D332" s="129"/>
      <c r="E332" s="129"/>
      <c r="F332" s="129"/>
      <c r="G332" s="129"/>
      <c r="H332" s="129"/>
      <c r="I332" s="128">
        <f t="shared" si="1"/>
        <v>0</v>
      </c>
      <c r="J332" s="48"/>
      <c r="K332" s="48"/>
      <c r="L332" s="48"/>
      <c r="M332" s="48"/>
      <c r="N332" s="48"/>
      <c r="O332" s="48"/>
      <c r="P332" s="48"/>
      <c r="Q332" s="48"/>
      <c r="R332" s="48"/>
      <c r="S332" s="48"/>
      <c r="T332" s="48"/>
      <c r="U332" s="48"/>
      <c r="V332" s="48"/>
      <c r="W332" s="48"/>
      <c r="X332" s="48"/>
      <c r="Y332" s="48"/>
      <c r="Z332" s="48"/>
    </row>
    <row r="333" ht="23.25" customHeight="1">
      <c r="A333" s="111" t="str">
        <f>IF(B333="","",VLOOKUP(B333,'Mitglieder BBU'!A:K,6,0))</f>
        <v/>
      </c>
      <c r="B333" s="118"/>
      <c r="C333" s="129"/>
      <c r="D333" s="129"/>
      <c r="E333" s="129"/>
      <c r="F333" s="129"/>
      <c r="G333" s="129"/>
      <c r="H333" s="129"/>
      <c r="I333" s="128">
        <f t="shared" si="1"/>
        <v>0</v>
      </c>
      <c r="J333" s="48"/>
      <c r="K333" s="48"/>
      <c r="L333" s="48"/>
      <c r="M333" s="48"/>
      <c r="N333" s="48"/>
      <c r="O333" s="48"/>
      <c r="P333" s="48"/>
      <c r="Q333" s="48"/>
      <c r="R333" s="48"/>
      <c r="S333" s="48"/>
      <c r="T333" s="48"/>
      <c r="U333" s="48"/>
      <c r="V333" s="48"/>
      <c r="W333" s="48"/>
      <c r="X333" s="48"/>
      <c r="Y333" s="48"/>
      <c r="Z333" s="48"/>
    </row>
    <row r="334" ht="23.25" customHeight="1">
      <c r="A334" s="111" t="str">
        <f>IF(B334="","",VLOOKUP(B334,'Mitglieder BBU'!A:K,6,0))</f>
        <v/>
      </c>
      <c r="B334" s="118"/>
      <c r="C334" s="129"/>
      <c r="D334" s="129"/>
      <c r="E334" s="129"/>
      <c r="F334" s="129"/>
      <c r="G334" s="129"/>
      <c r="H334" s="129"/>
      <c r="I334" s="128">
        <f t="shared" si="1"/>
        <v>0</v>
      </c>
      <c r="J334" s="48"/>
      <c r="K334" s="48"/>
      <c r="L334" s="48"/>
      <c r="M334" s="48"/>
      <c r="N334" s="48"/>
      <c r="O334" s="48"/>
      <c r="P334" s="48"/>
      <c r="Q334" s="48"/>
      <c r="R334" s="48"/>
      <c r="S334" s="48"/>
      <c r="T334" s="48"/>
      <c r="U334" s="48"/>
      <c r="V334" s="48"/>
      <c r="W334" s="48"/>
      <c r="X334" s="48"/>
      <c r="Y334" s="48"/>
      <c r="Z334" s="48"/>
    </row>
    <row r="335" ht="23.25" customHeight="1">
      <c r="A335" s="111" t="str">
        <f>IF(B335="","",VLOOKUP(B335,'Mitglieder BBU'!A:K,6,0))</f>
        <v/>
      </c>
      <c r="B335" s="118"/>
      <c r="C335" s="129"/>
      <c r="D335" s="129"/>
      <c r="E335" s="129"/>
      <c r="F335" s="129"/>
      <c r="G335" s="129"/>
      <c r="H335" s="129"/>
      <c r="I335" s="128">
        <f t="shared" si="1"/>
        <v>0</v>
      </c>
      <c r="J335" s="48"/>
      <c r="K335" s="48"/>
      <c r="L335" s="48"/>
      <c r="M335" s="48"/>
      <c r="N335" s="48"/>
      <c r="O335" s="48"/>
      <c r="P335" s="48"/>
      <c r="Q335" s="48"/>
      <c r="R335" s="48"/>
      <c r="S335" s="48"/>
      <c r="T335" s="48"/>
      <c r="U335" s="48"/>
      <c r="V335" s="48"/>
      <c r="W335" s="48"/>
      <c r="X335" s="48"/>
      <c r="Y335" s="48"/>
      <c r="Z335" s="48"/>
    </row>
    <row r="336" ht="23.25" customHeight="1">
      <c r="A336" s="111" t="str">
        <f>IF(B336="","",VLOOKUP(B336,'Mitglieder BBU'!A:K,6,0))</f>
        <v/>
      </c>
      <c r="B336" s="118"/>
      <c r="C336" s="129"/>
      <c r="D336" s="129"/>
      <c r="E336" s="129"/>
      <c r="F336" s="129"/>
      <c r="G336" s="129"/>
      <c r="H336" s="129"/>
      <c r="I336" s="128">
        <f t="shared" si="1"/>
        <v>0</v>
      </c>
      <c r="J336" s="48"/>
      <c r="K336" s="48"/>
      <c r="L336" s="48"/>
      <c r="M336" s="48"/>
      <c r="N336" s="48"/>
      <c r="O336" s="48"/>
      <c r="P336" s="48"/>
      <c r="Q336" s="48"/>
      <c r="R336" s="48"/>
      <c r="S336" s="48"/>
      <c r="T336" s="48"/>
      <c r="U336" s="48"/>
      <c r="V336" s="48"/>
      <c r="W336" s="48"/>
      <c r="X336" s="48"/>
      <c r="Y336" s="48"/>
      <c r="Z336" s="48"/>
    </row>
    <row r="337" ht="23.25" customHeight="1">
      <c r="A337" s="111" t="str">
        <f>IF(B337="","",VLOOKUP(B337,'Mitglieder BBU'!A:K,6,0))</f>
        <v/>
      </c>
      <c r="B337" s="118"/>
      <c r="C337" s="129"/>
      <c r="D337" s="129"/>
      <c r="E337" s="129"/>
      <c r="F337" s="129"/>
      <c r="G337" s="129"/>
      <c r="H337" s="129"/>
      <c r="I337" s="128">
        <f t="shared" si="1"/>
        <v>0</v>
      </c>
      <c r="J337" s="48"/>
      <c r="K337" s="48"/>
      <c r="L337" s="48"/>
      <c r="M337" s="48"/>
      <c r="N337" s="48"/>
      <c r="O337" s="48"/>
      <c r="P337" s="48"/>
      <c r="Q337" s="48"/>
      <c r="R337" s="48"/>
      <c r="S337" s="48"/>
      <c r="T337" s="48"/>
      <c r="U337" s="48"/>
      <c r="V337" s="48"/>
      <c r="W337" s="48"/>
      <c r="X337" s="48"/>
      <c r="Y337" s="48"/>
      <c r="Z337" s="48"/>
    </row>
    <row r="338" ht="23.25" customHeight="1">
      <c r="A338" s="111" t="str">
        <f>IF(B338="","",VLOOKUP(B338,'Mitglieder BBU'!A:K,6,0))</f>
        <v/>
      </c>
      <c r="B338" s="118"/>
      <c r="C338" s="129"/>
      <c r="D338" s="129"/>
      <c r="E338" s="129"/>
      <c r="F338" s="129"/>
      <c r="G338" s="129"/>
      <c r="H338" s="129"/>
      <c r="I338" s="128">
        <f t="shared" si="1"/>
        <v>0</v>
      </c>
      <c r="J338" s="48"/>
      <c r="K338" s="48"/>
      <c r="L338" s="48"/>
      <c r="M338" s="48"/>
      <c r="N338" s="48"/>
      <c r="O338" s="48"/>
      <c r="P338" s="48"/>
      <c r="Q338" s="48"/>
      <c r="R338" s="48"/>
      <c r="S338" s="48"/>
      <c r="T338" s="48"/>
      <c r="U338" s="48"/>
      <c r="V338" s="48"/>
      <c r="W338" s="48"/>
      <c r="X338" s="48"/>
      <c r="Y338" s="48"/>
      <c r="Z338" s="48"/>
    </row>
    <row r="339" ht="23.25" customHeight="1">
      <c r="A339" s="111" t="str">
        <f>IF(B339="","",VLOOKUP(B339,'Mitglieder BBU'!A:K,6,0))</f>
        <v/>
      </c>
      <c r="B339" s="118"/>
      <c r="C339" s="129"/>
      <c r="D339" s="129"/>
      <c r="E339" s="129"/>
      <c r="F339" s="129"/>
      <c r="G339" s="129"/>
      <c r="H339" s="129"/>
      <c r="I339" s="128">
        <f t="shared" si="1"/>
        <v>0</v>
      </c>
      <c r="J339" s="48"/>
      <c r="K339" s="48"/>
      <c r="L339" s="48"/>
      <c r="M339" s="48"/>
      <c r="N339" s="48"/>
      <c r="O339" s="48"/>
      <c r="P339" s="48"/>
      <c r="Q339" s="48"/>
      <c r="R339" s="48"/>
      <c r="S339" s="48"/>
      <c r="T339" s="48"/>
      <c r="U339" s="48"/>
      <c r="V339" s="48"/>
      <c r="W339" s="48"/>
      <c r="X339" s="48"/>
      <c r="Y339" s="48"/>
      <c r="Z339" s="48"/>
    </row>
    <row r="340" ht="23.25" customHeight="1">
      <c r="A340" s="111" t="str">
        <f>IF(B340="","",VLOOKUP(B340,'Mitglieder BBU'!A:K,6,0))</f>
        <v/>
      </c>
      <c r="B340" s="118"/>
      <c r="C340" s="129"/>
      <c r="D340" s="129"/>
      <c r="E340" s="129"/>
      <c r="F340" s="129"/>
      <c r="G340" s="129"/>
      <c r="H340" s="129"/>
      <c r="I340" s="128">
        <f t="shared" si="1"/>
        <v>0</v>
      </c>
      <c r="J340" s="48"/>
      <c r="K340" s="48"/>
      <c r="L340" s="48"/>
      <c r="M340" s="48"/>
      <c r="N340" s="48"/>
      <c r="O340" s="48"/>
      <c r="P340" s="48"/>
      <c r="Q340" s="48"/>
      <c r="R340" s="48"/>
      <c r="S340" s="48"/>
      <c r="T340" s="48"/>
      <c r="U340" s="48"/>
      <c r="V340" s="48"/>
      <c r="W340" s="48"/>
      <c r="X340" s="48"/>
      <c r="Y340" s="48"/>
      <c r="Z340" s="48"/>
    </row>
    <row r="341" ht="23.25" customHeight="1">
      <c r="A341" s="111" t="str">
        <f>IF(B341="","",VLOOKUP(B341,'Mitglieder BBU'!A:K,6,0))</f>
        <v/>
      </c>
      <c r="B341" s="118"/>
      <c r="C341" s="129"/>
      <c r="D341" s="129"/>
      <c r="E341" s="129"/>
      <c r="F341" s="129"/>
      <c r="G341" s="129"/>
      <c r="H341" s="129"/>
      <c r="I341" s="128">
        <f t="shared" si="1"/>
        <v>0</v>
      </c>
      <c r="J341" s="48"/>
      <c r="K341" s="48"/>
      <c r="L341" s="48"/>
      <c r="M341" s="48"/>
      <c r="N341" s="48"/>
      <c r="O341" s="48"/>
      <c r="P341" s="48"/>
      <c r="Q341" s="48"/>
      <c r="R341" s="48"/>
      <c r="S341" s="48"/>
      <c r="T341" s="48"/>
      <c r="U341" s="48"/>
      <c r="V341" s="48"/>
      <c r="W341" s="48"/>
      <c r="X341" s="48"/>
      <c r="Y341" s="48"/>
      <c r="Z341" s="48"/>
    </row>
    <row r="342" ht="23.25" customHeight="1">
      <c r="A342" s="111" t="str">
        <f>IF(B342="","",VLOOKUP(B342,'Mitglieder BBU'!A:K,6,0))</f>
        <v/>
      </c>
      <c r="B342" s="118"/>
      <c r="C342" s="129"/>
      <c r="D342" s="129"/>
      <c r="E342" s="129"/>
      <c r="F342" s="129"/>
      <c r="G342" s="129"/>
      <c r="H342" s="129"/>
      <c r="I342" s="128">
        <f t="shared" si="1"/>
        <v>0</v>
      </c>
      <c r="J342" s="48"/>
      <c r="K342" s="48"/>
      <c r="L342" s="48"/>
      <c r="M342" s="48"/>
      <c r="N342" s="48"/>
      <c r="O342" s="48"/>
      <c r="P342" s="48"/>
      <c r="Q342" s="48"/>
      <c r="R342" s="48"/>
      <c r="S342" s="48"/>
      <c r="T342" s="48"/>
      <c r="U342" s="48"/>
      <c r="V342" s="48"/>
      <c r="W342" s="48"/>
      <c r="X342" s="48"/>
      <c r="Y342" s="48"/>
      <c r="Z342" s="48"/>
    </row>
    <row r="343" ht="23.25" customHeight="1">
      <c r="A343" s="111" t="str">
        <f>IF(B343="","",VLOOKUP(B343,'Mitglieder BBU'!A:K,6,0))</f>
        <v/>
      </c>
      <c r="B343" s="118"/>
      <c r="C343" s="129"/>
      <c r="D343" s="129"/>
      <c r="E343" s="129"/>
      <c r="F343" s="129"/>
      <c r="G343" s="129"/>
      <c r="H343" s="129"/>
      <c r="I343" s="128">
        <f t="shared" si="1"/>
        <v>0</v>
      </c>
      <c r="J343" s="48"/>
      <c r="K343" s="48"/>
      <c r="L343" s="48"/>
      <c r="M343" s="48"/>
      <c r="N343" s="48"/>
      <c r="O343" s="48"/>
      <c r="P343" s="48"/>
      <c r="Q343" s="48"/>
      <c r="R343" s="48"/>
      <c r="S343" s="48"/>
      <c r="T343" s="48"/>
      <c r="U343" s="48"/>
      <c r="V343" s="48"/>
      <c r="W343" s="48"/>
      <c r="X343" s="48"/>
      <c r="Y343" s="48"/>
      <c r="Z343" s="48"/>
    </row>
    <row r="344" ht="23.25" customHeight="1">
      <c r="A344" s="111" t="str">
        <f>IF(B344="","",VLOOKUP(B344,'Mitglieder BBU'!A:K,6,0))</f>
        <v/>
      </c>
      <c r="B344" s="118"/>
      <c r="C344" s="129"/>
      <c r="D344" s="129"/>
      <c r="E344" s="129"/>
      <c r="F344" s="129"/>
      <c r="G344" s="129"/>
      <c r="H344" s="129"/>
      <c r="I344" s="128">
        <f t="shared" si="1"/>
        <v>0</v>
      </c>
      <c r="J344" s="48"/>
      <c r="K344" s="48"/>
      <c r="L344" s="48"/>
      <c r="M344" s="48"/>
      <c r="N344" s="48"/>
      <c r="O344" s="48"/>
      <c r="P344" s="48"/>
      <c r="Q344" s="48"/>
      <c r="R344" s="48"/>
      <c r="S344" s="48"/>
      <c r="T344" s="48"/>
      <c r="U344" s="48"/>
      <c r="V344" s="48"/>
      <c r="W344" s="48"/>
      <c r="X344" s="48"/>
      <c r="Y344" s="48"/>
      <c r="Z344" s="48"/>
    </row>
    <row r="345" ht="23.25" customHeight="1">
      <c r="A345" s="111" t="str">
        <f>IF(B345="","",VLOOKUP(B345,'Mitglieder BBU'!A:K,6,0))</f>
        <v/>
      </c>
      <c r="B345" s="118"/>
      <c r="C345" s="129"/>
      <c r="D345" s="129"/>
      <c r="E345" s="129"/>
      <c r="F345" s="129"/>
      <c r="G345" s="129"/>
      <c r="H345" s="129"/>
      <c r="I345" s="128">
        <f t="shared" si="1"/>
        <v>0</v>
      </c>
      <c r="J345" s="48"/>
      <c r="K345" s="48"/>
      <c r="L345" s="48"/>
      <c r="M345" s="48"/>
      <c r="N345" s="48"/>
      <c r="O345" s="48"/>
      <c r="P345" s="48"/>
      <c r="Q345" s="48"/>
      <c r="R345" s="48"/>
      <c r="S345" s="48"/>
      <c r="T345" s="48"/>
      <c r="U345" s="48"/>
      <c r="V345" s="48"/>
      <c r="W345" s="48"/>
      <c r="X345" s="48"/>
      <c r="Y345" s="48"/>
      <c r="Z345" s="48"/>
    </row>
    <row r="346" ht="23.25" customHeight="1">
      <c r="A346" s="111" t="str">
        <f>IF(B346="","",VLOOKUP(B346,'Mitglieder BBU'!A:K,6,0))</f>
        <v/>
      </c>
      <c r="B346" s="118"/>
      <c r="C346" s="129"/>
      <c r="D346" s="129"/>
      <c r="E346" s="129"/>
      <c r="F346" s="129"/>
      <c r="G346" s="129"/>
      <c r="H346" s="129"/>
      <c r="I346" s="128">
        <f t="shared" si="1"/>
        <v>0</v>
      </c>
      <c r="J346" s="48"/>
      <c r="K346" s="48"/>
      <c r="L346" s="48"/>
      <c r="M346" s="48"/>
      <c r="N346" s="48"/>
      <c r="O346" s="48"/>
      <c r="P346" s="48"/>
      <c r="Q346" s="48"/>
      <c r="R346" s="48"/>
      <c r="S346" s="48"/>
      <c r="T346" s="48"/>
      <c r="U346" s="48"/>
      <c r="V346" s="48"/>
      <c r="W346" s="48"/>
      <c r="X346" s="48"/>
      <c r="Y346" s="48"/>
      <c r="Z346" s="48"/>
    </row>
    <row r="347" ht="23.25" customHeight="1">
      <c r="A347" s="111" t="str">
        <f>IF(B347="","",VLOOKUP(B347,'Mitglieder BBU'!A:K,6,0))</f>
        <v/>
      </c>
      <c r="B347" s="118"/>
      <c r="C347" s="129"/>
      <c r="D347" s="129"/>
      <c r="E347" s="129"/>
      <c r="F347" s="129"/>
      <c r="G347" s="129"/>
      <c r="H347" s="129"/>
      <c r="I347" s="128">
        <f t="shared" si="1"/>
        <v>0</v>
      </c>
      <c r="J347" s="48"/>
      <c r="K347" s="48"/>
      <c r="L347" s="48"/>
      <c r="M347" s="48"/>
      <c r="N347" s="48"/>
      <c r="O347" s="48"/>
      <c r="P347" s="48"/>
      <c r="Q347" s="48"/>
      <c r="R347" s="48"/>
      <c r="S347" s="48"/>
      <c r="T347" s="48"/>
      <c r="U347" s="48"/>
      <c r="V347" s="48"/>
      <c r="W347" s="48"/>
      <c r="X347" s="48"/>
      <c r="Y347" s="48"/>
      <c r="Z347" s="48"/>
    </row>
    <row r="348" ht="23.25" customHeight="1">
      <c r="A348" s="111" t="str">
        <f>IF(B348="","",VLOOKUP(B348,'Mitglieder BBU'!A:K,6,0))</f>
        <v/>
      </c>
      <c r="B348" s="118"/>
      <c r="C348" s="129"/>
      <c r="D348" s="129"/>
      <c r="E348" s="129"/>
      <c r="F348" s="129"/>
      <c r="G348" s="129"/>
      <c r="H348" s="129"/>
      <c r="I348" s="128">
        <f t="shared" si="1"/>
        <v>0</v>
      </c>
      <c r="J348" s="48"/>
      <c r="K348" s="48"/>
      <c r="L348" s="48"/>
      <c r="M348" s="48"/>
      <c r="N348" s="48"/>
      <c r="O348" s="48"/>
      <c r="P348" s="48"/>
      <c r="Q348" s="48"/>
      <c r="R348" s="48"/>
      <c r="S348" s="48"/>
      <c r="T348" s="48"/>
      <c r="U348" s="48"/>
      <c r="V348" s="48"/>
      <c r="W348" s="48"/>
      <c r="X348" s="48"/>
      <c r="Y348" s="48"/>
      <c r="Z348" s="48"/>
    </row>
    <row r="349" ht="23.25" customHeight="1">
      <c r="A349" s="111" t="str">
        <f>IF(B349="","",VLOOKUP(B349,'Mitglieder BBU'!A:K,6,0))</f>
        <v/>
      </c>
      <c r="B349" s="118"/>
      <c r="C349" s="129"/>
      <c r="D349" s="129"/>
      <c r="E349" s="129"/>
      <c r="F349" s="129"/>
      <c r="G349" s="129"/>
      <c r="H349" s="129"/>
      <c r="I349" s="128">
        <f t="shared" si="1"/>
        <v>0</v>
      </c>
      <c r="J349" s="48"/>
      <c r="K349" s="48"/>
      <c r="L349" s="48"/>
      <c r="M349" s="48"/>
      <c r="N349" s="48"/>
      <c r="O349" s="48"/>
      <c r="P349" s="48"/>
      <c r="Q349" s="48"/>
      <c r="R349" s="48"/>
      <c r="S349" s="48"/>
      <c r="T349" s="48"/>
      <c r="U349" s="48"/>
      <c r="V349" s="48"/>
      <c r="W349" s="48"/>
      <c r="X349" s="48"/>
      <c r="Y349" s="48"/>
      <c r="Z349" s="48"/>
    </row>
    <row r="350" ht="23.25" customHeight="1">
      <c r="A350" s="111" t="str">
        <f>IF(B350="","",VLOOKUP(B350,'Mitglieder BBU'!A:K,6,0))</f>
        <v/>
      </c>
      <c r="B350" s="118"/>
      <c r="C350" s="129"/>
      <c r="D350" s="129"/>
      <c r="E350" s="129"/>
      <c r="F350" s="129"/>
      <c r="G350" s="129"/>
      <c r="H350" s="129"/>
      <c r="I350" s="128">
        <f t="shared" si="1"/>
        <v>0</v>
      </c>
      <c r="J350" s="48"/>
      <c r="K350" s="48"/>
      <c r="L350" s="48"/>
      <c r="M350" s="48"/>
      <c r="N350" s="48"/>
      <c r="O350" s="48"/>
      <c r="P350" s="48"/>
      <c r="Q350" s="48"/>
      <c r="R350" s="48"/>
      <c r="S350" s="48"/>
      <c r="T350" s="48"/>
      <c r="U350" s="48"/>
      <c r="V350" s="48"/>
      <c r="W350" s="48"/>
      <c r="X350" s="48"/>
      <c r="Y350" s="48"/>
      <c r="Z350" s="48"/>
    </row>
    <row r="351" ht="23.25" customHeight="1">
      <c r="A351" s="111" t="str">
        <f>IF(B351="","",VLOOKUP(B351,'Mitglieder BBU'!A:K,6,0))</f>
        <v/>
      </c>
      <c r="B351" s="118"/>
      <c r="C351" s="129"/>
      <c r="D351" s="129"/>
      <c r="E351" s="129"/>
      <c r="F351" s="129"/>
      <c r="G351" s="129"/>
      <c r="H351" s="129"/>
      <c r="I351" s="128">
        <f t="shared" si="1"/>
        <v>0</v>
      </c>
      <c r="J351" s="48"/>
      <c r="K351" s="48"/>
      <c r="L351" s="48"/>
      <c r="M351" s="48"/>
      <c r="N351" s="48"/>
      <c r="O351" s="48"/>
      <c r="P351" s="48"/>
      <c r="Q351" s="48"/>
      <c r="R351" s="48"/>
      <c r="S351" s="48"/>
      <c r="T351" s="48"/>
      <c r="U351" s="48"/>
      <c r="V351" s="48"/>
      <c r="W351" s="48"/>
      <c r="X351" s="48"/>
      <c r="Y351" s="48"/>
      <c r="Z351" s="48"/>
    </row>
    <row r="352" ht="23.25" customHeight="1">
      <c r="A352" s="111" t="str">
        <f>IF(B352="","",VLOOKUP(B352,'Mitglieder BBU'!A:K,6,0))</f>
        <v/>
      </c>
      <c r="B352" s="118"/>
      <c r="C352" s="129"/>
      <c r="D352" s="129"/>
      <c r="E352" s="129"/>
      <c r="F352" s="129"/>
      <c r="G352" s="129"/>
      <c r="H352" s="129"/>
      <c r="I352" s="128">
        <f t="shared" si="1"/>
        <v>0</v>
      </c>
      <c r="J352" s="48"/>
      <c r="K352" s="48"/>
      <c r="L352" s="48"/>
      <c r="M352" s="48"/>
      <c r="N352" s="48"/>
      <c r="O352" s="48"/>
      <c r="P352" s="48"/>
      <c r="Q352" s="48"/>
      <c r="R352" s="48"/>
      <c r="S352" s="48"/>
      <c r="T352" s="48"/>
      <c r="U352" s="48"/>
      <c r="V352" s="48"/>
      <c r="W352" s="48"/>
      <c r="X352" s="48"/>
      <c r="Y352" s="48"/>
      <c r="Z352" s="48"/>
    </row>
    <row r="353" ht="23.25" customHeight="1">
      <c r="A353" s="111" t="str">
        <f>IF(B353="","",VLOOKUP(B353,'Mitglieder BBU'!A:K,6,0))</f>
        <v/>
      </c>
      <c r="B353" s="118"/>
      <c r="C353" s="129"/>
      <c r="D353" s="129"/>
      <c r="E353" s="129"/>
      <c r="F353" s="129"/>
      <c r="G353" s="129"/>
      <c r="H353" s="129"/>
      <c r="I353" s="128">
        <f t="shared" si="1"/>
        <v>0</v>
      </c>
      <c r="J353" s="48"/>
      <c r="K353" s="48"/>
      <c r="L353" s="48"/>
      <c r="M353" s="48"/>
      <c r="N353" s="48"/>
      <c r="O353" s="48"/>
      <c r="P353" s="48"/>
      <c r="Q353" s="48"/>
      <c r="R353" s="48"/>
      <c r="S353" s="48"/>
      <c r="T353" s="48"/>
      <c r="U353" s="48"/>
      <c r="V353" s="48"/>
      <c r="W353" s="48"/>
      <c r="X353" s="48"/>
      <c r="Y353" s="48"/>
      <c r="Z353" s="48"/>
    </row>
    <row r="354" ht="23.25" customHeight="1">
      <c r="A354" s="111" t="str">
        <f>IF(B354="","",VLOOKUP(B354,'Mitglieder BBU'!A:K,6,0))</f>
        <v/>
      </c>
      <c r="B354" s="118"/>
      <c r="C354" s="129"/>
      <c r="D354" s="129"/>
      <c r="E354" s="129"/>
      <c r="F354" s="129"/>
      <c r="G354" s="129"/>
      <c r="H354" s="129"/>
      <c r="I354" s="128">
        <f t="shared" si="1"/>
        <v>0</v>
      </c>
      <c r="J354" s="48"/>
      <c r="K354" s="48"/>
      <c r="L354" s="48"/>
      <c r="M354" s="48"/>
      <c r="N354" s="48"/>
      <c r="O354" s="48"/>
      <c r="P354" s="48"/>
      <c r="Q354" s="48"/>
      <c r="R354" s="48"/>
      <c r="S354" s="48"/>
      <c r="T354" s="48"/>
      <c r="U354" s="48"/>
      <c r="V354" s="48"/>
      <c r="W354" s="48"/>
      <c r="X354" s="48"/>
      <c r="Y354" s="48"/>
      <c r="Z354" s="48"/>
    </row>
    <row r="355" ht="23.25" customHeight="1">
      <c r="A355" s="111" t="str">
        <f>IF(B355="","",VLOOKUP(B355,'Mitglieder BBU'!A:K,6,0))</f>
        <v/>
      </c>
      <c r="B355" s="118"/>
      <c r="C355" s="129"/>
      <c r="D355" s="129"/>
      <c r="E355" s="129"/>
      <c r="F355" s="129"/>
      <c r="G355" s="129"/>
      <c r="H355" s="129"/>
      <c r="I355" s="128">
        <f t="shared" si="1"/>
        <v>0</v>
      </c>
      <c r="J355" s="48"/>
      <c r="K355" s="48"/>
      <c r="L355" s="48"/>
      <c r="M355" s="48"/>
      <c r="N355" s="48"/>
      <c r="O355" s="48"/>
      <c r="P355" s="48"/>
      <c r="Q355" s="48"/>
      <c r="R355" s="48"/>
      <c r="S355" s="48"/>
      <c r="T355" s="48"/>
      <c r="U355" s="48"/>
      <c r="V355" s="48"/>
      <c r="W355" s="48"/>
      <c r="X355" s="48"/>
      <c r="Y355" s="48"/>
      <c r="Z355" s="48"/>
    </row>
    <row r="356" ht="23.25" customHeight="1">
      <c r="A356" s="111" t="str">
        <f>IF(B356="","",VLOOKUP(B356,'Mitglieder BBU'!A:K,6,0))</f>
        <v/>
      </c>
      <c r="B356" s="118"/>
      <c r="C356" s="129"/>
      <c r="D356" s="129"/>
      <c r="E356" s="129"/>
      <c r="F356" s="129"/>
      <c r="G356" s="129"/>
      <c r="H356" s="129"/>
      <c r="I356" s="128">
        <f t="shared" si="1"/>
        <v>0</v>
      </c>
      <c r="J356" s="48"/>
      <c r="K356" s="48"/>
      <c r="L356" s="48"/>
      <c r="M356" s="48"/>
      <c r="N356" s="48"/>
      <c r="O356" s="48"/>
      <c r="P356" s="48"/>
      <c r="Q356" s="48"/>
      <c r="R356" s="48"/>
      <c r="S356" s="48"/>
      <c r="T356" s="48"/>
      <c r="U356" s="48"/>
      <c r="V356" s="48"/>
      <c r="W356" s="48"/>
      <c r="X356" s="48"/>
      <c r="Y356" s="48"/>
      <c r="Z356" s="48"/>
    </row>
    <row r="357" ht="23.25" customHeight="1">
      <c r="A357" s="111" t="str">
        <f>IF(B357="","",VLOOKUP(B357,'Mitglieder BBU'!A:K,6,0))</f>
        <v/>
      </c>
      <c r="B357" s="118"/>
      <c r="C357" s="129"/>
      <c r="D357" s="129"/>
      <c r="E357" s="129"/>
      <c r="F357" s="129"/>
      <c r="G357" s="129"/>
      <c r="H357" s="129"/>
      <c r="I357" s="128">
        <f t="shared" si="1"/>
        <v>0</v>
      </c>
      <c r="J357" s="48"/>
      <c r="K357" s="48"/>
      <c r="L357" s="48"/>
      <c r="M357" s="48"/>
      <c r="N357" s="48"/>
      <c r="O357" s="48"/>
      <c r="P357" s="48"/>
      <c r="Q357" s="48"/>
      <c r="R357" s="48"/>
      <c r="S357" s="48"/>
      <c r="T357" s="48"/>
      <c r="U357" s="48"/>
      <c r="V357" s="48"/>
      <c r="W357" s="48"/>
      <c r="X357" s="48"/>
      <c r="Y357" s="48"/>
      <c r="Z357" s="48"/>
    </row>
    <row r="358" ht="23.25" customHeight="1">
      <c r="A358" s="111" t="str">
        <f>IF(B358="","",VLOOKUP(B358,'Mitglieder BBU'!A:K,6,0))</f>
        <v/>
      </c>
      <c r="B358" s="118"/>
      <c r="C358" s="129"/>
      <c r="D358" s="129"/>
      <c r="E358" s="129"/>
      <c r="F358" s="129"/>
      <c r="G358" s="129"/>
      <c r="H358" s="129"/>
      <c r="I358" s="128">
        <f t="shared" si="1"/>
        <v>0</v>
      </c>
      <c r="J358" s="48"/>
      <c r="K358" s="48"/>
      <c r="L358" s="48"/>
      <c r="M358" s="48"/>
      <c r="N358" s="48"/>
      <c r="O358" s="48"/>
      <c r="P358" s="48"/>
      <c r="Q358" s="48"/>
      <c r="R358" s="48"/>
      <c r="S358" s="48"/>
      <c r="T358" s="48"/>
      <c r="U358" s="48"/>
      <c r="V358" s="48"/>
      <c r="W358" s="48"/>
      <c r="X358" s="48"/>
      <c r="Y358" s="48"/>
      <c r="Z358" s="48"/>
    </row>
    <row r="359" ht="23.25" customHeight="1">
      <c r="A359" s="111" t="str">
        <f>IF(B359="","",VLOOKUP(B359,'Mitglieder BBU'!A:K,6,0))</f>
        <v/>
      </c>
      <c r="B359" s="118"/>
      <c r="C359" s="129"/>
      <c r="D359" s="129"/>
      <c r="E359" s="129"/>
      <c r="F359" s="129"/>
      <c r="G359" s="129"/>
      <c r="H359" s="129"/>
      <c r="I359" s="128">
        <f t="shared" si="1"/>
        <v>0</v>
      </c>
      <c r="J359" s="48"/>
      <c r="K359" s="48"/>
      <c r="L359" s="48"/>
      <c r="M359" s="48"/>
      <c r="N359" s="48"/>
      <c r="O359" s="48"/>
      <c r="P359" s="48"/>
      <c r="Q359" s="48"/>
      <c r="R359" s="48"/>
      <c r="S359" s="48"/>
      <c r="T359" s="48"/>
      <c r="U359" s="48"/>
      <c r="V359" s="48"/>
      <c r="W359" s="48"/>
      <c r="X359" s="48"/>
      <c r="Y359" s="48"/>
      <c r="Z359" s="48"/>
    </row>
    <row r="360" ht="23.25" customHeight="1">
      <c r="A360" s="111" t="str">
        <f>IF(B360="","",VLOOKUP(B360,'Mitglieder BBU'!A:K,6,0))</f>
        <v/>
      </c>
      <c r="B360" s="118"/>
      <c r="C360" s="129"/>
      <c r="D360" s="129"/>
      <c r="E360" s="129"/>
      <c r="F360" s="129"/>
      <c r="G360" s="129"/>
      <c r="H360" s="129"/>
      <c r="I360" s="128">
        <f t="shared" si="1"/>
        <v>0</v>
      </c>
      <c r="J360" s="48"/>
      <c r="K360" s="48"/>
      <c r="L360" s="48"/>
      <c r="M360" s="48"/>
      <c r="N360" s="48"/>
      <c r="O360" s="48"/>
      <c r="P360" s="48"/>
      <c r="Q360" s="48"/>
      <c r="R360" s="48"/>
      <c r="S360" s="48"/>
      <c r="T360" s="48"/>
      <c r="U360" s="48"/>
      <c r="V360" s="48"/>
      <c r="W360" s="48"/>
      <c r="X360" s="48"/>
      <c r="Y360" s="48"/>
      <c r="Z360" s="48"/>
    </row>
    <row r="361" ht="23.25" customHeight="1">
      <c r="A361" s="111" t="str">
        <f>IF(B361="","",VLOOKUP(B361,'Mitglieder BBU'!A:K,6,0))</f>
        <v/>
      </c>
      <c r="B361" s="118"/>
      <c r="C361" s="129"/>
      <c r="D361" s="129"/>
      <c r="E361" s="129"/>
      <c r="F361" s="129"/>
      <c r="G361" s="129"/>
      <c r="H361" s="129"/>
      <c r="I361" s="128">
        <f t="shared" si="1"/>
        <v>0</v>
      </c>
      <c r="J361" s="48"/>
      <c r="K361" s="48"/>
      <c r="L361" s="48"/>
      <c r="M361" s="48"/>
      <c r="N361" s="48"/>
      <c r="O361" s="48"/>
      <c r="P361" s="48"/>
      <c r="Q361" s="48"/>
      <c r="R361" s="48"/>
      <c r="S361" s="48"/>
      <c r="T361" s="48"/>
      <c r="U361" s="48"/>
      <c r="V361" s="48"/>
      <c r="W361" s="48"/>
      <c r="X361" s="48"/>
      <c r="Y361" s="48"/>
      <c r="Z361" s="48"/>
    </row>
    <row r="362" ht="23.25" customHeight="1">
      <c r="A362" s="111" t="str">
        <f>IF(B362="","",VLOOKUP(B362,'Mitglieder BBU'!A:K,6,0))</f>
        <v/>
      </c>
      <c r="B362" s="118"/>
      <c r="C362" s="129"/>
      <c r="D362" s="129"/>
      <c r="E362" s="129"/>
      <c r="F362" s="129"/>
      <c r="G362" s="129"/>
      <c r="H362" s="129"/>
      <c r="I362" s="128">
        <f t="shared" si="1"/>
        <v>0</v>
      </c>
      <c r="J362" s="48"/>
      <c r="K362" s="48"/>
      <c r="L362" s="48"/>
      <c r="M362" s="48"/>
      <c r="N362" s="48"/>
      <c r="O362" s="48"/>
      <c r="P362" s="48"/>
      <c r="Q362" s="48"/>
      <c r="R362" s="48"/>
      <c r="S362" s="48"/>
      <c r="T362" s="48"/>
      <c r="U362" s="48"/>
      <c r="V362" s="48"/>
      <c r="W362" s="48"/>
      <c r="X362" s="48"/>
      <c r="Y362" s="48"/>
      <c r="Z362" s="48"/>
    </row>
    <row r="363" ht="23.25" customHeight="1">
      <c r="A363" s="111" t="str">
        <f>IF(B363="","",VLOOKUP(B363,'Mitglieder BBU'!A:K,6,0))</f>
        <v/>
      </c>
      <c r="B363" s="118"/>
      <c r="C363" s="129"/>
      <c r="D363" s="129"/>
      <c r="E363" s="129"/>
      <c r="F363" s="129"/>
      <c r="G363" s="129"/>
      <c r="H363" s="129"/>
      <c r="I363" s="128">
        <f t="shared" si="1"/>
        <v>0</v>
      </c>
      <c r="J363" s="48"/>
      <c r="K363" s="48"/>
      <c r="L363" s="48"/>
      <c r="M363" s="48"/>
      <c r="N363" s="48"/>
      <c r="O363" s="48"/>
      <c r="P363" s="48"/>
      <c r="Q363" s="48"/>
      <c r="R363" s="48"/>
      <c r="S363" s="48"/>
      <c r="T363" s="48"/>
      <c r="U363" s="48"/>
      <c r="V363" s="48"/>
      <c r="W363" s="48"/>
      <c r="X363" s="48"/>
      <c r="Y363" s="48"/>
      <c r="Z363" s="48"/>
    </row>
    <row r="364" ht="23.25" customHeight="1">
      <c r="A364" s="111" t="str">
        <f>IF(B364="","",VLOOKUP(B364,'Mitglieder BBU'!A:K,6,0))</f>
        <v/>
      </c>
      <c r="B364" s="118"/>
      <c r="C364" s="129"/>
      <c r="D364" s="129"/>
      <c r="E364" s="129"/>
      <c r="F364" s="129"/>
      <c r="G364" s="129"/>
      <c r="H364" s="129"/>
      <c r="I364" s="128">
        <f t="shared" si="1"/>
        <v>0</v>
      </c>
      <c r="J364" s="48"/>
      <c r="K364" s="48"/>
      <c r="L364" s="48"/>
      <c r="M364" s="48"/>
      <c r="N364" s="48"/>
      <c r="O364" s="48"/>
      <c r="P364" s="48"/>
      <c r="Q364" s="48"/>
      <c r="R364" s="48"/>
      <c r="S364" s="48"/>
      <c r="T364" s="48"/>
      <c r="U364" s="48"/>
      <c r="V364" s="48"/>
      <c r="W364" s="48"/>
      <c r="X364" s="48"/>
      <c r="Y364" s="48"/>
      <c r="Z364" s="48"/>
    </row>
    <row r="365" ht="23.25" customHeight="1">
      <c r="A365" s="111" t="str">
        <f>IF(B365="","",VLOOKUP(B365,'Mitglieder BBU'!A:K,6,0))</f>
        <v/>
      </c>
      <c r="B365" s="118"/>
      <c r="C365" s="129"/>
      <c r="D365" s="129"/>
      <c r="E365" s="129"/>
      <c r="F365" s="129"/>
      <c r="G365" s="129"/>
      <c r="H365" s="129"/>
      <c r="I365" s="128">
        <f t="shared" si="1"/>
        <v>0</v>
      </c>
      <c r="J365" s="48"/>
      <c r="K365" s="48"/>
      <c r="L365" s="48"/>
      <c r="M365" s="48"/>
      <c r="N365" s="48"/>
      <c r="O365" s="48"/>
      <c r="P365" s="48"/>
      <c r="Q365" s="48"/>
      <c r="R365" s="48"/>
      <c r="S365" s="48"/>
      <c r="T365" s="48"/>
      <c r="U365" s="48"/>
      <c r="V365" s="48"/>
      <c r="W365" s="48"/>
      <c r="X365" s="48"/>
      <c r="Y365" s="48"/>
      <c r="Z365" s="48"/>
    </row>
    <row r="366" ht="23.25" customHeight="1">
      <c r="A366" s="111" t="str">
        <f>IF(B366="","",VLOOKUP(B366,'Mitglieder BBU'!A:K,6,0))</f>
        <v/>
      </c>
      <c r="B366" s="118"/>
      <c r="C366" s="129"/>
      <c r="D366" s="129"/>
      <c r="E366" s="129"/>
      <c r="F366" s="129"/>
      <c r="G366" s="129"/>
      <c r="H366" s="129"/>
      <c r="I366" s="128">
        <f t="shared" si="1"/>
        <v>0</v>
      </c>
      <c r="J366" s="48"/>
      <c r="K366" s="48"/>
      <c r="L366" s="48"/>
      <c r="M366" s="48"/>
      <c r="N366" s="48"/>
      <c r="O366" s="48"/>
      <c r="P366" s="48"/>
      <c r="Q366" s="48"/>
      <c r="R366" s="48"/>
      <c r="S366" s="48"/>
      <c r="T366" s="48"/>
      <c r="U366" s="48"/>
      <c r="V366" s="48"/>
      <c r="W366" s="48"/>
      <c r="X366" s="48"/>
      <c r="Y366" s="48"/>
      <c r="Z366" s="48"/>
    </row>
    <row r="367" ht="23.25" customHeight="1">
      <c r="A367" s="111" t="str">
        <f>IF(B367="","",VLOOKUP(B367,'Mitglieder BBU'!A:K,6,0))</f>
        <v/>
      </c>
      <c r="B367" s="118"/>
      <c r="C367" s="129"/>
      <c r="D367" s="129"/>
      <c r="E367" s="129"/>
      <c r="F367" s="129"/>
      <c r="G367" s="129"/>
      <c r="H367" s="129"/>
      <c r="I367" s="128">
        <f t="shared" si="1"/>
        <v>0</v>
      </c>
      <c r="J367" s="48"/>
      <c r="K367" s="48"/>
      <c r="L367" s="48"/>
      <c r="M367" s="48"/>
      <c r="N367" s="48"/>
      <c r="O367" s="48"/>
      <c r="P367" s="48"/>
      <c r="Q367" s="48"/>
      <c r="R367" s="48"/>
      <c r="S367" s="48"/>
      <c r="T367" s="48"/>
      <c r="U367" s="48"/>
      <c r="V367" s="48"/>
      <c r="W367" s="48"/>
      <c r="X367" s="48"/>
      <c r="Y367" s="48"/>
      <c r="Z367" s="48"/>
    </row>
    <row r="368" ht="23.25" customHeight="1">
      <c r="A368" s="111" t="str">
        <f>IF(B368="","",VLOOKUP(B368,'Mitglieder BBU'!A:K,6,0))</f>
        <v/>
      </c>
      <c r="B368" s="118"/>
      <c r="C368" s="129"/>
      <c r="D368" s="129"/>
      <c r="E368" s="129"/>
      <c r="F368" s="129"/>
      <c r="G368" s="129"/>
      <c r="H368" s="129"/>
      <c r="I368" s="128">
        <f t="shared" si="1"/>
        <v>0</v>
      </c>
      <c r="J368" s="48"/>
      <c r="K368" s="48"/>
      <c r="L368" s="48"/>
      <c r="M368" s="48"/>
      <c r="N368" s="48"/>
      <c r="O368" s="48"/>
      <c r="P368" s="48"/>
      <c r="Q368" s="48"/>
      <c r="R368" s="48"/>
      <c r="S368" s="48"/>
      <c r="T368" s="48"/>
      <c r="U368" s="48"/>
      <c r="V368" s="48"/>
      <c r="W368" s="48"/>
      <c r="X368" s="48"/>
      <c r="Y368" s="48"/>
      <c r="Z368" s="48"/>
    </row>
    <row r="369" ht="23.25" customHeight="1">
      <c r="A369" s="111" t="str">
        <f>IF(B369="","",VLOOKUP(B369,'Mitglieder BBU'!A:K,6,0))</f>
        <v/>
      </c>
      <c r="B369" s="118"/>
      <c r="C369" s="129"/>
      <c r="D369" s="129"/>
      <c r="E369" s="129"/>
      <c r="F369" s="129"/>
      <c r="G369" s="129"/>
      <c r="H369" s="129"/>
      <c r="I369" s="128">
        <f t="shared" si="1"/>
        <v>0</v>
      </c>
      <c r="J369" s="48"/>
      <c r="K369" s="48"/>
      <c r="L369" s="48"/>
      <c r="M369" s="48"/>
      <c r="N369" s="48"/>
      <c r="O369" s="48"/>
      <c r="P369" s="48"/>
      <c r="Q369" s="48"/>
      <c r="R369" s="48"/>
      <c r="S369" s="48"/>
      <c r="T369" s="48"/>
      <c r="U369" s="48"/>
      <c r="V369" s="48"/>
      <c r="W369" s="48"/>
      <c r="X369" s="48"/>
      <c r="Y369" s="48"/>
      <c r="Z369" s="48"/>
    </row>
    <row r="370" ht="23.25" customHeight="1">
      <c r="A370" s="111" t="str">
        <f>IF(B370="","",VLOOKUP(B370,'Mitglieder BBU'!A:K,6,0))</f>
        <v/>
      </c>
      <c r="B370" s="118"/>
      <c r="C370" s="129"/>
      <c r="D370" s="129"/>
      <c r="E370" s="129"/>
      <c r="F370" s="129"/>
      <c r="G370" s="129"/>
      <c r="H370" s="129"/>
      <c r="I370" s="128">
        <f t="shared" si="1"/>
        <v>0</v>
      </c>
      <c r="J370" s="48"/>
      <c r="K370" s="48"/>
      <c r="L370" s="48"/>
      <c r="M370" s="48"/>
      <c r="N370" s="48"/>
      <c r="O370" s="48"/>
      <c r="P370" s="48"/>
      <c r="Q370" s="48"/>
      <c r="R370" s="48"/>
      <c r="S370" s="48"/>
      <c r="T370" s="48"/>
      <c r="U370" s="48"/>
      <c r="V370" s="48"/>
      <c r="W370" s="48"/>
      <c r="X370" s="48"/>
      <c r="Y370" s="48"/>
      <c r="Z370" s="48"/>
    </row>
    <row r="371" ht="23.25" customHeight="1">
      <c r="A371" s="111" t="str">
        <f>IF(B371="","",VLOOKUP(B371,'Mitglieder BBU'!A:K,6,0))</f>
        <v/>
      </c>
      <c r="B371" s="118"/>
      <c r="C371" s="129"/>
      <c r="D371" s="129"/>
      <c r="E371" s="129"/>
      <c r="F371" s="129"/>
      <c r="G371" s="129"/>
      <c r="H371" s="129"/>
      <c r="I371" s="128">
        <f t="shared" si="1"/>
        <v>0</v>
      </c>
      <c r="J371" s="48"/>
      <c r="K371" s="48"/>
      <c r="L371" s="48"/>
      <c r="M371" s="48"/>
      <c r="N371" s="48"/>
      <c r="O371" s="48"/>
      <c r="P371" s="48"/>
      <c r="Q371" s="48"/>
      <c r="R371" s="48"/>
      <c r="S371" s="48"/>
      <c r="T371" s="48"/>
      <c r="U371" s="48"/>
      <c r="V371" s="48"/>
      <c r="W371" s="48"/>
      <c r="X371" s="48"/>
      <c r="Y371" s="48"/>
      <c r="Z371" s="48"/>
    </row>
    <row r="372" ht="23.25" customHeight="1">
      <c r="A372" s="111" t="str">
        <f>IF(B372="","",VLOOKUP(B372,'Mitglieder BBU'!A:K,6,0))</f>
        <v/>
      </c>
      <c r="B372" s="118"/>
      <c r="C372" s="129"/>
      <c r="D372" s="129"/>
      <c r="E372" s="129"/>
      <c r="F372" s="129"/>
      <c r="G372" s="129"/>
      <c r="H372" s="129"/>
      <c r="I372" s="128">
        <f t="shared" si="1"/>
        <v>0</v>
      </c>
      <c r="J372" s="48"/>
      <c r="K372" s="48"/>
      <c r="L372" s="48"/>
      <c r="M372" s="48"/>
      <c r="N372" s="48"/>
      <c r="O372" s="48"/>
      <c r="P372" s="48"/>
      <c r="Q372" s="48"/>
      <c r="R372" s="48"/>
      <c r="S372" s="48"/>
      <c r="T372" s="48"/>
      <c r="U372" s="48"/>
      <c r="V372" s="48"/>
      <c r="W372" s="48"/>
      <c r="X372" s="48"/>
      <c r="Y372" s="48"/>
      <c r="Z372" s="48"/>
    </row>
    <row r="373" ht="23.25" customHeight="1">
      <c r="A373" s="111" t="str">
        <f>IF(B373="","",VLOOKUP(B373,'Mitglieder BBU'!A:K,6,0))</f>
        <v/>
      </c>
      <c r="B373" s="118"/>
      <c r="C373" s="129"/>
      <c r="D373" s="129"/>
      <c r="E373" s="129"/>
      <c r="F373" s="129"/>
      <c r="G373" s="129"/>
      <c r="H373" s="129"/>
      <c r="I373" s="128">
        <f t="shared" si="1"/>
        <v>0</v>
      </c>
      <c r="J373" s="48"/>
      <c r="K373" s="48"/>
      <c r="L373" s="48"/>
      <c r="M373" s="48"/>
      <c r="N373" s="48"/>
      <c r="O373" s="48"/>
      <c r="P373" s="48"/>
      <c r="Q373" s="48"/>
      <c r="R373" s="48"/>
      <c r="S373" s="48"/>
      <c r="T373" s="48"/>
      <c r="U373" s="48"/>
      <c r="V373" s="48"/>
      <c r="W373" s="48"/>
      <c r="X373" s="48"/>
      <c r="Y373" s="48"/>
      <c r="Z373" s="48"/>
    </row>
    <row r="374" ht="23.25" customHeight="1">
      <c r="A374" s="111" t="str">
        <f>IF(B374="","",VLOOKUP(B374,'Mitglieder BBU'!A:K,6,0))</f>
        <v/>
      </c>
      <c r="B374" s="118"/>
      <c r="C374" s="129"/>
      <c r="D374" s="129"/>
      <c r="E374" s="129"/>
      <c r="F374" s="129"/>
      <c r="G374" s="129"/>
      <c r="H374" s="129"/>
      <c r="I374" s="128">
        <f t="shared" si="1"/>
        <v>0</v>
      </c>
      <c r="J374" s="48"/>
      <c r="K374" s="48"/>
      <c r="L374" s="48"/>
      <c r="M374" s="48"/>
      <c r="N374" s="48"/>
      <c r="O374" s="48"/>
      <c r="P374" s="48"/>
      <c r="Q374" s="48"/>
      <c r="R374" s="48"/>
      <c r="S374" s="48"/>
      <c r="T374" s="48"/>
      <c r="U374" s="48"/>
      <c r="V374" s="48"/>
      <c r="W374" s="48"/>
      <c r="X374" s="48"/>
      <c r="Y374" s="48"/>
      <c r="Z374" s="48"/>
    </row>
    <row r="375" ht="23.25" customHeight="1">
      <c r="A375" s="111" t="str">
        <f>IF(B375="","",VLOOKUP(B375,'Mitglieder BBU'!A:K,6,0))</f>
        <v/>
      </c>
      <c r="B375" s="118"/>
      <c r="C375" s="129"/>
      <c r="D375" s="129"/>
      <c r="E375" s="129"/>
      <c r="F375" s="129"/>
      <c r="G375" s="129"/>
      <c r="H375" s="129"/>
      <c r="I375" s="128">
        <f t="shared" si="1"/>
        <v>0</v>
      </c>
      <c r="J375" s="48"/>
      <c r="K375" s="48"/>
      <c r="L375" s="48"/>
      <c r="M375" s="48"/>
      <c r="N375" s="48"/>
      <c r="O375" s="48"/>
      <c r="P375" s="48"/>
      <c r="Q375" s="48"/>
      <c r="R375" s="48"/>
      <c r="S375" s="48"/>
      <c r="T375" s="48"/>
      <c r="U375" s="48"/>
      <c r="V375" s="48"/>
      <c r="W375" s="48"/>
      <c r="X375" s="48"/>
      <c r="Y375" s="48"/>
      <c r="Z375" s="48"/>
    </row>
    <row r="376" ht="23.25" customHeight="1">
      <c r="A376" s="111" t="str">
        <f>IF(B376="","",VLOOKUP(B376,'Mitglieder BBU'!A:K,6,0))</f>
        <v/>
      </c>
      <c r="B376" s="118"/>
      <c r="C376" s="129"/>
      <c r="D376" s="129"/>
      <c r="E376" s="129"/>
      <c r="F376" s="129"/>
      <c r="G376" s="129"/>
      <c r="H376" s="129"/>
      <c r="I376" s="128">
        <f t="shared" si="1"/>
        <v>0</v>
      </c>
      <c r="J376" s="48"/>
      <c r="K376" s="48"/>
      <c r="L376" s="48"/>
      <c r="M376" s="48"/>
      <c r="N376" s="48"/>
      <c r="O376" s="48"/>
      <c r="P376" s="48"/>
      <c r="Q376" s="48"/>
      <c r="R376" s="48"/>
      <c r="S376" s="48"/>
      <c r="T376" s="48"/>
      <c r="U376" s="48"/>
      <c r="V376" s="48"/>
      <c r="W376" s="48"/>
      <c r="X376" s="48"/>
      <c r="Y376" s="48"/>
      <c r="Z376" s="48"/>
    </row>
    <row r="377" ht="23.25" customHeight="1">
      <c r="A377" s="111" t="str">
        <f>IF(B377="","",VLOOKUP(B377,'Mitglieder BBU'!A:K,6,0))</f>
        <v/>
      </c>
      <c r="B377" s="118"/>
      <c r="C377" s="129"/>
      <c r="D377" s="129"/>
      <c r="E377" s="129"/>
      <c r="F377" s="129"/>
      <c r="G377" s="129"/>
      <c r="H377" s="129"/>
      <c r="I377" s="128">
        <f t="shared" si="1"/>
        <v>0</v>
      </c>
      <c r="J377" s="48"/>
      <c r="K377" s="48"/>
      <c r="L377" s="48"/>
      <c r="M377" s="48"/>
      <c r="N377" s="48"/>
      <c r="O377" s="48"/>
      <c r="P377" s="48"/>
      <c r="Q377" s="48"/>
      <c r="R377" s="48"/>
      <c r="S377" s="48"/>
      <c r="T377" s="48"/>
      <c r="U377" s="48"/>
      <c r="V377" s="48"/>
      <c r="W377" s="48"/>
      <c r="X377" s="48"/>
      <c r="Y377" s="48"/>
      <c r="Z377" s="48"/>
    </row>
    <row r="378" ht="23.25" customHeight="1">
      <c r="A378" s="111" t="str">
        <f>IF(B378="","",VLOOKUP(B378,'Mitglieder BBU'!A:K,6,0))</f>
        <v/>
      </c>
      <c r="B378" s="118"/>
      <c r="C378" s="129"/>
      <c r="D378" s="129"/>
      <c r="E378" s="129"/>
      <c r="F378" s="129"/>
      <c r="G378" s="129"/>
      <c r="H378" s="129"/>
      <c r="I378" s="128">
        <f t="shared" si="1"/>
        <v>0</v>
      </c>
      <c r="J378" s="48"/>
      <c r="K378" s="48"/>
      <c r="L378" s="48"/>
      <c r="M378" s="48"/>
      <c r="N378" s="48"/>
      <c r="O378" s="48"/>
      <c r="P378" s="48"/>
      <c r="Q378" s="48"/>
      <c r="R378" s="48"/>
      <c r="S378" s="48"/>
      <c r="T378" s="48"/>
      <c r="U378" s="48"/>
      <c r="V378" s="48"/>
      <c r="W378" s="48"/>
      <c r="X378" s="48"/>
      <c r="Y378" s="48"/>
      <c r="Z378" s="48"/>
    </row>
    <row r="379" ht="23.25" customHeight="1">
      <c r="A379" s="111" t="str">
        <f>IF(B379="","",VLOOKUP(B379,'Mitglieder BBU'!A:K,6,0))</f>
        <v/>
      </c>
      <c r="B379" s="118"/>
      <c r="C379" s="129"/>
      <c r="D379" s="129"/>
      <c r="E379" s="129"/>
      <c r="F379" s="129"/>
      <c r="G379" s="129"/>
      <c r="H379" s="129"/>
      <c r="I379" s="128">
        <f t="shared" si="1"/>
        <v>0</v>
      </c>
      <c r="J379" s="48"/>
      <c r="K379" s="48"/>
      <c r="L379" s="48"/>
      <c r="M379" s="48"/>
      <c r="N379" s="48"/>
      <c r="O379" s="48"/>
      <c r="P379" s="48"/>
      <c r="Q379" s="48"/>
      <c r="R379" s="48"/>
      <c r="S379" s="48"/>
      <c r="T379" s="48"/>
      <c r="U379" s="48"/>
      <c r="V379" s="48"/>
      <c r="W379" s="48"/>
      <c r="X379" s="48"/>
      <c r="Y379" s="48"/>
      <c r="Z379" s="48"/>
    </row>
    <row r="380" ht="23.25" customHeight="1">
      <c r="A380" s="111" t="str">
        <f>IF(B380="","",VLOOKUP(B380,'Mitglieder BBU'!A:K,6,0))</f>
        <v/>
      </c>
      <c r="B380" s="118"/>
      <c r="C380" s="129"/>
      <c r="D380" s="129"/>
      <c r="E380" s="129"/>
      <c r="F380" s="129"/>
      <c r="G380" s="129"/>
      <c r="H380" s="129"/>
      <c r="I380" s="128">
        <f t="shared" si="1"/>
        <v>0</v>
      </c>
      <c r="J380" s="48"/>
      <c r="K380" s="48"/>
      <c r="L380" s="48"/>
      <c r="M380" s="48"/>
      <c r="N380" s="48"/>
      <c r="O380" s="48"/>
      <c r="P380" s="48"/>
      <c r="Q380" s="48"/>
      <c r="R380" s="48"/>
      <c r="S380" s="48"/>
      <c r="T380" s="48"/>
      <c r="U380" s="48"/>
      <c r="V380" s="48"/>
      <c r="W380" s="48"/>
      <c r="X380" s="48"/>
      <c r="Y380" s="48"/>
      <c r="Z380" s="48"/>
    </row>
    <row r="381" ht="23.25" customHeight="1">
      <c r="A381" s="111" t="str">
        <f>IF(B381="","",VLOOKUP(B381,'Mitglieder BBU'!A:K,6,0))</f>
        <v/>
      </c>
      <c r="B381" s="118"/>
      <c r="C381" s="129"/>
      <c r="D381" s="129"/>
      <c r="E381" s="129"/>
      <c r="F381" s="129"/>
      <c r="G381" s="129"/>
      <c r="H381" s="129"/>
      <c r="I381" s="128">
        <f t="shared" si="1"/>
        <v>0</v>
      </c>
      <c r="J381" s="48"/>
      <c r="K381" s="48"/>
      <c r="L381" s="48"/>
      <c r="M381" s="48"/>
      <c r="N381" s="48"/>
      <c r="O381" s="48"/>
      <c r="P381" s="48"/>
      <c r="Q381" s="48"/>
      <c r="R381" s="48"/>
      <c r="S381" s="48"/>
      <c r="T381" s="48"/>
      <c r="U381" s="48"/>
      <c r="V381" s="48"/>
      <c r="W381" s="48"/>
      <c r="X381" s="48"/>
      <c r="Y381" s="48"/>
      <c r="Z381" s="48"/>
    </row>
    <row r="382" ht="23.25" customHeight="1">
      <c r="A382" s="111" t="str">
        <f>IF(B382="","",VLOOKUP(B382,'Mitglieder BBU'!A:K,6,0))</f>
        <v/>
      </c>
      <c r="B382" s="118"/>
      <c r="C382" s="129"/>
      <c r="D382" s="129"/>
      <c r="E382" s="129"/>
      <c r="F382" s="129"/>
      <c r="G382" s="129"/>
      <c r="H382" s="129"/>
      <c r="I382" s="128">
        <f t="shared" si="1"/>
        <v>0</v>
      </c>
      <c r="J382" s="48"/>
      <c r="K382" s="48"/>
      <c r="L382" s="48"/>
      <c r="M382" s="48"/>
      <c r="N382" s="48"/>
      <c r="O382" s="48"/>
      <c r="P382" s="48"/>
      <c r="Q382" s="48"/>
      <c r="R382" s="48"/>
      <c r="S382" s="48"/>
      <c r="T382" s="48"/>
      <c r="U382" s="48"/>
      <c r="V382" s="48"/>
      <c r="W382" s="48"/>
      <c r="X382" s="48"/>
      <c r="Y382" s="48"/>
      <c r="Z382" s="48"/>
    </row>
    <row r="383" ht="23.25" customHeight="1">
      <c r="A383" s="111" t="str">
        <f>IF(B383="","",VLOOKUP(B383,'Mitglieder BBU'!A:K,6,0))</f>
        <v/>
      </c>
      <c r="B383" s="118"/>
      <c r="C383" s="129"/>
      <c r="D383" s="129"/>
      <c r="E383" s="129"/>
      <c r="F383" s="129"/>
      <c r="G383" s="129"/>
      <c r="H383" s="129"/>
      <c r="I383" s="128">
        <f t="shared" si="1"/>
        <v>0</v>
      </c>
      <c r="J383" s="48"/>
      <c r="K383" s="48"/>
      <c r="L383" s="48"/>
      <c r="M383" s="48"/>
      <c r="N383" s="48"/>
      <c r="O383" s="48"/>
      <c r="P383" s="48"/>
      <c r="Q383" s="48"/>
      <c r="R383" s="48"/>
      <c r="S383" s="48"/>
      <c r="T383" s="48"/>
      <c r="U383" s="48"/>
      <c r="V383" s="48"/>
      <c r="W383" s="48"/>
      <c r="X383" s="48"/>
      <c r="Y383" s="48"/>
      <c r="Z383" s="48"/>
    </row>
    <row r="384" ht="23.25" customHeight="1">
      <c r="A384" s="111" t="str">
        <f>IF(B384="","",VLOOKUP(B384,'Mitglieder BBU'!A:K,6,0))</f>
        <v/>
      </c>
      <c r="B384" s="118"/>
      <c r="C384" s="129"/>
      <c r="D384" s="129"/>
      <c r="E384" s="129"/>
      <c r="F384" s="129"/>
      <c r="G384" s="129"/>
      <c r="H384" s="129"/>
      <c r="I384" s="128">
        <f t="shared" si="1"/>
        <v>0</v>
      </c>
      <c r="J384" s="48"/>
      <c r="K384" s="48"/>
      <c r="L384" s="48"/>
      <c r="M384" s="48"/>
      <c r="N384" s="48"/>
      <c r="O384" s="48"/>
      <c r="P384" s="48"/>
      <c r="Q384" s="48"/>
      <c r="R384" s="48"/>
      <c r="S384" s="48"/>
      <c r="T384" s="48"/>
      <c r="U384" s="48"/>
      <c r="V384" s="48"/>
      <c r="W384" s="48"/>
      <c r="X384" s="48"/>
      <c r="Y384" s="48"/>
      <c r="Z384" s="48"/>
    </row>
    <row r="385" ht="23.25" customHeight="1">
      <c r="A385" s="111" t="str">
        <f>IF(B385="","",VLOOKUP(B385,'Mitglieder BBU'!A:K,6,0))</f>
        <v/>
      </c>
      <c r="B385" s="118"/>
      <c r="C385" s="129"/>
      <c r="D385" s="129"/>
      <c r="E385" s="129"/>
      <c r="F385" s="129"/>
      <c r="G385" s="129"/>
      <c r="H385" s="129"/>
      <c r="I385" s="128">
        <f t="shared" si="1"/>
        <v>0</v>
      </c>
      <c r="J385" s="48"/>
      <c r="K385" s="48"/>
      <c r="L385" s="48"/>
      <c r="M385" s="48"/>
      <c r="N385" s="48"/>
      <c r="O385" s="48"/>
      <c r="P385" s="48"/>
      <c r="Q385" s="48"/>
      <c r="R385" s="48"/>
      <c r="S385" s="48"/>
      <c r="T385" s="48"/>
      <c r="U385" s="48"/>
      <c r="V385" s="48"/>
      <c r="W385" s="48"/>
      <c r="X385" s="48"/>
      <c r="Y385" s="48"/>
      <c r="Z385" s="48"/>
    </row>
    <row r="386" ht="23.25" customHeight="1">
      <c r="A386" s="111" t="str">
        <f>IF(B386="","",VLOOKUP(B386,'Mitglieder BBU'!A:K,6,0))</f>
        <v/>
      </c>
      <c r="B386" s="118"/>
      <c r="C386" s="129"/>
      <c r="D386" s="129"/>
      <c r="E386" s="129"/>
      <c r="F386" s="129"/>
      <c r="G386" s="129"/>
      <c r="H386" s="129"/>
      <c r="I386" s="128">
        <f t="shared" si="1"/>
        <v>0</v>
      </c>
      <c r="J386" s="48"/>
      <c r="K386" s="48"/>
      <c r="L386" s="48"/>
      <c r="M386" s="48"/>
      <c r="N386" s="48"/>
      <c r="O386" s="48"/>
      <c r="P386" s="48"/>
      <c r="Q386" s="48"/>
      <c r="R386" s="48"/>
      <c r="S386" s="48"/>
      <c r="T386" s="48"/>
      <c r="U386" s="48"/>
      <c r="V386" s="48"/>
      <c r="W386" s="48"/>
      <c r="X386" s="48"/>
      <c r="Y386" s="48"/>
      <c r="Z386" s="48"/>
    </row>
    <row r="387" ht="23.25" customHeight="1">
      <c r="A387" s="111" t="str">
        <f>IF(B387="","",VLOOKUP(B387,'Mitglieder BBU'!A:K,6,0))</f>
        <v/>
      </c>
      <c r="B387" s="118"/>
      <c r="C387" s="129"/>
      <c r="D387" s="129"/>
      <c r="E387" s="129"/>
      <c r="F387" s="129"/>
      <c r="G387" s="129"/>
      <c r="H387" s="129"/>
      <c r="I387" s="128">
        <f t="shared" si="1"/>
        <v>0</v>
      </c>
      <c r="J387" s="48"/>
      <c r="K387" s="48"/>
      <c r="L387" s="48"/>
      <c r="M387" s="48"/>
      <c r="N387" s="48"/>
      <c r="O387" s="48"/>
      <c r="P387" s="48"/>
      <c r="Q387" s="48"/>
      <c r="R387" s="48"/>
      <c r="S387" s="48"/>
      <c r="T387" s="48"/>
      <c r="U387" s="48"/>
      <c r="V387" s="48"/>
      <c r="W387" s="48"/>
      <c r="X387" s="48"/>
      <c r="Y387" s="48"/>
      <c r="Z387" s="48"/>
    </row>
    <row r="388" ht="23.25" customHeight="1">
      <c r="A388" s="111" t="str">
        <f>IF(B388="","",VLOOKUP(B388,'Mitglieder BBU'!A:K,6,0))</f>
        <v/>
      </c>
      <c r="B388" s="118"/>
      <c r="C388" s="129"/>
      <c r="D388" s="129"/>
      <c r="E388" s="129"/>
      <c r="F388" s="129"/>
      <c r="G388" s="129"/>
      <c r="H388" s="129"/>
      <c r="I388" s="128">
        <f t="shared" si="1"/>
        <v>0</v>
      </c>
      <c r="J388" s="48"/>
      <c r="K388" s="48"/>
      <c r="L388" s="48"/>
      <c r="M388" s="48"/>
      <c r="N388" s="48"/>
      <c r="O388" s="48"/>
      <c r="P388" s="48"/>
      <c r="Q388" s="48"/>
      <c r="R388" s="48"/>
      <c r="S388" s="48"/>
      <c r="T388" s="48"/>
      <c r="U388" s="48"/>
      <c r="V388" s="48"/>
      <c r="W388" s="48"/>
      <c r="X388" s="48"/>
      <c r="Y388" s="48"/>
      <c r="Z388" s="48"/>
    </row>
    <row r="389" ht="23.25" customHeight="1">
      <c r="A389" s="111" t="str">
        <f>IF(B389="","",VLOOKUP(B389,'Mitglieder BBU'!A:K,6,0))</f>
        <v/>
      </c>
      <c r="B389" s="118"/>
      <c r="C389" s="129"/>
      <c r="D389" s="129"/>
      <c r="E389" s="129"/>
      <c r="F389" s="129"/>
      <c r="G389" s="129"/>
      <c r="H389" s="129"/>
      <c r="I389" s="128">
        <f t="shared" si="1"/>
        <v>0</v>
      </c>
      <c r="J389" s="48"/>
      <c r="K389" s="48"/>
      <c r="L389" s="48"/>
      <c r="M389" s="48"/>
      <c r="N389" s="48"/>
      <c r="O389" s="48"/>
      <c r="P389" s="48"/>
      <c r="Q389" s="48"/>
      <c r="R389" s="48"/>
      <c r="S389" s="48"/>
      <c r="T389" s="48"/>
      <c r="U389" s="48"/>
      <c r="V389" s="48"/>
      <c r="W389" s="48"/>
      <c r="X389" s="48"/>
      <c r="Y389" s="48"/>
      <c r="Z389" s="48"/>
    </row>
    <row r="390" ht="23.25" customHeight="1">
      <c r="A390" s="111" t="str">
        <f>IF(B390="","",VLOOKUP(B390,'Mitglieder BBU'!A:K,6,0))</f>
        <v/>
      </c>
      <c r="B390" s="118"/>
      <c r="C390" s="129"/>
      <c r="D390" s="129"/>
      <c r="E390" s="129"/>
      <c r="F390" s="129"/>
      <c r="G390" s="129"/>
      <c r="H390" s="129"/>
      <c r="I390" s="128">
        <f t="shared" si="1"/>
        <v>0</v>
      </c>
      <c r="J390" s="48"/>
      <c r="K390" s="48"/>
      <c r="L390" s="48"/>
      <c r="M390" s="48"/>
      <c r="N390" s="48"/>
      <c r="O390" s="48"/>
      <c r="P390" s="48"/>
      <c r="Q390" s="48"/>
      <c r="R390" s="48"/>
      <c r="S390" s="48"/>
      <c r="T390" s="48"/>
      <c r="U390" s="48"/>
      <c r="V390" s="48"/>
      <c r="W390" s="48"/>
      <c r="X390" s="48"/>
      <c r="Y390" s="48"/>
      <c r="Z390" s="48"/>
    </row>
    <row r="391" ht="23.25" customHeight="1">
      <c r="A391" s="111" t="str">
        <f>IF(B391="","",VLOOKUP(B391,'Mitglieder BBU'!A:K,6,0))</f>
        <v/>
      </c>
      <c r="B391" s="118"/>
      <c r="C391" s="129"/>
      <c r="D391" s="129"/>
      <c r="E391" s="129"/>
      <c r="F391" s="129"/>
      <c r="G391" s="129"/>
      <c r="H391" s="129"/>
      <c r="I391" s="128">
        <f t="shared" si="1"/>
        <v>0</v>
      </c>
      <c r="J391" s="48"/>
      <c r="K391" s="48"/>
      <c r="L391" s="48"/>
      <c r="M391" s="48"/>
      <c r="N391" s="48"/>
      <c r="O391" s="48"/>
      <c r="P391" s="48"/>
      <c r="Q391" s="48"/>
      <c r="R391" s="48"/>
      <c r="S391" s="48"/>
      <c r="T391" s="48"/>
      <c r="U391" s="48"/>
      <c r="V391" s="48"/>
      <c r="W391" s="48"/>
      <c r="X391" s="48"/>
      <c r="Y391" s="48"/>
      <c r="Z391" s="48"/>
    </row>
    <row r="392" ht="23.25" customHeight="1">
      <c r="A392" s="111" t="str">
        <f>IF(B392="","",VLOOKUP(B392,'Mitglieder BBU'!A:K,6,0))</f>
        <v/>
      </c>
      <c r="B392" s="118"/>
      <c r="C392" s="129"/>
      <c r="D392" s="129"/>
      <c r="E392" s="129"/>
      <c r="F392" s="129"/>
      <c r="G392" s="129"/>
      <c r="H392" s="129"/>
      <c r="I392" s="128">
        <f t="shared" si="1"/>
        <v>0</v>
      </c>
      <c r="J392" s="48"/>
      <c r="K392" s="48"/>
      <c r="L392" s="48"/>
      <c r="M392" s="48"/>
      <c r="N392" s="48"/>
      <c r="O392" s="48"/>
      <c r="P392" s="48"/>
      <c r="Q392" s="48"/>
      <c r="R392" s="48"/>
      <c r="S392" s="48"/>
      <c r="T392" s="48"/>
      <c r="U392" s="48"/>
      <c r="V392" s="48"/>
      <c r="W392" s="48"/>
      <c r="X392" s="48"/>
      <c r="Y392" s="48"/>
      <c r="Z392" s="48"/>
    </row>
    <row r="393" ht="23.25" customHeight="1">
      <c r="A393" s="111" t="str">
        <f>IF(B393="","",VLOOKUP(B393,'Mitglieder BBU'!A:K,6,0))</f>
        <v/>
      </c>
      <c r="B393" s="118"/>
      <c r="C393" s="129"/>
      <c r="D393" s="129"/>
      <c r="E393" s="129"/>
      <c r="F393" s="129"/>
      <c r="G393" s="129"/>
      <c r="H393" s="129"/>
      <c r="I393" s="128">
        <f t="shared" si="1"/>
        <v>0</v>
      </c>
      <c r="J393" s="48"/>
      <c r="K393" s="48"/>
      <c r="L393" s="48"/>
      <c r="M393" s="48"/>
      <c r="N393" s="48"/>
      <c r="O393" s="48"/>
      <c r="P393" s="48"/>
      <c r="Q393" s="48"/>
      <c r="R393" s="48"/>
      <c r="S393" s="48"/>
      <c r="T393" s="48"/>
      <c r="U393" s="48"/>
      <c r="V393" s="48"/>
      <c r="W393" s="48"/>
      <c r="X393" s="48"/>
      <c r="Y393" s="48"/>
      <c r="Z393" s="48"/>
    </row>
    <row r="394" ht="23.25" customHeight="1">
      <c r="A394" s="111" t="str">
        <f>IF(B394="","",VLOOKUP(B394,'Mitglieder BBU'!A:K,6,0))</f>
        <v/>
      </c>
      <c r="B394" s="118"/>
      <c r="C394" s="129"/>
      <c r="D394" s="129"/>
      <c r="E394" s="129"/>
      <c r="F394" s="129"/>
      <c r="G394" s="129"/>
      <c r="H394" s="129"/>
      <c r="I394" s="128">
        <f t="shared" si="1"/>
        <v>0</v>
      </c>
      <c r="J394" s="48"/>
      <c r="K394" s="48"/>
      <c r="L394" s="48"/>
      <c r="M394" s="48"/>
      <c r="N394" s="48"/>
      <c r="O394" s="48"/>
      <c r="P394" s="48"/>
      <c r="Q394" s="48"/>
      <c r="R394" s="48"/>
      <c r="S394" s="48"/>
      <c r="T394" s="48"/>
      <c r="U394" s="48"/>
      <c r="V394" s="48"/>
      <c r="W394" s="48"/>
      <c r="X394" s="48"/>
      <c r="Y394" s="48"/>
      <c r="Z394" s="48"/>
    </row>
    <row r="395" ht="23.25" customHeight="1">
      <c r="A395" s="111" t="str">
        <f>IF(B395="","",VLOOKUP(B395,'Mitglieder BBU'!A:K,6,0))</f>
        <v/>
      </c>
      <c r="B395" s="118"/>
      <c r="C395" s="129"/>
      <c r="D395" s="129"/>
      <c r="E395" s="129"/>
      <c r="F395" s="129"/>
      <c r="G395" s="129"/>
      <c r="H395" s="129"/>
      <c r="I395" s="128">
        <f t="shared" si="1"/>
        <v>0</v>
      </c>
      <c r="J395" s="48"/>
      <c r="K395" s="48"/>
      <c r="L395" s="48"/>
      <c r="M395" s="48"/>
      <c r="N395" s="48"/>
      <c r="O395" s="48"/>
      <c r="P395" s="48"/>
      <c r="Q395" s="48"/>
      <c r="R395" s="48"/>
      <c r="S395" s="48"/>
      <c r="T395" s="48"/>
      <c r="U395" s="48"/>
      <c r="V395" s="48"/>
      <c r="W395" s="48"/>
      <c r="X395" s="48"/>
      <c r="Y395" s="48"/>
      <c r="Z395" s="48"/>
    </row>
    <row r="396" ht="23.25" customHeight="1">
      <c r="A396" s="111" t="str">
        <f>IF(B396="","",VLOOKUP(B396,'Mitglieder BBU'!A:K,6,0))</f>
        <v/>
      </c>
      <c r="B396" s="118"/>
      <c r="C396" s="129"/>
      <c r="D396" s="129"/>
      <c r="E396" s="129"/>
      <c r="F396" s="129"/>
      <c r="G396" s="129"/>
      <c r="H396" s="129"/>
      <c r="I396" s="128">
        <f t="shared" si="1"/>
        <v>0</v>
      </c>
      <c r="J396" s="48"/>
      <c r="K396" s="48"/>
      <c r="L396" s="48"/>
      <c r="M396" s="48"/>
      <c r="N396" s="48"/>
      <c r="O396" s="48"/>
      <c r="P396" s="48"/>
      <c r="Q396" s="48"/>
      <c r="R396" s="48"/>
      <c r="S396" s="48"/>
      <c r="T396" s="48"/>
      <c r="U396" s="48"/>
      <c r="V396" s="48"/>
      <c r="W396" s="48"/>
      <c r="X396" s="48"/>
      <c r="Y396" s="48"/>
      <c r="Z396" s="48"/>
    </row>
    <row r="397" ht="23.25" customHeight="1">
      <c r="A397" s="111" t="str">
        <f>IF(B397="","",VLOOKUP(B397,'Mitglieder BBU'!A:K,6,0))</f>
        <v/>
      </c>
      <c r="B397" s="118"/>
      <c r="C397" s="129"/>
      <c r="D397" s="129"/>
      <c r="E397" s="129"/>
      <c r="F397" s="129"/>
      <c r="G397" s="129"/>
      <c r="H397" s="129"/>
      <c r="I397" s="128">
        <f t="shared" si="1"/>
        <v>0</v>
      </c>
      <c r="J397" s="48"/>
      <c r="K397" s="48"/>
      <c r="L397" s="48"/>
      <c r="M397" s="48"/>
      <c r="N397" s="48"/>
      <c r="O397" s="48"/>
      <c r="P397" s="48"/>
      <c r="Q397" s="48"/>
      <c r="R397" s="48"/>
      <c r="S397" s="48"/>
      <c r="T397" s="48"/>
      <c r="U397" s="48"/>
      <c r="V397" s="48"/>
      <c r="W397" s="48"/>
      <c r="X397" s="48"/>
      <c r="Y397" s="48"/>
      <c r="Z397" s="48"/>
    </row>
    <row r="398" ht="23.25" customHeight="1">
      <c r="A398" s="111" t="str">
        <f>IF(B398="","",VLOOKUP(B398,'Mitglieder BBU'!A:K,6,0))</f>
        <v/>
      </c>
      <c r="B398" s="118"/>
      <c r="C398" s="129"/>
      <c r="D398" s="129"/>
      <c r="E398" s="129"/>
      <c r="F398" s="129"/>
      <c r="G398" s="129"/>
      <c r="H398" s="129"/>
      <c r="I398" s="128">
        <f t="shared" si="1"/>
        <v>0</v>
      </c>
      <c r="J398" s="48"/>
      <c r="K398" s="48"/>
      <c r="L398" s="48"/>
      <c r="M398" s="48"/>
      <c r="N398" s="48"/>
      <c r="O398" s="48"/>
      <c r="P398" s="48"/>
      <c r="Q398" s="48"/>
      <c r="R398" s="48"/>
      <c r="S398" s="48"/>
      <c r="T398" s="48"/>
      <c r="U398" s="48"/>
      <c r="V398" s="48"/>
      <c r="W398" s="48"/>
      <c r="X398" s="48"/>
      <c r="Y398" s="48"/>
      <c r="Z398" s="48"/>
    </row>
    <row r="399" ht="23.25" customHeight="1">
      <c r="A399" s="111" t="str">
        <f>IF(B399="","",VLOOKUP(B399,'Mitglieder BBU'!A:K,6,0))</f>
        <v/>
      </c>
      <c r="B399" s="118"/>
      <c r="C399" s="129"/>
      <c r="D399" s="129"/>
      <c r="E399" s="129"/>
      <c r="F399" s="129"/>
      <c r="G399" s="129"/>
      <c r="H399" s="129"/>
      <c r="I399" s="128">
        <f t="shared" si="1"/>
        <v>0</v>
      </c>
      <c r="J399" s="48"/>
      <c r="K399" s="48"/>
      <c r="L399" s="48"/>
      <c r="M399" s="48"/>
      <c r="N399" s="48"/>
      <c r="O399" s="48"/>
      <c r="P399" s="48"/>
      <c r="Q399" s="48"/>
      <c r="R399" s="48"/>
      <c r="S399" s="48"/>
      <c r="T399" s="48"/>
      <c r="U399" s="48"/>
      <c r="V399" s="48"/>
      <c r="W399" s="48"/>
      <c r="X399" s="48"/>
      <c r="Y399" s="48"/>
      <c r="Z399" s="48"/>
    </row>
    <row r="400" ht="23.25" customHeight="1">
      <c r="A400" s="111" t="str">
        <f>IF(B400="","",VLOOKUP(B400,'Mitglieder BBU'!A:K,6,0))</f>
        <v/>
      </c>
      <c r="B400" s="118"/>
      <c r="C400" s="129"/>
      <c r="D400" s="129"/>
      <c r="E400" s="129"/>
      <c r="F400" s="129"/>
      <c r="G400" s="129"/>
      <c r="H400" s="129"/>
      <c r="I400" s="128">
        <f t="shared" si="1"/>
        <v>0</v>
      </c>
      <c r="J400" s="48"/>
      <c r="K400" s="48"/>
      <c r="L400" s="48"/>
      <c r="M400" s="48"/>
      <c r="N400" s="48"/>
      <c r="O400" s="48"/>
      <c r="P400" s="48"/>
      <c r="Q400" s="48"/>
      <c r="R400" s="48"/>
      <c r="S400" s="48"/>
      <c r="T400" s="48"/>
      <c r="U400" s="48"/>
      <c r="V400" s="48"/>
      <c r="W400" s="48"/>
      <c r="X400" s="48"/>
      <c r="Y400" s="48"/>
      <c r="Z400" s="48"/>
    </row>
    <row r="401" ht="23.25" customHeight="1">
      <c r="A401" s="48"/>
      <c r="C401" s="48"/>
      <c r="D401" s="48"/>
      <c r="E401" s="48"/>
      <c r="F401" s="48"/>
      <c r="G401" s="80"/>
      <c r="H401" s="80"/>
      <c r="I401" s="48"/>
      <c r="J401" s="48"/>
      <c r="K401" s="48"/>
      <c r="L401" s="48"/>
      <c r="M401" s="48"/>
      <c r="N401" s="48"/>
      <c r="O401" s="48"/>
      <c r="P401" s="48"/>
      <c r="Q401" s="48"/>
      <c r="R401" s="48"/>
      <c r="S401" s="48"/>
      <c r="T401" s="48"/>
      <c r="U401" s="48"/>
      <c r="V401" s="48"/>
      <c r="W401" s="48"/>
      <c r="X401" s="48"/>
      <c r="Y401" s="48"/>
      <c r="Z401" s="48"/>
    </row>
    <row r="402" ht="23.25" customHeight="1">
      <c r="A402" s="48"/>
      <c r="C402" s="48"/>
      <c r="D402" s="48"/>
      <c r="E402" s="48"/>
      <c r="F402" s="48"/>
      <c r="G402" s="80"/>
      <c r="H402" s="80"/>
      <c r="I402" s="48"/>
      <c r="J402" s="48"/>
      <c r="K402" s="48"/>
      <c r="L402" s="48"/>
      <c r="M402" s="48"/>
      <c r="N402" s="48"/>
      <c r="O402" s="48"/>
      <c r="P402" s="48"/>
      <c r="Q402" s="48"/>
      <c r="R402" s="48"/>
      <c r="S402" s="48"/>
      <c r="T402" s="48"/>
      <c r="U402" s="48"/>
      <c r="V402" s="48"/>
      <c r="W402" s="48"/>
      <c r="X402" s="48"/>
      <c r="Y402" s="48"/>
      <c r="Z402" s="48"/>
    </row>
    <row r="403" ht="23.25" customHeight="1">
      <c r="A403" s="48"/>
      <c r="C403" s="48"/>
      <c r="D403" s="48"/>
      <c r="E403" s="48"/>
      <c r="F403" s="48"/>
      <c r="G403" s="80"/>
      <c r="H403" s="80"/>
      <c r="I403" s="48"/>
      <c r="J403" s="48"/>
      <c r="K403" s="48"/>
      <c r="L403" s="48"/>
      <c r="M403" s="48"/>
      <c r="N403" s="48"/>
      <c r="O403" s="48"/>
      <c r="P403" s="48"/>
      <c r="Q403" s="48"/>
      <c r="R403" s="48"/>
      <c r="S403" s="48"/>
      <c r="T403" s="48"/>
      <c r="U403" s="48"/>
      <c r="V403" s="48"/>
      <c r="W403" s="48"/>
      <c r="X403" s="48"/>
      <c r="Y403" s="48"/>
      <c r="Z403" s="48"/>
    </row>
    <row r="404" ht="23.25" customHeight="1">
      <c r="A404" s="48"/>
      <c r="C404" s="48"/>
      <c r="D404" s="48"/>
      <c r="E404" s="48"/>
      <c r="F404" s="48"/>
      <c r="G404" s="80"/>
      <c r="H404" s="80"/>
      <c r="I404" s="48"/>
      <c r="J404" s="48"/>
      <c r="K404" s="48"/>
      <c r="L404" s="48"/>
      <c r="M404" s="48"/>
      <c r="N404" s="48"/>
      <c r="O404" s="48"/>
      <c r="P404" s="48"/>
      <c r="Q404" s="48"/>
      <c r="R404" s="48"/>
      <c r="S404" s="48"/>
      <c r="T404" s="48"/>
      <c r="U404" s="48"/>
      <c r="V404" s="48"/>
      <c r="W404" s="48"/>
      <c r="X404" s="48"/>
      <c r="Y404" s="48"/>
      <c r="Z404" s="48"/>
    </row>
    <row r="405" ht="23.25" customHeight="1">
      <c r="A405" s="48"/>
      <c r="C405" s="48"/>
      <c r="D405" s="48"/>
      <c r="E405" s="48"/>
      <c r="F405" s="48"/>
      <c r="G405" s="80"/>
      <c r="H405" s="80"/>
      <c r="I405" s="48"/>
      <c r="J405" s="48"/>
      <c r="K405" s="48"/>
      <c r="L405" s="48"/>
      <c r="M405" s="48"/>
      <c r="N405" s="48"/>
      <c r="O405" s="48"/>
      <c r="P405" s="48"/>
      <c r="Q405" s="48"/>
      <c r="R405" s="48"/>
      <c r="S405" s="48"/>
      <c r="T405" s="48"/>
      <c r="U405" s="48"/>
      <c r="V405" s="48"/>
      <c r="W405" s="48"/>
      <c r="X405" s="48"/>
      <c r="Y405" s="48"/>
      <c r="Z405" s="48"/>
    </row>
    <row r="406" ht="23.25" customHeight="1">
      <c r="A406" s="48"/>
      <c r="C406" s="48"/>
      <c r="D406" s="48"/>
      <c r="E406" s="48"/>
      <c r="F406" s="48"/>
      <c r="G406" s="80"/>
      <c r="H406" s="80"/>
      <c r="I406" s="48"/>
      <c r="J406" s="48"/>
      <c r="K406" s="48"/>
      <c r="L406" s="48"/>
      <c r="M406" s="48"/>
      <c r="N406" s="48"/>
      <c r="O406" s="48"/>
      <c r="P406" s="48"/>
      <c r="Q406" s="48"/>
      <c r="R406" s="48"/>
      <c r="S406" s="48"/>
      <c r="T406" s="48"/>
      <c r="U406" s="48"/>
      <c r="V406" s="48"/>
      <c r="W406" s="48"/>
      <c r="X406" s="48"/>
      <c r="Y406" s="48"/>
      <c r="Z406" s="48"/>
    </row>
    <row r="407" ht="23.25" customHeight="1">
      <c r="A407" s="48"/>
      <c r="C407" s="48"/>
      <c r="D407" s="48"/>
      <c r="E407" s="48"/>
      <c r="F407" s="48"/>
      <c r="G407" s="80"/>
      <c r="H407" s="80"/>
      <c r="I407" s="48"/>
      <c r="J407" s="48"/>
      <c r="K407" s="48"/>
      <c r="L407" s="48"/>
      <c r="M407" s="48"/>
      <c r="N407" s="48"/>
      <c r="O407" s="48"/>
      <c r="P407" s="48"/>
      <c r="Q407" s="48"/>
      <c r="R407" s="48"/>
      <c r="S407" s="48"/>
      <c r="T407" s="48"/>
      <c r="U407" s="48"/>
      <c r="V407" s="48"/>
      <c r="W407" s="48"/>
      <c r="X407" s="48"/>
      <c r="Y407" s="48"/>
      <c r="Z407" s="48"/>
    </row>
    <row r="408" ht="23.25" customHeight="1">
      <c r="A408" s="48"/>
      <c r="C408" s="48"/>
      <c r="D408" s="48"/>
      <c r="E408" s="48"/>
      <c r="F408" s="48"/>
      <c r="G408" s="80"/>
      <c r="H408" s="80"/>
      <c r="I408" s="48"/>
      <c r="J408" s="48"/>
      <c r="K408" s="48"/>
      <c r="L408" s="48"/>
      <c r="M408" s="48"/>
      <c r="N408" s="48"/>
      <c r="O408" s="48"/>
      <c r="P408" s="48"/>
      <c r="Q408" s="48"/>
      <c r="R408" s="48"/>
      <c r="S408" s="48"/>
      <c r="T408" s="48"/>
      <c r="U408" s="48"/>
      <c r="V408" s="48"/>
      <c r="W408" s="48"/>
      <c r="X408" s="48"/>
      <c r="Y408" s="48"/>
      <c r="Z408" s="48"/>
    </row>
    <row r="409" ht="23.25" customHeight="1">
      <c r="A409" s="48"/>
      <c r="C409" s="48"/>
      <c r="D409" s="48"/>
      <c r="E409" s="48"/>
      <c r="F409" s="48"/>
      <c r="G409" s="80"/>
      <c r="H409" s="80"/>
      <c r="I409" s="48"/>
      <c r="J409" s="48"/>
      <c r="K409" s="48"/>
      <c r="L409" s="48"/>
      <c r="M409" s="48"/>
      <c r="N409" s="48"/>
      <c r="O409" s="48"/>
      <c r="P409" s="48"/>
      <c r="Q409" s="48"/>
      <c r="R409" s="48"/>
      <c r="S409" s="48"/>
      <c r="T409" s="48"/>
      <c r="U409" s="48"/>
      <c r="V409" s="48"/>
      <c r="W409" s="48"/>
      <c r="X409" s="48"/>
      <c r="Y409" s="48"/>
      <c r="Z409" s="48"/>
    </row>
    <row r="410" ht="23.25" customHeight="1">
      <c r="A410" s="48"/>
      <c r="C410" s="48"/>
      <c r="D410" s="48"/>
      <c r="E410" s="48"/>
      <c r="F410" s="48"/>
      <c r="G410" s="80"/>
      <c r="H410" s="80"/>
      <c r="I410" s="48"/>
      <c r="J410" s="48"/>
      <c r="K410" s="48"/>
      <c r="L410" s="48"/>
      <c r="M410" s="48"/>
      <c r="N410" s="48"/>
      <c r="O410" s="48"/>
      <c r="P410" s="48"/>
      <c r="Q410" s="48"/>
      <c r="R410" s="48"/>
      <c r="S410" s="48"/>
      <c r="T410" s="48"/>
      <c r="U410" s="48"/>
      <c r="V410" s="48"/>
      <c r="W410" s="48"/>
      <c r="X410" s="48"/>
      <c r="Y410" s="48"/>
      <c r="Z410" s="48"/>
    </row>
    <row r="411" ht="23.25" customHeight="1">
      <c r="A411" s="48"/>
      <c r="C411" s="48"/>
      <c r="D411" s="48"/>
      <c r="E411" s="48"/>
      <c r="F411" s="48"/>
      <c r="G411" s="80"/>
      <c r="H411" s="80"/>
      <c r="I411" s="48"/>
      <c r="J411" s="48"/>
      <c r="K411" s="48"/>
      <c r="L411" s="48"/>
      <c r="M411" s="48"/>
      <c r="N411" s="48"/>
      <c r="O411" s="48"/>
      <c r="P411" s="48"/>
      <c r="Q411" s="48"/>
      <c r="R411" s="48"/>
      <c r="S411" s="48"/>
      <c r="T411" s="48"/>
      <c r="U411" s="48"/>
      <c r="V411" s="48"/>
      <c r="W411" s="48"/>
      <c r="X411" s="48"/>
      <c r="Y411" s="48"/>
      <c r="Z411" s="48"/>
    </row>
    <row r="412" ht="23.25" customHeight="1">
      <c r="A412" s="48"/>
      <c r="C412" s="48"/>
      <c r="D412" s="48"/>
      <c r="E412" s="48"/>
      <c r="F412" s="48"/>
      <c r="G412" s="80"/>
      <c r="H412" s="80"/>
      <c r="I412" s="48"/>
      <c r="J412" s="48"/>
      <c r="K412" s="48"/>
      <c r="L412" s="48"/>
      <c r="M412" s="48"/>
      <c r="N412" s="48"/>
      <c r="O412" s="48"/>
      <c r="P412" s="48"/>
      <c r="Q412" s="48"/>
      <c r="R412" s="48"/>
      <c r="S412" s="48"/>
      <c r="T412" s="48"/>
      <c r="U412" s="48"/>
      <c r="V412" s="48"/>
      <c r="W412" s="48"/>
      <c r="X412" s="48"/>
      <c r="Y412" s="48"/>
      <c r="Z412" s="48"/>
    </row>
    <row r="413" ht="23.25" customHeight="1">
      <c r="A413" s="48"/>
      <c r="C413" s="48"/>
      <c r="D413" s="48"/>
      <c r="E413" s="48"/>
      <c r="F413" s="48"/>
      <c r="G413" s="80"/>
      <c r="H413" s="80"/>
      <c r="I413" s="48"/>
      <c r="J413" s="48"/>
      <c r="K413" s="48"/>
      <c r="L413" s="48"/>
      <c r="M413" s="48"/>
      <c r="N413" s="48"/>
      <c r="O413" s="48"/>
      <c r="P413" s="48"/>
      <c r="Q413" s="48"/>
      <c r="R413" s="48"/>
      <c r="S413" s="48"/>
      <c r="T413" s="48"/>
      <c r="U413" s="48"/>
      <c r="V413" s="48"/>
      <c r="W413" s="48"/>
      <c r="X413" s="48"/>
      <c r="Y413" s="48"/>
      <c r="Z413" s="48"/>
    </row>
    <row r="414" ht="23.25" customHeight="1">
      <c r="A414" s="48"/>
      <c r="C414" s="48"/>
      <c r="D414" s="48"/>
      <c r="E414" s="48"/>
      <c r="F414" s="48"/>
      <c r="G414" s="80"/>
      <c r="H414" s="80"/>
      <c r="I414" s="48"/>
      <c r="J414" s="48"/>
      <c r="K414" s="48"/>
      <c r="L414" s="48"/>
      <c r="M414" s="48"/>
      <c r="N414" s="48"/>
      <c r="O414" s="48"/>
      <c r="P414" s="48"/>
      <c r="Q414" s="48"/>
      <c r="R414" s="48"/>
      <c r="S414" s="48"/>
      <c r="T414" s="48"/>
      <c r="U414" s="48"/>
      <c r="V414" s="48"/>
      <c r="W414" s="48"/>
      <c r="X414" s="48"/>
      <c r="Y414" s="48"/>
      <c r="Z414" s="48"/>
    </row>
    <row r="415" ht="23.25" customHeight="1">
      <c r="A415" s="48"/>
      <c r="C415" s="48"/>
      <c r="D415" s="48"/>
      <c r="E415" s="48"/>
      <c r="F415" s="48"/>
      <c r="G415" s="80"/>
      <c r="H415" s="80"/>
      <c r="I415" s="48"/>
      <c r="J415" s="48"/>
      <c r="K415" s="48"/>
      <c r="L415" s="48"/>
      <c r="M415" s="48"/>
      <c r="N415" s="48"/>
      <c r="O415" s="48"/>
      <c r="P415" s="48"/>
      <c r="Q415" s="48"/>
      <c r="R415" s="48"/>
      <c r="S415" s="48"/>
      <c r="T415" s="48"/>
      <c r="U415" s="48"/>
      <c r="V415" s="48"/>
      <c r="W415" s="48"/>
      <c r="X415" s="48"/>
      <c r="Y415" s="48"/>
      <c r="Z415" s="48"/>
    </row>
    <row r="416" ht="23.25" customHeight="1">
      <c r="A416" s="48"/>
      <c r="C416" s="48"/>
      <c r="D416" s="48"/>
      <c r="E416" s="48"/>
      <c r="F416" s="48"/>
      <c r="G416" s="80"/>
      <c r="H416" s="80"/>
      <c r="I416" s="48"/>
      <c r="J416" s="48"/>
      <c r="K416" s="48"/>
      <c r="L416" s="48"/>
      <c r="M416" s="48"/>
      <c r="N416" s="48"/>
      <c r="O416" s="48"/>
      <c r="P416" s="48"/>
      <c r="Q416" s="48"/>
      <c r="R416" s="48"/>
      <c r="S416" s="48"/>
      <c r="T416" s="48"/>
      <c r="U416" s="48"/>
      <c r="V416" s="48"/>
      <c r="W416" s="48"/>
      <c r="X416" s="48"/>
      <c r="Y416" s="48"/>
      <c r="Z416" s="48"/>
    </row>
    <row r="417" ht="23.25" customHeight="1">
      <c r="A417" s="48"/>
      <c r="C417" s="48"/>
      <c r="D417" s="48"/>
      <c r="E417" s="48"/>
      <c r="F417" s="48"/>
      <c r="G417" s="80"/>
      <c r="H417" s="80"/>
      <c r="I417" s="48"/>
      <c r="J417" s="48"/>
      <c r="K417" s="48"/>
      <c r="L417" s="48"/>
      <c r="M417" s="48"/>
      <c r="N417" s="48"/>
      <c r="O417" s="48"/>
      <c r="P417" s="48"/>
      <c r="Q417" s="48"/>
      <c r="R417" s="48"/>
      <c r="S417" s="48"/>
      <c r="T417" s="48"/>
      <c r="U417" s="48"/>
      <c r="V417" s="48"/>
      <c r="W417" s="48"/>
      <c r="X417" s="48"/>
      <c r="Y417" s="48"/>
      <c r="Z417" s="48"/>
    </row>
    <row r="418" ht="23.25" customHeight="1">
      <c r="A418" s="48"/>
      <c r="C418" s="48"/>
      <c r="D418" s="48"/>
      <c r="E418" s="48"/>
      <c r="F418" s="48"/>
      <c r="G418" s="80"/>
      <c r="H418" s="80"/>
      <c r="I418" s="48"/>
      <c r="J418" s="48"/>
      <c r="K418" s="48"/>
      <c r="L418" s="48"/>
      <c r="M418" s="48"/>
      <c r="N418" s="48"/>
      <c r="O418" s="48"/>
      <c r="P418" s="48"/>
      <c r="Q418" s="48"/>
      <c r="R418" s="48"/>
      <c r="S418" s="48"/>
      <c r="T418" s="48"/>
      <c r="U418" s="48"/>
      <c r="V418" s="48"/>
      <c r="W418" s="48"/>
      <c r="X418" s="48"/>
      <c r="Y418" s="48"/>
      <c r="Z418" s="48"/>
    </row>
    <row r="419" ht="23.25" customHeight="1">
      <c r="A419" s="48"/>
      <c r="C419" s="48"/>
      <c r="D419" s="48"/>
      <c r="E419" s="48"/>
      <c r="F419" s="48"/>
      <c r="G419" s="80"/>
      <c r="H419" s="80"/>
      <c r="I419" s="48"/>
      <c r="J419" s="48"/>
      <c r="K419" s="48"/>
      <c r="L419" s="48"/>
      <c r="M419" s="48"/>
      <c r="N419" s="48"/>
      <c r="O419" s="48"/>
      <c r="P419" s="48"/>
      <c r="Q419" s="48"/>
      <c r="R419" s="48"/>
      <c r="S419" s="48"/>
      <c r="T419" s="48"/>
      <c r="U419" s="48"/>
      <c r="V419" s="48"/>
      <c r="W419" s="48"/>
      <c r="X419" s="48"/>
      <c r="Y419" s="48"/>
      <c r="Z419" s="48"/>
    </row>
    <row r="420" ht="23.25" customHeight="1">
      <c r="A420" s="48"/>
      <c r="C420" s="48"/>
      <c r="D420" s="48"/>
      <c r="E420" s="48"/>
      <c r="F420" s="48"/>
      <c r="G420" s="80"/>
      <c r="H420" s="80"/>
      <c r="I420" s="48"/>
      <c r="J420" s="48"/>
      <c r="K420" s="48"/>
      <c r="L420" s="48"/>
      <c r="M420" s="48"/>
      <c r="N420" s="48"/>
      <c r="O420" s="48"/>
      <c r="P420" s="48"/>
      <c r="Q420" s="48"/>
      <c r="R420" s="48"/>
      <c r="S420" s="48"/>
      <c r="T420" s="48"/>
      <c r="U420" s="48"/>
      <c r="V420" s="48"/>
      <c r="W420" s="48"/>
      <c r="X420" s="48"/>
      <c r="Y420" s="48"/>
      <c r="Z420" s="48"/>
    </row>
    <row r="421" ht="23.25" customHeight="1">
      <c r="A421" s="48"/>
      <c r="C421" s="48"/>
      <c r="D421" s="48"/>
      <c r="E421" s="48"/>
      <c r="F421" s="48"/>
      <c r="G421" s="80"/>
      <c r="H421" s="80"/>
      <c r="I421" s="48"/>
      <c r="J421" s="48"/>
      <c r="K421" s="48"/>
      <c r="L421" s="48"/>
      <c r="M421" s="48"/>
      <c r="N421" s="48"/>
      <c r="O421" s="48"/>
      <c r="P421" s="48"/>
      <c r="Q421" s="48"/>
      <c r="R421" s="48"/>
      <c r="S421" s="48"/>
      <c r="T421" s="48"/>
      <c r="U421" s="48"/>
      <c r="V421" s="48"/>
      <c r="W421" s="48"/>
      <c r="X421" s="48"/>
      <c r="Y421" s="48"/>
      <c r="Z421" s="48"/>
    </row>
    <row r="422" ht="23.25" customHeight="1">
      <c r="A422" s="48"/>
      <c r="C422" s="48"/>
      <c r="D422" s="48"/>
      <c r="E422" s="48"/>
      <c r="F422" s="48"/>
      <c r="G422" s="80"/>
      <c r="H422" s="80"/>
      <c r="I422" s="48"/>
      <c r="J422" s="48"/>
      <c r="K422" s="48"/>
      <c r="L422" s="48"/>
      <c r="M422" s="48"/>
      <c r="N422" s="48"/>
      <c r="O422" s="48"/>
      <c r="P422" s="48"/>
      <c r="Q422" s="48"/>
      <c r="R422" s="48"/>
      <c r="S422" s="48"/>
      <c r="T422" s="48"/>
      <c r="U422" s="48"/>
      <c r="V422" s="48"/>
      <c r="W422" s="48"/>
      <c r="X422" s="48"/>
      <c r="Y422" s="48"/>
      <c r="Z422" s="48"/>
    </row>
    <row r="423" ht="23.25" customHeight="1">
      <c r="A423" s="48"/>
      <c r="C423" s="48"/>
      <c r="D423" s="48"/>
      <c r="E423" s="48"/>
      <c r="F423" s="48"/>
      <c r="G423" s="80"/>
      <c r="H423" s="80"/>
      <c r="I423" s="48"/>
      <c r="J423" s="48"/>
      <c r="K423" s="48"/>
      <c r="L423" s="48"/>
      <c r="M423" s="48"/>
      <c r="N423" s="48"/>
      <c r="O423" s="48"/>
      <c r="P423" s="48"/>
      <c r="Q423" s="48"/>
      <c r="R423" s="48"/>
      <c r="S423" s="48"/>
      <c r="T423" s="48"/>
      <c r="U423" s="48"/>
      <c r="V423" s="48"/>
      <c r="W423" s="48"/>
      <c r="X423" s="48"/>
      <c r="Y423" s="48"/>
      <c r="Z423" s="48"/>
    </row>
    <row r="424" ht="23.25" customHeight="1">
      <c r="A424" s="48"/>
      <c r="C424" s="48"/>
      <c r="D424" s="48"/>
      <c r="E424" s="48"/>
      <c r="F424" s="48"/>
      <c r="G424" s="80"/>
      <c r="H424" s="80"/>
      <c r="I424" s="48"/>
      <c r="J424" s="48"/>
      <c r="K424" s="48"/>
      <c r="L424" s="48"/>
      <c r="M424" s="48"/>
      <c r="N424" s="48"/>
      <c r="O424" s="48"/>
      <c r="P424" s="48"/>
      <c r="Q424" s="48"/>
      <c r="R424" s="48"/>
      <c r="S424" s="48"/>
      <c r="T424" s="48"/>
      <c r="U424" s="48"/>
      <c r="V424" s="48"/>
      <c r="W424" s="48"/>
      <c r="X424" s="48"/>
      <c r="Y424" s="48"/>
      <c r="Z424" s="48"/>
    </row>
    <row r="425" ht="23.25" customHeight="1">
      <c r="A425" s="48"/>
      <c r="C425" s="48"/>
      <c r="D425" s="48"/>
      <c r="E425" s="48"/>
      <c r="F425" s="48"/>
      <c r="G425" s="80"/>
      <c r="H425" s="80"/>
      <c r="I425" s="48"/>
      <c r="J425" s="48"/>
      <c r="K425" s="48"/>
      <c r="L425" s="48"/>
      <c r="M425" s="48"/>
      <c r="N425" s="48"/>
      <c r="O425" s="48"/>
      <c r="P425" s="48"/>
      <c r="Q425" s="48"/>
      <c r="R425" s="48"/>
      <c r="S425" s="48"/>
      <c r="T425" s="48"/>
      <c r="U425" s="48"/>
      <c r="V425" s="48"/>
      <c r="W425" s="48"/>
      <c r="X425" s="48"/>
      <c r="Y425" s="48"/>
      <c r="Z425" s="48"/>
    </row>
    <row r="426" ht="23.25" customHeight="1">
      <c r="A426" s="48"/>
      <c r="C426" s="48"/>
      <c r="D426" s="48"/>
      <c r="E426" s="48"/>
      <c r="F426" s="48"/>
      <c r="G426" s="80"/>
      <c r="H426" s="80"/>
      <c r="I426" s="48"/>
      <c r="J426" s="48"/>
      <c r="K426" s="48"/>
      <c r="L426" s="48"/>
      <c r="M426" s="48"/>
      <c r="N426" s="48"/>
      <c r="O426" s="48"/>
      <c r="P426" s="48"/>
      <c r="Q426" s="48"/>
      <c r="R426" s="48"/>
      <c r="S426" s="48"/>
      <c r="T426" s="48"/>
      <c r="U426" s="48"/>
      <c r="V426" s="48"/>
      <c r="W426" s="48"/>
      <c r="X426" s="48"/>
      <c r="Y426" s="48"/>
      <c r="Z426" s="48"/>
    </row>
    <row r="427" ht="23.25" customHeight="1">
      <c r="A427" s="48"/>
      <c r="C427" s="48"/>
      <c r="D427" s="48"/>
      <c r="E427" s="48"/>
      <c r="F427" s="48"/>
      <c r="G427" s="80"/>
      <c r="H427" s="80"/>
      <c r="I427" s="48"/>
      <c r="J427" s="48"/>
      <c r="K427" s="48"/>
      <c r="L427" s="48"/>
      <c r="M427" s="48"/>
      <c r="N427" s="48"/>
      <c r="O427" s="48"/>
      <c r="P427" s="48"/>
      <c r="Q427" s="48"/>
      <c r="R427" s="48"/>
      <c r="S427" s="48"/>
      <c r="T427" s="48"/>
      <c r="U427" s="48"/>
      <c r="V427" s="48"/>
      <c r="W427" s="48"/>
      <c r="X427" s="48"/>
      <c r="Y427" s="48"/>
      <c r="Z427" s="48"/>
    </row>
    <row r="428" ht="23.25" customHeight="1">
      <c r="A428" s="48"/>
      <c r="C428" s="48"/>
      <c r="D428" s="48"/>
      <c r="E428" s="48"/>
      <c r="F428" s="48"/>
      <c r="G428" s="80"/>
      <c r="H428" s="80"/>
      <c r="I428" s="48"/>
      <c r="J428" s="48"/>
      <c r="K428" s="48"/>
      <c r="L428" s="48"/>
      <c r="M428" s="48"/>
      <c r="N428" s="48"/>
      <c r="O428" s="48"/>
      <c r="P428" s="48"/>
      <c r="Q428" s="48"/>
      <c r="R428" s="48"/>
      <c r="S428" s="48"/>
      <c r="T428" s="48"/>
      <c r="U428" s="48"/>
      <c r="V428" s="48"/>
      <c r="W428" s="48"/>
      <c r="X428" s="48"/>
      <c r="Y428" s="48"/>
      <c r="Z428" s="48"/>
    </row>
    <row r="429" ht="23.25" customHeight="1">
      <c r="A429" s="48"/>
      <c r="C429" s="48"/>
      <c r="D429" s="48"/>
      <c r="E429" s="48"/>
      <c r="F429" s="48"/>
      <c r="G429" s="80"/>
      <c r="H429" s="80"/>
      <c r="I429" s="48"/>
      <c r="J429" s="48"/>
      <c r="K429" s="48"/>
      <c r="L429" s="48"/>
      <c r="M429" s="48"/>
      <c r="N429" s="48"/>
      <c r="O429" s="48"/>
      <c r="P429" s="48"/>
      <c r="Q429" s="48"/>
      <c r="R429" s="48"/>
      <c r="S429" s="48"/>
      <c r="T429" s="48"/>
      <c r="U429" s="48"/>
      <c r="V429" s="48"/>
      <c r="W429" s="48"/>
      <c r="X429" s="48"/>
      <c r="Y429" s="48"/>
      <c r="Z429" s="48"/>
    </row>
    <row r="430" ht="23.25" customHeight="1">
      <c r="A430" s="48"/>
      <c r="C430" s="48"/>
      <c r="D430" s="48"/>
      <c r="E430" s="48"/>
      <c r="F430" s="48"/>
      <c r="G430" s="80"/>
      <c r="H430" s="80"/>
      <c r="I430" s="48"/>
      <c r="J430" s="48"/>
      <c r="K430" s="48"/>
      <c r="L430" s="48"/>
      <c r="M430" s="48"/>
      <c r="N430" s="48"/>
      <c r="O430" s="48"/>
      <c r="P430" s="48"/>
      <c r="Q430" s="48"/>
      <c r="R430" s="48"/>
      <c r="S430" s="48"/>
      <c r="T430" s="48"/>
      <c r="U430" s="48"/>
      <c r="V430" s="48"/>
      <c r="W430" s="48"/>
      <c r="X430" s="48"/>
      <c r="Y430" s="48"/>
      <c r="Z430" s="48"/>
    </row>
    <row r="431" ht="23.25" customHeight="1">
      <c r="A431" s="48"/>
      <c r="C431" s="48"/>
      <c r="D431" s="48"/>
      <c r="E431" s="48"/>
      <c r="F431" s="48"/>
      <c r="G431" s="80"/>
      <c r="H431" s="80"/>
      <c r="I431" s="48"/>
      <c r="J431" s="48"/>
      <c r="K431" s="48"/>
      <c r="L431" s="48"/>
      <c r="M431" s="48"/>
      <c r="N431" s="48"/>
      <c r="O431" s="48"/>
      <c r="P431" s="48"/>
      <c r="Q431" s="48"/>
      <c r="R431" s="48"/>
      <c r="S431" s="48"/>
      <c r="T431" s="48"/>
      <c r="U431" s="48"/>
      <c r="V431" s="48"/>
      <c r="W431" s="48"/>
      <c r="X431" s="48"/>
      <c r="Y431" s="48"/>
      <c r="Z431" s="48"/>
    </row>
    <row r="432" ht="23.25" customHeight="1">
      <c r="A432" s="48"/>
      <c r="C432" s="48"/>
      <c r="D432" s="48"/>
      <c r="E432" s="48"/>
      <c r="F432" s="48"/>
      <c r="G432" s="80"/>
      <c r="H432" s="80"/>
      <c r="I432" s="48"/>
      <c r="J432" s="48"/>
      <c r="K432" s="48"/>
      <c r="L432" s="48"/>
      <c r="M432" s="48"/>
      <c r="N432" s="48"/>
      <c r="O432" s="48"/>
      <c r="P432" s="48"/>
      <c r="Q432" s="48"/>
      <c r="R432" s="48"/>
      <c r="S432" s="48"/>
      <c r="T432" s="48"/>
      <c r="U432" s="48"/>
      <c r="V432" s="48"/>
      <c r="W432" s="48"/>
      <c r="X432" s="48"/>
      <c r="Y432" s="48"/>
      <c r="Z432" s="48"/>
    </row>
    <row r="433" ht="23.25" customHeight="1">
      <c r="A433" s="48"/>
      <c r="C433" s="48"/>
      <c r="D433" s="48"/>
      <c r="E433" s="48"/>
      <c r="F433" s="48"/>
      <c r="G433" s="80"/>
      <c r="H433" s="80"/>
      <c r="I433" s="48"/>
      <c r="J433" s="48"/>
      <c r="K433" s="48"/>
      <c r="L433" s="48"/>
      <c r="M433" s="48"/>
      <c r="N433" s="48"/>
      <c r="O433" s="48"/>
      <c r="P433" s="48"/>
      <c r="Q433" s="48"/>
      <c r="R433" s="48"/>
      <c r="S433" s="48"/>
      <c r="T433" s="48"/>
      <c r="U433" s="48"/>
      <c r="V433" s="48"/>
      <c r="W433" s="48"/>
      <c r="X433" s="48"/>
      <c r="Y433" s="48"/>
      <c r="Z433" s="48"/>
    </row>
    <row r="434" ht="23.25" customHeight="1">
      <c r="A434" s="48"/>
      <c r="C434" s="48"/>
      <c r="D434" s="48"/>
      <c r="E434" s="48"/>
      <c r="F434" s="48"/>
      <c r="G434" s="80"/>
      <c r="H434" s="80"/>
      <c r="I434" s="48"/>
      <c r="J434" s="48"/>
      <c r="K434" s="48"/>
      <c r="L434" s="48"/>
      <c r="M434" s="48"/>
      <c r="N434" s="48"/>
      <c r="O434" s="48"/>
      <c r="P434" s="48"/>
      <c r="Q434" s="48"/>
      <c r="R434" s="48"/>
      <c r="S434" s="48"/>
      <c r="T434" s="48"/>
      <c r="U434" s="48"/>
      <c r="V434" s="48"/>
      <c r="W434" s="48"/>
      <c r="X434" s="48"/>
      <c r="Y434" s="48"/>
      <c r="Z434" s="48"/>
    </row>
    <row r="435" ht="23.25" customHeight="1">
      <c r="A435" s="48"/>
      <c r="C435" s="48"/>
      <c r="D435" s="48"/>
      <c r="E435" s="48"/>
      <c r="F435" s="48"/>
      <c r="G435" s="80"/>
      <c r="H435" s="80"/>
      <c r="I435" s="48"/>
      <c r="J435" s="48"/>
      <c r="K435" s="48"/>
      <c r="L435" s="48"/>
      <c r="M435" s="48"/>
      <c r="N435" s="48"/>
      <c r="O435" s="48"/>
      <c r="P435" s="48"/>
      <c r="Q435" s="48"/>
      <c r="R435" s="48"/>
      <c r="S435" s="48"/>
      <c r="T435" s="48"/>
      <c r="U435" s="48"/>
      <c r="V435" s="48"/>
      <c r="W435" s="48"/>
      <c r="X435" s="48"/>
      <c r="Y435" s="48"/>
      <c r="Z435" s="48"/>
    </row>
    <row r="436" ht="23.25" customHeight="1">
      <c r="A436" s="48"/>
      <c r="C436" s="48"/>
      <c r="D436" s="48"/>
      <c r="E436" s="48"/>
      <c r="F436" s="48"/>
      <c r="G436" s="80"/>
      <c r="H436" s="80"/>
      <c r="I436" s="48"/>
      <c r="J436" s="48"/>
      <c r="K436" s="48"/>
      <c r="L436" s="48"/>
      <c r="M436" s="48"/>
      <c r="N436" s="48"/>
      <c r="O436" s="48"/>
      <c r="P436" s="48"/>
      <c r="Q436" s="48"/>
      <c r="R436" s="48"/>
      <c r="S436" s="48"/>
      <c r="T436" s="48"/>
      <c r="U436" s="48"/>
      <c r="V436" s="48"/>
      <c r="W436" s="48"/>
      <c r="X436" s="48"/>
      <c r="Y436" s="48"/>
      <c r="Z436" s="48"/>
    </row>
    <row r="437" ht="23.25" customHeight="1">
      <c r="A437" s="48"/>
      <c r="C437" s="48"/>
      <c r="D437" s="48"/>
      <c r="E437" s="48"/>
      <c r="F437" s="48"/>
      <c r="G437" s="80"/>
      <c r="H437" s="80"/>
      <c r="I437" s="48"/>
      <c r="J437" s="48"/>
      <c r="K437" s="48"/>
      <c r="L437" s="48"/>
      <c r="M437" s="48"/>
      <c r="N437" s="48"/>
      <c r="O437" s="48"/>
      <c r="P437" s="48"/>
      <c r="Q437" s="48"/>
      <c r="R437" s="48"/>
      <c r="S437" s="48"/>
      <c r="T437" s="48"/>
      <c r="U437" s="48"/>
      <c r="V437" s="48"/>
      <c r="W437" s="48"/>
      <c r="X437" s="48"/>
      <c r="Y437" s="48"/>
      <c r="Z437" s="48"/>
    </row>
    <row r="438" ht="23.25" customHeight="1">
      <c r="A438" s="48"/>
      <c r="B438" s="48"/>
      <c r="C438" s="48"/>
      <c r="D438" s="48"/>
      <c r="E438" s="48"/>
      <c r="F438" s="48"/>
      <c r="G438" s="80"/>
      <c r="H438" s="80"/>
      <c r="I438" s="48"/>
      <c r="J438" s="48"/>
      <c r="K438" s="48"/>
      <c r="L438" s="48"/>
      <c r="M438" s="48"/>
      <c r="N438" s="48"/>
      <c r="O438" s="48"/>
      <c r="P438" s="48"/>
      <c r="Q438" s="48"/>
      <c r="R438" s="48"/>
      <c r="S438" s="48"/>
      <c r="T438" s="48"/>
      <c r="U438" s="48"/>
      <c r="V438" s="48"/>
      <c r="W438" s="48"/>
      <c r="X438" s="48"/>
      <c r="Y438" s="48"/>
      <c r="Z438" s="48"/>
    </row>
    <row r="439" ht="23.25" customHeight="1">
      <c r="A439" s="48"/>
      <c r="B439" s="48"/>
      <c r="C439" s="48"/>
      <c r="D439" s="48"/>
      <c r="E439" s="48"/>
      <c r="F439" s="48"/>
      <c r="G439" s="80"/>
      <c r="H439" s="80"/>
      <c r="I439" s="48"/>
      <c r="J439" s="48"/>
      <c r="K439" s="48"/>
      <c r="L439" s="48"/>
      <c r="M439" s="48"/>
      <c r="N439" s="48"/>
      <c r="O439" s="48"/>
      <c r="P439" s="48"/>
      <c r="Q439" s="48"/>
      <c r="R439" s="48"/>
      <c r="S439" s="48"/>
      <c r="T439" s="48"/>
      <c r="U439" s="48"/>
      <c r="V439" s="48"/>
      <c r="W439" s="48"/>
      <c r="X439" s="48"/>
      <c r="Y439" s="48"/>
      <c r="Z439" s="48"/>
    </row>
    <row r="440" ht="23.25" customHeight="1">
      <c r="A440" s="48"/>
      <c r="B440" s="48"/>
      <c r="C440" s="48"/>
      <c r="D440" s="48"/>
      <c r="E440" s="48"/>
      <c r="F440" s="48"/>
      <c r="G440" s="80"/>
      <c r="H440" s="80"/>
      <c r="I440" s="48"/>
      <c r="J440" s="48"/>
      <c r="K440" s="48"/>
      <c r="L440" s="48"/>
      <c r="M440" s="48"/>
      <c r="N440" s="48"/>
      <c r="O440" s="48"/>
      <c r="P440" s="48"/>
      <c r="Q440" s="48"/>
      <c r="R440" s="48"/>
      <c r="S440" s="48"/>
      <c r="T440" s="48"/>
      <c r="U440" s="48"/>
      <c r="V440" s="48"/>
      <c r="W440" s="48"/>
      <c r="X440" s="48"/>
      <c r="Y440" s="48"/>
      <c r="Z440" s="48"/>
    </row>
    <row r="441" ht="23.25" customHeight="1">
      <c r="A441" s="48"/>
      <c r="B441" s="48"/>
      <c r="C441" s="48"/>
      <c r="D441" s="48"/>
      <c r="E441" s="48"/>
      <c r="F441" s="48"/>
      <c r="G441" s="80"/>
      <c r="H441" s="80"/>
      <c r="I441" s="48"/>
      <c r="J441" s="48"/>
      <c r="K441" s="48"/>
      <c r="L441" s="48"/>
      <c r="M441" s="48"/>
      <c r="N441" s="48"/>
      <c r="O441" s="48"/>
      <c r="P441" s="48"/>
      <c r="Q441" s="48"/>
      <c r="R441" s="48"/>
      <c r="S441" s="48"/>
      <c r="T441" s="48"/>
      <c r="U441" s="48"/>
      <c r="V441" s="48"/>
      <c r="W441" s="48"/>
      <c r="X441" s="48"/>
      <c r="Y441" s="48"/>
      <c r="Z441" s="48"/>
    </row>
    <row r="442" ht="23.25" customHeight="1">
      <c r="A442" s="48"/>
      <c r="B442" s="48"/>
      <c r="C442" s="48"/>
      <c r="D442" s="48"/>
      <c r="E442" s="48"/>
      <c r="F442" s="48"/>
      <c r="G442" s="80"/>
      <c r="H442" s="80"/>
      <c r="I442" s="48"/>
      <c r="J442" s="48"/>
      <c r="K442" s="48"/>
      <c r="L442" s="48"/>
      <c r="M442" s="48"/>
      <c r="N442" s="48"/>
      <c r="O442" s="48"/>
      <c r="P442" s="48"/>
      <c r="Q442" s="48"/>
      <c r="R442" s="48"/>
      <c r="S442" s="48"/>
      <c r="T442" s="48"/>
      <c r="U442" s="48"/>
      <c r="V442" s="48"/>
      <c r="W442" s="48"/>
      <c r="X442" s="48"/>
      <c r="Y442" s="48"/>
      <c r="Z442" s="48"/>
    </row>
    <row r="443" ht="23.25" customHeight="1">
      <c r="A443" s="48"/>
      <c r="B443" s="48"/>
      <c r="C443" s="48"/>
      <c r="D443" s="48"/>
      <c r="E443" s="48"/>
      <c r="F443" s="48"/>
      <c r="G443" s="80"/>
      <c r="H443" s="80"/>
      <c r="I443" s="48"/>
      <c r="J443" s="48"/>
      <c r="K443" s="48"/>
      <c r="L443" s="48"/>
      <c r="M443" s="48"/>
      <c r="N443" s="48"/>
      <c r="O443" s="48"/>
      <c r="P443" s="48"/>
      <c r="Q443" s="48"/>
      <c r="R443" s="48"/>
      <c r="S443" s="48"/>
      <c r="T443" s="48"/>
      <c r="U443" s="48"/>
      <c r="V443" s="48"/>
      <c r="W443" s="48"/>
      <c r="X443" s="48"/>
      <c r="Y443" s="48"/>
      <c r="Z443" s="48"/>
    </row>
    <row r="444" ht="23.25" customHeight="1">
      <c r="A444" s="48"/>
      <c r="B444" s="48"/>
      <c r="C444" s="48"/>
      <c r="D444" s="48"/>
      <c r="E444" s="48"/>
      <c r="F444" s="48"/>
      <c r="G444" s="80"/>
      <c r="H444" s="80"/>
      <c r="I444" s="48"/>
      <c r="J444" s="48"/>
      <c r="K444" s="48"/>
      <c r="L444" s="48"/>
      <c r="M444" s="48"/>
      <c r="N444" s="48"/>
      <c r="O444" s="48"/>
      <c r="P444" s="48"/>
      <c r="Q444" s="48"/>
      <c r="R444" s="48"/>
      <c r="S444" s="48"/>
      <c r="T444" s="48"/>
      <c r="U444" s="48"/>
      <c r="V444" s="48"/>
      <c r="W444" s="48"/>
      <c r="X444" s="48"/>
      <c r="Y444" s="48"/>
      <c r="Z444" s="48"/>
    </row>
    <row r="445" ht="23.25" customHeight="1">
      <c r="A445" s="48"/>
      <c r="B445" s="48"/>
      <c r="C445" s="48"/>
      <c r="D445" s="48"/>
      <c r="E445" s="48"/>
      <c r="F445" s="48"/>
      <c r="G445" s="80"/>
      <c r="H445" s="80"/>
      <c r="I445" s="48"/>
      <c r="J445" s="48"/>
      <c r="K445" s="48"/>
      <c r="L445" s="48"/>
      <c r="M445" s="48"/>
      <c r="N445" s="48"/>
      <c r="O445" s="48"/>
      <c r="P445" s="48"/>
      <c r="Q445" s="48"/>
      <c r="R445" s="48"/>
      <c r="S445" s="48"/>
      <c r="T445" s="48"/>
      <c r="U445" s="48"/>
      <c r="V445" s="48"/>
      <c r="W445" s="48"/>
      <c r="X445" s="48"/>
      <c r="Y445" s="48"/>
      <c r="Z445" s="48"/>
    </row>
    <row r="446" ht="23.25" customHeight="1">
      <c r="A446" s="48"/>
      <c r="B446" s="48"/>
      <c r="C446" s="48"/>
      <c r="D446" s="48"/>
      <c r="E446" s="48"/>
      <c r="F446" s="48"/>
      <c r="G446" s="80"/>
      <c r="H446" s="80"/>
      <c r="I446" s="48"/>
      <c r="J446" s="48"/>
      <c r="K446" s="48"/>
      <c r="L446" s="48"/>
      <c r="M446" s="48"/>
      <c r="N446" s="48"/>
      <c r="O446" s="48"/>
      <c r="P446" s="48"/>
      <c r="Q446" s="48"/>
      <c r="R446" s="48"/>
      <c r="S446" s="48"/>
      <c r="T446" s="48"/>
      <c r="U446" s="48"/>
      <c r="V446" s="48"/>
      <c r="W446" s="48"/>
      <c r="X446" s="48"/>
      <c r="Y446" s="48"/>
      <c r="Z446" s="48"/>
    </row>
    <row r="447" ht="23.25" customHeight="1">
      <c r="A447" s="48"/>
      <c r="B447" s="48"/>
      <c r="C447" s="48"/>
      <c r="D447" s="48"/>
      <c r="E447" s="48"/>
      <c r="F447" s="48"/>
      <c r="G447" s="80"/>
      <c r="H447" s="80"/>
      <c r="I447" s="48"/>
      <c r="J447" s="48"/>
      <c r="K447" s="48"/>
      <c r="L447" s="48"/>
      <c r="M447" s="48"/>
      <c r="N447" s="48"/>
      <c r="O447" s="48"/>
      <c r="P447" s="48"/>
      <c r="Q447" s="48"/>
      <c r="R447" s="48"/>
      <c r="S447" s="48"/>
      <c r="T447" s="48"/>
      <c r="U447" s="48"/>
      <c r="V447" s="48"/>
      <c r="W447" s="48"/>
      <c r="X447" s="48"/>
      <c r="Y447" s="48"/>
      <c r="Z447" s="48"/>
    </row>
    <row r="448" ht="23.25" customHeight="1">
      <c r="A448" s="48"/>
      <c r="B448" s="48"/>
      <c r="C448" s="48"/>
      <c r="D448" s="48"/>
      <c r="E448" s="48"/>
      <c r="F448" s="48"/>
      <c r="G448" s="80"/>
      <c r="H448" s="80"/>
      <c r="I448" s="48"/>
      <c r="J448" s="48"/>
      <c r="K448" s="48"/>
      <c r="L448" s="48"/>
      <c r="M448" s="48"/>
      <c r="N448" s="48"/>
      <c r="O448" s="48"/>
      <c r="P448" s="48"/>
      <c r="Q448" s="48"/>
      <c r="R448" s="48"/>
      <c r="S448" s="48"/>
      <c r="T448" s="48"/>
      <c r="U448" s="48"/>
      <c r="V448" s="48"/>
      <c r="W448" s="48"/>
      <c r="X448" s="48"/>
      <c r="Y448" s="48"/>
      <c r="Z448" s="48"/>
    </row>
    <row r="449" ht="23.25" customHeight="1">
      <c r="A449" s="48"/>
      <c r="B449" s="48"/>
      <c r="C449" s="48"/>
      <c r="D449" s="48"/>
      <c r="E449" s="48"/>
      <c r="F449" s="48"/>
      <c r="G449" s="80"/>
      <c r="H449" s="80"/>
      <c r="I449" s="48"/>
      <c r="J449" s="48"/>
      <c r="K449" s="48"/>
      <c r="L449" s="48"/>
      <c r="M449" s="48"/>
      <c r="N449" s="48"/>
      <c r="O449" s="48"/>
      <c r="P449" s="48"/>
      <c r="Q449" s="48"/>
      <c r="R449" s="48"/>
      <c r="S449" s="48"/>
      <c r="T449" s="48"/>
      <c r="U449" s="48"/>
      <c r="V449" s="48"/>
      <c r="W449" s="48"/>
      <c r="X449" s="48"/>
      <c r="Y449" s="48"/>
      <c r="Z449" s="48"/>
    </row>
    <row r="450" ht="23.25" customHeight="1">
      <c r="A450" s="48"/>
      <c r="B450" s="48"/>
      <c r="C450" s="48"/>
      <c r="D450" s="48"/>
      <c r="E450" s="48"/>
      <c r="F450" s="48"/>
      <c r="G450" s="80"/>
      <c r="H450" s="80"/>
      <c r="I450" s="48"/>
      <c r="J450" s="48"/>
      <c r="K450" s="48"/>
      <c r="L450" s="48"/>
      <c r="M450" s="48"/>
      <c r="N450" s="48"/>
      <c r="O450" s="48"/>
      <c r="P450" s="48"/>
      <c r="Q450" s="48"/>
      <c r="R450" s="48"/>
      <c r="S450" s="48"/>
      <c r="T450" s="48"/>
      <c r="U450" s="48"/>
      <c r="V450" s="48"/>
      <c r="W450" s="48"/>
      <c r="X450" s="48"/>
      <c r="Y450" s="48"/>
      <c r="Z450" s="48"/>
    </row>
    <row r="451" ht="23.25" customHeight="1">
      <c r="A451" s="48"/>
      <c r="B451" s="48"/>
      <c r="C451" s="48"/>
      <c r="D451" s="48"/>
      <c r="E451" s="48"/>
      <c r="F451" s="48"/>
      <c r="G451" s="80"/>
      <c r="H451" s="80"/>
      <c r="I451" s="48"/>
      <c r="J451" s="48"/>
      <c r="K451" s="48"/>
      <c r="L451" s="48"/>
      <c r="M451" s="48"/>
      <c r="N451" s="48"/>
      <c r="O451" s="48"/>
      <c r="P451" s="48"/>
      <c r="Q451" s="48"/>
      <c r="R451" s="48"/>
      <c r="S451" s="48"/>
      <c r="T451" s="48"/>
      <c r="U451" s="48"/>
      <c r="V451" s="48"/>
      <c r="W451" s="48"/>
      <c r="X451" s="48"/>
      <c r="Y451" s="48"/>
      <c r="Z451" s="48"/>
    </row>
    <row r="452" ht="23.25" customHeight="1">
      <c r="A452" s="48"/>
      <c r="B452" s="48"/>
      <c r="C452" s="48"/>
      <c r="D452" s="48"/>
      <c r="E452" s="48"/>
      <c r="F452" s="48"/>
      <c r="G452" s="80"/>
      <c r="H452" s="80"/>
      <c r="I452" s="48"/>
      <c r="J452" s="48"/>
      <c r="K452" s="48"/>
      <c r="L452" s="48"/>
      <c r="M452" s="48"/>
      <c r="N452" s="48"/>
      <c r="O452" s="48"/>
      <c r="P452" s="48"/>
      <c r="Q452" s="48"/>
      <c r="R452" s="48"/>
      <c r="S452" s="48"/>
      <c r="T452" s="48"/>
      <c r="U452" s="48"/>
      <c r="V452" s="48"/>
      <c r="W452" s="48"/>
      <c r="X452" s="48"/>
      <c r="Y452" s="48"/>
      <c r="Z452" s="48"/>
    </row>
    <row r="453" ht="23.25" customHeight="1">
      <c r="A453" s="48"/>
      <c r="B453" s="48"/>
      <c r="C453" s="48"/>
      <c r="D453" s="48"/>
      <c r="E453" s="48"/>
      <c r="F453" s="48"/>
      <c r="G453" s="80"/>
      <c r="H453" s="80"/>
      <c r="I453" s="48"/>
      <c r="J453" s="48"/>
      <c r="K453" s="48"/>
      <c r="L453" s="48"/>
      <c r="M453" s="48"/>
      <c r="N453" s="48"/>
      <c r="O453" s="48"/>
      <c r="P453" s="48"/>
      <c r="Q453" s="48"/>
      <c r="R453" s="48"/>
      <c r="S453" s="48"/>
      <c r="T453" s="48"/>
      <c r="U453" s="48"/>
      <c r="V453" s="48"/>
      <c r="W453" s="48"/>
      <c r="X453" s="48"/>
      <c r="Y453" s="48"/>
      <c r="Z453" s="48"/>
    </row>
    <row r="454" ht="23.25" customHeight="1">
      <c r="A454" s="48"/>
      <c r="B454" s="48"/>
      <c r="C454" s="48"/>
      <c r="D454" s="48"/>
      <c r="E454" s="48"/>
      <c r="F454" s="48"/>
      <c r="G454" s="80"/>
      <c r="H454" s="80"/>
      <c r="I454" s="48"/>
      <c r="J454" s="48"/>
      <c r="K454" s="48"/>
      <c r="L454" s="48"/>
      <c r="M454" s="48"/>
      <c r="N454" s="48"/>
      <c r="O454" s="48"/>
      <c r="P454" s="48"/>
      <c r="Q454" s="48"/>
      <c r="R454" s="48"/>
      <c r="S454" s="48"/>
      <c r="T454" s="48"/>
      <c r="U454" s="48"/>
      <c r="V454" s="48"/>
      <c r="W454" s="48"/>
      <c r="X454" s="48"/>
      <c r="Y454" s="48"/>
      <c r="Z454" s="48"/>
    </row>
    <row r="455" ht="23.25" customHeight="1">
      <c r="A455" s="48"/>
      <c r="B455" s="48"/>
      <c r="C455" s="48"/>
      <c r="D455" s="48"/>
      <c r="E455" s="48"/>
      <c r="F455" s="48"/>
      <c r="G455" s="80"/>
      <c r="H455" s="80"/>
      <c r="I455" s="48"/>
      <c r="J455" s="48"/>
      <c r="K455" s="48"/>
      <c r="L455" s="48"/>
      <c r="M455" s="48"/>
      <c r="N455" s="48"/>
      <c r="O455" s="48"/>
      <c r="P455" s="48"/>
      <c r="Q455" s="48"/>
      <c r="R455" s="48"/>
      <c r="S455" s="48"/>
      <c r="T455" s="48"/>
      <c r="U455" s="48"/>
      <c r="V455" s="48"/>
      <c r="W455" s="48"/>
      <c r="X455" s="48"/>
      <c r="Y455" s="48"/>
      <c r="Z455" s="48"/>
    </row>
    <row r="456" ht="23.25" customHeight="1">
      <c r="A456" s="48"/>
      <c r="B456" s="48"/>
      <c r="C456" s="48"/>
      <c r="D456" s="48"/>
      <c r="E456" s="48"/>
      <c r="F456" s="48"/>
      <c r="G456" s="80"/>
      <c r="H456" s="80"/>
      <c r="I456" s="48"/>
      <c r="J456" s="48"/>
      <c r="K456" s="48"/>
      <c r="L456" s="48"/>
      <c r="M456" s="48"/>
      <c r="N456" s="48"/>
      <c r="O456" s="48"/>
      <c r="P456" s="48"/>
      <c r="Q456" s="48"/>
      <c r="R456" s="48"/>
      <c r="S456" s="48"/>
      <c r="T456" s="48"/>
      <c r="U456" s="48"/>
      <c r="V456" s="48"/>
      <c r="W456" s="48"/>
      <c r="X456" s="48"/>
      <c r="Y456" s="48"/>
      <c r="Z456" s="48"/>
    </row>
    <row r="457" ht="23.25" customHeight="1">
      <c r="A457" s="48"/>
      <c r="B457" s="48"/>
      <c r="C457" s="48"/>
      <c r="D457" s="48"/>
      <c r="E457" s="48"/>
      <c r="F457" s="48"/>
      <c r="G457" s="80"/>
      <c r="H457" s="80"/>
      <c r="I457" s="48"/>
      <c r="J457" s="48"/>
      <c r="K457" s="48"/>
      <c r="L457" s="48"/>
      <c r="M457" s="48"/>
      <c r="N457" s="48"/>
      <c r="O457" s="48"/>
      <c r="P457" s="48"/>
      <c r="Q457" s="48"/>
      <c r="R457" s="48"/>
      <c r="S457" s="48"/>
      <c r="T457" s="48"/>
      <c r="U457" s="48"/>
      <c r="V457" s="48"/>
      <c r="W457" s="48"/>
      <c r="X457" s="48"/>
      <c r="Y457" s="48"/>
      <c r="Z457" s="48"/>
    </row>
    <row r="458" ht="23.25" customHeight="1">
      <c r="A458" s="48"/>
      <c r="B458" s="48"/>
      <c r="C458" s="48"/>
      <c r="D458" s="48"/>
      <c r="E458" s="48"/>
      <c r="F458" s="48"/>
      <c r="G458" s="80"/>
      <c r="H458" s="80"/>
      <c r="I458" s="48"/>
      <c r="J458" s="48"/>
      <c r="K458" s="48"/>
      <c r="L458" s="48"/>
      <c r="M458" s="48"/>
      <c r="N458" s="48"/>
      <c r="O458" s="48"/>
      <c r="P458" s="48"/>
      <c r="Q458" s="48"/>
      <c r="R458" s="48"/>
      <c r="S458" s="48"/>
      <c r="T458" s="48"/>
      <c r="U458" s="48"/>
      <c r="V458" s="48"/>
      <c r="W458" s="48"/>
      <c r="X458" s="48"/>
      <c r="Y458" s="48"/>
      <c r="Z458" s="48"/>
    </row>
    <row r="459" ht="23.25" customHeight="1">
      <c r="A459" s="48"/>
      <c r="B459" s="48"/>
      <c r="C459" s="48"/>
      <c r="D459" s="48"/>
      <c r="E459" s="48"/>
      <c r="F459" s="48"/>
      <c r="G459" s="80"/>
      <c r="H459" s="80"/>
      <c r="I459" s="48"/>
      <c r="J459" s="48"/>
      <c r="K459" s="48"/>
      <c r="L459" s="48"/>
      <c r="M459" s="48"/>
      <c r="N459" s="48"/>
      <c r="O459" s="48"/>
      <c r="P459" s="48"/>
      <c r="Q459" s="48"/>
      <c r="R459" s="48"/>
      <c r="S459" s="48"/>
      <c r="T459" s="48"/>
      <c r="U459" s="48"/>
      <c r="V459" s="48"/>
      <c r="W459" s="48"/>
      <c r="X459" s="48"/>
      <c r="Y459" s="48"/>
      <c r="Z459" s="48"/>
    </row>
    <row r="460" ht="23.25" customHeight="1">
      <c r="A460" s="48"/>
      <c r="B460" s="48"/>
      <c r="C460" s="48"/>
      <c r="D460" s="48"/>
      <c r="E460" s="48"/>
      <c r="F460" s="48"/>
      <c r="G460" s="80"/>
      <c r="H460" s="80"/>
      <c r="I460" s="48"/>
      <c r="J460" s="48"/>
      <c r="K460" s="48"/>
      <c r="L460" s="48"/>
      <c r="M460" s="48"/>
      <c r="N460" s="48"/>
      <c r="O460" s="48"/>
      <c r="P460" s="48"/>
      <c r="Q460" s="48"/>
      <c r="R460" s="48"/>
      <c r="S460" s="48"/>
      <c r="T460" s="48"/>
      <c r="U460" s="48"/>
      <c r="V460" s="48"/>
      <c r="W460" s="48"/>
      <c r="X460" s="48"/>
      <c r="Y460" s="48"/>
      <c r="Z460" s="48"/>
    </row>
    <row r="461" ht="23.25" customHeight="1">
      <c r="A461" s="48"/>
      <c r="B461" s="48"/>
      <c r="C461" s="48"/>
      <c r="D461" s="48"/>
      <c r="E461" s="48"/>
      <c r="F461" s="48"/>
      <c r="G461" s="80"/>
      <c r="H461" s="80"/>
      <c r="I461" s="48"/>
      <c r="J461" s="48"/>
      <c r="K461" s="48"/>
      <c r="L461" s="48"/>
      <c r="M461" s="48"/>
      <c r="N461" s="48"/>
      <c r="O461" s="48"/>
      <c r="P461" s="48"/>
      <c r="Q461" s="48"/>
      <c r="R461" s="48"/>
      <c r="S461" s="48"/>
      <c r="T461" s="48"/>
      <c r="U461" s="48"/>
      <c r="V461" s="48"/>
      <c r="W461" s="48"/>
      <c r="X461" s="48"/>
      <c r="Y461" s="48"/>
      <c r="Z461" s="48"/>
    </row>
    <row r="462" ht="23.25" customHeight="1">
      <c r="A462" s="48"/>
      <c r="B462" s="48"/>
      <c r="C462" s="48"/>
      <c r="D462" s="48"/>
      <c r="E462" s="48"/>
      <c r="F462" s="48"/>
      <c r="G462" s="80"/>
      <c r="H462" s="80"/>
      <c r="I462" s="48"/>
      <c r="J462" s="48"/>
      <c r="K462" s="48"/>
      <c r="L462" s="48"/>
      <c r="M462" s="48"/>
      <c r="N462" s="48"/>
      <c r="O462" s="48"/>
      <c r="P462" s="48"/>
      <c r="Q462" s="48"/>
      <c r="R462" s="48"/>
      <c r="S462" s="48"/>
      <c r="T462" s="48"/>
      <c r="U462" s="48"/>
      <c r="V462" s="48"/>
      <c r="W462" s="48"/>
      <c r="X462" s="48"/>
      <c r="Y462" s="48"/>
      <c r="Z462" s="48"/>
    </row>
    <row r="463" ht="23.25" customHeight="1">
      <c r="A463" s="48"/>
      <c r="B463" s="48"/>
      <c r="C463" s="48"/>
      <c r="D463" s="48"/>
      <c r="E463" s="48"/>
      <c r="F463" s="48"/>
      <c r="G463" s="80"/>
      <c r="H463" s="80"/>
      <c r="I463" s="48"/>
      <c r="J463" s="48"/>
      <c r="K463" s="48"/>
      <c r="L463" s="48"/>
      <c r="M463" s="48"/>
      <c r="N463" s="48"/>
      <c r="O463" s="48"/>
      <c r="P463" s="48"/>
      <c r="Q463" s="48"/>
      <c r="R463" s="48"/>
      <c r="S463" s="48"/>
      <c r="T463" s="48"/>
      <c r="U463" s="48"/>
      <c r="V463" s="48"/>
      <c r="W463" s="48"/>
      <c r="X463" s="48"/>
      <c r="Y463" s="48"/>
      <c r="Z463" s="48"/>
    </row>
    <row r="464" ht="23.25" customHeight="1">
      <c r="A464" s="48"/>
      <c r="B464" s="48"/>
      <c r="C464" s="48"/>
      <c r="D464" s="48"/>
      <c r="E464" s="48"/>
      <c r="F464" s="48"/>
      <c r="G464" s="80"/>
      <c r="H464" s="80"/>
      <c r="I464" s="48"/>
      <c r="J464" s="48"/>
      <c r="K464" s="48"/>
      <c r="L464" s="48"/>
      <c r="M464" s="48"/>
      <c r="N464" s="48"/>
      <c r="O464" s="48"/>
      <c r="P464" s="48"/>
      <c r="Q464" s="48"/>
      <c r="R464" s="48"/>
      <c r="S464" s="48"/>
      <c r="T464" s="48"/>
      <c r="U464" s="48"/>
      <c r="V464" s="48"/>
      <c r="W464" s="48"/>
      <c r="X464" s="48"/>
      <c r="Y464" s="48"/>
      <c r="Z464" s="48"/>
    </row>
    <row r="465" ht="23.25" customHeight="1">
      <c r="A465" s="48"/>
      <c r="B465" s="48"/>
      <c r="C465" s="48"/>
      <c r="D465" s="48"/>
      <c r="E465" s="48"/>
      <c r="F465" s="48"/>
      <c r="G465" s="80"/>
      <c r="H465" s="80"/>
      <c r="I465" s="48"/>
      <c r="J465" s="48"/>
      <c r="K465" s="48"/>
      <c r="L465" s="48"/>
      <c r="M465" s="48"/>
      <c r="N465" s="48"/>
      <c r="O465" s="48"/>
      <c r="P465" s="48"/>
      <c r="Q465" s="48"/>
      <c r="R465" s="48"/>
      <c r="S465" s="48"/>
      <c r="T465" s="48"/>
      <c r="U465" s="48"/>
      <c r="V465" s="48"/>
      <c r="W465" s="48"/>
      <c r="X465" s="48"/>
      <c r="Y465" s="48"/>
      <c r="Z465" s="48"/>
    </row>
    <row r="466" ht="23.25" customHeight="1">
      <c r="A466" s="48"/>
      <c r="B466" s="48"/>
      <c r="C466" s="48"/>
      <c r="D466" s="48"/>
      <c r="E466" s="48"/>
      <c r="F466" s="48"/>
      <c r="G466" s="80"/>
      <c r="H466" s="80"/>
      <c r="I466" s="48"/>
      <c r="J466" s="48"/>
      <c r="K466" s="48"/>
      <c r="L466" s="48"/>
      <c r="M466" s="48"/>
      <c r="N466" s="48"/>
      <c r="O466" s="48"/>
      <c r="P466" s="48"/>
      <c r="Q466" s="48"/>
      <c r="R466" s="48"/>
      <c r="S466" s="48"/>
      <c r="T466" s="48"/>
      <c r="U466" s="48"/>
      <c r="V466" s="48"/>
      <c r="W466" s="48"/>
      <c r="X466" s="48"/>
      <c r="Y466" s="48"/>
      <c r="Z466" s="48"/>
    </row>
    <row r="467" ht="23.25" customHeight="1">
      <c r="A467" s="48"/>
      <c r="B467" s="48"/>
      <c r="C467" s="48"/>
      <c r="D467" s="48"/>
      <c r="E467" s="48"/>
      <c r="F467" s="48"/>
      <c r="G467" s="80"/>
      <c r="H467" s="80"/>
      <c r="I467" s="48"/>
      <c r="J467" s="48"/>
      <c r="K467" s="48"/>
      <c r="L467" s="48"/>
      <c r="M467" s="48"/>
      <c r="N467" s="48"/>
      <c r="O467" s="48"/>
      <c r="P467" s="48"/>
      <c r="Q467" s="48"/>
      <c r="R467" s="48"/>
      <c r="S467" s="48"/>
      <c r="T467" s="48"/>
      <c r="U467" s="48"/>
      <c r="V467" s="48"/>
      <c r="W467" s="48"/>
      <c r="X467" s="48"/>
      <c r="Y467" s="48"/>
      <c r="Z467" s="48"/>
    </row>
    <row r="468" ht="23.25" customHeight="1">
      <c r="A468" s="48"/>
      <c r="B468" s="48"/>
      <c r="C468" s="48"/>
      <c r="D468" s="48"/>
      <c r="E468" s="48"/>
      <c r="F468" s="48"/>
      <c r="G468" s="80"/>
      <c r="H468" s="80"/>
      <c r="I468" s="48"/>
      <c r="J468" s="48"/>
      <c r="K468" s="48"/>
      <c r="L468" s="48"/>
      <c r="M468" s="48"/>
      <c r="N468" s="48"/>
      <c r="O468" s="48"/>
      <c r="P468" s="48"/>
      <c r="Q468" s="48"/>
      <c r="R468" s="48"/>
      <c r="S468" s="48"/>
      <c r="T468" s="48"/>
      <c r="U468" s="48"/>
      <c r="V468" s="48"/>
      <c r="W468" s="48"/>
      <c r="X468" s="48"/>
      <c r="Y468" s="48"/>
      <c r="Z468" s="48"/>
    </row>
    <row r="469" ht="23.25" customHeight="1">
      <c r="A469" s="48"/>
      <c r="B469" s="48"/>
      <c r="C469" s="48"/>
      <c r="D469" s="48"/>
      <c r="E469" s="48"/>
      <c r="F469" s="48"/>
      <c r="G469" s="80"/>
      <c r="H469" s="80"/>
      <c r="I469" s="48"/>
      <c r="J469" s="48"/>
      <c r="K469" s="48"/>
      <c r="L469" s="48"/>
      <c r="M469" s="48"/>
      <c r="N469" s="48"/>
      <c r="O469" s="48"/>
      <c r="P469" s="48"/>
      <c r="Q469" s="48"/>
      <c r="R469" s="48"/>
      <c r="S469" s="48"/>
      <c r="T469" s="48"/>
      <c r="U469" s="48"/>
      <c r="V469" s="48"/>
      <c r="W469" s="48"/>
      <c r="X469" s="48"/>
      <c r="Y469" s="48"/>
      <c r="Z469" s="48"/>
    </row>
    <row r="470" ht="23.25" customHeight="1">
      <c r="A470" s="48"/>
      <c r="B470" s="48"/>
      <c r="C470" s="48"/>
      <c r="D470" s="48"/>
      <c r="E470" s="48"/>
      <c r="F470" s="48"/>
      <c r="G470" s="80"/>
      <c r="H470" s="80"/>
      <c r="I470" s="48"/>
      <c r="J470" s="48"/>
      <c r="K470" s="48"/>
      <c r="L470" s="48"/>
      <c r="M470" s="48"/>
      <c r="N470" s="48"/>
      <c r="O470" s="48"/>
      <c r="P470" s="48"/>
      <c r="Q470" s="48"/>
      <c r="R470" s="48"/>
      <c r="S470" s="48"/>
      <c r="T470" s="48"/>
      <c r="U470" s="48"/>
      <c r="V470" s="48"/>
      <c r="W470" s="48"/>
      <c r="X470" s="48"/>
      <c r="Y470" s="48"/>
      <c r="Z470" s="48"/>
    </row>
    <row r="471" ht="23.25" customHeight="1">
      <c r="A471" s="48"/>
      <c r="B471" s="48"/>
      <c r="C471" s="48"/>
      <c r="D471" s="48"/>
      <c r="E471" s="48"/>
      <c r="F471" s="48"/>
      <c r="G471" s="80"/>
      <c r="H471" s="80"/>
      <c r="I471" s="48"/>
      <c r="J471" s="48"/>
      <c r="K471" s="48"/>
      <c r="L471" s="48"/>
      <c r="M471" s="48"/>
      <c r="N471" s="48"/>
      <c r="O471" s="48"/>
      <c r="P471" s="48"/>
      <c r="Q471" s="48"/>
      <c r="R471" s="48"/>
      <c r="S471" s="48"/>
      <c r="T471" s="48"/>
      <c r="U471" s="48"/>
      <c r="V471" s="48"/>
      <c r="W471" s="48"/>
      <c r="X471" s="48"/>
      <c r="Y471" s="48"/>
      <c r="Z471" s="48"/>
    </row>
    <row r="472" ht="23.25" customHeight="1">
      <c r="A472" s="48"/>
      <c r="B472" s="48"/>
      <c r="C472" s="48"/>
      <c r="D472" s="48"/>
      <c r="E472" s="48"/>
      <c r="F472" s="48"/>
      <c r="G472" s="80"/>
      <c r="H472" s="80"/>
      <c r="I472" s="48"/>
      <c r="J472" s="48"/>
      <c r="K472" s="48"/>
      <c r="L472" s="48"/>
      <c r="M472" s="48"/>
      <c r="N472" s="48"/>
      <c r="O472" s="48"/>
      <c r="P472" s="48"/>
      <c r="Q472" s="48"/>
      <c r="R472" s="48"/>
      <c r="S472" s="48"/>
      <c r="T472" s="48"/>
      <c r="U472" s="48"/>
      <c r="V472" s="48"/>
      <c r="W472" s="48"/>
      <c r="X472" s="48"/>
      <c r="Y472" s="48"/>
      <c r="Z472" s="48"/>
    </row>
    <row r="473" ht="23.25" customHeight="1">
      <c r="A473" s="48"/>
      <c r="B473" s="48"/>
      <c r="C473" s="48"/>
      <c r="D473" s="48"/>
      <c r="E473" s="48"/>
      <c r="F473" s="48"/>
      <c r="G473" s="80"/>
      <c r="H473" s="80"/>
      <c r="I473" s="48"/>
      <c r="J473" s="48"/>
      <c r="K473" s="48"/>
      <c r="L473" s="48"/>
      <c r="M473" s="48"/>
      <c r="N473" s="48"/>
      <c r="O473" s="48"/>
      <c r="P473" s="48"/>
      <c r="Q473" s="48"/>
      <c r="R473" s="48"/>
      <c r="S473" s="48"/>
      <c r="T473" s="48"/>
      <c r="U473" s="48"/>
      <c r="V473" s="48"/>
      <c r="W473" s="48"/>
      <c r="X473" s="48"/>
      <c r="Y473" s="48"/>
      <c r="Z473" s="48"/>
    </row>
    <row r="474" ht="23.25" customHeight="1">
      <c r="A474" s="48"/>
      <c r="B474" s="48"/>
      <c r="C474" s="48"/>
      <c r="D474" s="48"/>
      <c r="E474" s="48"/>
      <c r="F474" s="48"/>
      <c r="G474" s="80"/>
      <c r="H474" s="80"/>
      <c r="I474" s="48"/>
      <c r="J474" s="48"/>
      <c r="K474" s="48"/>
      <c r="L474" s="48"/>
      <c r="M474" s="48"/>
      <c r="N474" s="48"/>
      <c r="O474" s="48"/>
      <c r="P474" s="48"/>
      <c r="Q474" s="48"/>
      <c r="R474" s="48"/>
      <c r="S474" s="48"/>
      <c r="T474" s="48"/>
      <c r="U474" s="48"/>
      <c r="V474" s="48"/>
      <c r="W474" s="48"/>
      <c r="X474" s="48"/>
      <c r="Y474" s="48"/>
      <c r="Z474" s="48"/>
    </row>
    <row r="475" ht="23.25" customHeight="1">
      <c r="A475" s="48"/>
      <c r="B475" s="48"/>
      <c r="C475" s="48"/>
      <c r="D475" s="48"/>
      <c r="E475" s="48"/>
      <c r="F475" s="48"/>
      <c r="G475" s="80"/>
      <c r="H475" s="80"/>
      <c r="I475" s="48"/>
      <c r="J475" s="48"/>
      <c r="K475" s="48"/>
      <c r="L475" s="48"/>
      <c r="M475" s="48"/>
      <c r="N475" s="48"/>
      <c r="O475" s="48"/>
      <c r="P475" s="48"/>
      <c r="Q475" s="48"/>
      <c r="R475" s="48"/>
      <c r="S475" s="48"/>
      <c r="T475" s="48"/>
      <c r="U475" s="48"/>
      <c r="V475" s="48"/>
      <c r="W475" s="48"/>
      <c r="X475" s="48"/>
      <c r="Y475" s="48"/>
      <c r="Z475" s="48"/>
    </row>
    <row r="476" ht="23.25" customHeight="1">
      <c r="A476" s="48"/>
      <c r="B476" s="48"/>
      <c r="C476" s="48"/>
      <c r="D476" s="48"/>
      <c r="E476" s="48"/>
      <c r="F476" s="48"/>
      <c r="G476" s="80"/>
      <c r="H476" s="80"/>
      <c r="I476" s="48"/>
      <c r="J476" s="48"/>
      <c r="K476" s="48"/>
      <c r="L476" s="48"/>
      <c r="M476" s="48"/>
      <c r="N476" s="48"/>
      <c r="O476" s="48"/>
      <c r="P476" s="48"/>
      <c r="Q476" s="48"/>
      <c r="R476" s="48"/>
      <c r="S476" s="48"/>
      <c r="T476" s="48"/>
      <c r="U476" s="48"/>
      <c r="V476" s="48"/>
      <c r="W476" s="48"/>
      <c r="X476" s="48"/>
      <c r="Y476" s="48"/>
      <c r="Z476" s="48"/>
    </row>
    <row r="477" ht="23.25" customHeight="1">
      <c r="A477" s="48"/>
      <c r="B477" s="48"/>
      <c r="C477" s="48"/>
      <c r="D477" s="48"/>
      <c r="E477" s="48"/>
      <c r="F477" s="48"/>
      <c r="G477" s="80"/>
      <c r="H477" s="80"/>
      <c r="I477" s="48"/>
      <c r="J477" s="48"/>
      <c r="K477" s="48"/>
      <c r="L477" s="48"/>
      <c r="M477" s="48"/>
      <c r="N477" s="48"/>
      <c r="O477" s="48"/>
      <c r="P477" s="48"/>
      <c r="Q477" s="48"/>
      <c r="R477" s="48"/>
      <c r="S477" s="48"/>
      <c r="T477" s="48"/>
      <c r="U477" s="48"/>
      <c r="V477" s="48"/>
      <c r="W477" s="48"/>
      <c r="X477" s="48"/>
      <c r="Y477" s="48"/>
      <c r="Z477" s="48"/>
    </row>
    <row r="478" ht="23.25" customHeight="1">
      <c r="A478" s="48"/>
      <c r="B478" s="48"/>
      <c r="C478" s="48"/>
      <c r="D478" s="48"/>
      <c r="E478" s="48"/>
      <c r="F478" s="48"/>
      <c r="G478" s="80"/>
      <c r="H478" s="80"/>
      <c r="I478" s="48"/>
      <c r="J478" s="48"/>
      <c r="K478" s="48"/>
      <c r="L478" s="48"/>
      <c r="M478" s="48"/>
      <c r="N478" s="48"/>
      <c r="O478" s="48"/>
      <c r="P478" s="48"/>
      <c r="Q478" s="48"/>
      <c r="R478" s="48"/>
      <c r="S478" s="48"/>
      <c r="T478" s="48"/>
      <c r="U478" s="48"/>
      <c r="V478" s="48"/>
      <c r="W478" s="48"/>
      <c r="X478" s="48"/>
      <c r="Y478" s="48"/>
      <c r="Z478" s="48"/>
    </row>
    <row r="479" ht="23.25" customHeight="1">
      <c r="A479" s="48"/>
      <c r="B479" s="48"/>
      <c r="C479" s="48"/>
      <c r="D479" s="48"/>
      <c r="E479" s="48"/>
      <c r="F479" s="48"/>
      <c r="G479" s="80"/>
      <c r="H479" s="80"/>
      <c r="I479" s="48"/>
      <c r="J479" s="48"/>
      <c r="K479" s="48"/>
      <c r="L479" s="48"/>
      <c r="M479" s="48"/>
      <c r="N479" s="48"/>
      <c r="O479" s="48"/>
      <c r="P479" s="48"/>
      <c r="Q479" s="48"/>
      <c r="R479" s="48"/>
      <c r="S479" s="48"/>
      <c r="T479" s="48"/>
      <c r="U479" s="48"/>
      <c r="V479" s="48"/>
      <c r="W479" s="48"/>
      <c r="X479" s="48"/>
      <c r="Y479" s="48"/>
      <c r="Z479" s="48"/>
    </row>
    <row r="480" ht="23.25" customHeight="1">
      <c r="A480" s="48"/>
      <c r="B480" s="48"/>
      <c r="C480" s="48"/>
      <c r="D480" s="48"/>
      <c r="E480" s="48"/>
      <c r="F480" s="48"/>
      <c r="G480" s="80"/>
      <c r="H480" s="80"/>
      <c r="I480" s="48"/>
      <c r="J480" s="48"/>
      <c r="K480" s="48"/>
      <c r="L480" s="48"/>
      <c r="M480" s="48"/>
      <c r="N480" s="48"/>
      <c r="O480" s="48"/>
      <c r="P480" s="48"/>
      <c r="Q480" s="48"/>
      <c r="R480" s="48"/>
      <c r="S480" s="48"/>
      <c r="T480" s="48"/>
      <c r="U480" s="48"/>
      <c r="V480" s="48"/>
      <c r="W480" s="48"/>
      <c r="X480" s="48"/>
      <c r="Y480" s="48"/>
      <c r="Z480" s="48"/>
    </row>
    <row r="481" ht="23.25" customHeight="1">
      <c r="A481" s="48"/>
      <c r="B481" s="48"/>
      <c r="C481" s="48"/>
      <c r="D481" s="48"/>
      <c r="E481" s="48"/>
      <c r="F481" s="48"/>
      <c r="G481" s="80"/>
      <c r="H481" s="80"/>
      <c r="I481" s="48"/>
      <c r="J481" s="48"/>
      <c r="K481" s="48"/>
      <c r="L481" s="48"/>
      <c r="M481" s="48"/>
      <c r="N481" s="48"/>
      <c r="O481" s="48"/>
      <c r="P481" s="48"/>
      <c r="Q481" s="48"/>
      <c r="R481" s="48"/>
      <c r="S481" s="48"/>
      <c r="T481" s="48"/>
      <c r="U481" s="48"/>
      <c r="V481" s="48"/>
      <c r="W481" s="48"/>
      <c r="X481" s="48"/>
      <c r="Y481" s="48"/>
      <c r="Z481" s="48"/>
    </row>
    <row r="482" ht="23.25" customHeight="1">
      <c r="A482" s="48"/>
      <c r="B482" s="48"/>
      <c r="C482" s="48"/>
      <c r="D482" s="48"/>
      <c r="E482" s="48"/>
      <c r="F482" s="48"/>
      <c r="G482" s="80"/>
      <c r="H482" s="80"/>
      <c r="I482" s="48"/>
      <c r="J482" s="48"/>
      <c r="K482" s="48"/>
      <c r="L482" s="48"/>
      <c r="M482" s="48"/>
      <c r="N482" s="48"/>
      <c r="O482" s="48"/>
      <c r="P482" s="48"/>
      <c r="Q482" s="48"/>
      <c r="R482" s="48"/>
      <c r="S482" s="48"/>
      <c r="T482" s="48"/>
      <c r="U482" s="48"/>
      <c r="V482" s="48"/>
      <c r="W482" s="48"/>
      <c r="X482" s="48"/>
      <c r="Y482" s="48"/>
      <c r="Z482" s="48"/>
    </row>
    <row r="483" ht="23.25" customHeight="1">
      <c r="A483" s="48"/>
      <c r="B483" s="48"/>
      <c r="C483" s="48"/>
      <c r="D483" s="48"/>
      <c r="E483" s="48"/>
      <c r="F483" s="48"/>
      <c r="G483" s="80"/>
      <c r="H483" s="80"/>
      <c r="I483" s="48"/>
      <c r="J483" s="48"/>
      <c r="K483" s="48"/>
      <c r="L483" s="48"/>
      <c r="M483" s="48"/>
      <c r="N483" s="48"/>
      <c r="O483" s="48"/>
      <c r="P483" s="48"/>
      <c r="Q483" s="48"/>
      <c r="R483" s="48"/>
      <c r="S483" s="48"/>
      <c r="T483" s="48"/>
      <c r="U483" s="48"/>
      <c r="V483" s="48"/>
      <c r="W483" s="48"/>
      <c r="X483" s="48"/>
      <c r="Y483" s="48"/>
      <c r="Z483" s="48"/>
    </row>
    <row r="484" ht="23.25" customHeight="1">
      <c r="A484" s="48"/>
      <c r="B484" s="48"/>
      <c r="C484" s="48"/>
      <c r="D484" s="48"/>
      <c r="E484" s="48"/>
      <c r="F484" s="48"/>
      <c r="G484" s="80"/>
      <c r="H484" s="80"/>
      <c r="I484" s="48"/>
      <c r="J484" s="48"/>
      <c r="K484" s="48"/>
      <c r="L484" s="48"/>
      <c r="M484" s="48"/>
      <c r="N484" s="48"/>
      <c r="O484" s="48"/>
      <c r="P484" s="48"/>
      <c r="Q484" s="48"/>
      <c r="R484" s="48"/>
      <c r="S484" s="48"/>
      <c r="T484" s="48"/>
      <c r="U484" s="48"/>
      <c r="V484" s="48"/>
      <c r="W484" s="48"/>
      <c r="X484" s="48"/>
      <c r="Y484" s="48"/>
      <c r="Z484" s="48"/>
    </row>
    <row r="485" ht="23.25" customHeight="1">
      <c r="A485" s="48"/>
      <c r="B485" s="48"/>
      <c r="C485" s="48"/>
      <c r="D485" s="48"/>
      <c r="E485" s="48"/>
      <c r="F485" s="48"/>
      <c r="G485" s="80"/>
      <c r="H485" s="80"/>
      <c r="I485" s="48"/>
      <c r="J485" s="48"/>
      <c r="K485" s="48"/>
      <c r="L485" s="48"/>
      <c r="M485" s="48"/>
      <c r="N485" s="48"/>
      <c r="O485" s="48"/>
      <c r="P485" s="48"/>
      <c r="Q485" s="48"/>
      <c r="R485" s="48"/>
      <c r="S485" s="48"/>
      <c r="T485" s="48"/>
      <c r="U485" s="48"/>
      <c r="V485" s="48"/>
      <c r="W485" s="48"/>
      <c r="X485" s="48"/>
      <c r="Y485" s="48"/>
      <c r="Z485" s="48"/>
    </row>
    <row r="486" ht="23.25" customHeight="1">
      <c r="A486" s="48"/>
      <c r="B486" s="48"/>
      <c r="C486" s="48"/>
      <c r="D486" s="48"/>
      <c r="E486" s="48"/>
      <c r="F486" s="48"/>
      <c r="G486" s="80"/>
      <c r="H486" s="80"/>
      <c r="I486" s="48"/>
      <c r="J486" s="48"/>
      <c r="K486" s="48"/>
      <c r="L486" s="48"/>
      <c r="M486" s="48"/>
      <c r="N486" s="48"/>
      <c r="O486" s="48"/>
      <c r="P486" s="48"/>
      <c r="Q486" s="48"/>
      <c r="R486" s="48"/>
      <c r="S486" s="48"/>
      <c r="T486" s="48"/>
      <c r="U486" s="48"/>
      <c r="V486" s="48"/>
      <c r="W486" s="48"/>
      <c r="X486" s="48"/>
      <c r="Y486" s="48"/>
      <c r="Z486" s="48"/>
    </row>
    <row r="487" ht="23.25" customHeight="1">
      <c r="A487" s="48"/>
      <c r="B487" s="48"/>
      <c r="C487" s="48"/>
      <c r="D487" s="48"/>
      <c r="E487" s="48"/>
      <c r="F487" s="48"/>
      <c r="G487" s="80"/>
      <c r="H487" s="80"/>
      <c r="I487" s="48"/>
      <c r="J487" s="48"/>
      <c r="K487" s="48"/>
      <c r="L487" s="48"/>
      <c r="M487" s="48"/>
      <c r="N487" s="48"/>
      <c r="O487" s="48"/>
      <c r="P487" s="48"/>
      <c r="Q487" s="48"/>
      <c r="R487" s="48"/>
      <c r="S487" s="48"/>
      <c r="T487" s="48"/>
      <c r="U487" s="48"/>
      <c r="V487" s="48"/>
      <c r="W487" s="48"/>
      <c r="X487" s="48"/>
      <c r="Y487" s="48"/>
      <c r="Z487" s="48"/>
    </row>
    <row r="488" ht="23.25" customHeight="1">
      <c r="A488" s="48"/>
      <c r="B488" s="48"/>
      <c r="C488" s="48"/>
      <c r="D488" s="48"/>
      <c r="E488" s="48"/>
      <c r="F488" s="48"/>
      <c r="G488" s="80"/>
      <c r="H488" s="80"/>
      <c r="I488" s="48"/>
      <c r="J488" s="48"/>
      <c r="K488" s="48"/>
      <c r="L488" s="48"/>
      <c r="M488" s="48"/>
      <c r="N488" s="48"/>
      <c r="O488" s="48"/>
      <c r="P488" s="48"/>
      <c r="Q488" s="48"/>
      <c r="R488" s="48"/>
      <c r="S488" s="48"/>
      <c r="T488" s="48"/>
      <c r="U488" s="48"/>
      <c r="V488" s="48"/>
      <c r="W488" s="48"/>
      <c r="X488" s="48"/>
      <c r="Y488" s="48"/>
      <c r="Z488" s="48"/>
    </row>
    <row r="489" ht="23.25" customHeight="1">
      <c r="A489" s="48"/>
      <c r="B489" s="48"/>
      <c r="C489" s="48"/>
      <c r="D489" s="48"/>
      <c r="E489" s="48"/>
      <c r="F489" s="48"/>
      <c r="G489" s="80"/>
      <c r="H489" s="80"/>
      <c r="I489" s="48"/>
      <c r="J489" s="48"/>
      <c r="K489" s="48"/>
      <c r="L489" s="48"/>
      <c r="M489" s="48"/>
      <c r="N489" s="48"/>
      <c r="O489" s="48"/>
      <c r="P489" s="48"/>
      <c r="Q489" s="48"/>
      <c r="R489" s="48"/>
      <c r="S489" s="48"/>
      <c r="T489" s="48"/>
      <c r="U489" s="48"/>
      <c r="V489" s="48"/>
      <c r="W489" s="48"/>
      <c r="X489" s="48"/>
      <c r="Y489" s="48"/>
      <c r="Z489" s="48"/>
    </row>
    <row r="490" ht="23.25" customHeight="1">
      <c r="A490" s="48"/>
      <c r="B490" s="48"/>
      <c r="C490" s="48"/>
      <c r="D490" s="48"/>
      <c r="E490" s="48"/>
      <c r="F490" s="48"/>
      <c r="G490" s="80"/>
      <c r="H490" s="80"/>
      <c r="I490" s="48"/>
      <c r="J490" s="48"/>
      <c r="K490" s="48"/>
      <c r="L490" s="48"/>
      <c r="M490" s="48"/>
      <c r="N490" s="48"/>
      <c r="O490" s="48"/>
      <c r="P490" s="48"/>
      <c r="Q490" s="48"/>
      <c r="R490" s="48"/>
      <c r="S490" s="48"/>
      <c r="T490" s="48"/>
      <c r="U490" s="48"/>
      <c r="V490" s="48"/>
      <c r="W490" s="48"/>
      <c r="X490" s="48"/>
      <c r="Y490" s="48"/>
      <c r="Z490" s="48"/>
    </row>
    <row r="491" ht="23.25" customHeight="1">
      <c r="A491" s="48"/>
      <c r="B491" s="48"/>
      <c r="C491" s="48"/>
      <c r="D491" s="48"/>
      <c r="E491" s="48"/>
      <c r="F491" s="48"/>
      <c r="G491" s="80"/>
      <c r="H491" s="80"/>
      <c r="I491" s="48"/>
      <c r="J491" s="48"/>
      <c r="K491" s="48"/>
      <c r="L491" s="48"/>
      <c r="M491" s="48"/>
      <c r="N491" s="48"/>
      <c r="O491" s="48"/>
      <c r="P491" s="48"/>
      <c r="Q491" s="48"/>
      <c r="R491" s="48"/>
      <c r="S491" s="48"/>
      <c r="T491" s="48"/>
      <c r="U491" s="48"/>
      <c r="V491" s="48"/>
      <c r="W491" s="48"/>
      <c r="X491" s="48"/>
      <c r="Y491" s="48"/>
      <c r="Z491" s="48"/>
    </row>
    <row r="492" ht="23.25" customHeight="1">
      <c r="A492" s="48"/>
      <c r="B492" s="48"/>
      <c r="C492" s="48"/>
      <c r="D492" s="48"/>
      <c r="E492" s="48"/>
      <c r="F492" s="48"/>
      <c r="G492" s="80"/>
      <c r="H492" s="80"/>
      <c r="I492" s="48"/>
      <c r="J492" s="48"/>
      <c r="K492" s="48"/>
      <c r="L492" s="48"/>
      <c r="M492" s="48"/>
      <c r="N492" s="48"/>
      <c r="O492" s="48"/>
      <c r="P492" s="48"/>
      <c r="Q492" s="48"/>
      <c r="R492" s="48"/>
      <c r="S492" s="48"/>
      <c r="T492" s="48"/>
      <c r="U492" s="48"/>
      <c r="V492" s="48"/>
      <c r="W492" s="48"/>
      <c r="X492" s="48"/>
      <c r="Y492" s="48"/>
      <c r="Z492" s="48"/>
    </row>
    <row r="493" ht="23.25" customHeight="1">
      <c r="A493" s="48"/>
      <c r="B493" s="48"/>
      <c r="C493" s="48"/>
      <c r="D493" s="48"/>
      <c r="E493" s="48"/>
      <c r="F493" s="48"/>
      <c r="G493" s="80"/>
      <c r="H493" s="80"/>
      <c r="I493" s="48"/>
      <c r="J493" s="48"/>
      <c r="K493" s="48"/>
      <c r="L493" s="48"/>
      <c r="M493" s="48"/>
      <c r="N493" s="48"/>
      <c r="O493" s="48"/>
      <c r="P493" s="48"/>
      <c r="Q493" s="48"/>
      <c r="R493" s="48"/>
      <c r="S493" s="48"/>
      <c r="T493" s="48"/>
      <c r="U493" s="48"/>
      <c r="V493" s="48"/>
      <c r="W493" s="48"/>
      <c r="X493" s="48"/>
      <c r="Y493" s="48"/>
      <c r="Z493" s="48"/>
    </row>
    <row r="494" ht="23.25" customHeight="1">
      <c r="A494" s="48"/>
      <c r="B494" s="48"/>
      <c r="C494" s="48"/>
      <c r="D494" s="48"/>
      <c r="E494" s="48"/>
      <c r="F494" s="48"/>
      <c r="G494" s="80"/>
      <c r="H494" s="80"/>
      <c r="I494" s="48"/>
      <c r="J494" s="48"/>
      <c r="K494" s="48"/>
      <c r="L494" s="48"/>
      <c r="M494" s="48"/>
      <c r="N494" s="48"/>
      <c r="O494" s="48"/>
      <c r="P494" s="48"/>
      <c r="Q494" s="48"/>
      <c r="R494" s="48"/>
      <c r="S494" s="48"/>
      <c r="T494" s="48"/>
      <c r="U494" s="48"/>
      <c r="V494" s="48"/>
      <c r="W494" s="48"/>
      <c r="X494" s="48"/>
      <c r="Y494" s="48"/>
      <c r="Z494" s="48"/>
    </row>
    <row r="495" ht="23.25" customHeight="1">
      <c r="A495" s="48"/>
      <c r="B495" s="48"/>
      <c r="C495" s="48"/>
      <c r="D495" s="48"/>
      <c r="E495" s="48"/>
      <c r="F495" s="48"/>
      <c r="G495" s="80"/>
      <c r="H495" s="80"/>
      <c r="I495" s="48"/>
      <c r="J495" s="48"/>
      <c r="K495" s="48"/>
      <c r="L495" s="48"/>
      <c r="M495" s="48"/>
      <c r="N495" s="48"/>
      <c r="O495" s="48"/>
      <c r="P495" s="48"/>
      <c r="Q495" s="48"/>
      <c r="R495" s="48"/>
      <c r="S495" s="48"/>
      <c r="T495" s="48"/>
      <c r="U495" s="48"/>
      <c r="V495" s="48"/>
      <c r="W495" s="48"/>
      <c r="X495" s="48"/>
      <c r="Y495" s="48"/>
      <c r="Z495" s="48"/>
    </row>
    <row r="496" ht="23.25" customHeight="1">
      <c r="A496" s="48"/>
      <c r="B496" s="48"/>
      <c r="C496" s="48"/>
      <c r="D496" s="48"/>
      <c r="E496" s="48"/>
      <c r="F496" s="48"/>
      <c r="G496" s="80"/>
      <c r="H496" s="80"/>
      <c r="I496" s="48"/>
      <c r="J496" s="48"/>
      <c r="K496" s="48"/>
      <c r="L496" s="48"/>
      <c r="M496" s="48"/>
      <c r="N496" s="48"/>
      <c r="O496" s="48"/>
      <c r="P496" s="48"/>
      <c r="Q496" s="48"/>
      <c r="R496" s="48"/>
      <c r="S496" s="48"/>
      <c r="T496" s="48"/>
      <c r="U496" s="48"/>
      <c r="V496" s="48"/>
      <c r="W496" s="48"/>
      <c r="X496" s="48"/>
      <c r="Y496" s="48"/>
      <c r="Z496" s="48"/>
    </row>
    <row r="497" ht="23.25" customHeight="1">
      <c r="A497" s="48"/>
      <c r="B497" s="48"/>
      <c r="C497" s="48"/>
      <c r="D497" s="48"/>
      <c r="E497" s="48"/>
      <c r="F497" s="48"/>
      <c r="G497" s="80"/>
      <c r="H497" s="80"/>
      <c r="I497" s="48"/>
      <c r="J497" s="48"/>
      <c r="K497" s="48"/>
      <c r="L497" s="48"/>
      <c r="M497" s="48"/>
      <c r="N497" s="48"/>
      <c r="O497" s="48"/>
      <c r="P497" s="48"/>
      <c r="Q497" s="48"/>
      <c r="R497" s="48"/>
      <c r="S497" s="48"/>
      <c r="T497" s="48"/>
      <c r="U497" s="48"/>
      <c r="V497" s="48"/>
      <c r="W497" s="48"/>
      <c r="X497" s="48"/>
      <c r="Y497" s="48"/>
      <c r="Z497" s="48"/>
    </row>
    <row r="498" ht="23.25" customHeight="1">
      <c r="A498" s="48"/>
      <c r="B498" s="48"/>
      <c r="C498" s="48"/>
      <c r="D498" s="48"/>
      <c r="E498" s="48"/>
      <c r="F498" s="48"/>
      <c r="G498" s="80"/>
      <c r="H498" s="80"/>
      <c r="I498" s="48"/>
      <c r="J498" s="48"/>
      <c r="K498" s="48"/>
      <c r="L498" s="48"/>
      <c r="M498" s="48"/>
      <c r="N498" s="48"/>
      <c r="O498" s="48"/>
      <c r="P498" s="48"/>
      <c r="Q498" s="48"/>
      <c r="R498" s="48"/>
      <c r="S498" s="48"/>
      <c r="T498" s="48"/>
      <c r="U498" s="48"/>
      <c r="V498" s="48"/>
      <c r="W498" s="48"/>
      <c r="X498" s="48"/>
      <c r="Y498" s="48"/>
      <c r="Z498" s="48"/>
    </row>
    <row r="499" ht="23.25" customHeight="1">
      <c r="A499" s="48"/>
      <c r="B499" s="48"/>
      <c r="C499" s="48"/>
      <c r="D499" s="48"/>
      <c r="E499" s="48"/>
      <c r="F499" s="48"/>
      <c r="G499" s="80"/>
      <c r="H499" s="80"/>
      <c r="I499" s="48"/>
      <c r="J499" s="48"/>
      <c r="K499" s="48"/>
      <c r="L499" s="48"/>
      <c r="M499" s="48"/>
      <c r="N499" s="48"/>
      <c r="O499" s="48"/>
      <c r="P499" s="48"/>
      <c r="Q499" s="48"/>
      <c r="R499" s="48"/>
      <c r="S499" s="48"/>
      <c r="T499" s="48"/>
      <c r="U499" s="48"/>
      <c r="V499" s="48"/>
      <c r="W499" s="48"/>
      <c r="X499" s="48"/>
      <c r="Y499" s="48"/>
      <c r="Z499" s="48"/>
    </row>
    <row r="500" ht="23.25" customHeight="1">
      <c r="A500" s="48"/>
      <c r="B500" s="48"/>
      <c r="C500" s="48"/>
      <c r="D500" s="48"/>
      <c r="E500" s="48"/>
      <c r="F500" s="48"/>
      <c r="G500" s="80"/>
      <c r="H500" s="80"/>
      <c r="I500" s="48"/>
      <c r="J500" s="48"/>
      <c r="K500" s="48"/>
      <c r="L500" s="48"/>
      <c r="M500" s="48"/>
      <c r="N500" s="48"/>
      <c r="O500" s="48"/>
      <c r="P500" s="48"/>
      <c r="Q500" s="48"/>
      <c r="R500" s="48"/>
      <c r="S500" s="48"/>
      <c r="T500" s="48"/>
      <c r="U500" s="48"/>
      <c r="V500" s="48"/>
      <c r="W500" s="48"/>
      <c r="X500" s="48"/>
      <c r="Y500" s="48"/>
      <c r="Z500" s="48"/>
    </row>
    <row r="501" ht="23.25" customHeight="1">
      <c r="A501" s="48"/>
      <c r="B501" s="48"/>
      <c r="C501" s="48"/>
      <c r="D501" s="48"/>
      <c r="E501" s="48"/>
      <c r="F501" s="48"/>
      <c r="G501" s="80"/>
      <c r="H501" s="80"/>
      <c r="I501" s="48"/>
      <c r="J501" s="48"/>
      <c r="K501" s="48"/>
      <c r="L501" s="48"/>
      <c r="M501" s="48"/>
      <c r="N501" s="48"/>
      <c r="O501" s="48"/>
      <c r="P501" s="48"/>
      <c r="Q501" s="48"/>
      <c r="R501" s="48"/>
      <c r="S501" s="48"/>
      <c r="T501" s="48"/>
      <c r="U501" s="48"/>
      <c r="V501" s="48"/>
      <c r="W501" s="48"/>
      <c r="X501" s="48"/>
      <c r="Y501" s="48"/>
      <c r="Z501" s="48"/>
    </row>
    <row r="502" ht="23.25" customHeight="1">
      <c r="A502" s="48"/>
      <c r="B502" s="48"/>
      <c r="C502" s="48"/>
      <c r="D502" s="48"/>
      <c r="E502" s="48"/>
      <c r="F502" s="48"/>
      <c r="G502" s="80"/>
      <c r="H502" s="80"/>
      <c r="I502" s="48"/>
      <c r="J502" s="48"/>
      <c r="K502" s="48"/>
      <c r="L502" s="48"/>
      <c r="M502" s="48"/>
      <c r="N502" s="48"/>
      <c r="O502" s="48"/>
      <c r="P502" s="48"/>
      <c r="Q502" s="48"/>
      <c r="R502" s="48"/>
      <c r="S502" s="48"/>
      <c r="T502" s="48"/>
      <c r="U502" s="48"/>
      <c r="V502" s="48"/>
      <c r="W502" s="48"/>
      <c r="X502" s="48"/>
      <c r="Y502" s="48"/>
      <c r="Z502" s="48"/>
    </row>
    <row r="503" ht="23.25" customHeight="1">
      <c r="A503" s="48"/>
      <c r="B503" s="48"/>
      <c r="C503" s="48"/>
      <c r="D503" s="48"/>
      <c r="E503" s="48"/>
      <c r="F503" s="48"/>
      <c r="G503" s="80"/>
      <c r="H503" s="80"/>
      <c r="I503" s="48"/>
      <c r="J503" s="48"/>
      <c r="K503" s="48"/>
      <c r="L503" s="48"/>
      <c r="M503" s="48"/>
      <c r="N503" s="48"/>
      <c r="O503" s="48"/>
      <c r="P503" s="48"/>
      <c r="Q503" s="48"/>
      <c r="R503" s="48"/>
      <c r="S503" s="48"/>
      <c r="T503" s="48"/>
      <c r="U503" s="48"/>
      <c r="V503" s="48"/>
      <c r="W503" s="48"/>
      <c r="X503" s="48"/>
      <c r="Y503" s="48"/>
      <c r="Z503" s="48"/>
    </row>
    <row r="504" ht="23.25" customHeight="1">
      <c r="A504" s="48"/>
      <c r="B504" s="48"/>
      <c r="C504" s="48"/>
      <c r="D504" s="48"/>
      <c r="E504" s="48"/>
      <c r="F504" s="48"/>
      <c r="G504" s="80"/>
      <c r="H504" s="80"/>
      <c r="I504" s="48"/>
      <c r="J504" s="48"/>
      <c r="K504" s="48"/>
      <c r="L504" s="48"/>
      <c r="M504" s="48"/>
      <c r="N504" s="48"/>
      <c r="O504" s="48"/>
      <c r="P504" s="48"/>
      <c r="Q504" s="48"/>
      <c r="R504" s="48"/>
      <c r="S504" s="48"/>
      <c r="T504" s="48"/>
      <c r="U504" s="48"/>
      <c r="V504" s="48"/>
      <c r="W504" s="48"/>
      <c r="X504" s="48"/>
      <c r="Y504" s="48"/>
      <c r="Z504" s="48"/>
    </row>
    <row r="505" ht="23.25" customHeight="1">
      <c r="A505" s="48"/>
      <c r="B505" s="48"/>
      <c r="C505" s="48"/>
      <c r="D505" s="48"/>
      <c r="E505" s="48"/>
      <c r="F505" s="48"/>
      <c r="G505" s="80"/>
      <c r="H505" s="80"/>
      <c r="I505" s="48"/>
      <c r="J505" s="48"/>
      <c r="K505" s="48"/>
      <c r="L505" s="48"/>
      <c r="M505" s="48"/>
      <c r="N505" s="48"/>
      <c r="O505" s="48"/>
      <c r="P505" s="48"/>
      <c r="Q505" s="48"/>
      <c r="R505" s="48"/>
      <c r="S505" s="48"/>
      <c r="T505" s="48"/>
      <c r="U505" s="48"/>
      <c r="V505" s="48"/>
      <c r="W505" s="48"/>
      <c r="X505" s="48"/>
      <c r="Y505" s="48"/>
      <c r="Z505" s="48"/>
    </row>
    <row r="506" ht="23.25" customHeight="1">
      <c r="A506" s="48"/>
      <c r="B506" s="48"/>
      <c r="C506" s="48"/>
      <c r="D506" s="48"/>
      <c r="E506" s="48"/>
      <c r="F506" s="48"/>
      <c r="G506" s="80"/>
      <c r="H506" s="80"/>
      <c r="I506" s="48"/>
      <c r="J506" s="48"/>
      <c r="K506" s="48"/>
      <c r="L506" s="48"/>
      <c r="M506" s="48"/>
      <c r="N506" s="48"/>
      <c r="O506" s="48"/>
      <c r="P506" s="48"/>
      <c r="Q506" s="48"/>
      <c r="R506" s="48"/>
      <c r="S506" s="48"/>
      <c r="T506" s="48"/>
      <c r="U506" s="48"/>
      <c r="V506" s="48"/>
      <c r="W506" s="48"/>
      <c r="X506" s="48"/>
      <c r="Y506" s="48"/>
      <c r="Z506" s="48"/>
    </row>
    <row r="507" ht="23.25" customHeight="1">
      <c r="A507" s="48"/>
      <c r="B507" s="48"/>
      <c r="C507" s="48"/>
      <c r="D507" s="48"/>
      <c r="E507" s="48"/>
      <c r="F507" s="48"/>
      <c r="G507" s="80"/>
      <c r="H507" s="80"/>
      <c r="I507" s="48"/>
      <c r="J507" s="48"/>
      <c r="K507" s="48"/>
      <c r="L507" s="48"/>
      <c r="M507" s="48"/>
      <c r="N507" s="48"/>
      <c r="O507" s="48"/>
      <c r="P507" s="48"/>
      <c r="Q507" s="48"/>
      <c r="R507" s="48"/>
      <c r="S507" s="48"/>
      <c r="T507" s="48"/>
      <c r="U507" s="48"/>
      <c r="V507" s="48"/>
      <c r="W507" s="48"/>
      <c r="X507" s="48"/>
      <c r="Y507" s="48"/>
      <c r="Z507" s="48"/>
    </row>
    <row r="508" ht="23.25" customHeight="1">
      <c r="A508" s="48"/>
      <c r="B508" s="48"/>
      <c r="C508" s="48"/>
      <c r="D508" s="48"/>
      <c r="E508" s="48"/>
      <c r="F508" s="48"/>
      <c r="G508" s="80"/>
      <c r="H508" s="80"/>
      <c r="I508" s="48"/>
      <c r="J508" s="48"/>
      <c r="K508" s="48"/>
      <c r="L508" s="48"/>
      <c r="M508" s="48"/>
      <c r="N508" s="48"/>
      <c r="O508" s="48"/>
      <c r="P508" s="48"/>
      <c r="Q508" s="48"/>
      <c r="R508" s="48"/>
      <c r="S508" s="48"/>
      <c r="T508" s="48"/>
      <c r="U508" s="48"/>
      <c r="V508" s="48"/>
      <c r="W508" s="48"/>
      <c r="X508" s="48"/>
      <c r="Y508" s="48"/>
      <c r="Z508" s="48"/>
    </row>
    <row r="509" ht="23.25" customHeight="1">
      <c r="A509" s="48"/>
      <c r="B509" s="48"/>
      <c r="C509" s="48"/>
      <c r="D509" s="48"/>
      <c r="E509" s="48"/>
      <c r="F509" s="48"/>
      <c r="G509" s="80"/>
      <c r="H509" s="80"/>
      <c r="I509" s="48"/>
      <c r="J509" s="48"/>
      <c r="K509" s="48"/>
      <c r="L509" s="48"/>
      <c r="M509" s="48"/>
      <c r="N509" s="48"/>
      <c r="O509" s="48"/>
      <c r="P509" s="48"/>
      <c r="Q509" s="48"/>
      <c r="R509" s="48"/>
      <c r="S509" s="48"/>
      <c r="T509" s="48"/>
      <c r="U509" s="48"/>
      <c r="V509" s="48"/>
      <c r="W509" s="48"/>
      <c r="X509" s="48"/>
      <c r="Y509" s="48"/>
      <c r="Z509" s="48"/>
    </row>
    <row r="510" ht="23.25" customHeight="1">
      <c r="A510" s="48"/>
      <c r="B510" s="48"/>
      <c r="C510" s="48"/>
      <c r="D510" s="48"/>
      <c r="E510" s="48"/>
      <c r="F510" s="48"/>
      <c r="G510" s="80"/>
      <c r="H510" s="80"/>
      <c r="I510" s="48"/>
      <c r="J510" s="48"/>
      <c r="K510" s="48"/>
      <c r="L510" s="48"/>
      <c r="M510" s="48"/>
      <c r="N510" s="48"/>
      <c r="O510" s="48"/>
      <c r="P510" s="48"/>
      <c r="Q510" s="48"/>
      <c r="R510" s="48"/>
      <c r="S510" s="48"/>
      <c r="T510" s="48"/>
      <c r="U510" s="48"/>
      <c r="V510" s="48"/>
      <c r="W510" s="48"/>
      <c r="X510" s="48"/>
      <c r="Y510" s="48"/>
      <c r="Z510" s="48"/>
    </row>
    <row r="511" ht="23.25" customHeight="1">
      <c r="A511" s="48"/>
      <c r="B511" s="48"/>
      <c r="C511" s="48"/>
      <c r="D511" s="48"/>
      <c r="E511" s="48"/>
      <c r="F511" s="48"/>
      <c r="G511" s="80"/>
      <c r="H511" s="80"/>
      <c r="I511" s="48"/>
      <c r="J511" s="48"/>
      <c r="K511" s="48"/>
      <c r="L511" s="48"/>
      <c r="M511" s="48"/>
      <c r="N511" s="48"/>
      <c r="O511" s="48"/>
      <c r="P511" s="48"/>
      <c r="Q511" s="48"/>
      <c r="R511" s="48"/>
      <c r="S511" s="48"/>
      <c r="T511" s="48"/>
      <c r="U511" s="48"/>
      <c r="V511" s="48"/>
      <c r="W511" s="48"/>
      <c r="X511" s="48"/>
      <c r="Y511" s="48"/>
      <c r="Z511" s="48"/>
    </row>
    <row r="512" ht="23.25" customHeight="1">
      <c r="A512" s="48"/>
      <c r="B512" s="48"/>
      <c r="C512" s="48"/>
      <c r="D512" s="48"/>
      <c r="E512" s="48"/>
      <c r="F512" s="48"/>
      <c r="G512" s="80"/>
      <c r="H512" s="80"/>
      <c r="I512" s="48"/>
      <c r="J512" s="48"/>
      <c r="K512" s="48"/>
      <c r="L512" s="48"/>
      <c r="M512" s="48"/>
      <c r="N512" s="48"/>
      <c r="O512" s="48"/>
      <c r="P512" s="48"/>
      <c r="Q512" s="48"/>
      <c r="R512" s="48"/>
      <c r="S512" s="48"/>
      <c r="T512" s="48"/>
      <c r="U512" s="48"/>
      <c r="V512" s="48"/>
      <c r="W512" s="48"/>
      <c r="X512" s="48"/>
      <c r="Y512" s="48"/>
      <c r="Z512" s="48"/>
    </row>
    <row r="513" ht="23.25" customHeight="1">
      <c r="A513" s="48"/>
      <c r="B513" s="48"/>
      <c r="C513" s="48"/>
      <c r="D513" s="48"/>
      <c r="E513" s="48"/>
      <c r="F513" s="48"/>
      <c r="G513" s="80"/>
      <c r="H513" s="80"/>
      <c r="I513" s="48"/>
      <c r="J513" s="48"/>
      <c r="K513" s="48"/>
      <c r="L513" s="48"/>
      <c r="M513" s="48"/>
      <c r="N513" s="48"/>
      <c r="O513" s="48"/>
      <c r="P513" s="48"/>
      <c r="Q513" s="48"/>
      <c r="R513" s="48"/>
      <c r="S513" s="48"/>
      <c r="T513" s="48"/>
      <c r="U513" s="48"/>
      <c r="V513" s="48"/>
      <c r="W513" s="48"/>
      <c r="X513" s="48"/>
      <c r="Y513" s="48"/>
      <c r="Z513" s="48"/>
    </row>
    <row r="514" ht="23.25" customHeight="1">
      <c r="A514" s="48"/>
      <c r="B514" s="48"/>
      <c r="C514" s="48"/>
      <c r="D514" s="48"/>
      <c r="E514" s="48"/>
      <c r="F514" s="48"/>
      <c r="G514" s="80"/>
      <c r="H514" s="80"/>
      <c r="I514" s="48"/>
      <c r="J514" s="48"/>
      <c r="K514" s="48"/>
      <c r="L514" s="48"/>
      <c r="M514" s="48"/>
      <c r="N514" s="48"/>
      <c r="O514" s="48"/>
      <c r="P514" s="48"/>
      <c r="Q514" s="48"/>
      <c r="R514" s="48"/>
      <c r="S514" s="48"/>
      <c r="T514" s="48"/>
      <c r="U514" s="48"/>
      <c r="V514" s="48"/>
      <c r="W514" s="48"/>
      <c r="X514" s="48"/>
      <c r="Y514" s="48"/>
      <c r="Z514" s="48"/>
    </row>
    <row r="515" ht="23.25" customHeight="1">
      <c r="A515" s="48"/>
      <c r="B515" s="48"/>
      <c r="C515" s="48"/>
      <c r="D515" s="48"/>
      <c r="E515" s="48"/>
      <c r="F515" s="48"/>
      <c r="G515" s="80"/>
      <c r="H515" s="80"/>
      <c r="I515" s="48"/>
      <c r="J515" s="48"/>
      <c r="K515" s="48"/>
      <c r="L515" s="48"/>
      <c r="M515" s="48"/>
      <c r="N515" s="48"/>
      <c r="O515" s="48"/>
      <c r="P515" s="48"/>
      <c r="Q515" s="48"/>
      <c r="R515" s="48"/>
      <c r="S515" s="48"/>
      <c r="T515" s="48"/>
      <c r="U515" s="48"/>
      <c r="V515" s="48"/>
      <c r="W515" s="48"/>
      <c r="X515" s="48"/>
      <c r="Y515" s="48"/>
      <c r="Z515" s="48"/>
    </row>
    <row r="516" ht="23.25" customHeight="1">
      <c r="A516" s="48"/>
      <c r="B516" s="48"/>
      <c r="C516" s="48"/>
      <c r="D516" s="48"/>
      <c r="E516" s="48"/>
      <c r="F516" s="48"/>
      <c r="G516" s="80"/>
      <c r="H516" s="80"/>
      <c r="I516" s="48"/>
      <c r="J516" s="48"/>
      <c r="K516" s="48"/>
      <c r="L516" s="48"/>
      <c r="M516" s="48"/>
      <c r="N516" s="48"/>
      <c r="O516" s="48"/>
      <c r="P516" s="48"/>
      <c r="Q516" s="48"/>
      <c r="R516" s="48"/>
      <c r="S516" s="48"/>
      <c r="T516" s="48"/>
      <c r="U516" s="48"/>
      <c r="V516" s="48"/>
      <c r="W516" s="48"/>
      <c r="X516" s="48"/>
      <c r="Y516" s="48"/>
      <c r="Z516" s="48"/>
    </row>
    <row r="517" ht="23.25" customHeight="1">
      <c r="A517" s="48"/>
      <c r="B517" s="48"/>
      <c r="C517" s="48"/>
      <c r="D517" s="48"/>
      <c r="E517" s="48"/>
      <c r="F517" s="48"/>
      <c r="G517" s="80"/>
      <c r="H517" s="80"/>
      <c r="I517" s="48"/>
      <c r="J517" s="48"/>
      <c r="K517" s="48"/>
      <c r="L517" s="48"/>
      <c r="M517" s="48"/>
      <c r="N517" s="48"/>
      <c r="O517" s="48"/>
      <c r="P517" s="48"/>
      <c r="Q517" s="48"/>
      <c r="R517" s="48"/>
      <c r="S517" s="48"/>
      <c r="T517" s="48"/>
      <c r="U517" s="48"/>
      <c r="V517" s="48"/>
      <c r="W517" s="48"/>
      <c r="X517" s="48"/>
      <c r="Y517" s="48"/>
      <c r="Z517" s="48"/>
    </row>
    <row r="518" ht="23.25" customHeight="1">
      <c r="A518" s="48"/>
      <c r="B518" s="48"/>
      <c r="C518" s="48"/>
      <c r="D518" s="48"/>
      <c r="E518" s="48"/>
      <c r="F518" s="48"/>
      <c r="G518" s="80"/>
      <c r="H518" s="80"/>
      <c r="I518" s="48"/>
      <c r="J518" s="48"/>
      <c r="K518" s="48"/>
      <c r="L518" s="48"/>
      <c r="M518" s="48"/>
      <c r="N518" s="48"/>
      <c r="O518" s="48"/>
      <c r="P518" s="48"/>
      <c r="Q518" s="48"/>
      <c r="R518" s="48"/>
      <c r="S518" s="48"/>
      <c r="T518" s="48"/>
      <c r="U518" s="48"/>
      <c r="V518" s="48"/>
      <c r="W518" s="48"/>
      <c r="X518" s="48"/>
      <c r="Y518" s="48"/>
      <c r="Z518" s="48"/>
    </row>
    <row r="519" ht="23.25" customHeight="1">
      <c r="A519" s="48"/>
      <c r="B519" s="48"/>
      <c r="C519" s="48"/>
      <c r="D519" s="48"/>
      <c r="E519" s="48"/>
      <c r="F519" s="48"/>
      <c r="G519" s="80"/>
      <c r="H519" s="80"/>
      <c r="I519" s="48"/>
      <c r="J519" s="48"/>
      <c r="K519" s="48"/>
      <c r="L519" s="48"/>
      <c r="M519" s="48"/>
      <c r="N519" s="48"/>
      <c r="O519" s="48"/>
      <c r="P519" s="48"/>
      <c r="Q519" s="48"/>
      <c r="R519" s="48"/>
      <c r="S519" s="48"/>
      <c r="T519" s="48"/>
      <c r="U519" s="48"/>
      <c r="V519" s="48"/>
      <c r="W519" s="48"/>
      <c r="X519" s="48"/>
      <c r="Y519" s="48"/>
      <c r="Z519" s="48"/>
    </row>
    <row r="520" ht="23.25" customHeight="1">
      <c r="A520" s="48"/>
      <c r="B520" s="48"/>
      <c r="C520" s="48"/>
      <c r="D520" s="48"/>
      <c r="E520" s="48"/>
      <c r="F520" s="48"/>
      <c r="G520" s="80"/>
      <c r="H520" s="80"/>
      <c r="I520" s="48"/>
      <c r="J520" s="48"/>
      <c r="K520" s="48"/>
      <c r="L520" s="48"/>
      <c r="M520" s="48"/>
      <c r="N520" s="48"/>
      <c r="O520" s="48"/>
      <c r="P520" s="48"/>
      <c r="Q520" s="48"/>
      <c r="R520" s="48"/>
      <c r="S520" s="48"/>
      <c r="T520" s="48"/>
      <c r="U520" s="48"/>
      <c r="V520" s="48"/>
      <c r="W520" s="48"/>
      <c r="X520" s="48"/>
      <c r="Y520" s="48"/>
      <c r="Z520" s="48"/>
    </row>
    <row r="521" ht="23.25" customHeight="1">
      <c r="A521" s="48"/>
      <c r="B521" s="48"/>
      <c r="C521" s="48"/>
      <c r="D521" s="48"/>
      <c r="E521" s="48"/>
      <c r="F521" s="48"/>
      <c r="G521" s="80"/>
      <c r="H521" s="80"/>
      <c r="I521" s="48"/>
      <c r="J521" s="48"/>
      <c r="K521" s="48"/>
      <c r="L521" s="48"/>
      <c r="M521" s="48"/>
      <c r="N521" s="48"/>
      <c r="O521" s="48"/>
      <c r="P521" s="48"/>
      <c r="Q521" s="48"/>
      <c r="R521" s="48"/>
      <c r="S521" s="48"/>
      <c r="T521" s="48"/>
      <c r="U521" s="48"/>
      <c r="V521" s="48"/>
      <c r="W521" s="48"/>
      <c r="X521" s="48"/>
      <c r="Y521" s="48"/>
      <c r="Z521" s="48"/>
    </row>
    <row r="522" ht="23.25" customHeight="1">
      <c r="A522" s="48"/>
      <c r="B522" s="48"/>
      <c r="C522" s="48"/>
      <c r="D522" s="48"/>
      <c r="E522" s="48"/>
      <c r="F522" s="48"/>
      <c r="G522" s="80"/>
      <c r="H522" s="80"/>
      <c r="I522" s="48"/>
      <c r="J522" s="48"/>
      <c r="K522" s="48"/>
      <c r="L522" s="48"/>
      <c r="M522" s="48"/>
      <c r="N522" s="48"/>
      <c r="O522" s="48"/>
      <c r="P522" s="48"/>
      <c r="Q522" s="48"/>
      <c r="R522" s="48"/>
      <c r="S522" s="48"/>
      <c r="T522" s="48"/>
      <c r="U522" s="48"/>
      <c r="V522" s="48"/>
      <c r="W522" s="48"/>
      <c r="X522" s="48"/>
      <c r="Y522" s="48"/>
      <c r="Z522" s="48"/>
    </row>
    <row r="523" ht="23.25" customHeight="1">
      <c r="A523" s="48"/>
      <c r="B523" s="48"/>
      <c r="C523" s="48"/>
      <c r="D523" s="48"/>
      <c r="E523" s="48"/>
      <c r="F523" s="48"/>
      <c r="G523" s="80"/>
      <c r="H523" s="80"/>
      <c r="I523" s="48"/>
      <c r="J523" s="48"/>
      <c r="K523" s="48"/>
      <c r="L523" s="48"/>
      <c r="M523" s="48"/>
      <c r="N523" s="48"/>
      <c r="O523" s="48"/>
      <c r="P523" s="48"/>
      <c r="Q523" s="48"/>
      <c r="R523" s="48"/>
      <c r="S523" s="48"/>
      <c r="T523" s="48"/>
      <c r="U523" s="48"/>
      <c r="V523" s="48"/>
      <c r="W523" s="48"/>
      <c r="X523" s="48"/>
      <c r="Y523" s="48"/>
      <c r="Z523" s="48"/>
    </row>
    <row r="524" ht="23.25" customHeight="1">
      <c r="A524" s="48"/>
      <c r="B524" s="48"/>
      <c r="C524" s="48"/>
      <c r="D524" s="48"/>
      <c r="E524" s="48"/>
      <c r="F524" s="48"/>
      <c r="G524" s="80"/>
      <c r="H524" s="80"/>
      <c r="I524" s="48"/>
      <c r="J524" s="48"/>
      <c r="K524" s="48"/>
      <c r="L524" s="48"/>
      <c r="M524" s="48"/>
      <c r="N524" s="48"/>
      <c r="O524" s="48"/>
      <c r="P524" s="48"/>
      <c r="Q524" s="48"/>
      <c r="R524" s="48"/>
      <c r="S524" s="48"/>
      <c r="T524" s="48"/>
      <c r="U524" s="48"/>
      <c r="V524" s="48"/>
      <c r="W524" s="48"/>
      <c r="X524" s="48"/>
      <c r="Y524" s="48"/>
      <c r="Z524" s="48"/>
    </row>
    <row r="525" ht="23.25" customHeight="1">
      <c r="A525" s="48"/>
      <c r="B525" s="48"/>
      <c r="C525" s="48"/>
      <c r="D525" s="48"/>
      <c r="E525" s="48"/>
      <c r="F525" s="48"/>
      <c r="G525" s="80"/>
      <c r="H525" s="80"/>
      <c r="I525" s="48"/>
      <c r="J525" s="48"/>
      <c r="K525" s="48"/>
      <c r="L525" s="48"/>
      <c r="M525" s="48"/>
      <c r="N525" s="48"/>
      <c r="O525" s="48"/>
      <c r="P525" s="48"/>
      <c r="Q525" s="48"/>
      <c r="R525" s="48"/>
      <c r="S525" s="48"/>
      <c r="T525" s="48"/>
      <c r="U525" s="48"/>
      <c r="V525" s="48"/>
      <c r="W525" s="48"/>
      <c r="X525" s="48"/>
      <c r="Y525" s="48"/>
      <c r="Z525" s="48"/>
    </row>
    <row r="526" ht="23.25" customHeight="1">
      <c r="A526" s="48"/>
      <c r="B526" s="48"/>
      <c r="C526" s="48"/>
      <c r="D526" s="48"/>
      <c r="E526" s="48"/>
      <c r="F526" s="48"/>
      <c r="G526" s="80"/>
      <c r="H526" s="80"/>
      <c r="I526" s="48"/>
      <c r="J526" s="48"/>
      <c r="K526" s="48"/>
      <c r="L526" s="48"/>
      <c r="M526" s="48"/>
      <c r="N526" s="48"/>
      <c r="O526" s="48"/>
      <c r="P526" s="48"/>
      <c r="Q526" s="48"/>
      <c r="R526" s="48"/>
      <c r="S526" s="48"/>
      <c r="T526" s="48"/>
      <c r="U526" s="48"/>
      <c r="V526" s="48"/>
      <c r="W526" s="48"/>
      <c r="X526" s="48"/>
      <c r="Y526" s="48"/>
      <c r="Z526" s="48"/>
    </row>
    <row r="527" ht="23.25" customHeight="1">
      <c r="A527" s="48"/>
      <c r="B527" s="48"/>
      <c r="C527" s="48"/>
      <c r="D527" s="48"/>
      <c r="E527" s="48"/>
      <c r="F527" s="48"/>
      <c r="G527" s="80"/>
      <c r="H527" s="80"/>
      <c r="I527" s="48"/>
      <c r="J527" s="48"/>
      <c r="K527" s="48"/>
      <c r="L527" s="48"/>
      <c r="M527" s="48"/>
      <c r="N527" s="48"/>
      <c r="O527" s="48"/>
      <c r="P527" s="48"/>
      <c r="Q527" s="48"/>
      <c r="R527" s="48"/>
      <c r="S527" s="48"/>
      <c r="T527" s="48"/>
      <c r="U527" s="48"/>
      <c r="V527" s="48"/>
      <c r="W527" s="48"/>
      <c r="X527" s="48"/>
      <c r="Y527" s="48"/>
      <c r="Z527" s="48"/>
    </row>
    <row r="528" ht="23.25" customHeight="1">
      <c r="A528" s="48"/>
      <c r="B528" s="48"/>
      <c r="C528" s="48"/>
      <c r="D528" s="48"/>
      <c r="E528" s="48"/>
      <c r="F528" s="48"/>
      <c r="G528" s="80"/>
      <c r="H528" s="80"/>
      <c r="I528" s="48"/>
      <c r="J528" s="48"/>
      <c r="K528" s="48"/>
      <c r="L528" s="48"/>
      <c r="M528" s="48"/>
      <c r="N528" s="48"/>
      <c r="O528" s="48"/>
      <c r="P528" s="48"/>
      <c r="Q528" s="48"/>
      <c r="R528" s="48"/>
      <c r="S528" s="48"/>
      <c r="T528" s="48"/>
      <c r="U528" s="48"/>
      <c r="V528" s="48"/>
      <c r="W528" s="48"/>
      <c r="X528" s="48"/>
      <c r="Y528" s="48"/>
      <c r="Z528" s="48"/>
    </row>
    <row r="529" ht="23.25" customHeight="1">
      <c r="A529" s="48"/>
      <c r="B529" s="48"/>
      <c r="C529" s="48"/>
      <c r="D529" s="48"/>
      <c r="E529" s="48"/>
      <c r="F529" s="48"/>
      <c r="G529" s="80"/>
      <c r="H529" s="80"/>
      <c r="I529" s="48"/>
      <c r="J529" s="48"/>
      <c r="K529" s="48"/>
      <c r="L529" s="48"/>
      <c r="M529" s="48"/>
      <c r="N529" s="48"/>
      <c r="O529" s="48"/>
      <c r="P529" s="48"/>
      <c r="Q529" s="48"/>
      <c r="R529" s="48"/>
      <c r="S529" s="48"/>
      <c r="T529" s="48"/>
      <c r="U529" s="48"/>
      <c r="V529" s="48"/>
      <c r="W529" s="48"/>
      <c r="X529" s="48"/>
      <c r="Y529" s="48"/>
      <c r="Z529" s="48"/>
    </row>
    <row r="530" ht="23.25" customHeight="1">
      <c r="A530" s="48"/>
      <c r="B530" s="48"/>
      <c r="C530" s="48"/>
      <c r="D530" s="48"/>
      <c r="E530" s="48"/>
      <c r="F530" s="48"/>
      <c r="G530" s="80"/>
      <c r="H530" s="80"/>
      <c r="I530" s="48"/>
      <c r="J530" s="48"/>
      <c r="K530" s="48"/>
      <c r="L530" s="48"/>
      <c r="M530" s="48"/>
      <c r="N530" s="48"/>
      <c r="O530" s="48"/>
      <c r="P530" s="48"/>
      <c r="Q530" s="48"/>
      <c r="R530" s="48"/>
      <c r="S530" s="48"/>
      <c r="T530" s="48"/>
      <c r="U530" s="48"/>
      <c r="V530" s="48"/>
      <c r="W530" s="48"/>
      <c r="X530" s="48"/>
      <c r="Y530" s="48"/>
      <c r="Z530" s="48"/>
    </row>
    <row r="531" ht="23.25" customHeight="1">
      <c r="A531" s="48"/>
      <c r="B531" s="48"/>
      <c r="C531" s="48"/>
      <c r="D531" s="48"/>
      <c r="E531" s="48"/>
      <c r="F531" s="48"/>
      <c r="G531" s="80"/>
      <c r="H531" s="80"/>
      <c r="I531" s="48"/>
      <c r="J531" s="48"/>
      <c r="K531" s="48"/>
      <c r="L531" s="48"/>
      <c r="M531" s="48"/>
      <c r="N531" s="48"/>
      <c r="O531" s="48"/>
      <c r="P531" s="48"/>
      <c r="Q531" s="48"/>
      <c r="R531" s="48"/>
      <c r="S531" s="48"/>
      <c r="T531" s="48"/>
      <c r="U531" s="48"/>
      <c r="V531" s="48"/>
      <c r="W531" s="48"/>
      <c r="X531" s="48"/>
      <c r="Y531" s="48"/>
      <c r="Z531" s="48"/>
    </row>
    <row r="532" ht="23.25" customHeight="1">
      <c r="A532" s="48"/>
      <c r="B532" s="48"/>
      <c r="C532" s="48"/>
      <c r="D532" s="48"/>
      <c r="E532" s="48"/>
      <c r="F532" s="48"/>
      <c r="G532" s="80"/>
      <c r="H532" s="80"/>
      <c r="I532" s="48"/>
      <c r="J532" s="48"/>
      <c r="K532" s="48"/>
      <c r="L532" s="48"/>
      <c r="M532" s="48"/>
      <c r="N532" s="48"/>
      <c r="O532" s="48"/>
      <c r="P532" s="48"/>
      <c r="Q532" s="48"/>
      <c r="R532" s="48"/>
      <c r="S532" s="48"/>
      <c r="T532" s="48"/>
      <c r="U532" s="48"/>
      <c r="V532" s="48"/>
      <c r="W532" s="48"/>
      <c r="X532" s="48"/>
      <c r="Y532" s="48"/>
      <c r="Z532" s="48"/>
    </row>
    <row r="533" ht="23.25" customHeight="1">
      <c r="A533" s="48"/>
      <c r="B533" s="48"/>
      <c r="C533" s="48"/>
      <c r="D533" s="48"/>
      <c r="E533" s="48"/>
      <c r="F533" s="48"/>
      <c r="G533" s="80"/>
      <c r="H533" s="80"/>
      <c r="I533" s="48"/>
      <c r="J533" s="48"/>
      <c r="K533" s="48"/>
      <c r="L533" s="48"/>
      <c r="M533" s="48"/>
      <c r="N533" s="48"/>
      <c r="O533" s="48"/>
      <c r="P533" s="48"/>
      <c r="Q533" s="48"/>
      <c r="R533" s="48"/>
      <c r="S533" s="48"/>
      <c r="T533" s="48"/>
      <c r="U533" s="48"/>
      <c r="V533" s="48"/>
      <c r="W533" s="48"/>
      <c r="X533" s="48"/>
      <c r="Y533" s="48"/>
      <c r="Z533" s="48"/>
    </row>
    <row r="534" ht="23.25" customHeight="1">
      <c r="A534" s="48"/>
      <c r="B534" s="48"/>
      <c r="C534" s="48"/>
      <c r="D534" s="48"/>
      <c r="E534" s="48"/>
      <c r="F534" s="48"/>
      <c r="G534" s="80"/>
      <c r="H534" s="80"/>
      <c r="I534" s="48"/>
      <c r="J534" s="48"/>
      <c r="K534" s="48"/>
      <c r="L534" s="48"/>
      <c r="M534" s="48"/>
      <c r="N534" s="48"/>
      <c r="O534" s="48"/>
      <c r="P534" s="48"/>
      <c r="Q534" s="48"/>
      <c r="R534" s="48"/>
      <c r="S534" s="48"/>
      <c r="T534" s="48"/>
      <c r="U534" s="48"/>
      <c r="V534" s="48"/>
      <c r="W534" s="48"/>
      <c r="X534" s="48"/>
      <c r="Y534" s="48"/>
      <c r="Z534" s="48"/>
    </row>
    <row r="535" ht="23.25" customHeight="1">
      <c r="A535" s="48"/>
      <c r="B535" s="48"/>
      <c r="C535" s="48"/>
      <c r="D535" s="48"/>
      <c r="E535" s="48"/>
      <c r="F535" s="48"/>
      <c r="G535" s="80"/>
      <c r="H535" s="80"/>
      <c r="I535" s="48"/>
      <c r="J535" s="48"/>
      <c r="K535" s="48"/>
      <c r="L535" s="48"/>
      <c r="M535" s="48"/>
      <c r="N535" s="48"/>
      <c r="O535" s="48"/>
      <c r="P535" s="48"/>
      <c r="Q535" s="48"/>
      <c r="R535" s="48"/>
      <c r="S535" s="48"/>
      <c r="T535" s="48"/>
      <c r="U535" s="48"/>
      <c r="V535" s="48"/>
      <c r="W535" s="48"/>
      <c r="X535" s="48"/>
      <c r="Y535" s="48"/>
      <c r="Z535" s="48"/>
    </row>
    <row r="536" ht="23.25" customHeight="1">
      <c r="A536" s="48"/>
      <c r="B536" s="48"/>
      <c r="C536" s="48"/>
      <c r="D536" s="48"/>
      <c r="E536" s="48"/>
      <c r="F536" s="48"/>
      <c r="G536" s="80"/>
      <c r="H536" s="80"/>
      <c r="I536" s="48"/>
      <c r="J536" s="48"/>
      <c r="K536" s="48"/>
      <c r="L536" s="48"/>
      <c r="M536" s="48"/>
      <c r="N536" s="48"/>
      <c r="O536" s="48"/>
      <c r="P536" s="48"/>
      <c r="Q536" s="48"/>
      <c r="R536" s="48"/>
      <c r="S536" s="48"/>
      <c r="T536" s="48"/>
      <c r="U536" s="48"/>
      <c r="V536" s="48"/>
      <c r="W536" s="48"/>
      <c r="X536" s="48"/>
      <c r="Y536" s="48"/>
      <c r="Z536" s="48"/>
    </row>
    <row r="537" ht="23.25" customHeight="1">
      <c r="A537" s="48"/>
      <c r="B537" s="48"/>
      <c r="C537" s="48"/>
      <c r="D537" s="48"/>
      <c r="E537" s="48"/>
      <c r="F537" s="48"/>
      <c r="G537" s="80"/>
      <c r="H537" s="80"/>
      <c r="I537" s="48"/>
      <c r="J537" s="48"/>
      <c r="K537" s="48"/>
      <c r="L537" s="48"/>
      <c r="M537" s="48"/>
      <c r="N537" s="48"/>
      <c r="O537" s="48"/>
      <c r="P537" s="48"/>
      <c r="Q537" s="48"/>
      <c r="R537" s="48"/>
      <c r="S537" s="48"/>
      <c r="T537" s="48"/>
      <c r="U537" s="48"/>
      <c r="V537" s="48"/>
      <c r="W537" s="48"/>
      <c r="X537" s="48"/>
      <c r="Y537" s="48"/>
      <c r="Z537" s="48"/>
    </row>
    <row r="538" ht="23.25" customHeight="1">
      <c r="A538" s="48"/>
      <c r="B538" s="48"/>
      <c r="C538" s="48"/>
      <c r="D538" s="48"/>
      <c r="E538" s="48"/>
      <c r="F538" s="48"/>
      <c r="G538" s="80"/>
      <c r="H538" s="80"/>
      <c r="I538" s="48"/>
      <c r="J538" s="48"/>
      <c r="K538" s="48"/>
      <c r="L538" s="48"/>
      <c r="M538" s="48"/>
      <c r="N538" s="48"/>
      <c r="O538" s="48"/>
      <c r="P538" s="48"/>
      <c r="Q538" s="48"/>
      <c r="R538" s="48"/>
      <c r="S538" s="48"/>
      <c r="T538" s="48"/>
      <c r="U538" s="48"/>
      <c r="V538" s="48"/>
      <c r="W538" s="48"/>
      <c r="X538" s="48"/>
      <c r="Y538" s="48"/>
      <c r="Z538" s="48"/>
    </row>
    <row r="539" ht="23.25" customHeight="1">
      <c r="A539" s="48"/>
      <c r="B539" s="48"/>
      <c r="C539" s="48"/>
      <c r="D539" s="48"/>
      <c r="E539" s="48"/>
      <c r="F539" s="48"/>
      <c r="G539" s="80"/>
      <c r="H539" s="80"/>
      <c r="I539" s="48"/>
      <c r="J539" s="48"/>
      <c r="K539" s="48"/>
      <c r="L539" s="48"/>
      <c r="M539" s="48"/>
      <c r="N539" s="48"/>
      <c r="O539" s="48"/>
      <c r="P539" s="48"/>
      <c r="Q539" s="48"/>
      <c r="R539" s="48"/>
      <c r="S539" s="48"/>
      <c r="T539" s="48"/>
      <c r="U539" s="48"/>
      <c r="V539" s="48"/>
      <c r="W539" s="48"/>
      <c r="X539" s="48"/>
      <c r="Y539" s="48"/>
      <c r="Z539" s="48"/>
    </row>
    <row r="540" ht="23.25" customHeight="1">
      <c r="A540" s="48"/>
      <c r="B540" s="48"/>
      <c r="C540" s="48"/>
      <c r="D540" s="48"/>
      <c r="E540" s="48"/>
      <c r="F540" s="48"/>
      <c r="G540" s="80"/>
      <c r="H540" s="80"/>
      <c r="I540" s="48"/>
      <c r="J540" s="48"/>
      <c r="K540" s="48"/>
      <c r="L540" s="48"/>
      <c r="M540" s="48"/>
      <c r="N540" s="48"/>
      <c r="O540" s="48"/>
      <c r="P540" s="48"/>
      <c r="Q540" s="48"/>
      <c r="R540" s="48"/>
      <c r="S540" s="48"/>
      <c r="T540" s="48"/>
      <c r="U540" s="48"/>
      <c r="V540" s="48"/>
      <c r="W540" s="48"/>
      <c r="X540" s="48"/>
      <c r="Y540" s="48"/>
      <c r="Z540" s="48"/>
    </row>
    <row r="541" ht="23.25" customHeight="1">
      <c r="A541" s="48"/>
      <c r="B541" s="48"/>
      <c r="C541" s="48"/>
      <c r="D541" s="48"/>
      <c r="E541" s="48"/>
      <c r="F541" s="48"/>
      <c r="G541" s="80"/>
      <c r="H541" s="80"/>
      <c r="I541" s="48"/>
      <c r="J541" s="48"/>
      <c r="K541" s="48"/>
      <c r="L541" s="48"/>
      <c r="M541" s="48"/>
      <c r="N541" s="48"/>
      <c r="O541" s="48"/>
      <c r="P541" s="48"/>
      <c r="Q541" s="48"/>
      <c r="R541" s="48"/>
      <c r="S541" s="48"/>
      <c r="T541" s="48"/>
      <c r="U541" s="48"/>
      <c r="V541" s="48"/>
      <c r="W541" s="48"/>
      <c r="X541" s="48"/>
      <c r="Y541" s="48"/>
      <c r="Z541" s="48"/>
    </row>
    <row r="542" ht="23.25" customHeight="1">
      <c r="A542" s="48"/>
      <c r="B542" s="48"/>
      <c r="C542" s="48"/>
      <c r="D542" s="48"/>
      <c r="E542" s="48"/>
      <c r="F542" s="48"/>
      <c r="G542" s="80"/>
      <c r="H542" s="80"/>
      <c r="I542" s="48"/>
      <c r="J542" s="48"/>
      <c r="K542" s="48"/>
      <c r="L542" s="48"/>
      <c r="M542" s="48"/>
      <c r="N542" s="48"/>
      <c r="O542" s="48"/>
      <c r="P542" s="48"/>
      <c r="Q542" s="48"/>
      <c r="R542" s="48"/>
      <c r="S542" s="48"/>
      <c r="T542" s="48"/>
      <c r="U542" s="48"/>
      <c r="V542" s="48"/>
      <c r="W542" s="48"/>
      <c r="X542" s="48"/>
      <c r="Y542" s="48"/>
      <c r="Z542" s="48"/>
    </row>
    <row r="543" ht="23.25" customHeight="1">
      <c r="A543" s="48"/>
      <c r="B543" s="48"/>
      <c r="C543" s="48"/>
      <c r="D543" s="48"/>
      <c r="E543" s="48"/>
      <c r="F543" s="48"/>
      <c r="G543" s="80"/>
      <c r="H543" s="80"/>
      <c r="I543" s="48"/>
      <c r="J543" s="48"/>
      <c r="K543" s="48"/>
      <c r="L543" s="48"/>
      <c r="M543" s="48"/>
      <c r="N543" s="48"/>
      <c r="O543" s="48"/>
      <c r="P543" s="48"/>
      <c r="Q543" s="48"/>
      <c r="R543" s="48"/>
      <c r="S543" s="48"/>
      <c r="T543" s="48"/>
      <c r="U543" s="48"/>
      <c r="V543" s="48"/>
      <c r="W543" s="48"/>
      <c r="X543" s="48"/>
      <c r="Y543" s="48"/>
      <c r="Z543" s="48"/>
    </row>
    <row r="544" ht="23.25" customHeight="1">
      <c r="A544" s="48"/>
      <c r="B544" s="48"/>
      <c r="C544" s="48"/>
      <c r="D544" s="48"/>
      <c r="E544" s="48"/>
      <c r="F544" s="48"/>
      <c r="G544" s="80"/>
      <c r="H544" s="80"/>
      <c r="I544" s="48"/>
      <c r="J544" s="48"/>
      <c r="K544" s="48"/>
      <c r="L544" s="48"/>
      <c r="M544" s="48"/>
      <c r="N544" s="48"/>
      <c r="O544" s="48"/>
      <c r="P544" s="48"/>
      <c r="Q544" s="48"/>
      <c r="R544" s="48"/>
      <c r="S544" s="48"/>
      <c r="T544" s="48"/>
      <c r="U544" s="48"/>
      <c r="V544" s="48"/>
      <c r="W544" s="48"/>
      <c r="X544" s="48"/>
      <c r="Y544" s="48"/>
      <c r="Z544" s="48"/>
    </row>
    <row r="545" ht="23.25" customHeight="1">
      <c r="A545" s="48"/>
      <c r="B545" s="48"/>
      <c r="C545" s="48"/>
      <c r="D545" s="48"/>
      <c r="E545" s="48"/>
      <c r="F545" s="48"/>
      <c r="G545" s="80"/>
      <c r="H545" s="80"/>
      <c r="I545" s="48"/>
      <c r="J545" s="48"/>
      <c r="K545" s="48"/>
      <c r="L545" s="48"/>
      <c r="M545" s="48"/>
      <c r="N545" s="48"/>
      <c r="O545" s="48"/>
      <c r="P545" s="48"/>
      <c r="Q545" s="48"/>
      <c r="R545" s="48"/>
      <c r="S545" s="48"/>
      <c r="T545" s="48"/>
      <c r="U545" s="48"/>
      <c r="V545" s="48"/>
      <c r="W545" s="48"/>
      <c r="X545" s="48"/>
      <c r="Y545" s="48"/>
      <c r="Z545" s="48"/>
    </row>
    <row r="546" ht="23.25" customHeight="1">
      <c r="A546" s="48"/>
      <c r="B546" s="48"/>
      <c r="C546" s="48"/>
      <c r="D546" s="48"/>
      <c r="E546" s="48"/>
      <c r="F546" s="48"/>
      <c r="G546" s="80"/>
      <c r="H546" s="80"/>
      <c r="I546" s="48"/>
      <c r="J546" s="48"/>
      <c r="K546" s="48"/>
      <c r="L546" s="48"/>
      <c r="M546" s="48"/>
      <c r="N546" s="48"/>
      <c r="O546" s="48"/>
      <c r="P546" s="48"/>
      <c r="Q546" s="48"/>
      <c r="R546" s="48"/>
      <c r="S546" s="48"/>
      <c r="T546" s="48"/>
      <c r="U546" s="48"/>
      <c r="V546" s="48"/>
      <c r="W546" s="48"/>
      <c r="X546" s="48"/>
      <c r="Y546" s="48"/>
      <c r="Z546" s="48"/>
    </row>
    <row r="547" ht="23.25" customHeight="1">
      <c r="A547" s="48"/>
      <c r="B547" s="48"/>
      <c r="C547" s="48"/>
      <c r="D547" s="48"/>
      <c r="E547" s="48"/>
      <c r="F547" s="48"/>
      <c r="G547" s="80"/>
      <c r="H547" s="80"/>
      <c r="I547" s="48"/>
      <c r="J547" s="48"/>
      <c r="K547" s="48"/>
      <c r="L547" s="48"/>
      <c r="M547" s="48"/>
      <c r="N547" s="48"/>
      <c r="O547" s="48"/>
      <c r="P547" s="48"/>
      <c r="Q547" s="48"/>
      <c r="R547" s="48"/>
      <c r="S547" s="48"/>
      <c r="T547" s="48"/>
      <c r="U547" s="48"/>
      <c r="V547" s="48"/>
      <c r="W547" s="48"/>
      <c r="X547" s="48"/>
      <c r="Y547" s="48"/>
      <c r="Z547" s="48"/>
    </row>
    <row r="548" ht="23.25" customHeight="1">
      <c r="A548" s="48"/>
      <c r="B548" s="48"/>
      <c r="C548" s="48"/>
      <c r="D548" s="48"/>
      <c r="E548" s="48"/>
      <c r="F548" s="48"/>
      <c r="G548" s="80"/>
      <c r="H548" s="80"/>
      <c r="I548" s="48"/>
      <c r="J548" s="48"/>
      <c r="K548" s="48"/>
      <c r="L548" s="48"/>
      <c r="M548" s="48"/>
      <c r="N548" s="48"/>
      <c r="O548" s="48"/>
      <c r="P548" s="48"/>
      <c r="Q548" s="48"/>
      <c r="R548" s="48"/>
      <c r="S548" s="48"/>
      <c r="T548" s="48"/>
      <c r="U548" s="48"/>
      <c r="V548" s="48"/>
      <c r="W548" s="48"/>
      <c r="X548" s="48"/>
      <c r="Y548" s="48"/>
      <c r="Z548" s="48"/>
    </row>
    <row r="549" ht="23.25" customHeight="1">
      <c r="A549" s="48"/>
      <c r="B549" s="48"/>
      <c r="C549" s="48"/>
      <c r="D549" s="48"/>
      <c r="E549" s="48"/>
      <c r="F549" s="48"/>
      <c r="G549" s="80"/>
      <c r="H549" s="80"/>
      <c r="I549" s="48"/>
      <c r="J549" s="48"/>
      <c r="K549" s="48"/>
      <c r="L549" s="48"/>
      <c r="M549" s="48"/>
      <c r="N549" s="48"/>
      <c r="O549" s="48"/>
      <c r="P549" s="48"/>
      <c r="Q549" s="48"/>
      <c r="R549" s="48"/>
      <c r="S549" s="48"/>
      <c r="T549" s="48"/>
      <c r="U549" s="48"/>
      <c r="V549" s="48"/>
      <c r="W549" s="48"/>
      <c r="X549" s="48"/>
      <c r="Y549" s="48"/>
      <c r="Z549" s="48"/>
    </row>
    <row r="550" ht="23.25" customHeight="1">
      <c r="A550" s="48"/>
      <c r="B550" s="48"/>
      <c r="C550" s="48"/>
      <c r="D550" s="48"/>
      <c r="E550" s="48"/>
      <c r="F550" s="48"/>
      <c r="G550" s="80"/>
      <c r="H550" s="80"/>
      <c r="I550" s="48"/>
      <c r="J550" s="48"/>
      <c r="K550" s="48"/>
      <c r="L550" s="48"/>
      <c r="M550" s="48"/>
      <c r="N550" s="48"/>
      <c r="O550" s="48"/>
      <c r="P550" s="48"/>
      <c r="Q550" s="48"/>
      <c r="R550" s="48"/>
      <c r="S550" s="48"/>
      <c r="T550" s="48"/>
      <c r="U550" s="48"/>
      <c r="V550" s="48"/>
      <c r="W550" s="48"/>
      <c r="X550" s="48"/>
      <c r="Y550" s="48"/>
      <c r="Z550" s="48"/>
    </row>
    <row r="551" ht="23.25" customHeight="1">
      <c r="A551" s="48"/>
      <c r="B551" s="48"/>
      <c r="C551" s="48"/>
      <c r="D551" s="48"/>
      <c r="E551" s="48"/>
      <c r="F551" s="48"/>
      <c r="G551" s="80"/>
      <c r="H551" s="80"/>
      <c r="I551" s="48"/>
      <c r="J551" s="48"/>
      <c r="K551" s="48"/>
      <c r="L551" s="48"/>
      <c r="M551" s="48"/>
      <c r="N551" s="48"/>
      <c r="O551" s="48"/>
      <c r="P551" s="48"/>
      <c r="Q551" s="48"/>
      <c r="R551" s="48"/>
      <c r="S551" s="48"/>
      <c r="T551" s="48"/>
      <c r="U551" s="48"/>
      <c r="V551" s="48"/>
      <c r="W551" s="48"/>
      <c r="X551" s="48"/>
      <c r="Y551" s="48"/>
      <c r="Z551" s="48"/>
    </row>
    <row r="552" ht="23.25" customHeight="1">
      <c r="A552" s="48"/>
      <c r="B552" s="48"/>
      <c r="C552" s="48"/>
      <c r="D552" s="48"/>
      <c r="E552" s="48"/>
      <c r="F552" s="48"/>
      <c r="G552" s="80"/>
      <c r="H552" s="80"/>
      <c r="I552" s="48"/>
      <c r="J552" s="48"/>
      <c r="K552" s="48"/>
      <c r="L552" s="48"/>
      <c r="M552" s="48"/>
      <c r="N552" s="48"/>
      <c r="O552" s="48"/>
      <c r="P552" s="48"/>
      <c r="Q552" s="48"/>
      <c r="R552" s="48"/>
      <c r="S552" s="48"/>
      <c r="T552" s="48"/>
      <c r="U552" s="48"/>
      <c r="V552" s="48"/>
      <c r="W552" s="48"/>
      <c r="X552" s="48"/>
      <c r="Y552" s="48"/>
      <c r="Z552" s="48"/>
    </row>
    <row r="553" ht="23.25" customHeight="1">
      <c r="A553" s="48"/>
      <c r="B553" s="48"/>
      <c r="C553" s="48"/>
      <c r="D553" s="48"/>
      <c r="E553" s="48"/>
      <c r="F553" s="48"/>
      <c r="G553" s="80"/>
      <c r="H553" s="80"/>
      <c r="I553" s="48"/>
      <c r="J553" s="48"/>
      <c r="K553" s="48"/>
      <c r="L553" s="48"/>
      <c r="M553" s="48"/>
      <c r="N553" s="48"/>
      <c r="O553" s="48"/>
      <c r="P553" s="48"/>
      <c r="Q553" s="48"/>
      <c r="R553" s="48"/>
      <c r="S553" s="48"/>
      <c r="T553" s="48"/>
      <c r="U553" s="48"/>
      <c r="V553" s="48"/>
      <c r="W553" s="48"/>
      <c r="X553" s="48"/>
      <c r="Y553" s="48"/>
      <c r="Z553" s="48"/>
    </row>
    <row r="554" ht="23.25" customHeight="1">
      <c r="A554" s="48"/>
      <c r="B554" s="48"/>
      <c r="C554" s="48"/>
      <c r="D554" s="48"/>
      <c r="E554" s="48"/>
      <c r="F554" s="48"/>
      <c r="G554" s="80"/>
      <c r="H554" s="80"/>
      <c r="I554" s="48"/>
      <c r="J554" s="48"/>
      <c r="K554" s="48"/>
      <c r="L554" s="48"/>
      <c r="M554" s="48"/>
      <c r="N554" s="48"/>
      <c r="O554" s="48"/>
      <c r="P554" s="48"/>
      <c r="Q554" s="48"/>
      <c r="R554" s="48"/>
      <c r="S554" s="48"/>
      <c r="T554" s="48"/>
      <c r="U554" s="48"/>
      <c r="V554" s="48"/>
      <c r="W554" s="48"/>
      <c r="X554" s="48"/>
      <c r="Y554" s="48"/>
      <c r="Z554" s="48"/>
    </row>
    <row r="555" ht="23.25" customHeight="1">
      <c r="A555" s="48"/>
      <c r="B555" s="48"/>
      <c r="C555" s="48"/>
      <c r="D555" s="48"/>
      <c r="E555" s="48"/>
      <c r="F555" s="48"/>
      <c r="G555" s="80"/>
      <c r="H555" s="80"/>
      <c r="I555" s="48"/>
      <c r="J555" s="48"/>
      <c r="K555" s="48"/>
      <c r="L555" s="48"/>
      <c r="M555" s="48"/>
      <c r="N555" s="48"/>
      <c r="O555" s="48"/>
      <c r="P555" s="48"/>
      <c r="Q555" s="48"/>
      <c r="R555" s="48"/>
      <c r="S555" s="48"/>
      <c r="T555" s="48"/>
      <c r="U555" s="48"/>
      <c r="V555" s="48"/>
      <c r="W555" s="48"/>
      <c r="X555" s="48"/>
      <c r="Y555" s="48"/>
      <c r="Z555" s="48"/>
    </row>
    <row r="556" ht="23.25" customHeight="1">
      <c r="A556" s="48"/>
      <c r="B556" s="48"/>
      <c r="C556" s="48"/>
      <c r="D556" s="48"/>
      <c r="E556" s="48"/>
      <c r="F556" s="48"/>
      <c r="G556" s="80"/>
      <c r="H556" s="80"/>
      <c r="I556" s="48"/>
      <c r="J556" s="48"/>
      <c r="K556" s="48"/>
      <c r="L556" s="48"/>
      <c r="M556" s="48"/>
      <c r="N556" s="48"/>
      <c r="O556" s="48"/>
      <c r="P556" s="48"/>
      <c r="Q556" s="48"/>
      <c r="R556" s="48"/>
      <c r="S556" s="48"/>
      <c r="T556" s="48"/>
      <c r="U556" s="48"/>
      <c r="V556" s="48"/>
      <c r="W556" s="48"/>
      <c r="X556" s="48"/>
      <c r="Y556" s="48"/>
      <c r="Z556" s="48"/>
    </row>
    <row r="557" ht="23.25" customHeight="1">
      <c r="A557" s="48"/>
      <c r="B557" s="48"/>
      <c r="C557" s="48"/>
      <c r="D557" s="48"/>
      <c r="E557" s="48"/>
      <c r="F557" s="48"/>
      <c r="G557" s="80"/>
      <c r="H557" s="80"/>
      <c r="I557" s="48"/>
      <c r="J557" s="48"/>
      <c r="K557" s="48"/>
      <c r="L557" s="48"/>
      <c r="M557" s="48"/>
      <c r="N557" s="48"/>
      <c r="O557" s="48"/>
      <c r="P557" s="48"/>
      <c r="Q557" s="48"/>
      <c r="R557" s="48"/>
      <c r="S557" s="48"/>
      <c r="T557" s="48"/>
      <c r="U557" s="48"/>
      <c r="V557" s="48"/>
      <c r="W557" s="48"/>
      <c r="X557" s="48"/>
      <c r="Y557" s="48"/>
      <c r="Z557" s="48"/>
    </row>
    <row r="558" ht="23.25" customHeight="1">
      <c r="A558" s="48"/>
      <c r="B558" s="48"/>
      <c r="C558" s="48"/>
      <c r="D558" s="48"/>
      <c r="E558" s="48"/>
      <c r="F558" s="48"/>
      <c r="G558" s="80"/>
      <c r="H558" s="80"/>
      <c r="I558" s="48"/>
      <c r="J558" s="48"/>
      <c r="K558" s="48"/>
      <c r="L558" s="48"/>
      <c r="M558" s="48"/>
      <c r="N558" s="48"/>
      <c r="O558" s="48"/>
      <c r="P558" s="48"/>
      <c r="Q558" s="48"/>
      <c r="R558" s="48"/>
      <c r="S558" s="48"/>
      <c r="T558" s="48"/>
      <c r="U558" s="48"/>
      <c r="V558" s="48"/>
      <c r="W558" s="48"/>
      <c r="X558" s="48"/>
      <c r="Y558" s="48"/>
      <c r="Z558" s="48"/>
    </row>
    <row r="559" ht="23.25" customHeight="1">
      <c r="A559" s="48"/>
      <c r="B559" s="48"/>
      <c r="C559" s="48"/>
      <c r="D559" s="48"/>
      <c r="E559" s="48"/>
      <c r="F559" s="48"/>
      <c r="G559" s="80"/>
      <c r="H559" s="80"/>
      <c r="I559" s="48"/>
      <c r="J559" s="48"/>
      <c r="K559" s="48"/>
      <c r="L559" s="48"/>
      <c r="M559" s="48"/>
      <c r="N559" s="48"/>
      <c r="O559" s="48"/>
      <c r="P559" s="48"/>
      <c r="Q559" s="48"/>
      <c r="R559" s="48"/>
      <c r="S559" s="48"/>
      <c r="T559" s="48"/>
      <c r="U559" s="48"/>
      <c r="V559" s="48"/>
      <c r="W559" s="48"/>
      <c r="X559" s="48"/>
      <c r="Y559" s="48"/>
      <c r="Z559" s="48"/>
    </row>
    <row r="560" ht="23.25" customHeight="1">
      <c r="A560" s="48"/>
      <c r="B560" s="48"/>
      <c r="C560" s="48"/>
      <c r="D560" s="48"/>
      <c r="E560" s="48"/>
      <c r="F560" s="48"/>
      <c r="G560" s="80"/>
      <c r="H560" s="80"/>
      <c r="I560" s="48"/>
      <c r="J560" s="48"/>
      <c r="K560" s="48"/>
      <c r="L560" s="48"/>
      <c r="M560" s="48"/>
      <c r="N560" s="48"/>
      <c r="O560" s="48"/>
      <c r="P560" s="48"/>
      <c r="Q560" s="48"/>
      <c r="R560" s="48"/>
      <c r="S560" s="48"/>
      <c r="T560" s="48"/>
      <c r="U560" s="48"/>
      <c r="V560" s="48"/>
      <c r="W560" s="48"/>
      <c r="X560" s="48"/>
      <c r="Y560" s="48"/>
      <c r="Z560" s="48"/>
    </row>
    <row r="561" ht="23.25" customHeight="1">
      <c r="A561" s="48"/>
      <c r="B561" s="48"/>
      <c r="C561" s="48"/>
      <c r="D561" s="48"/>
      <c r="E561" s="48"/>
      <c r="F561" s="48"/>
      <c r="G561" s="80"/>
      <c r="H561" s="80"/>
      <c r="I561" s="48"/>
      <c r="J561" s="48"/>
      <c r="K561" s="48"/>
      <c r="L561" s="48"/>
      <c r="M561" s="48"/>
      <c r="N561" s="48"/>
      <c r="O561" s="48"/>
      <c r="P561" s="48"/>
      <c r="Q561" s="48"/>
      <c r="R561" s="48"/>
      <c r="S561" s="48"/>
      <c r="T561" s="48"/>
      <c r="U561" s="48"/>
      <c r="V561" s="48"/>
      <c r="W561" s="48"/>
      <c r="X561" s="48"/>
      <c r="Y561" s="48"/>
      <c r="Z561" s="48"/>
    </row>
    <row r="562" ht="23.25" customHeight="1">
      <c r="A562" s="48"/>
      <c r="B562" s="48"/>
      <c r="C562" s="48"/>
      <c r="D562" s="48"/>
      <c r="E562" s="48"/>
      <c r="F562" s="48"/>
      <c r="G562" s="80"/>
      <c r="H562" s="80"/>
      <c r="I562" s="48"/>
      <c r="J562" s="48"/>
      <c r="K562" s="48"/>
      <c r="L562" s="48"/>
      <c r="M562" s="48"/>
      <c r="N562" s="48"/>
      <c r="O562" s="48"/>
      <c r="P562" s="48"/>
      <c r="Q562" s="48"/>
      <c r="R562" s="48"/>
      <c r="S562" s="48"/>
      <c r="T562" s="48"/>
      <c r="U562" s="48"/>
      <c r="V562" s="48"/>
      <c r="W562" s="48"/>
      <c r="X562" s="48"/>
      <c r="Y562" s="48"/>
      <c r="Z562" s="48"/>
    </row>
    <row r="563" ht="23.25" customHeight="1">
      <c r="A563" s="48"/>
      <c r="B563" s="48"/>
      <c r="C563" s="48"/>
      <c r="D563" s="48"/>
      <c r="E563" s="48"/>
      <c r="F563" s="48"/>
      <c r="G563" s="80"/>
      <c r="H563" s="80"/>
      <c r="I563" s="48"/>
      <c r="J563" s="48"/>
      <c r="K563" s="48"/>
      <c r="L563" s="48"/>
      <c r="M563" s="48"/>
      <c r="N563" s="48"/>
      <c r="O563" s="48"/>
      <c r="P563" s="48"/>
      <c r="Q563" s="48"/>
      <c r="R563" s="48"/>
      <c r="S563" s="48"/>
      <c r="T563" s="48"/>
      <c r="U563" s="48"/>
      <c r="V563" s="48"/>
      <c r="W563" s="48"/>
      <c r="X563" s="48"/>
      <c r="Y563" s="48"/>
      <c r="Z563" s="48"/>
    </row>
    <row r="564" ht="23.25" customHeight="1">
      <c r="A564" s="48"/>
      <c r="B564" s="48"/>
      <c r="C564" s="48"/>
      <c r="D564" s="48"/>
      <c r="E564" s="48"/>
      <c r="F564" s="48"/>
      <c r="G564" s="80"/>
      <c r="H564" s="80"/>
      <c r="I564" s="48"/>
      <c r="J564" s="48"/>
      <c r="K564" s="48"/>
      <c r="L564" s="48"/>
      <c r="M564" s="48"/>
      <c r="N564" s="48"/>
      <c r="O564" s="48"/>
      <c r="P564" s="48"/>
      <c r="Q564" s="48"/>
      <c r="R564" s="48"/>
      <c r="S564" s="48"/>
      <c r="T564" s="48"/>
      <c r="U564" s="48"/>
      <c r="V564" s="48"/>
      <c r="W564" s="48"/>
      <c r="X564" s="48"/>
      <c r="Y564" s="48"/>
      <c r="Z564" s="48"/>
    </row>
    <row r="565" ht="23.25" customHeight="1">
      <c r="A565" s="48"/>
      <c r="B565" s="48"/>
      <c r="C565" s="48"/>
      <c r="D565" s="48"/>
      <c r="E565" s="48"/>
      <c r="F565" s="48"/>
      <c r="G565" s="80"/>
      <c r="H565" s="80"/>
      <c r="I565" s="48"/>
      <c r="J565" s="48"/>
      <c r="K565" s="48"/>
      <c r="L565" s="48"/>
      <c r="M565" s="48"/>
      <c r="N565" s="48"/>
      <c r="O565" s="48"/>
      <c r="P565" s="48"/>
      <c r="Q565" s="48"/>
      <c r="R565" s="48"/>
      <c r="S565" s="48"/>
      <c r="T565" s="48"/>
      <c r="U565" s="48"/>
      <c r="V565" s="48"/>
      <c r="W565" s="48"/>
      <c r="X565" s="48"/>
      <c r="Y565" s="48"/>
      <c r="Z565" s="48"/>
    </row>
    <row r="566" ht="23.25" customHeight="1">
      <c r="A566" s="48"/>
      <c r="B566" s="48"/>
      <c r="C566" s="48"/>
      <c r="D566" s="48"/>
      <c r="E566" s="48"/>
      <c r="F566" s="48"/>
      <c r="G566" s="80"/>
      <c r="H566" s="80"/>
      <c r="I566" s="48"/>
      <c r="J566" s="48"/>
      <c r="K566" s="48"/>
      <c r="L566" s="48"/>
      <c r="M566" s="48"/>
      <c r="N566" s="48"/>
      <c r="O566" s="48"/>
      <c r="P566" s="48"/>
      <c r="Q566" s="48"/>
      <c r="R566" s="48"/>
      <c r="S566" s="48"/>
      <c r="T566" s="48"/>
      <c r="U566" s="48"/>
      <c r="V566" s="48"/>
      <c r="W566" s="48"/>
      <c r="X566" s="48"/>
      <c r="Y566" s="48"/>
      <c r="Z566" s="48"/>
    </row>
    <row r="567" ht="23.25" customHeight="1">
      <c r="A567" s="48"/>
      <c r="B567" s="48"/>
      <c r="C567" s="48"/>
      <c r="D567" s="48"/>
      <c r="E567" s="48"/>
      <c r="F567" s="48"/>
      <c r="G567" s="80"/>
      <c r="H567" s="80"/>
      <c r="I567" s="48"/>
      <c r="J567" s="48"/>
      <c r="K567" s="48"/>
      <c r="L567" s="48"/>
      <c r="M567" s="48"/>
      <c r="N567" s="48"/>
      <c r="O567" s="48"/>
      <c r="P567" s="48"/>
      <c r="Q567" s="48"/>
      <c r="R567" s="48"/>
      <c r="S567" s="48"/>
      <c r="T567" s="48"/>
      <c r="U567" s="48"/>
      <c r="V567" s="48"/>
      <c r="W567" s="48"/>
      <c r="X567" s="48"/>
      <c r="Y567" s="48"/>
      <c r="Z567" s="48"/>
    </row>
    <row r="568" ht="23.25" customHeight="1">
      <c r="A568" s="48"/>
      <c r="B568" s="48"/>
      <c r="C568" s="48"/>
      <c r="D568" s="48"/>
      <c r="E568" s="48"/>
      <c r="F568" s="48"/>
      <c r="G568" s="80"/>
      <c r="H568" s="80"/>
      <c r="I568" s="48"/>
      <c r="J568" s="48"/>
      <c r="K568" s="48"/>
      <c r="L568" s="48"/>
      <c r="M568" s="48"/>
      <c r="N568" s="48"/>
      <c r="O568" s="48"/>
      <c r="P568" s="48"/>
      <c r="Q568" s="48"/>
      <c r="R568" s="48"/>
      <c r="S568" s="48"/>
      <c r="T568" s="48"/>
      <c r="U568" s="48"/>
      <c r="V568" s="48"/>
      <c r="W568" s="48"/>
      <c r="X568" s="48"/>
      <c r="Y568" s="48"/>
      <c r="Z568" s="48"/>
    </row>
    <row r="569" ht="23.25" customHeight="1">
      <c r="A569" s="48"/>
      <c r="B569" s="48"/>
      <c r="C569" s="48"/>
      <c r="D569" s="48"/>
      <c r="E569" s="48"/>
      <c r="F569" s="48"/>
      <c r="G569" s="80"/>
      <c r="H569" s="80"/>
      <c r="I569" s="48"/>
      <c r="J569" s="48"/>
      <c r="K569" s="48"/>
      <c r="L569" s="48"/>
      <c r="M569" s="48"/>
      <c r="N569" s="48"/>
      <c r="O569" s="48"/>
      <c r="P569" s="48"/>
      <c r="Q569" s="48"/>
      <c r="R569" s="48"/>
      <c r="S569" s="48"/>
      <c r="T569" s="48"/>
      <c r="U569" s="48"/>
      <c r="V569" s="48"/>
      <c r="W569" s="48"/>
      <c r="X569" s="48"/>
      <c r="Y569" s="48"/>
      <c r="Z569" s="48"/>
    </row>
    <row r="570" ht="23.25" customHeight="1">
      <c r="A570" s="48"/>
      <c r="B570" s="48"/>
      <c r="C570" s="48"/>
      <c r="D570" s="48"/>
      <c r="E570" s="48"/>
      <c r="F570" s="48"/>
      <c r="G570" s="80"/>
      <c r="H570" s="80"/>
      <c r="I570" s="48"/>
      <c r="J570" s="48"/>
      <c r="K570" s="48"/>
      <c r="L570" s="48"/>
      <c r="M570" s="48"/>
      <c r="N570" s="48"/>
      <c r="O570" s="48"/>
      <c r="P570" s="48"/>
      <c r="Q570" s="48"/>
      <c r="R570" s="48"/>
      <c r="S570" s="48"/>
      <c r="T570" s="48"/>
      <c r="U570" s="48"/>
      <c r="V570" s="48"/>
      <c r="W570" s="48"/>
      <c r="X570" s="48"/>
      <c r="Y570" s="48"/>
      <c r="Z570" s="48"/>
    </row>
    <row r="571" ht="23.25" customHeight="1">
      <c r="A571" s="48"/>
      <c r="B571" s="48"/>
      <c r="C571" s="48"/>
      <c r="D571" s="48"/>
      <c r="E571" s="48"/>
      <c r="F571" s="48"/>
      <c r="G571" s="80"/>
      <c r="H571" s="80"/>
      <c r="I571" s="48"/>
      <c r="J571" s="48"/>
      <c r="K571" s="48"/>
      <c r="L571" s="48"/>
      <c r="M571" s="48"/>
      <c r="N571" s="48"/>
      <c r="O571" s="48"/>
      <c r="P571" s="48"/>
      <c r="Q571" s="48"/>
      <c r="R571" s="48"/>
      <c r="S571" s="48"/>
      <c r="T571" s="48"/>
      <c r="U571" s="48"/>
      <c r="V571" s="48"/>
      <c r="W571" s="48"/>
      <c r="X571" s="48"/>
      <c r="Y571" s="48"/>
      <c r="Z571" s="48"/>
    </row>
    <row r="572" ht="23.25" customHeight="1">
      <c r="A572" s="48"/>
      <c r="B572" s="48"/>
      <c r="C572" s="48"/>
      <c r="D572" s="48"/>
      <c r="E572" s="48"/>
      <c r="F572" s="48"/>
      <c r="G572" s="80"/>
      <c r="H572" s="80"/>
      <c r="I572" s="48"/>
      <c r="J572" s="48"/>
      <c r="K572" s="48"/>
      <c r="L572" s="48"/>
      <c r="M572" s="48"/>
      <c r="N572" s="48"/>
      <c r="O572" s="48"/>
      <c r="P572" s="48"/>
      <c r="Q572" s="48"/>
      <c r="R572" s="48"/>
      <c r="S572" s="48"/>
      <c r="T572" s="48"/>
      <c r="U572" s="48"/>
      <c r="V572" s="48"/>
      <c r="W572" s="48"/>
      <c r="X572" s="48"/>
      <c r="Y572" s="48"/>
      <c r="Z572" s="48"/>
    </row>
    <row r="573" ht="23.25" customHeight="1">
      <c r="A573" s="48"/>
      <c r="B573" s="48"/>
      <c r="C573" s="48"/>
      <c r="D573" s="48"/>
      <c r="E573" s="48"/>
      <c r="F573" s="48"/>
      <c r="G573" s="80"/>
      <c r="H573" s="80"/>
      <c r="I573" s="48"/>
      <c r="J573" s="48"/>
      <c r="K573" s="48"/>
      <c r="L573" s="48"/>
      <c r="M573" s="48"/>
      <c r="N573" s="48"/>
      <c r="O573" s="48"/>
      <c r="P573" s="48"/>
      <c r="Q573" s="48"/>
      <c r="R573" s="48"/>
      <c r="S573" s="48"/>
      <c r="T573" s="48"/>
      <c r="U573" s="48"/>
      <c r="V573" s="48"/>
      <c r="W573" s="48"/>
      <c r="X573" s="48"/>
      <c r="Y573" s="48"/>
      <c r="Z573" s="48"/>
    </row>
    <row r="574" ht="23.25" customHeight="1">
      <c r="A574" s="48"/>
      <c r="B574" s="48"/>
      <c r="C574" s="48"/>
      <c r="D574" s="48"/>
      <c r="E574" s="48"/>
      <c r="F574" s="48"/>
      <c r="G574" s="80"/>
      <c r="H574" s="80"/>
      <c r="I574" s="48"/>
      <c r="J574" s="48"/>
      <c r="K574" s="48"/>
      <c r="L574" s="48"/>
      <c r="M574" s="48"/>
      <c r="N574" s="48"/>
      <c r="O574" s="48"/>
      <c r="P574" s="48"/>
      <c r="Q574" s="48"/>
      <c r="R574" s="48"/>
      <c r="S574" s="48"/>
      <c r="T574" s="48"/>
      <c r="U574" s="48"/>
      <c r="V574" s="48"/>
      <c r="W574" s="48"/>
      <c r="X574" s="48"/>
      <c r="Y574" s="48"/>
      <c r="Z574" s="48"/>
    </row>
    <row r="575" ht="23.25" customHeight="1">
      <c r="A575" s="48"/>
      <c r="B575" s="48"/>
      <c r="C575" s="48"/>
      <c r="D575" s="48"/>
      <c r="E575" s="48"/>
      <c r="F575" s="48"/>
      <c r="G575" s="80"/>
      <c r="H575" s="80"/>
      <c r="I575" s="48"/>
      <c r="J575" s="48"/>
      <c r="K575" s="48"/>
      <c r="L575" s="48"/>
      <c r="M575" s="48"/>
      <c r="N575" s="48"/>
      <c r="O575" s="48"/>
      <c r="P575" s="48"/>
      <c r="Q575" s="48"/>
      <c r="R575" s="48"/>
      <c r="S575" s="48"/>
      <c r="T575" s="48"/>
      <c r="U575" s="48"/>
      <c r="V575" s="48"/>
      <c r="W575" s="48"/>
      <c r="X575" s="48"/>
      <c r="Y575" s="48"/>
      <c r="Z575" s="48"/>
    </row>
    <row r="576" ht="23.25" customHeight="1">
      <c r="A576" s="48"/>
      <c r="B576" s="48"/>
      <c r="C576" s="48"/>
      <c r="D576" s="48"/>
      <c r="E576" s="48"/>
      <c r="F576" s="48"/>
      <c r="G576" s="80"/>
      <c r="H576" s="80"/>
      <c r="I576" s="48"/>
      <c r="J576" s="48"/>
      <c r="K576" s="48"/>
      <c r="L576" s="48"/>
      <c r="M576" s="48"/>
      <c r="N576" s="48"/>
      <c r="O576" s="48"/>
      <c r="P576" s="48"/>
      <c r="Q576" s="48"/>
      <c r="R576" s="48"/>
      <c r="S576" s="48"/>
      <c r="T576" s="48"/>
      <c r="U576" s="48"/>
      <c r="V576" s="48"/>
      <c r="W576" s="48"/>
      <c r="X576" s="48"/>
      <c r="Y576" s="48"/>
      <c r="Z576" s="48"/>
    </row>
    <row r="577" ht="23.25" customHeight="1">
      <c r="A577" s="48"/>
      <c r="B577" s="48"/>
      <c r="C577" s="48"/>
      <c r="D577" s="48"/>
      <c r="E577" s="48"/>
      <c r="F577" s="48"/>
      <c r="G577" s="80"/>
      <c r="H577" s="80"/>
      <c r="I577" s="48"/>
      <c r="J577" s="48"/>
      <c r="K577" s="48"/>
      <c r="L577" s="48"/>
      <c r="M577" s="48"/>
      <c r="N577" s="48"/>
      <c r="O577" s="48"/>
      <c r="P577" s="48"/>
      <c r="Q577" s="48"/>
      <c r="R577" s="48"/>
      <c r="S577" s="48"/>
      <c r="T577" s="48"/>
      <c r="U577" s="48"/>
      <c r="V577" s="48"/>
      <c r="W577" s="48"/>
      <c r="X577" s="48"/>
      <c r="Y577" s="48"/>
      <c r="Z577" s="48"/>
    </row>
    <row r="578" ht="23.25" customHeight="1">
      <c r="A578" s="48"/>
      <c r="B578" s="48"/>
      <c r="C578" s="48"/>
      <c r="D578" s="48"/>
      <c r="E578" s="48"/>
      <c r="F578" s="48"/>
      <c r="G578" s="80"/>
      <c r="H578" s="80"/>
      <c r="I578" s="48"/>
      <c r="J578" s="48"/>
      <c r="K578" s="48"/>
      <c r="L578" s="48"/>
      <c r="M578" s="48"/>
      <c r="N578" s="48"/>
      <c r="O578" s="48"/>
      <c r="P578" s="48"/>
      <c r="Q578" s="48"/>
      <c r="R578" s="48"/>
      <c r="S578" s="48"/>
      <c r="T578" s="48"/>
      <c r="U578" s="48"/>
      <c r="V578" s="48"/>
      <c r="W578" s="48"/>
      <c r="X578" s="48"/>
      <c r="Y578" s="48"/>
      <c r="Z578" s="48"/>
    </row>
    <row r="579" ht="23.25" customHeight="1">
      <c r="A579" s="48"/>
      <c r="B579" s="48"/>
      <c r="C579" s="48"/>
      <c r="D579" s="48"/>
      <c r="E579" s="48"/>
      <c r="F579" s="48"/>
      <c r="G579" s="80"/>
      <c r="H579" s="80"/>
      <c r="I579" s="48"/>
      <c r="J579" s="48"/>
      <c r="K579" s="48"/>
      <c r="L579" s="48"/>
      <c r="M579" s="48"/>
      <c r="N579" s="48"/>
      <c r="O579" s="48"/>
      <c r="P579" s="48"/>
      <c r="Q579" s="48"/>
      <c r="R579" s="48"/>
      <c r="S579" s="48"/>
      <c r="T579" s="48"/>
      <c r="U579" s="48"/>
      <c r="V579" s="48"/>
      <c r="W579" s="48"/>
      <c r="X579" s="48"/>
      <c r="Y579" s="48"/>
      <c r="Z579" s="48"/>
    </row>
    <row r="580" ht="23.25" customHeight="1">
      <c r="A580" s="48"/>
      <c r="B580" s="48"/>
      <c r="C580" s="48"/>
      <c r="D580" s="48"/>
      <c r="E580" s="48"/>
      <c r="F580" s="48"/>
      <c r="G580" s="80"/>
      <c r="H580" s="80"/>
      <c r="I580" s="48"/>
      <c r="J580" s="48"/>
      <c r="K580" s="48"/>
      <c r="L580" s="48"/>
      <c r="M580" s="48"/>
      <c r="N580" s="48"/>
      <c r="O580" s="48"/>
      <c r="P580" s="48"/>
      <c r="Q580" s="48"/>
      <c r="R580" s="48"/>
      <c r="S580" s="48"/>
      <c r="T580" s="48"/>
      <c r="U580" s="48"/>
      <c r="V580" s="48"/>
      <c r="W580" s="48"/>
      <c r="X580" s="48"/>
      <c r="Y580" s="48"/>
      <c r="Z580" s="48"/>
    </row>
    <row r="581" ht="23.25" customHeight="1">
      <c r="A581" s="48"/>
      <c r="B581" s="48"/>
      <c r="C581" s="48"/>
      <c r="D581" s="48"/>
      <c r="E581" s="48"/>
      <c r="F581" s="48"/>
      <c r="G581" s="80"/>
      <c r="H581" s="80"/>
      <c r="I581" s="48"/>
      <c r="J581" s="48"/>
      <c r="K581" s="48"/>
      <c r="L581" s="48"/>
      <c r="M581" s="48"/>
      <c r="N581" s="48"/>
      <c r="O581" s="48"/>
      <c r="P581" s="48"/>
      <c r="Q581" s="48"/>
      <c r="R581" s="48"/>
      <c r="S581" s="48"/>
      <c r="T581" s="48"/>
      <c r="U581" s="48"/>
      <c r="V581" s="48"/>
      <c r="W581" s="48"/>
      <c r="X581" s="48"/>
      <c r="Y581" s="48"/>
      <c r="Z581" s="48"/>
    </row>
    <row r="582" ht="23.25" customHeight="1">
      <c r="A582" s="48"/>
      <c r="B582" s="48"/>
      <c r="C582" s="48"/>
      <c r="D582" s="48"/>
      <c r="E582" s="48"/>
      <c r="F582" s="48"/>
      <c r="G582" s="80"/>
      <c r="H582" s="80"/>
      <c r="I582" s="48"/>
      <c r="J582" s="48"/>
      <c r="K582" s="48"/>
      <c r="L582" s="48"/>
      <c r="M582" s="48"/>
      <c r="N582" s="48"/>
      <c r="O582" s="48"/>
      <c r="P582" s="48"/>
      <c r="Q582" s="48"/>
      <c r="R582" s="48"/>
      <c r="S582" s="48"/>
      <c r="T582" s="48"/>
      <c r="U582" s="48"/>
      <c r="V582" s="48"/>
      <c r="W582" s="48"/>
      <c r="X582" s="48"/>
      <c r="Y582" s="48"/>
      <c r="Z582" s="48"/>
    </row>
    <row r="583" ht="23.25" customHeight="1">
      <c r="A583" s="48"/>
      <c r="B583" s="48"/>
      <c r="C583" s="48"/>
      <c r="D583" s="48"/>
      <c r="E583" s="48"/>
      <c r="F583" s="48"/>
      <c r="G583" s="80"/>
      <c r="H583" s="80"/>
      <c r="I583" s="48"/>
      <c r="J583" s="48"/>
      <c r="K583" s="48"/>
      <c r="L583" s="48"/>
      <c r="M583" s="48"/>
      <c r="N583" s="48"/>
      <c r="O583" s="48"/>
      <c r="P583" s="48"/>
      <c r="Q583" s="48"/>
      <c r="R583" s="48"/>
      <c r="S583" s="48"/>
      <c r="T583" s="48"/>
      <c r="U583" s="48"/>
      <c r="V583" s="48"/>
      <c r="W583" s="48"/>
      <c r="X583" s="48"/>
      <c r="Y583" s="48"/>
      <c r="Z583" s="48"/>
    </row>
    <row r="584" ht="23.25" customHeight="1">
      <c r="A584" s="48"/>
      <c r="B584" s="48"/>
      <c r="C584" s="48"/>
      <c r="D584" s="48"/>
      <c r="E584" s="48"/>
      <c r="F584" s="48"/>
      <c r="G584" s="80"/>
      <c r="H584" s="80"/>
      <c r="I584" s="48"/>
      <c r="J584" s="48"/>
      <c r="K584" s="48"/>
      <c r="L584" s="48"/>
      <c r="M584" s="48"/>
      <c r="N584" s="48"/>
      <c r="O584" s="48"/>
      <c r="P584" s="48"/>
      <c r="Q584" s="48"/>
      <c r="R584" s="48"/>
      <c r="S584" s="48"/>
      <c r="T584" s="48"/>
      <c r="U584" s="48"/>
      <c r="V584" s="48"/>
      <c r="W584" s="48"/>
      <c r="X584" s="48"/>
      <c r="Y584" s="48"/>
      <c r="Z584" s="48"/>
    </row>
    <row r="585" ht="23.25" customHeight="1">
      <c r="A585" s="48"/>
      <c r="B585" s="48"/>
      <c r="C585" s="48"/>
      <c r="D585" s="48"/>
      <c r="E585" s="48"/>
      <c r="F585" s="48"/>
      <c r="G585" s="80"/>
      <c r="H585" s="80"/>
      <c r="I585" s="48"/>
      <c r="J585" s="48"/>
      <c r="K585" s="48"/>
      <c r="L585" s="48"/>
      <c r="M585" s="48"/>
      <c r="N585" s="48"/>
      <c r="O585" s="48"/>
      <c r="P585" s="48"/>
      <c r="Q585" s="48"/>
      <c r="R585" s="48"/>
      <c r="S585" s="48"/>
      <c r="T585" s="48"/>
      <c r="U585" s="48"/>
      <c r="V585" s="48"/>
      <c r="W585" s="48"/>
      <c r="X585" s="48"/>
      <c r="Y585" s="48"/>
      <c r="Z585" s="48"/>
    </row>
    <row r="586" ht="23.25" customHeight="1">
      <c r="A586" s="48"/>
      <c r="B586" s="48"/>
      <c r="C586" s="48"/>
      <c r="D586" s="48"/>
      <c r="E586" s="48"/>
      <c r="F586" s="48"/>
      <c r="G586" s="80"/>
      <c r="H586" s="80"/>
      <c r="I586" s="48"/>
      <c r="J586" s="48"/>
      <c r="K586" s="48"/>
      <c r="L586" s="48"/>
      <c r="M586" s="48"/>
      <c r="N586" s="48"/>
      <c r="O586" s="48"/>
      <c r="P586" s="48"/>
      <c r="Q586" s="48"/>
      <c r="R586" s="48"/>
      <c r="S586" s="48"/>
      <c r="T586" s="48"/>
      <c r="U586" s="48"/>
      <c r="V586" s="48"/>
      <c r="W586" s="48"/>
      <c r="X586" s="48"/>
      <c r="Y586" s="48"/>
      <c r="Z586" s="48"/>
    </row>
    <row r="587" ht="23.25" customHeight="1">
      <c r="A587" s="48"/>
      <c r="B587" s="48"/>
      <c r="C587" s="48"/>
      <c r="D587" s="48"/>
      <c r="E587" s="48"/>
      <c r="F587" s="48"/>
      <c r="G587" s="80"/>
      <c r="H587" s="80"/>
      <c r="I587" s="48"/>
      <c r="J587" s="48"/>
      <c r="K587" s="48"/>
      <c r="L587" s="48"/>
      <c r="M587" s="48"/>
      <c r="N587" s="48"/>
      <c r="O587" s="48"/>
      <c r="P587" s="48"/>
      <c r="Q587" s="48"/>
      <c r="R587" s="48"/>
      <c r="S587" s="48"/>
      <c r="T587" s="48"/>
      <c r="U587" s="48"/>
      <c r="V587" s="48"/>
      <c r="W587" s="48"/>
      <c r="X587" s="48"/>
      <c r="Y587" s="48"/>
      <c r="Z587" s="48"/>
    </row>
    <row r="588" ht="23.25" customHeight="1">
      <c r="A588" s="48"/>
      <c r="B588" s="48"/>
      <c r="C588" s="48"/>
      <c r="D588" s="48"/>
      <c r="E588" s="48"/>
      <c r="F588" s="48"/>
      <c r="G588" s="80"/>
      <c r="H588" s="80"/>
      <c r="I588" s="48"/>
      <c r="J588" s="48"/>
      <c r="K588" s="48"/>
      <c r="L588" s="48"/>
      <c r="M588" s="48"/>
      <c r="N588" s="48"/>
      <c r="O588" s="48"/>
      <c r="P588" s="48"/>
      <c r="Q588" s="48"/>
      <c r="R588" s="48"/>
      <c r="S588" s="48"/>
      <c r="T588" s="48"/>
      <c r="U588" s="48"/>
      <c r="V588" s="48"/>
      <c r="W588" s="48"/>
      <c r="X588" s="48"/>
      <c r="Y588" s="48"/>
      <c r="Z588" s="48"/>
    </row>
    <row r="589" ht="23.25" customHeight="1">
      <c r="A589" s="48"/>
      <c r="B589" s="48"/>
      <c r="C589" s="48"/>
      <c r="D589" s="48"/>
      <c r="E589" s="48"/>
      <c r="F589" s="48"/>
      <c r="G589" s="80"/>
      <c r="H589" s="80"/>
      <c r="I589" s="48"/>
      <c r="J589" s="48"/>
      <c r="K589" s="48"/>
      <c r="L589" s="48"/>
      <c r="M589" s="48"/>
      <c r="N589" s="48"/>
      <c r="O589" s="48"/>
      <c r="P589" s="48"/>
      <c r="Q589" s="48"/>
      <c r="R589" s="48"/>
      <c r="S589" s="48"/>
      <c r="T589" s="48"/>
      <c r="U589" s="48"/>
      <c r="V589" s="48"/>
      <c r="W589" s="48"/>
      <c r="X589" s="48"/>
      <c r="Y589" s="48"/>
      <c r="Z589" s="48"/>
    </row>
    <row r="590" ht="23.25" customHeight="1">
      <c r="A590" s="48"/>
      <c r="B590" s="48"/>
      <c r="C590" s="48"/>
      <c r="D590" s="48"/>
      <c r="E590" s="48"/>
      <c r="F590" s="48"/>
      <c r="G590" s="80"/>
      <c r="H590" s="80"/>
      <c r="I590" s="48"/>
      <c r="J590" s="48"/>
      <c r="K590" s="48"/>
      <c r="L590" s="48"/>
      <c r="M590" s="48"/>
      <c r="N590" s="48"/>
      <c r="O590" s="48"/>
      <c r="P590" s="48"/>
      <c r="Q590" s="48"/>
      <c r="R590" s="48"/>
      <c r="S590" s="48"/>
      <c r="T590" s="48"/>
      <c r="U590" s="48"/>
      <c r="V590" s="48"/>
      <c r="W590" s="48"/>
      <c r="X590" s="48"/>
      <c r="Y590" s="48"/>
      <c r="Z590" s="48"/>
    </row>
    <row r="591" ht="23.25" customHeight="1">
      <c r="A591" s="48"/>
      <c r="B591" s="48"/>
      <c r="C591" s="48"/>
      <c r="D591" s="48"/>
      <c r="E591" s="48"/>
      <c r="F591" s="48"/>
      <c r="G591" s="80"/>
      <c r="H591" s="80"/>
      <c r="I591" s="48"/>
      <c r="J591" s="48"/>
      <c r="K591" s="48"/>
      <c r="L591" s="48"/>
      <c r="M591" s="48"/>
      <c r="N591" s="48"/>
      <c r="O591" s="48"/>
      <c r="P591" s="48"/>
      <c r="Q591" s="48"/>
      <c r="R591" s="48"/>
      <c r="S591" s="48"/>
      <c r="T591" s="48"/>
      <c r="U591" s="48"/>
      <c r="V591" s="48"/>
      <c r="W591" s="48"/>
      <c r="X591" s="48"/>
      <c r="Y591" s="48"/>
      <c r="Z591" s="48"/>
    </row>
    <row r="592" ht="23.25" customHeight="1">
      <c r="A592" s="48"/>
      <c r="B592" s="48"/>
      <c r="C592" s="48"/>
      <c r="D592" s="48"/>
      <c r="E592" s="48"/>
      <c r="F592" s="48"/>
      <c r="G592" s="80"/>
      <c r="H592" s="80"/>
      <c r="I592" s="48"/>
      <c r="J592" s="48"/>
      <c r="K592" s="48"/>
      <c r="L592" s="48"/>
      <c r="M592" s="48"/>
      <c r="N592" s="48"/>
      <c r="O592" s="48"/>
      <c r="P592" s="48"/>
      <c r="Q592" s="48"/>
      <c r="R592" s="48"/>
      <c r="S592" s="48"/>
      <c r="T592" s="48"/>
      <c r="U592" s="48"/>
      <c r="V592" s="48"/>
      <c r="W592" s="48"/>
      <c r="X592" s="48"/>
      <c r="Y592" s="48"/>
      <c r="Z592" s="48"/>
    </row>
    <row r="593" ht="23.25" customHeight="1">
      <c r="A593" s="48"/>
      <c r="B593" s="48"/>
      <c r="C593" s="48"/>
      <c r="D593" s="48"/>
      <c r="E593" s="48"/>
      <c r="F593" s="48"/>
      <c r="G593" s="80"/>
      <c r="H593" s="80"/>
      <c r="I593" s="48"/>
      <c r="J593" s="48"/>
      <c r="K593" s="48"/>
      <c r="L593" s="48"/>
      <c r="M593" s="48"/>
      <c r="N593" s="48"/>
      <c r="O593" s="48"/>
      <c r="P593" s="48"/>
      <c r="Q593" s="48"/>
      <c r="R593" s="48"/>
      <c r="S593" s="48"/>
      <c r="T593" s="48"/>
      <c r="U593" s="48"/>
      <c r="V593" s="48"/>
      <c r="W593" s="48"/>
      <c r="X593" s="48"/>
      <c r="Y593" s="48"/>
      <c r="Z593" s="48"/>
    </row>
    <row r="594" ht="23.25" customHeight="1">
      <c r="A594" s="48"/>
      <c r="B594" s="48"/>
      <c r="C594" s="48"/>
      <c r="D594" s="48"/>
      <c r="E594" s="48"/>
      <c r="F594" s="48"/>
      <c r="G594" s="80"/>
      <c r="H594" s="80"/>
      <c r="I594" s="48"/>
      <c r="J594" s="48"/>
      <c r="K594" s="48"/>
      <c r="L594" s="48"/>
      <c r="M594" s="48"/>
      <c r="N594" s="48"/>
      <c r="O594" s="48"/>
      <c r="P594" s="48"/>
      <c r="Q594" s="48"/>
      <c r="R594" s="48"/>
      <c r="S594" s="48"/>
      <c r="T594" s="48"/>
      <c r="U594" s="48"/>
      <c r="V594" s="48"/>
      <c r="W594" s="48"/>
      <c r="X594" s="48"/>
      <c r="Y594" s="48"/>
      <c r="Z594" s="48"/>
    </row>
    <row r="595" ht="23.25" customHeight="1">
      <c r="A595" s="48"/>
      <c r="B595" s="48"/>
      <c r="C595" s="48"/>
      <c r="D595" s="48"/>
      <c r="E595" s="48"/>
      <c r="F595" s="48"/>
      <c r="G595" s="80"/>
      <c r="H595" s="80"/>
      <c r="I595" s="48"/>
      <c r="J595" s="48"/>
      <c r="K595" s="48"/>
      <c r="L595" s="48"/>
      <c r="M595" s="48"/>
      <c r="N595" s="48"/>
      <c r="O595" s="48"/>
      <c r="P595" s="48"/>
      <c r="Q595" s="48"/>
      <c r="R595" s="48"/>
      <c r="S595" s="48"/>
      <c r="T595" s="48"/>
      <c r="U595" s="48"/>
      <c r="V595" s="48"/>
      <c r="W595" s="48"/>
      <c r="X595" s="48"/>
      <c r="Y595" s="48"/>
      <c r="Z595" s="48"/>
    </row>
    <row r="596" ht="23.25" customHeight="1">
      <c r="A596" s="48"/>
      <c r="B596" s="48"/>
      <c r="C596" s="48"/>
      <c r="D596" s="48"/>
      <c r="E596" s="48"/>
      <c r="F596" s="48"/>
      <c r="G596" s="80"/>
      <c r="H596" s="80"/>
      <c r="I596" s="48"/>
      <c r="J596" s="48"/>
      <c r="K596" s="48"/>
      <c r="L596" s="48"/>
      <c r="M596" s="48"/>
      <c r="N596" s="48"/>
      <c r="O596" s="48"/>
      <c r="P596" s="48"/>
      <c r="Q596" s="48"/>
      <c r="R596" s="48"/>
      <c r="S596" s="48"/>
      <c r="T596" s="48"/>
      <c r="U596" s="48"/>
      <c r="V596" s="48"/>
      <c r="W596" s="48"/>
      <c r="X596" s="48"/>
      <c r="Y596" s="48"/>
      <c r="Z596" s="48"/>
    </row>
    <row r="597" ht="23.25" customHeight="1">
      <c r="A597" s="48"/>
      <c r="B597" s="48"/>
      <c r="C597" s="48"/>
      <c r="D597" s="48"/>
      <c r="E597" s="48"/>
      <c r="F597" s="48"/>
      <c r="G597" s="80"/>
      <c r="H597" s="80"/>
      <c r="I597" s="48"/>
      <c r="J597" s="48"/>
      <c r="K597" s="48"/>
      <c r="L597" s="48"/>
      <c r="M597" s="48"/>
      <c r="N597" s="48"/>
      <c r="O597" s="48"/>
      <c r="P597" s="48"/>
      <c r="Q597" s="48"/>
      <c r="R597" s="48"/>
      <c r="S597" s="48"/>
      <c r="T597" s="48"/>
      <c r="U597" s="48"/>
      <c r="V597" s="48"/>
      <c r="W597" s="48"/>
      <c r="X597" s="48"/>
      <c r="Y597" s="48"/>
      <c r="Z597" s="48"/>
    </row>
    <row r="598" ht="23.25" customHeight="1">
      <c r="A598" s="48"/>
      <c r="B598" s="48"/>
      <c r="C598" s="48"/>
      <c r="D598" s="48"/>
      <c r="E598" s="48"/>
      <c r="F598" s="48"/>
      <c r="G598" s="80"/>
      <c r="H598" s="80"/>
      <c r="I598" s="48"/>
      <c r="J598" s="48"/>
      <c r="K598" s="48"/>
      <c r="L598" s="48"/>
      <c r="M598" s="48"/>
      <c r="N598" s="48"/>
      <c r="O598" s="48"/>
      <c r="P598" s="48"/>
      <c r="Q598" s="48"/>
      <c r="R598" s="48"/>
      <c r="S598" s="48"/>
      <c r="T598" s="48"/>
      <c r="U598" s="48"/>
      <c r="V598" s="48"/>
      <c r="W598" s="48"/>
      <c r="X598" s="48"/>
      <c r="Y598" s="48"/>
      <c r="Z598" s="48"/>
    </row>
    <row r="599" ht="23.25" customHeight="1">
      <c r="A599" s="48"/>
      <c r="B599" s="48"/>
      <c r="C599" s="48"/>
      <c r="D599" s="48"/>
      <c r="E599" s="48"/>
      <c r="F599" s="48"/>
      <c r="G599" s="80"/>
      <c r="H599" s="80"/>
      <c r="I599" s="48"/>
      <c r="J599" s="48"/>
      <c r="K599" s="48"/>
      <c r="L599" s="48"/>
      <c r="M599" s="48"/>
      <c r="N599" s="48"/>
      <c r="O599" s="48"/>
      <c r="P599" s="48"/>
      <c r="Q599" s="48"/>
      <c r="R599" s="48"/>
      <c r="S599" s="48"/>
      <c r="T599" s="48"/>
      <c r="U599" s="48"/>
      <c r="V599" s="48"/>
      <c r="W599" s="48"/>
      <c r="X599" s="48"/>
      <c r="Y599" s="48"/>
      <c r="Z599" s="48"/>
    </row>
    <row r="600" ht="23.25" customHeight="1">
      <c r="A600" s="48"/>
      <c r="B600" s="48"/>
      <c r="C600" s="48"/>
      <c r="D600" s="48"/>
      <c r="E600" s="48"/>
      <c r="F600" s="48"/>
      <c r="G600" s="80"/>
      <c r="H600" s="80"/>
      <c r="I600" s="48"/>
      <c r="J600" s="48"/>
      <c r="K600" s="48"/>
      <c r="L600" s="48"/>
      <c r="M600" s="48"/>
      <c r="N600" s="48"/>
      <c r="O600" s="48"/>
      <c r="P600" s="48"/>
      <c r="Q600" s="48"/>
      <c r="R600" s="48"/>
      <c r="S600" s="48"/>
      <c r="T600" s="48"/>
      <c r="U600" s="48"/>
      <c r="V600" s="48"/>
      <c r="W600" s="48"/>
      <c r="X600" s="48"/>
      <c r="Y600" s="48"/>
      <c r="Z600" s="48"/>
    </row>
    <row r="601" ht="23.25" customHeight="1">
      <c r="A601" s="48"/>
      <c r="B601" s="48"/>
      <c r="C601" s="48"/>
      <c r="D601" s="48"/>
      <c r="E601" s="48"/>
      <c r="F601" s="48"/>
      <c r="G601" s="80"/>
      <c r="H601" s="80"/>
      <c r="I601" s="48"/>
      <c r="J601" s="48"/>
      <c r="K601" s="48"/>
      <c r="L601" s="48"/>
      <c r="M601" s="48"/>
      <c r="N601" s="48"/>
      <c r="O601" s="48"/>
      <c r="P601" s="48"/>
      <c r="Q601" s="48"/>
      <c r="R601" s="48"/>
      <c r="S601" s="48"/>
      <c r="T601" s="48"/>
      <c r="U601" s="48"/>
      <c r="V601" s="48"/>
      <c r="W601" s="48"/>
      <c r="X601" s="48"/>
      <c r="Y601" s="48"/>
      <c r="Z601" s="48"/>
    </row>
    <row r="602" ht="23.25" customHeight="1">
      <c r="A602" s="48"/>
      <c r="B602" s="48"/>
      <c r="C602" s="48"/>
      <c r="D602" s="48"/>
      <c r="E602" s="48"/>
      <c r="F602" s="48"/>
      <c r="G602" s="80"/>
      <c r="H602" s="80"/>
      <c r="I602" s="48"/>
      <c r="J602" s="48"/>
      <c r="K602" s="48"/>
      <c r="L602" s="48"/>
      <c r="M602" s="48"/>
      <c r="N602" s="48"/>
      <c r="O602" s="48"/>
      <c r="P602" s="48"/>
      <c r="Q602" s="48"/>
      <c r="R602" s="48"/>
      <c r="S602" s="48"/>
      <c r="T602" s="48"/>
      <c r="U602" s="48"/>
      <c r="V602" s="48"/>
      <c r="W602" s="48"/>
      <c r="X602" s="48"/>
      <c r="Y602" s="48"/>
      <c r="Z602" s="48"/>
    </row>
    <row r="603" ht="23.25" customHeight="1">
      <c r="A603" s="48"/>
      <c r="B603" s="48"/>
      <c r="C603" s="48"/>
      <c r="D603" s="48"/>
      <c r="E603" s="48"/>
      <c r="F603" s="48"/>
      <c r="G603" s="80"/>
      <c r="H603" s="80"/>
      <c r="I603" s="48"/>
      <c r="J603" s="48"/>
      <c r="K603" s="48"/>
      <c r="L603" s="48"/>
      <c r="M603" s="48"/>
      <c r="N603" s="48"/>
      <c r="O603" s="48"/>
      <c r="P603" s="48"/>
      <c r="Q603" s="48"/>
      <c r="R603" s="48"/>
      <c r="S603" s="48"/>
      <c r="T603" s="48"/>
      <c r="U603" s="48"/>
      <c r="V603" s="48"/>
      <c r="W603" s="48"/>
      <c r="X603" s="48"/>
      <c r="Y603" s="48"/>
      <c r="Z603" s="48"/>
    </row>
    <row r="604" ht="23.25" customHeight="1">
      <c r="A604" s="48"/>
      <c r="B604" s="48"/>
      <c r="C604" s="48"/>
      <c r="D604" s="48"/>
      <c r="E604" s="48"/>
      <c r="F604" s="48"/>
      <c r="G604" s="80"/>
      <c r="H604" s="80"/>
      <c r="I604" s="48"/>
      <c r="J604" s="48"/>
      <c r="K604" s="48"/>
      <c r="L604" s="48"/>
      <c r="M604" s="48"/>
      <c r="N604" s="48"/>
      <c r="O604" s="48"/>
      <c r="P604" s="48"/>
      <c r="Q604" s="48"/>
      <c r="R604" s="48"/>
      <c r="S604" s="48"/>
      <c r="T604" s="48"/>
      <c r="U604" s="48"/>
      <c r="V604" s="48"/>
      <c r="W604" s="48"/>
      <c r="X604" s="48"/>
      <c r="Y604" s="48"/>
      <c r="Z604" s="48"/>
    </row>
    <row r="605" ht="23.25" customHeight="1">
      <c r="A605" s="48"/>
      <c r="B605" s="48"/>
      <c r="C605" s="48"/>
      <c r="D605" s="48"/>
      <c r="E605" s="48"/>
      <c r="F605" s="48"/>
      <c r="G605" s="80"/>
      <c r="H605" s="80"/>
      <c r="I605" s="48"/>
      <c r="J605" s="48"/>
      <c r="K605" s="48"/>
      <c r="L605" s="48"/>
      <c r="M605" s="48"/>
      <c r="N605" s="48"/>
      <c r="O605" s="48"/>
      <c r="P605" s="48"/>
      <c r="Q605" s="48"/>
      <c r="R605" s="48"/>
      <c r="S605" s="48"/>
      <c r="T605" s="48"/>
      <c r="U605" s="48"/>
      <c r="V605" s="48"/>
      <c r="W605" s="48"/>
      <c r="X605" s="48"/>
      <c r="Y605" s="48"/>
      <c r="Z605" s="48"/>
    </row>
    <row r="606" ht="23.25" customHeight="1">
      <c r="A606" s="48"/>
      <c r="B606" s="48"/>
      <c r="C606" s="48"/>
      <c r="D606" s="48"/>
      <c r="E606" s="48"/>
      <c r="F606" s="48"/>
      <c r="G606" s="80"/>
      <c r="H606" s="80"/>
      <c r="I606" s="48"/>
      <c r="J606" s="48"/>
      <c r="K606" s="48"/>
      <c r="L606" s="48"/>
      <c r="M606" s="48"/>
      <c r="N606" s="48"/>
      <c r="O606" s="48"/>
      <c r="P606" s="48"/>
      <c r="Q606" s="48"/>
      <c r="R606" s="48"/>
      <c r="S606" s="48"/>
      <c r="T606" s="48"/>
      <c r="U606" s="48"/>
      <c r="V606" s="48"/>
      <c r="W606" s="48"/>
      <c r="X606" s="48"/>
      <c r="Y606" s="48"/>
      <c r="Z606" s="48"/>
    </row>
    <row r="607" ht="23.25" customHeight="1">
      <c r="A607" s="48"/>
      <c r="B607" s="48"/>
      <c r="C607" s="48"/>
      <c r="D607" s="48"/>
      <c r="E607" s="48"/>
      <c r="F607" s="48"/>
      <c r="G607" s="80"/>
      <c r="H607" s="80"/>
      <c r="I607" s="48"/>
      <c r="J607" s="48"/>
      <c r="K607" s="48"/>
      <c r="L607" s="48"/>
      <c r="M607" s="48"/>
      <c r="N607" s="48"/>
      <c r="O607" s="48"/>
      <c r="P607" s="48"/>
      <c r="Q607" s="48"/>
      <c r="R607" s="48"/>
      <c r="S607" s="48"/>
      <c r="T607" s="48"/>
      <c r="U607" s="48"/>
      <c r="V607" s="48"/>
      <c r="W607" s="48"/>
      <c r="X607" s="48"/>
      <c r="Y607" s="48"/>
      <c r="Z607" s="48"/>
    </row>
    <row r="608" ht="23.25" customHeight="1">
      <c r="A608" s="48"/>
      <c r="B608" s="48"/>
      <c r="C608" s="48"/>
      <c r="D608" s="48"/>
      <c r="E608" s="48"/>
      <c r="F608" s="48"/>
      <c r="G608" s="80"/>
      <c r="H608" s="80"/>
      <c r="I608" s="48"/>
      <c r="J608" s="48"/>
      <c r="K608" s="48"/>
      <c r="L608" s="48"/>
      <c r="M608" s="48"/>
      <c r="N608" s="48"/>
      <c r="O608" s="48"/>
      <c r="P608" s="48"/>
      <c r="Q608" s="48"/>
      <c r="R608" s="48"/>
      <c r="S608" s="48"/>
      <c r="T608" s="48"/>
      <c r="U608" s="48"/>
      <c r="V608" s="48"/>
      <c r="W608" s="48"/>
      <c r="X608" s="48"/>
      <c r="Y608" s="48"/>
      <c r="Z608" s="48"/>
    </row>
    <row r="609" ht="23.25" customHeight="1">
      <c r="A609" s="48"/>
      <c r="B609" s="48"/>
      <c r="C609" s="48"/>
      <c r="D609" s="48"/>
      <c r="E609" s="48"/>
      <c r="F609" s="48"/>
      <c r="G609" s="80"/>
      <c r="H609" s="80"/>
      <c r="I609" s="48"/>
      <c r="J609" s="48"/>
      <c r="K609" s="48"/>
      <c r="L609" s="48"/>
      <c r="M609" s="48"/>
      <c r="N609" s="48"/>
      <c r="O609" s="48"/>
      <c r="P609" s="48"/>
      <c r="Q609" s="48"/>
      <c r="R609" s="48"/>
      <c r="S609" s="48"/>
      <c r="T609" s="48"/>
      <c r="U609" s="48"/>
      <c r="V609" s="48"/>
      <c r="W609" s="48"/>
      <c r="X609" s="48"/>
      <c r="Y609" s="48"/>
      <c r="Z609" s="48"/>
    </row>
    <row r="610" ht="23.25" customHeight="1">
      <c r="A610" s="48"/>
      <c r="B610" s="48"/>
      <c r="C610" s="48"/>
      <c r="D610" s="48"/>
      <c r="E610" s="48"/>
      <c r="F610" s="48"/>
      <c r="G610" s="80"/>
      <c r="H610" s="80"/>
      <c r="I610" s="48"/>
      <c r="J610" s="48"/>
      <c r="K610" s="48"/>
      <c r="L610" s="48"/>
      <c r="M610" s="48"/>
      <c r="N610" s="48"/>
      <c r="O610" s="48"/>
      <c r="P610" s="48"/>
      <c r="Q610" s="48"/>
      <c r="R610" s="48"/>
      <c r="S610" s="48"/>
      <c r="T610" s="48"/>
      <c r="U610" s="48"/>
      <c r="V610" s="48"/>
      <c r="W610" s="48"/>
      <c r="X610" s="48"/>
      <c r="Y610" s="48"/>
      <c r="Z610" s="48"/>
    </row>
    <row r="611" ht="23.25" customHeight="1">
      <c r="A611" s="48"/>
      <c r="B611" s="48"/>
      <c r="C611" s="48"/>
      <c r="D611" s="48"/>
      <c r="E611" s="48"/>
      <c r="F611" s="48"/>
      <c r="G611" s="80"/>
      <c r="H611" s="80"/>
      <c r="I611" s="48"/>
      <c r="J611" s="48"/>
      <c r="K611" s="48"/>
      <c r="L611" s="48"/>
      <c r="M611" s="48"/>
      <c r="N611" s="48"/>
      <c r="O611" s="48"/>
      <c r="P611" s="48"/>
      <c r="Q611" s="48"/>
      <c r="R611" s="48"/>
      <c r="S611" s="48"/>
      <c r="T611" s="48"/>
      <c r="U611" s="48"/>
      <c r="V611" s="48"/>
      <c r="W611" s="48"/>
      <c r="X611" s="48"/>
      <c r="Y611" s="48"/>
      <c r="Z611" s="48"/>
    </row>
    <row r="612" ht="23.25" customHeight="1">
      <c r="A612" s="48"/>
      <c r="B612" s="48"/>
      <c r="C612" s="48"/>
      <c r="D612" s="48"/>
      <c r="E612" s="48"/>
      <c r="F612" s="48"/>
      <c r="G612" s="80"/>
      <c r="H612" s="80"/>
      <c r="I612" s="48"/>
      <c r="J612" s="48"/>
      <c r="K612" s="48"/>
      <c r="L612" s="48"/>
      <c r="M612" s="48"/>
      <c r="N612" s="48"/>
      <c r="O612" s="48"/>
      <c r="P612" s="48"/>
      <c r="Q612" s="48"/>
      <c r="R612" s="48"/>
      <c r="S612" s="48"/>
      <c r="T612" s="48"/>
      <c r="U612" s="48"/>
      <c r="V612" s="48"/>
      <c r="W612" s="48"/>
      <c r="X612" s="48"/>
      <c r="Y612" s="48"/>
      <c r="Z612" s="48"/>
    </row>
    <row r="613" ht="23.25" customHeight="1">
      <c r="A613" s="48"/>
      <c r="B613" s="48"/>
      <c r="C613" s="48"/>
      <c r="D613" s="48"/>
      <c r="E613" s="48"/>
      <c r="F613" s="48"/>
      <c r="G613" s="80"/>
      <c r="H613" s="80"/>
      <c r="I613" s="48"/>
      <c r="J613" s="48"/>
      <c r="K613" s="48"/>
      <c r="L613" s="48"/>
      <c r="M613" s="48"/>
      <c r="N613" s="48"/>
      <c r="O613" s="48"/>
      <c r="P613" s="48"/>
      <c r="Q613" s="48"/>
      <c r="R613" s="48"/>
      <c r="S613" s="48"/>
      <c r="T613" s="48"/>
      <c r="U613" s="48"/>
      <c r="V613" s="48"/>
      <c r="W613" s="48"/>
      <c r="X613" s="48"/>
      <c r="Y613" s="48"/>
      <c r="Z613" s="48"/>
    </row>
    <row r="614" ht="23.25" customHeight="1">
      <c r="A614" s="48"/>
      <c r="B614" s="48"/>
      <c r="C614" s="48"/>
      <c r="D614" s="48"/>
      <c r="E614" s="48"/>
      <c r="F614" s="48"/>
      <c r="G614" s="80"/>
      <c r="H614" s="80"/>
      <c r="I614" s="48"/>
      <c r="J614" s="48"/>
      <c r="K614" s="48"/>
      <c r="L614" s="48"/>
      <c r="M614" s="48"/>
      <c r="N614" s="48"/>
      <c r="O614" s="48"/>
      <c r="P614" s="48"/>
      <c r="Q614" s="48"/>
      <c r="R614" s="48"/>
      <c r="S614" s="48"/>
      <c r="T614" s="48"/>
      <c r="U614" s="48"/>
      <c r="V614" s="48"/>
      <c r="W614" s="48"/>
      <c r="X614" s="48"/>
      <c r="Y614" s="48"/>
      <c r="Z614" s="48"/>
    </row>
    <row r="615" ht="23.25" customHeight="1">
      <c r="A615" s="48"/>
      <c r="B615" s="48"/>
      <c r="C615" s="48"/>
      <c r="D615" s="48"/>
      <c r="E615" s="48"/>
      <c r="F615" s="48"/>
      <c r="G615" s="80"/>
      <c r="H615" s="80"/>
      <c r="I615" s="48"/>
      <c r="J615" s="48"/>
      <c r="K615" s="48"/>
      <c r="L615" s="48"/>
      <c r="M615" s="48"/>
      <c r="N615" s="48"/>
      <c r="O615" s="48"/>
      <c r="P615" s="48"/>
      <c r="Q615" s="48"/>
      <c r="R615" s="48"/>
      <c r="S615" s="48"/>
      <c r="T615" s="48"/>
      <c r="U615" s="48"/>
      <c r="V615" s="48"/>
      <c r="W615" s="48"/>
      <c r="X615" s="48"/>
      <c r="Y615" s="48"/>
      <c r="Z615" s="48"/>
    </row>
    <row r="616" ht="23.25" customHeight="1">
      <c r="A616" s="48"/>
      <c r="B616" s="48"/>
      <c r="C616" s="48"/>
      <c r="D616" s="48"/>
      <c r="E616" s="48"/>
      <c r="F616" s="48"/>
      <c r="G616" s="80"/>
      <c r="H616" s="80"/>
      <c r="I616" s="48"/>
      <c r="J616" s="48"/>
      <c r="K616" s="48"/>
      <c r="L616" s="48"/>
      <c r="M616" s="48"/>
      <c r="N616" s="48"/>
      <c r="O616" s="48"/>
      <c r="P616" s="48"/>
      <c r="Q616" s="48"/>
      <c r="R616" s="48"/>
      <c r="S616" s="48"/>
      <c r="T616" s="48"/>
      <c r="U616" s="48"/>
      <c r="V616" s="48"/>
      <c r="W616" s="48"/>
      <c r="X616" s="48"/>
      <c r="Y616" s="48"/>
      <c r="Z616" s="48"/>
    </row>
    <row r="617" ht="23.25" customHeight="1">
      <c r="A617" s="48"/>
      <c r="B617" s="48"/>
      <c r="C617" s="48"/>
      <c r="D617" s="48"/>
      <c r="E617" s="48"/>
      <c r="F617" s="48"/>
      <c r="G617" s="80"/>
      <c r="H617" s="80"/>
      <c r="I617" s="48"/>
      <c r="J617" s="48"/>
      <c r="K617" s="48"/>
      <c r="L617" s="48"/>
      <c r="M617" s="48"/>
      <c r="N617" s="48"/>
      <c r="O617" s="48"/>
      <c r="P617" s="48"/>
      <c r="Q617" s="48"/>
      <c r="R617" s="48"/>
      <c r="S617" s="48"/>
      <c r="T617" s="48"/>
      <c r="U617" s="48"/>
      <c r="V617" s="48"/>
      <c r="W617" s="48"/>
      <c r="X617" s="48"/>
      <c r="Y617" s="48"/>
      <c r="Z617" s="48"/>
    </row>
    <row r="618" ht="23.25" customHeight="1">
      <c r="A618" s="48"/>
      <c r="B618" s="48"/>
      <c r="C618" s="48"/>
      <c r="D618" s="48"/>
      <c r="E618" s="48"/>
      <c r="F618" s="48"/>
      <c r="G618" s="80"/>
      <c r="H618" s="80"/>
      <c r="I618" s="48"/>
      <c r="J618" s="48"/>
      <c r="K618" s="48"/>
      <c r="L618" s="48"/>
      <c r="M618" s="48"/>
      <c r="N618" s="48"/>
      <c r="O618" s="48"/>
      <c r="P618" s="48"/>
      <c r="Q618" s="48"/>
      <c r="R618" s="48"/>
      <c r="S618" s="48"/>
      <c r="T618" s="48"/>
      <c r="U618" s="48"/>
      <c r="V618" s="48"/>
      <c r="W618" s="48"/>
      <c r="X618" s="48"/>
      <c r="Y618" s="48"/>
      <c r="Z618" s="48"/>
    </row>
    <row r="619" ht="23.25" customHeight="1">
      <c r="A619" s="48"/>
      <c r="B619" s="48"/>
      <c r="C619" s="48"/>
      <c r="D619" s="48"/>
      <c r="E619" s="48"/>
      <c r="F619" s="48"/>
      <c r="G619" s="80"/>
      <c r="H619" s="80"/>
      <c r="I619" s="48"/>
      <c r="J619" s="48"/>
      <c r="K619" s="48"/>
      <c r="L619" s="48"/>
      <c r="M619" s="48"/>
      <c r="N619" s="48"/>
      <c r="O619" s="48"/>
      <c r="P619" s="48"/>
      <c r="Q619" s="48"/>
      <c r="R619" s="48"/>
      <c r="S619" s="48"/>
      <c r="T619" s="48"/>
      <c r="U619" s="48"/>
      <c r="V619" s="48"/>
      <c r="W619" s="48"/>
      <c r="X619" s="48"/>
      <c r="Y619" s="48"/>
      <c r="Z619" s="48"/>
    </row>
    <row r="620" ht="23.25" customHeight="1">
      <c r="A620" s="48"/>
      <c r="B620" s="48"/>
      <c r="C620" s="48"/>
      <c r="D620" s="48"/>
      <c r="E620" s="48"/>
      <c r="F620" s="48"/>
      <c r="G620" s="80"/>
      <c r="H620" s="80"/>
      <c r="I620" s="48"/>
      <c r="J620" s="48"/>
      <c r="K620" s="48"/>
      <c r="L620" s="48"/>
      <c r="M620" s="48"/>
      <c r="N620" s="48"/>
      <c r="O620" s="48"/>
      <c r="P620" s="48"/>
      <c r="Q620" s="48"/>
      <c r="R620" s="48"/>
      <c r="S620" s="48"/>
      <c r="T620" s="48"/>
      <c r="U620" s="48"/>
      <c r="V620" s="48"/>
      <c r="W620" s="48"/>
      <c r="X620" s="48"/>
      <c r="Y620" s="48"/>
      <c r="Z620" s="48"/>
    </row>
    <row r="621" ht="23.25" customHeight="1">
      <c r="A621" s="48"/>
      <c r="B621" s="48"/>
      <c r="C621" s="48"/>
      <c r="D621" s="48"/>
      <c r="E621" s="48"/>
      <c r="F621" s="48"/>
      <c r="G621" s="80"/>
      <c r="H621" s="80"/>
      <c r="I621" s="48"/>
      <c r="J621" s="48"/>
      <c r="K621" s="48"/>
      <c r="L621" s="48"/>
      <c r="M621" s="48"/>
      <c r="N621" s="48"/>
      <c r="O621" s="48"/>
      <c r="P621" s="48"/>
      <c r="Q621" s="48"/>
      <c r="R621" s="48"/>
      <c r="S621" s="48"/>
      <c r="T621" s="48"/>
      <c r="U621" s="48"/>
      <c r="V621" s="48"/>
      <c r="W621" s="48"/>
      <c r="X621" s="48"/>
      <c r="Y621" s="48"/>
      <c r="Z621" s="48"/>
    </row>
    <row r="622" ht="23.25" customHeight="1">
      <c r="A622" s="48"/>
      <c r="B622" s="48"/>
      <c r="C622" s="48"/>
      <c r="D622" s="48"/>
      <c r="E622" s="48"/>
      <c r="F622" s="48"/>
      <c r="G622" s="80"/>
      <c r="H622" s="80"/>
      <c r="I622" s="48"/>
      <c r="J622" s="48"/>
      <c r="K622" s="48"/>
      <c r="L622" s="48"/>
      <c r="M622" s="48"/>
      <c r="N622" s="48"/>
      <c r="O622" s="48"/>
      <c r="P622" s="48"/>
      <c r="Q622" s="48"/>
      <c r="R622" s="48"/>
      <c r="S622" s="48"/>
      <c r="T622" s="48"/>
      <c r="U622" s="48"/>
      <c r="V622" s="48"/>
      <c r="W622" s="48"/>
      <c r="X622" s="48"/>
      <c r="Y622" s="48"/>
      <c r="Z622" s="48"/>
    </row>
    <row r="623" ht="23.25" customHeight="1">
      <c r="A623" s="48"/>
      <c r="B623" s="48"/>
      <c r="C623" s="48"/>
      <c r="D623" s="48"/>
      <c r="E623" s="48"/>
      <c r="F623" s="48"/>
      <c r="G623" s="80"/>
      <c r="H623" s="80"/>
      <c r="I623" s="48"/>
      <c r="J623" s="48"/>
      <c r="K623" s="48"/>
      <c r="L623" s="48"/>
      <c r="M623" s="48"/>
      <c r="N623" s="48"/>
      <c r="O623" s="48"/>
      <c r="P623" s="48"/>
      <c r="Q623" s="48"/>
      <c r="R623" s="48"/>
      <c r="S623" s="48"/>
      <c r="T623" s="48"/>
      <c r="U623" s="48"/>
      <c r="V623" s="48"/>
      <c r="W623" s="48"/>
      <c r="X623" s="48"/>
      <c r="Y623" s="48"/>
      <c r="Z623" s="48"/>
    </row>
    <row r="624" ht="23.25" customHeight="1">
      <c r="A624" s="48"/>
      <c r="B624" s="48"/>
      <c r="C624" s="48"/>
      <c r="D624" s="48"/>
      <c r="E624" s="48"/>
      <c r="F624" s="48"/>
      <c r="G624" s="80"/>
      <c r="H624" s="80"/>
      <c r="I624" s="48"/>
      <c r="J624" s="48"/>
      <c r="K624" s="48"/>
      <c r="L624" s="48"/>
      <c r="M624" s="48"/>
      <c r="N624" s="48"/>
      <c r="O624" s="48"/>
      <c r="P624" s="48"/>
      <c r="Q624" s="48"/>
      <c r="R624" s="48"/>
      <c r="S624" s="48"/>
      <c r="T624" s="48"/>
      <c r="U624" s="48"/>
      <c r="V624" s="48"/>
      <c r="W624" s="48"/>
      <c r="X624" s="48"/>
      <c r="Y624" s="48"/>
      <c r="Z624" s="48"/>
    </row>
    <row r="625" ht="23.25" customHeight="1">
      <c r="A625" s="48"/>
      <c r="B625" s="48"/>
      <c r="C625" s="48"/>
      <c r="D625" s="48"/>
      <c r="E625" s="48"/>
      <c r="F625" s="48"/>
      <c r="G625" s="80"/>
      <c r="H625" s="80"/>
      <c r="I625" s="48"/>
      <c r="J625" s="48"/>
      <c r="K625" s="48"/>
      <c r="L625" s="48"/>
      <c r="M625" s="48"/>
      <c r="N625" s="48"/>
      <c r="O625" s="48"/>
      <c r="P625" s="48"/>
      <c r="Q625" s="48"/>
      <c r="R625" s="48"/>
      <c r="S625" s="48"/>
      <c r="T625" s="48"/>
      <c r="U625" s="48"/>
      <c r="V625" s="48"/>
      <c r="W625" s="48"/>
      <c r="X625" s="48"/>
      <c r="Y625" s="48"/>
      <c r="Z625" s="48"/>
    </row>
    <row r="626" ht="23.25" customHeight="1">
      <c r="A626" s="48"/>
      <c r="B626" s="48"/>
      <c r="C626" s="48"/>
      <c r="D626" s="48"/>
      <c r="E626" s="48"/>
      <c r="F626" s="48"/>
      <c r="G626" s="80"/>
      <c r="H626" s="80"/>
      <c r="I626" s="48"/>
      <c r="J626" s="48"/>
      <c r="K626" s="48"/>
      <c r="L626" s="48"/>
      <c r="M626" s="48"/>
      <c r="N626" s="48"/>
      <c r="O626" s="48"/>
      <c r="P626" s="48"/>
      <c r="Q626" s="48"/>
      <c r="R626" s="48"/>
      <c r="S626" s="48"/>
      <c r="T626" s="48"/>
      <c r="U626" s="48"/>
      <c r="V626" s="48"/>
      <c r="W626" s="48"/>
      <c r="X626" s="48"/>
      <c r="Y626" s="48"/>
      <c r="Z626" s="48"/>
    </row>
    <row r="627" ht="23.25" customHeight="1">
      <c r="A627" s="48"/>
      <c r="B627" s="48"/>
      <c r="C627" s="48"/>
      <c r="D627" s="48"/>
      <c r="E627" s="48"/>
      <c r="F627" s="48"/>
      <c r="G627" s="80"/>
      <c r="H627" s="80"/>
      <c r="I627" s="48"/>
      <c r="J627" s="48"/>
      <c r="K627" s="48"/>
      <c r="L627" s="48"/>
      <c r="M627" s="48"/>
      <c r="N627" s="48"/>
      <c r="O627" s="48"/>
      <c r="P627" s="48"/>
      <c r="Q627" s="48"/>
      <c r="R627" s="48"/>
      <c r="S627" s="48"/>
      <c r="T627" s="48"/>
      <c r="U627" s="48"/>
      <c r="V627" s="48"/>
      <c r="W627" s="48"/>
      <c r="X627" s="48"/>
      <c r="Y627" s="48"/>
      <c r="Z627" s="48"/>
    </row>
    <row r="628" ht="23.25" customHeight="1">
      <c r="A628" s="48"/>
      <c r="B628" s="48"/>
      <c r="C628" s="48"/>
      <c r="D628" s="48"/>
      <c r="E628" s="48"/>
      <c r="F628" s="48"/>
      <c r="G628" s="80"/>
      <c r="H628" s="80"/>
      <c r="I628" s="48"/>
      <c r="J628" s="48"/>
      <c r="K628" s="48"/>
      <c r="L628" s="48"/>
      <c r="M628" s="48"/>
      <c r="N628" s="48"/>
      <c r="O628" s="48"/>
      <c r="P628" s="48"/>
      <c r="Q628" s="48"/>
      <c r="R628" s="48"/>
      <c r="S628" s="48"/>
      <c r="T628" s="48"/>
      <c r="U628" s="48"/>
      <c r="V628" s="48"/>
      <c r="W628" s="48"/>
      <c r="X628" s="48"/>
      <c r="Y628" s="48"/>
      <c r="Z628" s="48"/>
    </row>
    <row r="629" ht="23.25" customHeight="1">
      <c r="A629" s="48"/>
      <c r="B629" s="48"/>
      <c r="C629" s="48"/>
      <c r="D629" s="48"/>
      <c r="E629" s="48"/>
      <c r="F629" s="48"/>
      <c r="G629" s="80"/>
      <c r="H629" s="80"/>
      <c r="I629" s="48"/>
      <c r="J629" s="48"/>
      <c r="K629" s="48"/>
      <c r="L629" s="48"/>
      <c r="M629" s="48"/>
      <c r="N629" s="48"/>
      <c r="O629" s="48"/>
      <c r="P629" s="48"/>
      <c r="Q629" s="48"/>
      <c r="R629" s="48"/>
      <c r="S629" s="48"/>
      <c r="T629" s="48"/>
      <c r="U629" s="48"/>
      <c r="V629" s="48"/>
      <c r="W629" s="48"/>
      <c r="X629" s="48"/>
      <c r="Y629" s="48"/>
      <c r="Z629" s="48"/>
    </row>
    <row r="630" ht="23.25" customHeight="1">
      <c r="A630" s="48"/>
      <c r="B630" s="48"/>
      <c r="C630" s="48"/>
      <c r="D630" s="48"/>
      <c r="E630" s="48"/>
      <c r="F630" s="48"/>
      <c r="G630" s="80"/>
      <c r="H630" s="80"/>
      <c r="I630" s="48"/>
      <c r="J630" s="48"/>
      <c r="K630" s="48"/>
      <c r="L630" s="48"/>
      <c r="M630" s="48"/>
      <c r="N630" s="48"/>
      <c r="O630" s="48"/>
      <c r="P630" s="48"/>
      <c r="Q630" s="48"/>
      <c r="R630" s="48"/>
      <c r="S630" s="48"/>
      <c r="T630" s="48"/>
      <c r="U630" s="48"/>
      <c r="V630" s="48"/>
      <c r="W630" s="48"/>
      <c r="X630" s="48"/>
      <c r="Y630" s="48"/>
      <c r="Z630" s="48"/>
    </row>
    <row r="631" ht="23.25" customHeight="1">
      <c r="A631" s="48"/>
      <c r="B631" s="48"/>
      <c r="C631" s="48"/>
      <c r="D631" s="48"/>
      <c r="E631" s="48"/>
      <c r="F631" s="48"/>
      <c r="G631" s="80"/>
      <c r="H631" s="80"/>
      <c r="I631" s="48"/>
      <c r="J631" s="48"/>
      <c r="K631" s="48"/>
      <c r="L631" s="48"/>
      <c r="M631" s="48"/>
      <c r="N631" s="48"/>
      <c r="O631" s="48"/>
      <c r="P631" s="48"/>
      <c r="Q631" s="48"/>
      <c r="R631" s="48"/>
      <c r="S631" s="48"/>
      <c r="T631" s="48"/>
      <c r="U631" s="48"/>
      <c r="V631" s="48"/>
      <c r="W631" s="48"/>
      <c r="X631" s="48"/>
      <c r="Y631" s="48"/>
      <c r="Z631" s="48"/>
    </row>
    <row r="632" ht="23.25" customHeight="1">
      <c r="A632" s="48"/>
      <c r="B632" s="48"/>
      <c r="C632" s="48"/>
      <c r="D632" s="48"/>
      <c r="E632" s="48"/>
      <c r="F632" s="48"/>
      <c r="G632" s="80"/>
      <c r="H632" s="80"/>
      <c r="I632" s="48"/>
      <c r="J632" s="48"/>
      <c r="K632" s="48"/>
      <c r="L632" s="48"/>
      <c r="M632" s="48"/>
      <c r="N632" s="48"/>
      <c r="O632" s="48"/>
      <c r="P632" s="48"/>
      <c r="Q632" s="48"/>
      <c r="R632" s="48"/>
      <c r="S632" s="48"/>
      <c r="T632" s="48"/>
      <c r="U632" s="48"/>
      <c r="V632" s="48"/>
      <c r="W632" s="48"/>
      <c r="X632" s="48"/>
      <c r="Y632" s="48"/>
      <c r="Z632" s="48"/>
    </row>
    <row r="633" ht="23.25" customHeight="1">
      <c r="A633" s="48"/>
      <c r="B633" s="48"/>
      <c r="C633" s="48"/>
      <c r="D633" s="48"/>
      <c r="E633" s="48"/>
      <c r="F633" s="48"/>
      <c r="G633" s="80"/>
      <c r="H633" s="80"/>
      <c r="I633" s="48"/>
      <c r="J633" s="48"/>
      <c r="K633" s="48"/>
      <c r="L633" s="48"/>
      <c r="M633" s="48"/>
      <c r="N633" s="48"/>
      <c r="O633" s="48"/>
      <c r="P633" s="48"/>
      <c r="Q633" s="48"/>
      <c r="R633" s="48"/>
      <c r="S633" s="48"/>
      <c r="T633" s="48"/>
      <c r="U633" s="48"/>
      <c r="V633" s="48"/>
      <c r="W633" s="48"/>
      <c r="X633" s="48"/>
      <c r="Y633" s="48"/>
      <c r="Z633" s="48"/>
    </row>
    <row r="634" ht="23.25" customHeight="1">
      <c r="A634" s="48"/>
      <c r="B634" s="48"/>
      <c r="C634" s="48"/>
      <c r="D634" s="48"/>
      <c r="E634" s="48"/>
      <c r="F634" s="48"/>
      <c r="G634" s="80"/>
      <c r="H634" s="80"/>
      <c r="I634" s="48"/>
      <c r="J634" s="48"/>
      <c r="K634" s="48"/>
      <c r="L634" s="48"/>
      <c r="M634" s="48"/>
      <c r="N634" s="48"/>
      <c r="O634" s="48"/>
      <c r="P634" s="48"/>
      <c r="Q634" s="48"/>
      <c r="R634" s="48"/>
      <c r="S634" s="48"/>
      <c r="T634" s="48"/>
      <c r="U634" s="48"/>
      <c r="V634" s="48"/>
      <c r="W634" s="48"/>
      <c r="X634" s="48"/>
      <c r="Y634" s="48"/>
      <c r="Z634" s="48"/>
    </row>
    <row r="635" ht="23.25" customHeight="1">
      <c r="A635" s="48"/>
      <c r="B635" s="48"/>
      <c r="C635" s="48"/>
      <c r="D635" s="48"/>
      <c r="E635" s="48"/>
      <c r="F635" s="48"/>
      <c r="G635" s="80"/>
      <c r="H635" s="80"/>
      <c r="I635" s="48"/>
      <c r="J635" s="48"/>
      <c r="K635" s="48"/>
      <c r="L635" s="48"/>
      <c r="M635" s="48"/>
      <c r="N635" s="48"/>
      <c r="O635" s="48"/>
      <c r="P635" s="48"/>
      <c r="Q635" s="48"/>
      <c r="R635" s="48"/>
      <c r="S635" s="48"/>
      <c r="T635" s="48"/>
      <c r="U635" s="48"/>
      <c r="V635" s="48"/>
      <c r="W635" s="48"/>
      <c r="X635" s="48"/>
      <c r="Y635" s="48"/>
      <c r="Z635" s="48"/>
    </row>
    <row r="636" ht="23.25" customHeight="1">
      <c r="A636" s="48"/>
      <c r="B636" s="48"/>
      <c r="C636" s="48"/>
      <c r="D636" s="48"/>
      <c r="E636" s="48"/>
      <c r="F636" s="48"/>
      <c r="G636" s="80"/>
      <c r="H636" s="80"/>
      <c r="I636" s="48"/>
      <c r="J636" s="48"/>
      <c r="K636" s="48"/>
      <c r="L636" s="48"/>
      <c r="M636" s="48"/>
      <c r="N636" s="48"/>
      <c r="O636" s="48"/>
      <c r="P636" s="48"/>
      <c r="Q636" s="48"/>
      <c r="R636" s="48"/>
      <c r="S636" s="48"/>
      <c r="T636" s="48"/>
      <c r="U636" s="48"/>
      <c r="V636" s="48"/>
      <c r="W636" s="48"/>
      <c r="X636" s="48"/>
      <c r="Y636" s="48"/>
      <c r="Z636" s="48"/>
    </row>
    <row r="637" ht="23.25" customHeight="1">
      <c r="A637" s="48"/>
      <c r="B637" s="48"/>
      <c r="C637" s="48"/>
      <c r="D637" s="48"/>
      <c r="E637" s="48"/>
      <c r="F637" s="48"/>
      <c r="G637" s="80"/>
      <c r="H637" s="80"/>
      <c r="I637" s="48"/>
      <c r="J637" s="48"/>
      <c r="K637" s="48"/>
      <c r="L637" s="48"/>
      <c r="M637" s="48"/>
      <c r="N637" s="48"/>
      <c r="O637" s="48"/>
      <c r="P637" s="48"/>
      <c r="Q637" s="48"/>
      <c r="R637" s="48"/>
      <c r="S637" s="48"/>
      <c r="T637" s="48"/>
      <c r="U637" s="48"/>
      <c r="V637" s="48"/>
      <c r="W637" s="48"/>
      <c r="X637" s="48"/>
      <c r="Y637" s="48"/>
      <c r="Z637" s="48"/>
    </row>
    <row r="638" ht="23.25" customHeight="1">
      <c r="A638" s="48"/>
      <c r="B638" s="48"/>
      <c r="C638" s="48"/>
      <c r="D638" s="48"/>
      <c r="E638" s="48"/>
      <c r="F638" s="48"/>
      <c r="G638" s="80"/>
      <c r="H638" s="80"/>
      <c r="I638" s="48"/>
      <c r="J638" s="48"/>
      <c r="K638" s="48"/>
      <c r="L638" s="48"/>
      <c r="M638" s="48"/>
      <c r="N638" s="48"/>
      <c r="O638" s="48"/>
      <c r="P638" s="48"/>
      <c r="Q638" s="48"/>
      <c r="R638" s="48"/>
      <c r="S638" s="48"/>
      <c r="T638" s="48"/>
      <c r="U638" s="48"/>
      <c r="V638" s="48"/>
      <c r="W638" s="48"/>
      <c r="X638" s="48"/>
      <c r="Y638" s="48"/>
      <c r="Z638" s="48"/>
    </row>
    <row r="639" ht="23.25" customHeight="1">
      <c r="A639" s="48"/>
      <c r="B639" s="48"/>
      <c r="C639" s="48"/>
      <c r="D639" s="48"/>
      <c r="E639" s="48"/>
      <c r="F639" s="48"/>
      <c r="G639" s="80"/>
      <c r="H639" s="80"/>
      <c r="I639" s="48"/>
      <c r="J639" s="48"/>
      <c r="K639" s="48"/>
      <c r="L639" s="48"/>
      <c r="M639" s="48"/>
      <c r="N639" s="48"/>
      <c r="O639" s="48"/>
      <c r="P639" s="48"/>
      <c r="Q639" s="48"/>
      <c r="R639" s="48"/>
      <c r="S639" s="48"/>
      <c r="T639" s="48"/>
      <c r="U639" s="48"/>
      <c r="V639" s="48"/>
      <c r="W639" s="48"/>
      <c r="X639" s="48"/>
      <c r="Y639" s="48"/>
      <c r="Z639" s="48"/>
    </row>
    <row r="640" ht="23.25" customHeight="1">
      <c r="A640" s="48"/>
      <c r="B640" s="48"/>
      <c r="C640" s="48"/>
      <c r="D640" s="48"/>
      <c r="E640" s="48"/>
      <c r="F640" s="48"/>
      <c r="G640" s="80"/>
      <c r="H640" s="80"/>
      <c r="I640" s="48"/>
      <c r="J640" s="48"/>
      <c r="K640" s="48"/>
      <c r="L640" s="48"/>
      <c r="M640" s="48"/>
      <c r="N640" s="48"/>
      <c r="O640" s="48"/>
      <c r="P640" s="48"/>
      <c r="Q640" s="48"/>
      <c r="R640" s="48"/>
      <c r="S640" s="48"/>
      <c r="T640" s="48"/>
      <c r="U640" s="48"/>
      <c r="V640" s="48"/>
      <c r="W640" s="48"/>
      <c r="X640" s="48"/>
      <c r="Y640" s="48"/>
      <c r="Z640" s="48"/>
    </row>
    <row r="641" ht="23.25" customHeight="1">
      <c r="A641" s="48"/>
      <c r="B641" s="48"/>
      <c r="C641" s="48"/>
      <c r="D641" s="48"/>
      <c r="E641" s="48"/>
      <c r="F641" s="48"/>
      <c r="G641" s="80"/>
      <c r="H641" s="80"/>
      <c r="I641" s="48"/>
      <c r="J641" s="48"/>
      <c r="K641" s="48"/>
      <c r="L641" s="48"/>
      <c r="M641" s="48"/>
      <c r="N641" s="48"/>
      <c r="O641" s="48"/>
      <c r="P641" s="48"/>
      <c r="Q641" s="48"/>
      <c r="R641" s="48"/>
      <c r="S641" s="48"/>
      <c r="T641" s="48"/>
      <c r="U641" s="48"/>
      <c r="V641" s="48"/>
      <c r="W641" s="48"/>
      <c r="X641" s="48"/>
      <c r="Y641" s="48"/>
      <c r="Z641" s="48"/>
    </row>
    <row r="642" ht="23.25" customHeight="1">
      <c r="A642" s="48"/>
      <c r="B642" s="48"/>
      <c r="C642" s="48"/>
      <c r="D642" s="48"/>
      <c r="E642" s="48"/>
      <c r="F642" s="48"/>
      <c r="G642" s="80"/>
      <c r="H642" s="80"/>
      <c r="I642" s="48"/>
      <c r="J642" s="48"/>
      <c r="K642" s="48"/>
      <c r="L642" s="48"/>
      <c r="M642" s="48"/>
      <c r="N642" s="48"/>
      <c r="O642" s="48"/>
      <c r="P642" s="48"/>
      <c r="Q642" s="48"/>
      <c r="R642" s="48"/>
      <c r="S642" s="48"/>
      <c r="T642" s="48"/>
      <c r="U642" s="48"/>
      <c r="V642" s="48"/>
      <c r="W642" s="48"/>
      <c r="X642" s="48"/>
      <c r="Y642" s="48"/>
      <c r="Z642" s="48"/>
    </row>
    <row r="643" ht="23.25" customHeight="1">
      <c r="A643" s="48"/>
      <c r="B643" s="48"/>
      <c r="C643" s="48"/>
      <c r="D643" s="48"/>
      <c r="E643" s="48"/>
      <c r="F643" s="48"/>
      <c r="G643" s="80"/>
      <c r="H643" s="80"/>
      <c r="I643" s="48"/>
      <c r="J643" s="48"/>
      <c r="K643" s="48"/>
      <c r="L643" s="48"/>
      <c r="M643" s="48"/>
      <c r="N643" s="48"/>
      <c r="O643" s="48"/>
      <c r="P643" s="48"/>
      <c r="Q643" s="48"/>
      <c r="R643" s="48"/>
      <c r="S643" s="48"/>
      <c r="T643" s="48"/>
      <c r="U643" s="48"/>
      <c r="V643" s="48"/>
      <c r="W643" s="48"/>
      <c r="X643" s="48"/>
      <c r="Y643" s="48"/>
      <c r="Z643" s="48"/>
    </row>
    <row r="644" ht="23.25" customHeight="1">
      <c r="A644" s="48"/>
      <c r="B644" s="48"/>
      <c r="C644" s="48"/>
      <c r="D644" s="48"/>
      <c r="E644" s="48"/>
      <c r="F644" s="48"/>
      <c r="G644" s="80"/>
      <c r="H644" s="80"/>
      <c r="I644" s="48"/>
      <c r="J644" s="48"/>
      <c r="K644" s="48"/>
      <c r="L644" s="48"/>
      <c r="M644" s="48"/>
      <c r="N644" s="48"/>
      <c r="O644" s="48"/>
      <c r="P644" s="48"/>
      <c r="Q644" s="48"/>
      <c r="R644" s="48"/>
      <c r="S644" s="48"/>
      <c r="T644" s="48"/>
      <c r="U644" s="48"/>
      <c r="V644" s="48"/>
      <c r="W644" s="48"/>
      <c r="X644" s="48"/>
      <c r="Y644" s="48"/>
      <c r="Z644" s="48"/>
    </row>
    <row r="645" ht="23.25" customHeight="1">
      <c r="A645" s="48"/>
      <c r="B645" s="48"/>
      <c r="C645" s="48"/>
      <c r="D645" s="48"/>
      <c r="E645" s="48"/>
      <c r="F645" s="48"/>
      <c r="G645" s="80"/>
      <c r="H645" s="80"/>
      <c r="I645" s="48"/>
      <c r="J645" s="48"/>
      <c r="K645" s="48"/>
      <c r="L645" s="48"/>
      <c r="M645" s="48"/>
      <c r="N645" s="48"/>
      <c r="O645" s="48"/>
      <c r="P645" s="48"/>
      <c r="Q645" s="48"/>
      <c r="R645" s="48"/>
      <c r="S645" s="48"/>
      <c r="T645" s="48"/>
      <c r="U645" s="48"/>
      <c r="V645" s="48"/>
      <c r="W645" s="48"/>
      <c r="X645" s="48"/>
      <c r="Y645" s="48"/>
      <c r="Z645" s="48"/>
    </row>
    <row r="646" ht="23.25" customHeight="1">
      <c r="A646" s="48"/>
      <c r="B646" s="48"/>
      <c r="C646" s="48"/>
      <c r="D646" s="48"/>
      <c r="E646" s="48"/>
      <c r="F646" s="48"/>
      <c r="G646" s="80"/>
      <c r="H646" s="80"/>
      <c r="I646" s="48"/>
      <c r="J646" s="48"/>
      <c r="K646" s="48"/>
      <c r="L646" s="48"/>
      <c r="M646" s="48"/>
      <c r="N646" s="48"/>
      <c r="O646" s="48"/>
      <c r="P646" s="48"/>
      <c r="Q646" s="48"/>
      <c r="R646" s="48"/>
      <c r="S646" s="48"/>
      <c r="T646" s="48"/>
      <c r="U646" s="48"/>
      <c r="V646" s="48"/>
      <c r="W646" s="48"/>
      <c r="X646" s="48"/>
      <c r="Y646" s="48"/>
      <c r="Z646" s="48"/>
    </row>
    <row r="647" ht="23.25" customHeight="1">
      <c r="A647" s="48"/>
      <c r="B647" s="48"/>
      <c r="C647" s="48"/>
      <c r="D647" s="48"/>
      <c r="E647" s="48"/>
      <c r="F647" s="48"/>
      <c r="G647" s="80"/>
      <c r="H647" s="80"/>
      <c r="I647" s="48"/>
      <c r="J647" s="48"/>
      <c r="K647" s="48"/>
      <c r="L647" s="48"/>
      <c r="M647" s="48"/>
      <c r="N647" s="48"/>
      <c r="O647" s="48"/>
      <c r="P647" s="48"/>
      <c r="Q647" s="48"/>
      <c r="R647" s="48"/>
      <c r="S647" s="48"/>
      <c r="T647" s="48"/>
      <c r="U647" s="48"/>
      <c r="V647" s="48"/>
      <c r="W647" s="48"/>
      <c r="X647" s="48"/>
      <c r="Y647" s="48"/>
      <c r="Z647" s="48"/>
    </row>
    <row r="648" ht="23.25" customHeight="1">
      <c r="A648" s="48"/>
      <c r="B648" s="48"/>
      <c r="C648" s="48"/>
      <c r="D648" s="48"/>
      <c r="E648" s="48"/>
      <c r="F648" s="48"/>
      <c r="G648" s="80"/>
      <c r="H648" s="80"/>
      <c r="I648" s="48"/>
      <c r="J648" s="48"/>
      <c r="K648" s="48"/>
      <c r="L648" s="48"/>
      <c r="M648" s="48"/>
      <c r="N648" s="48"/>
      <c r="O648" s="48"/>
      <c r="P648" s="48"/>
      <c r="Q648" s="48"/>
      <c r="R648" s="48"/>
      <c r="S648" s="48"/>
      <c r="T648" s="48"/>
      <c r="U648" s="48"/>
      <c r="V648" s="48"/>
      <c r="W648" s="48"/>
      <c r="X648" s="48"/>
      <c r="Y648" s="48"/>
      <c r="Z648" s="48"/>
    </row>
    <row r="649" ht="23.25" customHeight="1">
      <c r="A649" s="48"/>
      <c r="B649" s="48"/>
      <c r="C649" s="48"/>
      <c r="D649" s="48"/>
      <c r="E649" s="48"/>
      <c r="F649" s="48"/>
      <c r="G649" s="80"/>
      <c r="H649" s="80"/>
      <c r="I649" s="48"/>
      <c r="J649" s="48"/>
      <c r="K649" s="48"/>
      <c r="L649" s="48"/>
      <c r="M649" s="48"/>
      <c r="N649" s="48"/>
      <c r="O649" s="48"/>
      <c r="P649" s="48"/>
      <c r="Q649" s="48"/>
      <c r="R649" s="48"/>
      <c r="S649" s="48"/>
      <c r="T649" s="48"/>
      <c r="U649" s="48"/>
      <c r="V649" s="48"/>
      <c r="W649" s="48"/>
      <c r="X649" s="48"/>
      <c r="Y649" s="48"/>
      <c r="Z649" s="48"/>
    </row>
    <row r="650" ht="23.25" customHeight="1">
      <c r="A650" s="48"/>
      <c r="B650" s="48"/>
      <c r="C650" s="48"/>
      <c r="D650" s="48"/>
      <c r="E650" s="48"/>
      <c r="F650" s="48"/>
      <c r="G650" s="80"/>
      <c r="H650" s="80"/>
      <c r="I650" s="48"/>
      <c r="J650" s="48"/>
      <c r="K650" s="48"/>
      <c r="L650" s="48"/>
      <c r="M650" s="48"/>
      <c r="N650" s="48"/>
      <c r="O650" s="48"/>
      <c r="P650" s="48"/>
      <c r="Q650" s="48"/>
      <c r="R650" s="48"/>
      <c r="S650" s="48"/>
      <c r="T650" s="48"/>
      <c r="U650" s="48"/>
      <c r="V650" s="48"/>
      <c r="W650" s="48"/>
      <c r="X650" s="48"/>
      <c r="Y650" s="48"/>
      <c r="Z650" s="48"/>
    </row>
    <row r="651" ht="23.25" customHeight="1">
      <c r="A651" s="48"/>
      <c r="B651" s="48"/>
      <c r="C651" s="48"/>
      <c r="D651" s="48"/>
      <c r="E651" s="48"/>
      <c r="F651" s="48"/>
      <c r="G651" s="80"/>
      <c r="H651" s="80"/>
      <c r="I651" s="48"/>
      <c r="J651" s="48"/>
      <c r="K651" s="48"/>
      <c r="L651" s="48"/>
      <c r="M651" s="48"/>
      <c r="N651" s="48"/>
      <c r="O651" s="48"/>
      <c r="P651" s="48"/>
      <c r="Q651" s="48"/>
      <c r="R651" s="48"/>
      <c r="S651" s="48"/>
      <c r="T651" s="48"/>
      <c r="U651" s="48"/>
      <c r="V651" s="48"/>
      <c r="W651" s="48"/>
      <c r="X651" s="48"/>
      <c r="Y651" s="48"/>
      <c r="Z651" s="48"/>
    </row>
    <row r="652" ht="23.25" customHeight="1">
      <c r="A652" s="48"/>
      <c r="B652" s="48"/>
      <c r="C652" s="48"/>
      <c r="D652" s="48"/>
      <c r="E652" s="48"/>
      <c r="F652" s="48"/>
      <c r="G652" s="80"/>
      <c r="H652" s="80"/>
      <c r="I652" s="48"/>
      <c r="J652" s="48"/>
      <c r="K652" s="48"/>
      <c r="L652" s="48"/>
      <c r="M652" s="48"/>
      <c r="N652" s="48"/>
      <c r="O652" s="48"/>
      <c r="P652" s="48"/>
      <c r="Q652" s="48"/>
      <c r="R652" s="48"/>
      <c r="S652" s="48"/>
      <c r="T652" s="48"/>
      <c r="U652" s="48"/>
      <c r="V652" s="48"/>
      <c r="W652" s="48"/>
      <c r="X652" s="48"/>
      <c r="Y652" s="48"/>
      <c r="Z652" s="48"/>
    </row>
    <row r="653" ht="23.25" customHeight="1">
      <c r="A653" s="48"/>
      <c r="B653" s="48"/>
      <c r="C653" s="48"/>
      <c r="D653" s="48"/>
      <c r="E653" s="48"/>
      <c r="F653" s="48"/>
      <c r="G653" s="80"/>
      <c r="H653" s="80"/>
      <c r="I653" s="48"/>
      <c r="J653" s="48"/>
      <c r="K653" s="48"/>
      <c r="L653" s="48"/>
      <c r="M653" s="48"/>
      <c r="N653" s="48"/>
      <c r="O653" s="48"/>
      <c r="P653" s="48"/>
      <c r="Q653" s="48"/>
      <c r="R653" s="48"/>
      <c r="S653" s="48"/>
      <c r="T653" s="48"/>
      <c r="U653" s="48"/>
      <c r="V653" s="48"/>
      <c r="W653" s="48"/>
      <c r="X653" s="48"/>
      <c r="Y653" s="48"/>
      <c r="Z653" s="48"/>
    </row>
    <row r="654" ht="23.25" customHeight="1">
      <c r="A654" s="48"/>
      <c r="B654" s="48"/>
      <c r="C654" s="48"/>
      <c r="D654" s="48"/>
      <c r="E654" s="48"/>
      <c r="F654" s="48"/>
      <c r="G654" s="80"/>
      <c r="H654" s="80"/>
      <c r="I654" s="48"/>
      <c r="J654" s="48"/>
      <c r="K654" s="48"/>
      <c r="L654" s="48"/>
      <c r="M654" s="48"/>
      <c r="N654" s="48"/>
      <c r="O654" s="48"/>
      <c r="P654" s="48"/>
      <c r="Q654" s="48"/>
      <c r="R654" s="48"/>
      <c r="S654" s="48"/>
      <c r="T654" s="48"/>
      <c r="U654" s="48"/>
      <c r="V654" s="48"/>
      <c r="W654" s="48"/>
      <c r="X654" s="48"/>
      <c r="Y654" s="48"/>
      <c r="Z654" s="48"/>
    </row>
    <row r="655" ht="23.25" customHeight="1">
      <c r="A655" s="48"/>
      <c r="B655" s="48"/>
      <c r="C655" s="48"/>
      <c r="D655" s="48"/>
      <c r="E655" s="48"/>
      <c r="F655" s="48"/>
      <c r="G655" s="80"/>
      <c r="H655" s="80"/>
      <c r="I655" s="48"/>
      <c r="J655" s="48"/>
      <c r="K655" s="48"/>
      <c r="L655" s="48"/>
      <c r="M655" s="48"/>
      <c r="N655" s="48"/>
      <c r="O655" s="48"/>
      <c r="P655" s="48"/>
      <c r="Q655" s="48"/>
      <c r="R655" s="48"/>
      <c r="S655" s="48"/>
      <c r="T655" s="48"/>
      <c r="U655" s="48"/>
      <c r="V655" s="48"/>
      <c r="W655" s="48"/>
      <c r="X655" s="48"/>
      <c r="Y655" s="48"/>
      <c r="Z655" s="48"/>
    </row>
    <row r="656" ht="23.25" customHeight="1">
      <c r="A656" s="48"/>
      <c r="B656" s="48"/>
      <c r="C656" s="48"/>
      <c r="D656" s="48"/>
      <c r="E656" s="48"/>
      <c r="F656" s="48"/>
      <c r="G656" s="80"/>
      <c r="H656" s="80"/>
      <c r="I656" s="48"/>
      <c r="J656" s="48"/>
      <c r="K656" s="48"/>
      <c r="L656" s="48"/>
      <c r="M656" s="48"/>
      <c r="N656" s="48"/>
      <c r="O656" s="48"/>
      <c r="P656" s="48"/>
      <c r="Q656" s="48"/>
      <c r="R656" s="48"/>
      <c r="S656" s="48"/>
      <c r="T656" s="48"/>
      <c r="U656" s="48"/>
      <c r="V656" s="48"/>
      <c r="W656" s="48"/>
      <c r="X656" s="48"/>
      <c r="Y656" s="48"/>
      <c r="Z656" s="48"/>
    </row>
    <row r="657" ht="23.25" customHeight="1">
      <c r="A657" s="48"/>
      <c r="B657" s="48"/>
      <c r="C657" s="48"/>
      <c r="D657" s="48"/>
      <c r="E657" s="48"/>
      <c r="F657" s="48"/>
      <c r="G657" s="80"/>
      <c r="H657" s="80"/>
      <c r="I657" s="48"/>
      <c r="J657" s="48"/>
      <c r="K657" s="48"/>
      <c r="L657" s="48"/>
      <c r="M657" s="48"/>
      <c r="N657" s="48"/>
      <c r="O657" s="48"/>
      <c r="P657" s="48"/>
      <c r="Q657" s="48"/>
      <c r="R657" s="48"/>
      <c r="S657" s="48"/>
      <c r="T657" s="48"/>
      <c r="U657" s="48"/>
      <c r="V657" s="48"/>
      <c r="W657" s="48"/>
      <c r="X657" s="48"/>
      <c r="Y657" s="48"/>
      <c r="Z657" s="48"/>
    </row>
    <row r="658" ht="23.25" customHeight="1">
      <c r="A658" s="48"/>
      <c r="B658" s="48"/>
      <c r="C658" s="48"/>
      <c r="D658" s="48"/>
      <c r="E658" s="48"/>
      <c r="F658" s="48"/>
      <c r="G658" s="80"/>
      <c r="H658" s="80"/>
      <c r="I658" s="48"/>
      <c r="J658" s="48"/>
      <c r="K658" s="48"/>
      <c r="L658" s="48"/>
      <c r="M658" s="48"/>
      <c r="N658" s="48"/>
      <c r="O658" s="48"/>
      <c r="P658" s="48"/>
      <c r="Q658" s="48"/>
      <c r="R658" s="48"/>
      <c r="S658" s="48"/>
      <c r="T658" s="48"/>
      <c r="U658" s="48"/>
      <c r="V658" s="48"/>
      <c r="W658" s="48"/>
      <c r="X658" s="48"/>
      <c r="Y658" s="48"/>
      <c r="Z658" s="48"/>
    </row>
    <row r="659" ht="23.25" customHeight="1">
      <c r="A659" s="48"/>
      <c r="B659" s="48"/>
      <c r="C659" s="48"/>
      <c r="D659" s="48"/>
      <c r="E659" s="48"/>
      <c r="F659" s="48"/>
      <c r="G659" s="80"/>
      <c r="H659" s="80"/>
      <c r="I659" s="48"/>
      <c r="J659" s="48"/>
      <c r="K659" s="48"/>
      <c r="L659" s="48"/>
      <c r="M659" s="48"/>
      <c r="N659" s="48"/>
      <c r="O659" s="48"/>
      <c r="P659" s="48"/>
      <c r="Q659" s="48"/>
      <c r="R659" s="48"/>
      <c r="S659" s="48"/>
      <c r="T659" s="48"/>
      <c r="U659" s="48"/>
      <c r="V659" s="48"/>
      <c r="W659" s="48"/>
      <c r="X659" s="48"/>
      <c r="Y659" s="48"/>
      <c r="Z659" s="48"/>
    </row>
    <row r="660" ht="23.25" customHeight="1">
      <c r="A660" s="48"/>
      <c r="B660" s="48"/>
      <c r="C660" s="48"/>
      <c r="D660" s="48"/>
      <c r="E660" s="48"/>
      <c r="F660" s="48"/>
      <c r="G660" s="80"/>
      <c r="H660" s="80"/>
      <c r="I660" s="48"/>
      <c r="J660" s="48"/>
      <c r="K660" s="48"/>
      <c r="L660" s="48"/>
      <c r="M660" s="48"/>
      <c r="N660" s="48"/>
      <c r="O660" s="48"/>
      <c r="P660" s="48"/>
      <c r="Q660" s="48"/>
      <c r="R660" s="48"/>
      <c r="S660" s="48"/>
      <c r="T660" s="48"/>
      <c r="U660" s="48"/>
      <c r="V660" s="48"/>
      <c r="W660" s="48"/>
      <c r="X660" s="48"/>
      <c r="Y660" s="48"/>
      <c r="Z660" s="48"/>
    </row>
    <row r="661" ht="23.25" customHeight="1">
      <c r="A661" s="48"/>
      <c r="B661" s="48"/>
      <c r="C661" s="48"/>
      <c r="D661" s="48"/>
      <c r="E661" s="48"/>
      <c r="F661" s="48"/>
      <c r="G661" s="80"/>
      <c r="H661" s="80"/>
      <c r="I661" s="48"/>
      <c r="J661" s="48"/>
      <c r="K661" s="48"/>
      <c r="L661" s="48"/>
      <c r="M661" s="48"/>
      <c r="N661" s="48"/>
      <c r="O661" s="48"/>
      <c r="P661" s="48"/>
      <c r="Q661" s="48"/>
      <c r="R661" s="48"/>
      <c r="S661" s="48"/>
      <c r="T661" s="48"/>
      <c r="U661" s="48"/>
      <c r="V661" s="48"/>
      <c r="W661" s="48"/>
      <c r="X661" s="48"/>
      <c r="Y661" s="48"/>
      <c r="Z661" s="48"/>
    </row>
    <row r="662" ht="23.25" customHeight="1">
      <c r="A662" s="48"/>
      <c r="B662" s="48"/>
      <c r="C662" s="48"/>
      <c r="D662" s="48"/>
      <c r="E662" s="48"/>
      <c r="F662" s="48"/>
      <c r="G662" s="80"/>
      <c r="H662" s="80"/>
      <c r="I662" s="48"/>
      <c r="J662" s="48"/>
      <c r="K662" s="48"/>
      <c r="L662" s="48"/>
      <c r="M662" s="48"/>
      <c r="N662" s="48"/>
      <c r="O662" s="48"/>
      <c r="P662" s="48"/>
      <c r="Q662" s="48"/>
      <c r="R662" s="48"/>
      <c r="S662" s="48"/>
      <c r="T662" s="48"/>
      <c r="U662" s="48"/>
      <c r="V662" s="48"/>
      <c r="W662" s="48"/>
      <c r="X662" s="48"/>
      <c r="Y662" s="48"/>
      <c r="Z662" s="48"/>
    </row>
    <row r="663" ht="23.25" customHeight="1">
      <c r="A663" s="48"/>
      <c r="B663" s="48"/>
      <c r="C663" s="48"/>
      <c r="D663" s="48"/>
      <c r="E663" s="48"/>
      <c r="F663" s="48"/>
      <c r="G663" s="80"/>
      <c r="H663" s="80"/>
      <c r="I663" s="48"/>
      <c r="J663" s="48"/>
      <c r="K663" s="48"/>
      <c r="L663" s="48"/>
      <c r="M663" s="48"/>
      <c r="N663" s="48"/>
      <c r="O663" s="48"/>
      <c r="P663" s="48"/>
      <c r="Q663" s="48"/>
      <c r="R663" s="48"/>
      <c r="S663" s="48"/>
      <c r="T663" s="48"/>
      <c r="U663" s="48"/>
      <c r="V663" s="48"/>
      <c r="W663" s="48"/>
      <c r="X663" s="48"/>
      <c r="Y663" s="48"/>
      <c r="Z663" s="48"/>
    </row>
    <row r="664" ht="23.25" customHeight="1">
      <c r="A664" s="48"/>
      <c r="B664" s="48"/>
      <c r="C664" s="48"/>
      <c r="D664" s="48"/>
      <c r="E664" s="48"/>
      <c r="F664" s="48"/>
      <c r="G664" s="80"/>
      <c r="H664" s="80"/>
      <c r="I664" s="48"/>
      <c r="J664" s="48"/>
      <c r="K664" s="48"/>
      <c r="L664" s="48"/>
      <c r="M664" s="48"/>
      <c r="N664" s="48"/>
      <c r="O664" s="48"/>
      <c r="P664" s="48"/>
      <c r="Q664" s="48"/>
      <c r="R664" s="48"/>
      <c r="S664" s="48"/>
      <c r="T664" s="48"/>
      <c r="U664" s="48"/>
      <c r="V664" s="48"/>
      <c r="W664" s="48"/>
      <c r="X664" s="48"/>
      <c r="Y664" s="48"/>
      <c r="Z664" s="48"/>
    </row>
    <row r="665" ht="23.25" customHeight="1">
      <c r="A665" s="48"/>
      <c r="B665" s="48"/>
      <c r="C665" s="48"/>
      <c r="D665" s="48"/>
      <c r="E665" s="48"/>
      <c r="F665" s="48"/>
      <c r="G665" s="80"/>
      <c r="H665" s="80"/>
      <c r="I665" s="48"/>
      <c r="J665" s="48"/>
      <c r="K665" s="48"/>
      <c r="L665" s="48"/>
      <c r="M665" s="48"/>
      <c r="N665" s="48"/>
      <c r="O665" s="48"/>
      <c r="P665" s="48"/>
      <c r="Q665" s="48"/>
      <c r="R665" s="48"/>
      <c r="S665" s="48"/>
      <c r="T665" s="48"/>
      <c r="U665" s="48"/>
      <c r="V665" s="48"/>
      <c r="W665" s="48"/>
      <c r="X665" s="48"/>
      <c r="Y665" s="48"/>
      <c r="Z665" s="48"/>
    </row>
    <row r="666" ht="23.25" customHeight="1">
      <c r="A666" s="48"/>
      <c r="B666" s="48"/>
      <c r="C666" s="48"/>
      <c r="D666" s="48"/>
      <c r="E666" s="48"/>
      <c r="F666" s="48"/>
      <c r="G666" s="80"/>
      <c r="H666" s="80"/>
      <c r="I666" s="48"/>
      <c r="J666" s="48"/>
      <c r="K666" s="48"/>
      <c r="L666" s="48"/>
      <c r="M666" s="48"/>
      <c r="N666" s="48"/>
      <c r="O666" s="48"/>
      <c r="P666" s="48"/>
      <c r="Q666" s="48"/>
      <c r="R666" s="48"/>
      <c r="S666" s="48"/>
      <c r="T666" s="48"/>
      <c r="U666" s="48"/>
      <c r="V666" s="48"/>
      <c r="W666" s="48"/>
      <c r="X666" s="48"/>
      <c r="Y666" s="48"/>
      <c r="Z666" s="48"/>
    </row>
    <row r="667" ht="23.25" customHeight="1">
      <c r="A667" s="48"/>
      <c r="B667" s="48"/>
      <c r="C667" s="48"/>
      <c r="D667" s="48"/>
      <c r="E667" s="48"/>
      <c r="F667" s="48"/>
      <c r="G667" s="80"/>
      <c r="H667" s="80"/>
      <c r="I667" s="48"/>
      <c r="J667" s="48"/>
      <c r="K667" s="48"/>
      <c r="L667" s="48"/>
      <c r="M667" s="48"/>
      <c r="N667" s="48"/>
      <c r="O667" s="48"/>
      <c r="P667" s="48"/>
      <c r="Q667" s="48"/>
      <c r="R667" s="48"/>
      <c r="S667" s="48"/>
      <c r="T667" s="48"/>
      <c r="U667" s="48"/>
      <c r="V667" s="48"/>
      <c r="W667" s="48"/>
      <c r="X667" s="48"/>
      <c r="Y667" s="48"/>
      <c r="Z667" s="48"/>
    </row>
    <row r="668" ht="23.25" customHeight="1">
      <c r="A668" s="48"/>
      <c r="B668" s="48"/>
      <c r="C668" s="48"/>
      <c r="D668" s="48"/>
      <c r="E668" s="48"/>
      <c r="F668" s="48"/>
      <c r="G668" s="80"/>
      <c r="H668" s="80"/>
      <c r="I668" s="48"/>
      <c r="J668" s="48"/>
      <c r="K668" s="48"/>
      <c r="L668" s="48"/>
      <c r="M668" s="48"/>
      <c r="N668" s="48"/>
      <c r="O668" s="48"/>
      <c r="P668" s="48"/>
      <c r="Q668" s="48"/>
      <c r="R668" s="48"/>
      <c r="S668" s="48"/>
      <c r="T668" s="48"/>
      <c r="U668" s="48"/>
      <c r="V668" s="48"/>
      <c r="W668" s="48"/>
      <c r="X668" s="48"/>
      <c r="Y668" s="48"/>
      <c r="Z668" s="48"/>
    </row>
    <row r="669" ht="23.25" customHeight="1">
      <c r="A669" s="48"/>
      <c r="B669" s="48"/>
      <c r="C669" s="48"/>
      <c r="D669" s="48"/>
      <c r="E669" s="48"/>
      <c r="F669" s="48"/>
      <c r="G669" s="80"/>
      <c r="H669" s="80"/>
      <c r="I669" s="48"/>
      <c r="J669" s="48"/>
      <c r="K669" s="48"/>
      <c r="L669" s="48"/>
      <c r="M669" s="48"/>
      <c r="N669" s="48"/>
      <c r="O669" s="48"/>
      <c r="P669" s="48"/>
      <c r="Q669" s="48"/>
      <c r="R669" s="48"/>
      <c r="S669" s="48"/>
      <c r="T669" s="48"/>
      <c r="U669" s="48"/>
      <c r="V669" s="48"/>
      <c r="W669" s="48"/>
      <c r="X669" s="48"/>
      <c r="Y669" s="48"/>
      <c r="Z669" s="48"/>
    </row>
    <row r="670" ht="23.25" customHeight="1">
      <c r="A670" s="48"/>
      <c r="B670" s="48"/>
      <c r="C670" s="48"/>
      <c r="D670" s="48"/>
      <c r="E670" s="48"/>
      <c r="F670" s="48"/>
      <c r="G670" s="80"/>
      <c r="H670" s="80"/>
      <c r="I670" s="48"/>
      <c r="J670" s="48"/>
      <c r="K670" s="48"/>
      <c r="L670" s="48"/>
      <c r="M670" s="48"/>
      <c r="N670" s="48"/>
      <c r="O670" s="48"/>
      <c r="P670" s="48"/>
      <c r="Q670" s="48"/>
      <c r="R670" s="48"/>
      <c r="S670" s="48"/>
      <c r="T670" s="48"/>
      <c r="U670" s="48"/>
      <c r="V670" s="48"/>
      <c r="W670" s="48"/>
      <c r="X670" s="48"/>
      <c r="Y670" s="48"/>
      <c r="Z670" s="48"/>
    </row>
    <row r="671" ht="23.25" customHeight="1">
      <c r="A671" s="48"/>
      <c r="B671" s="48"/>
      <c r="C671" s="48"/>
      <c r="D671" s="48"/>
      <c r="E671" s="48"/>
      <c r="F671" s="48"/>
      <c r="G671" s="80"/>
      <c r="H671" s="80"/>
      <c r="I671" s="48"/>
      <c r="J671" s="48"/>
      <c r="K671" s="48"/>
      <c r="L671" s="48"/>
      <c r="M671" s="48"/>
      <c r="N671" s="48"/>
      <c r="O671" s="48"/>
      <c r="P671" s="48"/>
      <c r="Q671" s="48"/>
      <c r="R671" s="48"/>
      <c r="S671" s="48"/>
      <c r="T671" s="48"/>
      <c r="U671" s="48"/>
      <c r="V671" s="48"/>
      <c r="W671" s="48"/>
      <c r="X671" s="48"/>
      <c r="Y671" s="48"/>
      <c r="Z671" s="48"/>
    </row>
    <row r="672" ht="23.25" customHeight="1">
      <c r="A672" s="48"/>
      <c r="B672" s="48"/>
      <c r="C672" s="48"/>
      <c r="D672" s="48"/>
      <c r="E672" s="48"/>
      <c r="F672" s="48"/>
      <c r="G672" s="80"/>
      <c r="H672" s="80"/>
      <c r="I672" s="48"/>
      <c r="J672" s="48"/>
      <c r="K672" s="48"/>
      <c r="L672" s="48"/>
      <c r="M672" s="48"/>
      <c r="N672" s="48"/>
      <c r="O672" s="48"/>
      <c r="P672" s="48"/>
      <c r="Q672" s="48"/>
      <c r="R672" s="48"/>
      <c r="S672" s="48"/>
      <c r="T672" s="48"/>
      <c r="U672" s="48"/>
      <c r="V672" s="48"/>
      <c r="W672" s="48"/>
      <c r="X672" s="48"/>
      <c r="Y672" s="48"/>
      <c r="Z672" s="48"/>
    </row>
    <row r="673" ht="23.25" customHeight="1">
      <c r="A673" s="48"/>
      <c r="B673" s="48"/>
      <c r="C673" s="48"/>
      <c r="D673" s="48"/>
      <c r="E673" s="48"/>
      <c r="F673" s="48"/>
      <c r="G673" s="80"/>
      <c r="H673" s="80"/>
      <c r="I673" s="48"/>
      <c r="J673" s="48"/>
      <c r="K673" s="48"/>
      <c r="L673" s="48"/>
      <c r="M673" s="48"/>
      <c r="N673" s="48"/>
      <c r="O673" s="48"/>
      <c r="P673" s="48"/>
      <c r="Q673" s="48"/>
      <c r="R673" s="48"/>
      <c r="S673" s="48"/>
      <c r="T673" s="48"/>
      <c r="U673" s="48"/>
      <c r="V673" s="48"/>
      <c r="W673" s="48"/>
      <c r="X673" s="48"/>
      <c r="Y673" s="48"/>
      <c r="Z673" s="48"/>
    </row>
    <row r="674" ht="23.25" customHeight="1">
      <c r="A674" s="48"/>
      <c r="B674" s="48"/>
      <c r="C674" s="48"/>
      <c r="D674" s="48"/>
      <c r="E674" s="48"/>
      <c r="F674" s="48"/>
      <c r="G674" s="80"/>
      <c r="H674" s="80"/>
      <c r="I674" s="48"/>
      <c r="J674" s="48"/>
      <c r="K674" s="48"/>
      <c r="L674" s="48"/>
      <c r="M674" s="48"/>
      <c r="N674" s="48"/>
      <c r="O674" s="48"/>
      <c r="P674" s="48"/>
      <c r="Q674" s="48"/>
      <c r="R674" s="48"/>
      <c r="S674" s="48"/>
      <c r="T674" s="48"/>
      <c r="U674" s="48"/>
      <c r="V674" s="48"/>
      <c r="W674" s="48"/>
      <c r="X674" s="48"/>
      <c r="Y674" s="48"/>
      <c r="Z674" s="48"/>
    </row>
    <row r="675" ht="23.25" customHeight="1">
      <c r="A675" s="48"/>
      <c r="B675" s="48"/>
      <c r="C675" s="48"/>
      <c r="D675" s="48"/>
      <c r="E675" s="48"/>
      <c r="F675" s="48"/>
      <c r="G675" s="80"/>
      <c r="H675" s="80"/>
      <c r="I675" s="48"/>
      <c r="J675" s="48"/>
      <c r="K675" s="48"/>
      <c r="L675" s="48"/>
      <c r="M675" s="48"/>
      <c r="N675" s="48"/>
      <c r="O675" s="48"/>
      <c r="P675" s="48"/>
      <c r="Q675" s="48"/>
      <c r="R675" s="48"/>
      <c r="S675" s="48"/>
      <c r="T675" s="48"/>
      <c r="U675" s="48"/>
      <c r="V675" s="48"/>
      <c r="W675" s="48"/>
      <c r="X675" s="48"/>
      <c r="Y675" s="48"/>
      <c r="Z675" s="48"/>
    </row>
    <row r="676" ht="23.25" customHeight="1">
      <c r="A676" s="48"/>
      <c r="B676" s="48"/>
      <c r="C676" s="48"/>
      <c r="D676" s="48"/>
      <c r="E676" s="48"/>
      <c r="F676" s="48"/>
      <c r="G676" s="80"/>
      <c r="H676" s="80"/>
      <c r="I676" s="48"/>
      <c r="J676" s="48"/>
      <c r="K676" s="48"/>
      <c r="L676" s="48"/>
      <c r="M676" s="48"/>
      <c r="N676" s="48"/>
      <c r="O676" s="48"/>
      <c r="P676" s="48"/>
      <c r="Q676" s="48"/>
      <c r="R676" s="48"/>
      <c r="S676" s="48"/>
      <c r="T676" s="48"/>
      <c r="U676" s="48"/>
      <c r="V676" s="48"/>
      <c r="W676" s="48"/>
      <c r="X676" s="48"/>
      <c r="Y676" s="48"/>
      <c r="Z676" s="48"/>
    </row>
    <row r="677" ht="23.25" customHeight="1">
      <c r="A677" s="48"/>
      <c r="B677" s="48"/>
      <c r="C677" s="48"/>
      <c r="D677" s="48"/>
      <c r="E677" s="48"/>
      <c r="F677" s="48"/>
      <c r="G677" s="80"/>
      <c r="H677" s="80"/>
      <c r="I677" s="48"/>
      <c r="J677" s="48"/>
      <c r="K677" s="48"/>
      <c r="L677" s="48"/>
      <c r="M677" s="48"/>
      <c r="N677" s="48"/>
      <c r="O677" s="48"/>
      <c r="P677" s="48"/>
      <c r="Q677" s="48"/>
      <c r="R677" s="48"/>
      <c r="S677" s="48"/>
      <c r="T677" s="48"/>
      <c r="U677" s="48"/>
      <c r="V677" s="48"/>
      <c r="W677" s="48"/>
      <c r="X677" s="48"/>
      <c r="Y677" s="48"/>
      <c r="Z677" s="48"/>
    </row>
    <row r="678" ht="23.25" customHeight="1">
      <c r="A678" s="48"/>
      <c r="B678" s="48"/>
      <c r="C678" s="48"/>
      <c r="D678" s="48"/>
      <c r="E678" s="48"/>
      <c r="F678" s="48"/>
      <c r="G678" s="80"/>
      <c r="H678" s="80"/>
      <c r="I678" s="48"/>
      <c r="J678" s="48"/>
      <c r="K678" s="48"/>
      <c r="L678" s="48"/>
      <c r="M678" s="48"/>
      <c r="N678" s="48"/>
      <c r="O678" s="48"/>
      <c r="P678" s="48"/>
      <c r="Q678" s="48"/>
      <c r="R678" s="48"/>
      <c r="S678" s="48"/>
      <c r="T678" s="48"/>
      <c r="U678" s="48"/>
      <c r="V678" s="48"/>
      <c r="W678" s="48"/>
      <c r="X678" s="48"/>
      <c r="Y678" s="48"/>
      <c r="Z678" s="48"/>
    </row>
    <row r="679" ht="23.25" customHeight="1">
      <c r="A679" s="48"/>
      <c r="B679" s="48"/>
      <c r="C679" s="48"/>
      <c r="D679" s="48"/>
      <c r="E679" s="48"/>
      <c r="F679" s="48"/>
      <c r="G679" s="80"/>
      <c r="H679" s="80"/>
      <c r="I679" s="48"/>
      <c r="J679" s="48"/>
      <c r="K679" s="48"/>
      <c r="L679" s="48"/>
      <c r="M679" s="48"/>
      <c r="N679" s="48"/>
      <c r="O679" s="48"/>
      <c r="P679" s="48"/>
      <c r="Q679" s="48"/>
      <c r="R679" s="48"/>
      <c r="S679" s="48"/>
      <c r="T679" s="48"/>
      <c r="U679" s="48"/>
      <c r="V679" s="48"/>
      <c r="W679" s="48"/>
      <c r="X679" s="48"/>
      <c r="Y679" s="48"/>
      <c r="Z679" s="48"/>
    </row>
    <row r="680" ht="23.25" customHeight="1">
      <c r="A680" s="48"/>
      <c r="B680" s="48"/>
      <c r="C680" s="48"/>
      <c r="D680" s="48"/>
      <c r="E680" s="48"/>
      <c r="F680" s="48"/>
      <c r="G680" s="80"/>
      <c r="H680" s="80"/>
      <c r="I680" s="48"/>
      <c r="J680" s="48"/>
      <c r="K680" s="48"/>
      <c r="L680" s="48"/>
      <c r="M680" s="48"/>
      <c r="N680" s="48"/>
      <c r="O680" s="48"/>
      <c r="P680" s="48"/>
      <c r="Q680" s="48"/>
      <c r="R680" s="48"/>
      <c r="S680" s="48"/>
      <c r="T680" s="48"/>
      <c r="U680" s="48"/>
      <c r="V680" s="48"/>
      <c r="W680" s="48"/>
      <c r="X680" s="48"/>
      <c r="Y680" s="48"/>
      <c r="Z680" s="48"/>
    </row>
    <row r="681" ht="23.25" customHeight="1">
      <c r="A681" s="48"/>
      <c r="B681" s="48"/>
      <c r="C681" s="48"/>
      <c r="D681" s="48"/>
      <c r="E681" s="48"/>
      <c r="F681" s="48"/>
      <c r="G681" s="80"/>
      <c r="H681" s="80"/>
      <c r="I681" s="48"/>
      <c r="J681" s="48"/>
      <c r="K681" s="48"/>
      <c r="L681" s="48"/>
      <c r="M681" s="48"/>
      <c r="N681" s="48"/>
      <c r="O681" s="48"/>
      <c r="P681" s="48"/>
      <c r="Q681" s="48"/>
      <c r="R681" s="48"/>
      <c r="S681" s="48"/>
      <c r="T681" s="48"/>
      <c r="U681" s="48"/>
      <c r="V681" s="48"/>
      <c r="W681" s="48"/>
      <c r="X681" s="48"/>
      <c r="Y681" s="48"/>
      <c r="Z681" s="48"/>
    </row>
    <row r="682" ht="23.25" customHeight="1">
      <c r="A682" s="48"/>
      <c r="B682" s="48"/>
      <c r="C682" s="48"/>
      <c r="D682" s="48"/>
      <c r="E682" s="48"/>
      <c r="F682" s="48"/>
      <c r="G682" s="80"/>
      <c r="H682" s="80"/>
      <c r="I682" s="48"/>
      <c r="J682" s="48"/>
      <c r="K682" s="48"/>
      <c r="L682" s="48"/>
      <c r="M682" s="48"/>
      <c r="N682" s="48"/>
      <c r="O682" s="48"/>
      <c r="P682" s="48"/>
      <c r="Q682" s="48"/>
      <c r="R682" s="48"/>
      <c r="S682" s="48"/>
      <c r="T682" s="48"/>
      <c r="U682" s="48"/>
      <c r="V682" s="48"/>
      <c r="W682" s="48"/>
      <c r="X682" s="48"/>
      <c r="Y682" s="48"/>
      <c r="Z682" s="48"/>
    </row>
    <row r="683" ht="23.25" customHeight="1">
      <c r="A683" s="48"/>
      <c r="B683" s="48"/>
      <c r="C683" s="48"/>
      <c r="D683" s="48"/>
      <c r="E683" s="48"/>
      <c r="F683" s="48"/>
      <c r="G683" s="80"/>
      <c r="H683" s="80"/>
      <c r="I683" s="48"/>
      <c r="J683" s="48"/>
      <c r="K683" s="48"/>
      <c r="L683" s="48"/>
      <c r="M683" s="48"/>
      <c r="N683" s="48"/>
      <c r="O683" s="48"/>
      <c r="P683" s="48"/>
      <c r="Q683" s="48"/>
      <c r="R683" s="48"/>
      <c r="S683" s="48"/>
      <c r="T683" s="48"/>
      <c r="U683" s="48"/>
      <c r="V683" s="48"/>
      <c r="W683" s="48"/>
      <c r="X683" s="48"/>
      <c r="Y683" s="48"/>
      <c r="Z683" s="48"/>
    </row>
    <row r="684" ht="23.25" customHeight="1">
      <c r="A684" s="48"/>
      <c r="B684" s="48"/>
      <c r="C684" s="48"/>
      <c r="D684" s="48"/>
      <c r="E684" s="48"/>
      <c r="F684" s="48"/>
      <c r="G684" s="80"/>
      <c r="H684" s="80"/>
      <c r="I684" s="48"/>
      <c r="J684" s="48"/>
      <c r="K684" s="48"/>
      <c r="L684" s="48"/>
      <c r="M684" s="48"/>
      <c r="N684" s="48"/>
      <c r="O684" s="48"/>
      <c r="P684" s="48"/>
      <c r="Q684" s="48"/>
      <c r="R684" s="48"/>
      <c r="S684" s="48"/>
      <c r="T684" s="48"/>
      <c r="U684" s="48"/>
      <c r="V684" s="48"/>
      <c r="W684" s="48"/>
      <c r="X684" s="48"/>
      <c r="Y684" s="48"/>
      <c r="Z684" s="48"/>
    </row>
    <row r="685" ht="23.25" customHeight="1">
      <c r="A685" s="48"/>
      <c r="B685" s="48"/>
      <c r="C685" s="48"/>
      <c r="D685" s="48"/>
      <c r="E685" s="48"/>
      <c r="F685" s="48"/>
      <c r="G685" s="80"/>
      <c r="H685" s="80"/>
      <c r="I685" s="48"/>
      <c r="J685" s="48"/>
      <c r="K685" s="48"/>
      <c r="L685" s="48"/>
      <c r="M685" s="48"/>
      <c r="N685" s="48"/>
      <c r="O685" s="48"/>
      <c r="P685" s="48"/>
      <c r="Q685" s="48"/>
      <c r="R685" s="48"/>
      <c r="S685" s="48"/>
      <c r="T685" s="48"/>
      <c r="U685" s="48"/>
      <c r="V685" s="48"/>
      <c r="W685" s="48"/>
      <c r="X685" s="48"/>
      <c r="Y685" s="48"/>
      <c r="Z685" s="48"/>
    </row>
    <row r="686" ht="23.25" customHeight="1">
      <c r="A686" s="48"/>
      <c r="B686" s="48"/>
      <c r="C686" s="48"/>
      <c r="D686" s="48"/>
      <c r="E686" s="48"/>
      <c r="F686" s="48"/>
      <c r="G686" s="80"/>
      <c r="H686" s="80"/>
      <c r="I686" s="48"/>
      <c r="J686" s="48"/>
      <c r="K686" s="48"/>
      <c r="L686" s="48"/>
      <c r="M686" s="48"/>
      <c r="N686" s="48"/>
      <c r="O686" s="48"/>
      <c r="P686" s="48"/>
      <c r="Q686" s="48"/>
      <c r="R686" s="48"/>
      <c r="S686" s="48"/>
      <c r="T686" s="48"/>
      <c r="U686" s="48"/>
      <c r="V686" s="48"/>
      <c r="W686" s="48"/>
      <c r="X686" s="48"/>
      <c r="Y686" s="48"/>
      <c r="Z686" s="48"/>
    </row>
    <row r="687" ht="23.25" customHeight="1">
      <c r="A687" s="48"/>
      <c r="B687" s="48"/>
      <c r="C687" s="48"/>
      <c r="D687" s="48"/>
      <c r="E687" s="48"/>
      <c r="F687" s="48"/>
      <c r="G687" s="80"/>
      <c r="H687" s="80"/>
      <c r="I687" s="48"/>
      <c r="J687" s="48"/>
      <c r="K687" s="48"/>
      <c r="L687" s="48"/>
      <c r="M687" s="48"/>
      <c r="N687" s="48"/>
      <c r="O687" s="48"/>
      <c r="P687" s="48"/>
      <c r="Q687" s="48"/>
      <c r="R687" s="48"/>
      <c r="S687" s="48"/>
      <c r="T687" s="48"/>
      <c r="U687" s="48"/>
      <c r="V687" s="48"/>
      <c r="W687" s="48"/>
      <c r="X687" s="48"/>
      <c r="Y687" s="48"/>
      <c r="Z687" s="48"/>
    </row>
    <row r="688" ht="23.25" customHeight="1">
      <c r="A688" s="48"/>
      <c r="B688" s="48"/>
      <c r="C688" s="48"/>
      <c r="D688" s="48"/>
      <c r="E688" s="48"/>
      <c r="F688" s="48"/>
      <c r="G688" s="80"/>
      <c r="H688" s="80"/>
      <c r="I688" s="48"/>
      <c r="J688" s="48"/>
      <c r="K688" s="48"/>
      <c r="L688" s="48"/>
      <c r="M688" s="48"/>
      <c r="N688" s="48"/>
      <c r="O688" s="48"/>
      <c r="P688" s="48"/>
      <c r="Q688" s="48"/>
      <c r="R688" s="48"/>
      <c r="S688" s="48"/>
      <c r="T688" s="48"/>
      <c r="U688" s="48"/>
      <c r="V688" s="48"/>
      <c r="W688" s="48"/>
      <c r="X688" s="48"/>
      <c r="Y688" s="48"/>
      <c r="Z688" s="48"/>
    </row>
    <row r="689" ht="23.25" customHeight="1">
      <c r="A689" s="48"/>
      <c r="B689" s="48"/>
      <c r="C689" s="48"/>
      <c r="D689" s="48"/>
      <c r="E689" s="48"/>
      <c r="F689" s="48"/>
      <c r="G689" s="80"/>
      <c r="H689" s="80"/>
      <c r="I689" s="48"/>
      <c r="J689" s="48"/>
      <c r="K689" s="48"/>
      <c r="L689" s="48"/>
      <c r="M689" s="48"/>
      <c r="N689" s="48"/>
      <c r="O689" s="48"/>
      <c r="P689" s="48"/>
      <c r="Q689" s="48"/>
      <c r="R689" s="48"/>
      <c r="S689" s="48"/>
      <c r="T689" s="48"/>
      <c r="U689" s="48"/>
      <c r="V689" s="48"/>
      <c r="W689" s="48"/>
      <c r="X689" s="48"/>
      <c r="Y689" s="48"/>
      <c r="Z689" s="48"/>
    </row>
    <row r="690" ht="23.25" customHeight="1">
      <c r="A690" s="48"/>
      <c r="B690" s="48"/>
      <c r="C690" s="48"/>
      <c r="D690" s="48"/>
      <c r="E690" s="48"/>
      <c r="F690" s="48"/>
      <c r="G690" s="80"/>
      <c r="H690" s="80"/>
      <c r="I690" s="48"/>
      <c r="J690" s="48"/>
      <c r="K690" s="48"/>
      <c r="L690" s="48"/>
      <c r="M690" s="48"/>
      <c r="N690" s="48"/>
      <c r="O690" s="48"/>
      <c r="P690" s="48"/>
      <c r="Q690" s="48"/>
      <c r="R690" s="48"/>
      <c r="S690" s="48"/>
      <c r="T690" s="48"/>
      <c r="U690" s="48"/>
      <c r="V690" s="48"/>
      <c r="W690" s="48"/>
      <c r="X690" s="48"/>
      <c r="Y690" s="48"/>
      <c r="Z690" s="48"/>
    </row>
    <row r="691" ht="23.25" customHeight="1">
      <c r="A691" s="48"/>
      <c r="B691" s="48"/>
      <c r="C691" s="48"/>
      <c r="D691" s="48"/>
      <c r="E691" s="48"/>
      <c r="F691" s="48"/>
      <c r="G691" s="80"/>
      <c r="H691" s="80"/>
      <c r="I691" s="48"/>
      <c r="J691" s="48"/>
      <c r="K691" s="48"/>
      <c r="L691" s="48"/>
      <c r="M691" s="48"/>
      <c r="N691" s="48"/>
      <c r="O691" s="48"/>
      <c r="P691" s="48"/>
      <c r="Q691" s="48"/>
      <c r="R691" s="48"/>
      <c r="S691" s="48"/>
      <c r="T691" s="48"/>
      <c r="U691" s="48"/>
      <c r="V691" s="48"/>
      <c r="W691" s="48"/>
      <c r="X691" s="48"/>
      <c r="Y691" s="48"/>
      <c r="Z691" s="48"/>
    </row>
    <row r="692" ht="23.25" customHeight="1">
      <c r="A692" s="48"/>
      <c r="B692" s="48"/>
      <c r="C692" s="48"/>
      <c r="D692" s="48"/>
      <c r="E692" s="48"/>
      <c r="F692" s="48"/>
      <c r="G692" s="80"/>
      <c r="H692" s="80"/>
      <c r="I692" s="48"/>
      <c r="J692" s="48"/>
      <c r="K692" s="48"/>
      <c r="L692" s="48"/>
      <c r="M692" s="48"/>
      <c r="N692" s="48"/>
      <c r="O692" s="48"/>
      <c r="P692" s="48"/>
      <c r="Q692" s="48"/>
      <c r="R692" s="48"/>
      <c r="S692" s="48"/>
      <c r="T692" s="48"/>
      <c r="U692" s="48"/>
      <c r="V692" s="48"/>
      <c r="W692" s="48"/>
      <c r="X692" s="48"/>
      <c r="Y692" s="48"/>
      <c r="Z692" s="48"/>
    </row>
    <row r="693" ht="23.25" customHeight="1">
      <c r="A693" s="48"/>
      <c r="B693" s="48"/>
      <c r="C693" s="48"/>
      <c r="D693" s="48"/>
      <c r="E693" s="48"/>
      <c r="F693" s="48"/>
      <c r="G693" s="80"/>
      <c r="H693" s="80"/>
      <c r="I693" s="48"/>
      <c r="J693" s="48"/>
      <c r="K693" s="48"/>
      <c r="L693" s="48"/>
      <c r="M693" s="48"/>
      <c r="N693" s="48"/>
      <c r="O693" s="48"/>
      <c r="P693" s="48"/>
      <c r="Q693" s="48"/>
      <c r="R693" s="48"/>
      <c r="S693" s="48"/>
      <c r="T693" s="48"/>
      <c r="U693" s="48"/>
      <c r="V693" s="48"/>
      <c r="W693" s="48"/>
      <c r="X693" s="48"/>
      <c r="Y693" s="48"/>
      <c r="Z693" s="48"/>
    </row>
    <row r="694" ht="23.25" customHeight="1">
      <c r="A694" s="48"/>
      <c r="B694" s="48"/>
      <c r="C694" s="48"/>
      <c r="D694" s="48"/>
      <c r="E694" s="48"/>
      <c r="F694" s="48"/>
      <c r="G694" s="80"/>
      <c r="H694" s="80"/>
      <c r="I694" s="48"/>
      <c r="J694" s="48"/>
      <c r="K694" s="48"/>
      <c r="L694" s="48"/>
      <c r="M694" s="48"/>
      <c r="N694" s="48"/>
      <c r="O694" s="48"/>
      <c r="P694" s="48"/>
      <c r="Q694" s="48"/>
      <c r="R694" s="48"/>
      <c r="S694" s="48"/>
      <c r="T694" s="48"/>
      <c r="U694" s="48"/>
      <c r="V694" s="48"/>
      <c r="W694" s="48"/>
      <c r="X694" s="48"/>
      <c r="Y694" s="48"/>
      <c r="Z694" s="48"/>
    </row>
    <row r="695" ht="23.25" customHeight="1">
      <c r="A695" s="48"/>
      <c r="B695" s="48"/>
      <c r="C695" s="48"/>
      <c r="D695" s="48"/>
      <c r="E695" s="48"/>
      <c r="F695" s="48"/>
      <c r="G695" s="80"/>
      <c r="H695" s="80"/>
      <c r="I695" s="48"/>
      <c r="J695" s="48"/>
      <c r="K695" s="48"/>
      <c r="L695" s="48"/>
      <c r="M695" s="48"/>
      <c r="N695" s="48"/>
      <c r="O695" s="48"/>
      <c r="P695" s="48"/>
      <c r="Q695" s="48"/>
      <c r="R695" s="48"/>
      <c r="S695" s="48"/>
      <c r="T695" s="48"/>
      <c r="U695" s="48"/>
      <c r="V695" s="48"/>
      <c r="W695" s="48"/>
      <c r="X695" s="48"/>
      <c r="Y695" s="48"/>
      <c r="Z695" s="48"/>
    </row>
    <row r="696" ht="23.25" customHeight="1">
      <c r="A696" s="48"/>
      <c r="B696" s="48"/>
      <c r="C696" s="48"/>
      <c r="D696" s="48"/>
      <c r="E696" s="48"/>
      <c r="F696" s="48"/>
      <c r="G696" s="80"/>
      <c r="H696" s="80"/>
      <c r="I696" s="48"/>
      <c r="J696" s="48"/>
      <c r="K696" s="48"/>
      <c r="L696" s="48"/>
      <c r="M696" s="48"/>
      <c r="N696" s="48"/>
      <c r="O696" s="48"/>
      <c r="P696" s="48"/>
      <c r="Q696" s="48"/>
      <c r="R696" s="48"/>
      <c r="S696" s="48"/>
      <c r="T696" s="48"/>
      <c r="U696" s="48"/>
      <c r="V696" s="48"/>
      <c r="W696" s="48"/>
      <c r="X696" s="48"/>
      <c r="Y696" s="48"/>
      <c r="Z696" s="48"/>
    </row>
    <row r="697" ht="23.25" customHeight="1">
      <c r="A697" s="48"/>
      <c r="B697" s="48"/>
      <c r="C697" s="48"/>
      <c r="D697" s="48"/>
      <c r="E697" s="48"/>
      <c r="F697" s="48"/>
      <c r="G697" s="80"/>
      <c r="H697" s="80"/>
      <c r="I697" s="48"/>
      <c r="J697" s="48"/>
      <c r="K697" s="48"/>
      <c r="L697" s="48"/>
      <c r="M697" s="48"/>
      <c r="N697" s="48"/>
      <c r="O697" s="48"/>
      <c r="P697" s="48"/>
      <c r="Q697" s="48"/>
      <c r="R697" s="48"/>
      <c r="S697" s="48"/>
      <c r="T697" s="48"/>
      <c r="U697" s="48"/>
      <c r="V697" s="48"/>
      <c r="W697" s="48"/>
      <c r="X697" s="48"/>
      <c r="Y697" s="48"/>
      <c r="Z697" s="48"/>
    </row>
    <row r="698" ht="23.25" customHeight="1">
      <c r="A698" s="48"/>
      <c r="B698" s="48"/>
      <c r="C698" s="48"/>
      <c r="D698" s="48"/>
      <c r="E698" s="48"/>
      <c r="F698" s="48"/>
      <c r="G698" s="80"/>
      <c r="H698" s="80"/>
      <c r="I698" s="48"/>
      <c r="J698" s="48"/>
      <c r="K698" s="48"/>
      <c r="L698" s="48"/>
      <c r="M698" s="48"/>
      <c r="N698" s="48"/>
      <c r="O698" s="48"/>
      <c r="P698" s="48"/>
      <c r="Q698" s="48"/>
      <c r="R698" s="48"/>
      <c r="S698" s="48"/>
      <c r="T698" s="48"/>
      <c r="U698" s="48"/>
      <c r="V698" s="48"/>
      <c r="W698" s="48"/>
      <c r="X698" s="48"/>
      <c r="Y698" s="48"/>
      <c r="Z698" s="48"/>
    </row>
    <row r="699" ht="23.25" customHeight="1">
      <c r="A699" s="48"/>
      <c r="B699" s="48"/>
      <c r="C699" s="48"/>
      <c r="D699" s="48"/>
      <c r="E699" s="48"/>
      <c r="F699" s="48"/>
      <c r="G699" s="80"/>
      <c r="H699" s="80"/>
      <c r="I699" s="48"/>
      <c r="J699" s="48"/>
      <c r="K699" s="48"/>
      <c r="L699" s="48"/>
      <c r="M699" s="48"/>
      <c r="N699" s="48"/>
      <c r="O699" s="48"/>
      <c r="P699" s="48"/>
      <c r="Q699" s="48"/>
      <c r="R699" s="48"/>
      <c r="S699" s="48"/>
      <c r="T699" s="48"/>
      <c r="U699" s="48"/>
      <c r="V699" s="48"/>
      <c r="W699" s="48"/>
      <c r="X699" s="48"/>
      <c r="Y699" s="48"/>
      <c r="Z699" s="48"/>
    </row>
    <row r="700" ht="23.25" customHeight="1">
      <c r="A700" s="48"/>
      <c r="B700" s="48"/>
      <c r="C700" s="48"/>
      <c r="D700" s="48"/>
      <c r="E700" s="48"/>
      <c r="F700" s="48"/>
      <c r="G700" s="80"/>
      <c r="H700" s="80"/>
      <c r="I700" s="48"/>
      <c r="J700" s="48"/>
      <c r="K700" s="48"/>
      <c r="L700" s="48"/>
      <c r="M700" s="48"/>
      <c r="N700" s="48"/>
      <c r="O700" s="48"/>
      <c r="P700" s="48"/>
      <c r="Q700" s="48"/>
      <c r="R700" s="48"/>
      <c r="S700" s="48"/>
      <c r="T700" s="48"/>
      <c r="U700" s="48"/>
      <c r="V700" s="48"/>
      <c r="W700" s="48"/>
      <c r="X700" s="48"/>
      <c r="Y700" s="48"/>
      <c r="Z700" s="48"/>
    </row>
    <row r="701" ht="23.25" customHeight="1">
      <c r="A701" s="48"/>
      <c r="B701" s="48"/>
      <c r="C701" s="48"/>
      <c r="D701" s="48"/>
      <c r="E701" s="48"/>
      <c r="F701" s="48"/>
      <c r="G701" s="80"/>
      <c r="H701" s="80"/>
      <c r="I701" s="48"/>
      <c r="J701" s="48"/>
      <c r="K701" s="48"/>
      <c r="L701" s="48"/>
      <c r="M701" s="48"/>
      <c r="N701" s="48"/>
      <c r="O701" s="48"/>
      <c r="P701" s="48"/>
      <c r="Q701" s="48"/>
      <c r="R701" s="48"/>
      <c r="S701" s="48"/>
      <c r="T701" s="48"/>
      <c r="U701" s="48"/>
      <c r="V701" s="48"/>
      <c r="W701" s="48"/>
      <c r="X701" s="48"/>
      <c r="Y701" s="48"/>
      <c r="Z701" s="48"/>
    </row>
    <row r="702" ht="23.25" customHeight="1">
      <c r="A702" s="48"/>
      <c r="B702" s="48"/>
      <c r="C702" s="48"/>
      <c r="D702" s="48"/>
      <c r="E702" s="48"/>
      <c r="F702" s="48"/>
      <c r="G702" s="80"/>
      <c r="H702" s="80"/>
      <c r="I702" s="48"/>
      <c r="J702" s="48"/>
      <c r="K702" s="48"/>
      <c r="L702" s="48"/>
      <c r="M702" s="48"/>
      <c r="N702" s="48"/>
      <c r="O702" s="48"/>
      <c r="P702" s="48"/>
      <c r="Q702" s="48"/>
      <c r="R702" s="48"/>
      <c r="S702" s="48"/>
      <c r="T702" s="48"/>
      <c r="U702" s="48"/>
      <c r="V702" s="48"/>
      <c r="W702" s="48"/>
      <c r="X702" s="48"/>
      <c r="Y702" s="48"/>
      <c r="Z702" s="48"/>
    </row>
    <row r="703" ht="23.25" customHeight="1">
      <c r="A703" s="48"/>
      <c r="B703" s="48"/>
      <c r="C703" s="48"/>
      <c r="D703" s="48"/>
      <c r="E703" s="48"/>
      <c r="F703" s="48"/>
      <c r="G703" s="80"/>
      <c r="H703" s="80"/>
      <c r="I703" s="48"/>
      <c r="J703" s="48"/>
      <c r="K703" s="48"/>
      <c r="L703" s="48"/>
      <c r="M703" s="48"/>
      <c r="N703" s="48"/>
      <c r="O703" s="48"/>
      <c r="P703" s="48"/>
      <c r="Q703" s="48"/>
      <c r="R703" s="48"/>
      <c r="S703" s="48"/>
      <c r="T703" s="48"/>
      <c r="U703" s="48"/>
      <c r="V703" s="48"/>
      <c r="W703" s="48"/>
      <c r="X703" s="48"/>
      <c r="Y703" s="48"/>
      <c r="Z703" s="48"/>
    </row>
    <row r="704" ht="23.25" customHeight="1">
      <c r="A704" s="48"/>
      <c r="B704" s="48"/>
      <c r="C704" s="48"/>
      <c r="D704" s="48"/>
      <c r="E704" s="48"/>
      <c r="F704" s="48"/>
      <c r="G704" s="80"/>
      <c r="H704" s="80"/>
      <c r="I704" s="48"/>
      <c r="J704" s="48"/>
      <c r="K704" s="48"/>
      <c r="L704" s="48"/>
      <c r="M704" s="48"/>
      <c r="N704" s="48"/>
      <c r="O704" s="48"/>
      <c r="P704" s="48"/>
      <c r="Q704" s="48"/>
      <c r="R704" s="48"/>
      <c r="S704" s="48"/>
      <c r="T704" s="48"/>
      <c r="U704" s="48"/>
      <c r="V704" s="48"/>
      <c r="W704" s="48"/>
      <c r="X704" s="48"/>
      <c r="Y704" s="48"/>
      <c r="Z704" s="48"/>
    </row>
    <row r="705" ht="23.25" customHeight="1">
      <c r="A705" s="48"/>
      <c r="B705" s="48"/>
      <c r="C705" s="48"/>
      <c r="D705" s="48"/>
      <c r="E705" s="48"/>
      <c r="F705" s="48"/>
      <c r="G705" s="80"/>
      <c r="H705" s="80"/>
      <c r="I705" s="48"/>
      <c r="J705" s="48"/>
      <c r="K705" s="48"/>
      <c r="L705" s="48"/>
      <c r="M705" s="48"/>
      <c r="N705" s="48"/>
      <c r="O705" s="48"/>
      <c r="P705" s="48"/>
      <c r="Q705" s="48"/>
      <c r="R705" s="48"/>
      <c r="S705" s="48"/>
      <c r="T705" s="48"/>
      <c r="U705" s="48"/>
      <c r="V705" s="48"/>
      <c r="W705" s="48"/>
      <c r="X705" s="48"/>
      <c r="Y705" s="48"/>
      <c r="Z705" s="48"/>
    </row>
    <row r="706" ht="23.25" customHeight="1">
      <c r="A706" s="48"/>
      <c r="B706" s="48"/>
      <c r="C706" s="48"/>
      <c r="D706" s="48"/>
      <c r="E706" s="48"/>
      <c r="F706" s="48"/>
      <c r="G706" s="80"/>
      <c r="H706" s="80"/>
      <c r="I706" s="48"/>
      <c r="J706" s="48"/>
      <c r="K706" s="48"/>
      <c r="L706" s="48"/>
      <c r="M706" s="48"/>
      <c r="N706" s="48"/>
      <c r="O706" s="48"/>
      <c r="P706" s="48"/>
      <c r="Q706" s="48"/>
      <c r="R706" s="48"/>
      <c r="S706" s="48"/>
      <c r="T706" s="48"/>
      <c r="U706" s="48"/>
      <c r="V706" s="48"/>
      <c r="W706" s="48"/>
      <c r="X706" s="48"/>
      <c r="Y706" s="48"/>
      <c r="Z706" s="48"/>
    </row>
    <row r="707" ht="23.25" customHeight="1">
      <c r="A707" s="48"/>
      <c r="B707" s="48"/>
      <c r="C707" s="48"/>
      <c r="D707" s="48"/>
      <c r="E707" s="48"/>
      <c r="F707" s="48"/>
      <c r="G707" s="80"/>
      <c r="H707" s="80"/>
      <c r="I707" s="48"/>
      <c r="J707" s="48"/>
      <c r="K707" s="48"/>
      <c r="L707" s="48"/>
      <c r="M707" s="48"/>
      <c r="N707" s="48"/>
      <c r="O707" s="48"/>
      <c r="P707" s="48"/>
      <c r="Q707" s="48"/>
      <c r="R707" s="48"/>
      <c r="S707" s="48"/>
      <c r="T707" s="48"/>
      <c r="U707" s="48"/>
      <c r="V707" s="48"/>
      <c r="W707" s="48"/>
      <c r="X707" s="48"/>
      <c r="Y707" s="48"/>
      <c r="Z707" s="48"/>
    </row>
    <row r="708" ht="23.25" customHeight="1">
      <c r="A708" s="48"/>
      <c r="B708" s="48"/>
      <c r="C708" s="48"/>
      <c r="D708" s="48"/>
      <c r="E708" s="48"/>
      <c r="F708" s="48"/>
      <c r="G708" s="80"/>
      <c r="H708" s="80"/>
      <c r="I708" s="48"/>
      <c r="J708" s="48"/>
      <c r="K708" s="48"/>
      <c r="L708" s="48"/>
      <c r="M708" s="48"/>
      <c r="N708" s="48"/>
      <c r="O708" s="48"/>
      <c r="P708" s="48"/>
      <c r="Q708" s="48"/>
      <c r="R708" s="48"/>
      <c r="S708" s="48"/>
      <c r="T708" s="48"/>
      <c r="U708" s="48"/>
      <c r="V708" s="48"/>
      <c r="W708" s="48"/>
      <c r="X708" s="48"/>
      <c r="Y708" s="48"/>
      <c r="Z708" s="48"/>
    </row>
    <row r="709" ht="23.25" customHeight="1">
      <c r="A709" s="48"/>
      <c r="B709" s="48"/>
      <c r="C709" s="48"/>
      <c r="D709" s="48"/>
      <c r="E709" s="48"/>
      <c r="F709" s="48"/>
      <c r="G709" s="80"/>
      <c r="H709" s="80"/>
      <c r="I709" s="48"/>
      <c r="J709" s="48"/>
      <c r="K709" s="48"/>
      <c r="L709" s="48"/>
      <c r="M709" s="48"/>
      <c r="N709" s="48"/>
      <c r="O709" s="48"/>
      <c r="P709" s="48"/>
      <c r="Q709" s="48"/>
      <c r="R709" s="48"/>
      <c r="S709" s="48"/>
      <c r="T709" s="48"/>
      <c r="U709" s="48"/>
      <c r="V709" s="48"/>
      <c r="W709" s="48"/>
      <c r="X709" s="48"/>
      <c r="Y709" s="48"/>
      <c r="Z709" s="48"/>
    </row>
    <row r="710" ht="23.25" customHeight="1">
      <c r="A710" s="48"/>
      <c r="B710" s="48"/>
      <c r="C710" s="48"/>
      <c r="D710" s="48"/>
      <c r="E710" s="48"/>
      <c r="F710" s="48"/>
      <c r="G710" s="80"/>
      <c r="H710" s="80"/>
      <c r="I710" s="48"/>
      <c r="J710" s="48"/>
      <c r="K710" s="48"/>
      <c r="L710" s="48"/>
      <c r="M710" s="48"/>
      <c r="N710" s="48"/>
      <c r="O710" s="48"/>
      <c r="P710" s="48"/>
      <c r="Q710" s="48"/>
      <c r="R710" s="48"/>
      <c r="S710" s="48"/>
      <c r="T710" s="48"/>
      <c r="U710" s="48"/>
      <c r="V710" s="48"/>
      <c r="W710" s="48"/>
      <c r="X710" s="48"/>
      <c r="Y710" s="48"/>
      <c r="Z710" s="48"/>
    </row>
    <row r="711" ht="23.25" customHeight="1">
      <c r="A711" s="48"/>
      <c r="B711" s="48"/>
      <c r="C711" s="48"/>
      <c r="D711" s="48"/>
      <c r="E711" s="48"/>
      <c r="F711" s="48"/>
      <c r="G711" s="80"/>
      <c r="H711" s="80"/>
      <c r="I711" s="48"/>
      <c r="J711" s="48"/>
      <c r="K711" s="48"/>
      <c r="L711" s="48"/>
      <c r="M711" s="48"/>
      <c r="N711" s="48"/>
      <c r="O711" s="48"/>
      <c r="P711" s="48"/>
      <c r="Q711" s="48"/>
      <c r="R711" s="48"/>
      <c r="S711" s="48"/>
      <c r="T711" s="48"/>
      <c r="U711" s="48"/>
      <c r="V711" s="48"/>
      <c r="W711" s="48"/>
      <c r="X711" s="48"/>
      <c r="Y711" s="48"/>
      <c r="Z711" s="48"/>
    </row>
    <row r="712" ht="23.25" customHeight="1">
      <c r="A712" s="48"/>
      <c r="B712" s="48"/>
      <c r="C712" s="48"/>
      <c r="D712" s="48"/>
      <c r="E712" s="48"/>
      <c r="F712" s="48"/>
      <c r="G712" s="80"/>
      <c r="H712" s="80"/>
      <c r="I712" s="48"/>
      <c r="J712" s="48"/>
      <c r="K712" s="48"/>
      <c r="L712" s="48"/>
      <c r="M712" s="48"/>
      <c r="N712" s="48"/>
      <c r="O712" s="48"/>
      <c r="P712" s="48"/>
      <c r="Q712" s="48"/>
      <c r="R712" s="48"/>
      <c r="S712" s="48"/>
      <c r="T712" s="48"/>
      <c r="U712" s="48"/>
      <c r="V712" s="48"/>
      <c r="W712" s="48"/>
      <c r="X712" s="48"/>
      <c r="Y712" s="48"/>
      <c r="Z712" s="48"/>
    </row>
    <row r="713" ht="23.25" customHeight="1">
      <c r="A713" s="48"/>
      <c r="B713" s="48"/>
      <c r="C713" s="48"/>
      <c r="D713" s="48"/>
      <c r="E713" s="48"/>
      <c r="F713" s="48"/>
      <c r="G713" s="80"/>
      <c r="H713" s="80"/>
      <c r="I713" s="48"/>
      <c r="J713" s="48"/>
      <c r="K713" s="48"/>
      <c r="L713" s="48"/>
      <c r="M713" s="48"/>
      <c r="N713" s="48"/>
      <c r="O713" s="48"/>
      <c r="P713" s="48"/>
      <c r="Q713" s="48"/>
      <c r="R713" s="48"/>
      <c r="S713" s="48"/>
      <c r="T713" s="48"/>
      <c r="U713" s="48"/>
      <c r="V713" s="48"/>
      <c r="W713" s="48"/>
      <c r="X713" s="48"/>
      <c r="Y713" s="48"/>
      <c r="Z713" s="48"/>
    </row>
    <row r="714" ht="23.25" customHeight="1">
      <c r="A714" s="48"/>
      <c r="B714" s="48"/>
      <c r="C714" s="48"/>
      <c r="D714" s="48"/>
      <c r="E714" s="48"/>
      <c r="F714" s="48"/>
      <c r="G714" s="80"/>
      <c r="H714" s="80"/>
      <c r="I714" s="48"/>
      <c r="J714" s="48"/>
      <c r="K714" s="48"/>
      <c r="L714" s="48"/>
      <c r="M714" s="48"/>
      <c r="N714" s="48"/>
      <c r="O714" s="48"/>
      <c r="P714" s="48"/>
      <c r="Q714" s="48"/>
      <c r="R714" s="48"/>
      <c r="S714" s="48"/>
      <c r="T714" s="48"/>
      <c r="U714" s="48"/>
      <c r="V714" s="48"/>
      <c r="W714" s="48"/>
      <c r="X714" s="48"/>
      <c r="Y714" s="48"/>
      <c r="Z714" s="48"/>
    </row>
    <row r="715" ht="23.25" customHeight="1">
      <c r="A715" s="48"/>
      <c r="B715" s="48"/>
      <c r="C715" s="48"/>
      <c r="D715" s="48"/>
      <c r="E715" s="48"/>
      <c r="F715" s="48"/>
      <c r="G715" s="80"/>
      <c r="H715" s="80"/>
      <c r="I715" s="48"/>
      <c r="J715" s="48"/>
      <c r="K715" s="48"/>
      <c r="L715" s="48"/>
      <c r="M715" s="48"/>
      <c r="N715" s="48"/>
      <c r="O715" s="48"/>
      <c r="P715" s="48"/>
      <c r="Q715" s="48"/>
      <c r="R715" s="48"/>
      <c r="S715" s="48"/>
      <c r="T715" s="48"/>
      <c r="U715" s="48"/>
      <c r="V715" s="48"/>
      <c r="W715" s="48"/>
      <c r="X715" s="48"/>
      <c r="Y715" s="48"/>
      <c r="Z715" s="48"/>
    </row>
    <row r="716" ht="23.25" customHeight="1">
      <c r="A716" s="48"/>
      <c r="B716" s="48"/>
      <c r="C716" s="48"/>
      <c r="D716" s="48"/>
      <c r="E716" s="48"/>
      <c r="F716" s="48"/>
      <c r="G716" s="80"/>
      <c r="H716" s="80"/>
      <c r="I716" s="48"/>
      <c r="J716" s="48"/>
      <c r="K716" s="48"/>
      <c r="L716" s="48"/>
      <c r="M716" s="48"/>
      <c r="N716" s="48"/>
      <c r="O716" s="48"/>
      <c r="P716" s="48"/>
      <c r="Q716" s="48"/>
      <c r="R716" s="48"/>
      <c r="S716" s="48"/>
      <c r="T716" s="48"/>
      <c r="U716" s="48"/>
      <c r="V716" s="48"/>
      <c r="W716" s="48"/>
      <c r="X716" s="48"/>
      <c r="Y716" s="48"/>
      <c r="Z716" s="48"/>
    </row>
    <row r="717" ht="23.25" customHeight="1">
      <c r="A717" s="48"/>
      <c r="B717" s="48"/>
      <c r="C717" s="48"/>
      <c r="D717" s="48"/>
      <c r="E717" s="48"/>
      <c r="F717" s="48"/>
      <c r="G717" s="80"/>
      <c r="H717" s="80"/>
      <c r="I717" s="48"/>
      <c r="J717" s="48"/>
      <c r="K717" s="48"/>
      <c r="L717" s="48"/>
      <c r="M717" s="48"/>
      <c r="N717" s="48"/>
      <c r="O717" s="48"/>
      <c r="P717" s="48"/>
      <c r="Q717" s="48"/>
      <c r="R717" s="48"/>
      <c r="S717" s="48"/>
      <c r="T717" s="48"/>
      <c r="U717" s="48"/>
      <c r="V717" s="48"/>
      <c r="W717" s="48"/>
      <c r="X717" s="48"/>
      <c r="Y717" s="48"/>
      <c r="Z717" s="48"/>
    </row>
    <row r="718" ht="23.25" customHeight="1">
      <c r="A718" s="48"/>
      <c r="B718" s="48"/>
      <c r="C718" s="48"/>
      <c r="D718" s="48"/>
      <c r="E718" s="48"/>
      <c r="F718" s="48"/>
      <c r="G718" s="80"/>
      <c r="H718" s="80"/>
      <c r="I718" s="48"/>
      <c r="J718" s="48"/>
      <c r="K718" s="48"/>
      <c r="L718" s="48"/>
      <c r="M718" s="48"/>
      <c r="N718" s="48"/>
      <c r="O718" s="48"/>
      <c r="P718" s="48"/>
      <c r="Q718" s="48"/>
      <c r="R718" s="48"/>
      <c r="S718" s="48"/>
      <c r="T718" s="48"/>
      <c r="U718" s="48"/>
      <c r="V718" s="48"/>
      <c r="W718" s="48"/>
      <c r="X718" s="48"/>
      <c r="Y718" s="48"/>
      <c r="Z718" s="48"/>
    </row>
    <row r="719" ht="23.25" customHeight="1">
      <c r="A719" s="48"/>
      <c r="B719" s="48"/>
      <c r="C719" s="48"/>
      <c r="D719" s="48"/>
      <c r="E719" s="48"/>
      <c r="F719" s="48"/>
      <c r="G719" s="80"/>
      <c r="H719" s="80"/>
      <c r="I719" s="48"/>
      <c r="J719" s="48"/>
      <c r="K719" s="48"/>
      <c r="L719" s="48"/>
      <c r="M719" s="48"/>
      <c r="N719" s="48"/>
      <c r="O719" s="48"/>
      <c r="P719" s="48"/>
      <c r="Q719" s="48"/>
      <c r="R719" s="48"/>
      <c r="S719" s="48"/>
      <c r="T719" s="48"/>
      <c r="U719" s="48"/>
      <c r="V719" s="48"/>
      <c r="W719" s="48"/>
      <c r="X719" s="48"/>
      <c r="Y719" s="48"/>
      <c r="Z719" s="48"/>
    </row>
    <row r="720" ht="23.25" customHeight="1">
      <c r="A720" s="48"/>
      <c r="B720" s="48"/>
      <c r="C720" s="48"/>
      <c r="D720" s="48"/>
      <c r="E720" s="48"/>
      <c r="F720" s="48"/>
      <c r="G720" s="80"/>
      <c r="H720" s="80"/>
      <c r="I720" s="48"/>
      <c r="J720" s="48"/>
      <c r="K720" s="48"/>
      <c r="L720" s="48"/>
      <c r="M720" s="48"/>
      <c r="N720" s="48"/>
      <c r="O720" s="48"/>
      <c r="P720" s="48"/>
      <c r="Q720" s="48"/>
      <c r="R720" s="48"/>
      <c r="S720" s="48"/>
      <c r="T720" s="48"/>
      <c r="U720" s="48"/>
      <c r="V720" s="48"/>
      <c r="W720" s="48"/>
      <c r="X720" s="48"/>
      <c r="Y720" s="48"/>
      <c r="Z720" s="48"/>
    </row>
    <row r="721" ht="23.25" customHeight="1">
      <c r="A721" s="48"/>
      <c r="B721" s="48"/>
      <c r="C721" s="48"/>
      <c r="D721" s="48"/>
      <c r="E721" s="48"/>
      <c r="F721" s="48"/>
      <c r="G721" s="80"/>
      <c r="H721" s="80"/>
      <c r="I721" s="48"/>
      <c r="J721" s="48"/>
      <c r="K721" s="48"/>
      <c r="L721" s="48"/>
      <c r="M721" s="48"/>
      <c r="N721" s="48"/>
      <c r="O721" s="48"/>
      <c r="P721" s="48"/>
      <c r="Q721" s="48"/>
      <c r="R721" s="48"/>
      <c r="S721" s="48"/>
      <c r="T721" s="48"/>
      <c r="U721" s="48"/>
      <c r="V721" s="48"/>
      <c r="W721" s="48"/>
      <c r="X721" s="48"/>
      <c r="Y721" s="48"/>
      <c r="Z721" s="48"/>
    </row>
    <row r="722" ht="23.25" customHeight="1">
      <c r="A722" s="48"/>
      <c r="B722" s="48"/>
      <c r="C722" s="48"/>
      <c r="D722" s="48"/>
      <c r="E722" s="48"/>
      <c r="F722" s="48"/>
      <c r="G722" s="80"/>
      <c r="H722" s="80"/>
      <c r="I722" s="48"/>
      <c r="J722" s="48"/>
      <c r="K722" s="48"/>
      <c r="L722" s="48"/>
      <c r="M722" s="48"/>
      <c r="N722" s="48"/>
      <c r="O722" s="48"/>
      <c r="P722" s="48"/>
      <c r="Q722" s="48"/>
      <c r="R722" s="48"/>
      <c r="S722" s="48"/>
      <c r="T722" s="48"/>
      <c r="U722" s="48"/>
      <c r="V722" s="48"/>
      <c r="W722" s="48"/>
      <c r="X722" s="48"/>
      <c r="Y722" s="48"/>
      <c r="Z722" s="48"/>
    </row>
    <row r="723" ht="23.25" customHeight="1">
      <c r="A723" s="48"/>
      <c r="B723" s="48"/>
      <c r="C723" s="48"/>
      <c r="D723" s="48"/>
      <c r="E723" s="48"/>
      <c r="F723" s="48"/>
      <c r="G723" s="80"/>
      <c r="H723" s="80"/>
      <c r="I723" s="48"/>
      <c r="J723" s="48"/>
      <c r="K723" s="48"/>
      <c r="L723" s="48"/>
      <c r="M723" s="48"/>
      <c r="N723" s="48"/>
      <c r="O723" s="48"/>
      <c r="P723" s="48"/>
      <c r="Q723" s="48"/>
      <c r="R723" s="48"/>
      <c r="S723" s="48"/>
      <c r="T723" s="48"/>
      <c r="U723" s="48"/>
      <c r="V723" s="48"/>
      <c r="W723" s="48"/>
      <c r="X723" s="48"/>
      <c r="Y723" s="48"/>
      <c r="Z723" s="48"/>
    </row>
    <row r="724" ht="23.25" customHeight="1">
      <c r="A724" s="48"/>
      <c r="B724" s="48"/>
      <c r="C724" s="48"/>
      <c r="D724" s="48"/>
      <c r="E724" s="48"/>
      <c r="F724" s="48"/>
      <c r="G724" s="80"/>
      <c r="H724" s="80"/>
      <c r="I724" s="48"/>
      <c r="J724" s="48"/>
      <c r="K724" s="48"/>
      <c r="L724" s="48"/>
      <c r="M724" s="48"/>
      <c r="N724" s="48"/>
      <c r="O724" s="48"/>
      <c r="P724" s="48"/>
      <c r="Q724" s="48"/>
      <c r="R724" s="48"/>
      <c r="S724" s="48"/>
      <c r="T724" s="48"/>
      <c r="U724" s="48"/>
      <c r="V724" s="48"/>
      <c r="W724" s="48"/>
      <c r="X724" s="48"/>
      <c r="Y724" s="48"/>
      <c r="Z724" s="48"/>
    </row>
    <row r="725" ht="23.25" customHeight="1">
      <c r="A725" s="48"/>
      <c r="B725" s="48"/>
      <c r="C725" s="48"/>
      <c r="D725" s="48"/>
      <c r="E725" s="48"/>
      <c r="F725" s="48"/>
      <c r="G725" s="80"/>
      <c r="H725" s="80"/>
      <c r="I725" s="48"/>
      <c r="J725" s="48"/>
      <c r="K725" s="48"/>
      <c r="L725" s="48"/>
      <c r="M725" s="48"/>
      <c r="N725" s="48"/>
      <c r="O725" s="48"/>
      <c r="P725" s="48"/>
      <c r="Q725" s="48"/>
      <c r="R725" s="48"/>
      <c r="S725" s="48"/>
      <c r="T725" s="48"/>
      <c r="U725" s="48"/>
      <c r="V725" s="48"/>
      <c r="W725" s="48"/>
      <c r="X725" s="48"/>
      <c r="Y725" s="48"/>
      <c r="Z725" s="48"/>
    </row>
    <row r="726" ht="23.25" customHeight="1">
      <c r="A726" s="48"/>
      <c r="B726" s="48"/>
      <c r="C726" s="48"/>
      <c r="D726" s="48"/>
      <c r="E726" s="48"/>
      <c r="F726" s="48"/>
      <c r="G726" s="80"/>
      <c r="H726" s="80"/>
      <c r="I726" s="48"/>
      <c r="J726" s="48"/>
      <c r="K726" s="48"/>
      <c r="L726" s="48"/>
      <c r="M726" s="48"/>
      <c r="N726" s="48"/>
      <c r="O726" s="48"/>
      <c r="P726" s="48"/>
      <c r="Q726" s="48"/>
      <c r="R726" s="48"/>
      <c r="S726" s="48"/>
      <c r="T726" s="48"/>
      <c r="U726" s="48"/>
      <c r="V726" s="48"/>
      <c r="W726" s="48"/>
      <c r="X726" s="48"/>
      <c r="Y726" s="48"/>
      <c r="Z726" s="48"/>
    </row>
    <row r="727" ht="23.25" customHeight="1">
      <c r="A727" s="48"/>
      <c r="B727" s="48"/>
      <c r="C727" s="48"/>
      <c r="D727" s="48"/>
      <c r="E727" s="48"/>
      <c r="F727" s="48"/>
      <c r="G727" s="80"/>
      <c r="H727" s="80"/>
      <c r="I727" s="48"/>
      <c r="J727" s="48"/>
      <c r="K727" s="48"/>
      <c r="L727" s="48"/>
      <c r="M727" s="48"/>
      <c r="N727" s="48"/>
      <c r="O727" s="48"/>
      <c r="P727" s="48"/>
      <c r="Q727" s="48"/>
      <c r="R727" s="48"/>
      <c r="S727" s="48"/>
      <c r="T727" s="48"/>
      <c r="U727" s="48"/>
      <c r="V727" s="48"/>
      <c r="W727" s="48"/>
      <c r="X727" s="48"/>
      <c r="Y727" s="48"/>
      <c r="Z727" s="48"/>
    </row>
    <row r="728" ht="23.25" customHeight="1">
      <c r="A728" s="48"/>
      <c r="B728" s="48"/>
      <c r="C728" s="48"/>
      <c r="D728" s="48"/>
      <c r="E728" s="48"/>
      <c r="F728" s="48"/>
      <c r="G728" s="80"/>
      <c r="H728" s="80"/>
      <c r="I728" s="48"/>
      <c r="J728" s="48"/>
      <c r="K728" s="48"/>
      <c r="L728" s="48"/>
      <c r="M728" s="48"/>
      <c r="N728" s="48"/>
      <c r="O728" s="48"/>
      <c r="P728" s="48"/>
      <c r="Q728" s="48"/>
      <c r="R728" s="48"/>
      <c r="S728" s="48"/>
      <c r="T728" s="48"/>
      <c r="U728" s="48"/>
      <c r="V728" s="48"/>
      <c r="W728" s="48"/>
      <c r="X728" s="48"/>
      <c r="Y728" s="48"/>
      <c r="Z728" s="48"/>
    </row>
    <row r="729" ht="23.25" customHeight="1">
      <c r="A729" s="48"/>
      <c r="B729" s="48"/>
      <c r="C729" s="48"/>
      <c r="D729" s="48"/>
      <c r="E729" s="48"/>
      <c r="F729" s="48"/>
      <c r="G729" s="80"/>
      <c r="H729" s="80"/>
      <c r="I729" s="48"/>
      <c r="J729" s="48"/>
      <c r="K729" s="48"/>
      <c r="L729" s="48"/>
      <c r="M729" s="48"/>
      <c r="N729" s="48"/>
      <c r="O729" s="48"/>
      <c r="P729" s="48"/>
      <c r="Q729" s="48"/>
      <c r="R729" s="48"/>
      <c r="S729" s="48"/>
      <c r="T729" s="48"/>
      <c r="U729" s="48"/>
      <c r="V729" s="48"/>
      <c r="W729" s="48"/>
      <c r="X729" s="48"/>
      <c r="Y729" s="48"/>
      <c r="Z729" s="48"/>
    </row>
    <row r="730" ht="23.25" customHeight="1">
      <c r="A730" s="48"/>
      <c r="B730" s="48"/>
      <c r="C730" s="48"/>
      <c r="D730" s="48"/>
      <c r="E730" s="48"/>
      <c r="F730" s="48"/>
      <c r="G730" s="80"/>
      <c r="H730" s="80"/>
      <c r="I730" s="48"/>
      <c r="J730" s="48"/>
      <c r="K730" s="48"/>
      <c r="L730" s="48"/>
      <c r="M730" s="48"/>
      <c r="N730" s="48"/>
      <c r="O730" s="48"/>
      <c r="P730" s="48"/>
      <c r="Q730" s="48"/>
      <c r="R730" s="48"/>
      <c r="S730" s="48"/>
      <c r="T730" s="48"/>
      <c r="U730" s="48"/>
      <c r="V730" s="48"/>
      <c r="W730" s="48"/>
      <c r="X730" s="48"/>
      <c r="Y730" s="48"/>
      <c r="Z730" s="48"/>
    </row>
    <row r="731" ht="23.25" customHeight="1">
      <c r="A731" s="48"/>
      <c r="B731" s="48"/>
      <c r="C731" s="48"/>
      <c r="D731" s="48"/>
      <c r="E731" s="48"/>
      <c r="F731" s="48"/>
      <c r="G731" s="80"/>
      <c r="H731" s="80"/>
      <c r="I731" s="48"/>
      <c r="J731" s="48"/>
      <c r="K731" s="48"/>
      <c r="L731" s="48"/>
      <c r="M731" s="48"/>
      <c r="N731" s="48"/>
      <c r="O731" s="48"/>
      <c r="P731" s="48"/>
      <c r="Q731" s="48"/>
      <c r="R731" s="48"/>
      <c r="S731" s="48"/>
      <c r="T731" s="48"/>
      <c r="U731" s="48"/>
      <c r="V731" s="48"/>
      <c r="W731" s="48"/>
      <c r="X731" s="48"/>
      <c r="Y731" s="48"/>
      <c r="Z731" s="48"/>
    </row>
    <row r="732" ht="23.25" customHeight="1">
      <c r="A732" s="48"/>
      <c r="B732" s="48"/>
      <c r="C732" s="48"/>
      <c r="D732" s="48"/>
      <c r="E732" s="48"/>
      <c r="F732" s="48"/>
      <c r="G732" s="80"/>
      <c r="H732" s="80"/>
      <c r="I732" s="48"/>
      <c r="J732" s="48"/>
      <c r="K732" s="48"/>
      <c r="L732" s="48"/>
      <c r="M732" s="48"/>
      <c r="N732" s="48"/>
      <c r="O732" s="48"/>
      <c r="P732" s="48"/>
      <c r="Q732" s="48"/>
      <c r="R732" s="48"/>
      <c r="S732" s="48"/>
      <c r="T732" s="48"/>
      <c r="U732" s="48"/>
      <c r="V732" s="48"/>
      <c r="W732" s="48"/>
      <c r="X732" s="48"/>
      <c r="Y732" s="48"/>
      <c r="Z732" s="48"/>
    </row>
    <row r="733" ht="23.25" customHeight="1">
      <c r="A733" s="48"/>
      <c r="B733" s="48"/>
      <c r="C733" s="48"/>
      <c r="D733" s="48"/>
      <c r="E733" s="48"/>
      <c r="F733" s="48"/>
      <c r="G733" s="80"/>
      <c r="H733" s="80"/>
      <c r="I733" s="48"/>
      <c r="J733" s="48"/>
      <c r="K733" s="48"/>
      <c r="L733" s="48"/>
      <c r="M733" s="48"/>
      <c r="N733" s="48"/>
      <c r="O733" s="48"/>
      <c r="P733" s="48"/>
      <c r="Q733" s="48"/>
      <c r="R733" s="48"/>
      <c r="S733" s="48"/>
      <c r="T733" s="48"/>
      <c r="U733" s="48"/>
      <c r="V733" s="48"/>
      <c r="W733" s="48"/>
      <c r="X733" s="48"/>
      <c r="Y733" s="48"/>
      <c r="Z733" s="48"/>
    </row>
    <row r="734" ht="23.25" customHeight="1">
      <c r="A734" s="48"/>
      <c r="B734" s="48"/>
      <c r="C734" s="48"/>
      <c r="D734" s="48"/>
      <c r="E734" s="48"/>
      <c r="F734" s="48"/>
      <c r="G734" s="80"/>
      <c r="H734" s="80"/>
      <c r="I734" s="48"/>
      <c r="J734" s="48"/>
      <c r="K734" s="48"/>
      <c r="L734" s="48"/>
      <c r="M734" s="48"/>
      <c r="N734" s="48"/>
      <c r="O734" s="48"/>
      <c r="P734" s="48"/>
      <c r="Q734" s="48"/>
      <c r="R734" s="48"/>
      <c r="S734" s="48"/>
      <c r="T734" s="48"/>
      <c r="U734" s="48"/>
      <c r="V734" s="48"/>
      <c r="W734" s="48"/>
      <c r="X734" s="48"/>
      <c r="Y734" s="48"/>
      <c r="Z734" s="48"/>
    </row>
    <row r="735" ht="23.25" customHeight="1">
      <c r="A735" s="48"/>
      <c r="B735" s="48"/>
      <c r="C735" s="48"/>
      <c r="D735" s="48"/>
      <c r="E735" s="48"/>
      <c r="F735" s="48"/>
      <c r="G735" s="80"/>
      <c r="H735" s="80"/>
      <c r="I735" s="48"/>
      <c r="J735" s="48"/>
      <c r="K735" s="48"/>
      <c r="L735" s="48"/>
      <c r="M735" s="48"/>
      <c r="N735" s="48"/>
      <c r="O735" s="48"/>
      <c r="P735" s="48"/>
      <c r="Q735" s="48"/>
      <c r="R735" s="48"/>
      <c r="S735" s="48"/>
      <c r="T735" s="48"/>
      <c r="U735" s="48"/>
      <c r="V735" s="48"/>
      <c r="W735" s="48"/>
      <c r="X735" s="48"/>
      <c r="Y735" s="48"/>
      <c r="Z735" s="48"/>
    </row>
    <row r="736" ht="23.25" customHeight="1">
      <c r="A736" s="48"/>
      <c r="B736" s="48"/>
      <c r="C736" s="48"/>
      <c r="D736" s="48"/>
      <c r="E736" s="48"/>
      <c r="F736" s="48"/>
      <c r="G736" s="80"/>
      <c r="H736" s="80"/>
      <c r="I736" s="48"/>
      <c r="J736" s="48"/>
      <c r="K736" s="48"/>
      <c r="L736" s="48"/>
      <c r="M736" s="48"/>
      <c r="N736" s="48"/>
      <c r="O736" s="48"/>
      <c r="P736" s="48"/>
      <c r="Q736" s="48"/>
      <c r="R736" s="48"/>
      <c r="S736" s="48"/>
      <c r="T736" s="48"/>
      <c r="U736" s="48"/>
      <c r="V736" s="48"/>
      <c r="W736" s="48"/>
      <c r="X736" s="48"/>
      <c r="Y736" s="48"/>
      <c r="Z736" s="48"/>
    </row>
    <row r="737" ht="23.25" customHeight="1">
      <c r="A737" s="48"/>
      <c r="B737" s="48"/>
      <c r="C737" s="48"/>
      <c r="D737" s="48"/>
      <c r="E737" s="48"/>
      <c r="F737" s="48"/>
      <c r="G737" s="80"/>
      <c r="H737" s="80"/>
      <c r="I737" s="48"/>
      <c r="J737" s="48"/>
      <c r="K737" s="48"/>
      <c r="L737" s="48"/>
      <c r="M737" s="48"/>
      <c r="N737" s="48"/>
      <c r="O737" s="48"/>
      <c r="P737" s="48"/>
      <c r="Q737" s="48"/>
      <c r="R737" s="48"/>
      <c r="S737" s="48"/>
      <c r="T737" s="48"/>
      <c r="U737" s="48"/>
      <c r="V737" s="48"/>
      <c r="W737" s="48"/>
      <c r="X737" s="48"/>
      <c r="Y737" s="48"/>
      <c r="Z737" s="48"/>
    </row>
    <row r="738" ht="23.25" customHeight="1">
      <c r="A738" s="48"/>
      <c r="B738" s="48"/>
      <c r="C738" s="48"/>
      <c r="D738" s="48"/>
      <c r="E738" s="48"/>
      <c r="F738" s="48"/>
      <c r="G738" s="80"/>
      <c r="H738" s="80"/>
      <c r="I738" s="48"/>
      <c r="J738" s="48"/>
      <c r="K738" s="48"/>
      <c r="L738" s="48"/>
      <c r="M738" s="48"/>
      <c r="N738" s="48"/>
      <c r="O738" s="48"/>
      <c r="P738" s="48"/>
      <c r="Q738" s="48"/>
      <c r="R738" s="48"/>
      <c r="S738" s="48"/>
      <c r="T738" s="48"/>
      <c r="U738" s="48"/>
      <c r="V738" s="48"/>
      <c r="W738" s="48"/>
      <c r="X738" s="48"/>
      <c r="Y738" s="48"/>
      <c r="Z738" s="48"/>
    </row>
    <row r="739" ht="23.25" customHeight="1">
      <c r="A739" s="48"/>
      <c r="B739" s="48"/>
      <c r="C739" s="48"/>
      <c r="D739" s="48"/>
      <c r="E739" s="48"/>
      <c r="F739" s="48"/>
      <c r="G739" s="80"/>
      <c r="H739" s="80"/>
      <c r="I739" s="48"/>
      <c r="J739" s="48"/>
      <c r="K739" s="48"/>
      <c r="L739" s="48"/>
      <c r="M739" s="48"/>
      <c r="N739" s="48"/>
      <c r="O739" s="48"/>
      <c r="P739" s="48"/>
      <c r="Q739" s="48"/>
      <c r="R739" s="48"/>
      <c r="S739" s="48"/>
      <c r="T739" s="48"/>
      <c r="U739" s="48"/>
      <c r="V739" s="48"/>
      <c r="W739" s="48"/>
      <c r="X739" s="48"/>
      <c r="Y739" s="48"/>
      <c r="Z739" s="48"/>
    </row>
    <row r="740" ht="23.25" customHeight="1">
      <c r="A740" s="48"/>
      <c r="B740" s="48"/>
      <c r="C740" s="48"/>
      <c r="D740" s="48"/>
      <c r="E740" s="48"/>
      <c r="F740" s="48"/>
      <c r="G740" s="80"/>
      <c r="H740" s="80"/>
      <c r="I740" s="48"/>
      <c r="J740" s="48"/>
      <c r="K740" s="48"/>
      <c r="L740" s="48"/>
      <c r="M740" s="48"/>
      <c r="N740" s="48"/>
      <c r="O740" s="48"/>
      <c r="P740" s="48"/>
      <c r="Q740" s="48"/>
      <c r="R740" s="48"/>
      <c r="S740" s="48"/>
      <c r="T740" s="48"/>
      <c r="U740" s="48"/>
      <c r="V740" s="48"/>
      <c r="W740" s="48"/>
      <c r="X740" s="48"/>
      <c r="Y740" s="48"/>
      <c r="Z740" s="48"/>
    </row>
    <row r="741" ht="23.25" customHeight="1">
      <c r="A741" s="48"/>
      <c r="B741" s="48"/>
      <c r="C741" s="48"/>
      <c r="D741" s="48"/>
      <c r="E741" s="48"/>
      <c r="F741" s="48"/>
      <c r="G741" s="80"/>
      <c r="H741" s="80"/>
      <c r="I741" s="48"/>
      <c r="J741" s="48"/>
      <c r="K741" s="48"/>
      <c r="L741" s="48"/>
      <c r="M741" s="48"/>
      <c r="N741" s="48"/>
      <c r="O741" s="48"/>
      <c r="P741" s="48"/>
      <c r="Q741" s="48"/>
      <c r="R741" s="48"/>
      <c r="S741" s="48"/>
      <c r="T741" s="48"/>
      <c r="U741" s="48"/>
      <c r="V741" s="48"/>
      <c r="W741" s="48"/>
      <c r="X741" s="48"/>
      <c r="Y741" s="48"/>
      <c r="Z741" s="48"/>
    </row>
    <row r="742" ht="23.25" customHeight="1">
      <c r="A742" s="48"/>
      <c r="B742" s="48"/>
      <c r="C742" s="48"/>
      <c r="D742" s="48"/>
      <c r="E742" s="48"/>
      <c r="F742" s="48"/>
      <c r="G742" s="80"/>
      <c r="H742" s="80"/>
      <c r="I742" s="48"/>
      <c r="J742" s="48"/>
      <c r="K742" s="48"/>
      <c r="L742" s="48"/>
      <c r="M742" s="48"/>
      <c r="N742" s="48"/>
      <c r="O742" s="48"/>
      <c r="P742" s="48"/>
      <c r="Q742" s="48"/>
      <c r="R742" s="48"/>
      <c r="S742" s="48"/>
      <c r="T742" s="48"/>
      <c r="U742" s="48"/>
      <c r="V742" s="48"/>
      <c r="W742" s="48"/>
      <c r="X742" s="48"/>
      <c r="Y742" s="48"/>
      <c r="Z742" s="48"/>
    </row>
    <row r="743" ht="23.25" customHeight="1">
      <c r="A743" s="48"/>
      <c r="B743" s="48"/>
      <c r="C743" s="48"/>
      <c r="D743" s="48"/>
      <c r="E743" s="48"/>
      <c r="F743" s="48"/>
      <c r="G743" s="80"/>
      <c r="H743" s="80"/>
      <c r="I743" s="48"/>
      <c r="J743" s="48"/>
      <c r="K743" s="48"/>
      <c r="L743" s="48"/>
      <c r="M743" s="48"/>
      <c r="N743" s="48"/>
      <c r="O743" s="48"/>
      <c r="P743" s="48"/>
      <c r="Q743" s="48"/>
      <c r="R743" s="48"/>
      <c r="S743" s="48"/>
      <c r="T743" s="48"/>
      <c r="U743" s="48"/>
      <c r="V743" s="48"/>
      <c r="W743" s="48"/>
      <c r="X743" s="48"/>
      <c r="Y743" s="48"/>
      <c r="Z743" s="48"/>
    </row>
    <row r="744" ht="23.25" customHeight="1">
      <c r="A744" s="48"/>
      <c r="B744" s="48"/>
      <c r="C744" s="48"/>
      <c r="D744" s="48"/>
      <c r="E744" s="48"/>
      <c r="F744" s="48"/>
      <c r="G744" s="80"/>
      <c r="H744" s="80"/>
      <c r="I744" s="48"/>
      <c r="J744" s="48"/>
      <c r="K744" s="48"/>
      <c r="L744" s="48"/>
      <c r="M744" s="48"/>
      <c r="N744" s="48"/>
      <c r="O744" s="48"/>
      <c r="P744" s="48"/>
      <c r="Q744" s="48"/>
      <c r="R744" s="48"/>
      <c r="S744" s="48"/>
      <c r="T744" s="48"/>
      <c r="U744" s="48"/>
      <c r="V744" s="48"/>
      <c r="W744" s="48"/>
      <c r="X744" s="48"/>
      <c r="Y744" s="48"/>
      <c r="Z744" s="48"/>
    </row>
    <row r="745" ht="23.25" customHeight="1">
      <c r="A745" s="48"/>
      <c r="B745" s="48"/>
      <c r="C745" s="48"/>
      <c r="D745" s="48"/>
      <c r="E745" s="48"/>
      <c r="F745" s="48"/>
      <c r="G745" s="80"/>
      <c r="H745" s="80"/>
      <c r="I745" s="48"/>
      <c r="J745" s="48"/>
      <c r="K745" s="48"/>
      <c r="L745" s="48"/>
      <c r="M745" s="48"/>
      <c r="N745" s="48"/>
      <c r="O745" s="48"/>
      <c r="P745" s="48"/>
      <c r="Q745" s="48"/>
      <c r="R745" s="48"/>
      <c r="S745" s="48"/>
      <c r="T745" s="48"/>
      <c r="U745" s="48"/>
      <c r="V745" s="48"/>
      <c r="W745" s="48"/>
      <c r="X745" s="48"/>
      <c r="Y745" s="48"/>
      <c r="Z745" s="48"/>
    </row>
    <row r="746" ht="23.25" customHeight="1">
      <c r="A746" s="48"/>
      <c r="B746" s="48"/>
      <c r="C746" s="48"/>
      <c r="D746" s="48"/>
      <c r="E746" s="48"/>
      <c r="F746" s="48"/>
      <c r="G746" s="80"/>
      <c r="H746" s="80"/>
      <c r="I746" s="48"/>
      <c r="J746" s="48"/>
      <c r="K746" s="48"/>
      <c r="L746" s="48"/>
      <c r="M746" s="48"/>
      <c r="N746" s="48"/>
      <c r="O746" s="48"/>
      <c r="P746" s="48"/>
      <c r="Q746" s="48"/>
      <c r="R746" s="48"/>
      <c r="S746" s="48"/>
      <c r="T746" s="48"/>
      <c r="U746" s="48"/>
      <c r="V746" s="48"/>
      <c r="W746" s="48"/>
      <c r="X746" s="48"/>
      <c r="Y746" s="48"/>
      <c r="Z746" s="48"/>
    </row>
    <row r="747" ht="23.25" customHeight="1">
      <c r="A747" s="48"/>
      <c r="B747" s="48"/>
      <c r="C747" s="48"/>
      <c r="D747" s="48"/>
      <c r="E747" s="48"/>
      <c r="F747" s="48"/>
      <c r="G747" s="80"/>
      <c r="H747" s="80"/>
      <c r="I747" s="48"/>
      <c r="J747" s="48"/>
      <c r="K747" s="48"/>
      <c r="L747" s="48"/>
      <c r="M747" s="48"/>
      <c r="N747" s="48"/>
      <c r="O747" s="48"/>
      <c r="P747" s="48"/>
      <c r="Q747" s="48"/>
      <c r="R747" s="48"/>
      <c r="S747" s="48"/>
      <c r="T747" s="48"/>
      <c r="U747" s="48"/>
      <c r="V747" s="48"/>
      <c r="W747" s="48"/>
      <c r="X747" s="48"/>
      <c r="Y747" s="48"/>
      <c r="Z747" s="48"/>
    </row>
    <row r="748" ht="23.25" customHeight="1">
      <c r="A748" s="48"/>
      <c r="B748" s="48"/>
      <c r="C748" s="48"/>
      <c r="D748" s="48"/>
      <c r="E748" s="48"/>
      <c r="F748" s="48"/>
      <c r="G748" s="80"/>
      <c r="H748" s="80"/>
      <c r="I748" s="48"/>
      <c r="J748" s="48"/>
      <c r="K748" s="48"/>
      <c r="L748" s="48"/>
      <c r="M748" s="48"/>
      <c r="N748" s="48"/>
      <c r="O748" s="48"/>
      <c r="P748" s="48"/>
      <c r="Q748" s="48"/>
      <c r="R748" s="48"/>
      <c r="S748" s="48"/>
      <c r="T748" s="48"/>
      <c r="U748" s="48"/>
      <c r="V748" s="48"/>
      <c r="W748" s="48"/>
      <c r="X748" s="48"/>
      <c r="Y748" s="48"/>
      <c r="Z748" s="48"/>
    </row>
    <row r="749" ht="23.25" customHeight="1">
      <c r="A749" s="48"/>
      <c r="B749" s="48"/>
      <c r="C749" s="48"/>
      <c r="D749" s="48"/>
      <c r="E749" s="48"/>
      <c r="F749" s="48"/>
      <c r="G749" s="80"/>
      <c r="H749" s="80"/>
      <c r="I749" s="48"/>
      <c r="J749" s="48"/>
      <c r="K749" s="48"/>
      <c r="L749" s="48"/>
      <c r="M749" s="48"/>
      <c r="N749" s="48"/>
      <c r="O749" s="48"/>
      <c r="P749" s="48"/>
      <c r="Q749" s="48"/>
      <c r="R749" s="48"/>
      <c r="S749" s="48"/>
      <c r="T749" s="48"/>
      <c r="U749" s="48"/>
      <c r="V749" s="48"/>
      <c r="W749" s="48"/>
      <c r="X749" s="48"/>
      <c r="Y749" s="48"/>
      <c r="Z749" s="48"/>
    </row>
    <row r="750" ht="23.25" customHeight="1">
      <c r="A750" s="48"/>
      <c r="B750" s="48"/>
      <c r="C750" s="48"/>
      <c r="D750" s="48"/>
      <c r="E750" s="48"/>
      <c r="F750" s="48"/>
      <c r="G750" s="80"/>
      <c r="H750" s="80"/>
      <c r="I750" s="48"/>
      <c r="J750" s="48"/>
      <c r="K750" s="48"/>
      <c r="L750" s="48"/>
      <c r="M750" s="48"/>
      <c r="N750" s="48"/>
      <c r="O750" s="48"/>
      <c r="P750" s="48"/>
      <c r="Q750" s="48"/>
      <c r="R750" s="48"/>
      <c r="S750" s="48"/>
      <c r="T750" s="48"/>
      <c r="U750" s="48"/>
      <c r="V750" s="48"/>
      <c r="W750" s="48"/>
      <c r="X750" s="48"/>
      <c r="Y750" s="48"/>
      <c r="Z750" s="48"/>
    </row>
    <row r="751" ht="23.25" customHeight="1">
      <c r="A751" s="48"/>
      <c r="B751" s="48"/>
      <c r="C751" s="48"/>
      <c r="D751" s="48"/>
      <c r="E751" s="48"/>
      <c r="F751" s="48"/>
      <c r="G751" s="80"/>
      <c r="H751" s="80"/>
      <c r="I751" s="48"/>
      <c r="J751" s="48"/>
      <c r="K751" s="48"/>
      <c r="L751" s="48"/>
      <c r="M751" s="48"/>
      <c r="N751" s="48"/>
      <c r="O751" s="48"/>
      <c r="P751" s="48"/>
      <c r="Q751" s="48"/>
      <c r="R751" s="48"/>
      <c r="S751" s="48"/>
      <c r="T751" s="48"/>
      <c r="U751" s="48"/>
      <c r="V751" s="48"/>
      <c r="W751" s="48"/>
      <c r="X751" s="48"/>
      <c r="Y751" s="48"/>
      <c r="Z751" s="48"/>
    </row>
    <row r="752" ht="23.25" customHeight="1">
      <c r="A752" s="48"/>
      <c r="B752" s="48"/>
      <c r="C752" s="48"/>
      <c r="D752" s="48"/>
      <c r="E752" s="48"/>
      <c r="F752" s="48"/>
      <c r="G752" s="80"/>
      <c r="H752" s="80"/>
      <c r="I752" s="48"/>
      <c r="J752" s="48"/>
      <c r="K752" s="48"/>
      <c r="L752" s="48"/>
      <c r="M752" s="48"/>
      <c r="N752" s="48"/>
      <c r="O752" s="48"/>
      <c r="P752" s="48"/>
      <c r="Q752" s="48"/>
      <c r="R752" s="48"/>
      <c r="S752" s="48"/>
      <c r="T752" s="48"/>
      <c r="U752" s="48"/>
      <c r="V752" s="48"/>
      <c r="W752" s="48"/>
      <c r="X752" s="48"/>
      <c r="Y752" s="48"/>
      <c r="Z752" s="48"/>
    </row>
    <row r="753" ht="23.25" customHeight="1">
      <c r="A753" s="48"/>
      <c r="B753" s="48"/>
      <c r="C753" s="48"/>
      <c r="D753" s="48"/>
      <c r="E753" s="48"/>
      <c r="F753" s="48"/>
      <c r="G753" s="80"/>
      <c r="H753" s="80"/>
      <c r="I753" s="48"/>
      <c r="J753" s="48"/>
      <c r="K753" s="48"/>
      <c r="L753" s="48"/>
      <c r="M753" s="48"/>
      <c r="N753" s="48"/>
      <c r="O753" s="48"/>
      <c r="P753" s="48"/>
      <c r="Q753" s="48"/>
      <c r="R753" s="48"/>
      <c r="S753" s="48"/>
      <c r="T753" s="48"/>
      <c r="U753" s="48"/>
      <c r="V753" s="48"/>
      <c r="W753" s="48"/>
      <c r="X753" s="48"/>
      <c r="Y753" s="48"/>
      <c r="Z753" s="48"/>
    </row>
    <row r="754" ht="23.25" customHeight="1">
      <c r="A754" s="48"/>
      <c r="B754" s="48"/>
      <c r="C754" s="48"/>
      <c r="D754" s="48"/>
      <c r="E754" s="48"/>
      <c r="F754" s="48"/>
      <c r="G754" s="80"/>
      <c r="H754" s="80"/>
      <c r="I754" s="48"/>
      <c r="J754" s="48"/>
      <c r="K754" s="48"/>
      <c r="L754" s="48"/>
      <c r="M754" s="48"/>
      <c r="N754" s="48"/>
      <c r="O754" s="48"/>
      <c r="P754" s="48"/>
      <c r="Q754" s="48"/>
      <c r="R754" s="48"/>
      <c r="S754" s="48"/>
      <c r="T754" s="48"/>
      <c r="U754" s="48"/>
      <c r="V754" s="48"/>
      <c r="W754" s="48"/>
      <c r="X754" s="48"/>
      <c r="Y754" s="48"/>
      <c r="Z754" s="48"/>
    </row>
    <row r="755" ht="23.25" customHeight="1">
      <c r="A755" s="48"/>
      <c r="B755" s="48"/>
      <c r="C755" s="48"/>
      <c r="D755" s="48"/>
      <c r="E755" s="48"/>
      <c r="F755" s="48"/>
      <c r="G755" s="80"/>
      <c r="H755" s="80"/>
      <c r="I755" s="48"/>
      <c r="J755" s="48"/>
      <c r="K755" s="48"/>
      <c r="L755" s="48"/>
      <c r="M755" s="48"/>
      <c r="N755" s="48"/>
      <c r="O755" s="48"/>
      <c r="P755" s="48"/>
      <c r="Q755" s="48"/>
      <c r="R755" s="48"/>
      <c r="S755" s="48"/>
      <c r="T755" s="48"/>
      <c r="U755" s="48"/>
      <c r="V755" s="48"/>
      <c r="W755" s="48"/>
      <c r="X755" s="48"/>
      <c r="Y755" s="48"/>
      <c r="Z755" s="48"/>
    </row>
    <row r="756" ht="23.25" customHeight="1">
      <c r="A756" s="48"/>
      <c r="B756" s="48"/>
      <c r="C756" s="48"/>
      <c r="D756" s="48"/>
      <c r="E756" s="48"/>
      <c r="F756" s="48"/>
      <c r="G756" s="80"/>
      <c r="H756" s="80"/>
      <c r="I756" s="48"/>
      <c r="J756" s="48"/>
      <c r="K756" s="48"/>
      <c r="L756" s="48"/>
      <c r="M756" s="48"/>
      <c r="N756" s="48"/>
      <c r="O756" s="48"/>
      <c r="P756" s="48"/>
      <c r="Q756" s="48"/>
      <c r="R756" s="48"/>
      <c r="S756" s="48"/>
      <c r="T756" s="48"/>
      <c r="U756" s="48"/>
      <c r="V756" s="48"/>
      <c r="W756" s="48"/>
      <c r="X756" s="48"/>
      <c r="Y756" s="48"/>
      <c r="Z756" s="48"/>
    </row>
    <row r="757" ht="23.25" customHeight="1">
      <c r="A757" s="48"/>
      <c r="B757" s="48"/>
      <c r="C757" s="48"/>
      <c r="D757" s="48"/>
      <c r="E757" s="48"/>
      <c r="F757" s="48"/>
      <c r="G757" s="80"/>
      <c r="H757" s="80"/>
      <c r="I757" s="48"/>
      <c r="J757" s="48"/>
      <c r="K757" s="48"/>
      <c r="L757" s="48"/>
      <c r="M757" s="48"/>
      <c r="N757" s="48"/>
      <c r="O757" s="48"/>
      <c r="P757" s="48"/>
      <c r="Q757" s="48"/>
      <c r="R757" s="48"/>
      <c r="S757" s="48"/>
      <c r="T757" s="48"/>
      <c r="U757" s="48"/>
      <c r="V757" s="48"/>
      <c r="W757" s="48"/>
      <c r="X757" s="48"/>
      <c r="Y757" s="48"/>
      <c r="Z757" s="48"/>
    </row>
    <row r="758" ht="23.25" customHeight="1">
      <c r="A758" s="48"/>
      <c r="B758" s="48"/>
      <c r="C758" s="48"/>
      <c r="D758" s="48"/>
      <c r="E758" s="48"/>
      <c r="F758" s="48"/>
      <c r="G758" s="80"/>
      <c r="H758" s="80"/>
      <c r="I758" s="48"/>
      <c r="J758" s="48"/>
      <c r="K758" s="48"/>
      <c r="L758" s="48"/>
      <c r="M758" s="48"/>
      <c r="N758" s="48"/>
      <c r="O758" s="48"/>
      <c r="P758" s="48"/>
      <c r="Q758" s="48"/>
      <c r="R758" s="48"/>
      <c r="S758" s="48"/>
      <c r="T758" s="48"/>
      <c r="U758" s="48"/>
      <c r="V758" s="48"/>
      <c r="W758" s="48"/>
      <c r="X758" s="48"/>
      <c r="Y758" s="48"/>
      <c r="Z758" s="48"/>
    </row>
    <row r="759" ht="23.25" customHeight="1">
      <c r="A759" s="48"/>
      <c r="B759" s="48"/>
      <c r="C759" s="48"/>
      <c r="D759" s="48"/>
      <c r="E759" s="48"/>
      <c r="F759" s="48"/>
      <c r="G759" s="80"/>
      <c r="H759" s="80"/>
      <c r="I759" s="48"/>
      <c r="J759" s="48"/>
      <c r="K759" s="48"/>
      <c r="L759" s="48"/>
      <c r="M759" s="48"/>
      <c r="N759" s="48"/>
      <c r="O759" s="48"/>
      <c r="P759" s="48"/>
      <c r="Q759" s="48"/>
      <c r="R759" s="48"/>
      <c r="S759" s="48"/>
      <c r="T759" s="48"/>
      <c r="U759" s="48"/>
      <c r="V759" s="48"/>
      <c r="W759" s="48"/>
      <c r="X759" s="48"/>
      <c r="Y759" s="48"/>
      <c r="Z759" s="48"/>
    </row>
    <row r="760" ht="23.25" customHeight="1">
      <c r="A760" s="48"/>
      <c r="B760" s="48"/>
      <c r="C760" s="48"/>
      <c r="D760" s="48"/>
      <c r="E760" s="48"/>
      <c r="F760" s="48"/>
      <c r="G760" s="80"/>
      <c r="H760" s="80"/>
      <c r="I760" s="48"/>
      <c r="J760" s="48"/>
      <c r="K760" s="48"/>
      <c r="L760" s="48"/>
      <c r="M760" s="48"/>
      <c r="N760" s="48"/>
      <c r="O760" s="48"/>
      <c r="P760" s="48"/>
      <c r="Q760" s="48"/>
      <c r="R760" s="48"/>
      <c r="S760" s="48"/>
      <c r="T760" s="48"/>
      <c r="U760" s="48"/>
      <c r="V760" s="48"/>
      <c r="W760" s="48"/>
      <c r="X760" s="48"/>
      <c r="Y760" s="48"/>
      <c r="Z760" s="48"/>
    </row>
    <row r="761" ht="23.25" customHeight="1">
      <c r="A761" s="48"/>
      <c r="B761" s="48"/>
      <c r="C761" s="48"/>
      <c r="D761" s="48"/>
      <c r="E761" s="48"/>
      <c r="F761" s="48"/>
      <c r="G761" s="80"/>
      <c r="H761" s="80"/>
      <c r="I761" s="48"/>
      <c r="J761" s="48"/>
      <c r="K761" s="48"/>
      <c r="L761" s="48"/>
      <c r="M761" s="48"/>
      <c r="N761" s="48"/>
      <c r="O761" s="48"/>
      <c r="P761" s="48"/>
      <c r="Q761" s="48"/>
      <c r="R761" s="48"/>
      <c r="S761" s="48"/>
      <c r="T761" s="48"/>
      <c r="U761" s="48"/>
      <c r="V761" s="48"/>
      <c r="W761" s="48"/>
      <c r="X761" s="48"/>
      <c r="Y761" s="48"/>
      <c r="Z761" s="48"/>
    </row>
    <row r="762" ht="23.25" customHeight="1">
      <c r="A762" s="48"/>
      <c r="B762" s="48"/>
      <c r="C762" s="48"/>
      <c r="D762" s="48"/>
      <c r="E762" s="48"/>
      <c r="F762" s="48"/>
      <c r="G762" s="80"/>
      <c r="H762" s="80"/>
      <c r="I762" s="48"/>
      <c r="J762" s="48"/>
      <c r="K762" s="48"/>
      <c r="L762" s="48"/>
      <c r="M762" s="48"/>
      <c r="N762" s="48"/>
      <c r="O762" s="48"/>
      <c r="P762" s="48"/>
      <c r="Q762" s="48"/>
      <c r="R762" s="48"/>
      <c r="S762" s="48"/>
      <c r="T762" s="48"/>
      <c r="U762" s="48"/>
      <c r="V762" s="48"/>
      <c r="W762" s="48"/>
      <c r="X762" s="48"/>
      <c r="Y762" s="48"/>
      <c r="Z762" s="48"/>
    </row>
    <row r="763" ht="23.25" customHeight="1">
      <c r="A763" s="48"/>
      <c r="B763" s="48"/>
      <c r="C763" s="48"/>
      <c r="D763" s="48"/>
      <c r="E763" s="48"/>
      <c r="F763" s="48"/>
      <c r="G763" s="80"/>
      <c r="H763" s="80"/>
      <c r="I763" s="48"/>
      <c r="J763" s="48"/>
      <c r="K763" s="48"/>
      <c r="L763" s="48"/>
      <c r="M763" s="48"/>
      <c r="N763" s="48"/>
      <c r="O763" s="48"/>
      <c r="P763" s="48"/>
      <c r="Q763" s="48"/>
      <c r="R763" s="48"/>
      <c r="S763" s="48"/>
      <c r="T763" s="48"/>
      <c r="U763" s="48"/>
      <c r="V763" s="48"/>
      <c r="W763" s="48"/>
      <c r="X763" s="48"/>
      <c r="Y763" s="48"/>
      <c r="Z763" s="48"/>
    </row>
    <row r="764" ht="23.25" customHeight="1">
      <c r="A764" s="48"/>
      <c r="B764" s="48"/>
      <c r="C764" s="48"/>
      <c r="D764" s="48"/>
      <c r="E764" s="48"/>
      <c r="F764" s="48"/>
      <c r="G764" s="80"/>
      <c r="H764" s="80"/>
      <c r="I764" s="48"/>
      <c r="J764" s="48"/>
      <c r="K764" s="48"/>
      <c r="L764" s="48"/>
      <c r="M764" s="48"/>
      <c r="N764" s="48"/>
      <c r="O764" s="48"/>
      <c r="P764" s="48"/>
      <c r="Q764" s="48"/>
      <c r="R764" s="48"/>
      <c r="S764" s="48"/>
      <c r="T764" s="48"/>
      <c r="U764" s="48"/>
      <c r="V764" s="48"/>
      <c r="W764" s="48"/>
      <c r="X764" s="48"/>
      <c r="Y764" s="48"/>
      <c r="Z764" s="48"/>
    </row>
    <row r="765" ht="23.25" customHeight="1">
      <c r="A765" s="48"/>
      <c r="B765" s="48"/>
      <c r="C765" s="48"/>
      <c r="D765" s="48"/>
      <c r="E765" s="48"/>
      <c r="F765" s="48"/>
      <c r="G765" s="80"/>
      <c r="H765" s="80"/>
      <c r="I765" s="48"/>
      <c r="J765" s="48"/>
      <c r="K765" s="48"/>
      <c r="L765" s="48"/>
      <c r="M765" s="48"/>
      <c r="N765" s="48"/>
      <c r="O765" s="48"/>
      <c r="P765" s="48"/>
      <c r="Q765" s="48"/>
      <c r="R765" s="48"/>
      <c r="S765" s="48"/>
      <c r="T765" s="48"/>
      <c r="U765" s="48"/>
      <c r="V765" s="48"/>
      <c r="W765" s="48"/>
      <c r="X765" s="48"/>
      <c r="Y765" s="48"/>
      <c r="Z765" s="48"/>
    </row>
    <row r="766" ht="23.25" customHeight="1">
      <c r="A766" s="48"/>
      <c r="B766" s="48"/>
      <c r="C766" s="48"/>
      <c r="D766" s="48"/>
      <c r="E766" s="48"/>
      <c r="F766" s="48"/>
      <c r="G766" s="80"/>
      <c r="H766" s="80"/>
      <c r="I766" s="48"/>
      <c r="J766" s="48"/>
      <c r="K766" s="48"/>
      <c r="L766" s="48"/>
      <c r="M766" s="48"/>
      <c r="N766" s="48"/>
      <c r="O766" s="48"/>
      <c r="P766" s="48"/>
      <c r="Q766" s="48"/>
      <c r="R766" s="48"/>
      <c r="S766" s="48"/>
      <c r="T766" s="48"/>
      <c r="U766" s="48"/>
      <c r="V766" s="48"/>
      <c r="W766" s="48"/>
      <c r="X766" s="48"/>
      <c r="Y766" s="48"/>
      <c r="Z766" s="48"/>
    </row>
    <row r="767" ht="23.25" customHeight="1">
      <c r="A767" s="48"/>
      <c r="B767" s="48"/>
      <c r="C767" s="48"/>
      <c r="D767" s="48"/>
      <c r="E767" s="48"/>
      <c r="F767" s="48"/>
      <c r="G767" s="80"/>
      <c r="H767" s="80"/>
      <c r="I767" s="48"/>
      <c r="J767" s="48"/>
      <c r="K767" s="48"/>
      <c r="L767" s="48"/>
      <c r="M767" s="48"/>
      <c r="N767" s="48"/>
      <c r="O767" s="48"/>
      <c r="P767" s="48"/>
      <c r="Q767" s="48"/>
      <c r="R767" s="48"/>
      <c r="S767" s="48"/>
      <c r="T767" s="48"/>
      <c r="U767" s="48"/>
      <c r="V767" s="48"/>
      <c r="W767" s="48"/>
      <c r="X767" s="48"/>
      <c r="Y767" s="48"/>
      <c r="Z767" s="48"/>
    </row>
    <row r="768" ht="23.25" customHeight="1">
      <c r="A768" s="48"/>
      <c r="B768" s="48"/>
      <c r="C768" s="48"/>
      <c r="D768" s="48"/>
      <c r="E768" s="48"/>
      <c r="F768" s="48"/>
      <c r="G768" s="80"/>
      <c r="H768" s="80"/>
      <c r="I768" s="48"/>
      <c r="J768" s="48"/>
      <c r="K768" s="48"/>
      <c r="L768" s="48"/>
      <c r="M768" s="48"/>
      <c r="N768" s="48"/>
      <c r="O768" s="48"/>
      <c r="P768" s="48"/>
      <c r="Q768" s="48"/>
      <c r="R768" s="48"/>
      <c r="S768" s="48"/>
      <c r="T768" s="48"/>
      <c r="U768" s="48"/>
      <c r="V768" s="48"/>
      <c r="W768" s="48"/>
      <c r="X768" s="48"/>
      <c r="Y768" s="48"/>
      <c r="Z768" s="48"/>
    </row>
    <row r="769" ht="23.25" customHeight="1">
      <c r="A769" s="48"/>
      <c r="B769" s="48"/>
      <c r="C769" s="48"/>
      <c r="D769" s="48"/>
      <c r="E769" s="48"/>
      <c r="F769" s="48"/>
      <c r="G769" s="80"/>
      <c r="H769" s="80"/>
      <c r="I769" s="48"/>
      <c r="J769" s="48"/>
      <c r="K769" s="48"/>
      <c r="L769" s="48"/>
      <c r="M769" s="48"/>
      <c r="N769" s="48"/>
      <c r="O769" s="48"/>
      <c r="P769" s="48"/>
      <c r="Q769" s="48"/>
      <c r="R769" s="48"/>
      <c r="S769" s="48"/>
      <c r="T769" s="48"/>
      <c r="U769" s="48"/>
      <c r="V769" s="48"/>
      <c r="W769" s="48"/>
      <c r="X769" s="48"/>
      <c r="Y769" s="48"/>
      <c r="Z769" s="48"/>
    </row>
    <row r="770" ht="23.25" customHeight="1">
      <c r="A770" s="48"/>
      <c r="B770" s="48"/>
      <c r="C770" s="48"/>
      <c r="D770" s="48"/>
      <c r="E770" s="48"/>
      <c r="F770" s="48"/>
      <c r="G770" s="80"/>
      <c r="H770" s="80"/>
      <c r="I770" s="48"/>
      <c r="J770" s="48"/>
      <c r="K770" s="48"/>
      <c r="L770" s="48"/>
      <c r="M770" s="48"/>
      <c r="N770" s="48"/>
      <c r="O770" s="48"/>
      <c r="P770" s="48"/>
      <c r="Q770" s="48"/>
      <c r="R770" s="48"/>
      <c r="S770" s="48"/>
      <c r="T770" s="48"/>
      <c r="U770" s="48"/>
      <c r="V770" s="48"/>
      <c r="W770" s="48"/>
      <c r="X770" s="48"/>
      <c r="Y770" s="48"/>
      <c r="Z770" s="48"/>
    </row>
    <row r="771" ht="23.25" customHeight="1">
      <c r="A771" s="48"/>
      <c r="B771" s="48"/>
      <c r="C771" s="48"/>
      <c r="D771" s="48"/>
      <c r="E771" s="48"/>
      <c r="F771" s="48"/>
      <c r="G771" s="80"/>
      <c r="H771" s="80"/>
      <c r="I771" s="48"/>
      <c r="J771" s="48"/>
      <c r="K771" s="48"/>
      <c r="L771" s="48"/>
      <c r="M771" s="48"/>
      <c r="N771" s="48"/>
      <c r="O771" s="48"/>
      <c r="P771" s="48"/>
      <c r="Q771" s="48"/>
      <c r="R771" s="48"/>
      <c r="S771" s="48"/>
      <c r="T771" s="48"/>
      <c r="U771" s="48"/>
      <c r="V771" s="48"/>
      <c r="W771" s="48"/>
      <c r="X771" s="48"/>
      <c r="Y771" s="48"/>
      <c r="Z771" s="48"/>
    </row>
    <row r="772" ht="23.25" customHeight="1">
      <c r="A772" s="48"/>
      <c r="B772" s="48"/>
      <c r="C772" s="48"/>
      <c r="D772" s="48"/>
      <c r="E772" s="48"/>
      <c r="F772" s="48"/>
      <c r="G772" s="80"/>
      <c r="H772" s="80"/>
      <c r="I772" s="48"/>
      <c r="J772" s="48"/>
      <c r="K772" s="48"/>
      <c r="L772" s="48"/>
      <c r="M772" s="48"/>
      <c r="N772" s="48"/>
      <c r="O772" s="48"/>
      <c r="P772" s="48"/>
      <c r="Q772" s="48"/>
      <c r="R772" s="48"/>
      <c r="S772" s="48"/>
      <c r="T772" s="48"/>
      <c r="U772" s="48"/>
      <c r="V772" s="48"/>
      <c r="W772" s="48"/>
      <c r="X772" s="48"/>
      <c r="Y772" s="48"/>
      <c r="Z772" s="48"/>
    </row>
    <row r="773" ht="23.25" customHeight="1">
      <c r="A773" s="48"/>
      <c r="B773" s="48"/>
      <c r="C773" s="48"/>
      <c r="D773" s="48"/>
      <c r="E773" s="48"/>
      <c r="F773" s="48"/>
      <c r="G773" s="80"/>
      <c r="H773" s="80"/>
      <c r="I773" s="48"/>
      <c r="J773" s="48"/>
      <c r="K773" s="48"/>
      <c r="L773" s="48"/>
      <c r="M773" s="48"/>
      <c r="N773" s="48"/>
      <c r="O773" s="48"/>
      <c r="P773" s="48"/>
      <c r="Q773" s="48"/>
      <c r="R773" s="48"/>
      <c r="S773" s="48"/>
      <c r="T773" s="48"/>
      <c r="U773" s="48"/>
      <c r="V773" s="48"/>
      <c r="W773" s="48"/>
      <c r="X773" s="48"/>
      <c r="Y773" s="48"/>
      <c r="Z773" s="48"/>
    </row>
    <row r="774" ht="23.25" customHeight="1">
      <c r="A774" s="48"/>
      <c r="B774" s="48"/>
      <c r="C774" s="48"/>
      <c r="D774" s="48"/>
      <c r="E774" s="48"/>
      <c r="F774" s="48"/>
      <c r="G774" s="80"/>
      <c r="H774" s="80"/>
      <c r="I774" s="48"/>
      <c r="J774" s="48"/>
      <c r="K774" s="48"/>
      <c r="L774" s="48"/>
      <c r="M774" s="48"/>
      <c r="N774" s="48"/>
      <c r="O774" s="48"/>
      <c r="P774" s="48"/>
      <c r="Q774" s="48"/>
      <c r="R774" s="48"/>
      <c r="S774" s="48"/>
      <c r="T774" s="48"/>
      <c r="U774" s="48"/>
      <c r="V774" s="48"/>
      <c r="W774" s="48"/>
      <c r="X774" s="48"/>
      <c r="Y774" s="48"/>
      <c r="Z774" s="48"/>
    </row>
    <row r="775" ht="23.25" customHeight="1">
      <c r="A775" s="48"/>
      <c r="B775" s="48"/>
      <c r="C775" s="48"/>
      <c r="D775" s="48"/>
      <c r="E775" s="48"/>
      <c r="F775" s="48"/>
      <c r="G775" s="80"/>
      <c r="H775" s="80"/>
      <c r="I775" s="48"/>
      <c r="J775" s="48"/>
      <c r="K775" s="48"/>
      <c r="L775" s="48"/>
      <c r="M775" s="48"/>
      <c r="N775" s="48"/>
      <c r="O775" s="48"/>
      <c r="P775" s="48"/>
      <c r="Q775" s="48"/>
      <c r="R775" s="48"/>
      <c r="S775" s="48"/>
      <c r="T775" s="48"/>
      <c r="U775" s="48"/>
      <c r="V775" s="48"/>
      <c r="W775" s="48"/>
      <c r="X775" s="48"/>
      <c r="Y775" s="48"/>
      <c r="Z775" s="48"/>
    </row>
    <row r="776" ht="23.25" customHeight="1">
      <c r="A776" s="48"/>
      <c r="B776" s="48"/>
      <c r="C776" s="48"/>
      <c r="D776" s="48"/>
      <c r="E776" s="48"/>
      <c r="F776" s="48"/>
      <c r="G776" s="80"/>
      <c r="H776" s="80"/>
      <c r="I776" s="48"/>
      <c r="J776" s="48"/>
      <c r="K776" s="48"/>
      <c r="L776" s="48"/>
      <c r="M776" s="48"/>
      <c r="N776" s="48"/>
      <c r="O776" s="48"/>
      <c r="P776" s="48"/>
      <c r="Q776" s="48"/>
      <c r="R776" s="48"/>
      <c r="S776" s="48"/>
      <c r="T776" s="48"/>
      <c r="U776" s="48"/>
      <c r="V776" s="48"/>
      <c r="W776" s="48"/>
      <c r="X776" s="48"/>
      <c r="Y776" s="48"/>
      <c r="Z776" s="48"/>
    </row>
    <row r="777" ht="23.25" customHeight="1">
      <c r="A777" s="48"/>
      <c r="B777" s="48"/>
      <c r="C777" s="48"/>
      <c r="D777" s="48"/>
      <c r="E777" s="48"/>
      <c r="F777" s="48"/>
      <c r="G777" s="80"/>
      <c r="H777" s="80"/>
      <c r="I777" s="48"/>
      <c r="J777" s="48"/>
      <c r="K777" s="48"/>
      <c r="L777" s="48"/>
      <c r="M777" s="48"/>
      <c r="N777" s="48"/>
      <c r="O777" s="48"/>
      <c r="P777" s="48"/>
      <c r="Q777" s="48"/>
      <c r="R777" s="48"/>
      <c r="S777" s="48"/>
      <c r="T777" s="48"/>
      <c r="U777" s="48"/>
      <c r="V777" s="48"/>
      <c r="W777" s="48"/>
      <c r="X777" s="48"/>
      <c r="Y777" s="48"/>
      <c r="Z777" s="48"/>
    </row>
    <row r="778" ht="23.25" customHeight="1">
      <c r="A778" s="48"/>
      <c r="B778" s="48"/>
      <c r="C778" s="48"/>
      <c r="D778" s="48"/>
      <c r="E778" s="48"/>
      <c r="F778" s="48"/>
      <c r="G778" s="80"/>
      <c r="H778" s="80"/>
      <c r="I778" s="48"/>
      <c r="J778" s="48"/>
      <c r="K778" s="48"/>
      <c r="L778" s="48"/>
      <c r="M778" s="48"/>
      <c r="N778" s="48"/>
      <c r="O778" s="48"/>
      <c r="P778" s="48"/>
      <c r="Q778" s="48"/>
      <c r="R778" s="48"/>
      <c r="S778" s="48"/>
      <c r="T778" s="48"/>
      <c r="U778" s="48"/>
      <c r="V778" s="48"/>
      <c r="W778" s="48"/>
      <c r="X778" s="48"/>
      <c r="Y778" s="48"/>
      <c r="Z778" s="48"/>
    </row>
    <row r="779" ht="23.25" customHeight="1">
      <c r="A779" s="48"/>
      <c r="B779" s="48"/>
      <c r="C779" s="48"/>
      <c r="D779" s="48"/>
      <c r="E779" s="48"/>
      <c r="F779" s="48"/>
      <c r="G779" s="80"/>
      <c r="H779" s="80"/>
      <c r="I779" s="48"/>
      <c r="J779" s="48"/>
      <c r="K779" s="48"/>
      <c r="L779" s="48"/>
      <c r="M779" s="48"/>
      <c r="N779" s="48"/>
      <c r="O779" s="48"/>
      <c r="P779" s="48"/>
      <c r="Q779" s="48"/>
      <c r="R779" s="48"/>
      <c r="S779" s="48"/>
      <c r="T779" s="48"/>
      <c r="U779" s="48"/>
      <c r="V779" s="48"/>
      <c r="W779" s="48"/>
      <c r="X779" s="48"/>
      <c r="Y779" s="48"/>
      <c r="Z779" s="48"/>
    </row>
    <row r="780" ht="23.25" customHeight="1">
      <c r="A780" s="48"/>
      <c r="B780" s="48"/>
      <c r="C780" s="48"/>
      <c r="D780" s="48"/>
      <c r="E780" s="48"/>
      <c r="F780" s="48"/>
      <c r="G780" s="80"/>
      <c r="H780" s="80"/>
      <c r="I780" s="48"/>
      <c r="J780" s="48"/>
      <c r="K780" s="48"/>
      <c r="L780" s="48"/>
      <c r="M780" s="48"/>
      <c r="N780" s="48"/>
      <c r="O780" s="48"/>
      <c r="P780" s="48"/>
      <c r="Q780" s="48"/>
      <c r="R780" s="48"/>
      <c r="S780" s="48"/>
      <c r="T780" s="48"/>
      <c r="U780" s="48"/>
      <c r="V780" s="48"/>
      <c r="W780" s="48"/>
      <c r="X780" s="48"/>
      <c r="Y780" s="48"/>
      <c r="Z780" s="48"/>
    </row>
    <row r="781" ht="23.25" customHeight="1">
      <c r="A781" s="48"/>
      <c r="B781" s="48"/>
      <c r="C781" s="48"/>
      <c r="D781" s="48"/>
      <c r="E781" s="48"/>
      <c r="F781" s="48"/>
      <c r="G781" s="80"/>
      <c r="H781" s="80"/>
      <c r="I781" s="48"/>
      <c r="J781" s="48"/>
      <c r="K781" s="48"/>
      <c r="L781" s="48"/>
      <c r="M781" s="48"/>
      <c r="N781" s="48"/>
      <c r="O781" s="48"/>
      <c r="P781" s="48"/>
      <c r="Q781" s="48"/>
      <c r="R781" s="48"/>
      <c r="S781" s="48"/>
      <c r="T781" s="48"/>
      <c r="U781" s="48"/>
      <c r="V781" s="48"/>
      <c r="W781" s="48"/>
      <c r="X781" s="48"/>
      <c r="Y781" s="48"/>
      <c r="Z781" s="48"/>
    </row>
    <row r="782" ht="23.25" customHeight="1">
      <c r="A782" s="48"/>
      <c r="B782" s="48"/>
      <c r="C782" s="48"/>
      <c r="D782" s="48"/>
      <c r="E782" s="48"/>
      <c r="F782" s="48"/>
      <c r="G782" s="80"/>
      <c r="H782" s="80"/>
      <c r="I782" s="48"/>
      <c r="J782" s="48"/>
      <c r="K782" s="48"/>
      <c r="L782" s="48"/>
      <c r="M782" s="48"/>
      <c r="N782" s="48"/>
      <c r="O782" s="48"/>
      <c r="P782" s="48"/>
      <c r="Q782" s="48"/>
      <c r="R782" s="48"/>
      <c r="S782" s="48"/>
      <c r="T782" s="48"/>
      <c r="U782" s="48"/>
      <c r="V782" s="48"/>
      <c r="W782" s="48"/>
      <c r="X782" s="48"/>
      <c r="Y782" s="48"/>
      <c r="Z782" s="48"/>
    </row>
    <row r="783" ht="23.25" customHeight="1">
      <c r="A783" s="48"/>
      <c r="B783" s="48"/>
      <c r="C783" s="48"/>
      <c r="D783" s="48"/>
      <c r="E783" s="48"/>
      <c r="F783" s="48"/>
      <c r="G783" s="80"/>
      <c r="H783" s="80"/>
      <c r="I783" s="48"/>
      <c r="J783" s="48"/>
      <c r="K783" s="48"/>
      <c r="L783" s="48"/>
      <c r="M783" s="48"/>
      <c r="N783" s="48"/>
      <c r="O783" s="48"/>
      <c r="P783" s="48"/>
      <c r="Q783" s="48"/>
      <c r="R783" s="48"/>
      <c r="S783" s="48"/>
      <c r="T783" s="48"/>
      <c r="U783" s="48"/>
      <c r="V783" s="48"/>
      <c r="W783" s="48"/>
      <c r="X783" s="48"/>
      <c r="Y783" s="48"/>
      <c r="Z783" s="48"/>
    </row>
    <row r="784" ht="23.25" customHeight="1">
      <c r="A784" s="48"/>
      <c r="B784" s="48"/>
      <c r="C784" s="48"/>
      <c r="D784" s="48"/>
      <c r="E784" s="48"/>
      <c r="F784" s="48"/>
      <c r="G784" s="80"/>
      <c r="H784" s="80"/>
      <c r="I784" s="48"/>
      <c r="J784" s="48"/>
      <c r="K784" s="48"/>
      <c r="L784" s="48"/>
      <c r="M784" s="48"/>
      <c r="N784" s="48"/>
      <c r="O784" s="48"/>
      <c r="P784" s="48"/>
      <c r="Q784" s="48"/>
      <c r="R784" s="48"/>
      <c r="S784" s="48"/>
      <c r="T784" s="48"/>
      <c r="U784" s="48"/>
      <c r="V784" s="48"/>
      <c r="W784" s="48"/>
      <c r="X784" s="48"/>
      <c r="Y784" s="48"/>
      <c r="Z784" s="48"/>
    </row>
    <row r="785" ht="23.25" customHeight="1">
      <c r="A785" s="48"/>
      <c r="B785" s="48"/>
      <c r="C785" s="48"/>
      <c r="D785" s="48"/>
      <c r="E785" s="48"/>
      <c r="F785" s="48"/>
      <c r="G785" s="80"/>
      <c r="H785" s="80"/>
      <c r="I785" s="48"/>
      <c r="J785" s="48"/>
      <c r="K785" s="48"/>
      <c r="L785" s="48"/>
      <c r="M785" s="48"/>
      <c r="N785" s="48"/>
      <c r="O785" s="48"/>
      <c r="P785" s="48"/>
      <c r="Q785" s="48"/>
      <c r="R785" s="48"/>
      <c r="S785" s="48"/>
      <c r="T785" s="48"/>
      <c r="U785" s="48"/>
      <c r="V785" s="48"/>
      <c r="W785" s="48"/>
      <c r="X785" s="48"/>
      <c r="Y785" s="48"/>
      <c r="Z785" s="48"/>
    </row>
    <row r="786" ht="23.25" customHeight="1">
      <c r="A786" s="48"/>
      <c r="B786" s="48"/>
      <c r="C786" s="48"/>
      <c r="D786" s="48"/>
      <c r="E786" s="48"/>
      <c r="F786" s="48"/>
      <c r="G786" s="80"/>
      <c r="H786" s="80"/>
      <c r="I786" s="48"/>
      <c r="J786" s="48"/>
      <c r="K786" s="48"/>
      <c r="L786" s="48"/>
      <c r="M786" s="48"/>
      <c r="N786" s="48"/>
      <c r="O786" s="48"/>
      <c r="P786" s="48"/>
      <c r="Q786" s="48"/>
      <c r="R786" s="48"/>
      <c r="S786" s="48"/>
      <c r="T786" s="48"/>
      <c r="U786" s="48"/>
      <c r="V786" s="48"/>
      <c r="W786" s="48"/>
      <c r="X786" s="48"/>
      <c r="Y786" s="48"/>
      <c r="Z786" s="48"/>
    </row>
    <row r="787" ht="23.25" customHeight="1">
      <c r="A787" s="48"/>
      <c r="B787" s="48"/>
      <c r="C787" s="48"/>
      <c r="D787" s="48"/>
      <c r="E787" s="48"/>
      <c r="F787" s="48"/>
      <c r="G787" s="80"/>
      <c r="H787" s="80"/>
      <c r="I787" s="48"/>
      <c r="J787" s="48"/>
      <c r="K787" s="48"/>
      <c r="L787" s="48"/>
      <c r="M787" s="48"/>
      <c r="N787" s="48"/>
      <c r="O787" s="48"/>
      <c r="P787" s="48"/>
      <c r="Q787" s="48"/>
      <c r="R787" s="48"/>
      <c r="S787" s="48"/>
      <c r="T787" s="48"/>
      <c r="U787" s="48"/>
      <c r="V787" s="48"/>
      <c r="W787" s="48"/>
      <c r="X787" s="48"/>
      <c r="Y787" s="48"/>
      <c r="Z787" s="48"/>
    </row>
    <row r="788" ht="23.25" customHeight="1">
      <c r="A788" s="48"/>
      <c r="B788" s="48"/>
      <c r="C788" s="48"/>
      <c r="D788" s="48"/>
      <c r="E788" s="48"/>
      <c r="F788" s="48"/>
      <c r="G788" s="80"/>
      <c r="H788" s="80"/>
      <c r="I788" s="48"/>
      <c r="J788" s="48"/>
      <c r="K788" s="48"/>
      <c r="L788" s="48"/>
      <c r="M788" s="48"/>
      <c r="N788" s="48"/>
      <c r="O788" s="48"/>
      <c r="P788" s="48"/>
      <c r="Q788" s="48"/>
      <c r="R788" s="48"/>
      <c r="S788" s="48"/>
      <c r="T788" s="48"/>
      <c r="U788" s="48"/>
      <c r="V788" s="48"/>
      <c r="W788" s="48"/>
      <c r="X788" s="48"/>
      <c r="Y788" s="48"/>
      <c r="Z788" s="48"/>
    </row>
    <row r="789" ht="23.25" customHeight="1">
      <c r="A789" s="48"/>
      <c r="B789" s="48"/>
      <c r="C789" s="48"/>
      <c r="D789" s="48"/>
      <c r="E789" s="48"/>
      <c r="F789" s="48"/>
      <c r="G789" s="80"/>
      <c r="H789" s="80"/>
      <c r="I789" s="48"/>
      <c r="J789" s="48"/>
      <c r="K789" s="48"/>
      <c r="L789" s="48"/>
      <c r="M789" s="48"/>
      <c r="N789" s="48"/>
      <c r="O789" s="48"/>
      <c r="P789" s="48"/>
      <c r="Q789" s="48"/>
      <c r="R789" s="48"/>
      <c r="S789" s="48"/>
      <c r="T789" s="48"/>
      <c r="U789" s="48"/>
      <c r="V789" s="48"/>
      <c r="W789" s="48"/>
      <c r="X789" s="48"/>
      <c r="Y789" s="48"/>
      <c r="Z789" s="48"/>
    </row>
    <row r="790" ht="23.25" customHeight="1">
      <c r="A790" s="48"/>
      <c r="B790" s="48"/>
      <c r="C790" s="48"/>
      <c r="D790" s="48"/>
      <c r="E790" s="48"/>
      <c r="F790" s="48"/>
      <c r="G790" s="80"/>
      <c r="H790" s="80"/>
      <c r="I790" s="48"/>
      <c r="J790" s="48"/>
      <c r="K790" s="48"/>
      <c r="L790" s="48"/>
      <c r="M790" s="48"/>
      <c r="N790" s="48"/>
      <c r="O790" s="48"/>
      <c r="P790" s="48"/>
      <c r="Q790" s="48"/>
      <c r="R790" s="48"/>
      <c r="S790" s="48"/>
      <c r="T790" s="48"/>
      <c r="U790" s="48"/>
      <c r="V790" s="48"/>
      <c r="W790" s="48"/>
      <c r="X790" s="48"/>
      <c r="Y790" s="48"/>
      <c r="Z790" s="48"/>
    </row>
    <row r="791" ht="23.25" customHeight="1">
      <c r="A791" s="48"/>
      <c r="B791" s="48"/>
      <c r="C791" s="48"/>
      <c r="D791" s="48"/>
      <c r="E791" s="48"/>
      <c r="F791" s="48"/>
      <c r="G791" s="80"/>
      <c r="H791" s="80"/>
      <c r="I791" s="48"/>
      <c r="J791" s="48"/>
      <c r="K791" s="48"/>
      <c r="L791" s="48"/>
      <c r="M791" s="48"/>
      <c r="N791" s="48"/>
      <c r="O791" s="48"/>
      <c r="P791" s="48"/>
      <c r="Q791" s="48"/>
      <c r="R791" s="48"/>
      <c r="S791" s="48"/>
      <c r="T791" s="48"/>
      <c r="U791" s="48"/>
      <c r="V791" s="48"/>
      <c r="W791" s="48"/>
      <c r="X791" s="48"/>
      <c r="Y791" s="48"/>
      <c r="Z791" s="48"/>
    </row>
    <row r="792" ht="23.25" customHeight="1">
      <c r="A792" s="48"/>
      <c r="B792" s="48"/>
      <c r="C792" s="48"/>
      <c r="D792" s="48"/>
      <c r="E792" s="48"/>
      <c r="F792" s="48"/>
      <c r="G792" s="80"/>
      <c r="H792" s="80"/>
      <c r="I792" s="48"/>
      <c r="J792" s="48"/>
      <c r="K792" s="48"/>
      <c r="L792" s="48"/>
      <c r="M792" s="48"/>
      <c r="N792" s="48"/>
      <c r="O792" s="48"/>
      <c r="P792" s="48"/>
      <c r="Q792" s="48"/>
      <c r="R792" s="48"/>
      <c r="S792" s="48"/>
      <c r="T792" s="48"/>
      <c r="U792" s="48"/>
      <c r="V792" s="48"/>
      <c r="W792" s="48"/>
      <c r="X792" s="48"/>
      <c r="Y792" s="48"/>
      <c r="Z792" s="48"/>
    </row>
    <row r="793" ht="23.25" customHeight="1">
      <c r="A793" s="48"/>
      <c r="B793" s="48"/>
      <c r="C793" s="48"/>
      <c r="D793" s="48"/>
      <c r="E793" s="48"/>
      <c r="F793" s="48"/>
      <c r="G793" s="80"/>
      <c r="H793" s="80"/>
      <c r="I793" s="48"/>
      <c r="J793" s="48"/>
      <c r="K793" s="48"/>
      <c r="L793" s="48"/>
      <c r="M793" s="48"/>
      <c r="N793" s="48"/>
      <c r="O793" s="48"/>
      <c r="P793" s="48"/>
      <c r="Q793" s="48"/>
      <c r="R793" s="48"/>
      <c r="S793" s="48"/>
      <c r="T793" s="48"/>
      <c r="U793" s="48"/>
      <c r="V793" s="48"/>
      <c r="W793" s="48"/>
      <c r="X793" s="48"/>
      <c r="Y793" s="48"/>
      <c r="Z793" s="48"/>
    </row>
    <row r="794" ht="23.25" customHeight="1">
      <c r="A794" s="48"/>
      <c r="B794" s="48"/>
      <c r="C794" s="48"/>
      <c r="D794" s="48"/>
      <c r="E794" s="48"/>
      <c r="F794" s="48"/>
      <c r="G794" s="80"/>
      <c r="H794" s="80"/>
      <c r="I794" s="48"/>
      <c r="J794" s="48"/>
      <c r="K794" s="48"/>
      <c r="L794" s="48"/>
      <c r="M794" s="48"/>
      <c r="N794" s="48"/>
      <c r="O794" s="48"/>
      <c r="P794" s="48"/>
      <c r="Q794" s="48"/>
      <c r="R794" s="48"/>
      <c r="S794" s="48"/>
      <c r="T794" s="48"/>
      <c r="U794" s="48"/>
      <c r="V794" s="48"/>
      <c r="W794" s="48"/>
      <c r="X794" s="48"/>
      <c r="Y794" s="48"/>
      <c r="Z794" s="48"/>
    </row>
    <row r="795" ht="23.25" customHeight="1">
      <c r="A795" s="48"/>
      <c r="B795" s="48"/>
      <c r="C795" s="48"/>
      <c r="D795" s="48"/>
      <c r="E795" s="48"/>
      <c r="F795" s="48"/>
      <c r="G795" s="80"/>
      <c r="H795" s="80"/>
      <c r="I795" s="48"/>
      <c r="J795" s="48"/>
      <c r="K795" s="48"/>
      <c r="L795" s="48"/>
      <c r="M795" s="48"/>
      <c r="N795" s="48"/>
      <c r="O795" s="48"/>
      <c r="P795" s="48"/>
      <c r="Q795" s="48"/>
      <c r="R795" s="48"/>
      <c r="S795" s="48"/>
      <c r="T795" s="48"/>
      <c r="U795" s="48"/>
      <c r="V795" s="48"/>
      <c r="W795" s="48"/>
      <c r="X795" s="48"/>
      <c r="Y795" s="48"/>
      <c r="Z795" s="48"/>
    </row>
    <row r="796" ht="23.25" customHeight="1">
      <c r="A796" s="48"/>
      <c r="B796" s="48"/>
      <c r="C796" s="48"/>
      <c r="D796" s="48"/>
      <c r="E796" s="48"/>
      <c r="F796" s="48"/>
      <c r="G796" s="80"/>
      <c r="H796" s="80"/>
      <c r="I796" s="48"/>
      <c r="J796" s="48"/>
      <c r="K796" s="48"/>
      <c r="L796" s="48"/>
      <c r="M796" s="48"/>
      <c r="N796" s="48"/>
      <c r="O796" s="48"/>
      <c r="P796" s="48"/>
      <c r="Q796" s="48"/>
      <c r="R796" s="48"/>
      <c r="S796" s="48"/>
      <c r="T796" s="48"/>
      <c r="U796" s="48"/>
      <c r="V796" s="48"/>
      <c r="W796" s="48"/>
      <c r="X796" s="48"/>
      <c r="Y796" s="48"/>
      <c r="Z796" s="48"/>
    </row>
    <row r="797" ht="23.25" customHeight="1">
      <c r="A797" s="48"/>
      <c r="B797" s="48"/>
      <c r="C797" s="48"/>
      <c r="D797" s="48"/>
      <c r="E797" s="48"/>
      <c r="F797" s="48"/>
      <c r="G797" s="80"/>
      <c r="H797" s="80"/>
      <c r="I797" s="48"/>
      <c r="J797" s="48"/>
      <c r="K797" s="48"/>
      <c r="L797" s="48"/>
      <c r="M797" s="48"/>
      <c r="N797" s="48"/>
      <c r="O797" s="48"/>
      <c r="P797" s="48"/>
      <c r="Q797" s="48"/>
      <c r="R797" s="48"/>
      <c r="S797" s="48"/>
      <c r="T797" s="48"/>
      <c r="U797" s="48"/>
      <c r="V797" s="48"/>
      <c r="W797" s="48"/>
      <c r="X797" s="48"/>
      <c r="Y797" s="48"/>
      <c r="Z797" s="48"/>
    </row>
    <row r="798" ht="23.25" customHeight="1">
      <c r="A798" s="48"/>
      <c r="B798" s="48"/>
      <c r="C798" s="48"/>
      <c r="D798" s="48"/>
      <c r="E798" s="48"/>
      <c r="F798" s="48"/>
      <c r="G798" s="80"/>
      <c r="H798" s="80"/>
      <c r="I798" s="48"/>
      <c r="J798" s="48"/>
      <c r="K798" s="48"/>
      <c r="L798" s="48"/>
      <c r="M798" s="48"/>
      <c r="N798" s="48"/>
      <c r="O798" s="48"/>
      <c r="P798" s="48"/>
      <c r="Q798" s="48"/>
      <c r="R798" s="48"/>
      <c r="S798" s="48"/>
      <c r="T798" s="48"/>
      <c r="U798" s="48"/>
      <c r="V798" s="48"/>
      <c r="W798" s="48"/>
      <c r="X798" s="48"/>
      <c r="Y798" s="48"/>
      <c r="Z798" s="48"/>
    </row>
    <row r="799" ht="23.25" customHeight="1">
      <c r="A799" s="48"/>
      <c r="B799" s="48"/>
      <c r="C799" s="48"/>
      <c r="D799" s="48"/>
      <c r="E799" s="48"/>
      <c r="F799" s="48"/>
      <c r="G799" s="80"/>
      <c r="H799" s="80"/>
      <c r="I799" s="48"/>
      <c r="J799" s="48"/>
      <c r="K799" s="48"/>
      <c r="L799" s="48"/>
      <c r="M799" s="48"/>
      <c r="N799" s="48"/>
      <c r="O799" s="48"/>
      <c r="P799" s="48"/>
      <c r="Q799" s="48"/>
      <c r="R799" s="48"/>
      <c r="S799" s="48"/>
      <c r="T799" s="48"/>
      <c r="U799" s="48"/>
      <c r="V799" s="48"/>
      <c r="W799" s="48"/>
      <c r="X799" s="48"/>
      <c r="Y799" s="48"/>
      <c r="Z799" s="48"/>
    </row>
    <row r="800" ht="23.25" customHeight="1">
      <c r="A800" s="48"/>
      <c r="B800" s="48"/>
      <c r="C800" s="48"/>
      <c r="D800" s="48"/>
      <c r="E800" s="48"/>
      <c r="F800" s="48"/>
      <c r="G800" s="80"/>
      <c r="H800" s="80"/>
      <c r="I800" s="48"/>
      <c r="J800" s="48"/>
      <c r="K800" s="48"/>
      <c r="L800" s="48"/>
      <c r="M800" s="48"/>
      <c r="N800" s="48"/>
      <c r="O800" s="48"/>
      <c r="P800" s="48"/>
      <c r="Q800" s="48"/>
      <c r="R800" s="48"/>
      <c r="S800" s="48"/>
      <c r="T800" s="48"/>
      <c r="U800" s="48"/>
      <c r="V800" s="48"/>
      <c r="W800" s="48"/>
      <c r="X800" s="48"/>
      <c r="Y800" s="48"/>
      <c r="Z800" s="48"/>
    </row>
    <row r="801" ht="23.25" customHeight="1">
      <c r="A801" s="48"/>
      <c r="B801" s="48"/>
      <c r="C801" s="48"/>
      <c r="D801" s="48"/>
      <c r="E801" s="48"/>
      <c r="F801" s="48"/>
      <c r="G801" s="80"/>
      <c r="H801" s="80"/>
      <c r="I801" s="48"/>
      <c r="J801" s="48"/>
      <c r="K801" s="48"/>
      <c r="L801" s="48"/>
      <c r="M801" s="48"/>
      <c r="N801" s="48"/>
      <c r="O801" s="48"/>
      <c r="P801" s="48"/>
      <c r="Q801" s="48"/>
      <c r="R801" s="48"/>
      <c r="S801" s="48"/>
      <c r="T801" s="48"/>
      <c r="U801" s="48"/>
      <c r="V801" s="48"/>
      <c r="W801" s="48"/>
      <c r="X801" s="48"/>
      <c r="Y801" s="48"/>
      <c r="Z801" s="48"/>
    </row>
    <row r="802" ht="23.25" customHeight="1">
      <c r="A802" s="48"/>
      <c r="B802" s="48"/>
      <c r="C802" s="48"/>
      <c r="D802" s="48"/>
      <c r="E802" s="48"/>
      <c r="F802" s="48"/>
      <c r="G802" s="80"/>
      <c r="H802" s="80"/>
      <c r="I802" s="48"/>
      <c r="J802" s="48"/>
      <c r="K802" s="48"/>
      <c r="L802" s="48"/>
      <c r="M802" s="48"/>
      <c r="N802" s="48"/>
      <c r="O802" s="48"/>
      <c r="P802" s="48"/>
      <c r="Q802" s="48"/>
      <c r="R802" s="48"/>
      <c r="S802" s="48"/>
      <c r="T802" s="48"/>
      <c r="U802" s="48"/>
      <c r="V802" s="48"/>
      <c r="W802" s="48"/>
      <c r="X802" s="48"/>
      <c r="Y802" s="48"/>
      <c r="Z802" s="48"/>
    </row>
    <row r="803" ht="23.25" customHeight="1">
      <c r="A803" s="48"/>
      <c r="B803" s="48"/>
      <c r="C803" s="48"/>
      <c r="D803" s="48"/>
      <c r="E803" s="48"/>
      <c r="F803" s="48"/>
      <c r="G803" s="80"/>
      <c r="H803" s="80"/>
      <c r="I803" s="48"/>
      <c r="J803" s="48"/>
      <c r="K803" s="48"/>
      <c r="L803" s="48"/>
      <c r="M803" s="48"/>
      <c r="N803" s="48"/>
      <c r="O803" s="48"/>
      <c r="P803" s="48"/>
      <c r="Q803" s="48"/>
      <c r="R803" s="48"/>
      <c r="S803" s="48"/>
      <c r="T803" s="48"/>
      <c r="U803" s="48"/>
      <c r="V803" s="48"/>
      <c r="W803" s="48"/>
      <c r="X803" s="48"/>
      <c r="Y803" s="48"/>
      <c r="Z803" s="48"/>
    </row>
    <row r="804" ht="23.25" customHeight="1">
      <c r="A804" s="48"/>
      <c r="B804" s="48"/>
      <c r="C804" s="48"/>
      <c r="D804" s="48"/>
      <c r="E804" s="48"/>
      <c r="F804" s="48"/>
      <c r="G804" s="80"/>
      <c r="H804" s="80"/>
      <c r="I804" s="48"/>
      <c r="J804" s="48"/>
      <c r="K804" s="48"/>
      <c r="L804" s="48"/>
      <c r="M804" s="48"/>
      <c r="N804" s="48"/>
      <c r="O804" s="48"/>
      <c r="P804" s="48"/>
      <c r="Q804" s="48"/>
      <c r="R804" s="48"/>
      <c r="S804" s="48"/>
      <c r="T804" s="48"/>
      <c r="U804" s="48"/>
      <c r="V804" s="48"/>
      <c r="W804" s="48"/>
      <c r="X804" s="48"/>
      <c r="Y804" s="48"/>
      <c r="Z804" s="48"/>
    </row>
    <row r="805" ht="23.25" customHeight="1">
      <c r="A805" s="48"/>
      <c r="B805" s="48"/>
      <c r="C805" s="48"/>
      <c r="D805" s="48"/>
      <c r="E805" s="48"/>
      <c r="F805" s="48"/>
      <c r="G805" s="80"/>
      <c r="H805" s="80"/>
      <c r="I805" s="48"/>
      <c r="J805" s="48"/>
      <c r="K805" s="48"/>
      <c r="L805" s="48"/>
      <c r="M805" s="48"/>
      <c r="N805" s="48"/>
      <c r="O805" s="48"/>
      <c r="P805" s="48"/>
      <c r="Q805" s="48"/>
      <c r="R805" s="48"/>
      <c r="S805" s="48"/>
      <c r="T805" s="48"/>
      <c r="U805" s="48"/>
      <c r="V805" s="48"/>
      <c r="W805" s="48"/>
      <c r="X805" s="48"/>
      <c r="Y805" s="48"/>
      <c r="Z805" s="48"/>
    </row>
    <row r="806" ht="23.25" customHeight="1">
      <c r="A806" s="48"/>
      <c r="B806" s="48"/>
      <c r="C806" s="48"/>
      <c r="D806" s="48"/>
      <c r="E806" s="48"/>
      <c r="F806" s="48"/>
      <c r="G806" s="80"/>
      <c r="H806" s="80"/>
      <c r="I806" s="48"/>
      <c r="J806" s="48"/>
      <c r="K806" s="48"/>
      <c r="L806" s="48"/>
      <c r="M806" s="48"/>
      <c r="N806" s="48"/>
      <c r="O806" s="48"/>
      <c r="P806" s="48"/>
      <c r="Q806" s="48"/>
      <c r="R806" s="48"/>
      <c r="S806" s="48"/>
      <c r="T806" s="48"/>
      <c r="U806" s="48"/>
      <c r="V806" s="48"/>
      <c r="W806" s="48"/>
      <c r="X806" s="48"/>
      <c r="Y806" s="48"/>
      <c r="Z806" s="48"/>
    </row>
    <row r="807" ht="23.25" customHeight="1">
      <c r="A807" s="48"/>
      <c r="B807" s="48"/>
      <c r="C807" s="48"/>
      <c r="D807" s="48"/>
      <c r="E807" s="48"/>
      <c r="F807" s="48"/>
      <c r="G807" s="80"/>
      <c r="H807" s="80"/>
      <c r="I807" s="48"/>
      <c r="J807" s="48"/>
      <c r="K807" s="48"/>
      <c r="L807" s="48"/>
      <c r="M807" s="48"/>
      <c r="N807" s="48"/>
      <c r="O807" s="48"/>
      <c r="P807" s="48"/>
      <c r="Q807" s="48"/>
      <c r="R807" s="48"/>
      <c r="S807" s="48"/>
      <c r="T807" s="48"/>
      <c r="U807" s="48"/>
      <c r="V807" s="48"/>
      <c r="W807" s="48"/>
      <c r="X807" s="48"/>
      <c r="Y807" s="48"/>
      <c r="Z807" s="48"/>
    </row>
    <row r="808" ht="23.25" customHeight="1">
      <c r="A808" s="48"/>
      <c r="B808" s="48"/>
      <c r="C808" s="48"/>
      <c r="D808" s="48"/>
      <c r="E808" s="48"/>
      <c r="F808" s="48"/>
      <c r="G808" s="80"/>
      <c r="H808" s="80"/>
      <c r="I808" s="48"/>
      <c r="J808" s="48"/>
      <c r="K808" s="48"/>
      <c r="L808" s="48"/>
      <c r="M808" s="48"/>
      <c r="N808" s="48"/>
      <c r="O808" s="48"/>
      <c r="P808" s="48"/>
      <c r="Q808" s="48"/>
      <c r="R808" s="48"/>
      <c r="S808" s="48"/>
      <c r="T808" s="48"/>
      <c r="U808" s="48"/>
      <c r="V808" s="48"/>
      <c r="W808" s="48"/>
      <c r="X808" s="48"/>
      <c r="Y808" s="48"/>
      <c r="Z808" s="48"/>
    </row>
    <row r="809" ht="23.25" customHeight="1">
      <c r="A809" s="48"/>
      <c r="B809" s="48"/>
      <c r="C809" s="48"/>
      <c r="D809" s="48"/>
      <c r="E809" s="48"/>
      <c r="F809" s="48"/>
      <c r="G809" s="80"/>
      <c r="H809" s="80"/>
      <c r="I809" s="48"/>
      <c r="J809" s="48"/>
      <c r="K809" s="48"/>
      <c r="L809" s="48"/>
      <c r="M809" s="48"/>
      <c r="N809" s="48"/>
      <c r="O809" s="48"/>
      <c r="P809" s="48"/>
      <c r="Q809" s="48"/>
      <c r="R809" s="48"/>
      <c r="S809" s="48"/>
      <c r="T809" s="48"/>
      <c r="U809" s="48"/>
      <c r="V809" s="48"/>
      <c r="W809" s="48"/>
      <c r="X809" s="48"/>
      <c r="Y809" s="48"/>
      <c r="Z809" s="48"/>
    </row>
    <row r="810" ht="23.25" customHeight="1">
      <c r="A810" s="48"/>
      <c r="B810" s="48"/>
      <c r="C810" s="48"/>
      <c r="D810" s="48"/>
      <c r="E810" s="48"/>
      <c r="F810" s="48"/>
      <c r="G810" s="80"/>
      <c r="H810" s="80"/>
      <c r="I810" s="48"/>
      <c r="J810" s="48"/>
      <c r="K810" s="48"/>
      <c r="L810" s="48"/>
      <c r="M810" s="48"/>
      <c r="N810" s="48"/>
      <c r="O810" s="48"/>
      <c r="P810" s="48"/>
      <c r="Q810" s="48"/>
      <c r="R810" s="48"/>
      <c r="S810" s="48"/>
      <c r="T810" s="48"/>
      <c r="U810" s="48"/>
      <c r="V810" s="48"/>
      <c r="W810" s="48"/>
      <c r="X810" s="48"/>
      <c r="Y810" s="48"/>
      <c r="Z810" s="48"/>
    </row>
    <row r="811" ht="23.25" customHeight="1">
      <c r="A811" s="48"/>
      <c r="B811" s="48"/>
      <c r="C811" s="48"/>
      <c r="D811" s="48"/>
      <c r="E811" s="48"/>
      <c r="F811" s="48"/>
      <c r="G811" s="80"/>
      <c r="H811" s="80"/>
      <c r="I811" s="48"/>
      <c r="J811" s="48"/>
      <c r="K811" s="48"/>
      <c r="L811" s="48"/>
      <c r="M811" s="48"/>
      <c r="N811" s="48"/>
      <c r="O811" s="48"/>
      <c r="P811" s="48"/>
      <c r="Q811" s="48"/>
      <c r="R811" s="48"/>
      <c r="S811" s="48"/>
      <c r="T811" s="48"/>
      <c r="U811" s="48"/>
      <c r="V811" s="48"/>
      <c r="W811" s="48"/>
      <c r="X811" s="48"/>
      <c r="Y811" s="48"/>
      <c r="Z811" s="48"/>
    </row>
    <row r="812" ht="23.25" customHeight="1">
      <c r="A812" s="48"/>
      <c r="B812" s="48"/>
      <c r="C812" s="48"/>
      <c r="D812" s="48"/>
      <c r="E812" s="48"/>
      <c r="F812" s="48"/>
      <c r="G812" s="80"/>
      <c r="H812" s="80"/>
      <c r="I812" s="48"/>
      <c r="J812" s="48"/>
      <c r="K812" s="48"/>
      <c r="L812" s="48"/>
      <c r="M812" s="48"/>
      <c r="N812" s="48"/>
      <c r="O812" s="48"/>
      <c r="P812" s="48"/>
      <c r="Q812" s="48"/>
      <c r="R812" s="48"/>
      <c r="S812" s="48"/>
      <c r="T812" s="48"/>
      <c r="U812" s="48"/>
      <c r="V812" s="48"/>
      <c r="W812" s="48"/>
      <c r="X812" s="48"/>
      <c r="Y812" s="48"/>
      <c r="Z812" s="48"/>
    </row>
    <row r="813" ht="23.25" customHeight="1">
      <c r="A813" s="48"/>
      <c r="B813" s="48"/>
      <c r="C813" s="48"/>
      <c r="D813" s="48"/>
      <c r="E813" s="48"/>
      <c r="F813" s="48"/>
      <c r="G813" s="80"/>
      <c r="H813" s="80"/>
      <c r="I813" s="48"/>
      <c r="J813" s="48"/>
      <c r="K813" s="48"/>
      <c r="L813" s="48"/>
      <c r="M813" s="48"/>
      <c r="N813" s="48"/>
      <c r="O813" s="48"/>
      <c r="P813" s="48"/>
      <c r="Q813" s="48"/>
      <c r="R813" s="48"/>
      <c r="S813" s="48"/>
      <c r="T813" s="48"/>
      <c r="U813" s="48"/>
      <c r="V813" s="48"/>
      <c r="W813" s="48"/>
      <c r="X813" s="48"/>
      <c r="Y813" s="48"/>
      <c r="Z813" s="48"/>
    </row>
    <row r="814" ht="23.25" customHeight="1">
      <c r="A814" s="48"/>
      <c r="B814" s="48"/>
      <c r="C814" s="48"/>
      <c r="D814" s="48"/>
      <c r="E814" s="48"/>
      <c r="F814" s="48"/>
      <c r="G814" s="80"/>
      <c r="H814" s="80"/>
      <c r="I814" s="48"/>
      <c r="J814" s="48"/>
      <c r="K814" s="48"/>
      <c r="L814" s="48"/>
      <c r="M814" s="48"/>
      <c r="N814" s="48"/>
      <c r="O814" s="48"/>
      <c r="P814" s="48"/>
      <c r="Q814" s="48"/>
      <c r="R814" s="48"/>
      <c r="S814" s="48"/>
      <c r="T814" s="48"/>
      <c r="U814" s="48"/>
      <c r="V814" s="48"/>
      <c r="W814" s="48"/>
      <c r="X814" s="48"/>
      <c r="Y814" s="48"/>
      <c r="Z814" s="48"/>
    </row>
    <row r="815" ht="23.25" customHeight="1">
      <c r="A815" s="48"/>
      <c r="B815" s="48"/>
      <c r="C815" s="48"/>
      <c r="D815" s="48"/>
      <c r="E815" s="48"/>
      <c r="F815" s="48"/>
      <c r="G815" s="80"/>
      <c r="H815" s="80"/>
      <c r="I815" s="48"/>
      <c r="J815" s="48"/>
      <c r="K815" s="48"/>
      <c r="L815" s="48"/>
      <c r="M815" s="48"/>
      <c r="N815" s="48"/>
      <c r="O815" s="48"/>
      <c r="P815" s="48"/>
      <c r="Q815" s="48"/>
      <c r="R815" s="48"/>
      <c r="S815" s="48"/>
      <c r="T815" s="48"/>
      <c r="U815" s="48"/>
      <c r="V815" s="48"/>
      <c r="W815" s="48"/>
      <c r="X815" s="48"/>
      <c r="Y815" s="48"/>
      <c r="Z815" s="48"/>
    </row>
    <row r="816" ht="23.25" customHeight="1">
      <c r="A816" s="48"/>
      <c r="B816" s="48"/>
      <c r="C816" s="48"/>
      <c r="D816" s="48"/>
      <c r="E816" s="48"/>
      <c r="F816" s="48"/>
      <c r="G816" s="80"/>
      <c r="H816" s="80"/>
      <c r="I816" s="48"/>
      <c r="J816" s="48"/>
      <c r="K816" s="48"/>
      <c r="L816" s="48"/>
      <c r="M816" s="48"/>
      <c r="N816" s="48"/>
      <c r="O816" s="48"/>
      <c r="P816" s="48"/>
      <c r="Q816" s="48"/>
      <c r="R816" s="48"/>
      <c r="S816" s="48"/>
      <c r="T816" s="48"/>
      <c r="U816" s="48"/>
      <c r="V816" s="48"/>
      <c r="W816" s="48"/>
      <c r="X816" s="48"/>
      <c r="Y816" s="48"/>
      <c r="Z816" s="48"/>
    </row>
    <row r="817" ht="23.25" customHeight="1">
      <c r="A817" s="48"/>
      <c r="B817" s="48"/>
      <c r="C817" s="48"/>
      <c r="D817" s="48"/>
      <c r="E817" s="48"/>
      <c r="F817" s="48"/>
      <c r="G817" s="80"/>
      <c r="H817" s="80"/>
      <c r="I817" s="48"/>
      <c r="J817" s="48"/>
      <c r="K817" s="48"/>
      <c r="L817" s="48"/>
      <c r="M817" s="48"/>
      <c r="N817" s="48"/>
      <c r="O817" s="48"/>
      <c r="P817" s="48"/>
      <c r="Q817" s="48"/>
      <c r="R817" s="48"/>
      <c r="S817" s="48"/>
      <c r="T817" s="48"/>
      <c r="U817" s="48"/>
      <c r="V817" s="48"/>
      <c r="W817" s="48"/>
      <c r="X817" s="48"/>
      <c r="Y817" s="48"/>
      <c r="Z817" s="48"/>
    </row>
    <row r="818" ht="23.25" customHeight="1">
      <c r="A818" s="48"/>
      <c r="B818" s="48"/>
      <c r="C818" s="48"/>
      <c r="D818" s="48"/>
      <c r="E818" s="48"/>
      <c r="F818" s="48"/>
      <c r="G818" s="80"/>
      <c r="H818" s="80"/>
      <c r="I818" s="48"/>
      <c r="J818" s="48"/>
      <c r="K818" s="48"/>
      <c r="L818" s="48"/>
      <c r="M818" s="48"/>
      <c r="N818" s="48"/>
      <c r="O818" s="48"/>
      <c r="P818" s="48"/>
      <c r="Q818" s="48"/>
      <c r="R818" s="48"/>
      <c r="S818" s="48"/>
      <c r="T818" s="48"/>
      <c r="U818" s="48"/>
      <c r="V818" s="48"/>
      <c r="W818" s="48"/>
      <c r="X818" s="48"/>
      <c r="Y818" s="48"/>
      <c r="Z818" s="48"/>
    </row>
    <row r="819" ht="23.25" customHeight="1">
      <c r="A819" s="48"/>
      <c r="B819" s="48"/>
      <c r="C819" s="48"/>
      <c r="D819" s="48"/>
      <c r="E819" s="48"/>
      <c r="F819" s="48"/>
      <c r="G819" s="80"/>
      <c r="H819" s="80"/>
      <c r="I819" s="48"/>
      <c r="J819" s="48"/>
      <c r="K819" s="48"/>
      <c r="L819" s="48"/>
      <c r="M819" s="48"/>
      <c r="N819" s="48"/>
      <c r="O819" s="48"/>
      <c r="P819" s="48"/>
      <c r="Q819" s="48"/>
      <c r="R819" s="48"/>
      <c r="S819" s="48"/>
      <c r="T819" s="48"/>
      <c r="U819" s="48"/>
      <c r="V819" s="48"/>
      <c r="W819" s="48"/>
      <c r="X819" s="48"/>
      <c r="Y819" s="48"/>
      <c r="Z819" s="48"/>
    </row>
    <row r="820" ht="23.25" customHeight="1">
      <c r="A820" s="48"/>
      <c r="B820" s="48"/>
      <c r="C820" s="48"/>
      <c r="D820" s="48"/>
      <c r="E820" s="48"/>
      <c r="F820" s="48"/>
      <c r="G820" s="80"/>
      <c r="H820" s="80"/>
      <c r="I820" s="48"/>
      <c r="J820" s="48"/>
      <c r="K820" s="48"/>
      <c r="L820" s="48"/>
      <c r="M820" s="48"/>
      <c r="N820" s="48"/>
      <c r="O820" s="48"/>
      <c r="P820" s="48"/>
      <c r="Q820" s="48"/>
      <c r="R820" s="48"/>
      <c r="S820" s="48"/>
      <c r="T820" s="48"/>
      <c r="U820" s="48"/>
      <c r="V820" s="48"/>
      <c r="W820" s="48"/>
      <c r="X820" s="48"/>
      <c r="Y820" s="48"/>
      <c r="Z820" s="48"/>
    </row>
    <row r="821" ht="23.25" customHeight="1">
      <c r="A821" s="48"/>
      <c r="B821" s="48"/>
      <c r="C821" s="48"/>
      <c r="D821" s="48"/>
      <c r="E821" s="48"/>
      <c r="F821" s="48"/>
      <c r="G821" s="80"/>
      <c r="H821" s="80"/>
      <c r="I821" s="48"/>
      <c r="J821" s="48"/>
      <c r="K821" s="48"/>
      <c r="L821" s="48"/>
      <c r="M821" s="48"/>
      <c r="N821" s="48"/>
      <c r="O821" s="48"/>
      <c r="P821" s="48"/>
      <c r="Q821" s="48"/>
      <c r="R821" s="48"/>
      <c r="S821" s="48"/>
      <c r="T821" s="48"/>
      <c r="U821" s="48"/>
      <c r="V821" s="48"/>
      <c r="W821" s="48"/>
      <c r="X821" s="48"/>
      <c r="Y821" s="48"/>
      <c r="Z821" s="48"/>
    </row>
    <row r="822" ht="23.25" customHeight="1">
      <c r="A822" s="48"/>
      <c r="B822" s="48"/>
      <c r="C822" s="48"/>
      <c r="D822" s="48"/>
      <c r="E822" s="48"/>
      <c r="F822" s="48"/>
      <c r="G822" s="80"/>
      <c r="H822" s="80"/>
      <c r="I822" s="48"/>
      <c r="J822" s="48"/>
      <c r="K822" s="48"/>
      <c r="L822" s="48"/>
      <c r="M822" s="48"/>
      <c r="N822" s="48"/>
      <c r="O822" s="48"/>
      <c r="P822" s="48"/>
      <c r="Q822" s="48"/>
      <c r="R822" s="48"/>
      <c r="S822" s="48"/>
      <c r="T822" s="48"/>
      <c r="U822" s="48"/>
      <c r="V822" s="48"/>
      <c r="W822" s="48"/>
      <c r="X822" s="48"/>
      <c r="Y822" s="48"/>
      <c r="Z822" s="48"/>
    </row>
    <row r="823" ht="23.25" customHeight="1">
      <c r="A823" s="48"/>
      <c r="B823" s="48"/>
      <c r="C823" s="48"/>
      <c r="D823" s="48"/>
      <c r="E823" s="48"/>
      <c r="F823" s="48"/>
      <c r="G823" s="80"/>
      <c r="H823" s="80"/>
      <c r="I823" s="48"/>
      <c r="J823" s="48"/>
      <c r="K823" s="48"/>
      <c r="L823" s="48"/>
      <c r="M823" s="48"/>
      <c r="N823" s="48"/>
      <c r="O823" s="48"/>
      <c r="P823" s="48"/>
      <c r="Q823" s="48"/>
      <c r="R823" s="48"/>
      <c r="S823" s="48"/>
      <c r="T823" s="48"/>
      <c r="U823" s="48"/>
      <c r="V823" s="48"/>
      <c r="W823" s="48"/>
      <c r="X823" s="48"/>
      <c r="Y823" s="48"/>
      <c r="Z823" s="48"/>
    </row>
    <row r="824" ht="23.25" customHeight="1">
      <c r="A824" s="48"/>
      <c r="B824" s="48"/>
      <c r="C824" s="48"/>
      <c r="D824" s="48"/>
      <c r="E824" s="48"/>
      <c r="F824" s="48"/>
      <c r="G824" s="80"/>
      <c r="H824" s="80"/>
      <c r="I824" s="48"/>
      <c r="J824" s="48"/>
      <c r="K824" s="48"/>
      <c r="L824" s="48"/>
      <c r="M824" s="48"/>
      <c r="N824" s="48"/>
      <c r="O824" s="48"/>
      <c r="P824" s="48"/>
      <c r="Q824" s="48"/>
      <c r="R824" s="48"/>
      <c r="S824" s="48"/>
      <c r="T824" s="48"/>
      <c r="U824" s="48"/>
      <c r="V824" s="48"/>
      <c r="W824" s="48"/>
      <c r="X824" s="48"/>
      <c r="Y824" s="48"/>
      <c r="Z824" s="48"/>
    </row>
    <row r="825" ht="23.25" customHeight="1">
      <c r="A825" s="48"/>
      <c r="B825" s="48"/>
      <c r="C825" s="48"/>
      <c r="D825" s="48"/>
      <c r="E825" s="48"/>
      <c r="F825" s="48"/>
      <c r="G825" s="80"/>
      <c r="H825" s="80"/>
      <c r="I825" s="48"/>
      <c r="J825" s="48"/>
      <c r="K825" s="48"/>
      <c r="L825" s="48"/>
      <c r="M825" s="48"/>
      <c r="N825" s="48"/>
      <c r="O825" s="48"/>
      <c r="P825" s="48"/>
      <c r="Q825" s="48"/>
      <c r="R825" s="48"/>
      <c r="S825" s="48"/>
      <c r="T825" s="48"/>
      <c r="U825" s="48"/>
      <c r="V825" s="48"/>
      <c r="W825" s="48"/>
      <c r="X825" s="48"/>
      <c r="Y825" s="48"/>
      <c r="Z825" s="48"/>
    </row>
    <row r="826" ht="23.25" customHeight="1">
      <c r="A826" s="48"/>
      <c r="B826" s="48"/>
      <c r="C826" s="48"/>
      <c r="D826" s="48"/>
      <c r="E826" s="48"/>
      <c r="F826" s="48"/>
      <c r="G826" s="80"/>
      <c r="H826" s="80"/>
      <c r="I826" s="48"/>
      <c r="J826" s="48"/>
      <c r="K826" s="48"/>
      <c r="L826" s="48"/>
      <c r="M826" s="48"/>
      <c r="N826" s="48"/>
      <c r="O826" s="48"/>
      <c r="P826" s="48"/>
      <c r="Q826" s="48"/>
      <c r="R826" s="48"/>
      <c r="S826" s="48"/>
      <c r="T826" s="48"/>
      <c r="U826" s="48"/>
      <c r="V826" s="48"/>
      <c r="W826" s="48"/>
      <c r="X826" s="48"/>
      <c r="Y826" s="48"/>
      <c r="Z826" s="48"/>
    </row>
    <row r="827" ht="23.25" customHeight="1">
      <c r="A827" s="48"/>
      <c r="B827" s="48"/>
      <c r="C827" s="48"/>
      <c r="D827" s="48"/>
      <c r="E827" s="48"/>
      <c r="F827" s="48"/>
      <c r="G827" s="80"/>
      <c r="H827" s="80"/>
      <c r="I827" s="48"/>
      <c r="J827" s="48"/>
      <c r="K827" s="48"/>
      <c r="L827" s="48"/>
      <c r="M827" s="48"/>
      <c r="N827" s="48"/>
      <c r="O827" s="48"/>
      <c r="P827" s="48"/>
      <c r="Q827" s="48"/>
      <c r="R827" s="48"/>
      <c r="S827" s="48"/>
      <c r="T827" s="48"/>
      <c r="U827" s="48"/>
      <c r="V827" s="48"/>
      <c r="W827" s="48"/>
      <c r="X827" s="48"/>
      <c r="Y827" s="48"/>
      <c r="Z827" s="48"/>
    </row>
    <row r="828" ht="23.25" customHeight="1">
      <c r="A828" s="48"/>
      <c r="B828" s="48"/>
      <c r="C828" s="48"/>
      <c r="D828" s="48"/>
      <c r="E828" s="48"/>
      <c r="F828" s="48"/>
      <c r="G828" s="80"/>
      <c r="H828" s="80"/>
      <c r="I828" s="48"/>
      <c r="J828" s="48"/>
      <c r="K828" s="48"/>
      <c r="L828" s="48"/>
      <c r="M828" s="48"/>
      <c r="N828" s="48"/>
      <c r="O828" s="48"/>
      <c r="P828" s="48"/>
      <c r="Q828" s="48"/>
      <c r="R828" s="48"/>
      <c r="S828" s="48"/>
      <c r="T828" s="48"/>
      <c r="U828" s="48"/>
      <c r="V828" s="48"/>
      <c r="W828" s="48"/>
      <c r="X828" s="48"/>
      <c r="Y828" s="48"/>
      <c r="Z828" s="48"/>
    </row>
    <row r="829" ht="23.25" customHeight="1">
      <c r="A829" s="48"/>
      <c r="B829" s="48"/>
      <c r="C829" s="48"/>
      <c r="D829" s="48"/>
      <c r="E829" s="48"/>
      <c r="F829" s="48"/>
      <c r="G829" s="80"/>
      <c r="H829" s="80"/>
      <c r="I829" s="48"/>
      <c r="J829" s="48"/>
      <c r="K829" s="48"/>
      <c r="L829" s="48"/>
      <c r="M829" s="48"/>
      <c r="N829" s="48"/>
      <c r="O829" s="48"/>
      <c r="P829" s="48"/>
      <c r="Q829" s="48"/>
      <c r="R829" s="48"/>
      <c r="S829" s="48"/>
      <c r="T829" s="48"/>
      <c r="U829" s="48"/>
      <c r="V829" s="48"/>
      <c r="W829" s="48"/>
      <c r="X829" s="48"/>
      <c r="Y829" s="48"/>
      <c r="Z829" s="48"/>
    </row>
    <row r="830" ht="23.25" customHeight="1">
      <c r="A830" s="48"/>
      <c r="B830" s="48"/>
      <c r="C830" s="48"/>
      <c r="D830" s="48"/>
      <c r="E830" s="48"/>
      <c r="F830" s="48"/>
      <c r="G830" s="80"/>
      <c r="H830" s="80"/>
      <c r="I830" s="48"/>
      <c r="J830" s="48"/>
      <c r="K830" s="48"/>
      <c r="L830" s="48"/>
      <c r="M830" s="48"/>
      <c r="N830" s="48"/>
      <c r="O830" s="48"/>
      <c r="P830" s="48"/>
      <c r="Q830" s="48"/>
      <c r="R830" s="48"/>
      <c r="S830" s="48"/>
      <c r="T830" s="48"/>
      <c r="U830" s="48"/>
      <c r="V830" s="48"/>
      <c r="W830" s="48"/>
      <c r="X830" s="48"/>
      <c r="Y830" s="48"/>
      <c r="Z830" s="48"/>
    </row>
    <row r="831" ht="23.25" customHeight="1">
      <c r="A831" s="48"/>
      <c r="B831" s="48"/>
      <c r="C831" s="48"/>
      <c r="D831" s="48"/>
      <c r="E831" s="48"/>
      <c r="F831" s="48"/>
      <c r="G831" s="80"/>
      <c r="H831" s="80"/>
      <c r="I831" s="48"/>
      <c r="J831" s="48"/>
      <c r="K831" s="48"/>
      <c r="L831" s="48"/>
      <c r="M831" s="48"/>
      <c r="N831" s="48"/>
      <c r="O831" s="48"/>
      <c r="P831" s="48"/>
      <c r="Q831" s="48"/>
      <c r="R831" s="48"/>
      <c r="S831" s="48"/>
      <c r="T831" s="48"/>
      <c r="U831" s="48"/>
      <c r="V831" s="48"/>
      <c r="W831" s="48"/>
      <c r="X831" s="48"/>
      <c r="Y831" s="48"/>
      <c r="Z831" s="48"/>
    </row>
    <row r="832" ht="23.25" customHeight="1">
      <c r="A832" s="48"/>
      <c r="B832" s="48"/>
      <c r="C832" s="48"/>
      <c r="D832" s="48"/>
      <c r="E832" s="48"/>
      <c r="F832" s="48"/>
      <c r="G832" s="80"/>
      <c r="H832" s="80"/>
      <c r="I832" s="48"/>
      <c r="J832" s="48"/>
      <c r="K832" s="48"/>
      <c r="L832" s="48"/>
      <c r="M832" s="48"/>
      <c r="N832" s="48"/>
      <c r="O832" s="48"/>
      <c r="P832" s="48"/>
      <c r="Q832" s="48"/>
      <c r="R832" s="48"/>
      <c r="S832" s="48"/>
      <c r="T832" s="48"/>
      <c r="U832" s="48"/>
      <c r="V832" s="48"/>
      <c r="W832" s="48"/>
      <c r="X832" s="48"/>
      <c r="Y832" s="48"/>
      <c r="Z832" s="48"/>
    </row>
    <row r="833" ht="23.25" customHeight="1">
      <c r="A833" s="48"/>
      <c r="B833" s="48"/>
      <c r="C833" s="48"/>
      <c r="D833" s="48"/>
      <c r="E833" s="48"/>
      <c r="F833" s="48"/>
      <c r="G833" s="80"/>
      <c r="H833" s="80"/>
      <c r="I833" s="48"/>
      <c r="J833" s="48"/>
      <c r="K833" s="48"/>
      <c r="L833" s="48"/>
      <c r="M833" s="48"/>
      <c r="N833" s="48"/>
      <c r="O833" s="48"/>
      <c r="P833" s="48"/>
      <c r="Q833" s="48"/>
      <c r="R833" s="48"/>
      <c r="S833" s="48"/>
      <c r="T833" s="48"/>
      <c r="U833" s="48"/>
      <c r="V833" s="48"/>
      <c r="W833" s="48"/>
      <c r="X833" s="48"/>
      <c r="Y833" s="48"/>
      <c r="Z833" s="48"/>
    </row>
    <row r="834" ht="23.25" customHeight="1">
      <c r="A834" s="48"/>
      <c r="B834" s="48"/>
      <c r="C834" s="48"/>
      <c r="D834" s="48"/>
      <c r="E834" s="48"/>
      <c r="F834" s="48"/>
      <c r="G834" s="80"/>
      <c r="H834" s="80"/>
      <c r="I834" s="48"/>
      <c r="J834" s="48"/>
      <c r="K834" s="48"/>
      <c r="L834" s="48"/>
      <c r="M834" s="48"/>
      <c r="N834" s="48"/>
      <c r="O834" s="48"/>
      <c r="P834" s="48"/>
      <c r="Q834" s="48"/>
      <c r="R834" s="48"/>
      <c r="S834" s="48"/>
      <c r="T834" s="48"/>
      <c r="U834" s="48"/>
      <c r="V834" s="48"/>
      <c r="W834" s="48"/>
      <c r="X834" s="48"/>
      <c r="Y834" s="48"/>
      <c r="Z834" s="48"/>
    </row>
    <row r="835" ht="23.25" customHeight="1">
      <c r="A835" s="48"/>
      <c r="B835" s="48"/>
      <c r="C835" s="48"/>
      <c r="D835" s="48"/>
      <c r="E835" s="48"/>
      <c r="F835" s="48"/>
      <c r="G835" s="80"/>
      <c r="H835" s="80"/>
      <c r="I835" s="48"/>
      <c r="J835" s="48"/>
      <c r="K835" s="48"/>
      <c r="L835" s="48"/>
      <c r="M835" s="48"/>
      <c r="N835" s="48"/>
      <c r="O835" s="48"/>
      <c r="P835" s="48"/>
      <c r="Q835" s="48"/>
      <c r="R835" s="48"/>
      <c r="S835" s="48"/>
      <c r="T835" s="48"/>
      <c r="U835" s="48"/>
      <c r="V835" s="48"/>
      <c r="W835" s="48"/>
      <c r="X835" s="48"/>
      <c r="Y835" s="48"/>
      <c r="Z835" s="48"/>
    </row>
    <row r="836" ht="23.25" customHeight="1">
      <c r="A836" s="48"/>
      <c r="B836" s="48"/>
      <c r="C836" s="48"/>
      <c r="D836" s="48"/>
      <c r="E836" s="48"/>
      <c r="F836" s="48"/>
      <c r="G836" s="80"/>
      <c r="H836" s="80"/>
      <c r="I836" s="48"/>
      <c r="J836" s="48"/>
      <c r="K836" s="48"/>
      <c r="L836" s="48"/>
      <c r="M836" s="48"/>
      <c r="N836" s="48"/>
      <c r="O836" s="48"/>
      <c r="P836" s="48"/>
      <c r="Q836" s="48"/>
      <c r="R836" s="48"/>
      <c r="S836" s="48"/>
      <c r="T836" s="48"/>
      <c r="U836" s="48"/>
      <c r="V836" s="48"/>
      <c r="W836" s="48"/>
      <c r="X836" s="48"/>
      <c r="Y836" s="48"/>
      <c r="Z836" s="48"/>
    </row>
    <row r="837" ht="23.25" customHeight="1">
      <c r="A837" s="48"/>
      <c r="B837" s="48"/>
      <c r="C837" s="48"/>
      <c r="D837" s="48"/>
      <c r="E837" s="48"/>
      <c r="F837" s="48"/>
      <c r="G837" s="80"/>
      <c r="H837" s="80"/>
      <c r="I837" s="48"/>
      <c r="J837" s="48"/>
      <c r="K837" s="48"/>
      <c r="L837" s="48"/>
      <c r="M837" s="48"/>
      <c r="N837" s="48"/>
      <c r="O837" s="48"/>
      <c r="P837" s="48"/>
      <c r="Q837" s="48"/>
      <c r="R837" s="48"/>
      <c r="S837" s="48"/>
      <c r="T837" s="48"/>
      <c r="U837" s="48"/>
      <c r="V837" s="48"/>
      <c r="W837" s="48"/>
      <c r="X837" s="48"/>
      <c r="Y837" s="48"/>
      <c r="Z837" s="48"/>
    </row>
    <row r="838" ht="23.25" customHeight="1">
      <c r="A838" s="48"/>
      <c r="B838" s="48"/>
      <c r="C838" s="48"/>
      <c r="D838" s="48"/>
      <c r="E838" s="48"/>
      <c r="F838" s="48"/>
      <c r="G838" s="80"/>
      <c r="H838" s="80"/>
      <c r="I838" s="48"/>
      <c r="J838" s="48"/>
      <c r="K838" s="48"/>
      <c r="L838" s="48"/>
      <c r="M838" s="48"/>
      <c r="N838" s="48"/>
      <c r="O838" s="48"/>
      <c r="P838" s="48"/>
      <c r="Q838" s="48"/>
      <c r="R838" s="48"/>
      <c r="S838" s="48"/>
      <c r="T838" s="48"/>
      <c r="U838" s="48"/>
      <c r="V838" s="48"/>
      <c r="W838" s="48"/>
      <c r="X838" s="48"/>
      <c r="Y838" s="48"/>
      <c r="Z838" s="48"/>
    </row>
    <row r="839" ht="23.25" customHeight="1">
      <c r="A839" s="48"/>
      <c r="B839" s="48"/>
      <c r="C839" s="48"/>
      <c r="D839" s="48"/>
      <c r="E839" s="48"/>
      <c r="F839" s="48"/>
      <c r="G839" s="80"/>
      <c r="H839" s="80"/>
      <c r="I839" s="48"/>
      <c r="J839" s="48"/>
      <c r="K839" s="48"/>
      <c r="L839" s="48"/>
      <c r="M839" s="48"/>
      <c r="N839" s="48"/>
      <c r="O839" s="48"/>
      <c r="P839" s="48"/>
      <c r="Q839" s="48"/>
      <c r="R839" s="48"/>
      <c r="S839" s="48"/>
      <c r="T839" s="48"/>
      <c r="U839" s="48"/>
      <c r="V839" s="48"/>
      <c r="W839" s="48"/>
      <c r="X839" s="48"/>
      <c r="Y839" s="48"/>
      <c r="Z839" s="48"/>
    </row>
    <row r="840" ht="23.25" customHeight="1">
      <c r="A840" s="48"/>
      <c r="B840" s="48"/>
      <c r="C840" s="48"/>
      <c r="D840" s="48"/>
      <c r="E840" s="48"/>
      <c r="F840" s="48"/>
      <c r="G840" s="80"/>
      <c r="H840" s="80"/>
      <c r="I840" s="48"/>
      <c r="J840" s="48"/>
      <c r="K840" s="48"/>
      <c r="L840" s="48"/>
      <c r="M840" s="48"/>
      <c r="N840" s="48"/>
      <c r="O840" s="48"/>
      <c r="P840" s="48"/>
      <c r="Q840" s="48"/>
      <c r="R840" s="48"/>
      <c r="S840" s="48"/>
      <c r="T840" s="48"/>
      <c r="U840" s="48"/>
      <c r="V840" s="48"/>
      <c r="W840" s="48"/>
      <c r="X840" s="48"/>
      <c r="Y840" s="48"/>
      <c r="Z840" s="48"/>
    </row>
    <row r="841" ht="23.25" customHeight="1">
      <c r="A841" s="48"/>
      <c r="B841" s="48"/>
      <c r="C841" s="48"/>
      <c r="D841" s="48"/>
      <c r="E841" s="48"/>
      <c r="F841" s="48"/>
      <c r="G841" s="80"/>
      <c r="H841" s="80"/>
      <c r="I841" s="48"/>
      <c r="J841" s="48"/>
      <c r="K841" s="48"/>
      <c r="L841" s="48"/>
      <c r="M841" s="48"/>
      <c r="N841" s="48"/>
      <c r="O841" s="48"/>
      <c r="P841" s="48"/>
      <c r="Q841" s="48"/>
      <c r="R841" s="48"/>
      <c r="S841" s="48"/>
      <c r="T841" s="48"/>
      <c r="U841" s="48"/>
      <c r="V841" s="48"/>
      <c r="W841" s="48"/>
      <c r="X841" s="48"/>
      <c r="Y841" s="48"/>
      <c r="Z841" s="48"/>
    </row>
    <row r="842" ht="23.25" customHeight="1">
      <c r="A842" s="48"/>
      <c r="B842" s="48"/>
      <c r="C842" s="48"/>
      <c r="D842" s="48"/>
      <c r="E842" s="48"/>
      <c r="F842" s="48"/>
      <c r="G842" s="80"/>
      <c r="H842" s="80"/>
      <c r="I842" s="48"/>
      <c r="J842" s="48"/>
      <c r="K842" s="48"/>
      <c r="L842" s="48"/>
      <c r="M842" s="48"/>
      <c r="N842" s="48"/>
      <c r="O842" s="48"/>
      <c r="P842" s="48"/>
      <c r="Q842" s="48"/>
      <c r="R842" s="48"/>
      <c r="S842" s="48"/>
      <c r="T842" s="48"/>
      <c r="U842" s="48"/>
      <c r="V842" s="48"/>
      <c r="W842" s="48"/>
      <c r="X842" s="48"/>
      <c r="Y842" s="48"/>
      <c r="Z842" s="48"/>
    </row>
    <row r="843" ht="23.25" customHeight="1">
      <c r="A843" s="48"/>
      <c r="B843" s="48"/>
      <c r="C843" s="48"/>
      <c r="D843" s="48"/>
      <c r="E843" s="48"/>
      <c r="F843" s="48"/>
      <c r="G843" s="80"/>
      <c r="H843" s="80"/>
      <c r="I843" s="48"/>
      <c r="J843" s="48"/>
      <c r="K843" s="48"/>
      <c r="L843" s="48"/>
      <c r="M843" s="48"/>
      <c r="N843" s="48"/>
      <c r="O843" s="48"/>
      <c r="P843" s="48"/>
      <c r="Q843" s="48"/>
      <c r="R843" s="48"/>
      <c r="S843" s="48"/>
      <c r="T843" s="48"/>
      <c r="U843" s="48"/>
      <c r="V843" s="48"/>
      <c r="W843" s="48"/>
      <c r="X843" s="48"/>
      <c r="Y843" s="48"/>
      <c r="Z843" s="48"/>
    </row>
    <row r="844" ht="23.25" customHeight="1">
      <c r="A844" s="48"/>
      <c r="B844" s="48"/>
      <c r="C844" s="48"/>
      <c r="D844" s="48"/>
      <c r="E844" s="48"/>
      <c r="F844" s="48"/>
      <c r="G844" s="80"/>
      <c r="H844" s="80"/>
      <c r="I844" s="48"/>
      <c r="J844" s="48"/>
      <c r="K844" s="48"/>
      <c r="L844" s="48"/>
      <c r="M844" s="48"/>
      <c r="N844" s="48"/>
      <c r="O844" s="48"/>
      <c r="P844" s="48"/>
      <c r="Q844" s="48"/>
      <c r="R844" s="48"/>
      <c r="S844" s="48"/>
      <c r="T844" s="48"/>
      <c r="U844" s="48"/>
      <c r="V844" s="48"/>
      <c r="W844" s="48"/>
      <c r="X844" s="48"/>
      <c r="Y844" s="48"/>
      <c r="Z844" s="48"/>
    </row>
    <row r="845" ht="23.25" customHeight="1">
      <c r="A845" s="48"/>
      <c r="B845" s="48"/>
      <c r="C845" s="48"/>
      <c r="D845" s="48"/>
      <c r="E845" s="48"/>
      <c r="F845" s="48"/>
      <c r="G845" s="80"/>
      <c r="H845" s="80"/>
      <c r="I845" s="48"/>
      <c r="J845" s="48"/>
      <c r="K845" s="48"/>
      <c r="L845" s="48"/>
      <c r="M845" s="48"/>
      <c r="N845" s="48"/>
      <c r="O845" s="48"/>
      <c r="P845" s="48"/>
      <c r="Q845" s="48"/>
      <c r="R845" s="48"/>
      <c r="S845" s="48"/>
      <c r="T845" s="48"/>
      <c r="U845" s="48"/>
      <c r="V845" s="48"/>
      <c r="W845" s="48"/>
      <c r="X845" s="48"/>
      <c r="Y845" s="48"/>
      <c r="Z845" s="48"/>
    </row>
    <row r="846" ht="23.25" customHeight="1">
      <c r="A846" s="48"/>
      <c r="B846" s="48"/>
      <c r="C846" s="48"/>
      <c r="D846" s="48"/>
      <c r="E846" s="48"/>
      <c r="F846" s="48"/>
      <c r="G846" s="80"/>
      <c r="H846" s="80"/>
      <c r="I846" s="48"/>
      <c r="J846" s="48"/>
      <c r="K846" s="48"/>
      <c r="L846" s="48"/>
      <c r="M846" s="48"/>
      <c r="N846" s="48"/>
      <c r="O846" s="48"/>
      <c r="P846" s="48"/>
      <c r="Q846" s="48"/>
      <c r="R846" s="48"/>
      <c r="S846" s="48"/>
      <c r="T846" s="48"/>
      <c r="U846" s="48"/>
      <c r="V846" s="48"/>
      <c r="W846" s="48"/>
      <c r="X846" s="48"/>
      <c r="Y846" s="48"/>
      <c r="Z846" s="48"/>
    </row>
    <row r="847" ht="23.25" customHeight="1">
      <c r="A847" s="48"/>
      <c r="B847" s="48"/>
      <c r="C847" s="48"/>
      <c r="D847" s="48"/>
      <c r="E847" s="48"/>
      <c r="F847" s="48"/>
      <c r="G847" s="80"/>
      <c r="H847" s="80"/>
      <c r="I847" s="48"/>
      <c r="J847" s="48"/>
      <c r="K847" s="48"/>
      <c r="L847" s="48"/>
      <c r="M847" s="48"/>
      <c r="N847" s="48"/>
      <c r="O847" s="48"/>
      <c r="P847" s="48"/>
      <c r="Q847" s="48"/>
      <c r="R847" s="48"/>
      <c r="S847" s="48"/>
      <c r="T847" s="48"/>
      <c r="U847" s="48"/>
      <c r="V847" s="48"/>
      <c r="W847" s="48"/>
      <c r="X847" s="48"/>
      <c r="Y847" s="48"/>
      <c r="Z847" s="48"/>
    </row>
    <row r="848" ht="23.25" customHeight="1">
      <c r="A848" s="48"/>
      <c r="B848" s="48"/>
      <c r="C848" s="48"/>
      <c r="D848" s="48"/>
      <c r="E848" s="48"/>
      <c r="F848" s="48"/>
      <c r="G848" s="80"/>
      <c r="H848" s="80"/>
      <c r="I848" s="48"/>
      <c r="J848" s="48"/>
      <c r="K848" s="48"/>
      <c r="L848" s="48"/>
      <c r="M848" s="48"/>
      <c r="N848" s="48"/>
      <c r="O848" s="48"/>
      <c r="P848" s="48"/>
      <c r="Q848" s="48"/>
      <c r="R848" s="48"/>
      <c r="S848" s="48"/>
      <c r="T848" s="48"/>
      <c r="U848" s="48"/>
      <c r="V848" s="48"/>
      <c r="W848" s="48"/>
      <c r="X848" s="48"/>
      <c r="Y848" s="48"/>
      <c r="Z848" s="48"/>
    </row>
    <row r="849" ht="23.25" customHeight="1">
      <c r="A849" s="48"/>
      <c r="B849" s="48"/>
      <c r="C849" s="48"/>
      <c r="D849" s="48"/>
      <c r="E849" s="48"/>
      <c r="F849" s="48"/>
      <c r="G849" s="80"/>
      <c r="H849" s="80"/>
      <c r="I849" s="48"/>
      <c r="J849" s="48"/>
      <c r="K849" s="48"/>
      <c r="L849" s="48"/>
      <c r="M849" s="48"/>
      <c r="N849" s="48"/>
      <c r="O849" s="48"/>
      <c r="P849" s="48"/>
      <c r="Q849" s="48"/>
      <c r="R849" s="48"/>
      <c r="S849" s="48"/>
      <c r="T849" s="48"/>
      <c r="U849" s="48"/>
      <c r="V849" s="48"/>
      <c r="W849" s="48"/>
      <c r="X849" s="48"/>
      <c r="Y849" s="48"/>
      <c r="Z849" s="48"/>
    </row>
    <row r="850" ht="23.25" customHeight="1">
      <c r="A850" s="48"/>
      <c r="B850" s="48"/>
      <c r="C850" s="48"/>
      <c r="D850" s="48"/>
      <c r="E850" s="48"/>
      <c r="F850" s="48"/>
      <c r="G850" s="80"/>
      <c r="H850" s="80"/>
      <c r="I850" s="48"/>
      <c r="J850" s="48"/>
      <c r="K850" s="48"/>
      <c r="L850" s="48"/>
      <c r="M850" s="48"/>
      <c r="N850" s="48"/>
      <c r="O850" s="48"/>
      <c r="P850" s="48"/>
      <c r="Q850" s="48"/>
      <c r="R850" s="48"/>
      <c r="S850" s="48"/>
      <c r="T850" s="48"/>
      <c r="U850" s="48"/>
      <c r="V850" s="48"/>
      <c r="W850" s="48"/>
      <c r="X850" s="48"/>
      <c r="Y850" s="48"/>
      <c r="Z850" s="48"/>
    </row>
    <row r="851" ht="23.25" customHeight="1">
      <c r="A851" s="48"/>
      <c r="B851" s="48"/>
      <c r="C851" s="48"/>
      <c r="D851" s="48"/>
      <c r="E851" s="48"/>
      <c r="F851" s="48"/>
      <c r="G851" s="80"/>
      <c r="H851" s="80"/>
      <c r="I851" s="48"/>
      <c r="J851" s="48"/>
      <c r="K851" s="48"/>
      <c r="L851" s="48"/>
      <c r="M851" s="48"/>
      <c r="N851" s="48"/>
      <c r="O851" s="48"/>
      <c r="P851" s="48"/>
      <c r="Q851" s="48"/>
      <c r="R851" s="48"/>
      <c r="S851" s="48"/>
      <c r="T851" s="48"/>
      <c r="U851" s="48"/>
      <c r="V851" s="48"/>
      <c r="W851" s="48"/>
      <c r="X851" s="48"/>
      <c r="Y851" s="48"/>
      <c r="Z851" s="48"/>
    </row>
    <row r="852" ht="23.25" customHeight="1">
      <c r="A852" s="48"/>
      <c r="B852" s="48"/>
      <c r="C852" s="48"/>
      <c r="D852" s="48"/>
      <c r="E852" s="48"/>
      <c r="F852" s="48"/>
      <c r="G852" s="80"/>
      <c r="H852" s="80"/>
      <c r="I852" s="48"/>
      <c r="J852" s="48"/>
      <c r="K852" s="48"/>
      <c r="L852" s="48"/>
      <c r="M852" s="48"/>
      <c r="N852" s="48"/>
      <c r="O852" s="48"/>
      <c r="P852" s="48"/>
      <c r="Q852" s="48"/>
      <c r="R852" s="48"/>
      <c r="S852" s="48"/>
      <c r="T852" s="48"/>
      <c r="U852" s="48"/>
      <c r="V852" s="48"/>
      <c r="W852" s="48"/>
      <c r="X852" s="48"/>
      <c r="Y852" s="48"/>
      <c r="Z852" s="48"/>
    </row>
    <row r="853" ht="23.25" customHeight="1">
      <c r="A853" s="48"/>
      <c r="B853" s="48"/>
      <c r="C853" s="48"/>
      <c r="D853" s="48"/>
      <c r="E853" s="48"/>
      <c r="F853" s="48"/>
      <c r="G853" s="80"/>
      <c r="H853" s="80"/>
      <c r="I853" s="48"/>
      <c r="J853" s="48"/>
      <c r="K853" s="48"/>
      <c r="L853" s="48"/>
      <c r="M853" s="48"/>
      <c r="N853" s="48"/>
      <c r="O853" s="48"/>
      <c r="P853" s="48"/>
      <c r="Q853" s="48"/>
      <c r="R853" s="48"/>
      <c r="S853" s="48"/>
      <c r="T853" s="48"/>
      <c r="U853" s="48"/>
      <c r="V853" s="48"/>
      <c r="W853" s="48"/>
      <c r="X853" s="48"/>
      <c r="Y853" s="48"/>
      <c r="Z853" s="48"/>
    </row>
    <row r="854" ht="23.25" customHeight="1">
      <c r="A854" s="48"/>
      <c r="B854" s="48"/>
      <c r="C854" s="48"/>
      <c r="D854" s="48"/>
      <c r="E854" s="48"/>
      <c r="F854" s="48"/>
      <c r="G854" s="80"/>
      <c r="H854" s="80"/>
      <c r="I854" s="48"/>
      <c r="J854" s="48"/>
      <c r="K854" s="48"/>
      <c r="L854" s="48"/>
      <c r="M854" s="48"/>
      <c r="N854" s="48"/>
      <c r="O854" s="48"/>
      <c r="P854" s="48"/>
      <c r="Q854" s="48"/>
      <c r="R854" s="48"/>
      <c r="S854" s="48"/>
      <c r="T854" s="48"/>
      <c r="U854" s="48"/>
      <c r="V854" s="48"/>
      <c r="W854" s="48"/>
      <c r="X854" s="48"/>
      <c r="Y854" s="48"/>
      <c r="Z854" s="48"/>
    </row>
    <row r="855" ht="23.25" customHeight="1">
      <c r="A855" s="48"/>
      <c r="B855" s="48"/>
      <c r="C855" s="48"/>
      <c r="D855" s="48"/>
      <c r="E855" s="48"/>
      <c r="F855" s="48"/>
      <c r="G855" s="80"/>
      <c r="H855" s="80"/>
      <c r="I855" s="48"/>
      <c r="J855" s="48"/>
      <c r="K855" s="48"/>
      <c r="L855" s="48"/>
      <c r="M855" s="48"/>
      <c r="N855" s="48"/>
      <c r="O855" s="48"/>
      <c r="P855" s="48"/>
      <c r="Q855" s="48"/>
      <c r="R855" s="48"/>
      <c r="S855" s="48"/>
      <c r="T855" s="48"/>
      <c r="U855" s="48"/>
      <c r="V855" s="48"/>
      <c r="W855" s="48"/>
      <c r="X855" s="48"/>
      <c r="Y855" s="48"/>
      <c r="Z855" s="48"/>
    </row>
    <row r="856" ht="23.25" customHeight="1">
      <c r="A856" s="48"/>
      <c r="B856" s="48"/>
      <c r="C856" s="48"/>
      <c r="D856" s="48"/>
      <c r="E856" s="48"/>
      <c r="F856" s="48"/>
      <c r="G856" s="80"/>
      <c r="H856" s="80"/>
      <c r="I856" s="48"/>
      <c r="J856" s="48"/>
      <c r="K856" s="48"/>
      <c r="L856" s="48"/>
      <c r="M856" s="48"/>
      <c r="N856" s="48"/>
      <c r="O856" s="48"/>
      <c r="P856" s="48"/>
      <c r="Q856" s="48"/>
      <c r="R856" s="48"/>
      <c r="S856" s="48"/>
      <c r="T856" s="48"/>
      <c r="U856" s="48"/>
      <c r="V856" s="48"/>
      <c r="W856" s="48"/>
      <c r="X856" s="48"/>
      <c r="Y856" s="48"/>
      <c r="Z856" s="48"/>
    </row>
    <row r="857" ht="23.25" customHeight="1">
      <c r="A857" s="48"/>
      <c r="B857" s="48"/>
      <c r="C857" s="48"/>
      <c r="D857" s="48"/>
      <c r="E857" s="48"/>
      <c r="F857" s="48"/>
      <c r="G857" s="80"/>
      <c r="H857" s="80"/>
      <c r="I857" s="48"/>
      <c r="J857" s="48"/>
      <c r="K857" s="48"/>
      <c r="L857" s="48"/>
      <c r="M857" s="48"/>
      <c r="N857" s="48"/>
      <c r="O857" s="48"/>
      <c r="P857" s="48"/>
      <c r="Q857" s="48"/>
      <c r="R857" s="48"/>
      <c r="S857" s="48"/>
      <c r="T857" s="48"/>
      <c r="U857" s="48"/>
      <c r="V857" s="48"/>
      <c r="W857" s="48"/>
      <c r="X857" s="48"/>
      <c r="Y857" s="48"/>
      <c r="Z857" s="48"/>
    </row>
    <row r="858" ht="23.25" customHeight="1">
      <c r="A858" s="48"/>
      <c r="B858" s="48"/>
      <c r="C858" s="48"/>
      <c r="D858" s="48"/>
      <c r="E858" s="48"/>
      <c r="F858" s="48"/>
      <c r="G858" s="80"/>
      <c r="H858" s="80"/>
      <c r="I858" s="48"/>
      <c r="J858" s="48"/>
      <c r="K858" s="48"/>
      <c r="L858" s="48"/>
      <c r="M858" s="48"/>
      <c r="N858" s="48"/>
      <c r="O858" s="48"/>
      <c r="P858" s="48"/>
      <c r="Q858" s="48"/>
      <c r="R858" s="48"/>
      <c r="S858" s="48"/>
      <c r="T858" s="48"/>
      <c r="U858" s="48"/>
      <c r="V858" s="48"/>
      <c r="W858" s="48"/>
      <c r="X858" s="48"/>
      <c r="Y858" s="48"/>
      <c r="Z858" s="48"/>
    </row>
    <row r="859" ht="23.25" customHeight="1">
      <c r="A859" s="48"/>
      <c r="B859" s="48"/>
      <c r="C859" s="48"/>
      <c r="D859" s="48"/>
      <c r="E859" s="48"/>
      <c r="F859" s="48"/>
      <c r="G859" s="80"/>
      <c r="H859" s="80"/>
      <c r="I859" s="48"/>
      <c r="J859" s="48"/>
      <c r="K859" s="48"/>
      <c r="L859" s="48"/>
      <c r="M859" s="48"/>
      <c r="N859" s="48"/>
      <c r="O859" s="48"/>
      <c r="P859" s="48"/>
      <c r="Q859" s="48"/>
      <c r="R859" s="48"/>
      <c r="S859" s="48"/>
      <c r="T859" s="48"/>
      <c r="U859" s="48"/>
      <c r="V859" s="48"/>
      <c r="W859" s="48"/>
      <c r="X859" s="48"/>
      <c r="Y859" s="48"/>
      <c r="Z859" s="48"/>
    </row>
    <row r="860" ht="23.25" customHeight="1">
      <c r="A860" s="48"/>
      <c r="B860" s="48"/>
      <c r="C860" s="48"/>
      <c r="D860" s="48"/>
      <c r="E860" s="48"/>
      <c r="F860" s="48"/>
      <c r="G860" s="80"/>
      <c r="H860" s="80"/>
      <c r="I860" s="48"/>
      <c r="J860" s="48"/>
      <c r="K860" s="48"/>
      <c r="L860" s="48"/>
      <c r="M860" s="48"/>
      <c r="N860" s="48"/>
      <c r="O860" s="48"/>
      <c r="P860" s="48"/>
      <c r="Q860" s="48"/>
      <c r="R860" s="48"/>
      <c r="S860" s="48"/>
      <c r="T860" s="48"/>
      <c r="U860" s="48"/>
      <c r="V860" s="48"/>
      <c r="W860" s="48"/>
      <c r="X860" s="48"/>
      <c r="Y860" s="48"/>
      <c r="Z860" s="48"/>
    </row>
    <row r="861" ht="23.25" customHeight="1">
      <c r="A861" s="48"/>
      <c r="B861" s="48"/>
      <c r="C861" s="48"/>
      <c r="D861" s="48"/>
      <c r="E861" s="48"/>
      <c r="F861" s="48"/>
      <c r="G861" s="80"/>
      <c r="H861" s="80"/>
      <c r="I861" s="48"/>
      <c r="J861" s="48"/>
      <c r="K861" s="48"/>
      <c r="L861" s="48"/>
      <c r="M861" s="48"/>
      <c r="N861" s="48"/>
      <c r="O861" s="48"/>
      <c r="P861" s="48"/>
      <c r="Q861" s="48"/>
      <c r="R861" s="48"/>
      <c r="S861" s="48"/>
      <c r="T861" s="48"/>
      <c r="U861" s="48"/>
      <c r="V861" s="48"/>
      <c r="W861" s="48"/>
      <c r="X861" s="48"/>
      <c r="Y861" s="48"/>
      <c r="Z861" s="48"/>
    </row>
    <row r="862" ht="23.25" customHeight="1">
      <c r="A862" s="48"/>
      <c r="B862" s="48"/>
      <c r="C862" s="48"/>
      <c r="D862" s="48"/>
      <c r="E862" s="48"/>
      <c r="F862" s="48"/>
      <c r="G862" s="80"/>
      <c r="H862" s="80"/>
      <c r="I862" s="48"/>
      <c r="J862" s="48"/>
      <c r="K862" s="48"/>
      <c r="L862" s="48"/>
      <c r="M862" s="48"/>
      <c r="N862" s="48"/>
      <c r="O862" s="48"/>
      <c r="P862" s="48"/>
      <c r="Q862" s="48"/>
      <c r="R862" s="48"/>
      <c r="S862" s="48"/>
      <c r="T862" s="48"/>
      <c r="U862" s="48"/>
      <c r="V862" s="48"/>
      <c r="W862" s="48"/>
      <c r="X862" s="48"/>
      <c r="Y862" s="48"/>
      <c r="Z862" s="48"/>
    </row>
    <row r="863" ht="23.25" customHeight="1">
      <c r="A863" s="48"/>
      <c r="B863" s="48"/>
      <c r="C863" s="48"/>
      <c r="D863" s="48"/>
      <c r="E863" s="48"/>
      <c r="F863" s="48"/>
      <c r="G863" s="80"/>
      <c r="H863" s="80"/>
      <c r="I863" s="48"/>
      <c r="J863" s="48"/>
      <c r="K863" s="48"/>
      <c r="L863" s="48"/>
      <c r="M863" s="48"/>
      <c r="N863" s="48"/>
      <c r="O863" s="48"/>
      <c r="P863" s="48"/>
      <c r="Q863" s="48"/>
      <c r="R863" s="48"/>
      <c r="S863" s="48"/>
      <c r="T863" s="48"/>
      <c r="U863" s="48"/>
      <c r="V863" s="48"/>
      <c r="W863" s="48"/>
      <c r="X863" s="48"/>
      <c r="Y863" s="48"/>
      <c r="Z863" s="48"/>
    </row>
    <row r="864" ht="23.25" customHeight="1">
      <c r="A864" s="48"/>
      <c r="B864" s="48"/>
      <c r="C864" s="48"/>
      <c r="D864" s="48"/>
      <c r="E864" s="48"/>
      <c r="F864" s="48"/>
      <c r="G864" s="80"/>
      <c r="H864" s="80"/>
      <c r="I864" s="48"/>
      <c r="J864" s="48"/>
      <c r="K864" s="48"/>
      <c r="L864" s="48"/>
      <c r="M864" s="48"/>
      <c r="N864" s="48"/>
      <c r="O864" s="48"/>
      <c r="P864" s="48"/>
      <c r="Q864" s="48"/>
      <c r="R864" s="48"/>
      <c r="S864" s="48"/>
      <c r="T864" s="48"/>
      <c r="U864" s="48"/>
      <c r="V864" s="48"/>
      <c r="W864" s="48"/>
      <c r="X864" s="48"/>
      <c r="Y864" s="48"/>
      <c r="Z864" s="48"/>
    </row>
    <row r="865" ht="23.25" customHeight="1">
      <c r="A865" s="48"/>
      <c r="B865" s="48"/>
      <c r="C865" s="48"/>
      <c r="D865" s="48"/>
      <c r="E865" s="48"/>
      <c r="F865" s="48"/>
      <c r="G865" s="80"/>
      <c r="H865" s="80"/>
      <c r="I865" s="48"/>
      <c r="J865" s="48"/>
      <c r="K865" s="48"/>
      <c r="L865" s="48"/>
      <c r="M865" s="48"/>
      <c r="N865" s="48"/>
      <c r="O865" s="48"/>
      <c r="P865" s="48"/>
      <c r="Q865" s="48"/>
      <c r="R865" s="48"/>
      <c r="S865" s="48"/>
      <c r="T865" s="48"/>
      <c r="U865" s="48"/>
      <c r="V865" s="48"/>
      <c r="W865" s="48"/>
      <c r="X865" s="48"/>
      <c r="Y865" s="48"/>
      <c r="Z865" s="48"/>
    </row>
    <row r="866" ht="23.25" customHeight="1">
      <c r="A866" s="48"/>
      <c r="B866" s="48"/>
      <c r="C866" s="48"/>
      <c r="D866" s="48"/>
      <c r="E866" s="48"/>
      <c r="F866" s="48"/>
      <c r="G866" s="80"/>
      <c r="H866" s="80"/>
      <c r="I866" s="48"/>
      <c r="J866" s="48"/>
      <c r="K866" s="48"/>
      <c r="L866" s="48"/>
      <c r="M866" s="48"/>
      <c r="N866" s="48"/>
      <c r="O866" s="48"/>
      <c r="P866" s="48"/>
      <c r="Q866" s="48"/>
      <c r="R866" s="48"/>
      <c r="S866" s="48"/>
      <c r="T866" s="48"/>
      <c r="U866" s="48"/>
      <c r="V866" s="48"/>
      <c r="W866" s="48"/>
      <c r="X866" s="48"/>
      <c r="Y866" s="48"/>
      <c r="Z866" s="48"/>
    </row>
    <row r="867" ht="23.25" customHeight="1">
      <c r="A867" s="48"/>
      <c r="B867" s="48"/>
      <c r="C867" s="48"/>
      <c r="D867" s="48"/>
      <c r="E867" s="48"/>
      <c r="F867" s="48"/>
      <c r="G867" s="80"/>
      <c r="H867" s="80"/>
      <c r="I867" s="48"/>
      <c r="J867" s="48"/>
      <c r="K867" s="48"/>
      <c r="L867" s="48"/>
      <c r="M867" s="48"/>
      <c r="N867" s="48"/>
      <c r="O867" s="48"/>
      <c r="P867" s="48"/>
      <c r="Q867" s="48"/>
      <c r="R867" s="48"/>
      <c r="S867" s="48"/>
      <c r="T867" s="48"/>
      <c r="U867" s="48"/>
      <c r="V867" s="48"/>
      <c r="W867" s="48"/>
      <c r="X867" s="48"/>
      <c r="Y867" s="48"/>
      <c r="Z867" s="48"/>
    </row>
    <row r="868" ht="23.25" customHeight="1">
      <c r="A868" s="48"/>
      <c r="B868" s="48"/>
      <c r="C868" s="48"/>
      <c r="D868" s="48"/>
      <c r="E868" s="48"/>
      <c r="F868" s="48"/>
      <c r="G868" s="80"/>
      <c r="H868" s="80"/>
      <c r="I868" s="48"/>
      <c r="J868" s="48"/>
      <c r="K868" s="48"/>
      <c r="L868" s="48"/>
      <c r="M868" s="48"/>
      <c r="N868" s="48"/>
      <c r="O868" s="48"/>
      <c r="P868" s="48"/>
      <c r="Q868" s="48"/>
      <c r="R868" s="48"/>
      <c r="S868" s="48"/>
      <c r="T868" s="48"/>
      <c r="U868" s="48"/>
      <c r="V868" s="48"/>
      <c r="W868" s="48"/>
      <c r="X868" s="48"/>
      <c r="Y868" s="48"/>
      <c r="Z868" s="48"/>
    </row>
    <row r="869" ht="23.25" customHeight="1">
      <c r="A869" s="48"/>
      <c r="B869" s="48"/>
      <c r="C869" s="48"/>
      <c r="D869" s="48"/>
      <c r="E869" s="48"/>
      <c r="F869" s="48"/>
      <c r="G869" s="80"/>
      <c r="H869" s="80"/>
      <c r="I869" s="48"/>
      <c r="J869" s="48"/>
      <c r="K869" s="48"/>
      <c r="L869" s="48"/>
      <c r="M869" s="48"/>
      <c r="N869" s="48"/>
      <c r="O869" s="48"/>
      <c r="P869" s="48"/>
      <c r="Q869" s="48"/>
      <c r="R869" s="48"/>
      <c r="S869" s="48"/>
      <c r="T869" s="48"/>
      <c r="U869" s="48"/>
      <c r="V869" s="48"/>
      <c r="W869" s="48"/>
      <c r="X869" s="48"/>
      <c r="Y869" s="48"/>
      <c r="Z869" s="48"/>
    </row>
    <row r="870" ht="23.25" customHeight="1">
      <c r="A870" s="48"/>
      <c r="B870" s="48"/>
      <c r="C870" s="48"/>
      <c r="D870" s="48"/>
      <c r="E870" s="48"/>
      <c r="F870" s="48"/>
      <c r="G870" s="80"/>
      <c r="H870" s="80"/>
      <c r="I870" s="48"/>
      <c r="J870" s="48"/>
      <c r="K870" s="48"/>
      <c r="L870" s="48"/>
      <c r="M870" s="48"/>
      <c r="N870" s="48"/>
      <c r="O870" s="48"/>
      <c r="P870" s="48"/>
      <c r="Q870" s="48"/>
      <c r="R870" s="48"/>
      <c r="S870" s="48"/>
      <c r="T870" s="48"/>
      <c r="U870" s="48"/>
      <c r="V870" s="48"/>
      <c r="W870" s="48"/>
      <c r="X870" s="48"/>
      <c r="Y870" s="48"/>
      <c r="Z870" s="48"/>
    </row>
    <row r="871" ht="23.25" customHeight="1">
      <c r="A871" s="48"/>
      <c r="B871" s="48"/>
      <c r="C871" s="48"/>
      <c r="D871" s="48"/>
      <c r="E871" s="48"/>
      <c r="F871" s="48"/>
      <c r="G871" s="80"/>
      <c r="H871" s="80"/>
      <c r="I871" s="48"/>
      <c r="J871" s="48"/>
      <c r="K871" s="48"/>
      <c r="L871" s="48"/>
      <c r="M871" s="48"/>
      <c r="N871" s="48"/>
      <c r="O871" s="48"/>
      <c r="P871" s="48"/>
      <c r="Q871" s="48"/>
      <c r="R871" s="48"/>
      <c r="S871" s="48"/>
      <c r="T871" s="48"/>
      <c r="U871" s="48"/>
      <c r="V871" s="48"/>
      <c r="W871" s="48"/>
      <c r="X871" s="48"/>
      <c r="Y871" s="48"/>
      <c r="Z871" s="48"/>
    </row>
    <row r="872" ht="23.25" customHeight="1">
      <c r="A872" s="48"/>
      <c r="B872" s="48"/>
      <c r="C872" s="48"/>
      <c r="D872" s="48"/>
      <c r="E872" s="48"/>
      <c r="F872" s="48"/>
      <c r="G872" s="80"/>
      <c r="H872" s="80"/>
      <c r="I872" s="48"/>
      <c r="J872" s="48"/>
      <c r="K872" s="48"/>
      <c r="L872" s="48"/>
      <c r="M872" s="48"/>
      <c r="N872" s="48"/>
      <c r="O872" s="48"/>
      <c r="P872" s="48"/>
      <c r="Q872" s="48"/>
      <c r="R872" s="48"/>
      <c r="S872" s="48"/>
      <c r="T872" s="48"/>
      <c r="U872" s="48"/>
      <c r="V872" s="48"/>
      <c r="W872" s="48"/>
      <c r="X872" s="48"/>
      <c r="Y872" s="48"/>
      <c r="Z872" s="48"/>
    </row>
    <row r="873" ht="23.25" customHeight="1">
      <c r="A873" s="48"/>
      <c r="B873" s="48"/>
      <c r="C873" s="48"/>
      <c r="D873" s="48"/>
      <c r="E873" s="48"/>
      <c r="F873" s="48"/>
      <c r="G873" s="80"/>
      <c r="H873" s="80"/>
      <c r="I873" s="48"/>
      <c r="J873" s="48"/>
      <c r="K873" s="48"/>
      <c r="L873" s="48"/>
      <c r="M873" s="48"/>
      <c r="N873" s="48"/>
      <c r="O873" s="48"/>
      <c r="P873" s="48"/>
      <c r="Q873" s="48"/>
      <c r="R873" s="48"/>
      <c r="S873" s="48"/>
      <c r="T873" s="48"/>
      <c r="U873" s="48"/>
      <c r="V873" s="48"/>
      <c r="W873" s="48"/>
      <c r="X873" s="48"/>
      <c r="Y873" s="48"/>
      <c r="Z873" s="48"/>
    </row>
    <row r="874" ht="23.25" customHeight="1">
      <c r="A874" s="48"/>
      <c r="B874" s="48"/>
      <c r="C874" s="48"/>
      <c r="D874" s="48"/>
      <c r="E874" s="48"/>
      <c r="F874" s="48"/>
      <c r="G874" s="80"/>
      <c r="H874" s="80"/>
      <c r="I874" s="48"/>
      <c r="J874" s="48"/>
      <c r="K874" s="48"/>
      <c r="L874" s="48"/>
      <c r="M874" s="48"/>
      <c r="N874" s="48"/>
      <c r="O874" s="48"/>
      <c r="P874" s="48"/>
      <c r="Q874" s="48"/>
      <c r="R874" s="48"/>
      <c r="S874" s="48"/>
      <c r="T874" s="48"/>
      <c r="U874" s="48"/>
      <c r="V874" s="48"/>
      <c r="W874" s="48"/>
      <c r="X874" s="48"/>
      <c r="Y874" s="48"/>
      <c r="Z874" s="48"/>
    </row>
    <row r="875" ht="23.25" customHeight="1">
      <c r="A875" s="48"/>
      <c r="B875" s="48"/>
      <c r="C875" s="48"/>
      <c r="D875" s="48"/>
      <c r="E875" s="48"/>
      <c r="F875" s="48"/>
      <c r="G875" s="80"/>
      <c r="H875" s="80"/>
      <c r="I875" s="48"/>
      <c r="J875" s="48"/>
      <c r="K875" s="48"/>
      <c r="L875" s="48"/>
      <c r="M875" s="48"/>
      <c r="N875" s="48"/>
      <c r="O875" s="48"/>
      <c r="P875" s="48"/>
      <c r="Q875" s="48"/>
      <c r="R875" s="48"/>
      <c r="S875" s="48"/>
      <c r="T875" s="48"/>
      <c r="U875" s="48"/>
      <c r="V875" s="48"/>
      <c r="W875" s="48"/>
      <c r="X875" s="48"/>
      <c r="Y875" s="48"/>
      <c r="Z875" s="48"/>
    </row>
    <row r="876" ht="23.25" customHeight="1">
      <c r="A876" s="48"/>
      <c r="B876" s="48"/>
      <c r="C876" s="48"/>
      <c r="D876" s="48"/>
      <c r="E876" s="48"/>
      <c r="F876" s="48"/>
      <c r="G876" s="80"/>
      <c r="H876" s="80"/>
      <c r="I876" s="48"/>
      <c r="J876" s="48"/>
      <c r="K876" s="48"/>
      <c r="L876" s="48"/>
      <c r="M876" s="48"/>
      <c r="N876" s="48"/>
      <c r="O876" s="48"/>
      <c r="P876" s="48"/>
      <c r="Q876" s="48"/>
      <c r="R876" s="48"/>
      <c r="S876" s="48"/>
      <c r="T876" s="48"/>
      <c r="U876" s="48"/>
      <c r="V876" s="48"/>
      <c r="W876" s="48"/>
      <c r="X876" s="48"/>
      <c r="Y876" s="48"/>
      <c r="Z876" s="48"/>
    </row>
    <row r="877" ht="23.25" customHeight="1">
      <c r="A877" s="48"/>
      <c r="B877" s="48"/>
      <c r="C877" s="48"/>
      <c r="D877" s="48"/>
      <c r="E877" s="48"/>
      <c r="F877" s="48"/>
      <c r="G877" s="80"/>
      <c r="H877" s="80"/>
      <c r="I877" s="48"/>
      <c r="J877" s="48"/>
      <c r="K877" s="48"/>
      <c r="L877" s="48"/>
      <c r="M877" s="48"/>
      <c r="N877" s="48"/>
      <c r="O877" s="48"/>
      <c r="P877" s="48"/>
      <c r="Q877" s="48"/>
      <c r="R877" s="48"/>
      <c r="S877" s="48"/>
      <c r="T877" s="48"/>
      <c r="U877" s="48"/>
      <c r="V877" s="48"/>
      <c r="W877" s="48"/>
      <c r="X877" s="48"/>
      <c r="Y877" s="48"/>
      <c r="Z877" s="48"/>
    </row>
    <row r="878" ht="23.25" customHeight="1">
      <c r="A878" s="48"/>
      <c r="B878" s="48"/>
      <c r="C878" s="48"/>
      <c r="D878" s="48"/>
      <c r="E878" s="48"/>
      <c r="F878" s="48"/>
      <c r="G878" s="80"/>
      <c r="H878" s="80"/>
      <c r="I878" s="48"/>
      <c r="J878" s="48"/>
      <c r="K878" s="48"/>
      <c r="L878" s="48"/>
      <c r="M878" s="48"/>
      <c r="N878" s="48"/>
      <c r="O878" s="48"/>
      <c r="P878" s="48"/>
      <c r="Q878" s="48"/>
      <c r="R878" s="48"/>
      <c r="S878" s="48"/>
      <c r="T878" s="48"/>
      <c r="U878" s="48"/>
      <c r="V878" s="48"/>
      <c r="W878" s="48"/>
      <c r="X878" s="48"/>
      <c r="Y878" s="48"/>
      <c r="Z878" s="48"/>
    </row>
    <row r="879" ht="23.25" customHeight="1">
      <c r="A879" s="48"/>
      <c r="B879" s="48"/>
      <c r="C879" s="48"/>
      <c r="D879" s="48"/>
      <c r="E879" s="48"/>
      <c r="F879" s="48"/>
      <c r="G879" s="80"/>
      <c r="H879" s="80"/>
      <c r="I879" s="48"/>
      <c r="J879" s="48"/>
      <c r="K879" s="48"/>
      <c r="L879" s="48"/>
      <c r="M879" s="48"/>
      <c r="N879" s="48"/>
      <c r="O879" s="48"/>
      <c r="P879" s="48"/>
      <c r="Q879" s="48"/>
      <c r="R879" s="48"/>
      <c r="S879" s="48"/>
      <c r="T879" s="48"/>
      <c r="U879" s="48"/>
      <c r="V879" s="48"/>
      <c r="W879" s="48"/>
      <c r="X879" s="48"/>
      <c r="Y879" s="48"/>
      <c r="Z879" s="48"/>
    </row>
    <row r="880" ht="23.25" customHeight="1">
      <c r="A880" s="48"/>
      <c r="B880" s="48"/>
      <c r="C880" s="48"/>
      <c r="D880" s="48"/>
      <c r="E880" s="48"/>
      <c r="F880" s="48"/>
      <c r="G880" s="80"/>
      <c r="H880" s="80"/>
      <c r="I880" s="48"/>
      <c r="J880" s="48"/>
      <c r="K880" s="48"/>
      <c r="L880" s="48"/>
      <c r="M880" s="48"/>
      <c r="N880" s="48"/>
      <c r="O880" s="48"/>
      <c r="P880" s="48"/>
      <c r="Q880" s="48"/>
      <c r="R880" s="48"/>
      <c r="S880" s="48"/>
      <c r="T880" s="48"/>
      <c r="U880" s="48"/>
      <c r="V880" s="48"/>
      <c r="W880" s="48"/>
      <c r="X880" s="48"/>
      <c r="Y880" s="48"/>
      <c r="Z880" s="48"/>
    </row>
    <row r="881" ht="23.25" customHeight="1">
      <c r="A881" s="48"/>
      <c r="B881" s="48"/>
      <c r="C881" s="48"/>
      <c r="D881" s="48"/>
      <c r="E881" s="48"/>
      <c r="F881" s="48"/>
      <c r="G881" s="80"/>
      <c r="H881" s="80"/>
      <c r="I881" s="48"/>
      <c r="J881" s="48"/>
      <c r="K881" s="48"/>
      <c r="L881" s="48"/>
      <c r="M881" s="48"/>
      <c r="N881" s="48"/>
      <c r="O881" s="48"/>
      <c r="P881" s="48"/>
      <c r="Q881" s="48"/>
      <c r="R881" s="48"/>
      <c r="S881" s="48"/>
      <c r="T881" s="48"/>
      <c r="U881" s="48"/>
      <c r="V881" s="48"/>
      <c r="W881" s="48"/>
      <c r="X881" s="48"/>
      <c r="Y881" s="48"/>
      <c r="Z881" s="48"/>
    </row>
    <row r="882" ht="23.25" customHeight="1">
      <c r="A882" s="48"/>
      <c r="B882" s="48"/>
      <c r="C882" s="48"/>
      <c r="D882" s="48"/>
      <c r="E882" s="48"/>
      <c r="F882" s="48"/>
      <c r="G882" s="80"/>
      <c r="H882" s="80"/>
      <c r="I882" s="48"/>
      <c r="J882" s="48"/>
      <c r="K882" s="48"/>
      <c r="L882" s="48"/>
      <c r="M882" s="48"/>
      <c r="N882" s="48"/>
      <c r="O882" s="48"/>
      <c r="P882" s="48"/>
      <c r="Q882" s="48"/>
      <c r="R882" s="48"/>
      <c r="S882" s="48"/>
      <c r="T882" s="48"/>
      <c r="U882" s="48"/>
      <c r="V882" s="48"/>
      <c r="W882" s="48"/>
      <c r="X882" s="48"/>
      <c r="Y882" s="48"/>
      <c r="Z882" s="48"/>
    </row>
    <row r="883" ht="23.25" customHeight="1">
      <c r="A883" s="48"/>
      <c r="B883" s="48"/>
      <c r="C883" s="48"/>
      <c r="D883" s="48"/>
      <c r="E883" s="48"/>
      <c r="F883" s="48"/>
      <c r="G883" s="80"/>
      <c r="H883" s="80"/>
      <c r="I883" s="48"/>
      <c r="J883" s="48"/>
      <c r="K883" s="48"/>
      <c r="L883" s="48"/>
      <c r="M883" s="48"/>
      <c r="N883" s="48"/>
      <c r="O883" s="48"/>
      <c r="P883" s="48"/>
      <c r="Q883" s="48"/>
      <c r="R883" s="48"/>
      <c r="S883" s="48"/>
      <c r="T883" s="48"/>
      <c r="U883" s="48"/>
      <c r="V883" s="48"/>
      <c r="W883" s="48"/>
      <c r="X883" s="48"/>
      <c r="Y883" s="48"/>
      <c r="Z883" s="48"/>
    </row>
    <row r="884" ht="23.25" customHeight="1">
      <c r="A884" s="48"/>
      <c r="B884" s="48"/>
      <c r="C884" s="48"/>
      <c r="D884" s="48"/>
      <c r="E884" s="48"/>
      <c r="F884" s="48"/>
      <c r="G884" s="80"/>
      <c r="H884" s="80"/>
      <c r="I884" s="48"/>
      <c r="J884" s="48"/>
      <c r="K884" s="48"/>
      <c r="L884" s="48"/>
      <c r="M884" s="48"/>
      <c r="N884" s="48"/>
      <c r="O884" s="48"/>
      <c r="P884" s="48"/>
      <c r="Q884" s="48"/>
      <c r="R884" s="48"/>
      <c r="S884" s="48"/>
      <c r="T884" s="48"/>
      <c r="U884" s="48"/>
      <c r="V884" s="48"/>
      <c r="W884" s="48"/>
      <c r="X884" s="48"/>
      <c r="Y884" s="48"/>
      <c r="Z884" s="48"/>
    </row>
    <row r="885" ht="23.25" customHeight="1">
      <c r="A885" s="48"/>
      <c r="B885" s="48"/>
      <c r="C885" s="48"/>
      <c r="D885" s="48"/>
      <c r="E885" s="48"/>
      <c r="F885" s="48"/>
      <c r="G885" s="80"/>
      <c r="H885" s="80"/>
      <c r="I885" s="48"/>
      <c r="J885" s="48"/>
      <c r="K885" s="48"/>
      <c r="L885" s="48"/>
      <c r="M885" s="48"/>
      <c r="N885" s="48"/>
      <c r="O885" s="48"/>
      <c r="P885" s="48"/>
      <c r="Q885" s="48"/>
      <c r="R885" s="48"/>
      <c r="S885" s="48"/>
      <c r="T885" s="48"/>
      <c r="U885" s="48"/>
      <c r="V885" s="48"/>
      <c r="W885" s="48"/>
      <c r="X885" s="48"/>
      <c r="Y885" s="48"/>
      <c r="Z885" s="48"/>
    </row>
    <row r="886" ht="23.25" customHeight="1">
      <c r="A886" s="48"/>
      <c r="B886" s="48"/>
      <c r="C886" s="48"/>
      <c r="D886" s="48"/>
      <c r="E886" s="48"/>
      <c r="F886" s="48"/>
      <c r="G886" s="80"/>
      <c r="H886" s="80"/>
      <c r="I886" s="48"/>
      <c r="J886" s="48"/>
      <c r="K886" s="48"/>
      <c r="L886" s="48"/>
      <c r="M886" s="48"/>
      <c r="N886" s="48"/>
      <c r="O886" s="48"/>
      <c r="P886" s="48"/>
      <c r="Q886" s="48"/>
      <c r="R886" s="48"/>
      <c r="S886" s="48"/>
      <c r="T886" s="48"/>
      <c r="U886" s="48"/>
      <c r="V886" s="48"/>
      <c r="W886" s="48"/>
      <c r="X886" s="48"/>
      <c r="Y886" s="48"/>
      <c r="Z886" s="48"/>
    </row>
    <row r="887" ht="23.25" customHeight="1">
      <c r="A887" s="48"/>
      <c r="B887" s="48"/>
      <c r="C887" s="48"/>
      <c r="D887" s="48"/>
      <c r="E887" s="48"/>
      <c r="F887" s="48"/>
      <c r="G887" s="80"/>
      <c r="H887" s="80"/>
      <c r="I887" s="48"/>
      <c r="J887" s="48"/>
      <c r="K887" s="48"/>
      <c r="L887" s="48"/>
      <c r="M887" s="48"/>
      <c r="N887" s="48"/>
      <c r="O887" s="48"/>
      <c r="P887" s="48"/>
      <c r="Q887" s="48"/>
      <c r="R887" s="48"/>
      <c r="S887" s="48"/>
      <c r="T887" s="48"/>
      <c r="U887" s="48"/>
      <c r="V887" s="48"/>
      <c r="W887" s="48"/>
      <c r="X887" s="48"/>
      <c r="Y887" s="48"/>
      <c r="Z887" s="48"/>
    </row>
    <row r="888" ht="23.25" customHeight="1">
      <c r="A888" s="48"/>
      <c r="B888" s="48"/>
      <c r="C888" s="48"/>
      <c r="D888" s="48"/>
      <c r="E888" s="48"/>
      <c r="F888" s="48"/>
      <c r="G888" s="80"/>
      <c r="H888" s="80"/>
      <c r="I888" s="48"/>
      <c r="J888" s="48"/>
      <c r="K888" s="48"/>
      <c r="L888" s="48"/>
      <c r="M888" s="48"/>
      <c r="N888" s="48"/>
      <c r="O888" s="48"/>
      <c r="P888" s="48"/>
      <c r="Q888" s="48"/>
      <c r="R888" s="48"/>
      <c r="S888" s="48"/>
      <c r="T888" s="48"/>
      <c r="U888" s="48"/>
      <c r="V888" s="48"/>
      <c r="W888" s="48"/>
      <c r="X888" s="48"/>
      <c r="Y888" s="48"/>
      <c r="Z888" s="48"/>
    </row>
    <row r="889" ht="23.25" customHeight="1">
      <c r="A889" s="48"/>
      <c r="B889" s="48"/>
      <c r="C889" s="48"/>
      <c r="D889" s="48"/>
      <c r="E889" s="48"/>
      <c r="F889" s="48"/>
      <c r="G889" s="80"/>
      <c r="H889" s="80"/>
      <c r="I889" s="48"/>
      <c r="J889" s="48"/>
      <c r="K889" s="48"/>
      <c r="L889" s="48"/>
      <c r="M889" s="48"/>
      <c r="N889" s="48"/>
      <c r="O889" s="48"/>
      <c r="P889" s="48"/>
      <c r="Q889" s="48"/>
      <c r="R889" s="48"/>
      <c r="S889" s="48"/>
      <c r="T889" s="48"/>
      <c r="U889" s="48"/>
      <c r="V889" s="48"/>
      <c r="W889" s="48"/>
      <c r="X889" s="48"/>
      <c r="Y889" s="48"/>
      <c r="Z889" s="48"/>
    </row>
    <row r="890" ht="23.25" customHeight="1">
      <c r="A890" s="48"/>
      <c r="B890" s="48"/>
      <c r="C890" s="48"/>
      <c r="D890" s="48"/>
      <c r="E890" s="48"/>
      <c r="F890" s="48"/>
      <c r="G890" s="80"/>
      <c r="H890" s="80"/>
      <c r="I890" s="48"/>
      <c r="J890" s="48"/>
      <c r="K890" s="48"/>
      <c r="L890" s="48"/>
      <c r="M890" s="48"/>
      <c r="N890" s="48"/>
      <c r="O890" s="48"/>
      <c r="P890" s="48"/>
      <c r="Q890" s="48"/>
      <c r="R890" s="48"/>
      <c r="S890" s="48"/>
      <c r="T890" s="48"/>
      <c r="U890" s="48"/>
      <c r="V890" s="48"/>
      <c r="W890" s="48"/>
      <c r="X890" s="48"/>
      <c r="Y890" s="48"/>
      <c r="Z890" s="48"/>
    </row>
    <row r="891" ht="23.25" customHeight="1">
      <c r="A891" s="48"/>
      <c r="B891" s="48"/>
      <c r="C891" s="48"/>
      <c r="D891" s="48"/>
      <c r="E891" s="48"/>
      <c r="F891" s="48"/>
      <c r="G891" s="80"/>
      <c r="H891" s="80"/>
      <c r="I891" s="48"/>
      <c r="J891" s="48"/>
      <c r="K891" s="48"/>
      <c r="L891" s="48"/>
      <c r="M891" s="48"/>
      <c r="N891" s="48"/>
      <c r="O891" s="48"/>
      <c r="P891" s="48"/>
      <c r="Q891" s="48"/>
      <c r="R891" s="48"/>
      <c r="S891" s="48"/>
      <c r="T891" s="48"/>
      <c r="U891" s="48"/>
      <c r="V891" s="48"/>
      <c r="W891" s="48"/>
      <c r="X891" s="48"/>
      <c r="Y891" s="48"/>
      <c r="Z891" s="48"/>
    </row>
    <row r="892" ht="23.25" customHeight="1">
      <c r="A892" s="48"/>
      <c r="B892" s="48"/>
      <c r="C892" s="48"/>
      <c r="D892" s="48"/>
      <c r="E892" s="48"/>
      <c r="F892" s="48"/>
      <c r="G892" s="80"/>
      <c r="H892" s="80"/>
      <c r="I892" s="48"/>
      <c r="J892" s="48"/>
      <c r="K892" s="48"/>
      <c r="L892" s="48"/>
      <c r="M892" s="48"/>
      <c r="N892" s="48"/>
      <c r="O892" s="48"/>
      <c r="P892" s="48"/>
      <c r="Q892" s="48"/>
      <c r="R892" s="48"/>
      <c r="S892" s="48"/>
      <c r="T892" s="48"/>
      <c r="U892" s="48"/>
      <c r="V892" s="48"/>
      <c r="W892" s="48"/>
      <c r="X892" s="48"/>
      <c r="Y892" s="48"/>
      <c r="Z892" s="48"/>
    </row>
    <row r="893" ht="23.25" customHeight="1">
      <c r="A893" s="48"/>
      <c r="B893" s="48"/>
      <c r="C893" s="48"/>
      <c r="D893" s="48"/>
      <c r="E893" s="48"/>
      <c r="F893" s="48"/>
      <c r="G893" s="80"/>
      <c r="H893" s="80"/>
      <c r="I893" s="48"/>
      <c r="J893" s="48"/>
      <c r="K893" s="48"/>
      <c r="L893" s="48"/>
      <c r="M893" s="48"/>
      <c r="N893" s="48"/>
      <c r="O893" s="48"/>
      <c r="P893" s="48"/>
      <c r="Q893" s="48"/>
      <c r="R893" s="48"/>
      <c r="S893" s="48"/>
      <c r="T893" s="48"/>
      <c r="U893" s="48"/>
      <c r="V893" s="48"/>
      <c r="W893" s="48"/>
      <c r="X893" s="48"/>
      <c r="Y893" s="48"/>
      <c r="Z893" s="48"/>
    </row>
    <row r="894" ht="23.25" customHeight="1">
      <c r="A894" s="48"/>
      <c r="B894" s="48"/>
      <c r="C894" s="48"/>
      <c r="D894" s="48"/>
      <c r="E894" s="48"/>
      <c r="F894" s="48"/>
      <c r="G894" s="80"/>
      <c r="H894" s="80"/>
      <c r="I894" s="48"/>
      <c r="J894" s="48"/>
      <c r="K894" s="48"/>
      <c r="L894" s="48"/>
      <c r="M894" s="48"/>
      <c r="N894" s="48"/>
      <c r="O894" s="48"/>
      <c r="P894" s="48"/>
      <c r="Q894" s="48"/>
      <c r="R894" s="48"/>
      <c r="S894" s="48"/>
      <c r="T894" s="48"/>
      <c r="U894" s="48"/>
      <c r="V894" s="48"/>
      <c r="W894" s="48"/>
      <c r="X894" s="48"/>
      <c r="Y894" s="48"/>
      <c r="Z894" s="48"/>
    </row>
    <row r="895" ht="23.25" customHeight="1">
      <c r="A895" s="48"/>
      <c r="B895" s="48"/>
      <c r="C895" s="48"/>
      <c r="D895" s="48"/>
      <c r="E895" s="48"/>
      <c r="F895" s="48"/>
      <c r="G895" s="80"/>
      <c r="H895" s="80"/>
      <c r="I895" s="48"/>
      <c r="J895" s="48"/>
      <c r="K895" s="48"/>
      <c r="L895" s="48"/>
      <c r="M895" s="48"/>
      <c r="N895" s="48"/>
      <c r="O895" s="48"/>
      <c r="P895" s="48"/>
      <c r="Q895" s="48"/>
      <c r="R895" s="48"/>
      <c r="S895" s="48"/>
      <c r="T895" s="48"/>
      <c r="U895" s="48"/>
      <c r="V895" s="48"/>
      <c r="W895" s="48"/>
      <c r="X895" s="48"/>
      <c r="Y895" s="48"/>
      <c r="Z895" s="48"/>
    </row>
    <row r="896" ht="23.25" customHeight="1">
      <c r="A896" s="48"/>
      <c r="B896" s="48"/>
      <c r="C896" s="48"/>
      <c r="D896" s="48"/>
      <c r="E896" s="48"/>
      <c r="F896" s="48"/>
      <c r="G896" s="80"/>
      <c r="H896" s="80"/>
      <c r="I896" s="48"/>
      <c r="J896" s="48"/>
      <c r="K896" s="48"/>
      <c r="L896" s="48"/>
      <c r="M896" s="48"/>
      <c r="N896" s="48"/>
      <c r="O896" s="48"/>
      <c r="P896" s="48"/>
      <c r="Q896" s="48"/>
      <c r="R896" s="48"/>
      <c r="S896" s="48"/>
      <c r="T896" s="48"/>
      <c r="U896" s="48"/>
      <c r="V896" s="48"/>
      <c r="W896" s="48"/>
      <c r="X896" s="48"/>
      <c r="Y896" s="48"/>
      <c r="Z896" s="48"/>
    </row>
    <row r="897" ht="23.25" customHeight="1">
      <c r="A897" s="48"/>
      <c r="B897" s="48"/>
      <c r="C897" s="48"/>
      <c r="D897" s="48"/>
      <c r="E897" s="48"/>
      <c r="F897" s="48"/>
      <c r="G897" s="80"/>
      <c r="H897" s="80"/>
      <c r="I897" s="48"/>
      <c r="J897" s="48"/>
      <c r="K897" s="48"/>
      <c r="L897" s="48"/>
      <c r="M897" s="48"/>
      <c r="N897" s="48"/>
      <c r="O897" s="48"/>
      <c r="P897" s="48"/>
      <c r="Q897" s="48"/>
      <c r="R897" s="48"/>
      <c r="S897" s="48"/>
      <c r="T897" s="48"/>
      <c r="U897" s="48"/>
      <c r="V897" s="48"/>
      <c r="W897" s="48"/>
      <c r="X897" s="48"/>
      <c r="Y897" s="48"/>
      <c r="Z897" s="48"/>
    </row>
    <row r="898" ht="23.25" customHeight="1">
      <c r="A898" s="48"/>
      <c r="B898" s="48"/>
      <c r="C898" s="48"/>
      <c r="D898" s="48"/>
      <c r="E898" s="48"/>
      <c r="F898" s="48"/>
      <c r="G898" s="80"/>
      <c r="H898" s="80"/>
      <c r="I898" s="48"/>
      <c r="J898" s="48"/>
      <c r="K898" s="48"/>
      <c r="L898" s="48"/>
      <c r="M898" s="48"/>
      <c r="N898" s="48"/>
      <c r="O898" s="48"/>
      <c r="P898" s="48"/>
      <c r="Q898" s="48"/>
      <c r="R898" s="48"/>
      <c r="S898" s="48"/>
      <c r="T898" s="48"/>
      <c r="U898" s="48"/>
      <c r="V898" s="48"/>
      <c r="W898" s="48"/>
      <c r="X898" s="48"/>
      <c r="Y898" s="48"/>
      <c r="Z898" s="48"/>
    </row>
    <row r="899" ht="23.25" customHeight="1">
      <c r="A899" s="48"/>
      <c r="B899" s="48"/>
      <c r="C899" s="48"/>
      <c r="D899" s="48"/>
      <c r="E899" s="48"/>
      <c r="F899" s="48"/>
      <c r="G899" s="80"/>
      <c r="H899" s="80"/>
      <c r="I899" s="48"/>
      <c r="J899" s="48"/>
      <c r="K899" s="48"/>
      <c r="L899" s="48"/>
      <c r="M899" s="48"/>
      <c r="N899" s="48"/>
      <c r="O899" s="48"/>
      <c r="P899" s="48"/>
      <c r="Q899" s="48"/>
      <c r="R899" s="48"/>
      <c r="S899" s="48"/>
      <c r="T899" s="48"/>
      <c r="U899" s="48"/>
      <c r="V899" s="48"/>
      <c r="W899" s="48"/>
      <c r="X899" s="48"/>
      <c r="Y899" s="48"/>
      <c r="Z899" s="48"/>
    </row>
    <row r="900" ht="23.25" customHeight="1">
      <c r="A900" s="48"/>
      <c r="B900" s="48"/>
      <c r="C900" s="48"/>
      <c r="D900" s="48"/>
      <c r="E900" s="48"/>
      <c r="F900" s="48"/>
      <c r="G900" s="80"/>
      <c r="H900" s="80"/>
      <c r="I900" s="48"/>
      <c r="J900" s="48"/>
      <c r="K900" s="48"/>
      <c r="L900" s="48"/>
      <c r="M900" s="48"/>
      <c r="N900" s="48"/>
      <c r="O900" s="48"/>
      <c r="P900" s="48"/>
      <c r="Q900" s="48"/>
      <c r="R900" s="48"/>
      <c r="S900" s="48"/>
      <c r="T900" s="48"/>
      <c r="U900" s="48"/>
      <c r="V900" s="48"/>
      <c r="W900" s="48"/>
      <c r="X900" s="48"/>
      <c r="Y900" s="48"/>
      <c r="Z900" s="48"/>
    </row>
    <row r="901" ht="23.25" customHeight="1">
      <c r="A901" s="48"/>
      <c r="B901" s="48"/>
      <c r="C901" s="48"/>
      <c r="D901" s="48"/>
      <c r="E901" s="48"/>
      <c r="F901" s="48"/>
      <c r="G901" s="80"/>
      <c r="H901" s="80"/>
      <c r="I901" s="48"/>
      <c r="J901" s="48"/>
      <c r="K901" s="48"/>
      <c r="L901" s="48"/>
      <c r="M901" s="48"/>
      <c r="N901" s="48"/>
      <c r="O901" s="48"/>
      <c r="P901" s="48"/>
      <c r="Q901" s="48"/>
      <c r="R901" s="48"/>
      <c r="S901" s="48"/>
      <c r="T901" s="48"/>
      <c r="U901" s="48"/>
      <c r="V901" s="48"/>
      <c r="W901" s="48"/>
      <c r="X901" s="48"/>
      <c r="Y901" s="48"/>
      <c r="Z901" s="48"/>
    </row>
    <row r="902" ht="23.25" customHeight="1">
      <c r="A902" s="48"/>
      <c r="B902" s="48"/>
      <c r="C902" s="48"/>
      <c r="D902" s="48"/>
      <c r="E902" s="48"/>
      <c r="F902" s="48"/>
      <c r="G902" s="80"/>
      <c r="H902" s="80"/>
      <c r="I902" s="48"/>
      <c r="J902" s="48"/>
      <c r="K902" s="48"/>
      <c r="L902" s="48"/>
      <c r="M902" s="48"/>
      <c r="N902" s="48"/>
      <c r="O902" s="48"/>
      <c r="P902" s="48"/>
      <c r="Q902" s="48"/>
      <c r="R902" s="48"/>
      <c r="S902" s="48"/>
      <c r="T902" s="48"/>
      <c r="U902" s="48"/>
      <c r="V902" s="48"/>
      <c r="W902" s="48"/>
      <c r="X902" s="48"/>
      <c r="Y902" s="48"/>
      <c r="Z902" s="48"/>
    </row>
    <row r="903" ht="23.25" customHeight="1">
      <c r="A903" s="48"/>
      <c r="B903" s="48"/>
      <c r="C903" s="48"/>
      <c r="D903" s="48"/>
      <c r="E903" s="48"/>
      <c r="F903" s="48"/>
      <c r="G903" s="80"/>
      <c r="H903" s="80"/>
      <c r="I903" s="48"/>
      <c r="J903" s="48"/>
      <c r="K903" s="48"/>
      <c r="L903" s="48"/>
      <c r="M903" s="48"/>
      <c r="N903" s="48"/>
      <c r="O903" s="48"/>
      <c r="P903" s="48"/>
      <c r="Q903" s="48"/>
      <c r="R903" s="48"/>
      <c r="S903" s="48"/>
      <c r="T903" s="48"/>
      <c r="U903" s="48"/>
      <c r="V903" s="48"/>
      <c r="W903" s="48"/>
      <c r="X903" s="48"/>
      <c r="Y903" s="48"/>
      <c r="Z903" s="48"/>
    </row>
    <row r="904" ht="23.25" customHeight="1">
      <c r="A904" s="48"/>
      <c r="B904" s="48"/>
      <c r="C904" s="48"/>
      <c r="D904" s="48"/>
      <c r="E904" s="48"/>
      <c r="F904" s="48"/>
      <c r="G904" s="80"/>
      <c r="H904" s="80"/>
      <c r="I904" s="48"/>
      <c r="J904" s="48"/>
      <c r="K904" s="48"/>
      <c r="L904" s="48"/>
      <c r="M904" s="48"/>
      <c r="N904" s="48"/>
      <c r="O904" s="48"/>
      <c r="P904" s="48"/>
      <c r="Q904" s="48"/>
      <c r="R904" s="48"/>
      <c r="S904" s="48"/>
      <c r="T904" s="48"/>
      <c r="U904" s="48"/>
      <c r="V904" s="48"/>
      <c r="W904" s="48"/>
      <c r="X904" s="48"/>
      <c r="Y904" s="48"/>
      <c r="Z904" s="48"/>
    </row>
    <row r="905" ht="23.25" customHeight="1">
      <c r="A905" s="48"/>
      <c r="B905" s="48"/>
      <c r="C905" s="48"/>
      <c r="D905" s="48"/>
      <c r="E905" s="48"/>
      <c r="F905" s="48"/>
      <c r="G905" s="80"/>
      <c r="H905" s="80"/>
      <c r="I905" s="48"/>
      <c r="J905" s="48"/>
      <c r="K905" s="48"/>
      <c r="L905" s="48"/>
      <c r="M905" s="48"/>
      <c r="N905" s="48"/>
      <c r="O905" s="48"/>
      <c r="P905" s="48"/>
      <c r="Q905" s="48"/>
      <c r="R905" s="48"/>
      <c r="S905" s="48"/>
      <c r="T905" s="48"/>
      <c r="U905" s="48"/>
      <c r="V905" s="48"/>
      <c r="W905" s="48"/>
      <c r="X905" s="48"/>
      <c r="Y905" s="48"/>
      <c r="Z905" s="48"/>
    </row>
    <row r="906" ht="23.25" customHeight="1">
      <c r="A906" s="48"/>
      <c r="B906" s="48"/>
      <c r="C906" s="48"/>
      <c r="D906" s="48"/>
      <c r="E906" s="48"/>
      <c r="F906" s="48"/>
      <c r="G906" s="80"/>
      <c r="H906" s="80"/>
      <c r="I906" s="48"/>
      <c r="J906" s="48"/>
      <c r="K906" s="48"/>
      <c r="L906" s="48"/>
      <c r="M906" s="48"/>
      <c r="N906" s="48"/>
      <c r="O906" s="48"/>
      <c r="P906" s="48"/>
      <c r="Q906" s="48"/>
      <c r="R906" s="48"/>
      <c r="S906" s="48"/>
      <c r="T906" s="48"/>
      <c r="U906" s="48"/>
      <c r="V906" s="48"/>
      <c r="W906" s="48"/>
      <c r="X906" s="48"/>
      <c r="Y906" s="48"/>
      <c r="Z906" s="48"/>
    </row>
    <row r="907" ht="23.25" customHeight="1">
      <c r="A907" s="48"/>
      <c r="B907" s="48"/>
      <c r="C907" s="48"/>
      <c r="D907" s="48"/>
      <c r="E907" s="48"/>
      <c r="F907" s="48"/>
      <c r="G907" s="80"/>
      <c r="H907" s="80"/>
      <c r="I907" s="48"/>
      <c r="J907" s="48"/>
      <c r="K907" s="48"/>
      <c r="L907" s="48"/>
      <c r="M907" s="48"/>
      <c r="N907" s="48"/>
      <c r="O907" s="48"/>
      <c r="P907" s="48"/>
      <c r="Q907" s="48"/>
      <c r="R907" s="48"/>
      <c r="S907" s="48"/>
      <c r="T907" s="48"/>
      <c r="U907" s="48"/>
      <c r="V907" s="48"/>
      <c r="W907" s="48"/>
      <c r="X907" s="48"/>
      <c r="Y907" s="48"/>
      <c r="Z907" s="48"/>
    </row>
    <row r="908" ht="23.25" customHeight="1">
      <c r="A908" s="48"/>
      <c r="B908" s="48"/>
      <c r="C908" s="48"/>
      <c r="D908" s="48"/>
      <c r="E908" s="48"/>
      <c r="F908" s="48"/>
      <c r="G908" s="80"/>
      <c r="H908" s="80"/>
      <c r="I908" s="48"/>
      <c r="J908" s="48"/>
      <c r="K908" s="48"/>
      <c r="L908" s="48"/>
      <c r="M908" s="48"/>
      <c r="N908" s="48"/>
      <c r="O908" s="48"/>
      <c r="P908" s="48"/>
      <c r="Q908" s="48"/>
      <c r="R908" s="48"/>
      <c r="S908" s="48"/>
      <c r="T908" s="48"/>
      <c r="U908" s="48"/>
      <c r="V908" s="48"/>
      <c r="W908" s="48"/>
      <c r="X908" s="48"/>
      <c r="Y908" s="48"/>
      <c r="Z908" s="48"/>
    </row>
    <row r="909" ht="23.25" customHeight="1">
      <c r="A909" s="48"/>
      <c r="B909" s="48"/>
      <c r="C909" s="48"/>
      <c r="D909" s="48"/>
      <c r="E909" s="48"/>
      <c r="F909" s="48"/>
      <c r="G909" s="80"/>
      <c r="H909" s="80"/>
      <c r="I909" s="48"/>
      <c r="J909" s="48"/>
      <c r="K909" s="48"/>
      <c r="L909" s="48"/>
      <c r="M909" s="48"/>
      <c r="N909" s="48"/>
      <c r="O909" s="48"/>
      <c r="P909" s="48"/>
      <c r="Q909" s="48"/>
      <c r="R909" s="48"/>
      <c r="S909" s="48"/>
      <c r="T909" s="48"/>
      <c r="U909" s="48"/>
      <c r="V909" s="48"/>
      <c r="W909" s="48"/>
      <c r="X909" s="48"/>
      <c r="Y909" s="48"/>
      <c r="Z909" s="48"/>
    </row>
    <row r="910" ht="23.25" customHeight="1">
      <c r="A910" s="48"/>
      <c r="B910" s="48"/>
      <c r="C910" s="48"/>
      <c r="D910" s="48"/>
      <c r="E910" s="48"/>
      <c r="F910" s="48"/>
      <c r="G910" s="80"/>
      <c r="H910" s="80"/>
      <c r="I910" s="48"/>
      <c r="J910" s="48"/>
      <c r="K910" s="48"/>
      <c r="L910" s="48"/>
      <c r="M910" s="48"/>
      <c r="N910" s="48"/>
      <c r="O910" s="48"/>
      <c r="P910" s="48"/>
      <c r="Q910" s="48"/>
      <c r="R910" s="48"/>
      <c r="S910" s="48"/>
      <c r="T910" s="48"/>
      <c r="U910" s="48"/>
      <c r="V910" s="48"/>
      <c r="W910" s="48"/>
      <c r="X910" s="48"/>
      <c r="Y910" s="48"/>
      <c r="Z910" s="48"/>
    </row>
    <row r="911" ht="23.25" customHeight="1">
      <c r="A911" s="48"/>
      <c r="B911" s="48"/>
      <c r="C911" s="48"/>
      <c r="D911" s="48"/>
      <c r="E911" s="48"/>
      <c r="F911" s="48"/>
      <c r="G911" s="80"/>
      <c r="H911" s="80"/>
      <c r="I911" s="48"/>
      <c r="J911" s="48"/>
      <c r="K911" s="48"/>
      <c r="L911" s="48"/>
      <c r="M911" s="48"/>
      <c r="N911" s="48"/>
      <c r="O911" s="48"/>
      <c r="P911" s="48"/>
      <c r="Q911" s="48"/>
      <c r="R911" s="48"/>
      <c r="S911" s="48"/>
      <c r="T911" s="48"/>
      <c r="U911" s="48"/>
      <c r="V911" s="48"/>
      <c r="W911" s="48"/>
      <c r="X911" s="48"/>
      <c r="Y911" s="48"/>
      <c r="Z911" s="48"/>
    </row>
    <row r="912" ht="23.25" customHeight="1">
      <c r="A912" s="48"/>
      <c r="B912" s="48"/>
      <c r="C912" s="48"/>
      <c r="D912" s="48"/>
      <c r="E912" s="48"/>
      <c r="F912" s="48"/>
      <c r="G912" s="80"/>
      <c r="H912" s="80"/>
      <c r="I912" s="48"/>
      <c r="J912" s="48"/>
      <c r="K912" s="48"/>
      <c r="L912" s="48"/>
      <c r="M912" s="48"/>
      <c r="N912" s="48"/>
      <c r="O912" s="48"/>
      <c r="P912" s="48"/>
      <c r="Q912" s="48"/>
      <c r="R912" s="48"/>
      <c r="S912" s="48"/>
      <c r="T912" s="48"/>
      <c r="U912" s="48"/>
      <c r="V912" s="48"/>
      <c r="W912" s="48"/>
      <c r="X912" s="48"/>
      <c r="Y912" s="48"/>
      <c r="Z912" s="48"/>
    </row>
    <row r="913" ht="23.25" customHeight="1">
      <c r="A913" s="48"/>
      <c r="B913" s="48"/>
      <c r="C913" s="48"/>
      <c r="D913" s="48"/>
      <c r="E913" s="48"/>
      <c r="F913" s="48"/>
      <c r="G913" s="80"/>
      <c r="H913" s="80"/>
      <c r="I913" s="48"/>
      <c r="J913" s="48"/>
      <c r="K913" s="48"/>
      <c r="L913" s="48"/>
      <c r="M913" s="48"/>
      <c r="N913" s="48"/>
      <c r="O913" s="48"/>
      <c r="P913" s="48"/>
      <c r="Q913" s="48"/>
      <c r="R913" s="48"/>
      <c r="S913" s="48"/>
      <c r="T913" s="48"/>
      <c r="U913" s="48"/>
      <c r="V913" s="48"/>
      <c r="W913" s="48"/>
      <c r="X913" s="48"/>
      <c r="Y913" s="48"/>
      <c r="Z913" s="48"/>
    </row>
    <row r="914" ht="23.25" customHeight="1">
      <c r="A914" s="48"/>
      <c r="B914" s="48"/>
      <c r="C914" s="48"/>
      <c r="D914" s="48"/>
      <c r="E914" s="48"/>
      <c r="F914" s="48"/>
      <c r="G914" s="80"/>
      <c r="H914" s="80"/>
      <c r="I914" s="48"/>
      <c r="J914" s="48"/>
      <c r="K914" s="48"/>
      <c r="L914" s="48"/>
      <c r="M914" s="48"/>
      <c r="N914" s="48"/>
      <c r="O914" s="48"/>
      <c r="P914" s="48"/>
      <c r="Q914" s="48"/>
      <c r="R914" s="48"/>
      <c r="S914" s="48"/>
      <c r="T914" s="48"/>
      <c r="U914" s="48"/>
      <c r="V914" s="48"/>
      <c r="W914" s="48"/>
      <c r="X914" s="48"/>
      <c r="Y914" s="48"/>
      <c r="Z914" s="48"/>
    </row>
    <row r="915" ht="23.25" customHeight="1">
      <c r="A915" s="48"/>
      <c r="B915" s="48"/>
      <c r="C915" s="48"/>
      <c r="D915" s="48"/>
      <c r="E915" s="48"/>
      <c r="F915" s="48"/>
      <c r="G915" s="80"/>
      <c r="H915" s="80"/>
      <c r="I915" s="48"/>
      <c r="J915" s="48"/>
      <c r="K915" s="48"/>
      <c r="L915" s="48"/>
      <c r="M915" s="48"/>
      <c r="N915" s="48"/>
      <c r="O915" s="48"/>
      <c r="P915" s="48"/>
      <c r="Q915" s="48"/>
      <c r="R915" s="48"/>
      <c r="S915" s="48"/>
      <c r="T915" s="48"/>
      <c r="U915" s="48"/>
      <c r="V915" s="48"/>
      <c r="W915" s="48"/>
      <c r="X915" s="48"/>
      <c r="Y915" s="48"/>
      <c r="Z915" s="48"/>
    </row>
    <row r="916" ht="23.25" customHeight="1">
      <c r="A916" s="48"/>
      <c r="B916" s="48"/>
      <c r="C916" s="48"/>
      <c r="D916" s="48"/>
      <c r="E916" s="48"/>
      <c r="F916" s="48"/>
      <c r="G916" s="80"/>
      <c r="H916" s="80"/>
      <c r="I916" s="48"/>
      <c r="J916" s="48"/>
      <c r="K916" s="48"/>
      <c r="L916" s="48"/>
      <c r="M916" s="48"/>
      <c r="N916" s="48"/>
      <c r="O916" s="48"/>
      <c r="P916" s="48"/>
      <c r="Q916" s="48"/>
      <c r="R916" s="48"/>
      <c r="S916" s="48"/>
      <c r="T916" s="48"/>
      <c r="U916" s="48"/>
      <c r="V916" s="48"/>
      <c r="W916" s="48"/>
      <c r="X916" s="48"/>
      <c r="Y916" s="48"/>
      <c r="Z916" s="48"/>
    </row>
    <row r="917" ht="23.25" customHeight="1">
      <c r="A917" s="48"/>
      <c r="B917" s="48"/>
      <c r="C917" s="48"/>
      <c r="D917" s="48"/>
      <c r="E917" s="48"/>
      <c r="F917" s="48"/>
      <c r="G917" s="80"/>
      <c r="H917" s="80"/>
      <c r="I917" s="48"/>
      <c r="J917" s="48"/>
      <c r="K917" s="48"/>
      <c r="L917" s="48"/>
      <c r="M917" s="48"/>
      <c r="N917" s="48"/>
      <c r="O917" s="48"/>
      <c r="P917" s="48"/>
      <c r="Q917" s="48"/>
      <c r="R917" s="48"/>
      <c r="S917" s="48"/>
      <c r="T917" s="48"/>
      <c r="U917" s="48"/>
      <c r="V917" s="48"/>
      <c r="W917" s="48"/>
      <c r="X917" s="48"/>
      <c r="Y917" s="48"/>
      <c r="Z917" s="48"/>
    </row>
    <row r="918" ht="23.25" customHeight="1">
      <c r="A918" s="48"/>
      <c r="B918" s="48"/>
      <c r="C918" s="48"/>
      <c r="D918" s="48"/>
      <c r="E918" s="48"/>
      <c r="F918" s="48"/>
      <c r="G918" s="80"/>
      <c r="H918" s="80"/>
      <c r="I918" s="48"/>
      <c r="J918" s="48"/>
      <c r="K918" s="48"/>
      <c r="L918" s="48"/>
      <c r="M918" s="48"/>
      <c r="N918" s="48"/>
      <c r="O918" s="48"/>
      <c r="P918" s="48"/>
      <c r="Q918" s="48"/>
      <c r="R918" s="48"/>
      <c r="S918" s="48"/>
      <c r="T918" s="48"/>
      <c r="U918" s="48"/>
      <c r="V918" s="48"/>
      <c r="W918" s="48"/>
      <c r="X918" s="48"/>
      <c r="Y918" s="48"/>
      <c r="Z918" s="48"/>
    </row>
    <row r="919" ht="23.25" customHeight="1">
      <c r="A919" s="48"/>
      <c r="B919" s="48"/>
      <c r="C919" s="48"/>
      <c r="D919" s="48"/>
      <c r="E919" s="48"/>
      <c r="F919" s="48"/>
      <c r="G919" s="80"/>
      <c r="H919" s="80"/>
      <c r="I919" s="48"/>
      <c r="J919" s="48"/>
      <c r="K919" s="48"/>
      <c r="L919" s="48"/>
      <c r="M919" s="48"/>
      <c r="N919" s="48"/>
      <c r="O919" s="48"/>
      <c r="P919" s="48"/>
      <c r="Q919" s="48"/>
      <c r="R919" s="48"/>
      <c r="S919" s="48"/>
      <c r="T919" s="48"/>
      <c r="U919" s="48"/>
      <c r="V919" s="48"/>
      <c r="W919" s="48"/>
      <c r="X919" s="48"/>
      <c r="Y919" s="48"/>
      <c r="Z919" s="48"/>
    </row>
    <row r="920" ht="23.25" customHeight="1">
      <c r="A920" s="48"/>
      <c r="B920" s="48"/>
      <c r="C920" s="48"/>
      <c r="D920" s="48"/>
      <c r="E920" s="48"/>
      <c r="F920" s="48"/>
      <c r="G920" s="80"/>
      <c r="H920" s="80"/>
      <c r="I920" s="48"/>
      <c r="J920" s="48"/>
      <c r="K920" s="48"/>
      <c r="L920" s="48"/>
      <c r="M920" s="48"/>
      <c r="N920" s="48"/>
      <c r="O920" s="48"/>
      <c r="P920" s="48"/>
      <c r="Q920" s="48"/>
      <c r="R920" s="48"/>
      <c r="S920" s="48"/>
      <c r="T920" s="48"/>
      <c r="U920" s="48"/>
      <c r="V920" s="48"/>
      <c r="W920" s="48"/>
      <c r="X920" s="48"/>
      <c r="Y920" s="48"/>
      <c r="Z920" s="48"/>
    </row>
    <row r="921" ht="23.25" customHeight="1">
      <c r="A921" s="48"/>
      <c r="B921" s="48"/>
      <c r="C921" s="48"/>
      <c r="D921" s="48"/>
      <c r="E921" s="48"/>
      <c r="F921" s="48"/>
      <c r="G921" s="80"/>
      <c r="H921" s="80"/>
      <c r="I921" s="48"/>
      <c r="J921" s="48"/>
      <c r="K921" s="48"/>
      <c r="L921" s="48"/>
      <c r="M921" s="48"/>
      <c r="N921" s="48"/>
      <c r="O921" s="48"/>
      <c r="P921" s="48"/>
      <c r="Q921" s="48"/>
      <c r="R921" s="48"/>
      <c r="S921" s="48"/>
      <c r="T921" s="48"/>
      <c r="U921" s="48"/>
      <c r="V921" s="48"/>
      <c r="W921" s="48"/>
      <c r="X921" s="48"/>
      <c r="Y921" s="48"/>
      <c r="Z921" s="48"/>
    </row>
    <row r="922" ht="23.25" customHeight="1">
      <c r="A922" s="48"/>
      <c r="B922" s="48"/>
      <c r="C922" s="48"/>
      <c r="D922" s="48"/>
      <c r="E922" s="48"/>
      <c r="F922" s="48"/>
      <c r="G922" s="80"/>
      <c r="H922" s="80"/>
      <c r="I922" s="48"/>
      <c r="J922" s="48"/>
      <c r="K922" s="48"/>
      <c r="L922" s="48"/>
      <c r="M922" s="48"/>
      <c r="N922" s="48"/>
      <c r="O922" s="48"/>
      <c r="P922" s="48"/>
      <c r="Q922" s="48"/>
      <c r="R922" s="48"/>
      <c r="S922" s="48"/>
      <c r="T922" s="48"/>
      <c r="U922" s="48"/>
      <c r="V922" s="48"/>
      <c r="W922" s="48"/>
      <c r="X922" s="48"/>
      <c r="Y922" s="48"/>
      <c r="Z922" s="48"/>
    </row>
    <row r="923" ht="23.25" customHeight="1">
      <c r="A923" s="48"/>
      <c r="B923" s="48"/>
      <c r="C923" s="48"/>
      <c r="D923" s="48"/>
      <c r="E923" s="48"/>
      <c r="F923" s="48"/>
      <c r="G923" s="80"/>
      <c r="H923" s="80"/>
      <c r="I923" s="48"/>
      <c r="J923" s="48"/>
      <c r="K923" s="48"/>
      <c r="L923" s="48"/>
      <c r="M923" s="48"/>
      <c r="N923" s="48"/>
      <c r="O923" s="48"/>
      <c r="P923" s="48"/>
      <c r="Q923" s="48"/>
      <c r="R923" s="48"/>
      <c r="S923" s="48"/>
      <c r="T923" s="48"/>
      <c r="U923" s="48"/>
      <c r="V923" s="48"/>
      <c r="W923" s="48"/>
      <c r="X923" s="48"/>
      <c r="Y923" s="48"/>
      <c r="Z923" s="48"/>
    </row>
    <row r="924" ht="23.25" customHeight="1">
      <c r="A924" s="48"/>
      <c r="B924" s="48"/>
      <c r="C924" s="48"/>
      <c r="D924" s="48"/>
      <c r="E924" s="48"/>
      <c r="F924" s="48"/>
      <c r="G924" s="80"/>
      <c r="H924" s="80"/>
      <c r="I924" s="48"/>
      <c r="J924" s="48"/>
      <c r="K924" s="48"/>
      <c r="L924" s="48"/>
      <c r="M924" s="48"/>
      <c r="N924" s="48"/>
      <c r="O924" s="48"/>
      <c r="P924" s="48"/>
      <c r="Q924" s="48"/>
      <c r="R924" s="48"/>
      <c r="S924" s="48"/>
      <c r="T924" s="48"/>
      <c r="U924" s="48"/>
      <c r="V924" s="48"/>
      <c r="W924" s="48"/>
      <c r="X924" s="48"/>
      <c r="Y924" s="48"/>
      <c r="Z924" s="48"/>
    </row>
    <row r="925" ht="23.25" customHeight="1">
      <c r="A925" s="48"/>
      <c r="B925" s="48"/>
      <c r="C925" s="48"/>
      <c r="D925" s="48"/>
      <c r="E925" s="48"/>
      <c r="F925" s="48"/>
      <c r="G925" s="80"/>
      <c r="H925" s="80"/>
      <c r="I925" s="48"/>
      <c r="J925" s="48"/>
      <c r="K925" s="48"/>
      <c r="L925" s="48"/>
      <c r="M925" s="48"/>
      <c r="N925" s="48"/>
      <c r="O925" s="48"/>
      <c r="P925" s="48"/>
      <c r="Q925" s="48"/>
      <c r="R925" s="48"/>
      <c r="S925" s="48"/>
      <c r="T925" s="48"/>
      <c r="U925" s="48"/>
      <c r="V925" s="48"/>
      <c r="W925" s="48"/>
      <c r="X925" s="48"/>
      <c r="Y925" s="48"/>
      <c r="Z925" s="48"/>
    </row>
    <row r="926" ht="23.25" customHeight="1">
      <c r="A926" s="48"/>
      <c r="B926" s="48"/>
      <c r="C926" s="48"/>
      <c r="D926" s="48"/>
      <c r="E926" s="48"/>
      <c r="F926" s="48"/>
      <c r="G926" s="80"/>
      <c r="H926" s="80"/>
      <c r="I926" s="48"/>
      <c r="J926" s="48"/>
      <c r="K926" s="48"/>
      <c r="L926" s="48"/>
      <c r="M926" s="48"/>
      <c r="N926" s="48"/>
      <c r="O926" s="48"/>
      <c r="P926" s="48"/>
      <c r="Q926" s="48"/>
      <c r="R926" s="48"/>
      <c r="S926" s="48"/>
      <c r="T926" s="48"/>
      <c r="U926" s="48"/>
      <c r="V926" s="48"/>
      <c r="W926" s="48"/>
      <c r="X926" s="48"/>
      <c r="Y926" s="48"/>
      <c r="Z926" s="48"/>
    </row>
    <row r="927" ht="23.25" customHeight="1">
      <c r="A927" s="48"/>
      <c r="B927" s="48"/>
      <c r="C927" s="48"/>
      <c r="D927" s="48"/>
      <c r="E927" s="48"/>
      <c r="F927" s="48"/>
      <c r="G927" s="80"/>
      <c r="H927" s="80"/>
      <c r="I927" s="48"/>
      <c r="J927" s="48"/>
      <c r="K927" s="48"/>
      <c r="L927" s="48"/>
      <c r="M927" s="48"/>
      <c r="N927" s="48"/>
      <c r="O927" s="48"/>
      <c r="P927" s="48"/>
      <c r="Q927" s="48"/>
      <c r="R927" s="48"/>
      <c r="S927" s="48"/>
      <c r="T927" s="48"/>
      <c r="U927" s="48"/>
      <c r="V927" s="48"/>
      <c r="W927" s="48"/>
      <c r="X927" s="48"/>
      <c r="Y927" s="48"/>
      <c r="Z927" s="48"/>
    </row>
    <row r="928" ht="23.25" customHeight="1">
      <c r="A928" s="48"/>
      <c r="B928" s="48"/>
      <c r="C928" s="48"/>
      <c r="D928" s="48"/>
      <c r="E928" s="48"/>
      <c r="F928" s="48"/>
      <c r="G928" s="80"/>
      <c r="H928" s="80"/>
      <c r="I928" s="48"/>
      <c r="J928" s="48"/>
      <c r="K928" s="48"/>
      <c r="L928" s="48"/>
      <c r="M928" s="48"/>
      <c r="N928" s="48"/>
      <c r="O928" s="48"/>
      <c r="P928" s="48"/>
      <c r="Q928" s="48"/>
      <c r="R928" s="48"/>
      <c r="S928" s="48"/>
      <c r="T928" s="48"/>
      <c r="U928" s="48"/>
      <c r="V928" s="48"/>
      <c r="W928" s="48"/>
      <c r="X928" s="48"/>
      <c r="Y928" s="48"/>
      <c r="Z928" s="48"/>
    </row>
    <row r="929" ht="23.25" customHeight="1">
      <c r="A929" s="48"/>
      <c r="B929" s="48"/>
      <c r="C929" s="48"/>
      <c r="D929" s="48"/>
      <c r="E929" s="48"/>
      <c r="F929" s="48"/>
      <c r="G929" s="80"/>
      <c r="H929" s="80"/>
      <c r="I929" s="48"/>
      <c r="J929" s="48"/>
      <c r="K929" s="48"/>
      <c r="L929" s="48"/>
      <c r="M929" s="48"/>
      <c r="N929" s="48"/>
      <c r="O929" s="48"/>
      <c r="P929" s="48"/>
      <c r="Q929" s="48"/>
      <c r="R929" s="48"/>
      <c r="S929" s="48"/>
      <c r="T929" s="48"/>
      <c r="U929" s="48"/>
      <c r="V929" s="48"/>
      <c r="W929" s="48"/>
      <c r="X929" s="48"/>
      <c r="Y929" s="48"/>
      <c r="Z929" s="48"/>
    </row>
    <row r="930" ht="23.25" customHeight="1">
      <c r="A930" s="48"/>
      <c r="B930" s="48"/>
      <c r="C930" s="48"/>
      <c r="D930" s="48"/>
      <c r="E930" s="48"/>
      <c r="F930" s="48"/>
      <c r="G930" s="80"/>
      <c r="H930" s="80"/>
      <c r="I930" s="48"/>
      <c r="J930" s="48"/>
      <c r="K930" s="48"/>
      <c r="L930" s="48"/>
      <c r="M930" s="48"/>
      <c r="N930" s="48"/>
      <c r="O930" s="48"/>
      <c r="P930" s="48"/>
      <c r="Q930" s="48"/>
      <c r="R930" s="48"/>
      <c r="S930" s="48"/>
      <c r="T930" s="48"/>
      <c r="U930" s="48"/>
      <c r="V930" s="48"/>
      <c r="W930" s="48"/>
      <c r="X930" s="48"/>
      <c r="Y930" s="48"/>
      <c r="Z930" s="48"/>
    </row>
    <row r="931" ht="23.25" customHeight="1">
      <c r="A931" s="48"/>
      <c r="B931" s="48"/>
      <c r="C931" s="48"/>
      <c r="D931" s="48"/>
      <c r="E931" s="48"/>
      <c r="F931" s="48"/>
      <c r="G931" s="80"/>
      <c r="H931" s="80"/>
      <c r="I931" s="48"/>
      <c r="J931" s="48"/>
      <c r="K931" s="48"/>
      <c r="L931" s="48"/>
      <c r="M931" s="48"/>
      <c r="N931" s="48"/>
      <c r="O931" s="48"/>
      <c r="P931" s="48"/>
      <c r="Q931" s="48"/>
      <c r="R931" s="48"/>
      <c r="S931" s="48"/>
      <c r="T931" s="48"/>
      <c r="U931" s="48"/>
      <c r="V931" s="48"/>
      <c r="W931" s="48"/>
      <c r="X931" s="48"/>
      <c r="Y931" s="48"/>
      <c r="Z931" s="48"/>
    </row>
    <row r="932" ht="23.25" customHeight="1">
      <c r="A932" s="48"/>
      <c r="B932" s="48"/>
      <c r="C932" s="48"/>
      <c r="D932" s="48"/>
      <c r="E932" s="48"/>
      <c r="F932" s="48"/>
      <c r="G932" s="80"/>
      <c r="H932" s="80"/>
      <c r="I932" s="48"/>
      <c r="J932" s="48"/>
      <c r="K932" s="48"/>
      <c r="L932" s="48"/>
      <c r="M932" s="48"/>
      <c r="N932" s="48"/>
      <c r="O932" s="48"/>
      <c r="P932" s="48"/>
      <c r="Q932" s="48"/>
      <c r="R932" s="48"/>
      <c r="S932" s="48"/>
      <c r="T932" s="48"/>
      <c r="U932" s="48"/>
      <c r="V932" s="48"/>
      <c r="W932" s="48"/>
      <c r="X932" s="48"/>
      <c r="Y932" s="48"/>
      <c r="Z932" s="48"/>
    </row>
    <row r="933" ht="23.25" customHeight="1">
      <c r="A933" s="48"/>
      <c r="B933" s="48"/>
      <c r="C933" s="48"/>
      <c r="D933" s="48"/>
      <c r="E933" s="48"/>
      <c r="F933" s="48"/>
      <c r="G933" s="80"/>
      <c r="H933" s="80"/>
      <c r="I933" s="48"/>
      <c r="J933" s="48"/>
      <c r="K933" s="48"/>
      <c r="L933" s="48"/>
      <c r="M933" s="48"/>
      <c r="N933" s="48"/>
      <c r="O933" s="48"/>
      <c r="P933" s="48"/>
      <c r="Q933" s="48"/>
      <c r="R933" s="48"/>
      <c r="S933" s="48"/>
      <c r="T933" s="48"/>
      <c r="U933" s="48"/>
      <c r="V933" s="48"/>
      <c r="W933" s="48"/>
      <c r="X933" s="48"/>
      <c r="Y933" s="48"/>
      <c r="Z933" s="48"/>
    </row>
    <row r="934" ht="23.25" customHeight="1">
      <c r="A934" s="48"/>
      <c r="B934" s="48"/>
      <c r="C934" s="48"/>
      <c r="D934" s="48"/>
      <c r="E934" s="48"/>
      <c r="F934" s="48"/>
      <c r="G934" s="80"/>
      <c r="H934" s="80"/>
      <c r="I934" s="48"/>
      <c r="J934" s="48"/>
      <c r="K934" s="48"/>
      <c r="L934" s="48"/>
      <c r="M934" s="48"/>
      <c r="N934" s="48"/>
      <c r="O934" s="48"/>
      <c r="P934" s="48"/>
      <c r="Q934" s="48"/>
      <c r="R934" s="48"/>
      <c r="S934" s="48"/>
      <c r="T934" s="48"/>
      <c r="U934" s="48"/>
      <c r="V934" s="48"/>
      <c r="W934" s="48"/>
      <c r="X934" s="48"/>
      <c r="Y934" s="48"/>
      <c r="Z934" s="48"/>
    </row>
    <row r="935" ht="23.25" customHeight="1">
      <c r="A935" s="48"/>
      <c r="B935" s="48"/>
      <c r="C935" s="48"/>
      <c r="D935" s="48"/>
      <c r="E935" s="48"/>
      <c r="F935" s="48"/>
      <c r="G935" s="80"/>
      <c r="H935" s="80"/>
      <c r="I935" s="48"/>
      <c r="J935" s="48"/>
      <c r="K935" s="48"/>
      <c r="L935" s="48"/>
      <c r="M935" s="48"/>
      <c r="N935" s="48"/>
      <c r="O935" s="48"/>
      <c r="P935" s="48"/>
      <c r="Q935" s="48"/>
      <c r="R935" s="48"/>
      <c r="S935" s="48"/>
      <c r="T935" s="48"/>
      <c r="U935" s="48"/>
      <c r="V935" s="48"/>
      <c r="W935" s="48"/>
      <c r="X935" s="48"/>
      <c r="Y935" s="48"/>
      <c r="Z935" s="48"/>
    </row>
    <row r="936" ht="23.25" customHeight="1">
      <c r="A936" s="48"/>
      <c r="B936" s="48"/>
      <c r="C936" s="48"/>
      <c r="D936" s="48"/>
      <c r="E936" s="48"/>
      <c r="F936" s="48"/>
      <c r="G936" s="80"/>
      <c r="H936" s="80"/>
      <c r="I936" s="48"/>
      <c r="J936" s="48"/>
      <c r="K936" s="48"/>
      <c r="L936" s="48"/>
      <c r="M936" s="48"/>
      <c r="N936" s="48"/>
      <c r="O936" s="48"/>
      <c r="P936" s="48"/>
      <c r="Q936" s="48"/>
      <c r="R936" s="48"/>
      <c r="S936" s="48"/>
      <c r="T936" s="48"/>
      <c r="U936" s="48"/>
      <c r="V936" s="48"/>
      <c r="W936" s="48"/>
      <c r="X936" s="48"/>
      <c r="Y936" s="48"/>
      <c r="Z936" s="48"/>
    </row>
    <row r="937" ht="23.25" customHeight="1">
      <c r="A937" s="48"/>
      <c r="B937" s="48"/>
      <c r="C937" s="48"/>
      <c r="D937" s="48"/>
      <c r="E937" s="48"/>
      <c r="F937" s="48"/>
      <c r="G937" s="80"/>
      <c r="H937" s="80"/>
      <c r="I937" s="48"/>
      <c r="J937" s="48"/>
      <c r="K937" s="48"/>
      <c r="L937" s="48"/>
      <c r="M937" s="48"/>
      <c r="N937" s="48"/>
      <c r="O937" s="48"/>
      <c r="P937" s="48"/>
      <c r="Q937" s="48"/>
      <c r="R937" s="48"/>
      <c r="S937" s="48"/>
      <c r="T937" s="48"/>
      <c r="U937" s="48"/>
      <c r="V937" s="48"/>
      <c r="W937" s="48"/>
      <c r="X937" s="48"/>
      <c r="Y937" s="48"/>
      <c r="Z937" s="48"/>
    </row>
    <row r="938" ht="23.25" customHeight="1">
      <c r="A938" s="48"/>
      <c r="B938" s="48"/>
      <c r="C938" s="48"/>
      <c r="D938" s="48"/>
      <c r="E938" s="48"/>
      <c r="F938" s="48"/>
      <c r="G938" s="80"/>
      <c r="H938" s="80"/>
      <c r="I938" s="48"/>
      <c r="J938" s="48"/>
      <c r="K938" s="48"/>
      <c r="L938" s="48"/>
      <c r="M938" s="48"/>
      <c r="N938" s="48"/>
      <c r="O938" s="48"/>
      <c r="P938" s="48"/>
      <c r="Q938" s="48"/>
      <c r="R938" s="48"/>
      <c r="S938" s="48"/>
      <c r="T938" s="48"/>
      <c r="U938" s="48"/>
      <c r="V938" s="48"/>
      <c r="W938" s="48"/>
      <c r="X938" s="48"/>
      <c r="Y938" s="48"/>
      <c r="Z938" s="48"/>
    </row>
    <row r="939" ht="23.25" customHeight="1">
      <c r="A939" s="48"/>
      <c r="B939" s="48"/>
      <c r="C939" s="48"/>
      <c r="D939" s="48"/>
      <c r="E939" s="48"/>
      <c r="F939" s="48"/>
      <c r="G939" s="80"/>
      <c r="H939" s="80"/>
      <c r="I939" s="48"/>
      <c r="J939" s="48"/>
      <c r="K939" s="48"/>
      <c r="L939" s="48"/>
      <c r="M939" s="48"/>
      <c r="N939" s="48"/>
      <c r="O939" s="48"/>
      <c r="P939" s="48"/>
      <c r="Q939" s="48"/>
      <c r="R939" s="48"/>
      <c r="S939" s="48"/>
      <c r="T939" s="48"/>
      <c r="U939" s="48"/>
      <c r="V939" s="48"/>
      <c r="W939" s="48"/>
      <c r="X939" s="48"/>
      <c r="Y939" s="48"/>
      <c r="Z939" s="48"/>
    </row>
    <row r="940" ht="23.25" customHeight="1">
      <c r="A940" s="48"/>
      <c r="B940" s="48"/>
      <c r="C940" s="48"/>
      <c r="D940" s="48"/>
      <c r="E940" s="48"/>
      <c r="F940" s="48"/>
      <c r="G940" s="80"/>
      <c r="H940" s="80"/>
      <c r="I940" s="48"/>
      <c r="J940" s="48"/>
      <c r="K940" s="48"/>
      <c r="L940" s="48"/>
      <c r="M940" s="48"/>
      <c r="N940" s="48"/>
      <c r="O940" s="48"/>
      <c r="P940" s="48"/>
      <c r="Q940" s="48"/>
      <c r="R940" s="48"/>
      <c r="S940" s="48"/>
      <c r="T940" s="48"/>
      <c r="U940" s="48"/>
      <c r="V940" s="48"/>
      <c r="W940" s="48"/>
      <c r="X940" s="48"/>
      <c r="Y940" s="48"/>
      <c r="Z940" s="48"/>
    </row>
    <row r="941" ht="23.25" customHeight="1">
      <c r="A941" s="48"/>
      <c r="B941" s="48"/>
      <c r="C941" s="48"/>
      <c r="D941" s="48"/>
      <c r="E941" s="48"/>
      <c r="F941" s="48"/>
      <c r="G941" s="80"/>
      <c r="H941" s="80"/>
      <c r="I941" s="48"/>
      <c r="J941" s="48"/>
      <c r="K941" s="48"/>
      <c r="L941" s="48"/>
      <c r="M941" s="48"/>
      <c r="N941" s="48"/>
      <c r="O941" s="48"/>
      <c r="P941" s="48"/>
      <c r="Q941" s="48"/>
      <c r="R941" s="48"/>
      <c r="S941" s="48"/>
      <c r="T941" s="48"/>
      <c r="U941" s="48"/>
      <c r="V941" s="48"/>
      <c r="W941" s="48"/>
      <c r="X941" s="48"/>
      <c r="Y941" s="48"/>
      <c r="Z941" s="48"/>
    </row>
    <row r="942" ht="23.25" customHeight="1">
      <c r="A942" s="48"/>
      <c r="B942" s="48"/>
      <c r="C942" s="48"/>
      <c r="D942" s="48"/>
      <c r="E942" s="48"/>
      <c r="F942" s="48"/>
      <c r="G942" s="80"/>
      <c r="H942" s="80"/>
      <c r="I942" s="48"/>
      <c r="J942" s="48"/>
      <c r="K942" s="48"/>
      <c r="L942" s="48"/>
      <c r="M942" s="48"/>
      <c r="N942" s="48"/>
      <c r="O942" s="48"/>
      <c r="P942" s="48"/>
      <c r="Q942" s="48"/>
      <c r="R942" s="48"/>
      <c r="S942" s="48"/>
      <c r="T942" s="48"/>
      <c r="U942" s="48"/>
      <c r="V942" s="48"/>
      <c r="W942" s="48"/>
      <c r="X942" s="48"/>
      <c r="Y942" s="48"/>
      <c r="Z942" s="48"/>
    </row>
    <row r="943" ht="23.25" customHeight="1">
      <c r="A943" s="48"/>
      <c r="B943" s="48"/>
      <c r="C943" s="48"/>
      <c r="D943" s="48"/>
      <c r="E943" s="48"/>
      <c r="F943" s="48"/>
      <c r="G943" s="80"/>
      <c r="H943" s="80"/>
      <c r="I943" s="48"/>
      <c r="J943" s="48"/>
      <c r="K943" s="48"/>
      <c r="L943" s="48"/>
      <c r="M943" s="48"/>
      <c r="N943" s="48"/>
      <c r="O943" s="48"/>
      <c r="P943" s="48"/>
      <c r="Q943" s="48"/>
      <c r="R943" s="48"/>
      <c r="S943" s="48"/>
      <c r="T943" s="48"/>
      <c r="U943" s="48"/>
      <c r="V943" s="48"/>
      <c r="W943" s="48"/>
      <c r="X943" s="48"/>
      <c r="Y943" s="48"/>
      <c r="Z943" s="48"/>
    </row>
    <row r="944" ht="23.25" customHeight="1">
      <c r="A944" s="48"/>
      <c r="B944" s="48"/>
      <c r="C944" s="48"/>
      <c r="D944" s="48"/>
      <c r="E944" s="48"/>
      <c r="F944" s="48"/>
      <c r="G944" s="80"/>
      <c r="H944" s="80"/>
      <c r="I944" s="48"/>
      <c r="J944" s="48"/>
      <c r="K944" s="48"/>
      <c r="L944" s="48"/>
      <c r="M944" s="48"/>
      <c r="N944" s="48"/>
      <c r="O944" s="48"/>
      <c r="P944" s="48"/>
      <c r="Q944" s="48"/>
      <c r="R944" s="48"/>
      <c r="S944" s="48"/>
      <c r="T944" s="48"/>
      <c r="U944" s="48"/>
      <c r="V944" s="48"/>
      <c r="W944" s="48"/>
      <c r="X944" s="48"/>
      <c r="Y944" s="48"/>
      <c r="Z944" s="48"/>
    </row>
    <row r="945" ht="23.25" customHeight="1">
      <c r="A945" s="48"/>
      <c r="B945" s="48"/>
      <c r="C945" s="48"/>
      <c r="D945" s="48"/>
      <c r="E945" s="48"/>
      <c r="F945" s="48"/>
      <c r="G945" s="80"/>
      <c r="H945" s="80"/>
      <c r="I945" s="48"/>
      <c r="J945" s="48"/>
      <c r="K945" s="48"/>
      <c r="L945" s="48"/>
      <c r="M945" s="48"/>
      <c r="N945" s="48"/>
      <c r="O945" s="48"/>
      <c r="P945" s="48"/>
      <c r="Q945" s="48"/>
      <c r="R945" s="48"/>
      <c r="S945" s="48"/>
      <c r="T945" s="48"/>
      <c r="U945" s="48"/>
      <c r="V945" s="48"/>
      <c r="W945" s="48"/>
      <c r="X945" s="48"/>
      <c r="Y945" s="48"/>
      <c r="Z945" s="48"/>
    </row>
    <row r="946" ht="23.25" customHeight="1">
      <c r="A946" s="48"/>
      <c r="B946" s="48"/>
      <c r="C946" s="48"/>
      <c r="D946" s="48"/>
      <c r="E946" s="48"/>
      <c r="F946" s="48"/>
      <c r="G946" s="80"/>
      <c r="H946" s="80"/>
      <c r="I946" s="48"/>
      <c r="J946" s="48"/>
      <c r="K946" s="48"/>
      <c r="L946" s="48"/>
      <c r="M946" s="48"/>
      <c r="N946" s="48"/>
      <c r="O946" s="48"/>
      <c r="P946" s="48"/>
      <c r="Q946" s="48"/>
      <c r="R946" s="48"/>
      <c r="S946" s="48"/>
      <c r="T946" s="48"/>
      <c r="U946" s="48"/>
      <c r="V946" s="48"/>
      <c r="W946" s="48"/>
      <c r="X946" s="48"/>
      <c r="Y946" s="48"/>
      <c r="Z946" s="48"/>
    </row>
    <row r="947" ht="23.25" customHeight="1">
      <c r="A947" s="48"/>
      <c r="B947" s="48"/>
      <c r="C947" s="48"/>
      <c r="D947" s="48"/>
      <c r="E947" s="48"/>
      <c r="F947" s="48"/>
      <c r="G947" s="80"/>
      <c r="H947" s="80"/>
      <c r="I947" s="48"/>
      <c r="J947" s="48"/>
      <c r="K947" s="48"/>
      <c r="L947" s="48"/>
      <c r="M947" s="48"/>
      <c r="N947" s="48"/>
      <c r="O947" s="48"/>
      <c r="P947" s="48"/>
      <c r="Q947" s="48"/>
      <c r="R947" s="48"/>
      <c r="S947" s="48"/>
      <c r="T947" s="48"/>
      <c r="U947" s="48"/>
      <c r="V947" s="48"/>
      <c r="W947" s="48"/>
      <c r="X947" s="48"/>
      <c r="Y947" s="48"/>
      <c r="Z947" s="48"/>
    </row>
    <row r="948" ht="23.25" customHeight="1">
      <c r="A948" s="48"/>
      <c r="B948" s="48"/>
      <c r="C948" s="48"/>
      <c r="D948" s="48"/>
      <c r="E948" s="48"/>
      <c r="F948" s="48"/>
      <c r="G948" s="80"/>
      <c r="H948" s="80"/>
      <c r="I948" s="48"/>
      <c r="J948" s="48"/>
      <c r="K948" s="48"/>
      <c r="L948" s="48"/>
      <c r="M948" s="48"/>
      <c r="N948" s="48"/>
      <c r="O948" s="48"/>
      <c r="P948" s="48"/>
      <c r="Q948" s="48"/>
      <c r="R948" s="48"/>
      <c r="S948" s="48"/>
      <c r="T948" s="48"/>
      <c r="U948" s="48"/>
      <c r="V948" s="48"/>
      <c r="W948" s="48"/>
      <c r="X948" s="48"/>
      <c r="Y948" s="48"/>
      <c r="Z948" s="48"/>
    </row>
    <row r="949" ht="23.25" customHeight="1">
      <c r="A949" s="48"/>
      <c r="B949" s="48"/>
      <c r="C949" s="48"/>
      <c r="D949" s="48"/>
      <c r="E949" s="48"/>
      <c r="F949" s="48"/>
      <c r="G949" s="80"/>
      <c r="H949" s="80"/>
      <c r="I949" s="48"/>
      <c r="J949" s="48"/>
      <c r="K949" s="48"/>
      <c r="L949" s="48"/>
      <c r="M949" s="48"/>
      <c r="N949" s="48"/>
      <c r="O949" s="48"/>
      <c r="P949" s="48"/>
      <c r="Q949" s="48"/>
      <c r="R949" s="48"/>
      <c r="S949" s="48"/>
      <c r="T949" s="48"/>
      <c r="U949" s="48"/>
      <c r="V949" s="48"/>
      <c r="W949" s="48"/>
      <c r="X949" s="48"/>
      <c r="Y949" s="48"/>
      <c r="Z949" s="48"/>
    </row>
    <row r="950" ht="23.25" customHeight="1">
      <c r="A950" s="48"/>
      <c r="B950" s="48"/>
      <c r="C950" s="48"/>
      <c r="D950" s="48"/>
      <c r="E950" s="48"/>
      <c r="F950" s="48"/>
      <c r="G950" s="80"/>
      <c r="H950" s="80"/>
      <c r="I950" s="48"/>
      <c r="J950" s="48"/>
      <c r="K950" s="48"/>
      <c r="L950" s="48"/>
      <c r="M950" s="48"/>
      <c r="N950" s="48"/>
      <c r="O950" s="48"/>
      <c r="P950" s="48"/>
      <c r="Q950" s="48"/>
      <c r="R950" s="48"/>
      <c r="S950" s="48"/>
      <c r="T950" s="48"/>
      <c r="U950" s="48"/>
      <c r="V950" s="48"/>
      <c r="W950" s="48"/>
      <c r="X950" s="48"/>
      <c r="Y950" s="48"/>
      <c r="Z950" s="48"/>
    </row>
    <row r="951" ht="23.25" customHeight="1">
      <c r="A951" s="48"/>
      <c r="B951" s="48"/>
      <c r="C951" s="48"/>
      <c r="D951" s="48"/>
      <c r="E951" s="48"/>
      <c r="F951" s="48"/>
      <c r="G951" s="80"/>
      <c r="H951" s="80"/>
      <c r="I951" s="48"/>
      <c r="J951" s="48"/>
      <c r="K951" s="48"/>
      <c r="L951" s="48"/>
      <c r="M951" s="48"/>
      <c r="N951" s="48"/>
      <c r="O951" s="48"/>
      <c r="P951" s="48"/>
      <c r="Q951" s="48"/>
      <c r="R951" s="48"/>
      <c r="S951" s="48"/>
      <c r="T951" s="48"/>
      <c r="U951" s="48"/>
      <c r="V951" s="48"/>
      <c r="W951" s="48"/>
      <c r="X951" s="48"/>
      <c r="Y951" s="48"/>
      <c r="Z951" s="48"/>
    </row>
    <row r="952" ht="23.25" customHeight="1">
      <c r="A952" s="48"/>
      <c r="B952" s="48"/>
      <c r="C952" s="48"/>
      <c r="D952" s="48"/>
      <c r="E952" s="48"/>
      <c r="F952" s="48"/>
      <c r="G952" s="80"/>
      <c r="H952" s="80"/>
      <c r="I952" s="48"/>
      <c r="J952" s="48"/>
      <c r="K952" s="48"/>
      <c r="L952" s="48"/>
      <c r="M952" s="48"/>
      <c r="N952" s="48"/>
      <c r="O952" s="48"/>
      <c r="P952" s="48"/>
      <c r="Q952" s="48"/>
      <c r="R952" s="48"/>
      <c r="S952" s="48"/>
      <c r="T952" s="48"/>
      <c r="U952" s="48"/>
      <c r="V952" s="48"/>
      <c r="W952" s="48"/>
      <c r="X952" s="48"/>
      <c r="Y952" s="48"/>
      <c r="Z952" s="48"/>
    </row>
    <row r="953" ht="23.25" customHeight="1">
      <c r="A953" s="48"/>
      <c r="B953" s="48"/>
      <c r="C953" s="48"/>
      <c r="D953" s="48"/>
      <c r="E953" s="48"/>
      <c r="F953" s="48"/>
      <c r="G953" s="80"/>
      <c r="H953" s="80"/>
      <c r="I953" s="48"/>
      <c r="J953" s="48"/>
      <c r="K953" s="48"/>
      <c r="L953" s="48"/>
      <c r="M953" s="48"/>
      <c r="N953" s="48"/>
      <c r="O953" s="48"/>
      <c r="P953" s="48"/>
      <c r="Q953" s="48"/>
      <c r="R953" s="48"/>
      <c r="S953" s="48"/>
      <c r="T953" s="48"/>
      <c r="U953" s="48"/>
      <c r="V953" s="48"/>
      <c r="W953" s="48"/>
      <c r="X953" s="48"/>
      <c r="Y953" s="48"/>
      <c r="Z953" s="48"/>
    </row>
    <row r="954" ht="23.25" customHeight="1">
      <c r="A954" s="48"/>
      <c r="B954" s="48"/>
      <c r="C954" s="48"/>
      <c r="D954" s="48"/>
      <c r="E954" s="48"/>
      <c r="F954" s="48"/>
      <c r="G954" s="80"/>
      <c r="H954" s="80"/>
      <c r="I954" s="48"/>
      <c r="J954" s="48"/>
      <c r="K954" s="48"/>
      <c r="L954" s="48"/>
      <c r="M954" s="48"/>
      <c r="N954" s="48"/>
      <c r="O954" s="48"/>
      <c r="P954" s="48"/>
      <c r="Q954" s="48"/>
      <c r="R954" s="48"/>
      <c r="S954" s="48"/>
      <c r="T954" s="48"/>
      <c r="U954" s="48"/>
      <c r="V954" s="48"/>
      <c r="W954" s="48"/>
      <c r="X954" s="48"/>
      <c r="Y954" s="48"/>
      <c r="Z954" s="48"/>
    </row>
    <row r="955" ht="23.25" customHeight="1">
      <c r="A955" s="48"/>
      <c r="B955" s="48"/>
      <c r="C955" s="48"/>
      <c r="D955" s="48"/>
      <c r="E955" s="48"/>
      <c r="F955" s="48"/>
      <c r="G955" s="80"/>
      <c r="H955" s="80"/>
      <c r="I955" s="48"/>
      <c r="J955" s="48"/>
      <c r="K955" s="48"/>
      <c r="L955" s="48"/>
      <c r="M955" s="48"/>
      <c r="N955" s="48"/>
      <c r="O955" s="48"/>
      <c r="P955" s="48"/>
      <c r="Q955" s="48"/>
      <c r="R955" s="48"/>
      <c r="S955" s="48"/>
      <c r="T955" s="48"/>
      <c r="U955" s="48"/>
      <c r="V955" s="48"/>
      <c r="W955" s="48"/>
      <c r="X955" s="48"/>
      <c r="Y955" s="48"/>
      <c r="Z955" s="48"/>
    </row>
    <row r="956" ht="23.25" customHeight="1">
      <c r="A956" s="48"/>
      <c r="B956" s="48"/>
      <c r="C956" s="48"/>
      <c r="D956" s="48"/>
      <c r="E956" s="48"/>
      <c r="F956" s="48"/>
      <c r="G956" s="80"/>
      <c r="H956" s="80"/>
      <c r="I956" s="48"/>
      <c r="J956" s="48"/>
      <c r="K956" s="48"/>
      <c r="L956" s="48"/>
      <c r="M956" s="48"/>
      <c r="N956" s="48"/>
      <c r="O956" s="48"/>
      <c r="P956" s="48"/>
      <c r="Q956" s="48"/>
      <c r="R956" s="48"/>
      <c r="S956" s="48"/>
      <c r="T956" s="48"/>
      <c r="U956" s="48"/>
      <c r="V956" s="48"/>
      <c r="W956" s="48"/>
      <c r="X956" s="48"/>
      <c r="Y956" s="48"/>
      <c r="Z956" s="48"/>
    </row>
    <row r="957" ht="23.25" customHeight="1">
      <c r="A957" s="48"/>
      <c r="B957" s="48"/>
      <c r="C957" s="48"/>
      <c r="D957" s="48"/>
      <c r="E957" s="48"/>
      <c r="F957" s="48"/>
      <c r="G957" s="80"/>
      <c r="H957" s="80"/>
      <c r="I957" s="48"/>
      <c r="J957" s="48"/>
      <c r="K957" s="48"/>
      <c r="L957" s="48"/>
      <c r="M957" s="48"/>
      <c r="N957" s="48"/>
      <c r="O957" s="48"/>
      <c r="P957" s="48"/>
      <c r="Q957" s="48"/>
      <c r="R957" s="48"/>
      <c r="S957" s="48"/>
      <c r="T957" s="48"/>
      <c r="U957" s="48"/>
      <c r="V957" s="48"/>
      <c r="W957" s="48"/>
      <c r="X957" s="48"/>
      <c r="Y957" s="48"/>
      <c r="Z957" s="48"/>
    </row>
    <row r="958" ht="23.25" customHeight="1">
      <c r="A958" s="48"/>
      <c r="B958" s="48"/>
      <c r="C958" s="48"/>
      <c r="D958" s="48"/>
      <c r="E958" s="48"/>
      <c r="F958" s="48"/>
      <c r="G958" s="80"/>
      <c r="H958" s="80"/>
      <c r="I958" s="48"/>
      <c r="J958" s="48"/>
      <c r="K958" s="48"/>
      <c r="L958" s="48"/>
      <c r="M958" s="48"/>
      <c r="N958" s="48"/>
      <c r="O958" s="48"/>
      <c r="P958" s="48"/>
      <c r="Q958" s="48"/>
      <c r="R958" s="48"/>
      <c r="S958" s="48"/>
      <c r="T958" s="48"/>
      <c r="U958" s="48"/>
      <c r="V958" s="48"/>
      <c r="W958" s="48"/>
      <c r="X958" s="48"/>
      <c r="Y958" s="48"/>
      <c r="Z958" s="48"/>
    </row>
    <row r="959" ht="23.25" customHeight="1">
      <c r="A959" s="48"/>
      <c r="B959" s="48"/>
      <c r="C959" s="48"/>
      <c r="D959" s="48"/>
      <c r="E959" s="48"/>
      <c r="F959" s="48"/>
      <c r="G959" s="80"/>
      <c r="H959" s="80"/>
      <c r="I959" s="48"/>
      <c r="J959" s="48"/>
      <c r="K959" s="48"/>
      <c r="L959" s="48"/>
      <c r="M959" s="48"/>
      <c r="N959" s="48"/>
      <c r="O959" s="48"/>
      <c r="P959" s="48"/>
      <c r="Q959" s="48"/>
      <c r="R959" s="48"/>
      <c r="S959" s="48"/>
      <c r="T959" s="48"/>
      <c r="U959" s="48"/>
      <c r="V959" s="48"/>
      <c r="W959" s="48"/>
      <c r="X959" s="48"/>
      <c r="Y959" s="48"/>
      <c r="Z959" s="48"/>
    </row>
    <row r="960" ht="23.25" customHeight="1">
      <c r="A960" s="48"/>
      <c r="B960" s="48"/>
      <c r="C960" s="48"/>
      <c r="D960" s="48"/>
      <c r="E960" s="48"/>
      <c r="F960" s="48"/>
      <c r="G960" s="80"/>
      <c r="H960" s="80"/>
      <c r="I960" s="48"/>
      <c r="J960" s="48"/>
      <c r="K960" s="48"/>
      <c r="L960" s="48"/>
      <c r="M960" s="48"/>
      <c r="N960" s="48"/>
      <c r="O960" s="48"/>
      <c r="P960" s="48"/>
      <c r="Q960" s="48"/>
      <c r="R960" s="48"/>
      <c r="S960" s="48"/>
      <c r="T960" s="48"/>
      <c r="U960" s="48"/>
      <c r="V960" s="48"/>
      <c r="W960" s="48"/>
      <c r="X960" s="48"/>
      <c r="Y960" s="48"/>
      <c r="Z960" s="48"/>
    </row>
    <row r="961" ht="23.25" customHeight="1">
      <c r="A961" s="48"/>
      <c r="B961" s="48"/>
      <c r="C961" s="48"/>
      <c r="D961" s="48"/>
      <c r="E961" s="48"/>
      <c r="F961" s="48"/>
      <c r="G961" s="80"/>
      <c r="H961" s="80"/>
      <c r="I961" s="48"/>
      <c r="J961" s="48"/>
      <c r="K961" s="48"/>
      <c r="L961" s="48"/>
      <c r="M961" s="48"/>
      <c r="N961" s="48"/>
      <c r="O961" s="48"/>
      <c r="P961" s="48"/>
      <c r="Q961" s="48"/>
      <c r="R961" s="48"/>
      <c r="S961" s="48"/>
      <c r="T961" s="48"/>
      <c r="U961" s="48"/>
      <c r="V961" s="48"/>
      <c r="W961" s="48"/>
      <c r="X961" s="48"/>
      <c r="Y961" s="48"/>
      <c r="Z961" s="48"/>
    </row>
    <row r="962" ht="23.25" customHeight="1">
      <c r="A962" s="48"/>
      <c r="B962" s="48"/>
      <c r="C962" s="48"/>
      <c r="D962" s="48"/>
      <c r="E962" s="48"/>
      <c r="F962" s="48"/>
      <c r="G962" s="80"/>
      <c r="H962" s="80"/>
      <c r="I962" s="48"/>
      <c r="J962" s="48"/>
      <c r="K962" s="48"/>
      <c r="L962" s="48"/>
      <c r="M962" s="48"/>
      <c r="N962" s="48"/>
      <c r="O962" s="48"/>
      <c r="P962" s="48"/>
      <c r="Q962" s="48"/>
      <c r="R962" s="48"/>
      <c r="S962" s="48"/>
      <c r="T962" s="48"/>
      <c r="U962" s="48"/>
      <c r="V962" s="48"/>
      <c r="W962" s="48"/>
      <c r="X962" s="48"/>
      <c r="Y962" s="48"/>
      <c r="Z962" s="48"/>
    </row>
    <row r="963" ht="23.25" customHeight="1">
      <c r="A963" s="48"/>
      <c r="B963" s="48"/>
      <c r="C963" s="48"/>
      <c r="D963" s="48"/>
      <c r="E963" s="48"/>
      <c r="F963" s="48"/>
      <c r="G963" s="80"/>
      <c r="H963" s="80"/>
      <c r="I963" s="48"/>
      <c r="J963" s="48"/>
      <c r="K963" s="48"/>
      <c r="L963" s="48"/>
      <c r="M963" s="48"/>
      <c r="N963" s="48"/>
      <c r="O963" s="48"/>
      <c r="P963" s="48"/>
      <c r="Q963" s="48"/>
      <c r="R963" s="48"/>
      <c r="S963" s="48"/>
      <c r="T963" s="48"/>
      <c r="U963" s="48"/>
      <c r="V963" s="48"/>
      <c r="W963" s="48"/>
      <c r="X963" s="48"/>
      <c r="Y963" s="48"/>
      <c r="Z963" s="48"/>
    </row>
    <row r="964" ht="23.25" customHeight="1">
      <c r="A964" s="48"/>
      <c r="B964" s="48"/>
      <c r="C964" s="48"/>
      <c r="D964" s="48"/>
      <c r="E964" s="48"/>
      <c r="F964" s="48"/>
      <c r="G964" s="80"/>
      <c r="H964" s="80"/>
      <c r="I964" s="48"/>
      <c r="J964" s="48"/>
      <c r="K964" s="48"/>
      <c r="L964" s="48"/>
      <c r="M964" s="48"/>
      <c r="N964" s="48"/>
      <c r="O964" s="48"/>
      <c r="P964" s="48"/>
      <c r="Q964" s="48"/>
      <c r="R964" s="48"/>
      <c r="S964" s="48"/>
      <c r="T964" s="48"/>
      <c r="U964" s="48"/>
      <c r="V964" s="48"/>
      <c r="W964" s="48"/>
      <c r="X964" s="48"/>
      <c r="Y964" s="48"/>
      <c r="Z964" s="48"/>
    </row>
    <row r="965" ht="23.25" customHeight="1">
      <c r="A965" s="48"/>
      <c r="B965" s="48"/>
      <c r="C965" s="48"/>
      <c r="D965" s="48"/>
      <c r="E965" s="48"/>
      <c r="F965" s="48"/>
      <c r="G965" s="80"/>
      <c r="H965" s="80"/>
      <c r="I965" s="48"/>
      <c r="J965" s="48"/>
      <c r="K965" s="48"/>
      <c r="L965" s="48"/>
      <c r="M965" s="48"/>
      <c r="N965" s="48"/>
      <c r="O965" s="48"/>
      <c r="P965" s="48"/>
      <c r="Q965" s="48"/>
      <c r="R965" s="48"/>
      <c r="S965" s="48"/>
      <c r="T965" s="48"/>
      <c r="U965" s="48"/>
      <c r="V965" s="48"/>
      <c r="W965" s="48"/>
      <c r="X965" s="48"/>
      <c r="Y965" s="48"/>
      <c r="Z965" s="48"/>
    </row>
    <row r="966" ht="23.25" customHeight="1">
      <c r="A966" s="48"/>
      <c r="B966" s="48"/>
      <c r="C966" s="48"/>
      <c r="D966" s="48"/>
      <c r="E966" s="48"/>
      <c r="F966" s="48"/>
      <c r="G966" s="80"/>
      <c r="H966" s="80"/>
      <c r="I966" s="48"/>
      <c r="J966" s="48"/>
      <c r="K966" s="48"/>
      <c r="L966" s="48"/>
      <c r="M966" s="48"/>
      <c r="N966" s="48"/>
      <c r="O966" s="48"/>
      <c r="P966" s="48"/>
      <c r="Q966" s="48"/>
      <c r="R966" s="48"/>
      <c r="S966" s="48"/>
      <c r="T966" s="48"/>
      <c r="U966" s="48"/>
      <c r="V966" s="48"/>
      <c r="W966" s="48"/>
      <c r="X966" s="48"/>
      <c r="Y966" s="48"/>
      <c r="Z966" s="48"/>
    </row>
    <row r="967" ht="23.25" customHeight="1">
      <c r="A967" s="48"/>
      <c r="B967" s="48"/>
      <c r="C967" s="48"/>
      <c r="D967" s="48"/>
      <c r="E967" s="48"/>
      <c r="F967" s="48"/>
      <c r="G967" s="80"/>
      <c r="H967" s="80"/>
      <c r="I967" s="48"/>
      <c r="J967" s="48"/>
      <c r="K967" s="48"/>
      <c r="L967" s="48"/>
      <c r="M967" s="48"/>
      <c r="N967" s="48"/>
      <c r="O967" s="48"/>
      <c r="P967" s="48"/>
      <c r="Q967" s="48"/>
      <c r="R967" s="48"/>
      <c r="S967" s="48"/>
      <c r="T967" s="48"/>
      <c r="U967" s="48"/>
      <c r="V967" s="48"/>
      <c r="W967" s="48"/>
      <c r="X967" s="48"/>
      <c r="Y967" s="48"/>
      <c r="Z967" s="48"/>
    </row>
    <row r="968" ht="23.25" customHeight="1">
      <c r="A968" s="48"/>
      <c r="B968" s="48"/>
      <c r="C968" s="48"/>
      <c r="D968" s="48"/>
      <c r="E968" s="48"/>
      <c r="F968" s="48"/>
      <c r="G968" s="80"/>
      <c r="H968" s="80"/>
      <c r="I968" s="48"/>
      <c r="J968" s="48"/>
      <c r="K968" s="48"/>
      <c r="L968" s="48"/>
      <c r="M968" s="48"/>
      <c r="N968" s="48"/>
      <c r="O968" s="48"/>
      <c r="P968" s="48"/>
      <c r="Q968" s="48"/>
      <c r="R968" s="48"/>
      <c r="S968" s="48"/>
      <c r="T968" s="48"/>
      <c r="U968" s="48"/>
      <c r="V968" s="48"/>
      <c r="W968" s="48"/>
      <c r="X968" s="48"/>
      <c r="Y968" s="48"/>
      <c r="Z968" s="48"/>
    </row>
    <row r="969" ht="23.25" customHeight="1">
      <c r="A969" s="48"/>
      <c r="B969" s="48"/>
      <c r="C969" s="48"/>
      <c r="D969" s="48"/>
      <c r="E969" s="48"/>
      <c r="F969" s="48"/>
      <c r="G969" s="80"/>
      <c r="H969" s="80"/>
      <c r="I969" s="48"/>
      <c r="J969" s="48"/>
      <c r="K969" s="48"/>
      <c r="L969" s="48"/>
      <c r="M969" s="48"/>
      <c r="N969" s="48"/>
      <c r="O969" s="48"/>
      <c r="P969" s="48"/>
      <c r="Q969" s="48"/>
      <c r="R969" s="48"/>
      <c r="S969" s="48"/>
      <c r="T969" s="48"/>
      <c r="U969" s="48"/>
      <c r="V969" s="48"/>
      <c r="W969" s="48"/>
      <c r="X969" s="48"/>
      <c r="Y969" s="48"/>
      <c r="Z969" s="48"/>
    </row>
    <row r="970" ht="23.25" customHeight="1">
      <c r="A970" s="48"/>
      <c r="B970" s="48"/>
      <c r="C970" s="48"/>
      <c r="D970" s="48"/>
      <c r="E970" s="48"/>
      <c r="F970" s="48"/>
      <c r="G970" s="80"/>
      <c r="H970" s="80"/>
      <c r="I970" s="48"/>
      <c r="J970" s="48"/>
      <c r="K970" s="48"/>
      <c r="L970" s="48"/>
      <c r="M970" s="48"/>
      <c r="N970" s="48"/>
      <c r="O970" s="48"/>
      <c r="P970" s="48"/>
      <c r="Q970" s="48"/>
      <c r="R970" s="48"/>
      <c r="S970" s="48"/>
      <c r="T970" s="48"/>
      <c r="U970" s="48"/>
      <c r="V970" s="48"/>
      <c r="W970" s="48"/>
      <c r="X970" s="48"/>
      <c r="Y970" s="48"/>
      <c r="Z970" s="48"/>
    </row>
    <row r="971" ht="23.25" customHeight="1">
      <c r="A971" s="48"/>
      <c r="B971" s="48"/>
      <c r="C971" s="48"/>
      <c r="D971" s="48"/>
      <c r="E971" s="48"/>
      <c r="F971" s="48"/>
      <c r="G971" s="80"/>
      <c r="H971" s="80"/>
      <c r="I971" s="48"/>
      <c r="J971" s="48"/>
      <c r="K971" s="48"/>
      <c r="L971" s="48"/>
      <c r="M971" s="48"/>
      <c r="N971" s="48"/>
      <c r="O971" s="48"/>
      <c r="P971" s="48"/>
      <c r="Q971" s="48"/>
      <c r="R971" s="48"/>
      <c r="S971" s="48"/>
      <c r="T971" s="48"/>
      <c r="U971" s="48"/>
      <c r="V971" s="48"/>
      <c r="W971" s="48"/>
      <c r="X971" s="48"/>
      <c r="Y971" s="48"/>
      <c r="Z971" s="48"/>
    </row>
    <row r="972" ht="23.25" customHeight="1">
      <c r="A972" s="48"/>
      <c r="B972" s="48"/>
      <c r="C972" s="48"/>
      <c r="D972" s="48"/>
      <c r="E972" s="48"/>
      <c r="F972" s="48"/>
      <c r="G972" s="80"/>
      <c r="H972" s="80"/>
      <c r="I972" s="48"/>
      <c r="J972" s="48"/>
      <c r="K972" s="48"/>
      <c r="L972" s="48"/>
      <c r="M972" s="48"/>
      <c r="N972" s="48"/>
      <c r="O972" s="48"/>
      <c r="P972" s="48"/>
      <c r="Q972" s="48"/>
      <c r="R972" s="48"/>
      <c r="S972" s="48"/>
      <c r="T972" s="48"/>
      <c r="U972" s="48"/>
      <c r="V972" s="48"/>
      <c r="W972" s="48"/>
      <c r="X972" s="48"/>
      <c r="Y972" s="48"/>
      <c r="Z972" s="48"/>
    </row>
    <row r="973" ht="23.25" customHeight="1">
      <c r="A973" s="48"/>
      <c r="B973" s="48"/>
      <c r="C973" s="48"/>
      <c r="D973" s="48"/>
      <c r="E973" s="48"/>
      <c r="F973" s="48"/>
      <c r="G973" s="80"/>
      <c r="H973" s="80"/>
      <c r="I973" s="48"/>
      <c r="J973" s="48"/>
      <c r="K973" s="48"/>
      <c r="L973" s="48"/>
      <c r="M973" s="48"/>
      <c r="N973" s="48"/>
      <c r="O973" s="48"/>
      <c r="P973" s="48"/>
      <c r="Q973" s="48"/>
      <c r="R973" s="48"/>
      <c r="S973" s="48"/>
      <c r="T973" s="48"/>
      <c r="U973" s="48"/>
      <c r="V973" s="48"/>
      <c r="W973" s="48"/>
      <c r="X973" s="48"/>
      <c r="Y973" s="48"/>
      <c r="Z973" s="48"/>
    </row>
    <row r="974" ht="23.25" customHeight="1">
      <c r="A974" s="48"/>
      <c r="B974" s="48"/>
      <c r="C974" s="48"/>
      <c r="D974" s="48"/>
      <c r="E974" s="48"/>
      <c r="F974" s="48"/>
      <c r="G974" s="80"/>
      <c r="H974" s="80"/>
      <c r="I974" s="48"/>
      <c r="J974" s="48"/>
      <c r="K974" s="48"/>
      <c r="L974" s="48"/>
      <c r="M974" s="48"/>
      <c r="N974" s="48"/>
      <c r="O974" s="48"/>
      <c r="P974" s="48"/>
      <c r="Q974" s="48"/>
      <c r="R974" s="48"/>
      <c r="S974" s="48"/>
      <c r="T974" s="48"/>
      <c r="U974" s="48"/>
      <c r="V974" s="48"/>
      <c r="W974" s="48"/>
      <c r="X974" s="48"/>
      <c r="Y974" s="48"/>
      <c r="Z974" s="48"/>
    </row>
    <row r="975" ht="23.25" customHeight="1">
      <c r="A975" s="48"/>
      <c r="B975" s="48"/>
      <c r="C975" s="48"/>
      <c r="D975" s="48"/>
      <c r="E975" s="48"/>
      <c r="F975" s="48"/>
      <c r="G975" s="80"/>
      <c r="H975" s="80"/>
      <c r="I975" s="48"/>
      <c r="J975" s="48"/>
      <c r="K975" s="48"/>
      <c r="L975" s="48"/>
      <c r="M975" s="48"/>
      <c r="N975" s="48"/>
      <c r="O975" s="48"/>
      <c r="P975" s="48"/>
      <c r="Q975" s="48"/>
      <c r="R975" s="48"/>
      <c r="S975" s="48"/>
      <c r="T975" s="48"/>
      <c r="U975" s="48"/>
      <c r="V975" s="48"/>
      <c r="W975" s="48"/>
      <c r="X975" s="48"/>
      <c r="Y975" s="48"/>
      <c r="Z975" s="48"/>
    </row>
    <row r="976" ht="23.25" customHeight="1">
      <c r="A976" s="48"/>
      <c r="B976" s="48"/>
      <c r="C976" s="48"/>
      <c r="D976" s="48"/>
      <c r="E976" s="48"/>
      <c r="F976" s="48"/>
      <c r="G976" s="80"/>
      <c r="H976" s="80"/>
      <c r="I976" s="48"/>
      <c r="J976" s="48"/>
      <c r="K976" s="48"/>
      <c r="L976" s="48"/>
      <c r="M976" s="48"/>
      <c r="N976" s="48"/>
      <c r="O976" s="48"/>
      <c r="P976" s="48"/>
      <c r="Q976" s="48"/>
      <c r="R976" s="48"/>
      <c r="S976" s="48"/>
      <c r="T976" s="48"/>
      <c r="U976" s="48"/>
      <c r="V976" s="48"/>
      <c r="W976" s="48"/>
      <c r="X976" s="48"/>
      <c r="Y976" s="48"/>
      <c r="Z976" s="48"/>
    </row>
    <row r="977" ht="23.25" customHeight="1">
      <c r="A977" s="48"/>
      <c r="B977" s="48"/>
      <c r="C977" s="48"/>
      <c r="D977" s="48"/>
      <c r="E977" s="48"/>
      <c r="F977" s="48"/>
      <c r="G977" s="80"/>
      <c r="H977" s="80"/>
      <c r="I977" s="48"/>
      <c r="J977" s="48"/>
      <c r="K977" s="48"/>
      <c r="L977" s="48"/>
      <c r="M977" s="48"/>
      <c r="N977" s="48"/>
      <c r="O977" s="48"/>
      <c r="P977" s="48"/>
      <c r="Q977" s="48"/>
      <c r="R977" s="48"/>
      <c r="S977" s="48"/>
      <c r="T977" s="48"/>
      <c r="U977" s="48"/>
      <c r="V977" s="48"/>
      <c r="W977" s="48"/>
      <c r="X977" s="48"/>
      <c r="Y977" s="48"/>
      <c r="Z977" s="48"/>
    </row>
    <row r="978" ht="23.25" customHeight="1">
      <c r="A978" s="48"/>
      <c r="B978" s="48"/>
      <c r="C978" s="48"/>
      <c r="D978" s="48"/>
      <c r="E978" s="48"/>
      <c r="F978" s="48"/>
      <c r="G978" s="80"/>
      <c r="H978" s="80"/>
      <c r="I978" s="48"/>
      <c r="J978" s="48"/>
      <c r="K978" s="48"/>
      <c r="L978" s="48"/>
      <c r="M978" s="48"/>
      <c r="N978" s="48"/>
      <c r="O978" s="48"/>
      <c r="P978" s="48"/>
      <c r="Q978" s="48"/>
      <c r="R978" s="48"/>
      <c r="S978" s="48"/>
      <c r="T978" s="48"/>
      <c r="U978" s="48"/>
      <c r="V978" s="48"/>
      <c r="W978" s="48"/>
      <c r="X978" s="48"/>
      <c r="Y978" s="48"/>
      <c r="Z978" s="48"/>
    </row>
    <row r="979" ht="23.25" customHeight="1">
      <c r="A979" s="48"/>
      <c r="B979" s="48"/>
      <c r="C979" s="48"/>
      <c r="D979" s="48"/>
      <c r="E979" s="48"/>
      <c r="F979" s="48"/>
      <c r="G979" s="80"/>
      <c r="H979" s="80"/>
      <c r="I979" s="48"/>
      <c r="J979" s="48"/>
      <c r="K979" s="48"/>
      <c r="L979" s="48"/>
      <c r="M979" s="48"/>
      <c r="N979" s="48"/>
      <c r="O979" s="48"/>
      <c r="P979" s="48"/>
      <c r="Q979" s="48"/>
      <c r="R979" s="48"/>
      <c r="S979" s="48"/>
      <c r="T979" s="48"/>
      <c r="U979" s="48"/>
      <c r="V979" s="48"/>
      <c r="W979" s="48"/>
      <c r="X979" s="48"/>
      <c r="Y979" s="48"/>
      <c r="Z979" s="48"/>
    </row>
    <row r="980" ht="23.25" customHeight="1">
      <c r="A980" s="48"/>
      <c r="B980" s="48"/>
      <c r="C980" s="48"/>
      <c r="D980" s="48"/>
      <c r="E980" s="48"/>
      <c r="F980" s="48"/>
      <c r="G980" s="80"/>
      <c r="H980" s="80"/>
      <c r="I980" s="48"/>
      <c r="J980" s="48"/>
      <c r="K980" s="48"/>
      <c r="L980" s="48"/>
      <c r="M980" s="48"/>
      <c r="N980" s="48"/>
      <c r="O980" s="48"/>
      <c r="P980" s="48"/>
      <c r="Q980" s="48"/>
      <c r="R980" s="48"/>
      <c r="S980" s="48"/>
      <c r="T980" s="48"/>
      <c r="U980" s="48"/>
      <c r="V980" s="48"/>
      <c r="W980" s="48"/>
      <c r="X980" s="48"/>
      <c r="Y980" s="48"/>
      <c r="Z980" s="48"/>
    </row>
    <row r="981" ht="23.25" customHeight="1">
      <c r="A981" s="48"/>
      <c r="B981" s="48"/>
      <c r="C981" s="48"/>
      <c r="D981" s="48"/>
      <c r="E981" s="48"/>
      <c r="F981" s="48"/>
      <c r="G981" s="80"/>
      <c r="H981" s="80"/>
      <c r="I981" s="48"/>
      <c r="J981" s="48"/>
      <c r="K981" s="48"/>
      <c r="L981" s="48"/>
      <c r="M981" s="48"/>
      <c r="N981" s="48"/>
      <c r="O981" s="48"/>
      <c r="P981" s="48"/>
      <c r="Q981" s="48"/>
      <c r="R981" s="48"/>
      <c r="S981" s="48"/>
      <c r="T981" s="48"/>
      <c r="U981" s="48"/>
      <c r="V981" s="48"/>
      <c r="W981" s="48"/>
      <c r="X981" s="48"/>
      <c r="Y981" s="48"/>
      <c r="Z981" s="48"/>
    </row>
    <row r="982" ht="23.25" customHeight="1">
      <c r="A982" s="48"/>
      <c r="B982" s="48"/>
      <c r="C982" s="48"/>
      <c r="D982" s="48"/>
      <c r="E982" s="48"/>
      <c r="F982" s="48"/>
      <c r="G982" s="80"/>
      <c r="H982" s="80"/>
      <c r="I982" s="48"/>
      <c r="J982" s="48"/>
      <c r="K982" s="48"/>
      <c r="L982" s="48"/>
      <c r="M982" s="48"/>
      <c r="N982" s="48"/>
      <c r="O982" s="48"/>
      <c r="P982" s="48"/>
      <c r="Q982" s="48"/>
      <c r="R982" s="48"/>
      <c r="S982" s="48"/>
      <c r="T982" s="48"/>
      <c r="U982" s="48"/>
      <c r="V982" s="48"/>
      <c r="W982" s="48"/>
      <c r="X982" s="48"/>
      <c r="Y982" s="48"/>
      <c r="Z982" s="48"/>
    </row>
    <row r="983" ht="23.25" customHeight="1">
      <c r="A983" s="48"/>
      <c r="B983" s="48"/>
      <c r="C983" s="48"/>
      <c r="D983" s="48"/>
      <c r="E983" s="48"/>
      <c r="F983" s="48"/>
      <c r="G983" s="80"/>
      <c r="H983" s="80"/>
      <c r="I983" s="48"/>
      <c r="J983" s="48"/>
      <c r="K983" s="48"/>
      <c r="L983" s="48"/>
      <c r="M983" s="48"/>
      <c r="N983" s="48"/>
      <c r="O983" s="48"/>
      <c r="P983" s="48"/>
      <c r="Q983" s="48"/>
      <c r="R983" s="48"/>
      <c r="S983" s="48"/>
      <c r="T983" s="48"/>
      <c r="U983" s="48"/>
      <c r="V983" s="48"/>
      <c r="W983" s="48"/>
      <c r="X983" s="48"/>
      <c r="Y983" s="48"/>
      <c r="Z983" s="48"/>
    </row>
    <row r="984" ht="23.25" customHeight="1">
      <c r="A984" s="48"/>
      <c r="B984" s="48"/>
      <c r="C984" s="48"/>
      <c r="D984" s="48"/>
      <c r="E984" s="48"/>
      <c r="F984" s="48"/>
      <c r="G984" s="80"/>
      <c r="H984" s="80"/>
      <c r="I984" s="48"/>
      <c r="J984" s="48"/>
      <c r="K984" s="48"/>
      <c r="L984" s="48"/>
      <c r="M984" s="48"/>
      <c r="N984" s="48"/>
      <c r="O984" s="48"/>
      <c r="P984" s="48"/>
      <c r="Q984" s="48"/>
      <c r="R984" s="48"/>
      <c r="S984" s="48"/>
      <c r="T984" s="48"/>
      <c r="U984" s="48"/>
      <c r="V984" s="48"/>
      <c r="W984" s="48"/>
      <c r="X984" s="48"/>
      <c r="Y984" s="48"/>
      <c r="Z984" s="48"/>
    </row>
    <row r="985" ht="23.25" customHeight="1">
      <c r="A985" s="48"/>
      <c r="B985" s="48"/>
      <c r="C985" s="48"/>
      <c r="D985" s="48"/>
      <c r="E985" s="48"/>
      <c r="F985" s="48"/>
      <c r="G985" s="80"/>
      <c r="H985" s="80"/>
      <c r="I985" s="48"/>
      <c r="J985" s="48"/>
      <c r="K985" s="48"/>
      <c r="L985" s="48"/>
      <c r="M985" s="48"/>
      <c r="N985" s="48"/>
      <c r="O985" s="48"/>
      <c r="P985" s="48"/>
      <c r="Q985" s="48"/>
      <c r="R985" s="48"/>
      <c r="S985" s="48"/>
      <c r="T985" s="48"/>
      <c r="U985" s="48"/>
      <c r="V985" s="48"/>
      <c r="W985" s="48"/>
      <c r="X985" s="48"/>
      <c r="Y985" s="48"/>
      <c r="Z985" s="48"/>
    </row>
    <row r="986" ht="23.25" customHeight="1">
      <c r="A986" s="48"/>
      <c r="B986" s="48"/>
      <c r="C986" s="48"/>
      <c r="D986" s="48"/>
      <c r="E986" s="48"/>
      <c r="F986" s="48"/>
      <c r="G986" s="80"/>
      <c r="H986" s="80"/>
      <c r="I986" s="48"/>
      <c r="J986" s="48"/>
      <c r="K986" s="48"/>
      <c r="L986" s="48"/>
      <c r="M986" s="48"/>
      <c r="N986" s="48"/>
      <c r="O986" s="48"/>
      <c r="P986" s="48"/>
      <c r="Q986" s="48"/>
      <c r="R986" s="48"/>
      <c r="S986" s="48"/>
      <c r="T986" s="48"/>
      <c r="U986" s="48"/>
      <c r="V986" s="48"/>
      <c r="W986" s="48"/>
      <c r="X986" s="48"/>
      <c r="Y986" s="48"/>
      <c r="Z986" s="48"/>
    </row>
    <row r="987" ht="23.25" customHeight="1">
      <c r="A987" s="48"/>
      <c r="B987" s="48"/>
      <c r="C987" s="48"/>
      <c r="D987" s="48"/>
      <c r="E987" s="48"/>
      <c r="F987" s="48"/>
      <c r="G987" s="80"/>
      <c r="H987" s="80"/>
      <c r="I987" s="48"/>
      <c r="J987" s="48"/>
      <c r="K987" s="48"/>
      <c r="L987" s="48"/>
      <c r="M987" s="48"/>
      <c r="N987" s="48"/>
      <c r="O987" s="48"/>
      <c r="P987" s="48"/>
      <c r="Q987" s="48"/>
      <c r="R987" s="48"/>
      <c r="S987" s="48"/>
      <c r="T987" s="48"/>
      <c r="U987" s="48"/>
      <c r="V987" s="48"/>
      <c r="W987" s="48"/>
      <c r="X987" s="48"/>
      <c r="Y987" s="48"/>
      <c r="Z987" s="48"/>
    </row>
    <row r="988" ht="23.25" customHeight="1">
      <c r="A988" s="48"/>
      <c r="B988" s="48"/>
      <c r="C988" s="48"/>
      <c r="D988" s="48"/>
      <c r="E988" s="48"/>
      <c r="F988" s="48"/>
      <c r="G988" s="80"/>
      <c r="H988" s="80"/>
      <c r="I988" s="48"/>
      <c r="J988" s="48"/>
      <c r="K988" s="48"/>
      <c r="L988" s="48"/>
      <c r="M988" s="48"/>
      <c r="N988" s="48"/>
      <c r="O988" s="48"/>
      <c r="P988" s="48"/>
      <c r="Q988" s="48"/>
      <c r="R988" s="48"/>
      <c r="S988" s="48"/>
      <c r="T988" s="48"/>
      <c r="U988" s="48"/>
      <c r="V988" s="48"/>
      <c r="W988" s="48"/>
      <c r="X988" s="48"/>
      <c r="Y988" s="48"/>
      <c r="Z988" s="48"/>
    </row>
    <row r="989" ht="23.25" customHeight="1">
      <c r="A989" s="48"/>
      <c r="B989" s="48"/>
      <c r="C989" s="48"/>
      <c r="D989" s="48"/>
      <c r="E989" s="48"/>
      <c r="F989" s="48"/>
      <c r="G989" s="80"/>
      <c r="H989" s="80"/>
      <c r="I989" s="48"/>
      <c r="J989" s="48"/>
      <c r="K989" s="48"/>
      <c r="L989" s="48"/>
      <c r="M989" s="48"/>
      <c r="N989" s="48"/>
      <c r="O989" s="48"/>
      <c r="P989" s="48"/>
      <c r="Q989" s="48"/>
      <c r="R989" s="48"/>
      <c r="S989" s="48"/>
      <c r="T989" s="48"/>
      <c r="U989" s="48"/>
      <c r="V989" s="48"/>
      <c r="W989" s="48"/>
      <c r="X989" s="48"/>
      <c r="Y989" s="48"/>
      <c r="Z989" s="48"/>
    </row>
    <row r="990" ht="23.25" customHeight="1">
      <c r="A990" s="48"/>
      <c r="B990" s="48"/>
      <c r="C990" s="48"/>
      <c r="D990" s="48"/>
      <c r="E990" s="48"/>
      <c r="F990" s="48"/>
      <c r="G990" s="80"/>
      <c r="H990" s="80"/>
      <c r="I990" s="48"/>
      <c r="J990" s="48"/>
      <c r="K990" s="48"/>
      <c r="L990" s="48"/>
      <c r="M990" s="48"/>
      <c r="N990" s="48"/>
      <c r="O990" s="48"/>
      <c r="P990" s="48"/>
      <c r="Q990" s="48"/>
      <c r="R990" s="48"/>
      <c r="S990" s="48"/>
      <c r="T990" s="48"/>
      <c r="U990" s="48"/>
      <c r="V990" s="48"/>
      <c r="W990" s="48"/>
      <c r="X990" s="48"/>
      <c r="Y990" s="48"/>
      <c r="Z990" s="48"/>
    </row>
    <row r="991" ht="23.25" customHeight="1">
      <c r="A991" s="48"/>
      <c r="B991" s="48"/>
      <c r="C991" s="48"/>
      <c r="D991" s="48"/>
      <c r="E991" s="48"/>
      <c r="F991" s="48"/>
      <c r="G991" s="80"/>
      <c r="H991" s="80"/>
      <c r="I991" s="48"/>
      <c r="J991" s="48"/>
      <c r="K991" s="48"/>
      <c r="L991" s="48"/>
      <c r="M991" s="48"/>
      <c r="N991" s="48"/>
      <c r="O991" s="48"/>
      <c r="P991" s="48"/>
      <c r="Q991" s="48"/>
      <c r="R991" s="48"/>
      <c r="S991" s="48"/>
      <c r="T991" s="48"/>
      <c r="U991" s="48"/>
      <c r="V991" s="48"/>
      <c r="W991" s="48"/>
      <c r="X991" s="48"/>
      <c r="Y991" s="48"/>
      <c r="Z991" s="48"/>
    </row>
    <row r="992" ht="23.25" customHeight="1">
      <c r="A992" s="48"/>
      <c r="B992" s="48"/>
      <c r="C992" s="48"/>
      <c r="D992" s="48"/>
      <c r="E992" s="48"/>
      <c r="F992" s="48"/>
      <c r="G992" s="80"/>
      <c r="H992" s="80"/>
      <c r="I992" s="48"/>
      <c r="J992" s="48"/>
      <c r="K992" s="48"/>
      <c r="L992" s="48"/>
      <c r="M992" s="48"/>
      <c r="N992" s="48"/>
      <c r="O992" s="48"/>
      <c r="P992" s="48"/>
      <c r="Q992" s="48"/>
      <c r="R992" s="48"/>
      <c r="S992" s="48"/>
      <c r="T992" s="48"/>
      <c r="U992" s="48"/>
      <c r="V992" s="48"/>
      <c r="W992" s="48"/>
      <c r="X992" s="48"/>
      <c r="Y992" s="48"/>
      <c r="Z992" s="48"/>
    </row>
    <row r="993" ht="23.25" customHeight="1">
      <c r="A993" s="48"/>
      <c r="B993" s="48"/>
      <c r="C993" s="48"/>
      <c r="D993" s="48"/>
      <c r="E993" s="48"/>
      <c r="F993" s="48"/>
      <c r="G993" s="80"/>
      <c r="H993" s="80"/>
      <c r="I993" s="48"/>
      <c r="J993" s="48"/>
      <c r="K993" s="48"/>
      <c r="L993" s="48"/>
      <c r="M993" s="48"/>
      <c r="N993" s="48"/>
      <c r="O993" s="48"/>
      <c r="P993" s="48"/>
      <c r="Q993" s="48"/>
      <c r="R993" s="48"/>
      <c r="S993" s="48"/>
      <c r="T993" s="48"/>
      <c r="U993" s="48"/>
      <c r="V993" s="48"/>
      <c r="W993" s="48"/>
      <c r="X993" s="48"/>
      <c r="Y993" s="48"/>
      <c r="Z993" s="48"/>
    </row>
    <row r="994" ht="23.25" customHeight="1">
      <c r="A994" s="48"/>
      <c r="B994" s="48"/>
      <c r="C994" s="48"/>
      <c r="D994" s="48"/>
      <c r="E994" s="48"/>
      <c r="F994" s="48"/>
      <c r="G994" s="80"/>
      <c r="H994" s="80"/>
      <c r="I994" s="48"/>
      <c r="J994" s="48"/>
      <c r="K994" s="48"/>
      <c r="L994" s="48"/>
      <c r="M994" s="48"/>
      <c r="N994" s="48"/>
      <c r="O994" s="48"/>
      <c r="P994" s="48"/>
      <c r="Q994" s="48"/>
      <c r="R994" s="48"/>
      <c r="S994" s="48"/>
      <c r="T994" s="48"/>
      <c r="U994" s="48"/>
      <c r="V994" s="48"/>
      <c r="W994" s="48"/>
      <c r="X994" s="48"/>
      <c r="Y994" s="48"/>
      <c r="Z994" s="48"/>
    </row>
    <row r="995" ht="23.25" customHeight="1">
      <c r="A995" s="48"/>
      <c r="B995" s="48"/>
      <c r="C995" s="48"/>
      <c r="D995" s="48"/>
      <c r="E995" s="48"/>
      <c r="F995" s="48"/>
      <c r="G995" s="80"/>
      <c r="H995" s="80"/>
      <c r="I995" s="48"/>
      <c r="J995" s="48"/>
      <c r="K995" s="48"/>
      <c r="L995" s="48"/>
      <c r="M995" s="48"/>
      <c r="N995" s="48"/>
      <c r="O995" s="48"/>
      <c r="P995" s="48"/>
      <c r="Q995" s="48"/>
      <c r="R995" s="48"/>
      <c r="S995" s="48"/>
      <c r="T995" s="48"/>
      <c r="U995" s="48"/>
      <c r="V995" s="48"/>
      <c r="W995" s="48"/>
      <c r="X995" s="48"/>
      <c r="Y995" s="48"/>
      <c r="Z995" s="48"/>
    </row>
    <row r="996" ht="23.25" customHeight="1">
      <c r="A996" s="48"/>
      <c r="B996" s="48"/>
      <c r="C996" s="48"/>
      <c r="D996" s="48"/>
      <c r="E996" s="48"/>
      <c r="F996" s="48"/>
      <c r="G996" s="80"/>
      <c r="H996" s="80"/>
      <c r="I996" s="48"/>
      <c r="J996" s="48"/>
      <c r="K996" s="48"/>
      <c r="L996" s="48"/>
      <c r="M996" s="48"/>
      <c r="N996" s="48"/>
      <c r="O996" s="48"/>
      <c r="P996" s="48"/>
      <c r="Q996" s="48"/>
      <c r="R996" s="48"/>
      <c r="S996" s="48"/>
      <c r="T996" s="48"/>
      <c r="U996" s="48"/>
      <c r="V996" s="48"/>
      <c r="W996" s="48"/>
      <c r="X996" s="48"/>
      <c r="Y996" s="48"/>
      <c r="Z996" s="48"/>
    </row>
    <row r="997" ht="23.25" customHeight="1">
      <c r="A997" s="48"/>
      <c r="B997" s="48"/>
      <c r="C997" s="48"/>
      <c r="D997" s="48"/>
      <c r="E997" s="48"/>
      <c r="F997" s="48"/>
      <c r="G997" s="80"/>
      <c r="H997" s="80"/>
      <c r="I997" s="48"/>
      <c r="J997" s="48"/>
      <c r="K997" s="48"/>
      <c r="L997" s="48"/>
      <c r="M997" s="48"/>
      <c r="N997" s="48"/>
      <c r="O997" s="48"/>
      <c r="P997" s="48"/>
      <c r="Q997" s="48"/>
      <c r="R997" s="48"/>
      <c r="S997" s="48"/>
      <c r="T997" s="48"/>
      <c r="U997" s="48"/>
      <c r="V997" s="48"/>
      <c r="W997" s="48"/>
      <c r="X997" s="48"/>
      <c r="Y997" s="48"/>
      <c r="Z997" s="48"/>
    </row>
    <row r="998" ht="23.25" customHeight="1">
      <c r="A998" s="48"/>
      <c r="B998" s="48"/>
      <c r="C998" s="48"/>
      <c r="D998" s="48"/>
      <c r="E998" s="48"/>
      <c r="F998" s="48"/>
      <c r="G998" s="80"/>
      <c r="H998" s="80"/>
      <c r="I998" s="48"/>
      <c r="J998" s="48"/>
      <c r="K998" s="48"/>
      <c r="L998" s="48"/>
      <c r="M998" s="48"/>
      <c r="N998" s="48"/>
      <c r="O998" s="48"/>
      <c r="P998" s="48"/>
      <c r="Q998" s="48"/>
      <c r="R998" s="48"/>
      <c r="S998" s="48"/>
      <c r="T998" s="48"/>
      <c r="U998" s="48"/>
      <c r="V998" s="48"/>
      <c r="W998" s="48"/>
      <c r="X998" s="48"/>
      <c r="Y998" s="48"/>
      <c r="Z998" s="48"/>
    </row>
    <row r="999" ht="23.25" customHeight="1">
      <c r="A999" s="48"/>
      <c r="B999" s="48"/>
      <c r="C999" s="48"/>
      <c r="D999" s="48"/>
      <c r="E999" s="48"/>
      <c r="F999" s="48"/>
      <c r="G999" s="80"/>
      <c r="H999" s="80"/>
      <c r="I999" s="48"/>
      <c r="J999" s="48"/>
      <c r="K999" s="48"/>
      <c r="L999" s="48"/>
      <c r="M999" s="48"/>
      <c r="N999" s="48"/>
      <c r="O999" s="48"/>
      <c r="P999" s="48"/>
      <c r="Q999" s="48"/>
      <c r="R999" s="48"/>
      <c r="S999" s="48"/>
      <c r="T999" s="48"/>
      <c r="U999" s="48"/>
      <c r="V999" s="48"/>
      <c r="W999" s="48"/>
      <c r="X999" s="48"/>
      <c r="Y999" s="48"/>
      <c r="Z999" s="48"/>
    </row>
    <row r="1000" ht="23.25" customHeight="1">
      <c r="A1000" s="48"/>
      <c r="B1000" s="48"/>
      <c r="C1000" s="48"/>
      <c r="D1000" s="48"/>
      <c r="E1000" s="48"/>
      <c r="F1000" s="48"/>
      <c r="G1000" s="80"/>
      <c r="H1000" s="80"/>
      <c r="I1000" s="48"/>
      <c r="J1000" s="48"/>
      <c r="K1000" s="48"/>
      <c r="L1000" s="48"/>
      <c r="M1000" s="48"/>
      <c r="N1000" s="48"/>
      <c r="O1000" s="48"/>
      <c r="P1000" s="48"/>
      <c r="Q1000" s="48"/>
      <c r="R1000" s="48"/>
      <c r="S1000" s="48"/>
      <c r="T1000" s="48"/>
      <c r="U1000" s="48"/>
      <c r="V1000" s="48"/>
      <c r="W1000" s="48"/>
      <c r="X1000" s="48"/>
      <c r="Y1000" s="48"/>
      <c r="Z1000" s="48"/>
    </row>
  </sheetData>
  <conditionalFormatting sqref="C6:D400 E6:E16 F6:H400 E18:E400">
    <cfRule type="cellIs" dxfId="4" priority="1" operator="greaterThan">
      <formula>300</formula>
    </cfRule>
  </conditionalFormatting>
  <conditionalFormatting sqref="E17">
    <cfRule type="cellIs" dxfId="4" priority="2" operator="greaterThan">
      <formula>300</formula>
    </cfRule>
  </conditionalFormatting>
  <dataValidations>
    <dataValidation type="decimal" allowBlank="1" showErrorMessage="1" sqref="B8:B9">
      <formula1>1.0</formula1>
      <formula2>79999.0</formula2>
    </dataValidation>
  </dataValidations>
  <printOptions/>
  <pageMargins bottom="0.787401575" footer="0.0" header="0.0" left="0.7" right="0.7" top="0.7874015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sheetViews>
  <sheetFormatPr customHeight="1" defaultColWidth="11.22" defaultRowHeight="15.0"/>
  <cols>
    <col customWidth="1" hidden="1" min="1" max="1" width="7.78"/>
    <col customWidth="1" min="2" max="2" width="3.56"/>
    <col customWidth="1" min="3" max="3" width="21.67"/>
    <col customWidth="1" min="4" max="9" width="4.56"/>
    <col customWidth="1" min="10" max="10" width="3.89"/>
    <col customWidth="1" hidden="1" min="11" max="11" width="8.67"/>
    <col customWidth="1" min="12" max="12" width="5.89"/>
    <col customWidth="1" min="13" max="13" width="3.11"/>
    <col customWidth="1" min="14" max="14" width="5.33"/>
    <col customWidth="1" min="15" max="15" width="8.89"/>
    <col customWidth="1" min="16" max="18" width="8.44"/>
    <col customWidth="1" min="19" max="19" width="12.11"/>
    <col customWidth="1" min="20" max="20" width="4.11"/>
    <col customWidth="1" min="21" max="27" width="8.44"/>
  </cols>
  <sheetData>
    <row r="1" ht="21.0" customHeight="1">
      <c r="A1" s="130"/>
      <c r="B1" s="131" t="str">
        <f>CONCATENATE(Optionen!$B$3," ",Optionen!$B$5)</f>
        <v>Bayerische Meisterschaft 2026</v>
      </c>
      <c r="T1" s="132"/>
    </row>
    <row r="2" ht="21.0" customHeight="1">
      <c r="A2" s="130"/>
      <c r="C2" s="133"/>
      <c r="D2" s="4"/>
      <c r="E2" s="4"/>
      <c r="F2" s="4"/>
      <c r="G2" s="4"/>
      <c r="H2" s="4"/>
      <c r="I2" s="4"/>
      <c r="J2" s="134"/>
      <c r="K2" s="134"/>
      <c r="L2" s="135"/>
      <c r="T2" s="136"/>
    </row>
    <row r="3" ht="21.0" customHeight="1">
      <c r="A3" s="130"/>
      <c r="B3" s="137" t="str">
        <f>CONCATENATE("Ergebnisse ",Optionen!B4)</f>
        <v>Ergebnisse Frauen Einzel </v>
      </c>
      <c r="O3" s="138"/>
      <c r="Q3" s="138"/>
      <c r="T3" s="139"/>
    </row>
    <row r="4" ht="21.0" customHeight="1">
      <c r="A4" s="130"/>
      <c r="B4" s="140" t="str">
        <f>Optionen!$C$7</f>
        <v/>
      </c>
      <c r="C4" s="133"/>
      <c r="D4" s="141"/>
      <c r="E4" s="141"/>
      <c r="F4" s="141"/>
      <c r="G4" s="141"/>
      <c r="H4" s="141"/>
      <c r="I4" s="141"/>
      <c r="J4" s="142"/>
      <c r="K4" s="142"/>
      <c r="L4" s="143"/>
      <c r="M4" s="144"/>
      <c r="N4" s="145" t="str">
        <f>Optionen!B12</f>
        <v>Rottendorf</v>
      </c>
      <c r="O4" s="138"/>
      <c r="Q4" s="138"/>
      <c r="T4" s="146"/>
    </row>
    <row r="5" ht="21.0" customHeight="1">
      <c r="A5" s="130"/>
      <c r="B5" s="147" t="str">
        <f>CONCAT("Stand: ",TEXT(NOW(),"DD.MM.YYYY HH:MM"))</f>
        <v>Stand: 11.05.2026 11:01</v>
      </c>
      <c r="D5" s="141"/>
      <c r="E5" s="141"/>
      <c r="F5" s="141"/>
      <c r="G5" s="141"/>
      <c r="H5" s="141"/>
      <c r="I5" s="141"/>
      <c r="J5" s="142"/>
      <c r="K5" s="142"/>
      <c r="L5" s="143"/>
      <c r="M5" s="144"/>
      <c r="N5" s="148" t="str">
        <f>CONCAT("Auswertung: ",Optionen!$B$10)</f>
        <v>Auswertung: John Mesch</v>
      </c>
      <c r="O5" s="138"/>
      <c r="Q5" s="138"/>
      <c r="T5" s="149"/>
    </row>
    <row r="6" ht="21.0" customHeight="1">
      <c r="A6" s="5"/>
      <c r="C6" s="133"/>
      <c r="D6" s="141"/>
      <c r="E6" s="141"/>
      <c r="F6" s="141"/>
      <c r="G6" s="141"/>
      <c r="H6" s="141"/>
      <c r="I6" s="141"/>
      <c r="J6" s="142"/>
      <c r="K6" s="142"/>
      <c r="L6" s="135"/>
      <c r="O6" s="138"/>
      <c r="Q6" s="138"/>
      <c r="T6" s="136"/>
    </row>
    <row r="7" ht="17.25" customHeight="1">
      <c r="A7" s="150"/>
      <c r="B7" s="151" t="s">
        <v>2478</v>
      </c>
      <c r="C7" s="151" t="s">
        <v>88</v>
      </c>
      <c r="D7" s="152" t="s">
        <v>2551</v>
      </c>
      <c r="E7" s="152" t="s">
        <v>2552</v>
      </c>
      <c r="F7" s="152" t="s">
        <v>2553</v>
      </c>
      <c r="G7" s="152" t="s">
        <v>2554</v>
      </c>
      <c r="H7" s="152" t="s">
        <v>2555</v>
      </c>
      <c r="I7" s="152" t="s">
        <v>2556</v>
      </c>
      <c r="J7" s="153" t="s">
        <v>2560</v>
      </c>
      <c r="K7" s="151" t="s">
        <v>2561</v>
      </c>
      <c r="L7" s="151" t="s">
        <v>2562</v>
      </c>
      <c r="M7" s="151" t="s">
        <v>2541</v>
      </c>
      <c r="N7" s="154" t="s">
        <v>2460</v>
      </c>
      <c r="O7" s="155"/>
      <c r="P7" s="155"/>
      <c r="Q7" s="155"/>
      <c r="R7" s="155"/>
      <c r="S7" s="155"/>
      <c r="T7" s="156" t="s">
        <v>2472</v>
      </c>
      <c r="U7" s="155"/>
      <c r="V7" s="155"/>
      <c r="W7" s="155"/>
      <c r="X7" s="155"/>
      <c r="Y7" s="155"/>
      <c r="Z7" s="155"/>
      <c r="AA7" s="155"/>
    </row>
    <row r="8" ht="17.25" customHeight="1">
      <c r="A8" s="150"/>
      <c r="B8" s="157">
        <f>B2+1</f>
        <v>1</v>
      </c>
      <c r="C8" s="158"/>
      <c r="D8" s="159" t="str">
        <f>VLOOKUP(C10,'Mitglieder BBU'!A:J,6,0)</f>
        <v>Anika Kristof</v>
      </c>
      <c r="E8" s="60"/>
      <c r="F8" s="60"/>
      <c r="G8" s="60"/>
      <c r="H8" s="60"/>
      <c r="I8" s="61"/>
      <c r="J8" s="160"/>
      <c r="K8" s="161"/>
      <c r="L8" s="162"/>
      <c r="M8" s="163"/>
      <c r="N8" s="164"/>
      <c r="T8" s="165"/>
      <c r="U8" s="155"/>
      <c r="V8" s="155"/>
      <c r="W8" s="155"/>
      <c r="X8" s="155"/>
      <c r="Y8" s="155"/>
      <c r="Z8" s="155"/>
      <c r="AA8" s="155"/>
    </row>
    <row r="9" ht="17.25" customHeight="1">
      <c r="A9" s="166">
        <v>87.0</v>
      </c>
      <c r="B9" s="167"/>
      <c r="C9" s="168" t="str">
        <f>VLOOKUP(C10,'Mitglieder BBU'!A:J,6,0)</f>
        <v>Anika Kristof</v>
      </c>
      <c r="D9" s="110">
        <f>IFERROR(VLOOKUP($C10,Datensammler!$B:$AA,3,0),)</f>
        <v>201</v>
      </c>
      <c r="E9" s="110">
        <f>IFERROR(VLOOKUP($C10,Datensammler!$B:$AA,4,0),)</f>
        <v>223</v>
      </c>
      <c r="F9" s="110">
        <f>IFERROR(VLOOKUP($C10,Datensammler!$B:$AA,5,0),)</f>
        <v>196</v>
      </c>
      <c r="G9" s="110">
        <f>IFERROR(VLOOKUP($C10,Datensammler!$B:$AA,6,0),)</f>
        <v>191</v>
      </c>
      <c r="H9" s="110">
        <f>IFERROR(VLOOKUP($C10,Datensammler!$B:$AA,7,0),)</f>
        <v>181</v>
      </c>
      <c r="I9" s="110">
        <f>IFERROR(VLOOKUP($C10,Datensammler!$B:$AA,8,0),)</f>
        <v>208</v>
      </c>
      <c r="J9" s="169">
        <f t="shared" ref="J9:J11" si="1">SUM(D9:I9)</f>
        <v>1200</v>
      </c>
      <c r="K9" s="170">
        <f>IFERROR(VLOOKUP($C10,Datensammler!$B:$AA,23,0),)</f>
        <v>0</v>
      </c>
      <c r="L9" s="161">
        <f>IFERROR(VLOOKUP($C10,Datensammler!$B:$AA,24,0),)</f>
        <v>2441</v>
      </c>
      <c r="M9" s="170">
        <f>IFERROR(VLOOKUP($C10,Datensammler!$B:$AA,25,0),)</f>
        <v>12</v>
      </c>
      <c r="N9" s="171">
        <f>IF(C10=0,"",(VLOOKUP($C10,Datensammler!$B:$AA,26,0)))</f>
        <v>203.42</v>
      </c>
      <c r="T9" s="172"/>
    </row>
    <row r="10" ht="17.25" customHeight="1">
      <c r="A10" s="173">
        <v>164.0</v>
      </c>
      <c r="B10" s="174"/>
      <c r="C10" s="175">
        <f>VLOOKUP(T10,Spieler!A:E,2,0)</f>
        <v>38045</v>
      </c>
      <c r="D10" s="170">
        <f>IFERROR(VLOOKUP($C10,Datensammler!$B:$AA,9,0),)</f>
        <v>198</v>
      </c>
      <c r="E10" s="170">
        <f>IFERROR(VLOOKUP($C10,Datensammler!$B:$AA,10,0),)</f>
        <v>234</v>
      </c>
      <c r="F10" s="170">
        <f>IFERROR(VLOOKUP($C10,Datensammler!$B:$AA,11,0),)</f>
        <v>170</v>
      </c>
      <c r="G10" s="170">
        <f>IFERROR(VLOOKUP($C10,Datensammler!$B:$AA,12,0),)</f>
        <v>219</v>
      </c>
      <c r="H10" s="170">
        <f>IFERROR(VLOOKUP($C10,Datensammler!$B:$AA,13,0),)</f>
        <v>214</v>
      </c>
      <c r="I10" s="170">
        <f>IFERROR(VLOOKUP($C10,Datensammler!$B:$AA,14,0),)</f>
        <v>206</v>
      </c>
      <c r="J10" s="169">
        <f t="shared" si="1"/>
        <v>1241</v>
      </c>
      <c r="N10" s="176"/>
      <c r="T10" s="177">
        <f t="array" ref="T10">INDIRECT("Spieler!AD"&amp;B8+5)</f>
        <v>9</v>
      </c>
    </row>
    <row r="11" ht="17.25" customHeight="1">
      <c r="A11" s="173">
        <v>243.0</v>
      </c>
      <c r="B11" s="167"/>
      <c r="C11" s="178" t="str">
        <f>VLOOKUP(C10,'Mitglieder BBU'!A:K,8,0)</f>
        <v>Lucky Striker Regensburg</v>
      </c>
      <c r="D11" s="179" t="str">
        <f>IFERROR(VLOOKUP($C10,Datensammler!$B:$AA,15,0),)</f>
        <v/>
      </c>
      <c r="E11" s="179" t="str">
        <f>IFERROR(VLOOKUP($C10,Datensammler!$B:$AA,16,0),)</f>
        <v/>
      </c>
      <c r="F11" s="179" t="str">
        <f>IFERROR(VLOOKUP($C10,Datensammler!$B:$AA,17,0),)</f>
        <v/>
      </c>
      <c r="G11" s="179" t="str">
        <f>IFERROR(VLOOKUP($C10,Datensammler!$B:$AA,18,0),)</f>
        <v/>
      </c>
      <c r="H11" s="179" t="str">
        <f>IFERROR(VLOOKUP($C10,Datensammler!$B:$AA,19,0),)</f>
        <v/>
      </c>
      <c r="I11" s="179" t="str">
        <f>IFERROR(VLOOKUP($C10,Datensammler!$B:$AA,20,0),)</f>
        <v/>
      </c>
      <c r="J11" s="180">
        <f t="shared" si="1"/>
        <v>0</v>
      </c>
      <c r="K11" s="181"/>
      <c r="L11" s="181"/>
      <c r="M11" s="181"/>
      <c r="N11" s="182"/>
      <c r="T11" s="172"/>
    </row>
    <row r="12" ht="17.25" customHeight="1">
      <c r="A12" s="173"/>
      <c r="B12" s="183"/>
      <c r="C12" s="184" t="str">
        <f>IF(VLOOKUP(T10,Spieler!A:F,6,0)="Nein","keine Bayerische Meisterschaft gewünscht","")</f>
        <v/>
      </c>
      <c r="D12" s="161"/>
      <c r="E12" s="170"/>
      <c r="F12" s="170"/>
      <c r="G12" s="185" t="s">
        <v>2562</v>
      </c>
      <c r="H12" s="186"/>
      <c r="I12" s="186"/>
      <c r="J12" s="186"/>
      <c r="K12" s="186"/>
      <c r="L12" s="187">
        <f t="shared" ref="L12:M12" si="2">SUM(L9:L11)</f>
        <v>2441</v>
      </c>
      <c r="M12" s="110">
        <f t="shared" si="2"/>
        <v>12</v>
      </c>
      <c r="N12" s="188">
        <f>L12/M12</f>
        <v>203.4166667</v>
      </c>
      <c r="T12" s="189"/>
    </row>
    <row r="13" ht="17.25" customHeight="1">
      <c r="A13" s="173"/>
      <c r="B13" s="190"/>
      <c r="C13" s="178"/>
      <c r="D13" s="191"/>
      <c r="E13" s="191"/>
      <c r="F13" s="191"/>
      <c r="G13" s="191"/>
      <c r="H13" s="191"/>
      <c r="I13" s="191"/>
      <c r="J13" s="191"/>
      <c r="K13" s="191"/>
      <c r="L13" s="192"/>
      <c r="M13" s="191"/>
      <c r="N13" s="193"/>
      <c r="T13" s="194"/>
    </row>
    <row r="14" ht="17.25" customHeight="1">
      <c r="A14" s="130"/>
      <c r="B14" s="157">
        <f>B8+1</f>
        <v>2</v>
      </c>
      <c r="C14" s="158"/>
      <c r="D14" s="159" t="str">
        <f>VLOOKUP(C16,'Mitglieder BBU'!A:J,6,0)</f>
        <v>Laura Piros</v>
      </c>
      <c r="E14" s="60"/>
      <c r="F14" s="60"/>
      <c r="G14" s="60"/>
      <c r="H14" s="60"/>
      <c r="I14" s="61"/>
      <c r="J14" s="160"/>
      <c r="K14" s="161"/>
      <c r="L14" s="162"/>
      <c r="M14" s="163"/>
      <c r="N14" s="164"/>
      <c r="T14" s="165"/>
    </row>
    <row r="15" ht="17.25" customHeight="1">
      <c r="A15" s="130"/>
      <c r="B15" s="167"/>
      <c r="C15" s="168" t="str">
        <f>VLOOKUP(C16,'Mitglieder BBU'!A:J,6,0)</f>
        <v>Laura Piros</v>
      </c>
      <c r="D15" s="110">
        <f>IFERROR(VLOOKUP($C16,Datensammler!$B:$AA,3,0),)</f>
        <v>169</v>
      </c>
      <c r="E15" s="110">
        <f>IFERROR(VLOOKUP($C16,Datensammler!$B:$AA,4,0),)</f>
        <v>227</v>
      </c>
      <c r="F15" s="110">
        <f>IFERROR(VLOOKUP($C16,Datensammler!$B:$AA,5,0),)</f>
        <v>202</v>
      </c>
      <c r="G15" s="110">
        <f>IFERROR(VLOOKUP($C16,Datensammler!$B:$AA,6,0),)</f>
        <v>245</v>
      </c>
      <c r="H15" s="110">
        <f>IFERROR(VLOOKUP($C16,Datensammler!$B:$AA,7,0),)</f>
        <v>255</v>
      </c>
      <c r="I15" s="110">
        <f>IFERROR(VLOOKUP($C16,Datensammler!$B:$AA,8,0),)</f>
        <v>178</v>
      </c>
      <c r="J15" s="169">
        <f t="shared" ref="J15:J17" si="3">SUM(D15:I15)</f>
        <v>1276</v>
      </c>
      <c r="K15" s="170">
        <f>IFERROR(VLOOKUP($C16,Datensammler!$B:$AA,23,0),)</f>
        <v>0</v>
      </c>
      <c r="L15" s="161">
        <f>IFERROR(VLOOKUP($C16,Datensammler!$B:$AA,24,0),)</f>
        <v>2346</v>
      </c>
      <c r="M15" s="170">
        <f>IFERROR(VLOOKUP($C16,Datensammler!$B:$AA,25,0),)</f>
        <v>12</v>
      </c>
      <c r="N15" s="171">
        <f>IF(C16=0,"",(VLOOKUP($C16,Datensammler!$B:$AA,26,0)))</f>
        <v>195.5</v>
      </c>
      <c r="T15" s="172"/>
    </row>
    <row r="16" ht="17.25" customHeight="1">
      <c r="A16" s="130"/>
      <c r="B16" s="174"/>
      <c r="C16" s="175">
        <f>VLOOKUP(T16,Spieler!A:E,2,0)</f>
        <v>36696</v>
      </c>
      <c r="D16" s="170">
        <f>IFERROR(VLOOKUP($C16,Datensammler!$B:$AA,9,0),)</f>
        <v>182</v>
      </c>
      <c r="E16" s="170">
        <f>IFERROR(VLOOKUP($C16,Datensammler!$B:$AA,10,0),)</f>
        <v>164</v>
      </c>
      <c r="F16" s="170">
        <f>IFERROR(VLOOKUP($C16,Datensammler!$B:$AA,11,0),)</f>
        <v>191</v>
      </c>
      <c r="G16" s="170">
        <f>IFERROR(VLOOKUP($C16,Datensammler!$B:$AA,12,0),)</f>
        <v>170</v>
      </c>
      <c r="H16" s="170">
        <f>IFERROR(VLOOKUP($C16,Datensammler!$B:$AA,13,0),)</f>
        <v>198</v>
      </c>
      <c r="I16" s="170">
        <f>IFERROR(VLOOKUP($C16,Datensammler!$B:$AA,14,0),)</f>
        <v>165</v>
      </c>
      <c r="J16" s="169">
        <f t="shared" si="3"/>
        <v>1070</v>
      </c>
      <c r="N16" s="176"/>
      <c r="T16" s="177">
        <f t="array" ref="T16">INDIRECT("Spieler!AD"&amp;B14+5)</f>
        <v>14</v>
      </c>
    </row>
    <row r="17" ht="17.25" customHeight="1">
      <c r="A17" s="130"/>
      <c r="B17" s="167"/>
      <c r="C17" s="178" t="str">
        <f>VLOOKUP(C16,'Mitglieder BBU'!A:K,8,0)</f>
        <v>BF Rot-Weiß Lichtenhof 69</v>
      </c>
      <c r="D17" s="179" t="str">
        <f>IFERROR(VLOOKUP($C16,Datensammler!$B:$AA,15,0),)</f>
        <v/>
      </c>
      <c r="E17" s="179" t="str">
        <f>IFERROR(VLOOKUP($C16,Datensammler!$B:$AA,16,0),)</f>
        <v/>
      </c>
      <c r="F17" s="179" t="str">
        <f>IFERROR(VLOOKUP($C16,Datensammler!$B:$AA,17,0),)</f>
        <v/>
      </c>
      <c r="G17" s="179" t="str">
        <f>IFERROR(VLOOKUP($C16,Datensammler!$B:$AA,18,0),)</f>
        <v/>
      </c>
      <c r="H17" s="179" t="str">
        <f>IFERROR(VLOOKUP($C16,Datensammler!$B:$AA,19,0),)</f>
        <v/>
      </c>
      <c r="I17" s="179" t="str">
        <f>IFERROR(VLOOKUP($C16,Datensammler!$B:$AA,20,0),)</f>
        <v/>
      </c>
      <c r="J17" s="180">
        <f t="shared" si="3"/>
        <v>0</v>
      </c>
      <c r="K17" s="181"/>
      <c r="L17" s="181"/>
      <c r="M17" s="181"/>
      <c r="N17" s="182"/>
      <c r="T17" s="172"/>
    </row>
    <row r="18" ht="17.25" customHeight="1">
      <c r="A18" s="130"/>
      <c r="B18" s="183"/>
      <c r="C18" s="184" t="str">
        <f>IF(VLOOKUP(T16,Spieler!A:F,6,0)="Nein","keine Bayerische Meisterschaft gewünscht","")</f>
        <v/>
      </c>
      <c r="D18" s="161"/>
      <c r="E18" s="170"/>
      <c r="F18" s="170"/>
      <c r="G18" s="185" t="s">
        <v>2562</v>
      </c>
      <c r="H18" s="186"/>
      <c r="I18" s="186"/>
      <c r="J18" s="186"/>
      <c r="K18" s="186"/>
      <c r="L18" s="187">
        <f t="shared" ref="L18:M18" si="4">SUM(L15:L17)</f>
        <v>2346</v>
      </c>
      <c r="M18" s="110">
        <f t="shared" si="4"/>
        <v>12</v>
      </c>
      <c r="N18" s="188">
        <f>L18/M18</f>
        <v>195.5</v>
      </c>
      <c r="T18" s="189"/>
    </row>
    <row r="19" ht="17.25" customHeight="1">
      <c r="A19" s="130"/>
      <c r="B19" s="190"/>
      <c r="C19" s="178"/>
      <c r="D19" s="191"/>
      <c r="E19" s="191"/>
      <c r="F19" s="191"/>
      <c r="G19" s="191"/>
      <c r="H19" s="191"/>
      <c r="I19" s="191"/>
      <c r="J19" s="191"/>
      <c r="K19" s="191"/>
      <c r="L19" s="192"/>
      <c r="M19" s="191"/>
      <c r="N19" s="193"/>
      <c r="T19" s="194"/>
    </row>
    <row r="20" ht="17.25" customHeight="1">
      <c r="A20" s="130"/>
      <c r="B20" s="157">
        <f>B14+1</f>
        <v>3</v>
      </c>
      <c r="C20" s="158"/>
      <c r="D20" s="159" t="str">
        <f>VLOOKUP(C22,'Mitglieder BBU'!A:J,6,0)</f>
        <v>Alexandra Mareiser</v>
      </c>
      <c r="E20" s="60"/>
      <c r="F20" s="60"/>
      <c r="G20" s="60"/>
      <c r="H20" s="60"/>
      <c r="I20" s="61"/>
      <c r="J20" s="160"/>
      <c r="K20" s="161"/>
      <c r="L20" s="162"/>
      <c r="M20" s="163"/>
      <c r="N20" s="164"/>
      <c r="T20" s="165"/>
    </row>
    <row r="21" ht="17.25" customHeight="1">
      <c r="A21" s="130"/>
      <c r="B21" s="167"/>
      <c r="C21" s="168" t="str">
        <f>VLOOKUP(C22,'Mitglieder BBU'!A:J,6,0)</f>
        <v>Alexandra Mareiser</v>
      </c>
      <c r="D21" s="110">
        <f>IFERROR(VLOOKUP($C22,Datensammler!$B:$AA,3,0),)</f>
        <v>215</v>
      </c>
      <c r="E21" s="110">
        <f>IFERROR(VLOOKUP($C22,Datensammler!$B:$AA,4,0),)</f>
        <v>134</v>
      </c>
      <c r="F21" s="110">
        <f>IFERROR(VLOOKUP($C22,Datensammler!$B:$AA,5,0),)</f>
        <v>182</v>
      </c>
      <c r="G21" s="110">
        <f>IFERROR(VLOOKUP($C22,Datensammler!$B:$AA,6,0),)</f>
        <v>247</v>
      </c>
      <c r="H21" s="110">
        <f>IFERROR(VLOOKUP($C22,Datensammler!$B:$AA,7,0),)</f>
        <v>149</v>
      </c>
      <c r="I21" s="110">
        <f>IFERROR(VLOOKUP($C22,Datensammler!$B:$AA,8,0),)</f>
        <v>226</v>
      </c>
      <c r="J21" s="169">
        <f t="shared" ref="J21:J23" si="5">SUM(D21:I21)</f>
        <v>1153</v>
      </c>
      <c r="K21" s="170">
        <f>IFERROR(VLOOKUP($C22,Datensammler!$B:$AA,23,0),)</f>
        <v>0</v>
      </c>
      <c r="L21" s="161">
        <f>IFERROR(VLOOKUP($C22,Datensammler!$B:$AA,24,0),)</f>
        <v>2269</v>
      </c>
      <c r="M21" s="170">
        <f>IFERROR(VLOOKUP($C22,Datensammler!$B:$AA,25,0),)</f>
        <v>12</v>
      </c>
      <c r="N21" s="171">
        <f>IF(C22=0,"",(VLOOKUP($C22,Datensammler!$B:$AA,26,0)))</f>
        <v>189.08</v>
      </c>
      <c r="T21" s="172"/>
    </row>
    <row r="22" ht="17.25" customHeight="1">
      <c r="A22" s="130"/>
      <c r="B22" s="174"/>
      <c r="C22" s="175">
        <f>VLOOKUP(T22,Spieler!A:E,2,0)</f>
        <v>7083</v>
      </c>
      <c r="D22" s="170">
        <f>IFERROR(VLOOKUP($C22,Datensammler!$B:$AA,9,0),)</f>
        <v>200</v>
      </c>
      <c r="E22" s="170">
        <f>IFERROR(VLOOKUP($C22,Datensammler!$B:$AA,10,0),)</f>
        <v>200</v>
      </c>
      <c r="F22" s="170">
        <f>IFERROR(VLOOKUP($C22,Datensammler!$B:$AA,11,0),)</f>
        <v>203</v>
      </c>
      <c r="G22" s="170">
        <f>IFERROR(VLOOKUP($C22,Datensammler!$B:$AA,12,0),)</f>
        <v>166</v>
      </c>
      <c r="H22" s="170">
        <f>IFERROR(VLOOKUP($C22,Datensammler!$B:$AA,13,0),)</f>
        <v>197</v>
      </c>
      <c r="I22" s="170">
        <f>IFERROR(VLOOKUP($C22,Datensammler!$B:$AA,14,0),)</f>
        <v>150</v>
      </c>
      <c r="J22" s="169">
        <f t="shared" si="5"/>
        <v>1116</v>
      </c>
      <c r="N22" s="176"/>
      <c r="T22" s="177">
        <f t="array" ref="T22">INDIRECT("Spieler!AD"&amp;B20+5)</f>
        <v>15</v>
      </c>
    </row>
    <row r="23" ht="18.0" customHeight="1">
      <c r="A23" s="130"/>
      <c r="B23" s="167"/>
      <c r="C23" s="178" t="str">
        <f>VLOOKUP(C22,'Mitglieder BBU'!A:K,8,0)</f>
        <v>BF Rot-Weiß Lichtenhof 69</v>
      </c>
      <c r="D23" s="179" t="str">
        <f>IFERROR(VLOOKUP($C22,Datensammler!$B:$AA,15,0),)</f>
        <v/>
      </c>
      <c r="E23" s="179" t="str">
        <f>IFERROR(VLOOKUP($C22,Datensammler!$B:$AA,16,0),)</f>
        <v/>
      </c>
      <c r="F23" s="179" t="str">
        <f>IFERROR(VLOOKUP($C22,Datensammler!$B:$AA,17,0),)</f>
        <v/>
      </c>
      <c r="G23" s="179" t="str">
        <f>IFERROR(VLOOKUP($C22,Datensammler!$B:$AA,18,0),)</f>
        <v/>
      </c>
      <c r="H23" s="179" t="str">
        <f>IFERROR(VLOOKUP($C22,Datensammler!$B:$AA,19,0),)</f>
        <v/>
      </c>
      <c r="I23" s="179" t="str">
        <f>IFERROR(VLOOKUP($C22,Datensammler!$B:$AA,20,0),)</f>
        <v/>
      </c>
      <c r="J23" s="180">
        <f t="shared" si="5"/>
        <v>0</v>
      </c>
      <c r="K23" s="181"/>
      <c r="L23" s="181"/>
      <c r="M23" s="181"/>
      <c r="N23" s="182"/>
      <c r="T23" s="172"/>
    </row>
    <row r="24" ht="17.25" customHeight="1">
      <c r="A24" s="130"/>
      <c r="B24" s="183"/>
      <c r="C24" s="184" t="str">
        <f>IF(VLOOKUP(T22,Spieler!A:F,6,0)="Nein","keine Bayerische Meisterschaft gewünscht","")</f>
        <v/>
      </c>
      <c r="D24" s="161"/>
      <c r="E24" s="170"/>
      <c r="F24" s="170"/>
      <c r="G24" s="185" t="s">
        <v>2562</v>
      </c>
      <c r="H24" s="186"/>
      <c r="I24" s="186"/>
      <c r="J24" s="186"/>
      <c r="K24" s="186"/>
      <c r="L24" s="187">
        <f t="shared" ref="L24:M24" si="6">SUM(L21:L23)</f>
        <v>2269</v>
      </c>
      <c r="M24" s="110">
        <f t="shared" si="6"/>
        <v>12</v>
      </c>
      <c r="N24" s="188">
        <f>L24/M24</f>
        <v>189.0833333</v>
      </c>
      <c r="T24" s="189"/>
    </row>
    <row r="25" ht="17.25" customHeight="1">
      <c r="A25" s="130"/>
      <c r="B25" s="190"/>
      <c r="C25" s="178"/>
      <c r="D25" s="191"/>
      <c r="E25" s="191"/>
      <c r="F25" s="191"/>
      <c r="G25" s="191"/>
      <c r="H25" s="191"/>
      <c r="I25" s="191"/>
      <c r="J25" s="191"/>
      <c r="K25" s="191"/>
      <c r="L25" s="192"/>
      <c r="M25" s="191"/>
      <c r="N25" s="193"/>
      <c r="T25" s="194"/>
    </row>
    <row r="26" ht="17.25" customHeight="1">
      <c r="A26" s="130"/>
      <c r="B26" s="157">
        <f>B20+1</f>
        <v>4</v>
      </c>
      <c r="C26" s="158"/>
      <c r="D26" s="159" t="str">
        <f>VLOOKUP(C28,'Mitglieder BBU'!A:J,6,0)</f>
        <v>Natalie Groll</v>
      </c>
      <c r="E26" s="60"/>
      <c r="F26" s="60"/>
      <c r="G26" s="60"/>
      <c r="H26" s="60"/>
      <c r="I26" s="61"/>
      <c r="J26" s="160"/>
      <c r="K26" s="161"/>
      <c r="L26" s="162"/>
      <c r="M26" s="163"/>
      <c r="N26" s="164"/>
      <c r="T26" s="165"/>
    </row>
    <row r="27" ht="17.25" customHeight="1">
      <c r="A27" s="130"/>
      <c r="B27" s="167"/>
      <c r="C27" s="168" t="str">
        <f>VLOOKUP(C28,'Mitglieder BBU'!A:J,6,0)</f>
        <v>Natalie Groll</v>
      </c>
      <c r="D27" s="110">
        <f>IFERROR(VLOOKUP($C28,Datensammler!$B:$AA,3,0),)</f>
        <v>196</v>
      </c>
      <c r="E27" s="110">
        <f>IFERROR(VLOOKUP($C28,Datensammler!$B:$AA,4,0),)</f>
        <v>138</v>
      </c>
      <c r="F27" s="110">
        <f>IFERROR(VLOOKUP($C28,Datensammler!$B:$AA,5,0),)</f>
        <v>194</v>
      </c>
      <c r="G27" s="110">
        <f>IFERROR(VLOOKUP($C28,Datensammler!$B:$AA,6,0),)</f>
        <v>190</v>
      </c>
      <c r="H27" s="110">
        <f>IFERROR(VLOOKUP($C28,Datensammler!$B:$AA,7,0),)</f>
        <v>225</v>
      </c>
      <c r="I27" s="110">
        <f>IFERROR(VLOOKUP($C28,Datensammler!$B:$AA,8,0),)</f>
        <v>161</v>
      </c>
      <c r="J27" s="169">
        <f t="shared" ref="J27:J29" si="7">SUM(D27:I27)</f>
        <v>1104</v>
      </c>
      <c r="K27" s="170">
        <f>IFERROR(VLOOKUP($C28,Datensammler!$B:$AA,23,0),)</f>
        <v>0</v>
      </c>
      <c r="L27" s="161">
        <f>IFERROR(VLOOKUP($C28,Datensammler!$B:$AA,24,0),)</f>
        <v>2200</v>
      </c>
      <c r="M27" s="170">
        <f>IFERROR(VLOOKUP($C28,Datensammler!$B:$AA,25,0),)</f>
        <v>12</v>
      </c>
      <c r="N27" s="171">
        <f>IF(C28=0,"",(VLOOKUP($C28,Datensammler!$B:$AA,26,0)))</f>
        <v>183.33</v>
      </c>
      <c r="T27" s="172"/>
    </row>
    <row r="28" ht="17.25" customHeight="1">
      <c r="A28" s="130"/>
      <c r="B28" s="174"/>
      <c r="C28" s="175">
        <f>VLOOKUP(T28,Spieler!A:E,2,0)</f>
        <v>25857</v>
      </c>
      <c r="D28" s="170">
        <f>IFERROR(VLOOKUP($C28,Datensammler!$B:$AA,9,0),)</f>
        <v>180</v>
      </c>
      <c r="E28" s="170">
        <f>IFERROR(VLOOKUP($C28,Datensammler!$B:$AA,10,0),)</f>
        <v>174</v>
      </c>
      <c r="F28" s="170">
        <f>IFERROR(VLOOKUP($C28,Datensammler!$B:$AA,11,0),)</f>
        <v>200</v>
      </c>
      <c r="G28" s="170">
        <f>IFERROR(VLOOKUP($C28,Datensammler!$B:$AA,12,0),)</f>
        <v>156</v>
      </c>
      <c r="H28" s="170">
        <f>IFERROR(VLOOKUP($C28,Datensammler!$B:$AA,13,0),)</f>
        <v>151</v>
      </c>
      <c r="I28" s="170">
        <f>IFERROR(VLOOKUP($C28,Datensammler!$B:$AA,14,0),)</f>
        <v>235</v>
      </c>
      <c r="J28" s="169">
        <f t="shared" si="7"/>
        <v>1096</v>
      </c>
      <c r="N28" s="176"/>
      <c r="T28" s="177">
        <f t="array" ref="T28">INDIRECT("Spieler!AD"&amp;B26+5)</f>
        <v>18</v>
      </c>
    </row>
    <row r="29" ht="17.25" customHeight="1">
      <c r="A29" s="130"/>
      <c r="B29" s="167"/>
      <c r="C29" s="178" t="str">
        <f>VLOOKUP(C28,'Mitglieder BBU'!A:K,8,0)</f>
        <v>BSC HighRoller Rosenheim</v>
      </c>
      <c r="D29" s="179" t="str">
        <f>IFERROR(VLOOKUP($C28,Datensammler!$B:$AA,15,0),)</f>
        <v/>
      </c>
      <c r="E29" s="179" t="str">
        <f>IFERROR(VLOOKUP($C28,Datensammler!$B:$AA,16,0),)</f>
        <v/>
      </c>
      <c r="F29" s="179" t="str">
        <f>IFERROR(VLOOKUP($C28,Datensammler!$B:$AA,17,0),)</f>
        <v/>
      </c>
      <c r="G29" s="179" t="str">
        <f>IFERROR(VLOOKUP($C28,Datensammler!$B:$AA,18,0),)</f>
        <v/>
      </c>
      <c r="H29" s="179" t="str">
        <f>IFERROR(VLOOKUP($C28,Datensammler!$B:$AA,19,0),)</f>
        <v/>
      </c>
      <c r="I29" s="179" t="str">
        <f>IFERROR(VLOOKUP($C28,Datensammler!$B:$AA,20,0),)</f>
        <v/>
      </c>
      <c r="J29" s="180">
        <f t="shared" si="7"/>
        <v>0</v>
      </c>
      <c r="K29" s="181"/>
      <c r="L29" s="181"/>
      <c r="M29" s="181"/>
      <c r="N29" s="182"/>
      <c r="T29" s="172"/>
    </row>
    <row r="30" ht="17.25" customHeight="1">
      <c r="A30" s="130"/>
      <c r="B30" s="183"/>
      <c r="C30" s="184" t="str">
        <f>IF(VLOOKUP(T28,Spieler!A:F,6,0)="Nein","keine Bayerische Meisterschaft gewünscht","")</f>
        <v/>
      </c>
      <c r="D30" s="161"/>
      <c r="E30" s="170"/>
      <c r="F30" s="170"/>
      <c r="G30" s="185" t="s">
        <v>2562</v>
      </c>
      <c r="H30" s="186"/>
      <c r="I30" s="186"/>
      <c r="J30" s="186"/>
      <c r="K30" s="186"/>
      <c r="L30" s="187">
        <f t="shared" ref="L30:M30" si="8">SUM(L27:L29)</f>
        <v>2200</v>
      </c>
      <c r="M30" s="110">
        <f t="shared" si="8"/>
        <v>12</v>
      </c>
      <c r="N30" s="188">
        <f>L30/M30</f>
        <v>183.3333333</v>
      </c>
      <c r="T30" s="189"/>
    </row>
    <row r="31" ht="17.25" customHeight="1">
      <c r="A31" s="130"/>
      <c r="B31" s="190"/>
      <c r="C31" s="178"/>
      <c r="D31" s="191"/>
      <c r="E31" s="191"/>
      <c r="F31" s="191"/>
      <c r="G31" s="191"/>
      <c r="H31" s="191"/>
      <c r="I31" s="191"/>
      <c r="J31" s="191"/>
      <c r="K31" s="191"/>
      <c r="L31" s="192"/>
      <c r="M31" s="191"/>
      <c r="N31" s="193"/>
      <c r="T31" s="194"/>
    </row>
    <row r="32" ht="17.25" customHeight="1">
      <c r="A32" s="130"/>
      <c r="B32" s="157">
        <f>B26+1</f>
        <v>5</v>
      </c>
      <c r="C32" s="158"/>
      <c r="D32" s="159" t="str">
        <f>VLOOKUP(C34,'Mitglieder BBU'!A:J,6,0)</f>
        <v>Julia Völlmerk</v>
      </c>
      <c r="E32" s="60"/>
      <c r="F32" s="60"/>
      <c r="G32" s="60"/>
      <c r="H32" s="60"/>
      <c r="I32" s="61"/>
      <c r="J32" s="160"/>
      <c r="K32" s="161"/>
      <c r="L32" s="162"/>
      <c r="M32" s="163"/>
      <c r="N32" s="164"/>
      <c r="T32" s="165"/>
    </row>
    <row r="33" ht="17.25" customHeight="1">
      <c r="A33" s="130"/>
      <c r="B33" s="167"/>
      <c r="C33" s="168" t="str">
        <f>VLOOKUP(C34,'Mitglieder BBU'!A:J,6,0)</f>
        <v>Julia Völlmerk</v>
      </c>
      <c r="D33" s="110">
        <f>IFERROR(VLOOKUP($C34,Datensammler!$B:$AA,3,0),)</f>
        <v>199</v>
      </c>
      <c r="E33" s="110">
        <f>IFERROR(VLOOKUP($C34,Datensammler!$B:$AA,4,0),)</f>
        <v>186</v>
      </c>
      <c r="F33" s="110">
        <f>IFERROR(VLOOKUP($C34,Datensammler!$B:$AA,5,0),)</f>
        <v>207</v>
      </c>
      <c r="G33" s="110">
        <f>IFERROR(VLOOKUP($C34,Datensammler!$B:$AA,6,0),)</f>
        <v>187</v>
      </c>
      <c r="H33" s="110">
        <f>IFERROR(VLOOKUP($C34,Datensammler!$B:$AA,7,0),)</f>
        <v>170</v>
      </c>
      <c r="I33" s="110">
        <f>IFERROR(VLOOKUP($C34,Datensammler!$B:$AA,8,0),)</f>
        <v>171</v>
      </c>
      <c r="J33" s="169">
        <f t="shared" ref="J33:J35" si="9">SUM(D33:I33)</f>
        <v>1120</v>
      </c>
      <c r="K33" s="170">
        <f>IFERROR(VLOOKUP($C34,Datensammler!$B:$AA,23,0),)</f>
        <v>0</v>
      </c>
      <c r="L33" s="161">
        <f>IFERROR(VLOOKUP($C34,Datensammler!$B:$AA,24,0),)</f>
        <v>2157</v>
      </c>
      <c r="M33" s="170">
        <f>IFERROR(VLOOKUP($C34,Datensammler!$B:$AA,25,0),)</f>
        <v>12</v>
      </c>
      <c r="N33" s="171">
        <f>IF(C34=0,"",(VLOOKUP($C34,Datensammler!$B:$AA,26,0)))</f>
        <v>179.75</v>
      </c>
      <c r="T33" s="172"/>
    </row>
    <row r="34" ht="17.25" customHeight="1">
      <c r="A34" s="130"/>
      <c r="B34" s="174"/>
      <c r="C34" s="175">
        <f>VLOOKUP(T34,Spieler!A:E,2,0)</f>
        <v>16093</v>
      </c>
      <c r="D34" s="170">
        <f>IFERROR(VLOOKUP($C34,Datensammler!$B:$AA,9,0),)</f>
        <v>178</v>
      </c>
      <c r="E34" s="170">
        <f>IFERROR(VLOOKUP($C34,Datensammler!$B:$AA,10,0),)</f>
        <v>185</v>
      </c>
      <c r="F34" s="170">
        <f>IFERROR(VLOOKUP($C34,Datensammler!$B:$AA,11,0),)</f>
        <v>165</v>
      </c>
      <c r="G34" s="170">
        <f>IFERROR(VLOOKUP($C34,Datensammler!$B:$AA,12,0),)</f>
        <v>188</v>
      </c>
      <c r="H34" s="170">
        <f>IFERROR(VLOOKUP($C34,Datensammler!$B:$AA,13,0),)</f>
        <v>153</v>
      </c>
      <c r="I34" s="170">
        <f>IFERROR(VLOOKUP($C34,Datensammler!$B:$AA,14,0),)</f>
        <v>168</v>
      </c>
      <c r="J34" s="169">
        <f t="shared" si="9"/>
        <v>1037</v>
      </c>
      <c r="N34" s="176"/>
      <c r="T34" s="177">
        <f t="array" ref="T34">INDIRECT("Spieler!AD"&amp;B32+5)</f>
        <v>20</v>
      </c>
    </row>
    <row r="35" ht="17.25" customHeight="1">
      <c r="A35" s="130"/>
      <c r="B35" s="167"/>
      <c r="C35" s="178" t="str">
        <f>VLOOKUP(C34,'Mitglieder BBU'!A:K,8,0)</f>
        <v>BK München</v>
      </c>
      <c r="D35" s="179" t="str">
        <f>IFERROR(VLOOKUP($C34,Datensammler!$B:$AA,15,0),)</f>
        <v/>
      </c>
      <c r="E35" s="179" t="str">
        <f>IFERROR(VLOOKUP($C34,Datensammler!$B:$AA,16,0),)</f>
        <v/>
      </c>
      <c r="F35" s="179" t="str">
        <f>IFERROR(VLOOKUP($C34,Datensammler!$B:$AA,17,0),)</f>
        <v/>
      </c>
      <c r="G35" s="179" t="str">
        <f>IFERROR(VLOOKUP($C34,Datensammler!$B:$AA,18,0),)</f>
        <v/>
      </c>
      <c r="H35" s="179" t="str">
        <f>IFERROR(VLOOKUP($C34,Datensammler!$B:$AA,19,0),)</f>
        <v/>
      </c>
      <c r="I35" s="179" t="str">
        <f>IFERROR(VLOOKUP($C34,Datensammler!$B:$AA,20,0),)</f>
        <v/>
      </c>
      <c r="J35" s="180">
        <f t="shared" si="9"/>
        <v>0</v>
      </c>
      <c r="K35" s="181"/>
      <c r="L35" s="181"/>
      <c r="M35" s="181"/>
      <c r="N35" s="182"/>
      <c r="T35" s="172"/>
    </row>
    <row r="36" ht="17.25" customHeight="1">
      <c r="A36" s="130"/>
      <c r="B36" s="183"/>
      <c r="C36" s="184" t="str">
        <f>IF(VLOOKUP(T34,Spieler!A:F,6,0)="Nein","keine Bayerische Meisterschaft gewünscht","")</f>
        <v/>
      </c>
      <c r="D36" s="161"/>
      <c r="E36" s="170"/>
      <c r="F36" s="170"/>
      <c r="G36" s="185" t="s">
        <v>2562</v>
      </c>
      <c r="H36" s="186"/>
      <c r="I36" s="186"/>
      <c r="J36" s="186"/>
      <c r="K36" s="186"/>
      <c r="L36" s="187">
        <f t="shared" ref="L36:M36" si="10">SUM(L33:L35)</f>
        <v>2157</v>
      </c>
      <c r="M36" s="110">
        <f t="shared" si="10"/>
        <v>12</v>
      </c>
      <c r="N36" s="188">
        <f>L36/M36</f>
        <v>179.75</v>
      </c>
      <c r="T36" s="189"/>
    </row>
    <row r="37" ht="17.25" customHeight="1">
      <c r="A37" s="130"/>
      <c r="B37" s="190"/>
      <c r="C37" s="178"/>
      <c r="D37" s="191"/>
      <c r="E37" s="191"/>
      <c r="F37" s="191"/>
      <c r="G37" s="191"/>
      <c r="H37" s="191"/>
      <c r="I37" s="191"/>
      <c r="J37" s="191"/>
      <c r="K37" s="191"/>
      <c r="L37" s="192"/>
      <c r="M37" s="191"/>
      <c r="N37" s="193"/>
      <c r="T37" s="194"/>
    </row>
    <row r="38" ht="17.25" customHeight="1">
      <c r="A38" s="130"/>
      <c r="B38" s="157">
        <f>B32+1</f>
        <v>6</v>
      </c>
      <c r="C38" s="158"/>
      <c r="D38" s="159" t="str">
        <f>VLOOKUP(C40,'Mitglieder BBU'!A:J,6,0)</f>
        <v>Johanna Groll</v>
      </c>
      <c r="E38" s="60"/>
      <c r="F38" s="60"/>
      <c r="G38" s="60"/>
      <c r="H38" s="60"/>
      <c r="I38" s="61"/>
      <c r="J38" s="160"/>
      <c r="K38" s="161"/>
      <c r="L38" s="162"/>
      <c r="M38" s="163"/>
      <c r="N38" s="164"/>
      <c r="T38" s="165"/>
    </row>
    <row r="39" ht="17.25" customHeight="1">
      <c r="A39" s="130"/>
      <c r="B39" s="167"/>
      <c r="C39" s="168" t="str">
        <f>VLOOKUP(C40,'Mitglieder BBU'!A:J,6,0)</f>
        <v>Johanna Groll</v>
      </c>
      <c r="D39" s="110">
        <f>IFERROR(VLOOKUP($C40,Datensammler!$B:$AA,3,0),)</f>
        <v>155</v>
      </c>
      <c r="E39" s="110">
        <f>IFERROR(VLOOKUP($C40,Datensammler!$B:$AA,4,0),)</f>
        <v>202</v>
      </c>
      <c r="F39" s="110">
        <f>IFERROR(VLOOKUP($C40,Datensammler!$B:$AA,5,0),)</f>
        <v>168</v>
      </c>
      <c r="G39" s="110">
        <f>IFERROR(VLOOKUP($C40,Datensammler!$B:$AA,6,0),)</f>
        <v>171</v>
      </c>
      <c r="H39" s="110">
        <f>IFERROR(VLOOKUP($C40,Datensammler!$B:$AA,7,0),)</f>
        <v>159</v>
      </c>
      <c r="I39" s="110">
        <f>IFERROR(VLOOKUP($C40,Datensammler!$B:$AA,8,0),)</f>
        <v>167</v>
      </c>
      <c r="J39" s="169">
        <f t="shared" ref="J39:J41" si="11">SUM(D39:I39)</f>
        <v>1022</v>
      </c>
      <c r="K39" s="170">
        <f>IFERROR(VLOOKUP($C40,Datensammler!$B:$AA,23,0),)</f>
        <v>0</v>
      </c>
      <c r="L39" s="161">
        <f>IFERROR(VLOOKUP($C40,Datensammler!$B:$AA,24,0),)</f>
        <v>2081</v>
      </c>
      <c r="M39" s="170">
        <f>IFERROR(VLOOKUP($C40,Datensammler!$B:$AA,25,0),)</f>
        <v>12</v>
      </c>
      <c r="N39" s="171">
        <f>IF(C40=0,"",(VLOOKUP($C40,Datensammler!$B:$AA,26,0)))</f>
        <v>173.42</v>
      </c>
      <c r="T39" s="172"/>
    </row>
    <row r="40" ht="17.25" customHeight="1">
      <c r="A40" s="130"/>
      <c r="B40" s="174"/>
      <c r="C40" s="175">
        <f>VLOOKUP(T40,Spieler!A:E,2,0)</f>
        <v>25630</v>
      </c>
      <c r="D40" s="170">
        <f>IFERROR(VLOOKUP($C40,Datensammler!$B:$AA,9,0),)</f>
        <v>210</v>
      </c>
      <c r="E40" s="170">
        <f>IFERROR(VLOOKUP($C40,Datensammler!$B:$AA,10,0),)</f>
        <v>171</v>
      </c>
      <c r="F40" s="170">
        <f>IFERROR(VLOOKUP($C40,Datensammler!$B:$AA,11,0),)</f>
        <v>184</v>
      </c>
      <c r="G40" s="170">
        <f>IFERROR(VLOOKUP($C40,Datensammler!$B:$AA,12,0),)</f>
        <v>181</v>
      </c>
      <c r="H40" s="170">
        <f>IFERROR(VLOOKUP($C40,Datensammler!$B:$AA,13,0),)</f>
        <v>155</v>
      </c>
      <c r="I40" s="170">
        <f>IFERROR(VLOOKUP($C40,Datensammler!$B:$AA,14,0),)</f>
        <v>158</v>
      </c>
      <c r="J40" s="169">
        <f t="shared" si="11"/>
        <v>1059</v>
      </c>
      <c r="N40" s="176"/>
      <c r="T40" s="177">
        <f t="array" ref="T40">INDIRECT("Spieler!AD"&amp;B38+5)</f>
        <v>19</v>
      </c>
    </row>
    <row r="41" ht="17.25" customHeight="1">
      <c r="A41" s="130"/>
      <c r="B41" s="167"/>
      <c r="C41" s="178" t="str">
        <f>VLOOKUP(C40,'Mitglieder BBU'!A:K,8,0)</f>
        <v>BSC HighRoller Rosenheim</v>
      </c>
      <c r="D41" s="179" t="str">
        <f>IFERROR(VLOOKUP($C40,Datensammler!$B:$AA,15,0),)</f>
        <v/>
      </c>
      <c r="E41" s="179" t="str">
        <f>IFERROR(VLOOKUP($C40,Datensammler!$B:$AA,16,0),)</f>
        <v/>
      </c>
      <c r="F41" s="179" t="str">
        <f>IFERROR(VLOOKUP($C40,Datensammler!$B:$AA,17,0),)</f>
        <v/>
      </c>
      <c r="G41" s="179" t="str">
        <f>IFERROR(VLOOKUP($C40,Datensammler!$B:$AA,18,0),)</f>
        <v/>
      </c>
      <c r="H41" s="179" t="str">
        <f>IFERROR(VLOOKUP($C40,Datensammler!$B:$AA,19,0),)</f>
        <v/>
      </c>
      <c r="I41" s="179" t="str">
        <f>IFERROR(VLOOKUP($C40,Datensammler!$B:$AA,20,0),)</f>
        <v/>
      </c>
      <c r="J41" s="180">
        <f t="shared" si="11"/>
        <v>0</v>
      </c>
      <c r="K41" s="181"/>
      <c r="L41" s="181"/>
      <c r="M41" s="181"/>
      <c r="N41" s="182"/>
      <c r="T41" s="172"/>
    </row>
    <row r="42" ht="17.25" customHeight="1">
      <c r="A42" s="130"/>
      <c r="B42" s="183"/>
      <c r="C42" s="184" t="str">
        <f>IF(VLOOKUP(T40,Spieler!A:F,6,0)="Nein","keine Bayerische Meisterschaft gewünscht","")</f>
        <v/>
      </c>
      <c r="D42" s="161"/>
      <c r="E42" s="170"/>
      <c r="F42" s="170"/>
      <c r="G42" s="185" t="s">
        <v>2562</v>
      </c>
      <c r="H42" s="186"/>
      <c r="I42" s="186"/>
      <c r="J42" s="186"/>
      <c r="K42" s="186"/>
      <c r="L42" s="187">
        <f t="shared" ref="L42:M42" si="12">SUM(L39:L41)</f>
        <v>2081</v>
      </c>
      <c r="M42" s="110">
        <f t="shared" si="12"/>
        <v>12</v>
      </c>
      <c r="N42" s="188">
        <f>L42/M42</f>
        <v>173.4166667</v>
      </c>
      <c r="T42" s="189"/>
    </row>
    <row r="43" ht="17.25" customHeight="1">
      <c r="A43" s="130"/>
      <c r="B43" s="195"/>
      <c r="C43" s="196"/>
      <c r="D43" s="197" t="s">
        <v>2563</v>
      </c>
      <c r="E43" s="198"/>
      <c r="F43" s="198"/>
      <c r="G43" s="198"/>
      <c r="H43" s="198"/>
      <c r="I43" s="198"/>
      <c r="J43" s="198"/>
      <c r="K43" s="198"/>
      <c r="L43" s="199"/>
      <c r="M43" s="198"/>
      <c r="N43" s="200"/>
      <c r="T43" s="194"/>
    </row>
    <row r="44" ht="17.25" customHeight="1">
      <c r="A44" s="130"/>
      <c r="B44" s="157">
        <f>B38+1</f>
        <v>7</v>
      </c>
      <c r="C44" s="158"/>
      <c r="D44" s="159" t="str">
        <f>VLOOKUP(C46,'Mitglieder BBU'!A:J,6,0)</f>
        <v>Marina Weiske</v>
      </c>
      <c r="E44" s="60"/>
      <c r="F44" s="60"/>
      <c r="G44" s="60"/>
      <c r="H44" s="60"/>
      <c r="I44" s="61"/>
      <c r="J44" s="160"/>
      <c r="K44" s="161"/>
      <c r="L44" s="162"/>
      <c r="M44" s="163"/>
      <c r="N44" s="164"/>
      <c r="T44" s="165"/>
    </row>
    <row r="45" ht="17.25" customHeight="1">
      <c r="A45" s="130"/>
      <c r="B45" s="167"/>
      <c r="C45" s="168" t="str">
        <f>VLOOKUP(C46,'Mitglieder BBU'!A:J,6,0)</f>
        <v>Marina Weiske</v>
      </c>
      <c r="D45" s="110">
        <f>IFERROR(VLOOKUP($C46,Datensammler!$B:$AA,3,0),)</f>
        <v>162</v>
      </c>
      <c r="E45" s="110">
        <f>IFERROR(VLOOKUP($C46,Datensammler!$B:$AA,4,0),)</f>
        <v>194</v>
      </c>
      <c r="F45" s="110">
        <f>IFERROR(VLOOKUP($C46,Datensammler!$B:$AA,5,0),)</f>
        <v>187</v>
      </c>
      <c r="G45" s="110">
        <f>IFERROR(VLOOKUP($C46,Datensammler!$B:$AA,6,0),)</f>
        <v>146</v>
      </c>
      <c r="H45" s="110">
        <f>IFERROR(VLOOKUP($C46,Datensammler!$B:$AA,7,0),)</f>
        <v>188</v>
      </c>
      <c r="I45" s="110">
        <f>IFERROR(VLOOKUP($C46,Datensammler!$B:$AA,8,0),)</f>
        <v>170</v>
      </c>
      <c r="J45" s="169">
        <f t="shared" ref="J45:J47" si="13">SUM(D45:I45)</f>
        <v>1047</v>
      </c>
      <c r="K45" s="170">
        <f>IFERROR(VLOOKUP($C46,Datensammler!$B:$AA,23,0),)</f>
        <v>0</v>
      </c>
      <c r="L45" s="161">
        <f>IFERROR(VLOOKUP($C46,Datensammler!$B:$AA,24,0),)</f>
        <v>2079</v>
      </c>
      <c r="M45" s="170">
        <f>IFERROR(VLOOKUP($C46,Datensammler!$B:$AA,25,0),)</f>
        <v>12</v>
      </c>
      <c r="N45" s="171">
        <f>IF(C46=0,"",(VLOOKUP($C46,Datensammler!$B:$AA,26,0)))</f>
        <v>173.25</v>
      </c>
      <c r="T45" s="172"/>
    </row>
    <row r="46" ht="17.25" customHeight="1">
      <c r="A46" s="130"/>
      <c r="B46" s="174"/>
      <c r="C46" s="175">
        <f>VLOOKUP(T46,Spieler!A:E,2,0)</f>
        <v>7154</v>
      </c>
      <c r="D46" s="170">
        <f>IFERROR(VLOOKUP($C46,Datensammler!$B:$AA,9,0),)</f>
        <v>151</v>
      </c>
      <c r="E46" s="170">
        <f>IFERROR(VLOOKUP($C46,Datensammler!$B:$AA,10,0),)</f>
        <v>171</v>
      </c>
      <c r="F46" s="170">
        <f>IFERROR(VLOOKUP($C46,Datensammler!$B:$AA,11,0),)</f>
        <v>173</v>
      </c>
      <c r="G46" s="170">
        <f>IFERROR(VLOOKUP($C46,Datensammler!$B:$AA,12,0),)</f>
        <v>166</v>
      </c>
      <c r="H46" s="170">
        <f>IFERROR(VLOOKUP($C46,Datensammler!$B:$AA,13,0),)</f>
        <v>157</v>
      </c>
      <c r="I46" s="170">
        <f>IFERROR(VLOOKUP($C46,Datensammler!$B:$AA,14,0),)</f>
        <v>214</v>
      </c>
      <c r="J46" s="169">
        <f t="shared" si="13"/>
        <v>1032</v>
      </c>
      <c r="N46" s="176"/>
      <c r="T46" s="177">
        <f t="array" ref="T46">INDIRECT("Spieler!AD"&amp;B44+5)</f>
        <v>22</v>
      </c>
    </row>
    <row r="47" ht="17.25" customHeight="1">
      <c r="A47" s="130"/>
      <c r="B47" s="167"/>
      <c r="C47" s="178" t="str">
        <f>VLOOKUP(C46,'Mitglieder BBU'!A:K,8,0)</f>
        <v>BC Mainauen-Bowler Bayreuth</v>
      </c>
      <c r="D47" s="179" t="str">
        <f>IFERROR(VLOOKUP($C46,Datensammler!$B:$AA,15,0),)</f>
        <v/>
      </c>
      <c r="E47" s="179" t="str">
        <f>IFERROR(VLOOKUP($C46,Datensammler!$B:$AA,16,0),)</f>
        <v/>
      </c>
      <c r="F47" s="179" t="str">
        <f>IFERROR(VLOOKUP($C46,Datensammler!$B:$AA,17,0),)</f>
        <v/>
      </c>
      <c r="G47" s="179" t="str">
        <f>IFERROR(VLOOKUP($C46,Datensammler!$B:$AA,18,0),)</f>
        <v/>
      </c>
      <c r="H47" s="179" t="str">
        <f>IFERROR(VLOOKUP($C46,Datensammler!$B:$AA,19,0),)</f>
        <v/>
      </c>
      <c r="I47" s="179" t="str">
        <f>IFERROR(VLOOKUP($C46,Datensammler!$B:$AA,20,0),)</f>
        <v/>
      </c>
      <c r="J47" s="180">
        <f t="shared" si="13"/>
        <v>0</v>
      </c>
      <c r="K47" s="181"/>
      <c r="L47" s="181"/>
      <c r="M47" s="181"/>
      <c r="N47" s="182"/>
      <c r="T47" s="172"/>
    </row>
    <row r="48" ht="17.25" customHeight="1">
      <c r="A48" s="130"/>
      <c r="B48" s="183"/>
      <c r="C48" s="184" t="str">
        <f>IF(VLOOKUP(T46,Spieler!A:F,6,0)="Nein","keine Bayerische Meisterschaft gewünscht","")</f>
        <v/>
      </c>
      <c r="D48" s="161"/>
      <c r="E48" s="170"/>
      <c r="F48" s="170"/>
      <c r="G48" s="185" t="s">
        <v>2562</v>
      </c>
      <c r="H48" s="186"/>
      <c r="I48" s="186"/>
      <c r="J48" s="186"/>
      <c r="K48" s="186"/>
      <c r="L48" s="187">
        <f t="shared" ref="L48:M48" si="14">SUM(L45:L47)</f>
        <v>2079</v>
      </c>
      <c r="M48" s="110">
        <f t="shared" si="14"/>
        <v>12</v>
      </c>
      <c r="N48" s="188">
        <f>L48/M48</f>
        <v>173.25</v>
      </c>
      <c r="T48" s="189"/>
    </row>
    <row r="49" ht="17.25" customHeight="1">
      <c r="A49" s="130"/>
      <c r="B49" s="190"/>
      <c r="C49" s="178"/>
      <c r="D49" s="191"/>
      <c r="E49" s="191"/>
      <c r="F49" s="191"/>
      <c r="G49" s="191"/>
      <c r="H49" s="191"/>
      <c r="I49" s="191"/>
      <c r="J49" s="191"/>
      <c r="K49" s="191"/>
      <c r="L49" s="192"/>
      <c r="M49" s="191"/>
      <c r="N49" s="193"/>
      <c r="T49" s="194"/>
    </row>
    <row r="50" ht="17.25" customHeight="1">
      <c r="A50" s="130"/>
      <c r="B50" s="157">
        <f>B44+1</f>
        <v>8</v>
      </c>
      <c r="C50" s="158"/>
      <c r="D50" s="159" t="str">
        <f>VLOOKUP(C52,'Mitglieder BBU'!A:J,6,0)</f>
        <v>Jana Witthinrich</v>
      </c>
      <c r="E50" s="60"/>
      <c r="F50" s="60"/>
      <c r="G50" s="60"/>
      <c r="H50" s="60"/>
      <c r="I50" s="61"/>
      <c r="J50" s="160"/>
      <c r="K50" s="161"/>
      <c r="L50" s="162"/>
      <c r="M50" s="163"/>
      <c r="N50" s="164"/>
      <c r="T50" s="165"/>
    </row>
    <row r="51" ht="17.25" customHeight="1">
      <c r="A51" s="130"/>
      <c r="B51" s="167"/>
      <c r="C51" s="168" t="str">
        <f>VLOOKUP(C52,'Mitglieder BBU'!A:J,6,0)</f>
        <v>Jana Witthinrich</v>
      </c>
      <c r="D51" s="110">
        <f>IFERROR(VLOOKUP($C52,Datensammler!$B:$AA,3,0),)</f>
        <v>151</v>
      </c>
      <c r="E51" s="110">
        <f>IFERROR(VLOOKUP($C52,Datensammler!$B:$AA,4,0),)</f>
        <v>135</v>
      </c>
      <c r="F51" s="110">
        <f>IFERROR(VLOOKUP($C52,Datensammler!$B:$AA,5,0),)</f>
        <v>164</v>
      </c>
      <c r="G51" s="110">
        <f>IFERROR(VLOOKUP($C52,Datensammler!$B:$AA,6,0),)</f>
        <v>171</v>
      </c>
      <c r="H51" s="110">
        <f>IFERROR(VLOOKUP($C52,Datensammler!$B:$AA,7,0),)</f>
        <v>145</v>
      </c>
      <c r="I51" s="110">
        <f>IFERROR(VLOOKUP($C52,Datensammler!$B:$AA,8,0),)</f>
        <v>178</v>
      </c>
      <c r="J51" s="169">
        <f t="shared" ref="J51:J53" si="15">SUM(D51:I51)</f>
        <v>944</v>
      </c>
      <c r="K51" s="170">
        <f>IFERROR(VLOOKUP($C52,Datensammler!$B:$AA,23,0),)</f>
        <v>0</v>
      </c>
      <c r="L51" s="161">
        <f>IFERROR(VLOOKUP($C52,Datensammler!$B:$AA,24,0),)</f>
        <v>2037</v>
      </c>
      <c r="M51" s="170">
        <f>IFERROR(VLOOKUP($C52,Datensammler!$B:$AA,25,0),)</f>
        <v>12</v>
      </c>
      <c r="N51" s="171">
        <f>IF(C52=0,"",(VLOOKUP($C52,Datensammler!$B:$AA,26,0)))</f>
        <v>169.75</v>
      </c>
      <c r="T51" s="172"/>
    </row>
    <row r="52" ht="17.25" customHeight="1">
      <c r="A52" s="130"/>
      <c r="B52" s="174"/>
      <c r="C52" s="175">
        <f>VLOOKUP(T52,Spieler!A:E,2,0)</f>
        <v>38355</v>
      </c>
      <c r="D52" s="170">
        <f>IFERROR(VLOOKUP($C52,Datensammler!$B:$AA,9,0),)</f>
        <v>182</v>
      </c>
      <c r="E52" s="170">
        <f>IFERROR(VLOOKUP($C52,Datensammler!$B:$AA,10,0),)</f>
        <v>182</v>
      </c>
      <c r="F52" s="170">
        <f>IFERROR(VLOOKUP($C52,Datensammler!$B:$AA,11,0),)</f>
        <v>203</v>
      </c>
      <c r="G52" s="170">
        <f>IFERROR(VLOOKUP($C52,Datensammler!$B:$AA,12,0),)</f>
        <v>190</v>
      </c>
      <c r="H52" s="170">
        <f>IFERROR(VLOOKUP($C52,Datensammler!$B:$AA,13,0),)</f>
        <v>179</v>
      </c>
      <c r="I52" s="170">
        <f>IFERROR(VLOOKUP($C52,Datensammler!$B:$AA,14,0),)</f>
        <v>157</v>
      </c>
      <c r="J52" s="169">
        <f t="shared" si="15"/>
        <v>1093</v>
      </c>
      <c r="N52" s="176"/>
      <c r="T52" s="177">
        <f t="array" ref="T52">INDIRECT("Spieler!AD"&amp;B50+5)</f>
        <v>17</v>
      </c>
    </row>
    <row r="53" ht="17.25" customHeight="1">
      <c r="A53" s="130"/>
      <c r="B53" s="167"/>
      <c r="C53" s="178" t="str">
        <f>VLOOKUP(C52,'Mitglieder BBU'!A:K,8,0)</f>
        <v>BSC HighRoller Rosenheim</v>
      </c>
      <c r="D53" s="179" t="str">
        <f>IFERROR(VLOOKUP($C52,Datensammler!$B:$AA,15,0),)</f>
        <v/>
      </c>
      <c r="E53" s="179" t="str">
        <f>IFERROR(VLOOKUP($C52,Datensammler!$B:$AA,16,0),)</f>
        <v/>
      </c>
      <c r="F53" s="179" t="str">
        <f>IFERROR(VLOOKUP($C52,Datensammler!$B:$AA,17,0),)</f>
        <v/>
      </c>
      <c r="G53" s="179" t="str">
        <f>IFERROR(VLOOKUP($C52,Datensammler!$B:$AA,18,0),)</f>
        <v/>
      </c>
      <c r="H53" s="179" t="str">
        <f>IFERROR(VLOOKUP($C52,Datensammler!$B:$AA,19,0),)</f>
        <v/>
      </c>
      <c r="I53" s="179" t="str">
        <f>IFERROR(VLOOKUP($C52,Datensammler!$B:$AA,20,0),)</f>
        <v/>
      </c>
      <c r="J53" s="180">
        <f t="shared" si="15"/>
        <v>0</v>
      </c>
      <c r="K53" s="181"/>
      <c r="L53" s="181"/>
      <c r="M53" s="181"/>
      <c r="N53" s="182"/>
      <c r="T53" s="172"/>
    </row>
    <row r="54" ht="17.25" customHeight="1">
      <c r="A54" s="130"/>
      <c r="B54" s="183"/>
      <c r="C54" s="184" t="str">
        <f>IF(VLOOKUP(T52,Spieler!A:F,6,0)="Nein","keine Bayerische Meisterschaft gewünscht","")</f>
        <v/>
      </c>
      <c r="D54" s="161"/>
      <c r="E54" s="170"/>
      <c r="F54" s="170"/>
      <c r="G54" s="185" t="s">
        <v>2562</v>
      </c>
      <c r="H54" s="186"/>
      <c r="I54" s="186"/>
      <c r="J54" s="186"/>
      <c r="K54" s="186"/>
      <c r="L54" s="187">
        <f t="shared" ref="L54:M54" si="16">SUM(L51:L53)</f>
        <v>2037</v>
      </c>
      <c r="M54" s="110">
        <f t="shared" si="16"/>
        <v>12</v>
      </c>
      <c r="N54" s="188">
        <f>L54/M54</f>
        <v>169.75</v>
      </c>
      <c r="T54" s="189"/>
    </row>
    <row r="55" ht="17.25" customHeight="1">
      <c r="A55" s="130"/>
      <c r="B55" s="190"/>
      <c r="C55" s="178"/>
      <c r="D55" s="191"/>
      <c r="E55" s="191"/>
      <c r="F55" s="191"/>
      <c r="G55" s="191"/>
      <c r="H55" s="191"/>
      <c r="I55" s="191"/>
      <c r="J55" s="191"/>
      <c r="K55" s="191"/>
      <c r="L55" s="192"/>
      <c r="M55" s="191"/>
      <c r="N55" s="193"/>
      <c r="T55" s="194"/>
    </row>
    <row r="56" ht="17.25" customHeight="1">
      <c r="A56" s="130"/>
      <c r="B56" s="157">
        <f>B50+1</f>
        <v>9</v>
      </c>
      <c r="C56" s="158"/>
      <c r="D56" s="159" t="str">
        <f>VLOOKUP(C58,'Mitglieder BBU'!A:J,6,0)</f>
        <v>Nicole Schott</v>
      </c>
      <c r="E56" s="60"/>
      <c r="F56" s="60"/>
      <c r="G56" s="60"/>
      <c r="H56" s="60"/>
      <c r="I56" s="61"/>
      <c r="J56" s="160"/>
      <c r="K56" s="161"/>
      <c r="L56" s="162"/>
      <c r="M56" s="163"/>
      <c r="N56" s="164"/>
      <c r="T56" s="165"/>
    </row>
    <row r="57" ht="17.25" customHeight="1">
      <c r="A57" s="130"/>
      <c r="B57" s="167"/>
      <c r="C57" s="168" t="str">
        <f>VLOOKUP(C58,'Mitglieder BBU'!A:J,6,0)</f>
        <v>Nicole Schott</v>
      </c>
      <c r="D57" s="110">
        <f>IFERROR(VLOOKUP($C58,Datensammler!$B:$AA,3,0),)</f>
        <v>177</v>
      </c>
      <c r="E57" s="110">
        <f>IFERROR(VLOOKUP($C58,Datensammler!$B:$AA,4,0),)</f>
        <v>162</v>
      </c>
      <c r="F57" s="110">
        <f>IFERROR(VLOOKUP($C58,Datensammler!$B:$AA,5,0),)</f>
        <v>196</v>
      </c>
      <c r="G57" s="110">
        <f>IFERROR(VLOOKUP($C58,Datensammler!$B:$AA,6,0),)</f>
        <v>136</v>
      </c>
      <c r="H57" s="110">
        <f>IFERROR(VLOOKUP($C58,Datensammler!$B:$AA,7,0),)</f>
        <v>165</v>
      </c>
      <c r="I57" s="110">
        <f>IFERROR(VLOOKUP($C58,Datensammler!$B:$AA,8,0),)</f>
        <v>153</v>
      </c>
      <c r="J57" s="169">
        <f t="shared" ref="J57:J59" si="17">SUM(D57:I57)</f>
        <v>989</v>
      </c>
      <c r="K57" s="170">
        <f>IFERROR(VLOOKUP($C58,Datensammler!$B:$AA,23,0),)</f>
        <v>0</v>
      </c>
      <c r="L57" s="161">
        <f>IFERROR(VLOOKUP($C58,Datensammler!$B:$AA,24,0),)</f>
        <v>1997</v>
      </c>
      <c r="M57" s="170">
        <f>IFERROR(VLOOKUP($C58,Datensammler!$B:$AA,25,0),)</f>
        <v>12</v>
      </c>
      <c r="N57" s="171">
        <f>IF(C58=0,"",(VLOOKUP($C58,Datensammler!$B:$AA,26,0)))</f>
        <v>166.42</v>
      </c>
      <c r="T57" s="172"/>
    </row>
    <row r="58" ht="17.25" customHeight="1">
      <c r="A58" s="130"/>
      <c r="B58" s="174"/>
      <c r="C58" s="175">
        <f>VLOOKUP(T58,Spieler!A:E,2,0)</f>
        <v>16595</v>
      </c>
      <c r="D58" s="170">
        <f>IFERROR(VLOOKUP($C58,Datensammler!$B:$AA,9,0),)</f>
        <v>141</v>
      </c>
      <c r="E58" s="170">
        <f>IFERROR(VLOOKUP($C58,Datensammler!$B:$AA,10,0),)</f>
        <v>166</v>
      </c>
      <c r="F58" s="170">
        <f>IFERROR(VLOOKUP($C58,Datensammler!$B:$AA,11,0),)</f>
        <v>164</v>
      </c>
      <c r="G58" s="170">
        <f>IFERROR(VLOOKUP($C58,Datensammler!$B:$AA,12,0),)</f>
        <v>194</v>
      </c>
      <c r="H58" s="170">
        <f>IFERROR(VLOOKUP($C58,Datensammler!$B:$AA,13,0),)</f>
        <v>191</v>
      </c>
      <c r="I58" s="170">
        <f>IFERROR(VLOOKUP($C58,Datensammler!$B:$AA,14,0),)</f>
        <v>152</v>
      </c>
      <c r="J58" s="169">
        <f t="shared" si="17"/>
        <v>1008</v>
      </c>
      <c r="N58" s="176"/>
      <c r="T58" s="177">
        <f t="array" ref="T58">INDIRECT("Spieler!AD"&amp;B56+5)</f>
        <v>6</v>
      </c>
    </row>
    <row r="59" ht="17.25" customHeight="1">
      <c r="A59" s="130"/>
      <c r="B59" s="167"/>
      <c r="C59" s="178" t="str">
        <f>VLOOKUP(C58,'Mitglieder BBU'!A:K,8,0)</f>
        <v>BK München</v>
      </c>
      <c r="D59" s="179" t="str">
        <f>IFERROR(VLOOKUP($C58,Datensammler!$B:$AA,15,0),)</f>
        <v/>
      </c>
      <c r="E59" s="179" t="str">
        <f>IFERROR(VLOOKUP($C58,Datensammler!$B:$AA,16,0),)</f>
        <v/>
      </c>
      <c r="F59" s="179" t="str">
        <f>IFERROR(VLOOKUP($C58,Datensammler!$B:$AA,17,0),)</f>
        <v/>
      </c>
      <c r="G59" s="179" t="str">
        <f>IFERROR(VLOOKUP($C58,Datensammler!$B:$AA,18,0),)</f>
        <v/>
      </c>
      <c r="H59" s="179" t="str">
        <f>IFERROR(VLOOKUP($C58,Datensammler!$B:$AA,19,0),)</f>
        <v/>
      </c>
      <c r="I59" s="179" t="str">
        <f>IFERROR(VLOOKUP($C58,Datensammler!$B:$AA,20,0),)</f>
        <v/>
      </c>
      <c r="J59" s="180">
        <f t="shared" si="17"/>
        <v>0</v>
      </c>
      <c r="K59" s="181"/>
      <c r="L59" s="181"/>
      <c r="M59" s="181"/>
      <c r="N59" s="182"/>
      <c r="T59" s="172"/>
    </row>
    <row r="60" ht="17.25" customHeight="1">
      <c r="A60" s="130"/>
      <c r="B60" s="183"/>
      <c r="C60" s="184" t="str">
        <f>IF(VLOOKUP(T58,Spieler!A:F,6,0)="Nein","keine Bayerische Meisterschaft gewünscht","")</f>
        <v/>
      </c>
      <c r="D60" s="161"/>
      <c r="E60" s="170"/>
      <c r="F60" s="170"/>
      <c r="G60" s="185" t="s">
        <v>2562</v>
      </c>
      <c r="H60" s="186"/>
      <c r="I60" s="186"/>
      <c r="J60" s="186"/>
      <c r="K60" s="186"/>
      <c r="L60" s="187">
        <f t="shared" ref="L60:M60" si="18">SUM(L57:L59)</f>
        <v>1997</v>
      </c>
      <c r="M60" s="110">
        <f t="shared" si="18"/>
        <v>12</v>
      </c>
      <c r="N60" s="188">
        <f>L60/M60</f>
        <v>166.4166667</v>
      </c>
      <c r="T60" s="189"/>
    </row>
    <row r="61" ht="17.25" customHeight="1">
      <c r="A61" s="130"/>
      <c r="B61" s="190"/>
      <c r="C61" s="178"/>
      <c r="D61" s="191"/>
      <c r="E61" s="191"/>
      <c r="F61" s="191"/>
      <c r="G61" s="191"/>
      <c r="H61" s="191"/>
      <c r="I61" s="191"/>
      <c r="J61" s="191"/>
      <c r="K61" s="191"/>
      <c r="L61" s="192"/>
      <c r="M61" s="191"/>
      <c r="N61" s="193"/>
      <c r="T61" s="194"/>
    </row>
    <row r="62" ht="17.25" customHeight="1">
      <c r="A62" s="130"/>
      <c r="B62" s="157">
        <f>B56+1</f>
        <v>10</v>
      </c>
      <c r="C62" s="158"/>
      <c r="D62" s="159" t="str">
        <f>VLOOKUP(C64,'Mitglieder BBU'!A:J,6,0)</f>
        <v>Katharina Mang</v>
      </c>
      <c r="E62" s="60"/>
      <c r="F62" s="60"/>
      <c r="G62" s="60"/>
      <c r="H62" s="60"/>
      <c r="I62" s="61"/>
      <c r="J62" s="160"/>
      <c r="K62" s="161"/>
      <c r="L62" s="162"/>
      <c r="M62" s="163"/>
      <c r="N62" s="164"/>
      <c r="T62" s="165"/>
    </row>
    <row r="63" ht="17.25" customHeight="1">
      <c r="A63" s="130"/>
      <c r="B63" s="167"/>
      <c r="C63" s="168" t="str">
        <f>VLOOKUP(C64,'Mitglieder BBU'!A:J,6,0)</f>
        <v>Katharina Mang</v>
      </c>
      <c r="D63" s="110">
        <f>IFERROR(VLOOKUP($C64,Datensammler!$B:$AA,3,0),)</f>
        <v>176</v>
      </c>
      <c r="E63" s="110">
        <f>IFERROR(VLOOKUP($C64,Datensammler!$B:$AA,4,0),)</f>
        <v>207</v>
      </c>
      <c r="F63" s="110">
        <f>IFERROR(VLOOKUP($C64,Datensammler!$B:$AA,5,0),)</f>
        <v>158</v>
      </c>
      <c r="G63" s="110">
        <f>IFERROR(VLOOKUP($C64,Datensammler!$B:$AA,6,0),)</f>
        <v>152</v>
      </c>
      <c r="H63" s="110">
        <f>IFERROR(VLOOKUP($C64,Datensammler!$B:$AA,7,0),)</f>
        <v>186</v>
      </c>
      <c r="I63" s="110">
        <f>IFERROR(VLOOKUP($C64,Datensammler!$B:$AA,8,0),)</f>
        <v>149</v>
      </c>
      <c r="J63" s="169">
        <f t="shared" ref="J63:J65" si="19">SUM(D63:I63)</f>
        <v>1028</v>
      </c>
      <c r="K63" s="170">
        <f>IFERROR(VLOOKUP($C64,Datensammler!$B:$AA,23,0),)</f>
        <v>0</v>
      </c>
      <c r="L63" s="161">
        <f>IFERROR(VLOOKUP($C64,Datensammler!$B:$AA,24,0),)</f>
        <v>1983</v>
      </c>
      <c r="M63" s="170">
        <f>IFERROR(VLOOKUP($C64,Datensammler!$B:$AA,25,0),)</f>
        <v>12</v>
      </c>
      <c r="N63" s="171">
        <f>IF(C64=0,"",(VLOOKUP($C64,Datensammler!$B:$AA,26,0)))</f>
        <v>165.25</v>
      </c>
      <c r="T63" s="172"/>
    </row>
    <row r="64" ht="17.25" customHeight="1">
      <c r="A64" s="130"/>
      <c r="B64" s="174"/>
      <c r="C64" s="175">
        <f>VLOOKUP(T64,Spieler!A:E,2,0)</f>
        <v>25329</v>
      </c>
      <c r="D64" s="170">
        <f>IFERROR(VLOOKUP($C64,Datensammler!$B:$AA,9,0),)</f>
        <v>149</v>
      </c>
      <c r="E64" s="170">
        <f>IFERROR(VLOOKUP($C64,Datensammler!$B:$AA,10,0),)</f>
        <v>155</v>
      </c>
      <c r="F64" s="170">
        <f>IFERROR(VLOOKUP($C64,Datensammler!$B:$AA,11,0),)</f>
        <v>140</v>
      </c>
      <c r="G64" s="170">
        <f>IFERROR(VLOOKUP($C64,Datensammler!$B:$AA,12,0),)</f>
        <v>169</v>
      </c>
      <c r="H64" s="170">
        <f>IFERROR(VLOOKUP($C64,Datensammler!$B:$AA,13,0),)</f>
        <v>159</v>
      </c>
      <c r="I64" s="170">
        <f>IFERROR(VLOOKUP($C64,Datensammler!$B:$AA,14,0),)</f>
        <v>183</v>
      </c>
      <c r="J64" s="169">
        <f t="shared" si="19"/>
        <v>955</v>
      </c>
      <c r="N64" s="176"/>
      <c r="T64" s="177">
        <f t="array" ref="T64">INDIRECT("Spieler!AD"&amp;B62+5)</f>
        <v>4</v>
      </c>
    </row>
    <row r="65" ht="17.25" customHeight="1">
      <c r="A65" s="130"/>
      <c r="B65" s="167"/>
      <c r="C65" s="178" t="str">
        <f>VLOOKUP(C64,'Mitglieder BBU'!A:K,8,0)</f>
        <v>Einzelmitglied Stein</v>
      </c>
      <c r="D65" s="179" t="str">
        <f>IFERROR(VLOOKUP($C64,Datensammler!$B:$AA,15,0),)</f>
        <v/>
      </c>
      <c r="E65" s="179" t="str">
        <f>IFERROR(VLOOKUP($C64,Datensammler!$B:$AA,16,0),)</f>
        <v/>
      </c>
      <c r="F65" s="179" t="str">
        <f>IFERROR(VLOOKUP($C64,Datensammler!$B:$AA,17,0),)</f>
        <v/>
      </c>
      <c r="G65" s="179" t="str">
        <f>IFERROR(VLOOKUP($C64,Datensammler!$B:$AA,18,0),)</f>
        <v/>
      </c>
      <c r="H65" s="179" t="str">
        <f>IFERROR(VLOOKUP($C64,Datensammler!$B:$AA,19,0),)</f>
        <v/>
      </c>
      <c r="I65" s="179" t="str">
        <f>IFERROR(VLOOKUP($C64,Datensammler!$B:$AA,20,0),)</f>
        <v/>
      </c>
      <c r="J65" s="180">
        <f t="shared" si="19"/>
        <v>0</v>
      </c>
      <c r="K65" s="181"/>
      <c r="L65" s="181"/>
      <c r="M65" s="181"/>
      <c r="N65" s="182"/>
      <c r="T65" s="172"/>
    </row>
    <row r="66" ht="17.25" customHeight="1">
      <c r="A66" s="130"/>
      <c r="B66" s="183"/>
      <c r="C66" s="184" t="str">
        <f>IF(VLOOKUP(T64,Spieler!A:F,6,0)="Nein","keine Bayerische Meisterschaft gewünscht","")</f>
        <v/>
      </c>
      <c r="D66" s="161"/>
      <c r="E66" s="170"/>
      <c r="F66" s="170"/>
      <c r="G66" s="185" t="s">
        <v>2562</v>
      </c>
      <c r="H66" s="186"/>
      <c r="I66" s="186"/>
      <c r="J66" s="186"/>
      <c r="K66" s="186"/>
      <c r="L66" s="187">
        <f t="shared" ref="L66:M66" si="20">SUM(L63:L65)</f>
        <v>1983</v>
      </c>
      <c r="M66" s="110">
        <f t="shared" si="20"/>
        <v>12</v>
      </c>
      <c r="N66" s="188">
        <f>L66/M66</f>
        <v>165.25</v>
      </c>
      <c r="T66" s="189"/>
    </row>
    <row r="67" ht="17.25" customHeight="1">
      <c r="A67" s="130"/>
      <c r="B67" s="190"/>
      <c r="C67" s="178"/>
      <c r="D67" s="191"/>
      <c r="E67" s="191"/>
      <c r="F67" s="191"/>
      <c r="G67" s="191"/>
      <c r="H67" s="191"/>
      <c r="I67" s="191"/>
      <c r="J67" s="191"/>
      <c r="K67" s="191"/>
      <c r="L67" s="192"/>
      <c r="M67" s="191"/>
      <c r="N67" s="193"/>
      <c r="T67" s="194"/>
    </row>
    <row r="68" ht="17.25" customHeight="1">
      <c r="A68" s="130"/>
      <c r="B68" s="157">
        <f>B62+1</f>
        <v>11</v>
      </c>
      <c r="C68" s="158"/>
      <c r="D68" s="159" t="str">
        <f>VLOOKUP(C70,'Mitglieder BBU'!A:J,6,0)</f>
        <v>Monika Schott</v>
      </c>
      <c r="E68" s="60"/>
      <c r="F68" s="60"/>
      <c r="G68" s="60"/>
      <c r="H68" s="60"/>
      <c r="I68" s="61"/>
      <c r="J68" s="160"/>
      <c r="K68" s="161"/>
      <c r="L68" s="162"/>
      <c r="M68" s="163"/>
      <c r="N68" s="164"/>
      <c r="T68" s="165"/>
    </row>
    <row r="69" ht="17.25" customHeight="1">
      <c r="A69" s="130"/>
      <c r="B69" s="167"/>
      <c r="C69" s="168" t="str">
        <f>VLOOKUP(C70,'Mitglieder BBU'!A:J,6,0)</f>
        <v>Monika Schott</v>
      </c>
      <c r="D69" s="110">
        <f>IFERROR(VLOOKUP($C70,Datensammler!$B:$AA,3,0),)</f>
        <v>200</v>
      </c>
      <c r="E69" s="110">
        <f>IFERROR(VLOOKUP($C70,Datensammler!$B:$AA,4,0),)</f>
        <v>152</v>
      </c>
      <c r="F69" s="110">
        <f>IFERROR(VLOOKUP($C70,Datensammler!$B:$AA,5,0),)</f>
        <v>161</v>
      </c>
      <c r="G69" s="110">
        <f>IFERROR(VLOOKUP($C70,Datensammler!$B:$AA,6,0),)</f>
        <v>178</v>
      </c>
      <c r="H69" s="110">
        <f>IFERROR(VLOOKUP($C70,Datensammler!$B:$AA,7,0),)</f>
        <v>159</v>
      </c>
      <c r="I69" s="110">
        <f>IFERROR(VLOOKUP($C70,Datensammler!$B:$AA,8,0),)</f>
        <v>170</v>
      </c>
      <c r="J69" s="169">
        <f t="shared" ref="J69:J71" si="21">SUM(D69:I69)</f>
        <v>1020</v>
      </c>
      <c r="K69" s="170">
        <f>IFERROR(VLOOKUP($C70,Datensammler!$B:$AA,23,0),)</f>
        <v>0</v>
      </c>
      <c r="L69" s="161">
        <f>IFERROR(VLOOKUP($C70,Datensammler!$B:$AA,24,0),)</f>
        <v>1959</v>
      </c>
      <c r="M69" s="170">
        <f>IFERROR(VLOOKUP($C70,Datensammler!$B:$AA,25,0),)</f>
        <v>12</v>
      </c>
      <c r="N69" s="171">
        <f>IF(C70=0,"",(VLOOKUP($C70,Datensammler!$B:$AA,26,0)))</f>
        <v>163.25</v>
      </c>
      <c r="T69" s="172"/>
    </row>
    <row r="70" ht="17.25" customHeight="1">
      <c r="A70" s="130"/>
      <c r="B70" s="174"/>
      <c r="C70" s="175">
        <f>VLOOKUP(T70,Spieler!A:E,2,0)</f>
        <v>16594</v>
      </c>
      <c r="D70" s="170">
        <f>IFERROR(VLOOKUP($C70,Datensammler!$B:$AA,9,0),)</f>
        <v>172</v>
      </c>
      <c r="E70" s="170">
        <f>IFERROR(VLOOKUP($C70,Datensammler!$B:$AA,10,0),)</f>
        <v>145</v>
      </c>
      <c r="F70" s="170">
        <f>IFERROR(VLOOKUP($C70,Datensammler!$B:$AA,11,0),)</f>
        <v>144</v>
      </c>
      <c r="G70" s="170">
        <f>IFERROR(VLOOKUP($C70,Datensammler!$B:$AA,12,0),)</f>
        <v>169</v>
      </c>
      <c r="H70" s="170">
        <f>IFERROR(VLOOKUP($C70,Datensammler!$B:$AA,13,0),)</f>
        <v>153</v>
      </c>
      <c r="I70" s="170">
        <f>IFERROR(VLOOKUP($C70,Datensammler!$B:$AA,14,0),)</f>
        <v>156</v>
      </c>
      <c r="J70" s="169">
        <f t="shared" si="21"/>
        <v>939</v>
      </c>
      <c r="N70" s="176"/>
      <c r="T70" s="177">
        <f t="array" ref="T70">INDIRECT("Spieler!AD"&amp;B68+5)</f>
        <v>7</v>
      </c>
    </row>
    <row r="71" ht="17.25" customHeight="1">
      <c r="A71" s="130"/>
      <c r="B71" s="167"/>
      <c r="C71" s="178" t="str">
        <f>VLOOKUP(C70,'Mitglieder BBU'!A:K,8,0)</f>
        <v>BK München</v>
      </c>
      <c r="D71" s="179" t="str">
        <f>IFERROR(VLOOKUP($C70,Datensammler!$B:$AA,15,0),)</f>
        <v/>
      </c>
      <c r="E71" s="179" t="str">
        <f>IFERROR(VLOOKUP($C70,Datensammler!$B:$AA,16,0),)</f>
        <v/>
      </c>
      <c r="F71" s="179" t="str">
        <f>IFERROR(VLOOKUP($C70,Datensammler!$B:$AA,17,0),)</f>
        <v/>
      </c>
      <c r="G71" s="179" t="str">
        <f>IFERROR(VLOOKUP($C70,Datensammler!$B:$AA,18,0),)</f>
        <v/>
      </c>
      <c r="H71" s="179" t="str">
        <f>IFERROR(VLOOKUP($C70,Datensammler!$B:$AA,19,0),)</f>
        <v/>
      </c>
      <c r="I71" s="179" t="str">
        <f>IFERROR(VLOOKUP($C70,Datensammler!$B:$AA,20,0),)</f>
        <v/>
      </c>
      <c r="J71" s="180">
        <f t="shared" si="21"/>
        <v>0</v>
      </c>
      <c r="K71" s="181"/>
      <c r="L71" s="181"/>
      <c r="M71" s="181"/>
      <c r="N71" s="182"/>
      <c r="T71" s="172"/>
    </row>
    <row r="72" ht="17.25" customHeight="1">
      <c r="A72" s="130"/>
      <c r="B72" s="183"/>
      <c r="C72" s="184" t="str">
        <f>IF(VLOOKUP(T70,Spieler!A:F,6,0)="Nein","keine Bayerische Meisterschaft gewünscht","")</f>
        <v/>
      </c>
      <c r="D72" s="161"/>
      <c r="E72" s="170"/>
      <c r="F72" s="170"/>
      <c r="G72" s="185" t="s">
        <v>2562</v>
      </c>
      <c r="H72" s="186"/>
      <c r="I72" s="186"/>
      <c r="J72" s="186"/>
      <c r="K72" s="186"/>
      <c r="L72" s="187">
        <f t="shared" ref="L72:M72" si="22">SUM(L69:L71)</f>
        <v>1959</v>
      </c>
      <c r="M72" s="110">
        <f t="shared" si="22"/>
        <v>12</v>
      </c>
      <c r="N72" s="188">
        <f>L72/M72</f>
        <v>163.25</v>
      </c>
      <c r="T72" s="189"/>
    </row>
    <row r="73" ht="17.25" customHeight="1">
      <c r="A73" s="130"/>
      <c r="B73" s="201"/>
      <c r="C73" s="202"/>
      <c r="D73" s="203"/>
      <c r="E73" s="204"/>
      <c r="F73" s="204"/>
      <c r="G73" s="204"/>
      <c r="H73" s="204"/>
      <c r="I73" s="204"/>
      <c r="J73" s="204"/>
      <c r="K73" s="204"/>
      <c r="L73" s="205"/>
      <c r="M73" s="204"/>
      <c r="N73" s="206"/>
      <c r="T73" s="194"/>
    </row>
    <row r="74" ht="17.25" customHeight="1">
      <c r="A74" s="130"/>
      <c r="B74" s="157">
        <f>B68+1</f>
        <v>12</v>
      </c>
      <c r="C74" s="158"/>
      <c r="D74" s="159" t="str">
        <f>VLOOKUP(C76,'Mitglieder BBU'!A:J,6,0)</f>
        <v>Helene Schick</v>
      </c>
      <c r="E74" s="60"/>
      <c r="F74" s="60"/>
      <c r="G74" s="60"/>
      <c r="H74" s="60"/>
      <c r="I74" s="61"/>
      <c r="J74" s="160"/>
      <c r="K74" s="161"/>
      <c r="L74" s="162"/>
      <c r="M74" s="163"/>
      <c r="N74" s="164"/>
      <c r="T74" s="165"/>
    </row>
    <row r="75" ht="17.25" customHeight="1">
      <c r="A75" s="130"/>
      <c r="B75" s="167"/>
      <c r="C75" s="168" t="str">
        <f>VLOOKUP(C76,'Mitglieder BBU'!A:J,6,0)</f>
        <v>Helene Schick</v>
      </c>
      <c r="D75" s="110">
        <f>IFERROR(VLOOKUP($C76,Datensammler!$B:$AA,3,0),)</f>
        <v>153</v>
      </c>
      <c r="E75" s="110">
        <f>IFERROR(VLOOKUP($C76,Datensammler!$B:$AA,4,0),)</f>
        <v>202</v>
      </c>
      <c r="F75" s="110">
        <f>IFERROR(VLOOKUP($C76,Datensammler!$B:$AA,5,0),)</f>
        <v>141</v>
      </c>
      <c r="G75" s="110">
        <f>IFERROR(VLOOKUP($C76,Datensammler!$B:$AA,6,0),)</f>
        <v>141</v>
      </c>
      <c r="H75" s="110">
        <f>IFERROR(VLOOKUP($C76,Datensammler!$B:$AA,7,0),)</f>
        <v>148</v>
      </c>
      <c r="I75" s="110">
        <f>IFERROR(VLOOKUP($C76,Datensammler!$B:$AA,8,0),)</f>
        <v>186</v>
      </c>
      <c r="J75" s="169">
        <f t="shared" ref="J75:J77" si="23">SUM(D75:I75)</f>
        <v>971</v>
      </c>
      <c r="K75" s="170">
        <f>IFERROR(VLOOKUP($C76,Datensammler!$B:$AA,23,0),)</f>
        <v>0</v>
      </c>
      <c r="L75" s="161">
        <f>IFERROR(VLOOKUP($C76,Datensammler!$B:$AA,24,0),)</f>
        <v>1955</v>
      </c>
      <c r="M75" s="170">
        <f>IFERROR(VLOOKUP($C76,Datensammler!$B:$AA,25,0),)</f>
        <v>12</v>
      </c>
      <c r="N75" s="171">
        <f>IF(C76=0,"",(VLOOKUP($C76,Datensammler!$B:$AA,26,0)))</f>
        <v>162.92</v>
      </c>
      <c r="T75" s="172"/>
    </row>
    <row r="76" ht="17.25" customHeight="1">
      <c r="A76" s="130"/>
      <c r="B76" s="174"/>
      <c r="C76" s="175">
        <f>VLOOKUP(T76,Spieler!A:E,2,0)</f>
        <v>38931</v>
      </c>
      <c r="D76" s="170">
        <f>IFERROR(VLOOKUP($C76,Datensammler!$B:$AA,9,0),)</f>
        <v>142</v>
      </c>
      <c r="E76" s="170">
        <f>IFERROR(VLOOKUP($C76,Datensammler!$B:$AA,10,0),)</f>
        <v>185</v>
      </c>
      <c r="F76" s="170">
        <f>IFERROR(VLOOKUP($C76,Datensammler!$B:$AA,11,0),)</f>
        <v>149</v>
      </c>
      <c r="G76" s="170">
        <f>IFERROR(VLOOKUP($C76,Datensammler!$B:$AA,12,0),)</f>
        <v>179</v>
      </c>
      <c r="H76" s="170">
        <f>IFERROR(VLOOKUP($C76,Datensammler!$B:$AA,13,0),)</f>
        <v>160</v>
      </c>
      <c r="I76" s="170">
        <f>IFERROR(VLOOKUP($C76,Datensammler!$B:$AA,14,0),)</f>
        <v>169</v>
      </c>
      <c r="J76" s="169">
        <f t="shared" si="23"/>
        <v>984</v>
      </c>
      <c r="N76" s="176"/>
      <c r="T76" s="177">
        <f t="array" ref="T76">INDIRECT("Spieler!AD"&amp;B74+5)</f>
        <v>8</v>
      </c>
    </row>
    <row r="77" ht="17.25" customHeight="1">
      <c r="A77" s="130"/>
      <c r="B77" s="167"/>
      <c r="C77" s="178" t="str">
        <f>VLOOKUP(C76,'Mitglieder BBU'!A:K,8,0)</f>
        <v>BC Praetoria</v>
      </c>
      <c r="D77" s="179" t="str">
        <f>IFERROR(VLOOKUP($C76,Datensammler!$B:$AA,15,0),)</f>
        <v/>
      </c>
      <c r="E77" s="179" t="str">
        <f>IFERROR(VLOOKUP($C76,Datensammler!$B:$AA,16,0),)</f>
        <v/>
      </c>
      <c r="F77" s="179" t="str">
        <f>IFERROR(VLOOKUP($C76,Datensammler!$B:$AA,17,0),)</f>
        <v/>
      </c>
      <c r="G77" s="179" t="str">
        <f>IFERROR(VLOOKUP($C76,Datensammler!$B:$AA,18,0),)</f>
        <v/>
      </c>
      <c r="H77" s="179" t="str">
        <f>IFERROR(VLOOKUP($C76,Datensammler!$B:$AA,19,0),)</f>
        <v/>
      </c>
      <c r="I77" s="179" t="str">
        <f>IFERROR(VLOOKUP($C76,Datensammler!$B:$AA,20,0),)</f>
        <v/>
      </c>
      <c r="J77" s="180">
        <f t="shared" si="23"/>
        <v>0</v>
      </c>
      <c r="K77" s="181"/>
      <c r="L77" s="181"/>
      <c r="M77" s="181"/>
      <c r="N77" s="182"/>
      <c r="T77" s="172"/>
    </row>
    <row r="78" ht="17.25" customHeight="1">
      <c r="A78" s="130"/>
      <c r="B78" s="183"/>
      <c r="C78" s="184" t="str">
        <f>IF(VLOOKUP(T76,Spieler!A:F,6,0)="Nein","keine Bayerische Meisterschaft gewünscht","")</f>
        <v/>
      </c>
      <c r="D78" s="161"/>
      <c r="E78" s="170"/>
      <c r="F78" s="170"/>
      <c r="G78" s="185" t="s">
        <v>2562</v>
      </c>
      <c r="H78" s="186"/>
      <c r="I78" s="186"/>
      <c r="J78" s="186"/>
      <c r="K78" s="186"/>
      <c r="L78" s="187">
        <f t="shared" ref="L78:M78" si="24">SUM(L75:L77)</f>
        <v>1955</v>
      </c>
      <c r="M78" s="110">
        <f t="shared" si="24"/>
        <v>12</v>
      </c>
      <c r="N78" s="188">
        <f>L78/M78</f>
        <v>162.9166667</v>
      </c>
      <c r="T78" s="189"/>
    </row>
    <row r="79" ht="17.25" customHeight="1">
      <c r="A79" s="130"/>
      <c r="B79" s="190"/>
      <c r="C79" s="178"/>
      <c r="D79" s="191"/>
      <c r="E79" s="191"/>
      <c r="F79" s="191"/>
      <c r="G79" s="191"/>
      <c r="H79" s="191"/>
      <c r="I79" s="191"/>
      <c r="J79" s="191"/>
      <c r="K79" s="191"/>
      <c r="L79" s="192"/>
      <c r="M79" s="191"/>
      <c r="N79" s="193"/>
      <c r="T79" s="194"/>
    </row>
    <row r="80" ht="17.25" customHeight="1">
      <c r="A80" s="130"/>
      <c r="B80" s="157">
        <f>B74+1</f>
        <v>13</v>
      </c>
      <c r="C80" s="158"/>
      <c r="D80" s="159" t="str">
        <f>VLOOKUP(C82,'Mitglieder BBU'!A:J,6,0)</f>
        <v>Else Schuster</v>
      </c>
      <c r="E80" s="60"/>
      <c r="F80" s="60"/>
      <c r="G80" s="60"/>
      <c r="H80" s="60"/>
      <c r="I80" s="61"/>
      <c r="J80" s="160"/>
      <c r="K80" s="161"/>
      <c r="L80" s="162"/>
      <c r="M80" s="163"/>
      <c r="N80" s="164"/>
      <c r="T80" s="165"/>
    </row>
    <row r="81" ht="17.25" customHeight="1">
      <c r="A81" s="130"/>
      <c r="B81" s="167"/>
      <c r="C81" s="168" t="str">
        <f>VLOOKUP(C82,'Mitglieder BBU'!A:J,6,0)</f>
        <v>Else Schuster</v>
      </c>
      <c r="D81" s="110">
        <f>IFERROR(VLOOKUP($C82,Datensammler!$B:$AA,3,0),)</f>
        <v>131</v>
      </c>
      <c r="E81" s="110">
        <f>IFERROR(VLOOKUP($C82,Datensammler!$B:$AA,4,0),)</f>
        <v>156</v>
      </c>
      <c r="F81" s="110">
        <f>IFERROR(VLOOKUP($C82,Datensammler!$B:$AA,5,0),)</f>
        <v>123</v>
      </c>
      <c r="G81" s="110">
        <f>IFERROR(VLOOKUP($C82,Datensammler!$B:$AA,6,0),)</f>
        <v>174</v>
      </c>
      <c r="H81" s="110">
        <f>IFERROR(VLOOKUP($C82,Datensammler!$B:$AA,7,0),)</f>
        <v>132</v>
      </c>
      <c r="I81" s="110">
        <f>IFERROR(VLOOKUP($C82,Datensammler!$B:$AA,8,0),)</f>
        <v>172</v>
      </c>
      <c r="J81" s="169">
        <f t="shared" ref="J81:J83" si="25">SUM(D81:I81)</f>
        <v>888</v>
      </c>
      <c r="K81" s="170">
        <f>IFERROR(VLOOKUP($C82,Datensammler!$B:$AA,23,0),)</f>
        <v>0</v>
      </c>
      <c r="L81" s="161">
        <f>IFERROR(VLOOKUP($C82,Datensammler!$B:$AA,24,0),)</f>
        <v>1858</v>
      </c>
      <c r="M81" s="170">
        <f>IFERROR(VLOOKUP($C82,Datensammler!$B:$AA,25,0),)</f>
        <v>12</v>
      </c>
      <c r="N81" s="171">
        <f>IF(C82=0,"",(VLOOKUP($C82,Datensammler!$B:$AA,26,0)))</f>
        <v>154.83</v>
      </c>
      <c r="T81" s="172"/>
    </row>
    <row r="82" ht="17.25" customHeight="1">
      <c r="A82" s="130"/>
      <c r="B82" s="174"/>
      <c r="C82" s="175">
        <f>VLOOKUP(T82,Spieler!A:E,2,0)</f>
        <v>7709</v>
      </c>
      <c r="D82" s="170">
        <f>IFERROR(VLOOKUP($C82,Datensammler!$B:$AA,9,0),)</f>
        <v>183</v>
      </c>
      <c r="E82" s="170">
        <f>IFERROR(VLOOKUP($C82,Datensammler!$B:$AA,10,0),)</f>
        <v>165</v>
      </c>
      <c r="F82" s="170">
        <f>IFERROR(VLOOKUP($C82,Datensammler!$B:$AA,11,0),)</f>
        <v>120</v>
      </c>
      <c r="G82" s="170">
        <f>IFERROR(VLOOKUP($C82,Datensammler!$B:$AA,12,0),)</f>
        <v>171</v>
      </c>
      <c r="H82" s="170">
        <f>IFERROR(VLOOKUP($C82,Datensammler!$B:$AA,13,0),)</f>
        <v>143</v>
      </c>
      <c r="I82" s="170">
        <f>IFERROR(VLOOKUP($C82,Datensammler!$B:$AA,14,0),)</f>
        <v>188</v>
      </c>
      <c r="J82" s="169">
        <f t="shared" si="25"/>
        <v>970</v>
      </c>
      <c r="N82" s="176"/>
      <c r="T82" s="177">
        <f t="array" ref="T82">INDIRECT("Spieler!AD"&amp;B80+5)</f>
        <v>1</v>
      </c>
    </row>
    <row r="83" ht="17.25" customHeight="1">
      <c r="A83" s="130"/>
      <c r="B83" s="167"/>
      <c r="C83" s="178" t="str">
        <f>VLOOKUP(C82,'Mitglieder BBU'!A:K,8,0)</f>
        <v>BC Phönix 03 Lauf</v>
      </c>
      <c r="D83" s="179" t="str">
        <f>IFERROR(VLOOKUP($C82,Datensammler!$B:$AA,15,0),)</f>
        <v/>
      </c>
      <c r="E83" s="179" t="str">
        <f>IFERROR(VLOOKUP($C82,Datensammler!$B:$AA,16,0),)</f>
        <v/>
      </c>
      <c r="F83" s="179" t="str">
        <f>IFERROR(VLOOKUP($C82,Datensammler!$B:$AA,17,0),)</f>
        <v/>
      </c>
      <c r="G83" s="179" t="str">
        <f>IFERROR(VLOOKUP($C82,Datensammler!$B:$AA,18,0),)</f>
        <v/>
      </c>
      <c r="H83" s="179" t="str">
        <f>IFERROR(VLOOKUP($C82,Datensammler!$B:$AA,19,0),)</f>
        <v/>
      </c>
      <c r="I83" s="179" t="str">
        <f>IFERROR(VLOOKUP($C82,Datensammler!$B:$AA,20,0),)</f>
        <v/>
      </c>
      <c r="J83" s="180">
        <f t="shared" si="25"/>
        <v>0</v>
      </c>
      <c r="K83" s="181"/>
      <c r="L83" s="181"/>
      <c r="M83" s="181"/>
      <c r="N83" s="182"/>
      <c r="T83" s="172"/>
    </row>
    <row r="84" ht="17.25" customHeight="1">
      <c r="A84" s="130"/>
      <c r="B84" s="183"/>
      <c r="C84" s="184" t="str">
        <f>IF(VLOOKUP(T82,Spieler!A:F,6,0)="Nein","keine Bayerische Meisterschaft gewünscht","")</f>
        <v/>
      </c>
      <c r="D84" s="161"/>
      <c r="E84" s="170"/>
      <c r="F84" s="170"/>
      <c r="G84" s="185" t="s">
        <v>2562</v>
      </c>
      <c r="H84" s="186"/>
      <c r="I84" s="186"/>
      <c r="J84" s="186"/>
      <c r="K84" s="186"/>
      <c r="L84" s="187">
        <f t="shared" ref="L84:M84" si="26">SUM(L81:L83)</f>
        <v>1858</v>
      </c>
      <c r="M84" s="110">
        <f t="shared" si="26"/>
        <v>12</v>
      </c>
      <c r="N84" s="188">
        <f>L84/M84</f>
        <v>154.8333333</v>
      </c>
      <c r="T84" s="189"/>
    </row>
    <row r="85" ht="17.25" customHeight="1">
      <c r="A85" s="130"/>
      <c r="B85" s="190"/>
      <c r="C85" s="178"/>
      <c r="D85" s="191"/>
      <c r="E85" s="191"/>
      <c r="F85" s="191"/>
      <c r="G85" s="191"/>
      <c r="H85" s="191"/>
      <c r="I85" s="191"/>
      <c r="J85" s="191"/>
      <c r="K85" s="191"/>
      <c r="L85" s="192"/>
      <c r="M85" s="191"/>
      <c r="N85" s="193"/>
      <c r="T85" s="194"/>
    </row>
    <row r="86" ht="17.25" customHeight="1">
      <c r="A86" s="130"/>
      <c r="B86" s="157">
        <f>B80+1</f>
        <v>14</v>
      </c>
      <c r="C86" s="158"/>
      <c r="D86" s="159" t="str">
        <f>VLOOKUP(C88,'Mitglieder BBU'!A:J,6,0)</f>
        <v>Regina Gahr</v>
      </c>
      <c r="E86" s="60"/>
      <c r="F86" s="60"/>
      <c r="G86" s="60"/>
      <c r="H86" s="60"/>
      <c r="I86" s="61"/>
      <c r="J86" s="160"/>
      <c r="K86" s="161"/>
      <c r="L86" s="162"/>
      <c r="M86" s="163"/>
      <c r="N86" s="164"/>
      <c r="T86" s="165"/>
    </row>
    <row r="87" ht="17.25" customHeight="1">
      <c r="A87" s="130"/>
      <c r="B87" s="167"/>
      <c r="C87" s="168" t="str">
        <f>VLOOKUP(C88,'Mitglieder BBU'!A:J,6,0)</f>
        <v>Regina Gahr</v>
      </c>
      <c r="D87" s="110">
        <f>IFERROR(VLOOKUP($C88,Datensammler!$B:$AA,3,0),)</f>
        <v>170</v>
      </c>
      <c r="E87" s="110">
        <f>IFERROR(VLOOKUP($C88,Datensammler!$B:$AA,4,0),)</f>
        <v>146</v>
      </c>
      <c r="F87" s="110">
        <f>IFERROR(VLOOKUP($C88,Datensammler!$B:$AA,5,0),)</f>
        <v>151</v>
      </c>
      <c r="G87" s="110">
        <f>IFERROR(VLOOKUP($C88,Datensammler!$B:$AA,6,0),)</f>
        <v>139</v>
      </c>
      <c r="H87" s="110">
        <f>IFERROR(VLOOKUP($C88,Datensammler!$B:$AA,7,0),)</f>
        <v>132</v>
      </c>
      <c r="I87" s="110">
        <f>IFERROR(VLOOKUP($C88,Datensammler!$B:$AA,8,0),)</f>
        <v>125</v>
      </c>
      <c r="J87" s="169">
        <f t="shared" ref="J87:J89" si="27">SUM(D87:I87)</f>
        <v>863</v>
      </c>
      <c r="K87" s="170">
        <f>IFERROR(VLOOKUP($C88,Datensammler!$B:$AA,23,0),)</f>
        <v>0</v>
      </c>
      <c r="L87" s="161">
        <f>IFERROR(VLOOKUP($C88,Datensammler!$B:$AA,24,0),)</f>
        <v>1850</v>
      </c>
      <c r="M87" s="170">
        <f>IFERROR(VLOOKUP($C88,Datensammler!$B:$AA,25,0),)</f>
        <v>12</v>
      </c>
      <c r="N87" s="171">
        <f>IF(C88=0,"",(VLOOKUP($C88,Datensammler!$B:$AA,26,0)))</f>
        <v>154.17</v>
      </c>
      <c r="T87" s="172"/>
    </row>
    <row r="88" ht="17.25" customHeight="1">
      <c r="A88" s="130"/>
      <c r="B88" s="174"/>
      <c r="C88" s="175">
        <f>VLOOKUP(T88,Spieler!A:E,2,0)</f>
        <v>38555</v>
      </c>
      <c r="D88" s="170">
        <f>IFERROR(VLOOKUP($C88,Datensammler!$B:$AA,9,0),)</f>
        <v>160</v>
      </c>
      <c r="E88" s="170">
        <f>IFERROR(VLOOKUP($C88,Datensammler!$B:$AA,10,0),)</f>
        <v>178</v>
      </c>
      <c r="F88" s="170">
        <f>IFERROR(VLOOKUP($C88,Datensammler!$B:$AA,11,0),)</f>
        <v>145</v>
      </c>
      <c r="G88" s="170">
        <f>IFERROR(VLOOKUP($C88,Datensammler!$B:$AA,12,0),)</f>
        <v>170</v>
      </c>
      <c r="H88" s="170">
        <f>IFERROR(VLOOKUP($C88,Datensammler!$B:$AA,13,0),)</f>
        <v>166</v>
      </c>
      <c r="I88" s="170">
        <f>IFERROR(VLOOKUP($C88,Datensammler!$B:$AA,14,0),)</f>
        <v>168</v>
      </c>
      <c r="J88" s="169">
        <f t="shared" si="27"/>
        <v>987</v>
      </c>
      <c r="N88" s="176"/>
      <c r="T88" s="177">
        <f t="array" ref="T88">INDIRECT("Spieler!AD"&amp;B86+5)</f>
        <v>16</v>
      </c>
    </row>
    <row r="89" ht="17.25" customHeight="1">
      <c r="A89" s="130"/>
      <c r="B89" s="167"/>
      <c r="C89" s="178" t="str">
        <f>VLOOKUP(C88,'Mitglieder BBU'!A:K,8,0)</f>
        <v>BC LA Bowling</v>
      </c>
      <c r="D89" s="179" t="str">
        <f>IFERROR(VLOOKUP($C88,Datensammler!$B:$AA,15,0),)</f>
        <v/>
      </c>
      <c r="E89" s="179" t="str">
        <f>IFERROR(VLOOKUP($C88,Datensammler!$B:$AA,16,0),)</f>
        <v/>
      </c>
      <c r="F89" s="179" t="str">
        <f>IFERROR(VLOOKUP($C88,Datensammler!$B:$AA,17,0),)</f>
        <v/>
      </c>
      <c r="G89" s="179" t="str">
        <f>IFERROR(VLOOKUP($C88,Datensammler!$B:$AA,18,0),)</f>
        <v/>
      </c>
      <c r="H89" s="179" t="str">
        <f>IFERROR(VLOOKUP($C88,Datensammler!$B:$AA,19,0),)</f>
        <v/>
      </c>
      <c r="I89" s="179" t="str">
        <f>IFERROR(VLOOKUP($C88,Datensammler!$B:$AA,20,0),)</f>
        <v/>
      </c>
      <c r="J89" s="180">
        <f t="shared" si="27"/>
        <v>0</v>
      </c>
      <c r="K89" s="181"/>
      <c r="L89" s="181"/>
      <c r="M89" s="181"/>
      <c r="N89" s="182"/>
      <c r="T89" s="172"/>
    </row>
    <row r="90" ht="17.25" customHeight="1">
      <c r="A90" s="130"/>
      <c r="B90" s="183"/>
      <c r="C90" s="184" t="str">
        <f>IF(VLOOKUP(T88,Spieler!A:F,6,0)="Nein","keine Bayerische Meisterschaft gewünscht","")</f>
        <v/>
      </c>
      <c r="D90" s="161"/>
      <c r="E90" s="170"/>
      <c r="F90" s="170"/>
      <c r="G90" s="185" t="s">
        <v>2562</v>
      </c>
      <c r="H90" s="186"/>
      <c r="I90" s="186"/>
      <c r="J90" s="186"/>
      <c r="K90" s="186"/>
      <c r="L90" s="187">
        <f t="shared" ref="L90:M90" si="28">SUM(L87:L89)</f>
        <v>1850</v>
      </c>
      <c r="M90" s="110">
        <f t="shared" si="28"/>
        <v>12</v>
      </c>
      <c r="N90" s="188">
        <f>L90/M90</f>
        <v>154.1666667</v>
      </c>
      <c r="T90" s="189"/>
    </row>
    <row r="91" ht="17.25" customHeight="1">
      <c r="A91" s="130"/>
      <c r="B91" s="190"/>
      <c r="C91" s="178"/>
      <c r="D91" s="191"/>
      <c r="E91" s="191"/>
      <c r="F91" s="191"/>
      <c r="G91" s="191"/>
      <c r="H91" s="191"/>
      <c r="I91" s="191"/>
      <c r="J91" s="191"/>
      <c r="K91" s="191"/>
      <c r="L91" s="192"/>
      <c r="M91" s="191"/>
      <c r="N91" s="193"/>
      <c r="T91" s="194"/>
    </row>
    <row r="92" ht="17.25" customHeight="1">
      <c r="A92" s="130"/>
      <c r="B92" s="157">
        <f>B86+1</f>
        <v>15</v>
      </c>
      <c r="C92" s="158"/>
      <c r="D92" s="159" t="str">
        <f>VLOOKUP(C94,'Mitglieder BBU'!A:J,6,0)</f>
        <v>Bianca Leinemann</v>
      </c>
      <c r="E92" s="60"/>
      <c r="F92" s="60"/>
      <c r="G92" s="60"/>
      <c r="H92" s="60"/>
      <c r="I92" s="61"/>
      <c r="J92" s="160"/>
      <c r="K92" s="161"/>
      <c r="L92" s="162"/>
      <c r="M92" s="163"/>
      <c r="N92" s="164"/>
      <c r="T92" s="165"/>
    </row>
    <row r="93" ht="17.25" customHeight="1">
      <c r="A93" s="130"/>
      <c r="B93" s="167"/>
      <c r="C93" s="168" t="str">
        <f>VLOOKUP(C94,'Mitglieder BBU'!A:J,6,0)</f>
        <v>Bianca Leinemann</v>
      </c>
      <c r="D93" s="110">
        <f>IFERROR(VLOOKUP($C94,Datensammler!$B:$AA,3,0),)</f>
        <v>125</v>
      </c>
      <c r="E93" s="110">
        <f>IFERROR(VLOOKUP($C94,Datensammler!$B:$AA,4,0),)</f>
        <v>140</v>
      </c>
      <c r="F93" s="110">
        <f>IFERROR(VLOOKUP($C94,Datensammler!$B:$AA,5,0),)</f>
        <v>157</v>
      </c>
      <c r="G93" s="110">
        <f>IFERROR(VLOOKUP($C94,Datensammler!$B:$AA,6,0),)</f>
        <v>211</v>
      </c>
      <c r="H93" s="110">
        <f>IFERROR(VLOOKUP($C94,Datensammler!$B:$AA,7,0),)</f>
        <v>175</v>
      </c>
      <c r="I93" s="110">
        <f>IFERROR(VLOOKUP($C94,Datensammler!$B:$AA,8,0),)</f>
        <v>116</v>
      </c>
      <c r="J93" s="169">
        <f t="shared" ref="J93:J95" si="29">SUM(D93:I93)</f>
        <v>924</v>
      </c>
      <c r="K93" s="170">
        <f>IFERROR(VLOOKUP($C94,Datensammler!$B:$AA,23,0),)</f>
        <v>0</v>
      </c>
      <c r="L93" s="161">
        <f>IFERROR(VLOOKUP($C94,Datensammler!$B:$AA,24,0),)</f>
        <v>1823</v>
      </c>
      <c r="M93" s="170">
        <f>IFERROR(VLOOKUP($C94,Datensammler!$B:$AA,25,0),)</f>
        <v>12</v>
      </c>
      <c r="N93" s="171">
        <f>IF(C94=0,"",(VLOOKUP($C94,Datensammler!$B:$AA,26,0)))</f>
        <v>151.92</v>
      </c>
      <c r="T93" s="172"/>
    </row>
    <row r="94" ht="17.25" customHeight="1">
      <c r="A94" s="130"/>
      <c r="B94" s="174"/>
      <c r="C94" s="175">
        <f>VLOOKUP(T94,Spieler!A:E,2,0)</f>
        <v>38876</v>
      </c>
      <c r="D94" s="170">
        <f>IFERROR(VLOOKUP($C94,Datensammler!$B:$AA,9,0),)</f>
        <v>146</v>
      </c>
      <c r="E94" s="170">
        <f>IFERROR(VLOOKUP($C94,Datensammler!$B:$AA,10,0),)</f>
        <v>157</v>
      </c>
      <c r="F94" s="170">
        <f>IFERROR(VLOOKUP($C94,Datensammler!$B:$AA,11,0),)</f>
        <v>138</v>
      </c>
      <c r="G94" s="170">
        <f>IFERROR(VLOOKUP($C94,Datensammler!$B:$AA,12,0),)</f>
        <v>157</v>
      </c>
      <c r="H94" s="170">
        <f>IFERROR(VLOOKUP($C94,Datensammler!$B:$AA,13,0),)</f>
        <v>144</v>
      </c>
      <c r="I94" s="170">
        <f>IFERROR(VLOOKUP($C94,Datensammler!$B:$AA,14,0),)</f>
        <v>157</v>
      </c>
      <c r="J94" s="169">
        <f t="shared" si="29"/>
        <v>899</v>
      </c>
      <c r="N94" s="176"/>
      <c r="T94" s="177">
        <f t="array" ref="T94">INDIRECT("Spieler!AD"&amp;B92+5)</f>
        <v>10</v>
      </c>
    </row>
    <row r="95" ht="17.25" customHeight="1">
      <c r="A95" s="130"/>
      <c r="B95" s="167"/>
      <c r="C95" s="178" t="str">
        <f>VLOOKUP(C94,'Mitglieder BBU'!A:K,8,0)</f>
        <v>SG-Rottendorf</v>
      </c>
      <c r="D95" s="179" t="str">
        <f>IFERROR(VLOOKUP($C94,Datensammler!$B:$AA,15,0),)</f>
        <v/>
      </c>
      <c r="E95" s="179" t="str">
        <f>IFERROR(VLOOKUP($C94,Datensammler!$B:$AA,16,0),)</f>
        <v/>
      </c>
      <c r="F95" s="179" t="str">
        <f>IFERROR(VLOOKUP($C94,Datensammler!$B:$AA,17,0),)</f>
        <v/>
      </c>
      <c r="G95" s="179" t="str">
        <f>IFERROR(VLOOKUP($C94,Datensammler!$B:$AA,18,0),)</f>
        <v/>
      </c>
      <c r="H95" s="179" t="str">
        <f>IFERROR(VLOOKUP($C94,Datensammler!$B:$AA,19,0),)</f>
        <v/>
      </c>
      <c r="I95" s="179" t="str">
        <f>IFERROR(VLOOKUP($C94,Datensammler!$B:$AA,20,0),)</f>
        <v/>
      </c>
      <c r="J95" s="180">
        <f t="shared" si="29"/>
        <v>0</v>
      </c>
      <c r="K95" s="181"/>
      <c r="L95" s="181"/>
      <c r="M95" s="181"/>
      <c r="N95" s="182"/>
      <c r="T95" s="172"/>
    </row>
    <row r="96" ht="17.25" customHeight="1">
      <c r="A96" s="130"/>
      <c r="B96" s="183"/>
      <c r="C96" s="184" t="str">
        <f>IF(VLOOKUP(T94,Spieler!A:F,6,0)="Nein","keine Bayerische Meisterschaft gewünscht","")</f>
        <v/>
      </c>
      <c r="D96" s="161"/>
      <c r="E96" s="170"/>
      <c r="F96" s="170"/>
      <c r="G96" s="185" t="s">
        <v>2562</v>
      </c>
      <c r="H96" s="186"/>
      <c r="I96" s="186"/>
      <c r="J96" s="186"/>
      <c r="K96" s="186"/>
      <c r="L96" s="187">
        <f t="shared" ref="L96:M96" si="30">SUM(L93:L95)</f>
        <v>1823</v>
      </c>
      <c r="M96" s="110">
        <f t="shared" si="30"/>
        <v>12</v>
      </c>
      <c r="N96" s="188">
        <f>L96/M96</f>
        <v>151.9166667</v>
      </c>
      <c r="T96" s="189"/>
    </row>
    <row r="97" ht="17.25" customHeight="1">
      <c r="A97" s="130"/>
      <c r="B97" s="190"/>
      <c r="C97" s="178"/>
      <c r="D97" s="191"/>
      <c r="E97" s="191"/>
      <c r="F97" s="191"/>
      <c r="G97" s="191"/>
      <c r="H97" s="191"/>
      <c r="I97" s="191"/>
      <c r="J97" s="191"/>
      <c r="K97" s="191"/>
      <c r="L97" s="192"/>
      <c r="M97" s="191"/>
      <c r="N97" s="193"/>
      <c r="T97" s="194"/>
    </row>
    <row r="98" ht="17.25" customHeight="1">
      <c r="A98" s="130"/>
      <c r="B98" s="157">
        <f>B92+1</f>
        <v>16</v>
      </c>
      <c r="C98" s="158"/>
      <c r="D98" s="159" t="str">
        <f>VLOOKUP(C100,'Mitglieder BBU'!A:J,6,0)</f>
        <v>Rica Jahre</v>
      </c>
      <c r="E98" s="60"/>
      <c r="F98" s="60"/>
      <c r="G98" s="60"/>
      <c r="H98" s="60"/>
      <c r="I98" s="61"/>
      <c r="J98" s="160"/>
      <c r="K98" s="161"/>
      <c r="L98" s="162"/>
      <c r="M98" s="163"/>
      <c r="N98" s="164"/>
      <c r="T98" s="165"/>
    </row>
    <row r="99" ht="17.25" customHeight="1">
      <c r="A99" s="130"/>
      <c r="B99" s="167"/>
      <c r="C99" s="168" t="str">
        <f>VLOOKUP(C100,'Mitglieder BBU'!A:J,6,0)</f>
        <v>Rica Jahre</v>
      </c>
      <c r="D99" s="110">
        <f>IFERROR(VLOOKUP($C100,Datensammler!$B:$AA,3,0),)</f>
        <v>166</v>
      </c>
      <c r="E99" s="110">
        <f>IFERROR(VLOOKUP($C100,Datensammler!$B:$AA,4,0),)</f>
        <v>116</v>
      </c>
      <c r="F99" s="110">
        <f>IFERROR(VLOOKUP($C100,Datensammler!$B:$AA,5,0),)</f>
        <v>164</v>
      </c>
      <c r="G99" s="110">
        <f>IFERROR(VLOOKUP($C100,Datensammler!$B:$AA,6,0),)</f>
        <v>150</v>
      </c>
      <c r="H99" s="110">
        <f>IFERROR(VLOOKUP($C100,Datensammler!$B:$AA,7,0),)</f>
        <v>97</v>
      </c>
      <c r="I99" s="110">
        <f>IFERROR(VLOOKUP($C100,Datensammler!$B:$AA,8,0),)</f>
        <v>168</v>
      </c>
      <c r="J99" s="169">
        <f t="shared" ref="J99:J101" si="31">SUM(D99:I99)</f>
        <v>861</v>
      </c>
      <c r="K99" s="170">
        <f>IFERROR(VLOOKUP($C100,Datensammler!$B:$AA,23,0),)</f>
        <v>0</v>
      </c>
      <c r="L99" s="161">
        <f>IFERROR(VLOOKUP($C100,Datensammler!$B:$AA,24,0),)</f>
        <v>1803</v>
      </c>
      <c r="M99" s="170">
        <f>IFERROR(VLOOKUP($C100,Datensammler!$B:$AA,25,0),)</f>
        <v>12</v>
      </c>
      <c r="N99" s="171">
        <f>IF(C100=0,"",(VLOOKUP($C100,Datensammler!$B:$AA,26,0)))</f>
        <v>150.25</v>
      </c>
      <c r="T99" s="172"/>
    </row>
    <row r="100" ht="17.25" customHeight="1">
      <c r="A100" s="130"/>
      <c r="B100" s="174"/>
      <c r="C100" s="175">
        <f>VLOOKUP(T100,Spieler!A:E,2,0)</f>
        <v>38980</v>
      </c>
      <c r="D100" s="170">
        <f>IFERROR(VLOOKUP($C100,Datensammler!$B:$AA,9,0),)</f>
        <v>182</v>
      </c>
      <c r="E100" s="170">
        <f>IFERROR(VLOOKUP($C100,Datensammler!$B:$AA,10,0),)</f>
        <v>161</v>
      </c>
      <c r="F100" s="170">
        <f>IFERROR(VLOOKUP($C100,Datensammler!$B:$AA,11,0),)</f>
        <v>129</v>
      </c>
      <c r="G100" s="170">
        <f>IFERROR(VLOOKUP($C100,Datensammler!$B:$AA,12,0),)</f>
        <v>153</v>
      </c>
      <c r="H100" s="170">
        <f>IFERROR(VLOOKUP($C100,Datensammler!$B:$AA,13,0),)</f>
        <v>140</v>
      </c>
      <c r="I100" s="170">
        <f>IFERROR(VLOOKUP($C100,Datensammler!$B:$AA,14,0),)</f>
        <v>177</v>
      </c>
      <c r="J100" s="169">
        <f t="shared" si="31"/>
        <v>942</v>
      </c>
      <c r="N100" s="176"/>
      <c r="T100" s="177">
        <f t="array" ref="T100">INDIRECT("Spieler!AD"&amp;B98+5)</f>
        <v>21</v>
      </c>
    </row>
    <row r="101" ht="17.25" customHeight="1">
      <c r="A101" s="130"/>
      <c r="B101" s="167"/>
      <c r="C101" s="178" t="str">
        <f>VLOOKUP(C100,'Mitglieder BBU'!A:K,8,0)</f>
        <v>BC Castra Regina Regensburg</v>
      </c>
      <c r="D101" s="179" t="str">
        <f>IFERROR(VLOOKUP($C100,Datensammler!$B:$AA,15,0),)</f>
        <v/>
      </c>
      <c r="E101" s="179" t="str">
        <f>IFERROR(VLOOKUP($C100,Datensammler!$B:$AA,16,0),)</f>
        <v/>
      </c>
      <c r="F101" s="179" t="str">
        <f>IFERROR(VLOOKUP($C100,Datensammler!$B:$AA,17,0),)</f>
        <v/>
      </c>
      <c r="G101" s="179" t="str">
        <f>IFERROR(VLOOKUP($C100,Datensammler!$B:$AA,18,0),)</f>
        <v/>
      </c>
      <c r="H101" s="179" t="str">
        <f>IFERROR(VLOOKUP($C100,Datensammler!$B:$AA,19,0),)</f>
        <v/>
      </c>
      <c r="I101" s="179" t="str">
        <f>IFERROR(VLOOKUP($C100,Datensammler!$B:$AA,20,0),)</f>
        <v/>
      </c>
      <c r="J101" s="180">
        <f t="shared" si="31"/>
        <v>0</v>
      </c>
      <c r="K101" s="181"/>
      <c r="L101" s="181"/>
      <c r="M101" s="181"/>
      <c r="N101" s="182"/>
      <c r="T101" s="172"/>
    </row>
    <row r="102" ht="17.25" customHeight="1">
      <c r="A102" s="130"/>
      <c r="B102" s="183"/>
      <c r="C102" s="184" t="str">
        <f>IF(VLOOKUP(T100,Spieler!A:F,6,0)="Nein","keine Bayerische Meisterschaft gewünscht","")</f>
        <v/>
      </c>
      <c r="D102" s="161"/>
      <c r="E102" s="170"/>
      <c r="F102" s="170"/>
      <c r="G102" s="185" t="s">
        <v>2562</v>
      </c>
      <c r="H102" s="186"/>
      <c r="I102" s="186"/>
      <c r="J102" s="186"/>
      <c r="K102" s="186"/>
      <c r="L102" s="187">
        <f t="shared" ref="L102:M102" si="32">SUM(L99:L101)</f>
        <v>1803</v>
      </c>
      <c r="M102" s="110">
        <f t="shared" si="32"/>
        <v>12</v>
      </c>
      <c r="N102" s="188">
        <f>L102/M102</f>
        <v>150.25</v>
      </c>
      <c r="T102" s="189"/>
    </row>
    <row r="103" ht="17.25" customHeight="1">
      <c r="A103" s="207"/>
      <c r="B103" s="190"/>
      <c r="C103" s="178"/>
      <c r="D103" s="191"/>
      <c r="E103" s="191"/>
      <c r="F103" s="191"/>
      <c r="G103" s="191"/>
      <c r="H103" s="191"/>
      <c r="I103" s="191"/>
      <c r="J103" s="191"/>
      <c r="K103" s="191"/>
      <c r="L103" s="192"/>
      <c r="M103" s="191"/>
      <c r="N103" s="193"/>
      <c r="T103" s="194"/>
    </row>
    <row r="104" ht="17.25" customHeight="1">
      <c r="A104" s="130"/>
      <c r="B104" s="157">
        <f>B98+1</f>
        <v>17</v>
      </c>
      <c r="C104" s="158"/>
      <c r="D104" s="159" t="str">
        <f>VLOOKUP(C106,'Mitglieder BBU'!A:J,6,0)</f>
        <v>Sabaithip Mekjinda</v>
      </c>
      <c r="E104" s="60"/>
      <c r="F104" s="60"/>
      <c r="G104" s="60"/>
      <c r="H104" s="60"/>
      <c r="I104" s="61"/>
      <c r="J104" s="160"/>
      <c r="K104" s="161"/>
      <c r="L104" s="162"/>
      <c r="M104" s="163"/>
      <c r="N104" s="164"/>
      <c r="T104" s="165"/>
    </row>
    <row r="105" ht="17.25" customHeight="1">
      <c r="A105" s="130"/>
      <c r="B105" s="167"/>
      <c r="C105" s="168" t="str">
        <f>VLOOKUP(C106,'Mitglieder BBU'!A:J,6,0)</f>
        <v>Sabaithip Mekjinda</v>
      </c>
      <c r="D105" s="110">
        <f>IFERROR(VLOOKUP($C106,Datensammler!$B:$AA,3,0),)</f>
        <v>140</v>
      </c>
      <c r="E105" s="110">
        <f>IFERROR(VLOOKUP($C106,Datensammler!$B:$AA,4,0),)</f>
        <v>165</v>
      </c>
      <c r="F105" s="110">
        <f>IFERROR(VLOOKUP($C106,Datensammler!$B:$AA,5,0),)</f>
        <v>144</v>
      </c>
      <c r="G105" s="110">
        <f>IFERROR(VLOOKUP($C106,Datensammler!$B:$AA,6,0),)</f>
        <v>165</v>
      </c>
      <c r="H105" s="110">
        <f>IFERROR(VLOOKUP($C106,Datensammler!$B:$AA,7,0),)</f>
        <v>136</v>
      </c>
      <c r="I105" s="110">
        <f>IFERROR(VLOOKUP($C106,Datensammler!$B:$AA,8,0),)</f>
        <v>145</v>
      </c>
      <c r="J105" s="169">
        <f t="shared" ref="J105:J107" si="33">SUM(D105:I105)</f>
        <v>895</v>
      </c>
      <c r="K105" s="170">
        <f>IFERROR(VLOOKUP($C106,Datensammler!$B:$AA,23,0),)</f>
        <v>0</v>
      </c>
      <c r="L105" s="161">
        <f>IFERROR(VLOOKUP($C106,Datensammler!$B:$AA,24,0),)</f>
        <v>1799</v>
      </c>
      <c r="M105" s="170">
        <f>IFERROR(VLOOKUP($C106,Datensammler!$B:$AA,25,0),)</f>
        <v>12</v>
      </c>
      <c r="N105" s="171">
        <f>IF(C106=0,"",(VLOOKUP($C106,Datensammler!$B:$AA,26,0)))</f>
        <v>149.92</v>
      </c>
      <c r="T105" s="172"/>
    </row>
    <row r="106" ht="17.25" customHeight="1">
      <c r="A106" s="130"/>
      <c r="B106" s="174"/>
      <c r="C106" s="175">
        <f>VLOOKUP(T106,Spieler!A:E,2,0)</f>
        <v>38780</v>
      </c>
      <c r="D106" s="170">
        <f>IFERROR(VLOOKUP($C106,Datensammler!$B:$AA,9,0),)</f>
        <v>166</v>
      </c>
      <c r="E106" s="170">
        <f>IFERROR(VLOOKUP($C106,Datensammler!$B:$AA,10,0),)</f>
        <v>174</v>
      </c>
      <c r="F106" s="170">
        <f>IFERROR(VLOOKUP($C106,Datensammler!$B:$AA,11,0),)</f>
        <v>147</v>
      </c>
      <c r="G106" s="170">
        <f>IFERROR(VLOOKUP($C106,Datensammler!$B:$AA,12,0),)</f>
        <v>126</v>
      </c>
      <c r="H106" s="170">
        <f>IFERROR(VLOOKUP($C106,Datensammler!$B:$AA,13,0),)</f>
        <v>153</v>
      </c>
      <c r="I106" s="170">
        <f>IFERROR(VLOOKUP($C106,Datensammler!$B:$AA,14,0),)</f>
        <v>138</v>
      </c>
      <c r="J106" s="169">
        <f t="shared" si="33"/>
        <v>904</v>
      </c>
      <c r="N106" s="176"/>
      <c r="T106" s="177">
        <f t="array" ref="T106">INDIRECT("Spieler!AD"&amp;B104+5)</f>
        <v>11</v>
      </c>
    </row>
    <row r="107" ht="17.25" customHeight="1">
      <c r="A107" s="130"/>
      <c r="B107" s="167"/>
      <c r="C107" s="178" t="str">
        <f>VLOOKUP(C106,'Mitglieder BBU'!A:K,8,0)</f>
        <v>SG-Rottendorf</v>
      </c>
      <c r="D107" s="179" t="str">
        <f>IFERROR(VLOOKUP($C106,Datensammler!$B:$AA,15,0),)</f>
        <v/>
      </c>
      <c r="E107" s="179" t="str">
        <f>IFERROR(VLOOKUP($C106,Datensammler!$B:$AA,16,0),)</f>
        <v/>
      </c>
      <c r="F107" s="179" t="str">
        <f>IFERROR(VLOOKUP($C106,Datensammler!$B:$AA,17,0),)</f>
        <v/>
      </c>
      <c r="G107" s="179" t="str">
        <f>IFERROR(VLOOKUP($C106,Datensammler!$B:$AA,18,0),)</f>
        <v/>
      </c>
      <c r="H107" s="179" t="str">
        <f>IFERROR(VLOOKUP($C106,Datensammler!$B:$AA,19,0),)</f>
        <v/>
      </c>
      <c r="I107" s="179" t="str">
        <f>IFERROR(VLOOKUP($C106,Datensammler!$B:$AA,20,0),)</f>
        <v/>
      </c>
      <c r="J107" s="180">
        <f t="shared" si="33"/>
        <v>0</v>
      </c>
      <c r="K107" s="181"/>
      <c r="L107" s="181"/>
      <c r="M107" s="181"/>
      <c r="N107" s="182"/>
      <c r="T107" s="172"/>
    </row>
    <row r="108" ht="17.25" customHeight="1">
      <c r="A108" s="130"/>
      <c r="B108" s="183"/>
      <c r="C108" s="184" t="str">
        <f>IF(VLOOKUP(T106,Spieler!A:F,6,0)="Nein","keine Bayerische Meisterschaft gewünscht","")</f>
        <v/>
      </c>
      <c r="D108" s="161"/>
      <c r="E108" s="170"/>
      <c r="F108" s="170"/>
      <c r="G108" s="185" t="s">
        <v>2562</v>
      </c>
      <c r="H108" s="186"/>
      <c r="I108" s="186"/>
      <c r="J108" s="186"/>
      <c r="K108" s="186"/>
      <c r="L108" s="187">
        <f t="shared" ref="L108:M108" si="34">SUM(L105:L107)</f>
        <v>1799</v>
      </c>
      <c r="M108" s="110">
        <f t="shared" si="34"/>
        <v>12</v>
      </c>
      <c r="N108" s="188">
        <f>L108/M108</f>
        <v>149.9166667</v>
      </c>
      <c r="T108" s="189"/>
    </row>
    <row r="109" ht="17.25" customHeight="1">
      <c r="A109" s="130"/>
      <c r="B109" s="190"/>
      <c r="C109" s="178"/>
      <c r="D109" s="191"/>
      <c r="E109" s="191"/>
      <c r="F109" s="191"/>
      <c r="G109" s="191"/>
      <c r="H109" s="191"/>
      <c r="I109" s="191"/>
      <c r="J109" s="191"/>
      <c r="K109" s="191"/>
      <c r="L109" s="192"/>
      <c r="M109" s="191"/>
      <c r="N109" s="193"/>
      <c r="T109" s="194"/>
    </row>
    <row r="110" ht="17.25" customHeight="1">
      <c r="A110" s="130"/>
      <c r="B110" s="157">
        <f>B104+1</f>
        <v>18</v>
      </c>
      <c r="C110" s="158"/>
      <c r="D110" s="159" t="str">
        <f>VLOOKUP(C112,'Mitglieder BBU'!A:J,6,0)</f>
        <v>Nadja Seidlein</v>
      </c>
      <c r="E110" s="60"/>
      <c r="F110" s="60"/>
      <c r="G110" s="60"/>
      <c r="H110" s="60"/>
      <c r="I110" s="61"/>
      <c r="J110" s="160"/>
      <c r="K110" s="161"/>
      <c r="L110" s="162"/>
      <c r="M110" s="163"/>
      <c r="N110" s="164"/>
      <c r="T110" s="165"/>
    </row>
    <row r="111" ht="17.25" customHeight="1">
      <c r="A111" s="130"/>
      <c r="B111" s="167"/>
      <c r="C111" s="168" t="str">
        <f>VLOOKUP(C112,'Mitglieder BBU'!A:J,6,0)</f>
        <v>Nadja Seidlein</v>
      </c>
      <c r="D111" s="110">
        <f>IFERROR(VLOOKUP($C112,Datensammler!$B:$AA,3,0),)</f>
        <v>175</v>
      </c>
      <c r="E111" s="110">
        <f>IFERROR(VLOOKUP($C112,Datensammler!$B:$AA,4,0),)</f>
        <v>147</v>
      </c>
      <c r="F111" s="110">
        <f>IFERROR(VLOOKUP($C112,Datensammler!$B:$AA,5,0),)</f>
        <v>132</v>
      </c>
      <c r="G111" s="110">
        <f>IFERROR(VLOOKUP($C112,Datensammler!$B:$AA,6,0),)</f>
        <v>136</v>
      </c>
      <c r="H111" s="110">
        <f>IFERROR(VLOOKUP($C112,Datensammler!$B:$AA,7,0),)</f>
        <v>144</v>
      </c>
      <c r="I111" s="110">
        <f>IFERROR(VLOOKUP($C112,Datensammler!$B:$AA,8,0),)</f>
        <v>133</v>
      </c>
      <c r="J111" s="169">
        <f t="shared" ref="J111:J113" si="35">SUM(D111:I111)</f>
        <v>867</v>
      </c>
      <c r="K111" s="170">
        <f>IFERROR(VLOOKUP($C112,Datensammler!$B:$AA,23,0),)</f>
        <v>0</v>
      </c>
      <c r="L111" s="161">
        <f>IFERROR(VLOOKUP($C112,Datensammler!$B:$AA,24,0),)</f>
        <v>1784</v>
      </c>
      <c r="M111" s="170">
        <f>IFERROR(VLOOKUP($C112,Datensammler!$B:$AA,25,0),)</f>
        <v>12</v>
      </c>
      <c r="N111" s="171">
        <f>IF(C112=0,"",(VLOOKUP($C112,Datensammler!$B:$AA,26,0)))</f>
        <v>148.67</v>
      </c>
      <c r="T111" s="172"/>
    </row>
    <row r="112" ht="17.25" customHeight="1">
      <c r="A112" s="130"/>
      <c r="B112" s="174"/>
      <c r="C112" s="175">
        <f>VLOOKUP(T112,Spieler!A:E,2,0)</f>
        <v>38173</v>
      </c>
      <c r="D112" s="170">
        <f>IFERROR(VLOOKUP($C112,Datensammler!$B:$AA,9,0),)</f>
        <v>159</v>
      </c>
      <c r="E112" s="170">
        <f>IFERROR(VLOOKUP($C112,Datensammler!$B:$AA,10,0),)</f>
        <v>168</v>
      </c>
      <c r="F112" s="170">
        <f>IFERROR(VLOOKUP($C112,Datensammler!$B:$AA,11,0),)</f>
        <v>160</v>
      </c>
      <c r="G112" s="170">
        <f>IFERROR(VLOOKUP($C112,Datensammler!$B:$AA,12,0),)</f>
        <v>136</v>
      </c>
      <c r="H112" s="170">
        <f>IFERROR(VLOOKUP($C112,Datensammler!$B:$AA,13,0),)</f>
        <v>139</v>
      </c>
      <c r="I112" s="170">
        <f>IFERROR(VLOOKUP($C112,Datensammler!$B:$AA,14,0),)</f>
        <v>155</v>
      </c>
      <c r="J112" s="169">
        <f t="shared" si="35"/>
        <v>917</v>
      </c>
      <c r="N112" s="176"/>
      <c r="T112" s="177">
        <f t="array" ref="T112">INDIRECT("Spieler!AD"&amp;B110+5)</f>
        <v>13</v>
      </c>
    </row>
    <row r="113" ht="17.25" customHeight="1">
      <c r="A113" s="130"/>
      <c r="B113" s="167"/>
      <c r="C113" s="178" t="str">
        <f>VLOOKUP(C112,'Mitglieder BBU'!A:K,8,0)</f>
        <v>BC Schwarz-Weiß Mainfranken</v>
      </c>
      <c r="D113" s="179" t="str">
        <f>IFERROR(VLOOKUP($C112,Datensammler!$B:$AA,15,0),)</f>
        <v/>
      </c>
      <c r="E113" s="179" t="str">
        <f>IFERROR(VLOOKUP($C112,Datensammler!$B:$AA,16,0),)</f>
        <v/>
      </c>
      <c r="F113" s="179" t="str">
        <f>IFERROR(VLOOKUP($C112,Datensammler!$B:$AA,17,0),)</f>
        <v/>
      </c>
      <c r="G113" s="179" t="str">
        <f>IFERROR(VLOOKUP($C112,Datensammler!$B:$AA,18,0),)</f>
        <v/>
      </c>
      <c r="H113" s="179" t="str">
        <f>IFERROR(VLOOKUP($C112,Datensammler!$B:$AA,19,0),)</f>
        <v/>
      </c>
      <c r="I113" s="179" t="str">
        <f>IFERROR(VLOOKUP($C112,Datensammler!$B:$AA,20,0),)</f>
        <v/>
      </c>
      <c r="J113" s="180">
        <f t="shared" si="35"/>
        <v>0</v>
      </c>
      <c r="K113" s="181"/>
      <c r="L113" s="181"/>
      <c r="M113" s="181"/>
      <c r="N113" s="182"/>
      <c r="T113" s="172"/>
    </row>
    <row r="114" ht="17.25" customHeight="1">
      <c r="A114" s="130"/>
      <c r="B114" s="183"/>
      <c r="C114" s="184" t="str">
        <f>IF(VLOOKUP(T112,Spieler!A:F,6,0)="Nein","keine Bayerische Meisterschaft gewünscht","")</f>
        <v/>
      </c>
      <c r="D114" s="161"/>
      <c r="E114" s="170"/>
      <c r="F114" s="170"/>
      <c r="G114" s="185" t="s">
        <v>2562</v>
      </c>
      <c r="H114" s="186"/>
      <c r="I114" s="186"/>
      <c r="J114" s="186"/>
      <c r="K114" s="186"/>
      <c r="L114" s="187">
        <f t="shared" ref="L114:M114" si="36">SUM(L111:L113)</f>
        <v>1784</v>
      </c>
      <c r="M114" s="110">
        <f t="shared" si="36"/>
        <v>12</v>
      </c>
      <c r="N114" s="188">
        <f>L114/M114</f>
        <v>148.6666667</v>
      </c>
      <c r="T114" s="189"/>
    </row>
    <row r="115" ht="17.25" customHeight="1">
      <c r="A115" s="207"/>
      <c r="B115" s="190"/>
      <c r="C115" s="178"/>
      <c r="D115" s="191"/>
      <c r="E115" s="191"/>
      <c r="F115" s="191"/>
      <c r="G115" s="191"/>
      <c r="H115" s="191"/>
      <c r="I115" s="191"/>
      <c r="J115" s="191"/>
      <c r="K115" s="191"/>
      <c r="L115" s="192"/>
      <c r="M115" s="191"/>
      <c r="N115" s="193"/>
      <c r="T115" s="194"/>
    </row>
    <row r="116" ht="17.25" customHeight="1">
      <c r="A116" s="130"/>
      <c r="B116" s="157">
        <f>B110+1</f>
        <v>19</v>
      </c>
      <c r="C116" s="158"/>
      <c r="D116" s="159" t="str">
        <f>VLOOKUP(C118,'Mitglieder BBU'!A:J,6,0)</f>
        <v>Denise Schwertfeger</v>
      </c>
      <c r="E116" s="60"/>
      <c r="F116" s="60"/>
      <c r="G116" s="60"/>
      <c r="H116" s="60"/>
      <c r="I116" s="61"/>
      <c r="J116" s="160"/>
      <c r="K116" s="161"/>
      <c r="L116" s="162"/>
      <c r="M116" s="163"/>
      <c r="N116" s="164"/>
      <c r="T116" s="165"/>
    </row>
    <row r="117" ht="17.25" customHeight="1">
      <c r="A117" s="130"/>
      <c r="B117" s="167"/>
      <c r="C117" s="168" t="str">
        <f>VLOOKUP(C118,'Mitglieder BBU'!A:J,6,0)</f>
        <v>Denise Schwertfeger</v>
      </c>
      <c r="D117" s="110">
        <f>IFERROR(VLOOKUP($C118,Datensammler!$B:$AA,3,0),)</f>
        <v>134</v>
      </c>
      <c r="E117" s="110">
        <f>IFERROR(VLOOKUP($C118,Datensammler!$B:$AA,4,0),)</f>
        <v>132</v>
      </c>
      <c r="F117" s="110">
        <f>IFERROR(VLOOKUP($C118,Datensammler!$B:$AA,5,0),)</f>
        <v>120</v>
      </c>
      <c r="G117" s="110">
        <f>IFERROR(VLOOKUP($C118,Datensammler!$B:$AA,6,0),)</f>
        <v>136</v>
      </c>
      <c r="H117" s="110">
        <f>IFERROR(VLOOKUP($C118,Datensammler!$B:$AA,7,0),)</f>
        <v>160</v>
      </c>
      <c r="I117" s="110">
        <f>IFERROR(VLOOKUP($C118,Datensammler!$B:$AA,8,0),)</f>
        <v>148</v>
      </c>
      <c r="J117" s="169">
        <f t="shared" ref="J117:J119" si="37">SUM(D117:I117)</f>
        <v>830</v>
      </c>
      <c r="K117" s="170">
        <f>IFERROR(VLOOKUP($C118,Datensammler!$B:$AA,23,0),)</f>
        <v>0</v>
      </c>
      <c r="L117" s="161">
        <f>IFERROR(VLOOKUP($C118,Datensammler!$B:$AA,24,0),)</f>
        <v>1701</v>
      </c>
      <c r="M117" s="170">
        <f>IFERROR(VLOOKUP($C118,Datensammler!$B:$AA,25,0),)</f>
        <v>12</v>
      </c>
      <c r="N117" s="171">
        <f>IF(C118=0,"",(VLOOKUP($C118,Datensammler!$B:$AA,26,0)))</f>
        <v>141.75</v>
      </c>
      <c r="T117" s="172"/>
    </row>
    <row r="118" ht="17.25" customHeight="1">
      <c r="A118" s="130"/>
      <c r="B118" s="174"/>
      <c r="C118" s="175">
        <f>VLOOKUP(T118,Spieler!A:E,2,0)</f>
        <v>38934</v>
      </c>
      <c r="D118" s="170">
        <f>IFERROR(VLOOKUP($C118,Datensammler!$B:$AA,9,0),)</f>
        <v>134</v>
      </c>
      <c r="E118" s="170">
        <f>IFERROR(VLOOKUP($C118,Datensammler!$B:$AA,10,0),)</f>
        <v>145</v>
      </c>
      <c r="F118" s="170">
        <f>IFERROR(VLOOKUP($C118,Datensammler!$B:$AA,11,0),)</f>
        <v>125</v>
      </c>
      <c r="G118" s="170">
        <f>IFERROR(VLOOKUP($C118,Datensammler!$B:$AA,12,0),)</f>
        <v>123</v>
      </c>
      <c r="H118" s="170">
        <f>IFERROR(VLOOKUP($C118,Datensammler!$B:$AA,13,0),)</f>
        <v>191</v>
      </c>
      <c r="I118" s="170">
        <f>IFERROR(VLOOKUP($C118,Datensammler!$B:$AA,14,0),)</f>
        <v>153</v>
      </c>
      <c r="J118" s="169">
        <f t="shared" si="37"/>
        <v>871</v>
      </c>
      <c r="N118" s="176"/>
      <c r="T118" s="177">
        <f t="array" ref="T118">INDIRECT("Spieler!AD"&amp;B116+5)</f>
        <v>5</v>
      </c>
    </row>
    <row r="119" ht="17.25" customHeight="1">
      <c r="A119" s="130"/>
      <c r="B119" s="167"/>
      <c r="C119" s="178" t="str">
        <f>VLOOKUP(C118,'Mitglieder BBU'!A:K,8,0)</f>
        <v>SG-Rottendorf</v>
      </c>
      <c r="D119" s="179" t="str">
        <f>IFERROR(VLOOKUP($C118,Datensammler!$B:$AA,15,0),)</f>
        <v/>
      </c>
      <c r="E119" s="179" t="str">
        <f>IFERROR(VLOOKUP($C118,Datensammler!$B:$AA,16,0),)</f>
        <v/>
      </c>
      <c r="F119" s="179" t="str">
        <f>IFERROR(VLOOKUP($C118,Datensammler!$B:$AA,17,0),)</f>
        <v/>
      </c>
      <c r="G119" s="179" t="str">
        <f>IFERROR(VLOOKUP($C118,Datensammler!$B:$AA,18,0),)</f>
        <v/>
      </c>
      <c r="H119" s="179" t="str">
        <f>IFERROR(VLOOKUP($C118,Datensammler!$B:$AA,19,0),)</f>
        <v/>
      </c>
      <c r="I119" s="179" t="str">
        <f>IFERROR(VLOOKUP($C118,Datensammler!$B:$AA,20,0),)</f>
        <v/>
      </c>
      <c r="J119" s="180">
        <f t="shared" si="37"/>
        <v>0</v>
      </c>
      <c r="K119" s="181"/>
      <c r="L119" s="181"/>
      <c r="M119" s="181"/>
      <c r="N119" s="182"/>
      <c r="T119" s="172"/>
    </row>
    <row r="120" ht="17.25" customHeight="1">
      <c r="A120" s="130"/>
      <c r="B120" s="183"/>
      <c r="C120" s="184" t="str">
        <f>IF(VLOOKUP(T118,Spieler!A:F,6,0)="Nein","keine Bayerische Meisterschaft gewünscht","")</f>
        <v/>
      </c>
      <c r="D120" s="161"/>
      <c r="E120" s="170"/>
      <c r="F120" s="170"/>
      <c r="G120" s="185" t="s">
        <v>2562</v>
      </c>
      <c r="H120" s="186"/>
      <c r="I120" s="186"/>
      <c r="J120" s="186"/>
      <c r="K120" s="186"/>
      <c r="L120" s="187">
        <f t="shared" ref="L120:M120" si="38">SUM(L117:L119)</f>
        <v>1701</v>
      </c>
      <c r="M120" s="110">
        <f t="shared" si="38"/>
        <v>12</v>
      </c>
      <c r="N120" s="188">
        <f>L120/M120</f>
        <v>141.75</v>
      </c>
      <c r="T120" s="189"/>
    </row>
    <row r="121" ht="17.25" customHeight="1">
      <c r="A121" s="130"/>
      <c r="B121" s="190"/>
      <c r="C121" s="178"/>
      <c r="D121" s="191"/>
      <c r="E121" s="191"/>
      <c r="F121" s="191"/>
      <c r="G121" s="191"/>
      <c r="H121" s="191"/>
      <c r="I121" s="191"/>
      <c r="J121" s="191"/>
      <c r="K121" s="191"/>
      <c r="L121" s="192"/>
      <c r="M121" s="191"/>
      <c r="N121" s="193"/>
      <c r="T121" s="194"/>
    </row>
    <row r="122" ht="17.25" customHeight="1">
      <c r="A122" s="130"/>
      <c r="B122" s="157">
        <f>B116+1</f>
        <v>20</v>
      </c>
      <c r="C122" s="158"/>
      <c r="D122" s="159" t="str">
        <f>VLOOKUP(C124,'Mitglieder BBU'!A:J,6,0)</f>
        <v>Roswitha Schulz-Burkert</v>
      </c>
      <c r="E122" s="60"/>
      <c r="F122" s="60"/>
      <c r="G122" s="60"/>
      <c r="H122" s="60"/>
      <c r="I122" s="61"/>
      <c r="J122" s="160"/>
      <c r="K122" s="161"/>
      <c r="L122" s="162"/>
      <c r="M122" s="163"/>
      <c r="N122" s="164"/>
      <c r="T122" s="165"/>
    </row>
    <row r="123" ht="17.25" customHeight="1">
      <c r="A123" s="130"/>
      <c r="B123" s="167"/>
      <c r="C123" s="168" t="str">
        <f>VLOOKUP(C124,'Mitglieder BBU'!A:J,6,0)</f>
        <v>Roswitha Schulz-Burkert</v>
      </c>
      <c r="D123" s="110">
        <f>IFERROR(VLOOKUP($C124,Datensammler!$B:$AA,3,0),)</f>
        <v>149</v>
      </c>
      <c r="E123" s="110">
        <f>IFERROR(VLOOKUP($C124,Datensammler!$B:$AA,4,0),)</f>
        <v>140</v>
      </c>
      <c r="F123" s="110">
        <f>IFERROR(VLOOKUP($C124,Datensammler!$B:$AA,5,0),)</f>
        <v>127</v>
      </c>
      <c r="G123" s="110">
        <f>IFERROR(VLOOKUP($C124,Datensammler!$B:$AA,6,0),)</f>
        <v>163</v>
      </c>
      <c r="H123" s="110">
        <f>IFERROR(VLOOKUP($C124,Datensammler!$B:$AA,7,0),)</f>
        <v>121</v>
      </c>
      <c r="I123" s="110">
        <f>IFERROR(VLOOKUP($C124,Datensammler!$B:$AA,8,0),)</f>
        <v>116</v>
      </c>
      <c r="J123" s="169">
        <f t="shared" ref="J123:J125" si="39">SUM(D123:I123)</f>
        <v>816</v>
      </c>
      <c r="K123" s="170">
        <f>IFERROR(VLOOKUP($C124,Datensammler!$B:$AA,23,0),)</f>
        <v>0</v>
      </c>
      <c r="L123" s="161">
        <f>IFERROR(VLOOKUP($C124,Datensammler!$B:$AA,24,0),)</f>
        <v>1650</v>
      </c>
      <c r="M123" s="170">
        <f>IFERROR(VLOOKUP($C124,Datensammler!$B:$AA,25,0),)</f>
        <v>12</v>
      </c>
      <c r="N123" s="171">
        <f>IF(C124=0,"",(VLOOKUP($C124,Datensammler!$B:$AA,26,0)))</f>
        <v>137.5</v>
      </c>
      <c r="T123" s="172"/>
    </row>
    <row r="124" ht="17.25" customHeight="1">
      <c r="A124" s="130"/>
      <c r="B124" s="174"/>
      <c r="C124" s="175">
        <f>VLOOKUP(T124,Spieler!A:E,2,0)</f>
        <v>25347</v>
      </c>
      <c r="D124" s="170">
        <f>IFERROR(VLOOKUP($C124,Datensammler!$B:$AA,9,0),)</f>
        <v>133</v>
      </c>
      <c r="E124" s="170">
        <f>IFERROR(VLOOKUP($C124,Datensammler!$B:$AA,10,0),)</f>
        <v>132</v>
      </c>
      <c r="F124" s="170">
        <f>IFERROR(VLOOKUP($C124,Datensammler!$B:$AA,11,0),)</f>
        <v>120</v>
      </c>
      <c r="G124" s="170">
        <f>IFERROR(VLOOKUP($C124,Datensammler!$B:$AA,12,0),)</f>
        <v>151</v>
      </c>
      <c r="H124" s="170">
        <f>IFERROR(VLOOKUP($C124,Datensammler!$B:$AA,13,0),)</f>
        <v>153</v>
      </c>
      <c r="I124" s="170">
        <f>IFERROR(VLOOKUP($C124,Datensammler!$B:$AA,14,0),)</f>
        <v>145</v>
      </c>
      <c r="J124" s="169">
        <f t="shared" si="39"/>
        <v>834</v>
      </c>
      <c r="N124" s="176"/>
      <c r="T124" s="177">
        <f t="array" ref="T124">INDIRECT("Spieler!AD"&amp;B122+5)</f>
        <v>2</v>
      </c>
    </row>
    <row r="125" ht="17.25" customHeight="1">
      <c r="A125" s="130"/>
      <c r="B125" s="167"/>
      <c r="C125" s="178" t="str">
        <f>VLOOKUP(C124,'Mitglieder BBU'!A:K,8,0)</f>
        <v>BC Phönix 03 Lauf</v>
      </c>
      <c r="D125" s="179" t="str">
        <f>IFERROR(VLOOKUP($C124,Datensammler!$B:$AA,15,0),)</f>
        <v/>
      </c>
      <c r="E125" s="179" t="str">
        <f>IFERROR(VLOOKUP($C124,Datensammler!$B:$AA,16,0),)</f>
        <v/>
      </c>
      <c r="F125" s="179" t="str">
        <f>IFERROR(VLOOKUP($C124,Datensammler!$B:$AA,17,0),)</f>
        <v/>
      </c>
      <c r="G125" s="179" t="str">
        <f>IFERROR(VLOOKUP($C124,Datensammler!$B:$AA,18,0),)</f>
        <v/>
      </c>
      <c r="H125" s="179" t="str">
        <f>IFERROR(VLOOKUP($C124,Datensammler!$B:$AA,19,0),)</f>
        <v/>
      </c>
      <c r="I125" s="179" t="str">
        <f>IFERROR(VLOOKUP($C124,Datensammler!$B:$AA,20,0),)</f>
        <v/>
      </c>
      <c r="J125" s="180">
        <f t="shared" si="39"/>
        <v>0</v>
      </c>
      <c r="K125" s="181"/>
      <c r="L125" s="181"/>
      <c r="M125" s="181"/>
      <c r="N125" s="182"/>
      <c r="T125" s="172"/>
    </row>
    <row r="126" ht="17.25" customHeight="1">
      <c r="A126" s="130"/>
      <c r="B126" s="183"/>
      <c r="C126" s="184" t="str">
        <f>IF(VLOOKUP(T124,Spieler!A:F,6,0)="Nein","keine Bayerische Meisterschaft gewünscht","")</f>
        <v/>
      </c>
      <c r="D126" s="161"/>
      <c r="E126" s="170"/>
      <c r="F126" s="170"/>
      <c r="G126" s="185" t="s">
        <v>2562</v>
      </c>
      <c r="H126" s="186"/>
      <c r="I126" s="186"/>
      <c r="J126" s="186"/>
      <c r="K126" s="186"/>
      <c r="L126" s="187">
        <f t="shared" ref="L126:M126" si="40">SUM(L123:L125)</f>
        <v>1650</v>
      </c>
      <c r="M126" s="110">
        <f t="shared" si="40"/>
        <v>12</v>
      </c>
      <c r="N126" s="188">
        <f>L126/M126</f>
        <v>137.5</v>
      </c>
      <c r="T126" s="189"/>
    </row>
    <row r="127" ht="17.25" customHeight="1">
      <c r="A127" s="130"/>
      <c r="B127" s="190"/>
      <c r="C127" s="178"/>
      <c r="D127" s="191"/>
      <c r="E127" s="191"/>
      <c r="F127" s="191"/>
      <c r="G127" s="191"/>
      <c r="H127" s="191"/>
      <c r="I127" s="191"/>
      <c r="J127" s="191"/>
      <c r="K127" s="191"/>
      <c r="L127" s="192"/>
      <c r="M127" s="191"/>
      <c r="N127" s="193"/>
      <c r="T127" s="194"/>
    </row>
    <row r="128" ht="17.25" customHeight="1">
      <c r="A128" s="130"/>
      <c r="B128" s="157">
        <f>B122+1</f>
        <v>21</v>
      </c>
      <c r="C128" s="158"/>
      <c r="D128" s="159" t="str">
        <f>VLOOKUP(C130,'Mitglieder BBU'!A:J,6,0)</f>
        <v>Ingeborg Schmitt</v>
      </c>
      <c r="E128" s="60"/>
      <c r="F128" s="60"/>
      <c r="G128" s="60"/>
      <c r="H128" s="60"/>
      <c r="I128" s="61"/>
      <c r="J128" s="160"/>
      <c r="K128" s="161"/>
      <c r="L128" s="162"/>
      <c r="M128" s="163"/>
      <c r="N128" s="164"/>
      <c r="T128" s="165"/>
    </row>
    <row r="129" ht="17.25" customHeight="1">
      <c r="A129" s="130"/>
      <c r="B129" s="167"/>
      <c r="C129" s="168" t="str">
        <f>VLOOKUP(C130,'Mitglieder BBU'!A:J,6,0)</f>
        <v>Ingeborg Schmitt</v>
      </c>
      <c r="D129" s="110">
        <f>IFERROR(VLOOKUP($C130,Datensammler!$B:$AA,3,0),)</f>
        <v>142</v>
      </c>
      <c r="E129" s="110">
        <f>IFERROR(VLOOKUP($C130,Datensammler!$B:$AA,4,0),)</f>
        <v>104</v>
      </c>
      <c r="F129" s="110">
        <f>IFERROR(VLOOKUP($C130,Datensammler!$B:$AA,5,0),)</f>
        <v>159</v>
      </c>
      <c r="G129" s="110">
        <f>IFERROR(VLOOKUP($C130,Datensammler!$B:$AA,6,0),)</f>
        <v>119</v>
      </c>
      <c r="H129" s="110">
        <f>IFERROR(VLOOKUP($C130,Datensammler!$B:$AA,7,0),)</f>
        <v>130</v>
      </c>
      <c r="I129" s="110">
        <f>IFERROR(VLOOKUP($C130,Datensammler!$B:$AA,8,0),)</f>
        <v>165</v>
      </c>
      <c r="J129" s="169">
        <f t="shared" ref="J129:J131" si="41">SUM(D129:I129)</f>
        <v>819</v>
      </c>
      <c r="K129" s="170">
        <f>IFERROR(VLOOKUP($C130,Datensammler!$B:$AA,23,0),)</f>
        <v>0</v>
      </c>
      <c r="L129" s="161">
        <f>IFERROR(VLOOKUP($C130,Datensammler!$B:$AA,24,0),)</f>
        <v>1596</v>
      </c>
      <c r="M129" s="170">
        <f>IFERROR(VLOOKUP($C130,Datensammler!$B:$AA,25,0),)</f>
        <v>12</v>
      </c>
      <c r="N129" s="171">
        <f>IF(C130=0,"",(VLOOKUP($C130,Datensammler!$B:$AA,26,0)))</f>
        <v>133</v>
      </c>
      <c r="T129" s="172"/>
    </row>
    <row r="130" ht="17.25" customHeight="1">
      <c r="A130" s="130"/>
      <c r="B130" s="174"/>
      <c r="C130" s="175">
        <f>VLOOKUP(T130,Spieler!A:E,2,0)</f>
        <v>7974</v>
      </c>
      <c r="D130" s="170">
        <f>IFERROR(VLOOKUP($C130,Datensammler!$B:$AA,9,0),)</f>
        <v>122</v>
      </c>
      <c r="E130" s="170">
        <f>IFERROR(VLOOKUP($C130,Datensammler!$B:$AA,10,0),)</f>
        <v>126</v>
      </c>
      <c r="F130" s="170">
        <f>IFERROR(VLOOKUP($C130,Datensammler!$B:$AA,11,0),)</f>
        <v>126</v>
      </c>
      <c r="G130" s="170">
        <f>IFERROR(VLOOKUP($C130,Datensammler!$B:$AA,12,0),)</f>
        <v>151</v>
      </c>
      <c r="H130" s="170">
        <f>IFERROR(VLOOKUP($C130,Datensammler!$B:$AA,13,0),)</f>
        <v>136</v>
      </c>
      <c r="I130" s="170">
        <f>IFERROR(VLOOKUP($C130,Datensammler!$B:$AA,14,0),)</f>
        <v>116</v>
      </c>
      <c r="J130" s="169">
        <f t="shared" si="41"/>
        <v>777</v>
      </c>
      <c r="N130" s="176"/>
      <c r="T130" s="177">
        <f t="array" ref="T130">INDIRECT("Spieler!AD"&amp;B128+5)</f>
        <v>3</v>
      </c>
    </row>
    <row r="131" ht="17.25" customHeight="1">
      <c r="A131" s="130"/>
      <c r="B131" s="167"/>
      <c r="C131" s="178" t="str">
        <f>VLOOKUP(C130,'Mitglieder BBU'!A:K,8,0)</f>
        <v>BF Rot-Weiß Lichtenhof 69</v>
      </c>
      <c r="D131" s="179" t="str">
        <f>IFERROR(VLOOKUP($C130,Datensammler!$B:$AA,15,0),)</f>
        <v/>
      </c>
      <c r="E131" s="179" t="str">
        <f>IFERROR(VLOOKUP($C130,Datensammler!$B:$AA,16,0),)</f>
        <v/>
      </c>
      <c r="F131" s="179" t="str">
        <f>IFERROR(VLOOKUP($C130,Datensammler!$B:$AA,17,0),)</f>
        <v/>
      </c>
      <c r="G131" s="179" t="str">
        <f>IFERROR(VLOOKUP($C130,Datensammler!$B:$AA,18,0),)</f>
        <v/>
      </c>
      <c r="H131" s="179" t="str">
        <f>IFERROR(VLOOKUP($C130,Datensammler!$B:$AA,19,0),)</f>
        <v/>
      </c>
      <c r="I131" s="179" t="str">
        <f>IFERROR(VLOOKUP($C130,Datensammler!$B:$AA,20,0),)</f>
        <v/>
      </c>
      <c r="J131" s="180">
        <f t="shared" si="41"/>
        <v>0</v>
      </c>
      <c r="K131" s="181"/>
      <c r="L131" s="181"/>
      <c r="M131" s="181"/>
      <c r="N131" s="182"/>
      <c r="T131" s="172"/>
    </row>
    <row r="132" ht="17.25" customHeight="1">
      <c r="A132" s="130"/>
      <c r="B132" s="183"/>
      <c r="C132" s="184" t="str">
        <f>IF(VLOOKUP(T130,Spieler!A:F,6,0)="Nein","keine Bayerische Meisterschaft gewünscht","")</f>
        <v/>
      </c>
      <c r="D132" s="161"/>
      <c r="E132" s="170"/>
      <c r="F132" s="170"/>
      <c r="G132" s="185" t="s">
        <v>2562</v>
      </c>
      <c r="H132" s="186"/>
      <c r="I132" s="186"/>
      <c r="J132" s="186"/>
      <c r="K132" s="186"/>
      <c r="L132" s="187">
        <f t="shared" ref="L132:M132" si="42">SUM(L129:L131)</f>
        <v>1596</v>
      </c>
      <c r="M132" s="110">
        <f t="shared" si="42"/>
        <v>12</v>
      </c>
      <c r="N132" s="188">
        <f>L132/M132</f>
        <v>133</v>
      </c>
      <c r="T132" s="189"/>
    </row>
    <row r="133" ht="17.25" customHeight="1">
      <c r="A133" s="130"/>
      <c r="B133" s="190"/>
      <c r="C133" s="178"/>
      <c r="D133" s="191"/>
      <c r="E133" s="191"/>
      <c r="F133" s="191"/>
      <c r="G133" s="191"/>
      <c r="H133" s="191"/>
      <c r="I133" s="191"/>
      <c r="J133" s="191"/>
      <c r="K133" s="191"/>
      <c r="L133" s="192"/>
      <c r="M133" s="191"/>
      <c r="N133" s="193"/>
      <c r="T133" s="194"/>
    </row>
    <row r="134" ht="17.25" customHeight="1">
      <c r="A134" s="130"/>
      <c r="B134" s="157">
        <f>B128+1</f>
        <v>22</v>
      </c>
      <c r="C134" s="158"/>
      <c r="D134" s="159" t="str">
        <f>VLOOKUP(C136,'Mitglieder BBU'!A:J,6,0)</f>
        <v>Stephanie Fischer</v>
      </c>
      <c r="E134" s="60"/>
      <c r="F134" s="60"/>
      <c r="G134" s="60"/>
      <c r="H134" s="60"/>
      <c r="I134" s="61"/>
      <c r="J134" s="160"/>
      <c r="K134" s="161"/>
      <c r="L134" s="162"/>
      <c r="M134" s="163"/>
      <c r="N134" s="164"/>
      <c r="T134" s="165"/>
    </row>
    <row r="135" ht="17.25" customHeight="1">
      <c r="A135" s="130"/>
      <c r="B135" s="167"/>
      <c r="C135" s="168" t="str">
        <f>VLOOKUP(C136,'Mitglieder BBU'!A:J,6,0)</f>
        <v>Stephanie Fischer</v>
      </c>
      <c r="D135" s="110">
        <f>IFERROR(VLOOKUP($C136,Datensammler!$B:$AA,3,0),)</f>
        <v>118</v>
      </c>
      <c r="E135" s="110">
        <f>IFERROR(VLOOKUP($C136,Datensammler!$B:$AA,4,0),)</f>
        <v>144</v>
      </c>
      <c r="F135" s="110">
        <f>IFERROR(VLOOKUP($C136,Datensammler!$B:$AA,5,0),)</f>
        <v>128</v>
      </c>
      <c r="G135" s="110">
        <f>IFERROR(VLOOKUP($C136,Datensammler!$B:$AA,6,0),)</f>
        <v>102</v>
      </c>
      <c r="H135" s="110">
        <f>IFERROR(VLOOKUP($C136,Datensammler!$B:$AA,7,0),)</f>
        <v>112</v>
      </c>
      <c r="I135" s="110">
        <f>IFERROR(VLOOKUP($C136,Datensammler!$B:$AA,8,0),)</f>
        <v>172</v>
      </c>
      <c r="J135" s="169">
        <f t="shared" ref="J135:J137" si="43">SUM(D135:I135)</f>
        <v>776</v>
      </c>
      <c r="K135" s="170">
        <f>IFERROR(VLOOKUP($C136,Datensammler!$B:$AA,23,0),)</f>
        <v>0</v>
      </c>
      <c r="L135" s="161">
        <f>IFERROR(VLOOKUP($C136,Datensammler!$B:$AA,24,0),)</f>
        <v>1574</v>
      </c>
      <c r="M135" s="170">
        <f>IFERROR(VLOOKUP($C136,Datensammler!$B:$AA,25,0),)</f>
        <v>12</v>
      </c>
      <c r="N135" s="171">
        <f>IF(C136=0,"",(VLOOKUP($C136,Datensammler!$B:$AA,26,0)))</f>
        <v>131.17</v>
      </c>
      <c r="T135" s="172"/>
    </row>
    <row r="136" ht="17.25" customHeight="1">
      <c r="A136" s="130"/>
      <c r="B136" s="174"/>
      <c r="C136" s="175">
        <f>VLOOKUP(T136,Spieler!A:E,2,0)</f>
        <v>38789</v>
      </c>
      <c r="D136" s="170">
        <f>IFERROR(VLOOKUP($C136,Datensammler!$B:$AA,9,0),)</f>
        <v>135</v>
      </c>
      <c r="E136" s="170">
        <f>IFERROR(VLOOKUP($C136,Datensammler!$B:$AA,10,0),)</f>
        <v>141</v>
      </c>
      <c r="F136" s="170">
        <f>IFERROR(VLOOKUP($C136,Datensammler!$B:$AA,11,0),)</f>
        <v>118</v>
      </c>
      <c r="G136" s="170">
        <f>IFERROR(VLOOKUP($C136,Datensammler!$B:$AA,12,0),)</f>
        <v>119</v>
      </c>
      <c r="H136" s="170">
        <f>IFERROR(VLOOKUP($C136,Datensammler!$B:$AA,13,0),)</f>
        <v>158</v>
      </c>
      <c r="I136" s="170">
        <f>IFERROR(VLOOKUP($C136,Datensammler!$B:$AA,14,0),)</f>
        <v>127</v>
      </c>
      <c r="J136" s="169">
        <f t="shared" si="43"/>
        <v>798</v>
      </c>
      <c r="N136" s="176"/>
      <c r="T136" s="177">
        <f t="array" ref="T136">INDIRECT("Spieler!AD"&amp;B134+5)</f>
        <v>12</v>
      </c>
    </row>
    <row r="137" ht="17.25" customHeight="1">
      <c r="A137" s="130"/>
      <c r="B137" s="167"/>
      <c r="C137" s="178" t="str">
        <f>VLOOKUP(C136,'Mitglieder BBU'!A:K,8,0)</f>
        <v>BC Schwarz-Weiß Mainfranken</v>
      </c>
      <c r="D137" s="179" t="str">
        <f>IFERROR(VLOOKUP($C136,Datensammler!$B:$AA,15,0),)</f>
        <v/>
      </c>
      <c r="E137" s="179" t="str">
        <f>IFERROR(VLOOKUP($C136,Datensammler!$B:$AA,16,0),)</f>
        <v/>
      </c>
      <c r="F137" s="179" t="str">
        <f>IFERROR(VLOOKUP($C136,Datensammler!$B:$AA,17,0),)</f>
        <v/>
      </c>
      <c r="G137" s="179" t="str">
        <f>IFERROR(VLOOKUP($C136,Datensammler!$B:$AA,18,0),)</f>
        <v/>
      </c>
      <c r="H137" s="179" t="str">
        <f>IFERROR(VLOOKUP($C136,Datensammler!$B:$AA,19,0),)</f>
        <v/>
      </c>
      <c r="I137" s="179" t="str">
        <f>IFERROR(VLOOKUP($C136,Datensammler!$B:$AA,20,0),)</f>
        <v/>
      </c>
      <c r="J137" s="180">
        <f t="shared" si="43"/>
        <v>0</v>
      </c>
      <c r="K137" s="181"/>
      <c r="L137" s="181"/>
      <c r="M137" s="181"/>
      <c r="N137" s="182"/>
      <c r="T137" s="172"/>
    </row>
    <row r="138" ht="17.25" customHeight="1">
      <c r="A138" s="130"/>
      <c r="B138" s="183"/>
      <c r="C138" s="184" t="str">
        <f>IF(VLOOKUP(T136,Spieler!A:F,6,0)="Nein","keine Bayerische Meisterschaft gewünscht","")</f>
        <v/>
      </c>
      <c r="D138" s="161"/>
      <c r="E138" s="170"/>
      <c r="F138" s="170"/>
      <c r="G138" s="185" t="s">
        <v>2562</v>
      </c>
      <c r="H138" s="186"/>
      <c r="I138" s="186"/>
      <c r="J138" s="186"/>
      <c r="K138" s="186"/>
      <c r="L138" s="187">
        <f t="shared" ref="L138:M138" si="44">SUM(L135:L137)</f>
        <v>1574</v>
      </c>
      <c r="M138" s="110">
        <f t="shared" si="44"/>
        <v>12</v>
      </c>
      <c r="N138" s="188">
        <f>L138/M138</f>
        <v>131.1666667</v>
      </c>
      <c r="T138" s="189"/>
    </row>
    <row r="139" ht="17.25" customHeight="1">
      <c r="A139" s="130"/>
      <c r="B139" s="190"/>
      <c r="C139" s="178"/>
      <c r="D139" s="191"/>
      <c r="E139" s="191"/>
      <c r="F139" s="191"/>
      <c r="G139" s="191"/>
      <c r="H139" s="191"/>
      <c r="I139" s="191"/>
      <c r="J139" s="191"/>
      <c r="K139" s="191"/>
      <c r="L139" s="192"/>
      <c r="M139" s="191"/>
      <c r="N139" s="193"/>
      <c r="T139" s="194"/>
    </row>
    <row r="140" ht="17.25" customHeight="1">
      <c r="A140" s="130"/>
      <c r="B140" s="157">
        <f>B134+1</f>
        <v>23</v>
      </c>
      <c r="C140" s="158"/>
      <c r="D140" s="159" t="str">
        <f>VLOOKUP(C142,'Mitglieder BBU'!A:J,6,0)</f>
        <v>#N/A</v>
      </c>
      <c r="E140" s="60"/>
      <c r="F140" s="60"/>
      <c r="G140" s="60"/>
      <c r="H140" s="60"/>
      <c r="I140" s="61"/>
      <c r="J140" s="160"/>
      <c r="K140" s="161"/>
      <c r="L140" s="162"/>
      <c r="M140" s="163"/>
      <c r="N140" s="164"/>
      <c r="T140" s="165"/>
    </row>
    <row r="141" ht="17.25" customHeight="1">
      <c r="A141" s="130"/>
      <c r="B141" s="167"/>
      <c r="C141" s="168" t="str">
        <f>VLOOKUP(C142,'Mitglieder BBU'!A:J,6,0)</f>
        <v>#N/A</v>
      </c>
      <c r="D141" s="110" t="str">
        <f>IFERROR(VLOOKUP($C142,Datensammler!$B:$AA,3,0),)</f>
        <v/>
      </c>
      <c r="E141" s="110" t="str">
        <f>IFERROR(VLOOKUP($C142,Datensammler!$B:$AA,4,0),)</f>
        <v/>
      </c>
      <c r="F141" s="110" t="str">
        <f>IFERROR(VLOOKUP($C142,Datensammler!$B:$AA,5,0),)</f>
        <v/>
      </c>
      <c r="G141" s="110" t="str">
        <f>IFERROR(VLOOKUP($C142,Datensammler!$B:$AA,6,0),)</f>
        <v/>
      </c>
      <c r="H141" s="110" t="str">
        <f>IFERROR(VLOOKUP($C142,Datensammler!$B:$AA,7,0),)</f>
        <v/>
      </c>
      <c r="I141" s="110" t="str">
        <f>IFERROR(VLOOKUP($C142,Datensammler!$B:$AA,8,0),)</f>
        <v/>
      </c>
      <c r="J141" s="169">
        <f t="shared" ref="J141:J143" si="45">SUM(D141:I141)</f>
        <v>0</v>
      </c>
      <c r="K141" s="170" t="str">
        <f>IFERROR(VLOOKUP($C142,Datensammler!$B:$AA,23,0),)</f>
        <v/>
      </c>
      <c r="L141" s="161" t="str">
        <f>IFERROR(VLOOKUP($C142,Datensammler!$B:$AA,24,0),)</f>
        <v/>
      </c>
      <c r="M141" s="170" t="str">
        <f>IFERROR(VLOOKUP($C142,Datensammler!$B:$AA,25,0),)</f>
        <v/>
      </c>
      <c r="N141" s="171" t="str">
        <f>IF(C142=0,"",(VLOOKUP($C142,Datensammler!$B:$AA,26,0)))</f>
        <v>#N/A</v>
      </c>
      <c r="T141" s="172"/>
    </row>
    <row r="142" ht="17.25" customHeight="1">
      <c r="A142" s="130"/>
      <c r="B142" s="174"/>
      <c r="C142" s="175" t="str">
        <f>VLOOKUP(T142,Spieler!A:E,2,0)</f>
        <v>#N/A</v>
      </c>
      <c r="D142" s="170" t="str">
        <f>IFERROR(VLOOKUP($C142,Datensammler!$B:$AA,9,0),)</f>
        <v/>
      </c>
      <c r="E142" s="170" t="str">
        <f>IFERROR(VLOOKUP($C142,Datensammler!$B:$AA,10,0),)</f>
        <v/>
      </c>
      <c r="F142" s="170" t="str">
        <f>IFERROR(VLOOKUP($C142,Datensammler!$B:$AA,11,0),)</f>
        <v/>
      </c>
      <c r="G142" s="170" t="str">
        <f>IFERROR(VLOOKUP($C142,Datensammler!$B:$AA,12,0),)</f>
        <v/>
      </c>
      <c r="H142" s="170" t="str">
        <f>IFERROR(VLOOKUP($C142,Datensammler!$B:$AA,13,0),)</f>
        <v/>
      </c>
      <c r="I142" s="170" t="str">
        <f>IFERROR(VLOOKUP($C142,Datensammler!$B:$AA,14,0),)</f>
        <v/>
      </c>
      <c r="J142" s="169">
        <f t="shared" si="45"/>
        <v>0</v>
      </c>
      <c r="N142" s="176"/>
      <c r="T142" s="177" t="str">
        <f t="array" ref="T142">INDIRECT("Spieler!AD"&amp;B140+5)</f>
        <v/>
      </c>
    </row>
    <row r="143" ht="17.25" customHeight="1">
      <c r="A143" s="130"/>
      <c r="B143" s="167"/>
      <c r="C143" s="178" t="str">
        <f>VLOOKUP(C142,'Mitglieder BBU'!A:K,8,0)</f>
        <v>#N/A</v>
      </c>
      <c r="D143" s="179" t="str">
        <f>IFERROR(VLOOKUP($C142,Datensammler!$B:$AA,15,0),)</f>
        <v/>
      </c>
      <c r="E143" s="179" t="str">
        <f>IFERROR(VLOOKUP($C142,Datensammler!$B:$AA,16,0),)</f>
        <v/>
      </c>
      <c r="F143" s="179" t="str">
        <f>IFERROR(VLOOKUP($C142,Datensammler!$B:$AA,17,0),)</f>
        <v/>
      </c>
      <c r="G143" s="179" t="str">
        <f>IFERROR(VLOOKUP($C142,Datensammler!$B:$AA,18,0),)</f>
        <v/>
      </c>
      <c r="H143" s="179" t="str">
        <f>IFERROR(VLOOKUP($C142,Datensammler!$B:$AA,19,0),)</f>
        <v/>
      </c>
      <c r="I143" s="179" t="str">
        <f>IFERROR(VLOOKUP($C142,Datensammler!$B:$AA,20,0),)</f>
        <v/>
      </c>
      <c r="J143" s="180">
        <f t="shared" si="45"/>
        <v>0</v>
      </c>
      <c r="K143" s="181"/>
      <c r="L143" s="181"/>
      <c r="M143" s="181"/>
      <c r="N143" s="182"/>
      <c r="T143" s="172"/>
    </row>
    <row r="144" ht="17.25" customHeight="1">
      <c r="A144" s="130"/>
      <c r="B144" s="183"/>
      <c r="C144" s="184" t="str">
        <f>IF(VLOOKUP(T142,Spieler!A:F,6,0)="Nein","keine Bayerische Meisterschaft gewünscht","")</f>
        <v>#N/A</v>
      </c>
      <c r="D144" s="161"/>
      <c r="E144" s="170"/>
      <c r="F144" s="170"/>
      <c r="G144" s="185" t="s">
        <v>2562</v>
      </c>
      <c r="H144" s="186"/>
      <c r="I144" s="186"/>
      <c r="J144" s="186"/>
      <c r="K144" s="186"/>
      <c r="L144" s="187">
        <f t="shared" ref="L144:M144" si="46">SUM(L141:L143)</f>
        <v>0</v>
      </c>
      <c r="M144" s="110">
        <f t="shared" si="46"/>
        <v>0</v>
      </c>
      <c r="N144" s="188" t="str">
        <f>L144/M144</f>
        <v>#DIV/0!</v>
      </c>
      <c r="T144" s="189"/>
    </row>
    <row r="145" ht="17.25" customHeight="1">
      <c r="A145" s="130"/>
      <c r="B145" s="190"/>
      <c r="C145" s="178"/>
      <c r="D145" s="191"/>
      <c r="E145" s="191"/>
      <c r="F145" s="191"/>
      <c r="G145" s="191"/>
      <c r="H145" s="191"/>
      <c r="I145" s="191"/>
      <c r="J145" s="191"/>
      <c r="K145" s="191"/>
      <c r="L145" s="192"/>
      <c r="M145" s="191"/>
      <c r="N145" s="193"/>
      <c r="T145" s="194"/>
    </row>
    <row r="146" ht="17.25" customHeight="1">
      <c r="A146" s="130"/>
      <c r="B146" s="157">
        <f>B140+1</f>
        <v>24</v>
      </c>
      <c r="C146" s="158"/>
      <c r="D146" s="159" t="str">
        <f>VLOOKUP(C148,'Mitglieder BBU'!A:J,6,0)</f>
        <v>#N/A</v>
      </c>
      <c r="E146" s="60"/>
      <c r="F146" s="60"/>
      <c r="G146" s="60"/>
      <c r="H146" s="60"/>
      <c r="I146" s="61"/>
      <c r="J146" s="160"/>
      <c r="K146" s="161"/>
      <c r="L146" s="162"/>
      <c r="M146" s="163"/>
      <c r="N146" s="164"/>
      <c r="T146" s="165"/>
    </row>
    <row r="147" ht="17.25" customHeight="1">
      <c r="A147" s="130"/>
      <c r="B147" s="167"/>
      <c r="C147" s="168" t="str">
        <f>VLOOKUP(C148,'Mitglieder BBU'!A:J,6,0)</f>
        <v>#N/A</v>
      </c>
      <c r="D147" s="110" t="str">
        <f>IFERROR(VLOOKUP($C148,Datensammler!$B:$AA,3,0),)</f>
        <v/>
      </c>
      <c r="E147" s="110" t="str">
        <f>IFERROR(VLOOKUP($C148,Datensammler!$B:$AA,4,0),)</f>
        <v/>
      </c>
      <c r="F147" s="110" t="str">
        <f>IFERROR(VLOOKUP($C148,Datensammler!$B:$AA,5,0),)</f>
        <v/>
      </c>
      <c r="G147" s="110" t="str">
        <f>IFERROR(VLOOKUP($C148,Datensammler!$B:$AA,6,0),)</f>
        <v/>
      </c>
      <c r="H147" s="110" t="str">
        <f>IFERROR(VLOOKUP($C148,Datensammler!$B:$AA,7,0),)</f>
        <v/>
      </c>
      <c r="I147" s="110" t="str">
        <f>IFERROR(VLOOKUP($C148,Datensammler!$B:$AA,8,0),)</f>
        <v/>
      </c>
      <c r="J147" s="169">
        <f t="shared" ref="J147:J149" si="47">SUM(D147:I147)</f>
        <v>0</v>
      </c>
      <c r="K147" s="170" t="str">
        <f>IFERROR(VLOOKUP($C148,Datensammler!$B:$AA,23,0),)</f>
        <v/>
      </c>
      <c r="L147" s="161" t="str">
        <f>IFERROR(VLOOKUP($C148,Datensammler!$B:$AA,24,0),)</f>
        <v/>
      </c>
      <c r="M147" s="170" t="str">
        <f>IFERROR(VLOOKUP($C148,Datensammler!$B:$AA,25,0),)</f>
        <v/>
      </c>
      <c r="N147" s="171" t="str">
        <f>IF(C148=0,"",(VLOOKUP($C148,Datensammler!$B:$AA,26,0)))</f>
        <v>#N/A</v>
      </c>
      <c r="T147" s="172"/>
    </row>
    <row r="148" ht="17.25" customHeight="1">
      <c r="A148" s="130"/>
      <c r="B148" s="174"/>
      <c r="C148" s="175" t="str">
        <f>VLOOKUP(T148,Spieler!A:E,2,0)</f>
        <v>#N/A</v>
      </c>
      <c r="D148" s="170" t="str">
        <f>IFERROR(VLOOKUP($C148,Datensammler!$B:$AA,9,0),)</f>
        <v/>
      </c>
      <c r="E148" s="170" t="str">
        <f>IFERROR(VLOOKUP($C148,Datensammler!$B:$AA,10,0),)</f>
        <v/>
      </c>
      <c r="F148" s="170" t="str">
        <f>IFERROR(VLOOKUP($C148,Datensammler!$B:$AA,11,0),)</f>
        <v/>
      </c>
      <c r="G148" s="170" t="str">
        <f>IFERROR(VLOOKUP($C148,Datensammler!$B:$AA,12,0),)</f>
        <v/>
      </c>
      <c r="H148" s="170" t="str">
        <f>IFERROR(VLOOKUP($C148,Datensammler!$B:$AA,13,0),)</f>
        <v/>
      </c>
      <c r="I148" s="170" t="str">
        <f>IFERROR(VLOOKUP($C148,Datensammler!$B:$AA,14,0),)</f>
        <v/>
      </c>
      <c r="J148" s="169">
        <f t="shared" si="47"/>
        <v>0</v>
      </c>
      <c r="N148" s="176"/>
      <c r="T148" s="177" t="str">
        <f t="array" ref="T148">INDIRECT("Spieler!AD"&amp;B146+5)</f>
        <v/>
      </c>
    </row>
    <row r="149" ht="17.25" customHeight="1">
      <c r="A149" s="130"/>
      <c r="B149" s="167"/>
      <c r="C149" s="178" t="str">
        <f>VLOOKUP(C148,'Mitglieder BBU'!A:K,8,0)</f>
        <v>#N/A</v>
      </c>
      <c r="D149" s="179" t="str">
        <f>IFERROR(VLOOKUP($C148,Datensammler!$B:$AA,15,0),)</f>
        <v/>
      </c>
      <c r="E149" s="179" t="str">
        <f>IFERROR(VLOOKUP($C148,Datensammler!$B:$AA,16,0),)</f>
        <v/>
      </c>
      <c r="F149" s="179" t="str">
        <f>IFERROR(VLOOKUP($C148,Datensammler!$B:$AA,17,0),)</f>
        <v/>
      </c>
      <c r="G149" s="179" t="str">
        <f>IFERROR(VLOOKUP($C148,Datensammler!$B:$AA,18,0),)</f>
        <v/>
      </c>
      <c r="H149" s="179" t="str">
        <f>IFERROR(VLOOKUP($C148,Datensammler!$B:$AA,19,0),)</f>
        <v/>
      </c>
      <c r="I149" s="179" t="str">
        <f>IFERROR(VLOOKUP($C148,Datensammler!$B:$AA,20,0),)</f>
        <v/>
      </c>
      <c r="J149" s="180">
        <f t="shared" si="47"/>
        <v>0</v>
      </c>
      <c r="K149" s="181"/>
      <c r="L149" s="181"/>
      <c r="M149" s="181"/>
      <c r="N149" s="182"/>
      <c r="T149" s="172"/>
    </row>
    <row r="150" ht="17.25" customHeight="1">
      <c r="A150" s="130"/>
      <c r="B150" s="183"/>
      <c r="C150" s="184" t="str">
        <f>IF(VLOOKUP(T148,Spieler!A:F,6,0)="Nein","keine Bayerische Meisterschaft gewünscht","")</f>
        <v>#N/A</v>
      </c>
      <c r="D150" s="161"/>
      <c r="E150" s="170"/>
      <c r="F150" s="170"/>
      <c r="G150" s="185" t="s">
        <v>2562</v>
      </c>
      <c r="H150" s="186"/>
      <c r="I150" s="186"/>
      <c r="J150" s="186"/>
      <c r="K150" s="186"/>
      <c r="L150" s="187">
        <f t="shared" ref="L150:M150" si="48">SUM(L147:L149)</f>
        <v>0</v>
      </c>
      <c r="M150" s="110">
        <f t="shared" si="48"/>
        <v>0</v>
      </c>
      <c r="N150" s="188" t="str">
        <f>L150/M150</f>
        <v>#DIV/0!</v>
      </c>
      <c r="T150" s="189"/>
    </row>
    <row r="151" ht="17.25" customHeight="1">
      <c r="A151" s="130"/>
      <c r="B151" s="190"/>
      <c r="C151" s="178"/>
      <c r="D151" s="191"/>
      <c r="E151" s="191"/>
      <c r="F151" s="191"/>
      <c r="G151" s="191"/>
      <c r="H151" s="191"/>
      <c r="I151" s="191"/>
      <c r="J151" s="191"/>
      <c r="K151" s="191"/>
      <c r="L151" s="192"/>
      <c r="M151" s="191"/>
      <c r="N151" s="193"/>
      <c r="T151" s="194"/>
    </row>
    <row r="152" ht="17.25" customHeight="1">
      <c r="A152" s="130"/>
      <c r="B152" s="157">
        <f>B146+1</f>
        <v>25</v>
      </c>
      <c r="C152" s="158"/>
      <c r="D152" s="159" t="str">
        <f>VLOOKUP(C154,'Mitglieder BBU'!A:J,6,0)</f>
        <v>#N/A</v>
      </c>
      <c r="E152" s="60"/>
      <c r="F152" s="60"/>
      <c r="G152" s="60"/>
      <c r="H152" s="60"/>
      <c r="I152" s="61"/>
      <c r="J152" s="160"/>
      <c r="K152" s="161"/>
      <c r="L152" s="162"/>
      <c r="M152" s="163"/>
      <c r="N152" s="164"/>
      <c r="T152" s="165"/>
    </row>
    <row r="153" ht="17.25" customHeight="1">
      <c r="A153" s="130"/>
      <c r="B153" s="167"/>
      <c r="C153" s="168" t="str">
        <f>VLOOKUP(C154,'Mitglieder BBU'!A:J,6,0)</f>
        <v>#N/A</v>
      </c>
      <c r="D153" s="110" t="str">
        <f>IFERROR(VLOOKUP($C154,Datensammler!$B:$AA,3,0),)</f>
        <v/>
      </c>
      <c r="E153" s="110" t="str">
        <f>IFERROR(VLOOKUP($C154,Datensammler!$B:$AA,4,0),)</f>
        <v/>
      </c>
      <c r="F153" s="110" t="str">
        <f>IFERROR(VLOOKUP($C154,Datensammler!$B:$AA,5,0),)</f>
        <v/>
      </c>
      <c r="G153" s="110" t="str">
        <f>IFERROR(VLOOKUP($C154,Datensammler!$B:$AA,6,0),)</f>
        <v/>
      </c>
      <c r="H153" s="110" t="str">
        <f>IFERROR(VLOOKUP($C154,Datensammler!$B:$AA,7,0),)</f>
        <v/>
      </c>
      <c r="I153" s="110" t="str">
        <f>IFERROR(VLOOKUP($C154,Datensammler!$B:$AA,8,0),)</f>
        <v/>
      </c>
      <c r="J153" s="169">
        <f t="shared" ref="J153:J155" si="49">SUM(D153:I153)</f>
        <v>0</v>
      </c>
      <c r="K153" s="170" t="str">
        <f>IFERROR(VLOOKUP($C154,Datensammler!$B:$AA,23,0),)</f>
        <v/>
      </c>
      <c r="L153" s="161" t="str">
        <f>IFERROR(VLOOKUP($C154,Datensammler!$B:$AA,24,0),)</f>
        <v/>
      </c>
      <c r="M153" s="170" t="str">
        <f>IFERROR(VLOOKUP($C154,Datensammler!$B:$AA,25,0),)</f>
        <v/>
      </c>
      <c r="N153" s="171" t="str">
        <f>IF(C154=0,"",(VLOOKUP($C154,Datensammler!$B:$AA,26,0)))</f>
        <v>#N/A</v>
      </c>
      <c r="T153" s="172"/>
    </row>
    <row r="154" ht="17.25" customHeight="1">
      <c r="A154" s="130"/>
      <c r="B154" s="174"/>
      <c r="C154" s="175" t="str">
        <f>VLOOKUP(T154,Spieler!A:E,2,0)</f>
        <v>#N/A</v>
      </c>
      <c r="D154" s="170" t="str">
        <f>IFERROR(VLOOKUP($C154,Datensammler!$B:$AA,9,0),)</f>
        <v/>
      </c>
      <c r="E154" s="170" t="str">
        <f>IFERROR(VLOOKUP($C154,Datensammler!$B:$AA,10,0),)</f>
        <v/>
      </c>
      <c r="F154" s="170" t="str">
        <f>IFERROR(VLOOKUP($C154,Datensammler!$B:$AA,11,0),)</f>
        <v/>
      </c>
      <c r="G154" s="170" t="str">
        <f>IFERROR(VLOOKUP($C154,Datensammler!$B:$AA,12,0),)</f>
        <v/>
      </c>
      <c r="H154" s="170" t="str">
        <f>IFERROR(VLOOKUP($C154,Datensammler!$B:$AA,13,0),)</f>
        <v/>
      </c>
      <c r="I154" s="170" t="str">
        <f>IFERROR(VLOOKUP($C154,Datensammler!$B:$AA,14,0),)</f>
        <v/>
      </c>
      <c r="J154" s="169">
        <f t="shared" si="49"/>
        <v>0</v>
      </c>
      <c r="N154" s="176"/>
      <c r="T154" s="177" t="str">
        <f t="array" ref="T154">INDIRECT("Spieler!AD"&amp;B152+5)</f>
        <v/>
      </c>
    </row>
    <row r="155" ht="17.25" customHeight="1">
      <c r="A155" s="130"/>
      <c r="B155" s="167"/>
      <c r="C155" s="178" t="str">
        <f>VLOOKUP(C154,'Mitglieder BBU'!A:K,8,0)</f>
        <v>#N/A</v>
      </c>
      <c r="D155" s="179" t="str">
        <f>IFERROR(VLOOKUP($C154,Datensammler!$B:$AA,15,0),)</f>
        <v/>
      </c>
      <c r="E155" s="179" t="str">
        <f>IFERROR(VLOOKUP($C154,Datensammler!$B:$AA,16,0),)</f>
        <v/>
      </c>
      <c r="F155" s="179" t="str">
        <f>IFERROR(VLOOKUP($C154,Datensammler!$B:$AA,17,0),)</f>
        <v/>
      </c>
      <c r="G155" s="179" t="str">
        <f>IFERROR(VLOOKUP($C154,Datensammler!$B:$AA,18,0),)</f>
        <v/>
      </c>
      <c r="H155" s="179" t="str">
        <f>IFERROR(VLOOKUP($C154,Datensammler!$B:$AA,19,0),)</f>
        <v/>
      </c>
      <c r="I155" s="179" t="str">
        <f>IFERROR(VLOOKUP($C154,Datensammler!$B:$AA,20,0),)</f>
        <v/>
      </c>
      <c r="J155" s="180">
        <f t="shared" si="49"/>
        <v>0</v>
      </c>
      <c r="K155" s="181"/>
      <c r="L155" s="181"/>
      <c r="M155" s="181"/>
      <c r="N155" s="182"/>
      <c r="T155" s="172"/>
    </row>
    <row r="156" ht="17.25" customHeight="1">
      <c r="A156" s="130"/>
      <c r="B156" s="183"/>
      <c r="C156" s="184" t="str">
        <f>IF(VLOOKUP(T154,Spieler!A:F,6,0)="Nein","keine Bayerische Meisterschaft gewünscht","")</f>
        <v>#N/A</v>
      </c>
      <c r="D156" s="161"/>
      <c r="E156" s="170"/>
      <c r="F156" s="170"/>
      <c r="G156" s="185" t="s">
        <v>2562</v>
      </c>
      <c r="H156" s="186"/>
      <c r="I156" s="186"/>
      <c r="J156" s="186"/>
      <c r="K156" s="186"/>
      <c r="L156" s="187">
        <f t="shared" ref="L156:M156" si="50">SUM(L153:L155)</f>
        <v>0</v>
      </c>
      <c r="M156" s="110">
        <f t="shared" si="50"/>
        <v>0</v>
      </c>
      <c r="N156" s="188" t="str">
        <f>L156/M156</f>
        <v>#DIV/0!</v>
      </c>
      <c r="T156" s="189"/>
    </row>
    <row r="157" ht="17.25" customHeight="1">
      <c r="A157" s="130"/>
      <c r="B157" s="190"/>
      <c r="C157" s="178"/>
      <c r="D157" s="191"/>
      <c r="E157" s="191"/>
      <c r="F157" s="191"/>
      <c r="G157" s="191"/>
      <c r="H157" s="191"/>
      <c r="I157" s="191"/>
      <c r="J157" s="191"/>
      <c r="K157" s="191"/>
      <c r="L157" s="192"/>
      <c r="M157" s="191"/>
      <c r="N157" s="193"/>
      <c r="T157" s="194"/>
    </row>
    <row r="158" ht="17.25" customHeight="1">
      <c r="A158" s="130"/>
      <c r="B158" s="157">
        <f>B152+1</f>
        <v>26</v>
      </c>
      <c r="C158" s="158"/>
      <c r="D158" s="159" t="str">
        <f>VLOOKUP(C160,'Mitglieder BBU'!A:J,6,0)</f>
        <v>#N/A</v>
      </c>
      <c r="E158" s="60"/>
      <c r="F158" s="60"/>
      <c r="G158" s="60"/>
      <c r="H158" s="60"/>
      <c r="I158" s="61"/>
      <c r="J158" s="160"/>
      <c r="K158" s="161"/>
      <c r="L158" s="162"/>
      <c r="M158" s="163"/>
      <c r="N158" s="164"/>
      <c r="T158" s="165"/>
    </row>
    <row r="159" ht="17.25" customHeight="1">
      <c r="A159" s="130"/>
      <c r="B159" s="167"/>
      <c r="C159" s="168" t="str">
        <f>VLOOKUP(C160,'Mitglieder BBU'!A:J,6,0)</f>
        <v>#N/A</v>
      </c>
      <c r="D159" s="110" t="str">
        <f>IFERROR(VLOOKUP($C160,Datensammler!$B:$AA,3,0),)</f>
        <v/>
      </c>
      <c r="E159" s="110" t="str">
        <f>IFERROR(VLOOKUP($C160,Datensammler!$B:$AA,4,0),)</f>
        <v/>
      </c>
      <c r="F159" s="110" t="str">
        <f>IFERROR(VLOOKUP($C160,Datensammler!$B:$AA,5,0),)</f>
        <v/>
      </c>
      <c r="G159" s="110" t="str">
        <f>IFERROR(VLOOKUP($C160,Datensammler!$B:$AA,6,0),)</f>
        <v/>
      </c>
      <c r="H159" s="110" t="str">
        <f>IFERROR(VLOOKUP($C160,Datensammler!$B:$AA,7,0),)</f>
        <v/>
      </c>
      <c r="I159" s="110" t="str">
        <f>IFERROR(VLOOKUP($C160,Datensammler!$B:$AA,8,0),)</f>
        <v/>
      </c>
      <c r="J159" s="169">
        <f t="shared" ref="J159:J161" si="51">SUM(D159:I159)</f>
        <v>0</v>
      </c>
      <c r="K159" s="170" t="str">
        <f>IFERROR(VLOOKUP($C160,Datensammler!$B:$AA,23,0),)</f>
        <v/>
      </c>
      <c r="L159" s="161" t="str">
        <f>IFERROR(VLOOKUP($C160,Datensammler!$B:$AA,24,0),)</f>
        <v/>
      </c>
      <c r="M159" s="170" t="str">
        <f>IFERROR(VLOOKUP($C160,Datensammler!$B:$AA,25,0),)</f>
        <v/>
      </c>
      <c r="N159" s="171" t="str">
        <f>IF(C160=0,"",(VLOOKUP($C160,Datensammler!$B:$AA,26,0)))</f>
        <v>#N/A</v>
      </c>
      <c r="T159" s="172"/>
    </row>
    <row r="160" ht="17.25" customHeight="1">
      <c r="A160" s="130"/>
      <c r="B160" s="174"/>
      <c r="C160" s="175" t="str">
        <f>VLOOKUP(T160,Spieler!A:E,2,0)</f>
        <v>#N/A</v>
      </c>
      <c r="D160" s="170" t="str">
        <f>IFERROR(VLOOKUP($C160,Datensammler!$B:$AA,9,0),)</f>
        <v/>
      </c>
      <c r="E160" s="170" t="str">
        <f>IFERROR(VLOOKUP($C160,Datensammler!$B:$AA,10,0),)</f>
        <v/>
      </c>
      <c r="F160" s="170" t="str">
        <f>IFERROR(VLOOKUP($C160,Datensammler!$B:$AA,11,0),)</f>
        <v/>
      </c>
      <c r="G160" s="170" t="str">
        <f>IFERROR(VLOOKUP($C160,Datensammler!$B:$AA,12,0),)</f>
        <v/>
      </c>
      <c r="H160" s="170" t="str">
        <f>IFERROR(VLOOKUP($C160,Datensammler!$B:$AA,13,0),)</f>
        <v/>
      </c>
      <c r="I160" s="170" t="str">
        <f>IFERROR(VLOOKUP($C160,Datensammler!$B:$AA,14,0),)</f>
        <v/>
      </c>
      <c r="J160" s="169">
        <f t="shared" si="51"/>
        <v>0</v>
      </c>
      <c r="N160" s="176"/>
      <c r="T160" s="177" t="str">
        <f t="array" ref="T160">INDIRECT("Spieler!AD"&amp;B158+5)</f>
        <v/>
      </c>
    </row>
    <row r="161" ht="17.25" customHeight="1">
      <c r="A161" s="130"/>
      <c r="B161" s="167"/>
      <c r="C161" s="178" t="str">
        <f>VLOOKUP(C160,'Mitglieder BBU'!A:K,8,0)</f>
        <v>#N/A</v>
      </c>
      <c r="D161" s="179" t="str">
        <f>IFERROR(VLOOKUP($C160,Datensammler!$B:$AA,15,0),)</f>
        <v/>
      </c>
      <c r="E161" s="179" t="str">
        <f>IFERROR(VLOOKUP($C160,Datensammler!$B:$AA,16,0),)</f>
        <v/>
      </c>
      <c r="F161" s="179" t="str">
        <f>IFERROR(VLOOKUP($C160,Datensammler!$B:$AA,17,0),)</f>
        <v/>
      </c>
      <c r="G161" s="179" t="str">
        <f>IFERROR(VLOOKUP($C160,Datensammler!$B:$AA,18,0),)</f>
        <v/>
      </c>
      <c r="H161" s="179" t="str">
        <f>IFERROR(VLOOKUP($C160,Datensammler!$B:$AA,19,0),)</f>
        <v/>
      </c>
      <c r="I161" s="179" t="str">
        <f>IFERROR(VLOOKUP($C160,Datensammler!$B:$AA,20,0),)</f>
        <v/>
      </c>
      <c r="J161" s="180">
        <f t="shared" si="51"/>
        <v>0</v>
      </c>
      <c r="K161" s="181"/>
      <c r="L161" s="181"/>
      <c r="M161" s="181"/>
      <c r="N161" s="182"/>
      <c r="T161" s="172"/>
    </row>
    <row r="162" ht="17.25" customHeight="1">
      <c r="A162" s="130"/>
      <c r="B162" s="183"/>
      <c r="C162" s="184" t="str">
        <f>IF(VLOOKUP(T160,Spieler!A:F,6,0)="Nein","keine Bayerische Meisterschaft gewünscht","")</f>
        <v>#N/A</v>
      </c>
      <c r="D162" s="161"/>
      <c r="E162" s="170"/>
      <c r="F162" s="170"/>
      <c r="G162" s="185" t="s">
        <v>2562</v>
      </c>
      <c r="H162" s="186"/>
      <c r="I162" s="186"/>
      <c r="J162" s="186"/>
      <c r="K162" s="186"/>
      <c r="L162" s="187">
        <f t="shared" ref="L162:M162" si="52">SUM(L159:L161)</f>
        <v>0</v>
      </c>
      <c r="M162" s="110">
        <f t="shared" si="52"/>
        <v>0</v>
      </c>
      <c r="N162" s="188" t="str">
        <f>L162/M162</f>
        <v>#DIV/0!</v>
      </c>
      <c r="T162" s="189"/>
    </row>
    <row r="163" ht="17.25" customHeight="1">
      <c r="A163" s="130"/>
      <c r="B163" s="190"/>
      <c r="C163" s="178"/>
      <c r="D163" s="191"/>
      <c r="E163" s="191"/>
      <c r="F163" s="191"/>
      <c r="G163" s="191"/>
      <c r="H163" s="191"/>
      <c r="I163" s="191"/>
      <c r="J163" s="191"/>
      <c r="K163" s="191"/>
      <c r="L163" s="192"/>
      <c r="M163" s="191"/>
      <c r="N163" s="193"/>
      <c r="T163" s="194"/>
    </row>
    <row r="164" ht="17.25" customHeight="1">
      <c r="A164" s="130"/>
      <c r="B164" s="157">
        <f>B158+1</f>
        <v>27</v>
      </c>
      <c r="C164" s="158"/>
      <c r="D164" s="159" t="str">
        <f>VLOOKUP(C166,'Mitglieder BBU'!A:J,6,0)</f>
        <v>#N/A</v>
      </c>
      <c r="E164" s="60"/>
      <c r="F164" s="60"/>
      <c r="G164" s="60"/>
      <c r="H164" s="60"/>
      <c r="I164" s="61"/>
      <c r="J164" s="160"/>
      <c r="K164" s="161"/>
      <c r="L164" s="162"/>
      <c r="M164" s="163"/>
      <c r="N164" s="164"/>
      <c r="T164" s="165"/>
    </row>
    <row r="165" ht="17.25" customHeight="1">
      <c r="A165" s="130"/>
      <c r="B165" s="167"/>
      <c r="C165" s="168" t="str">
        <f>VLOOKUP(C166,'Mitglieder BBU'!A:J,6,0)</f>
        <v>#N/A</v>
      </c>
      <c r="D165" s="110" t="str">
        <f>IFERROR(VLOOKUP($C166,Datensammler!$B:$AA,3,0),)</f>
        <v/>
      </c>
      <c r="E165" s="110" t="str">
        <f>IFERROR(VLOOKUP($C166,Datensammler!$B:$AA,4,0),)</f>
        <v/>
      </c>
      <c r="F165" s="110" t="str">
        <f>IFERROR(VLOOKUP($C166,Datensammler!$B:$AA,5,0),)</f>
        <v/>
      </c>
      <c r="G165" s="110" t="str">
        <f>IFERROR(VLOOKUP($C166,Datensammler!$B:$AA,6,0),)</f>
        <v/>
      </c>
      <c r="H165" s="110" t="str">
        <f>IFERROR(VLOOKUP($C166,Datensammler!$B:$AA,7,0),)</f>
        <v/>
      </c>
      <c r="I165" s="110" t="str">
        <f>IFERROR(VLOOKUP($C166,Datensammler!$B:$AA,8,0),)</f>
        <v/>
      </c>
      <c r="J165" s="169">
        <f t="shared" ref="J165:J167" si="53">SUM(D165:I165)</f>
        <v>0</v>
      </c>
      <c r="K165" s="170" t="str">
        <f>IFERROR(VLOOKUP($C166,Datensammler!$B:$AA,23,0),)</f>
        <v/>
      </c>
      <c r="L165" s="161" t="str">
        <f>IFERROR(VLOOKUP($C166,Datensammler!$B:$AA,24,0),)</f>
        <v/>
      </c>
      <c r="M165" s="170" t="str">
        <f>IFERROR(VLOOKUP($C166,Datensammler!$B:$AA,25,0),)</f>
        <v/>
      </c>
      <c r="N165" s="171" t="str">
        <f>IF(C166=0,"",(VLOOKUP($C166,Datensammler!$B:$AA,26,0)))</f>
        <v>#N/A</v>
      </c>
      <c r="T165" s="172"/>
    </row>
    <row r="166" ht="17.25" customHeight="1">
      <c r="A166" s="130"/>
      <c r="B166" s="174"/>
      <c r="C166" s="175" t="str">
        <f>VLOOKUP(T166,Spieler!A:E,2,0)</f>
        <v>#N/A</v>
      </c>
      <c r="D166" s="170" t="str">
        <f>IFERROR(VLOOKUP($C166,Datensammler!$B:$AA,9,0),)</f>
        <v/>
      </c>
      <c r="E166" s="170" t="str">
        <f>IFERROR(VLOOKUP($C166,Datensammler!$B:$AA,10,0),)</f>
        <v/>
      </c>
      <c r="F166" s="170" t="str">
        <f>IFERROR(VLOOKUP($C166,Datensammler!$B:$AA,11,0),)</f>
        <v/>
      </c>
      <c r="G166" s="170" t="str">
        <f>IFERROR(VLOOKUP($C166,Datensammler!$B:$AA,12,0),)</f>
        <v/>
      </c>
      <c r="H166" s="170" t="str">
        <f>IFERROR(VLOOKUP($C166,Datensammler!$B:$AA,13,0),)</f>
        <v/>
      </c>
      <c r="I166" s="170" t="str">
        <f>IFERROR(VLOOKUP($C166,Datensammler!$B:$AA,14,0),)</f>
        <v/>
      </c>
      <c r="J166" s="169">
        <f t="shared" si="53"/>
        <v>0</v>
      </c>
      <c r="N166" s="176"/>
      <c r="T166" s="177" t="str">
        <f t="array" ref="T166">INDIRECT("Spieler!AD"&amp;B164+5)</f>
        <v/>
      </c>
    </row>
    <row r="167" ht="17.25" customHeight="1">
      <c r="A167" s="130"/>
      <c r="B167" s="167"/>
      <c r="C167" s="178" t="str">
        <f>VLOOKUP(C166,'Mitglieder BBU'!A:K,8,0)</f>
        <v>#N/A</v>
      </c>
      <c r="D167" s="179" t="str">
        <f>IFERROR(VLOOKUP($C166,Datensammler!$B:$AA,15,0),)</f>
        <v/>
      </c>
      <c r="E167" s="179" t="str">
        <f>IFERROR(VLOOKUP($C166,Datensammler!$B:$AA,16,0),)</f>
        <v/>
      </c>
      <c r="F167" s="179" t="str">
        <f>IFERROR(VLOOKUP($C166,Datensammler!$B:$AA,17,0),)</f>
        <v/>
      </c>
      <c r="G167" s="179" t="str">
        <f>IFERROR(VLOOKUP($C166,Datensammler!$B:$AA,18,0),)</f>
        <v/>
      </c>
      <c r="H167" s="179" t="str">
        <f>IFERROR(VLOOKUP($C166,Datensammler!$B:$AA,19,0),)</f>
        <v/>
      </c>
      <c r="I167" s="179" t="str">
        <f>IFERROR(VLOOKUP($C166,Datensammler!$B:$AA,20,0),)</f>
        <v/>
      </c>
      <c r="J167" s="180">
        <f t="shared" si="53"/>
        <v>0</v>
      </c>
      <c r="K167" s="181"/>
      <c r="L167" s="181"/>
      <c r="M167" s="181"/>
      <c r="N167" s="182"/>
      <c r="T167" s="172"/>
    </row>
    <row r="168" ht="17.25" customHeight="1">
      <c r="A168" s="130"/>
      <c r="B168" s="183"/>
      <c r="C168" s="184" t="str">
        <f>IF(VLOOKUP(T166,Spieler!A:F,6,0)="Nein","keine Bayerische Meisterschaft gewünscht","")</f>
        <v>#N/A</v>
      </c>
      <c r="D168" s="161"/>
      <c r="E168" s="170"/>
      <c r="F168" s="170"/>
      <c r="G168" s="185" t="s">
        <v>2562</v>
      </c>
      <c r="H168" s="186"/>
      <c r="I168" s="186"/>
      <c r="J168" s="186"/>
      <c r="K168" s="186"/>
      <c r="L168" s="187">
        <f t="shared" ref="L168:M168" si="54">SUM(L165:L167)</f>
        <v>0</v>
      </c>
      <c r="M168" s="110">
        <f t="shared" si="54"/>
        <v>0</v>
      </c>
      <c r="N168" s="188" t="str">
        <f>L168/M168</f>
        <v>#DIV/0!</v>
      </c>
      <c r="T168" s="189"/>
    </row>
    <row r="169" ht="17.25" customHeight="1">
      <c r="A169" s="130"/>
      <c r="B169" s="190"/>
      <c r="C169" s="178"/>
      <c r="D169" s="191"/>
      <c r="E169" s="191"/>
      <c r="F169" s="191"/>
      <c r="G169" s="191"/>
      <c r="H169" s="191"/>
      <c r="I169" s="191"/>
      <c r="J169" s="191"/>
      <c r="K169" s="191"/>
      <c r="L169" s="192"/>
      <c r="M169" s="191"/>
      <c r="N169" s="193"/>
      <c r="T169" s="194"/>
    </row>
    <row r="170" ht="17.25" customHeight="1">
      <c r="A170" s="130"/>
      <c r="B170" s="157">
        <f>B164+1</f>
        <v>28</v>
      </c>
      <c r="C170" s="158"/>
      <c r="D170" s="159" t="str">
        <f>VLOOKUP(C172,'Mitglieder BBU'!A:J,6,0)</f>
        <v>#N/A</v>
      </c>
      <c r="E170" s="60"/>
      <c r="F170" s="60"/>
      <c r="G170" s="60"/>
      <c r="H170" s="60"/>
      <c r="I170" s="61"/>
      <c r="J170" s="160"/>
      <c r="K170" s="161"/>
      <c r="L170" s="162"/>
      <c r="M170" s="163"/>
      <c r="N170" s="164"/>
      <c r="T170" s="165"/>
    </row>
    <row r="171" ht="17.25" customHeight="1">
      <c r="A171" s="130"/>
      <c r="B171" s="167"/>
      <c r="C171" s="168" t="str">
        <f>VLOOKUP(C172,'Mitglieder BBU'!A:J,6,0)</f>
        <v>#N/A</v>
      </c>
      <c r="D171" s="110" t="str">
        <f>IFERROR(VLOOKUP($C172,Datensammler!$B:$AA,3,0),)</f>
        <v/>
      </c>
      <c r="E171" s="110" t="str">
        <f>IFERROR(VLOOKUP($C172,Datensammler!$B:$AA,4,0),)</f>
        <v/>
      </c>
      <c r="F171" s="110" t="str">
        <f>IFERROR(VLOOKUP($C172,Datensammler!$B:$AA,5,0),)</f>
        <v/>
      </c>
      <c r="G171" s="110" t="str">
        <f>IFERROR(VLOOKUP($C172,Datensammler!$B:$AA,6,0),)</f>
        <v/>
      </c>
      <c r="H171" s="110" t="str">
        <f>IFERROR(VLOOKUP($C172,Datensammler!$B:$AA,7,0),)</f>
        <v/>
      </c>
      <c r="I171" s="110" t="str">
        <f>IFERROR(VLOOKUP($C172,Datensammler!$B:$AA,8,0),)</f>
        <v/>
      </c>
      <c r="J171" s="169">
        <f t="shared" ref="J171:J173" si="55">SUM(D171:I171)</f>
        <v>0</v>
      </c>
      <c r="K171" s="170" t="str">
        <f>IFERROR(VLOOKUP($C172,Datensammler!$B:$AA,23,0),)</f>
        <v/>
      </c>
      <c r="L171" s="161" t="str">
        <f>IFERROR(VLOOKUP($C172,Datensammler!$B:$AA,24,0),)</f>
        <v/>
      </c>
      <c r="M171" s="170" t="str">
        <f>IFERROR(VLOOKUP($C172,Datensammler!$B:$AA,25,0),)</f>
        <v/>
      </c>
      <c r="N171" s="171" t="str">
        <f>IF(C172=0,"",(VLOOKUP($C172,Datensammler!$B:$AA,26,0)))</f>
        <v>#N/A</v>
      </c>
      <c r="T171" s="172"/>
    </row>
    <row r="172" ht="17.25" customHeight="1">
      <c r="A172" s="130"/>
      <c r="B172" s="174"/>
      <c r="C172" s="175" t="str">
        <f>VLOOKUP(T172,Spieler!A:E,2,0)</f>
        <v>#N/A</v>
      </c>
      <c r="D172" s="170" t="str">
        <f>IFERROR(VLOOKUP($C172,Datensammler!$B:$AA,9,0),)</f>
        <v/>
      </c>
      <c r="E172" s="170" t="str">
        <f>IFERROR(VLOOKUP($C172,Datensammler!$B:$AA,10,0),)</f>
        <v/>
      </c>
      <c r="F172" s="170" t="str">
        <f>IFERROR(VLOOKUP($C172,Datensammler!$B:$AA,11,0),)</f>
        <v/>
      </c>
      <c r="G172" s="170" t="str">
        <f>IFERROR(VLOOKUP($C172,Datensammler!$B:$AA,12,0),)</f>
        <v/>
      </c>
      <c r="H172" s="170" t="str">
        <f>IFERROR(VLOOKUP($C172,Datensammler!$B:$AA,13,0),)</f>
        <v/>
      </c>
      <c r="I172" s="170" t="str">
        <f>IFERROR(VLOOKUP($C172,Datensammler!$B:$AA,14,0),)</f>
        <v/>
      </c>
      <c r="J172" s="169">
        <f t="shared" si="55"/>
        <v>0</v>
      </c>
      <c r="N172" s="176"/>
      <c r="T172" s="177" t="str">
        <f t="array" ref="T172">INDIRECT("Spieler!AD"&amp;B170+5)</f>
        <v/>
      </c>
    </row>
    <row r="173" ht="17.25" customHeight="1">
      <c r="A173" s="130"/>
      <c r="B173" s="167"/>
      <c r="C173" s="178" t="str">
        <f>VLOOKUP(C172,'Mitglieder BBU'!A:K,8,0)</f>
        <v>#N/A</v>
      </c>
      <c r="D173" s="179" t="str">
        <f>IFERROR(VLOOKUP($C172,Datensammler!$B:$AA,15,0),)</f>
        <v/>
      </c>
      <c r="E173" s="179" t="str">
        <f>IFERROR(VLOOKUP($C172,Datensammler!$B:$AA,16,0),)</f>
        <v/>
      </c>
      <c r="F173" s="179" t="str">
        <f>IFERROR(VLOOKUP($C172,Datensammler!$B:$AA,17,0),)</f>
        <v/>
      </c>
      <c r="G173" s="179" t="str">
        <f>IFERROR(VLOOKUP($C172,Datensammler!$B:$AA,18,0),)</f>
        <v/>
      </c>
      <c r="H173" s="179" t="str">
        <f>IFERROR(VLOOKUP($C172,Datensammler!$B:$AA,19,0),)</f>
        <v/>
      </c>
      <c r="I173" s="179" t="str">
        <f>IFERROR(VLOOKUP($C172,Datensammler!$B:$AA,20,0),)</f>
        <v/>
      </c>
      <c r="J173" s="180">
        <f t="shared" si="55"/>
        <v>0</v>
      </c>
      <c r="K173" s="181"/>
      <c r="L173" s="181"/>
      <c r="M173" s="181"/>
      <c r="N173" s="182"/>
      <c r="T173" s="172"/>
    </row>
    <row r="174" ht="17.25" customHeight="1">
      <c r="A174" s="130"/>
      <c r="B174" s="183"/>
      <c r="C174" s="184" t="str">
        <f>IF(VLOOKUP(T172,Spieler!A:F,6,0)="Nein","keine Bayerische Meisterschaft gewünscht","")</f>
        <v>#N/A</v>
      </c>
      <c r="D174" s="161"/>
      <c r="E174" s="170"/>
      <c r="F174" s="170"/>
      <c r="G174" s="185" t="s">
        <v>2562</v>
      </c>
      <c r="H174" s="186"/>
      <c r="I174" s="186"/>
      <c r="J174" s="186"/>
      <c r="K174" s="186"/>
      <c r="L174" s="187">
        <f t="shared" ref="L174:M174" si="56">SUM(L171:L173)</f>
        <v>0</v>
      </c>
      <c r="M174" s="110">
        <f t="shared" si="56"/>
        <v>0</v>
      </c>
      <c r="N174" s="188" t="str">
        <f>L174/M174</f>
        <v>#DIV/0!</v>
      </c>
      <c r="T174" s="189"/>
    </row>
    <row r="175" ht="17.25" customHeight="1">
      <c r="A175" s="130"/>
      <c r="B175" s="190"/>
      <c r="C175" s="178"/>
      <c r="D175" s="191"/>
      <c r="E175" s="191"/>
      <c r="F175" s="191"/>
      <c r="G175" s="191"/>
      <c r="H175" s="191"/>
      <c r="I175" s="191"/>
      <c r="J175" s="191"/>
      <c r="K175" s="191"/>
      <c r="L175" s="192"/>
      <c r="M175" s="191"/>
      <c r="N175" s="193"/>
      <c r="T175" s="194"/>
    </row>
    <row r="176" ht="17.25" customHeight="1">
      <c r="A176" s="130"/>
      <c r="B176" s="157">
        <f>B170+1</f>
        <v>29</v>
      </c>
      <c r="C176" s="158"/>
      <c r="D176" s="159" t="str">
        <f>VLOOKUP(C178,'Mitglieder BBU'!A:J,6,0)</f>
        <v>#N/A</v>
      </c>
      <c r="E176" s="60"/>
      <c r="F176" s="60"/>
      <c r="G176" s="60"/>
      <c r="H176" s="60"/>
      <c r="I176" s="61"/>
      <c r="J176" s="160"/>
      <c r="K176" s="161"/>
      <c r="L176" s="162"/>
      <c r="M176" s="163"/>
      <c r="N176" s="164"/>
      <c r="T176" s="165"/>
    </row>
    <row r="177" ht="17.25" customHeight="1">
      <c r="A177" s="130"/>
      <c r="B177" s="167"/>
      <c r="C177" s="168" t="str">
        <f>VLOOKUP(C178,'Mitglieder BBU'!A:J,6,0)</f>
        <v>#N/A</v>
      </c>
      <c r="D177" s="110" t="str">
        <f>IFERROR(VLOOKUP($C178,Datensammler!$B:$AA,3,0),)</f>
        <v/>
      </c>
      <c r="E177" s="110" t="str">
        <f>IFERROR(VLOOKUP($C178,Datensammler!$B:$AA,4,0),)</f>
        <v/>
      </c>
      <c r="F177" s="110" t="str">
        <f>IFERROR(VLOOKUP($C178,Datensammler!$B:$AA,5,0),)</f>
        <v/>
      </c>
      <c r="G177" s="110" t="str">
        <f>IFERROR(VLOOKUP($C178,Datensammler!$B:$AA,6,0),)</f>
        <v/>
      </c>
      <c r="H177" s="110" t="str">
        <f>IFERROR(VLOOKUP($C178,Datensammler!$B:$AA,7,0),)</f>
        <v/>
      </c>
      <c r="I177" s="110" t="str">
        <f>IFERROR(VLOOKUP($C178,Datensammler!$B:$AA,8,0),)</f>
        <v/>
      </c>
      <c r="J177" s="169">
        <f t="shared" ref="J177:J179" si="57">SUM(D177:I177)</f>
        <v>0</v>
      </c>
      <c r="K177" s="170" t="str">
        <f>IFERROR(VLOOKUP($C178,Datensammler!$B:$AA,23,0),)</f>
        <v/>
      </c>
      <c r="L177" s="161" t="str">
        <f>IFERROR(VLOOKUP($C178,Datensammler!$B:$AA,24,0),)</f>
        <v/>
      </c>
      <c r="M177" s="170" t="str">
        <f>IFERROR(VLOOKUP($C178,Datensammler!$B:$AA,25,0),)</f>
        <v/>
      </c>
      <c r="N177" s="171" t="str">
        <f>IF(C178=0,"",(VLOOKUP($C178,Datensammler!$B:$AA,26,0)))</f>
        <v>#N/A</v>
      </c>
      <c r="T177" s="172"/>
    </row>
    <row r="178" ht="17.25" customHeight="1">
      <c r="A178" s="130"/>
      <c r="B178" s="174"/>
      <c r="C178" s="175" t="str">
        <f>VLOOKUP(T178,Spieler!A:E,2,0)</f>
        <v>#N/A</v>
      </c>
      <c r="D178" s="170" t="str">
        <f>IFERROR(VLOOKUP($C178,Datensammler!$B:$AA,9,0),)</f>
        <v/>
      </c>
      <c r="E178" s="170" t="str">
        <f>IFERROR(VLOOKUP($C178,Datensammler!$B:$AA,10,0),)</f>
        <v/>
      </c>
      <c r="F178" s="170" t="str">
        <f>IFERROR(VLOOKUP($C178,Datensammler!$B:$AA,11,0),)</f>
        <v/>
      </c>
      <c r="G178" s="170" t="str">
        <f>IFERROR(VLOOKUP($C178,Datensammler!$B:$AA,12,0),)</f>
        <v/>
      </c>
      <c r="H178" s="170" t="str">
        <f>IFERROR(VLOOKUP($C178,Datensammler!$B:$AA,13,0),)</f>
        <v/>
      </c>
      <c r="I178" s="170" t="str">
        <f>IFERROR(VLOOKUP($C178,Datensammler!$B:$AA,14,0),)</f>
        <v/>
      </c>
      <c r="J178" s="169">
        <f t="shared" si="57"/>
        <v>0</v>
      </c>
      <c r="N178" s="176"/>
      <c r="T178" s="177" t="str">
        <f t="array" ref="T178">INDIRECT("Spieler!AD"&amp;B176+5)</f>
        <v/>
      </c>
    </row>
    <row r="179" ht="17.25" customHeight="1">
      <c r="A179" s="130"/>
      <c r="B179" s="167"/>
      <c r="C179" s="178" t="str">
        <f>VLOOKUP(C178,'Mitglieder BBU'!A:K,8,0)</f>
        <v>#N/A</v>
      </c>
      <c r="D179" s="179" t="str">
        <f>IFERROR(VLOOKUP($C178,Datensammler!$B:$AA,15,0),)</f>
        <v/>
      </c>
      <c r="E179" s="179" t="str">
        <f>IFERROR(VLOOKUP($C178,Datensammler!$B:$AA,16,0),)</f>
        <v/>
      </c>
      <c r="F179" s="179" t="str">
        <f>IFERROR(VLOOKUP($C178,Datensammler!$B:$AA,17,0),)</f>
        <v/>
      </c>
      <c r="G179" s="179" t="str">
        <f>IFERROR(VLOOKUP($C178,Datensammler!$B:$AA,18,0),)</f>
        <v/>
      </c>
      <c r="H179" s="179" t="str">
        <f>IFERROR(VLOOKUP($C178,Datensammler!$B:$AA,19,0),)</f>
        <v/>
      </c>
      <c r="I179" s="179" t="str">
        <f>IFERROR(VLOOKUP($C178,Datensammler!$B:$AA,20,0),)</f>
        <v/>
      </c>
      <c r="J179" s="180">
        <f t="shared" si="57"/>
        <v>0</v>
      </c>
      <c r="K179" s="181"/>
      <c r="L179" s="181"/>
      <c r="M179" s="181"/>
      <c r="N179" s="182"/>
      <c r="T179" s="172"/>
    </row>
    <row r="180" ht="17.25" customHeight="1">
      <c r="A180" s="130"/>
      <c r="B180" s="183"/>
      <c r="C180" s="184" t="str">
        <f>IF(VLOOKUP(T178,Spieler!A:F,6,0)="Nein","keine Bayerische Meisterschaft gewünscht","")</f>
        <v>#N/A</v>
      </c>
      <c r="D180" s="161"/>
      <c r="E180" s="170"/>
      <c r="F180" s="170"/>
      <c r="G180" s="185" t="s">
        <v>2562</v>
      </c>
      <c r="H180" s="186"/>
      <c r="I180" s="186"/>
      <c r="J180" s="186"/>
      <c r="K180" s="186"/>
      <c r="L180" s="187">
        <f t="shared" ref="L180:M180" si="58">SUM(L177:L179)</f>
        <v>0</v>
      </c>
      <c r="M180" s="110">
        <f t="shared" si="58"/>
        <v>0</v>
      </c>
      <c r="N180" s="188" t="str">
        <f>L180/M180</f>
        <v>#DIV/0!</v>
      </c>
      <c r="T180" s="189"/>
    </row>
    <row r="181" ht="17.25" customHeight="1">
      <c r="A181" s="130"/>
      <c r="B181" s="190"/>
      <c r="C181" s="178"/>
      <c r="D181" s="191"/>
      <c r="E181" s="191"/>
      <c r="F181" s="191"/>
      <c r="G181" s="191"/>
      <c r="H181" s="191"/>
      <c r="I181" s="191"/>
      <c r="J181" s="191"/>
      <c r="K181" s="191"/>
      <c r="L181" s="192"/>
      <c r="M181" s="191"/>
      <c r="N181" s="193"/>
      <c r="T181" s="194"/>
    </row>
    <row r="182" ht="17.25" customHeight="1">
      <c r="A182" s="130"/>
      <c r="B182" s="157">
        <f>B176+1</f>
        <v>30</v>
      </c>
      <c r="C182" s="158"/>
      <c r="D182" s="159" t="str">
        <f>VLOOKUP(C184,'Mitglieder BBU'!A:J,6,0)</f>
        <v>#N/A</v>
      </c>
      <c r="E182" s="60"/>
      <c r="F182" s="60"/>
      <c r="G182" s="60"/>
      <c r="H182" s="60"/>
      <c r="I182" s="61"/>
      <c r="J182" s="160"/>
      <c r="K182" s="161"/>
      <c r="L182" s="162"/>
      <c r="M182" s="163"/>
      <c r="N182" s="164"/>
      <c r="T182" s="165"/>
    </row>
    <row r="183" ht="17.25" customHeight="1">
      <c r="A183" s="130"/>
      <c r="B183" s="167"/>
      <c r="C183" s="168" t="str">
        <f>VLOOKUP(C184,'Mitglieder BBU'!A:J,6,0)</f>
        <v>#N/A</v>
      </c>
      <c r="D183" s="110" t="str">
        <f>IFERROR(VLOOKUP($C184,Datensammler!$B:$AA,3,0),)</f>
        <v/>
      </c>
      <c r="E183" s="110" t="str">
        <f>IFERROR(VLOOKUP($C184,Datensammler!$B:$AA,4,0),)</f>
        <v/>
      </c>
      <c r="F183" s="110" t="str">
        <f>IFERROR(VLOOKUP($C184,Datensammler!$B:$AA,5,0),)</f>
        <v/>
      </c>
      <c r="G183" s="110" t="str">
        <f>IFERROR(VLOOKUP($C184,Datensammler!$B:$AA,6,0),)</f>
        <v/>
      </c>
      <c r="H183" s="110" t="str">
        <f>IFERROR(VLOOKUP($C184,Datensammler!$B:$AA,7,0),)</f>
        <v/>
      </c>
      <c r="I183" s="110" t="str">
        <f>IFERROR(VLOOKUP($C184,Datensammler!$B:$AA,8,0),)</f>
        <v/>
      </c>
      <c r="J183" s="169">
        <f t="shared" ref="J183:J185" si="59">SUM(D183:I183)</f>
        <v>0</v>
      </c>
      <c r="K183" s="170" t="str">
        <f>IFERROR(VLOOKUP($C184,Datensammler!$B:$AA,23,0),)</f>
        <v/>
      </c>
      <c r="L183" s="161" t="str">
        <f>IFERROR(VLOOKUP($C184,Datensammler!$B:$AA,24,0),)</f>
        <v/>
      </c>
      <c r="M183" s="170" t="str">
        <f>IFERROR(VLOOKUP($C184,Datensammler!$B:$AA,25,0),)</f>
        <v/>
      </c>
      <c r="N183" s="171" t="str">
        <f>IF(C184=0,"",(VLOOKUP($C184,Datensammler!$B:$AA,26,0)))</f>
        <v>#N/A</v>
      </c>
      <c r="T183" s="172"/>
    </row>
    <row r="184" ht="17.25" customHeight="1">
      <c r="A184" s="130"/>
      <c r="B184" s="174"/>
      <c r="C184" s="175" t="str">
        <f>VLOOKUP(T184,Spieler!A:E,2,0)</f>
        <v>#N/A</v>
      </c>
      <c r="D184" s="170" t="str">
        <f>IFERROR(VLOOKUP($C184,Datensammler!$B:$AA,9,0),)</f>
        <v/>
      </c>
      <c r="E184" s="170" t="str">
        <f>IFERROR(VLOOKUP($C184,Datensammler!$B:$AA,10,0),)</f>
        <v/>
      </c>
      <c r="F184" s="170" t="str">
        <f>IFERROR(VLOOKUP($C184,Datensammler!$B:$AA,11,0),)</f>
        <v/>
      </c>
      <c r="G184" s="170" t="str">
        <f>IFERROR(VLOOKUP($C184,Datensammler!$B:$AA,12,0),)</f>
        <v/>
      </c>
      <c r="H184" s="170" t="str">
        <f>IFERROR(VLOOKUP($C184,Datensammler!$B:$AA,13,0),)</f>
        <v/>
      </c>
      <c r="I184" s="170" t="str">
        <f>IFERROR(VLOOKUP($C184,Datensammler!$B:$AA,14,0),)</f>
        <v/>
      </c>
      <c r="J184" s="169">
        <f t="shared" si="59"/>
        <v>0</v>
      </c>
      <c r="N184" s="176"/>
      <c r="T184" s="177" t="str">
        <f t="array" ref="T184">INDIRECT("Spieler!AD"&amp;B182+5)</f>
        <v/>
      </c>
    </row>
    <row r="185" ht="17.25" customHeight="1">
      <c r="A185" s="130"/>
      <c r="B185" s="167"/>
      <c r="C185" s="178" t="str">
        <f>VLOOKUP(C184,'Mitglieder BBU'!A:K,8,0)</f>
        <v>#N/A</v>
      </c>
      <c r="D185" s="179" t="str">
        <f>IFERROR(VLOOKUP($C184,Datensammler!$B:$AA,15,0),)</f>
        <v/>
      </c>
      <c r="E185" s="179" t="str">
        <f>IFERROR(VLOOKUP($C184,Datensammler!$B:$AA,16,0),)</f>
        <v/>
      </c>
      <c r="F185" s="179" t="str">
        <f>IFERROR(VLOOKUP($C184,Datensammler!$B:$AA,17,0),)</f>
        <v/>
      </c>
      <c r="G185" s="179" t="str">
        <f>IFERROR(VLOOKUP($C184,Datensammler!$B:$AA,18,0),)</f>
        <v/>
      </c>
      <c r="H185" s="179" t="str">
        <f>IFERROR(VLOOKUP($C184,Datensammler!$B:$AA,19,0),)</f>
        <v/>
      </c>
      <c r="I185" s="179" t="str">
        <f>IFERROR(VLOOKUP($C184,Datensammler!$B:$AA,20,0),)</f>
        <v/>
      </c>
      <c r="J185" s="180">
        <f t="shared" si="59"/>
        <v>0</v>
      </c>
      <c r="K185" s="181"/>
      <c r="L185" s="181"/>
      <c r="M185" s="181"/>
      <c r="N185" s="182"/>
      <c r="T185" s="172"/>
    </row>
    <row r="186" ht="17.25" customHeight="1">
      <c r="A186" s="130"/>
      <c r="B186" s="183"/>
      <c r="C186" s="184" t="str">
        <f>IF(VLOOKUP(T184,Spieler!A:F,6,0)="Nein","keine Bayerische Meisterschaft gewünscht","")</f>
        <v>#N/A</v>
      </c>
      <c r="D186" s="161"/>
      <c r="E186" s="170"/>
      <c r="F186" s="170"/>
      <c r="G186" s="185" t="s">
        <v>2562</v>
      </c>
      <c r="H186" s="186"/>
      <c r="I186" s="186"/>
      <c r="J186" s="186"/>
      <c r="K186" s="186"/>
      <c r="L186" s="187">
        <f t="shared" ref="L186:M186" si="60">SUM(L183:L185)</f>
        <v>0</v>
      </c>
      <c r="M186" s="110">
        <f t="shared" si="60"/>
        <v>0</v>
      </c>
      <c r="N186" s="188" t="str">
        <f>L186/M186</f>
        <v>#DIV/0!</v>
      </c>
      <c r="T186" s="189"/>
    </row>
    <row r="187" ht="17.25" customHeight="1">
      <c r="A187" s="130"/>
      <c r="B187" s="190"/>
      <c r="C187" s="178"/>
      <c r="D187" s="191"/>
      <c r="E187" s="191"/>
      <c r="F187" s="191"/>
      <c r="G187" s="191"/>
      <c r="H187" s="191"/>
      <c r="I187" s="191"/>
      <c r="J187" s="191"/>
      <c r="K187" s="191"/>
      <c r="L187" s="192"/>
      <c r="M187" s="191"/>
      <c r="N187" s="193"/>
      <c r="T187" s="194"/>
    </row>
    <row r="188" ht="17.25" customHeight="1">
      <c r="A188" s="130"/>
      <c r="B188" s="157">
        <f>B182+1</f>
        <v>31</v>
      </c>
      <c r="C188" s="158"/>
      <c r="D188" s="159" t="str">
        <f>VLOOKUP(C190,'Mitglieder BBU'!A:J,6,0)</f>
        <v>#N/A</v>
      </c>
      <c r="E188" s="60"/>
      <c r="F188" s="60"/>
      <c r="G188" s="60"/>
      <c r="H188" s="60"/>
      <c r="I188" s="61"/>
      <c r="J188" s="160"/>
      <c r="K188" s="161"/>
      <c r="L188" s="162"/>
      <c r="M188" s="163"/>
      <c r="N188" s="164"/>
      <c r="T188" s="165"/>
    </row>
    <row r="189" ht="17.25" customHeight="1">
      <c r="A189" s="130"/>
      <c r="B189" s="167"/>
      <c r="C189" s="168" t="str">
        <f>VLOOKUP(C190,'Mitglieder BBU'!A:J,6,0)</f>
        <v>#N/A</v>
      </c>
      <c r="D189" s="110" t="str">
        <f>IFERROR(VLOOKUP($C190,Datensammler!$B:$AA,3,0),)</f>
        <v/>
      </c>
      <c r="E189" s="110" t="str">
        <f>IFERROR(VLOOKUP($C190,Datensammler!$B:$AA,4,0),)</f>
        <v/>
      </c>
      <c r="F189" s="110" t="str">
        <f>IFERROR(VLOOKUP($C190,Datensammler!$B:$AA,5,0),)</f>
        <v/>
      </c>
      <c r="G189" s="110" t="str">
        <f>IFERROR(VLOOKUP($C190,Datensammler!$B:$AA,6,0),)</f>
        <v/>
      </c>
      <c r="H189" s="110" t="str">
        <f>IFERROR(VLOOKUP($C190,Datensammler!$B:$AA,7,0),)</f>
        <v/>
      </c>
      <c r="I189" s="110" t="str">
        <f>IFERROR(VLOOKUP($C190,Datensammler!$B:$AA,8,0),)</f>
        <v/>
      </c>
      <c r="J189" s="169">
        <f t="shared" ref="J189:J191" si="61">SUM(D189:I189)</f>
        <v>0</v>
      </c>
      <c r="K189" s="170" t="str">
        <f>IFERROR(VLOOKUP($C190,Datensammler!$B:$AA,23,0),)</f>
        <v/>
      </c>
      <c r="L189" s="161" t="str">
        <f>IFERROR(VLOOKUP($C190,Datensammler!$B:$AA,24,0),)</f>
        <v/>
      </c>
      <c r="M189" s="170" t="str">
        <f>IFERROR(VLOOKUP($C190,Datensammler!$B:$AA,25,0),)</f>
        <v/>
      </c>
      <c r="N189" s="171" t="str">
        <f>IF(C190=0,"",(VLOOKUP($C190,Datensammler!$B:$AA,26,0)))</f>
        <v>#N/A</v>
      </c>
      <c r="T189" s="172"/>
    </row>
    <row r="190" ht="17.25" customHeight="1">
      <c r="A190" s="130"/>
      <c r="B190" s="174"/>
      <c r="C190" s="175" t="str">
        <f>VLOOKUP(T190,Spieler!A:E,2,0)</f>
        <v>#N/A</v>
      </c>
      <c r="D190" s="170" t="str">
        <f>IFERROR(VLOOKUP($C190,Datensammler!$B:$AA,9,0),)</f>
        <v/>
      </c>
      <c r="E190" s="170" t="str">
        <f>IFERROR(VLOOKUP($C190,Datensammler!$B:$AA,10,0),)</f>
        <v/>
      </c>
      <c r="F190" s="170" t="str">
        <f>IFERROR(VLOOKUP($C190,Datensammler!$B:$AA,11,0),)</f>
        <v/>
      </c>
      <c r="G190" s="170" t="str">
        <f>IFERROR(VLOOKUP($C190,Datensammler!$B:$AA,12,0),)</f>
        <v/>
      </c>
      <c r="H190" s="170" t="str">
        <f>IFERROR(VLOOKUP($C190,Datensammler!$B:$AA,13,0),)</f>
        <v/>
      </c>
      <c r="I190" s="170" t="str">
        <f>IFERROR(VLOOKUP($C190,Datensammler!$B:$AA,14,0),)</f>
        <v/>
      </c>
      <c r="J190" s="169">
        <f t="shared" si="61"/>
        <v>0</v>
      </c>
      <c r="N190" s="176"/>
      <c r="T190" s="177" t="str">
        <f t="array" ref="T190">INDIRECT("Spieler!AD"&amp;B188+5)</f>
        <v/>
      </c>
    </row>
    <row r="191" ht="17.25" customHeight="1">
      <c r="A191" s="130"/>
      <c r="B191" s="167"/>
      <c r="C191" s="178" t="str">
        <f>VLOOKUP(C190,'Mitglieder BBU'!A:K,8,0)</f>
        <v>#N/A</v>
      </c>
      <c r="D191" s="179" t="str">
        <f>IFERROR(VLOOKUP($C190,Datensammler!$B:$AA,15,0),)</f>
        <v/>
      </c>
      <c r="E191" s="179" t="str">
        <f>IFERROR(VLOOKUP($C190,Datensammler!$B:$AA,16,0),)</f>
        <v/>
      </c>
      <c r="F191" s="179" t="str">
        <f>IFERROR(VLOOKUP($C190,Datensammler!$B:$AA,17,0),)</f>
        <v/>
      </c>
      <c r="G191" s="179" t="str">
        <f>IFERROR(VLOOKUP($C190,Datensammler!$B:$AA,18,0),)</f>
        <v/>
      </c>
      <c r="H191" s="179" t="str">
        <f>IFERROR(VLOOKUP($C190,Datensammler!$B:$AA,19,0),)</f>
        <v/>
      </c>
      <c r="I191" s="179" t="str">
        <f>IFERROR(VLOOKUP($C190,Datensammler!$B:$AA,20,0),)</f>
        <v/>
      </c>
      <c r="J191" s="180">
        <f t="shared" si="61"/>
        <v>0</v>
      </c>
      <c r="K191" s="181"/>
      <c r="L191" s="181"/>
      <c r="M191" s="181"/>
      <c r="N191" s="182"/>
      <c r="T191" s="172"/>
    </row>
    <row r="192" ht="17.25" customHeight="1">
      <c r="A192" s="130"/>
      <c r="B192" s="183"/>
      <c r="C192" s="184" t="str">
        <f>IF(VLOOKUP(T190,Spieler!A:F,6,0)="Nein","keine Bayerische Meisterschaft gewünscht","")</f>
        <v>#N/A</v>
      </c>
      <c r="D192" s="161"/>
      <c r="E192" s="170"/>
      <c r="F192" s="170"/>
      <c r="G192" s="185" t="s">
        <v>2562</v>
      </c>
      <c r="H192" s="186"/>
      <c r="I192" s="186"/>
      <c r="J192" s="186"/>
      <c r="K192" s="186"/>
      <c r="L192" s="187">
        <f t="shared" ref="L192:M192" si="62">SUM(L189:L191)</f>
        <v>0</v>
      </c>
      <c r="M192" s="110">
        <f t="shared" si="62"/>
        <v>0</v>
      </c>
      <c r="N192" s="188" t="str">
        <f>L192/M192</f>
        <v>#DIV/0!</v>
      </c>
      <c r="T192" s="189"/>
    </row>
    <row r="193" ht="17.25" customHeight="1">
      <c r="A193" s="130"/>
      <c r="B193" s="190"/>
      <c r="C193" s="178"/>
      <c r="D193" s="191"/>
      <c r="E193" s="191"/>
      <c r="F193" s="191"/>
      <c r="G193" s="191"/>
      <c r="H193" s="191"/>
      <c r="I193" s="191"/>
      <c r="J193" s="191"/>
      <c r="K193" s="191"/>
      <c r="L193" s="192"/>
      <c r="M193" s="191"/>
      <c r="N193" s="193"/>
      <c r="T193" s="194"/>
    </row>
    <row r="194" ht="17.25" customHeight="1">
      <c r="A194" s="130"/>
      <c r="B194" s="157">
        <f>B188+1</f>
        <v>32</v>
      </c>
      <c r="C194" s="158"/>
      <c r="D194" s="159" t="str">
        <f>VLOOKUP(C196,'Mitglieder BBU'!A:J,6,0)</f>
        <v>#N/A</v>
      </c>
      <c r="E194" s="60"/>
      <c r="F194" s="60"/>
      <c r="G194" s="60"/>
      <c r="H194" s="60"/>
      <c r="I194" s="61"/>
      <c r="J194" s="160"/>
      <c r="K194" s="161"/>
      <c r="L194" s="162"/>
      <c r="M194" s="163"/>
      <c r="N194" s="164"/>
      <c r="T194" s="165"/>
    </row>
    <row r="195" ht="17.25" customHeight="1">
      <c r="A195" s="130"/>
      <c r="B195" s="167"/>
      <c r="C195" s="168" t="str">
        <f>VLOOKUP(C196,'Mitglieder BBU'!A:J,6,0)</f>
        <v>#N/A</v>
      </c>
      <c r="D195" s="110" t="str">
        <f>IFERROR(VLOOKUP($C196,Datensammler!$B:$AA,3,0),)</f>
        <v/>
      </c>
      <c r="E195" s="110" t="str">
        <f>IFERROR(VLOOKUP($C196,Datensammler!$B:$AA,4,0),)</f>
        <v/>
      </c>
      <c r="F195" s="110" t="str">
        <f>IFERROR(VLOOKUP($C196,Datensammler!$B:$AA,5,0),)</f>
        <v/>
      </c>
      <c r="G195" s="110" t="str">
        <f>IFERROR(VLOOKUP($C196,Datensammler!$B:$AA,6,0),)</f>
        <v/>
      </c>
      <c r="H195" s="110" t="str">
        <f>IFERROR(VLOOKUP($C196,Datensammler!$B:$AA,7,0),)</f>
        <v/>
      </c>
      <c r="I195" s="110" t="str">
        <f>IFERROR(VLOOKUP($C196,Datensammler!$B:$AA,8,0),)</f>
        <v/>
      </c>
      <c r="J195" s="169">
        <f t="shared" ref="J195:J197" si="63">SUM(D195:I195)</f>
        <v>0</v>
      </c>
      <c r="K195" s="170" t="str">
        <f>IFERROR(VLOOKUP($C196,Datensammler!$B:$AA,23,0),)</f>
        <v/>
      </c>
      <c r="L195" s="161" t="str">
        <f>IFERROR(VLOOKUP($C196,Datensammler!$B:$AA,24,0),)</f>
        <v/>
      </c>
      <c r="M195" s="170" t="str">
        <f>IFERROR(VLOOKUP($C196,Datensammler!$B:$AA,25,0),)</f>
        <v/>
      </c>
      <c r="N195" s="171" t="str">
        <f>IF(C196=0,"",(VLOOKUP($C196,Datensammler!$B:$AA,26,0)))</f>
        <v>#N/A</v>
      </c>
      <c r="T195" s="172"/>
    </row>
    <row r="196" ht="17.25" customHeight="1">
      <c r="A196" s="130"/>
      <c r="B196" s="174"/>
      <c r="C196" s="175" t="str">
        <f>VLOOKUP(T196,Spieler!A:E,2,0)</f>
        <v>#N/A</v>
      </c>
      <c r="D196" s="170" t="str">
        <f>IFERROR(VLOOKUP($C196,Datensammler!$B:$AA,9,0),)</f>
        <v/>
      </c>
      <c r="E196" s="170" t="str">
        <f>IFERROR(VLOOKUP($C196,Datensammler!$B:$AA,10,0),)</f>
        <v/>
      </c>
      <c r="F196" s="170" t="str">
        <f>IFERROR(VLOOKUP($C196,Datensammler!$B:$AA,11,0),)</f>
        <v/>
      </c>
      <c r="G196" s="170" t="str">
        <f>IFERROR(VLOOKUP($C196,Datensammler!$B:$AA,12,0),)</f>
        <v/>
      </c>
      <c r="H196" s="170" t="str">
        <f>IFERROR(VLOOKUP($C196,Datensammler!$B:$AA,13,0),)</f>
        <v/>
      </c>
      <c r="I196" s="170" t="str">
        <f>IFERROR(VLOOKUP($C196,Datensammler!$B:$AA,14,0),)</f>
        <v/>
      </c>
      <c r="J196" s="169">
        <f t="shared" si="63"/>
        <v>0</v>
      </c>
      <c r="N196" s="176"/>
      <c r="T196" s="177" t="str">
        <f t="array" ref="T196">INDIRECT("Spieler!AD"&amp;B194+5)</f>
        <v/>
      </c>
    </row>
    <row r="197" ht="17.25" customHeight="1">
      <c r="A197" s="130"/>
      <c r="B197" s="167"/>
      <c r="C197" s="178" t="str">
        <f>VLOOKUP(C196,'Mitglieder BBU'!A:K,8,0)</f>
        <v>#N/A</v>
      </c>
      <c r="D197" s="179" t="str">
        <f>IFERROR(VLOOKUP($C196,Datensammler!$B:$AA,15,0),)</f>
        <v/>
      </c>
      <c r="E197" s="179" t="str">
        <f>IFERROR(VLOOKUP($C196,Datensammler!$B:$AA,16,0),)</f>
        <v/>
      </c>
      <c r="F197" s="179" t="str">
        <f>IFERROR(VLOOKUP($C196,Datensammler!$B:$AA,17,0),)</f>
        <v/>
      </c>
      <c r="G197" s="179" t="str">
        <f>IFERROR(VLOOKUP($C196,Datensammler!$B:$AA,18,0),)</f>
        <v/>
      </c>
      <c r="H197" s="179" t="str">
        <f>IFERROR(VLOOKUP($C196,Datensammler!$B:$AA,19,0),)</f>
        <v/>
      </c>
      <c r="I197" s="179" t="str">
        <f>IFERROR(VLOOKUP($C196,Datensammler!$B:$AA,20,0),)</f>
        <v/>
      </c>
      <c r="J197" s="180">
        <f t="shared" si="63"/>
        <v>0</v>
      </c>
      <c r="K197" s="181"/>
      <c r="L197" s="181"/>
      <c r="M197" s="181"/>
      <c r="N197" s="182"/>
      <c r="T197" s="172"/>
    </row>
    <row r="198" ht="17.25" customHeight="1">
      <c r="A198" s="130"/>
      <c r="B198" s="183"/>
      <c r="C198" s="184" t="str">
        <f>IF(VLOOKUP(T196,Spieler!A:F,6,0)="Nein","keine Bayerische Meisterschaft gewünscht","")</f>
        <v>#N/A</v>
      </c>
      <c r="D198" s="161"/>
      <c r="E198" s="170"/>
      <c r="F198" s="170"/>
      <c r="G198" s="185" t="s">
        <v>2562</v>
      </c>
      <c r="H198" s="186"/>
      <c r="I198" s="186"/>
      <c r="J198" s="186"/>
      <c r="K198" s="186"/>
      <c r="L198" s="187">
        <f t="shared" ref="L198:M198" si="64">SUM(L195:L197)</f>
        <v>0</v>
      </c>
      <c r="M198" s="110">
        <f t="shared" si="64"/>
        <v>0</v>
      </c>
      <c r="N198" s="188" t="str">
        <f>L198/M198</f>
        <v>#DIV/0!</v>
      </c>
      <c r="T198" s="189"/>
    </row>
    <row r="199" ht="17.25" customHeight="1">
      <c r="A199" s="130"/>
      <c r="B199" s="190"/>
      <c r="C199" s="178"/>
      <c r="D199" s="191"/>
      <c r="E199" s="191"/>
      <c r="F199" s="191"/>
      <c r="G199" s="191"/>
      <c r="H199" s="191"/>
      <c r="I199" s="191"/>
      <c r="J199" s="191"/>
      <c r="K199" s="191"/>
      <c r="L199" s="192"/>
      <c r="M199" s="191"/>
      <c r="N199" s="193"/>
      <c r="T199" s="194"/>
    </row>
    <row r="200" ht="17.25" customHeight="1">
      <c r="A200" s="130"/>
      <c r="B200" s="157">
        <f>B194+1</f>
        <v>33</v>
      </c>
      <c r="C200" s="158"/>
      <c r="D200" s="159" t="str">
        <f>VLOOKUP(C202,'Mitglieder BBU'!A:J,6,0)</f>
        <v>#N/A</v>
      </c>
      <c r="E200" s="60"/>
      <c r="F200" s="60"/>
      <c r="G200" s="60"/>
      <c r="H200" s="60"/>
      <c r="I200" s="61"/>
      <c r="J200" s="160"/>
      <c r="K200" s="161"/>
      <c r="L200" s="162"/>
      <c r="M200" s="163"/>
      <c r="N200" s="164"/>
      <c r="T200" s="165"/>
    </row>
    <row r="201" ht="17.25" customHeight="1">
      <c r="A201" s="130"/>
      <c r="B201" s="167"/>
      <c r="C201" s="168" t="str">
        <f>VLOOKUP(C202,'Mitglieder BBU'!A:J,6,0)</f>
        <v>#N/A</v>
      </c>
      <c r="D201" s="110" t="str">
        <f>IFERROR(VLOOKUP($C202,Datensammler!$B:$AA,3,0),)</f>
        <v/>
      </c>
      <c r="E201" s="110" t="str">
        <f>IFERROR(VLOOKUP($C202,Datensammler!$B:$AA,4,0),)</f>
        <v/>
      </c>
      <c r="F201" s="110" t="str">
        <f>IFERROR(VLOOKUP($C202,Datensammler!$B:$AA,5,0),)</f>
        <v/>
      </c>
      <c r="G201" s="110" t="str">
        <f>IFERROR(VLOOKUP($C202,Datensammler!$B:$AA,6,0),)</f>
        <v/>
      </c>
      <c r="H201" s="110" t="str">
        <f>IFERROR(VLOOKUP($C202,Datensammler!$B:$AA,7,0),)</f>
        <v/>
      </c>
      <c r="I201" s="110" t="str">
        <f>IFERROR(VLOOKUP($C202,Datensammler!$B:$AA,8,0),)</f>
        <v/>
      </c>
      <c r="J201" s="169">
        <f t="shared" ref="J201:J203" si="65">SUM(D201:I201)</f>
        <v>0</v>
      </c>
      <c r="K201" s="170" t="str">
        <f>IFERROR(VLOOKUP($C202,Datensammler!$B:$AA,23,0),)</f>
        <v/>
      </c>
      <c r="L201" s="161" t="str">
        <f>IFERROR(VLOOKUP($C202,Datensammler!$B:$AA,24,0),)</f>
        <v/>
      </c>
      <c r="M201" s="170" t="str">
        <f>IFERROR(VLOOKUP($C202,Datensammler!$B:$AA,25,0),)</f>
        <v/>
      </c>
      <c r="N201" s="171" t="str">
        <f>IF(C202=0,"",(VLOOKUP($C202,Datensammler!$B:$AA,26,0)))</f>
        <v>#N/A</v>
      </c>
      <c r="T201" s="172"/>
    </row>
    <row r="202" ht="17.25" customHeight="1">
      <c r="A202" s="130"/>
      <c r="B202" s="174"/>
      <c r="C202" s="175" t="str">
        <f>VLOOKUP(T202,Spieler!A:E,2,0)</f>
        <v>#N/A</v>
      </c>
      <c r="D202" s="170" t="str">
        <f>IFERROR(VLOOKUP($C202,Datensammler!$B:$AA,9,0),)</f>
        <v/>
      </c>
      <c r="E202" s="170" t="str">
        <f>IFERROR(VLOOKUP($C202,Datensammler!$B:$AA,10,0),)</f>
        <v/>
      </c>
      <c r="F202" s="170" t="str">
        <f>IFERROR(VLOOKUP($C202,Datensammler!$B:$AA,11,0),)</f>
        <v/>
      </c>
      <c r="G202" s="170" t="str">
        <f>IFERROR(VLOOKUP($C202,Datensammler!$B:$AA,12,0),)</f>
        <v/>
      </c>
      <c r="H202" s="170" t="str">
        <f>IFERROR(VLOOKUP($C202,Datensammler!$B:$AA,13,0),)</f>
        <v/>
      </c>
      <c r="I202" s="170" t="str">
        <f>IFERROR(VLOOKUP($C202,Datensammler!$B:$AA,14,0),)</f>
        <v/>
      </c>
      <c r="J202" s="169">
        <f t="shared" si="65"/>
        <v>0</v>
      </c>
      <c r="N202" s="176"/>
      <c r="T202" s="177" t="str">
        <f t="array" ref="T202">INDIRECT("Spieler!AD"&amp;B200+5)</f>
        <v/>
      </c>
    </row>
    <row r="203" ht="17.25" customHeight="1">
      <c r="A203" s="130"/>
      <c r="B203" s="167"/>
      <c r="C203" s="178" t="str">
        <f>VLOOKUP(C202,'Mitglieder BBU'!A:K,8,0)</f>
        <v>#N/A</v>
      </c>
      <c r="D203" s="179" t="str">
        <f>IFERROR(VLOOKUP($C202,Datensammler!$B:$AA,15,0),)</f>
        <v/>
      </c>
      <c r="E203" s="179" t="str">
        <f>IFERROR(VLOOKUP($C202,Datensammler!$B:$AA,16,0),)</f>
        <v/>
      </c>
      <c r="F203" s="179" t="str">
        <f>IFERROR(VLOOKUP($C202,Datensammler!$B:$AA,17,0),)</f>
        <v/>
      </c>
      <c r="G203" s="179" t="str">
        <f>IFERROR(VLOOKUP($C202,Datensammler!$B:$AA,18,0),)</f>
        <v/>
      </c>
      <c r="H203" s="179" t="str">
        <f>IFERROR(VLOOKUP($C202,Datensammler!$B:$AA,19,0),)</f>
        <v/>
      </c>
      <c r="I203" s="179" t="str">
        <f>IFERROR(VLOOKUP($C202,Datensammler!$B:$AA,20,0),)</f>
        <v/>
      </c>
      <c r="J203" s="180">
        <f t="shared" si="65"/>
        <v>0</v>
      </c>
      <c r="K203" s="181"/>
      <c r="L203" s="181"/>
      <c r="M203" s="181"/>
      <c r="N203" s="182"/>
      <c r="T203" s="172"/>
    </row>
    <row r="204" ht="17.25" customHeight="1">
      <c r="A204" s="130"/>
      <c r="B204" s="183"/>
      <c r="C204" s="184" t="str">
        <f>IF(VLOOKUP(T202,Spieler!A:F,6,0)="Nein","keine Bayerische Meisterschaft gewünscht","")</f>
        <v>#N/A</v>
      </c>
      <c r="D204" s="161"/>
      <c r="E204" s="170"/>
      <c r="F204" s="170"/>
      <c r="G204" s="185" t="s">
        <v>2562</v>
      </c>
      <c r="H204" s="186"/>
      <c r="I204" s="186"/>
      <c r="J204" s="186"/>
      <c r="K204" s="186"/>
      <c r="L204" s="187">
        <f t="shared" ref="L204:M204" si="66">SUM(L201:L203)</f>
        <v>0</v>
      </c>
      <c r="M204" s="110">
        <f t="shared" si="66"/>
        <v>0</v>
      </c>
      <c r="N204" s="188" t="str">
        <f>L204/M204</f>
        <v>#DIV/0!</v>
      </c>
      <c r="T204" s="189"/>
    </row>
    <row r="205" ht="17.25" customHeight="1">
      <c r="A205" s="130"/>
      <c r="B205" s="190"/>
      <c r="C205" s="178"/>
      <c r="D205" s="191"/>
      <c r="E205" s="191"/>
      <c r="F205" s="191"/>
      <c r="G205" s="191"/>
      <c r="H205" s="191"/>
      <c r="I205" s="191"/>
      <c r="J205" s="191"/>
      <c r="K205" s="191"/>
      <c r="L205" s="192"/>
      <c r="M205" s="191"/>
      <c r="N205" s="193"/>
      <c r="T205" s="194"/>
    </row>
    <row r="206" ht="17.25" customHeight="1">
      <c r="A206" s="130"/>
      <c r="B206" s="157">
        <f>B200+1</f>
        <v>34</v>
      </c>
      <c r="C206" s="158"/>
      <c r="D206" s="159" t="str">
        <f>VLOOKUP(C208,'Mitglieder BBU'!A:J,6,0)</f>
        <v>#N/A</v>
      </c>
      <c r="E206" s="60"/>
      <c r="F206" s="60"/>
      <c r="G206" s="60"/>
      <c r="H206" s="60"/>
      <c r="I206" s="61"/>
      <c r="J206" s="160"/>
      <c r="K206" s="161"/>
      <c r="L206" s="162"/>
      <c r="M206" s="163"/>
      <c r="N206" s="164"/>
      <c r="T206" s="165"/>
    </row>
    <row r="207" ht="17.25" customHeight="1">
      <c r="A207" s="130"/>
      <c r="B207" s="167"/>
      <c r="C207" s="168" t="str">
        <f>VLOOKUP(C208,'Mitglieder BBU'!A:J,6,0)</f>
        <v>#N/A</v>
      </c>
      <c r="D207" s="110" t="str">
        <f>IFERROR(VLOOKUP($C208,Datensammler!$B:$AA,3,0),)</f>
        <v/>
      </c>
      <c r="E207" s="110" t="str">
        <f>IFERROR(VLOOKUP($C208,Datensammler!$B:$AA,4,0),)</f>
        <v/>
      </c>
      <c r="F207" s="110" t="str">
        <f>IFERROR(VLOOKUP($C208,Datensammler!$B:$AA,5,0),)</f>
        <v/>
      </c>
      <c r="G207" s="110" t="str">
        <f>IFERROR(VLOOKUP($C208,Datensammler!$B:$AA,6,0),)</f>
        <v/>
      </c>
      <c r="H207" s="110" t="str">
        <f>IFERROR(VLOOKUP($C208,Datensammler!$B:$AA,7,0),)</f>
        <v/>
      </c>
      <c r="I207" s="110" t="str">
        <f>IFERROR(VLOOKUP($C208,Datensammler!$B:$AA,8,0),)</f>
        <v/>
      </c>
      <c r="J207" s="169">
        <f t="shared" ref="J207:J209" si="67">SUM(D207:I207)</f>
        <v>0</v>
      </c>
      <c r="K207" s="170" t="str">
        <f>IFERROR(VLOOKUP($C208,Datensammler!$B:$AA,23,0),)</f>
        <v/>
      </c>
      <c r="L207" s="161" t="str">
        <f>IFERROR(VLOOKUP($C208,Datensammler!$B:$AA,24,0),)</f>
        <v/>
      </c>
      <c r="M207" s="170" t="str">
        <f>IFERROR(VLOOKUP($C208,Datensammler!$B:$AA,25,0),)</f>
        <v/>
      </c>
      <c r="N207" s="171" t="str">
        <f>IF(C208=0,"",(VLOOKUP($C208,Datensammler!$B:$AA,26,0)))</f>
        <v>#N/A</v>
      </c>
      <c r="T207" s="172"/>
    </row>
    <row r="208" ht="17.25" customHeight="1">
      <c r="A208" s="130"/>
      <c r="B208" s="174"/>
      <c r="C208" s="175" t="str">
        <f>VLOOKUP(T208,Spieler!A:E,2,0)</f>
        <v>#N/A</v>
      </c>
      <c r="D208" s="170" t="str">
        <f>IFERROR(VLOOKUP($C208,Datensammler!$B:$AA,9,0),)</f>
        <v/>
      </c>
      <c r="E208" s="170" t="str">
        <f>IFERROR(VLOOKUP($C208,Datensammler!$B:$AA,10,0),)</f>
        <v/>
      </c>
      <c r="F208" s="170" t="str">
        <f>IFERROR(VLOOKUP($C208,Datensammler!$B:$AA,11,0),)</f>
        <v/>
      </c>
      <c r="G208" s="170" t="str">
        <f>IFERROR(VLOOKUP($C208,Datensammler!$B:$AA,12,0),)</f>
        <v/>
      </c>
      <c r="H208" s="170" t="str">
        <f>IFERROR(VLOOKUP($C208,Datensammler!$B:$AA,13,0),)</f>
        <v/>
      </c>
      <c r="I208" s="170" t="str">
        <f>IFERROR(VLOOKUP($C208,Datensammler!$B:$AA,14,0),)</f>
        <v/>
      </c>
      <c r="J208" s="169">
        <f t="shared" si="67"/>
        <v>0</v>
      </c>
      <c r="N208" s="176"/>
      <c r="T208" s="177" t="str">
        <f t="array" ref="T208">INDIRECT("Spieler!AD"&amp;B206+5)</f>
        <v/>
      </c>
    </row>
    <row r="209" ht="17.25" customHeight="1">
      <c r="A209" s="130"/>
      <c r="B209" s="167"/>
      <c r="C209" s="178" t="str">
        <f>VLOOKUP(C208,'Mitglieder BBU'!A:K,8,0)</f>
        <v>#N/A</v>
      </c>
      <c r="D209" s="179" t="str">
        <f>IFERROR(VLOOKUP($C208,Datensammler!$B:$AA,15,0),)</f>
        <v/>
      </c>
      <c r="E209" s="179" t="str">
        <f>IFERROR(VLOOKUP($C208,Datensammler!$B:$AA,16,0),)</f>
        <v/>
      </c>
      <c r="F209" s="179" t="str">
        <f>IFERROR(VLOOKUP($C208,Datensammler!$B:$AA,17,0),)</f>
        <v/>
      </c>
      <c r="G209" s="179" t="str">
        <f>IFERROR(VLOOKUP($C208,Datensammler!$B:$AA,18,0),)</f>
        <v/>
      </c>
      <c r="H209" s="179" t="str">
        <f>IFERROR(VLOOKUP($C208,Datensammler!$B:$AA,19,0),)</f>
        <v/>
      </c>
      <c r="I209" s="179" t="str">
        <f>IFERROR(VLOOKUP($C208,Datensammler!$B:$AA,20,0),)</f>
        <v/>
      </c>
      <c r="J209" s="180">
        <f t="shared" si="67"/>
        <v>0</v>
      </c>
      <c r="K209" s="181"/>
      <c r="L209" s="181"/>
      <c r="M209" s="181"/>
      <c r="N209" s="182"/>
      <c r="T209" s="172"/>
    </row>
    <row r="210" ht="17.25" customHeight="1">
      <c r="A210" s="130"/>
      <c r="B210" s="183"/>
      <c r="C210" s="184" t="str">
        <f>IF(VLOOKUP(T208,Spieler!A:F,6,0)="Nein","keine Bayerische Meisterschaft gewünscht","")</f>
        <v>#N/A</v>
      </c>
      <c r="D210" s="161"/>
      <c r="E210" s="170"/>
      <c r="F210" s="170"/>
      <c r="G210" s="185" t="s">
        <v>2562</v>
      </c>
      <c r="H210" s="186"/>
      <c r="I210" s="186"/>
      <c r="J210" s="186"/>
      <c r="K210" s="186"/>
      <c r="L210" s="187">
        <f t="shared" ref="L210:M210" si="68">SUM(L207:L209)</f>
        <v>0</v>
      </c>
      <c r="M210" s="110">
        <f t="shared" si="68"/>
        <v>0</v>
      </c>
      <c r="N210" s="188" t="str">
        <f>L210/M210</f>
        <v>#DIV/0!</v>
      </c>
      <c r="T210" s="189"/>
    </row>
    <row r="211" ht="17.25" customHeight="1">
      <c r="A211" s="130"/>
      <c r="B211" s="190"/>
      <c r="C211" s="178"/>
      <c r="D211" s="191"/>
      <c r="E211" s="191"/>
      <c r="F211" s="191"/>
      <c r="G211" s="191"/>
      <c r="H211" s="191"/>
      <c r="I211" s="191"/>
      <c r="J211" s="191"/>
      <c r="K211" s="191"/>
      <c r="L211" s="192"/>
      <c r="M211" s="191"/>
      <c r="N211" s="193"/>
      <c r="T211" s="194"/>
    </row>
    <row r="212" ht="17.25" customHeight="1">
      <c r="A212" s="130"/>
      <c r="B212" s="157">
        <f>B206+1</f>
        <v>35</v>
      </c>
      <c r="C212" s="158"/>
      <c r="D212" s="159" t="str">
        <f>VLOOKUP(C214,'Mitglieder BBU'!A:J,6,0)</f>
        <v>#N/A</v>
      </c>
      <c r="E212" s="60"/>
      <c r="F212" s="60"/>
      <c r="G212" s="60"/>
      <c r="H212" s="60"/>
      <c r="I212" s="61"/>
      <c r="J212" s="160"/>
      <c r="K212" s="161"/>
      <c r="L212" s="162"/>
      <c r="M212" s="163"/>
      <c r="N212" s="164"/>
      <c r="T212" s="165"/>
    </row>
    <row r="213" ht="17.25" customHeight="1">
      <c r="A213" s="130"/>
      <c r="B213" s="167"/>
      <c r="C213" s="168" t="str">
        <f>VLOOKUP(C214,'Mitglieder BBU'!A:J,6,0)</f>
        <v>#N/A</v>
      </c>
      <c r="D213" s="110" t="str">
        <f>IFERROR(VLOOKUP($C214,Datensammler!$B:$AA,3,0),)</f>
        <v/>
      </c>
      <c r="E213" s="110" t="str">
        <f>IFERROR(VLOOKUP($C214,Datensammler!$B:$AA,4,0),)</f>
        <v/>
      </c>
      <c r="F213" s="110" t="str">
        <f>IFERROR(VLOOKUP($C214,Datensammler!$B:$AA,5,0),)</f>
        <v/>
      </c>
      <c r="G213" s="110" t="str">
        <f>IFERROR(VLOOKUP($C214,Datensammler!$B:$AA,6,0),)</f>
        <v/>
      </c>
      <c r="H213" s="110" t="str">
        <f>IFERROR(VLOOKUP($C214,Datensammler!$B:$AA,7,0),)</f>
        <v/>
      </c>
      <c r="I213" s="110" t="str">
        <f>IFERROR(VLOOKUP($C214,Datensammler!$B:$AA,8,0),)</f>
        <v/>
      </c>
      <c r="J213" s="169">
        <f t="shared" ref="J213:J215" si="69">SUM(D213:I213)</f>
        <v>0</v>
      </c>
      <c r="K213" s="170" t="str">
        <f>IFERROR(VLOOKUP($C214,Datensammler!$B:$AA,23,0),)</f>
        <v/>
      </c>
      <c r="L213" s="161" t="str">
        <f>IFERROR(VLOOKUP($C214,Datensammler!$B:$AA,24,0),)</f>
        <v/>
      </c>
      <c r="M213" s="170" t="str">
        <f>IFERROR(VLOOKUP($C214,Datensammler!$B:$AA,25,0),)</f>
        <v/>
      </c>
      <c r="N213" s="171" t="str">
        <f>IF(C214=0,"",(VLOOKUP($C214,Datensammler!$B:$AA,26,0)))</f>
        <v>#N/A</v>
      </c>
      <c r="T213" s="172"/>
    </row>
    <row r="214" ht="17.25" customHeight="1">
      <c r="A214" s="130"/>
      <c r="B214" s="174"/>
      <c r="C214" s="175" t="str">
        <f>VLOOKUP(T214,Spieler!A:E,2,0)</f>
        <v>#N/A</v>
      </c>
      <c r="D214" s="170" t="str">
        <f>IFERROR(VLOOKUP($C214,Datensammler!$B:$AA,9,0),)</f>
        <v/>
      </c>
      <c r="E214" s="170" t="str">
        <f>IFERROR(VLOOKUP($C214,Datensammler!$B:$AA,10,0),)</f>
        <v/>
      </c>
      <c r="F214" s="170" t="str">
        <f>IFERROR(VLOOKUP($C214,Datensammler!$B:$AA,11,0),)</f>
        <v/>
      </c>
      <c r="G214" s="170" t="str">
        <f>IFERROR(VLOOKUP($C214,Datensammler!$B:$AA,12,0),)</f>
        <v/>
      </c>
      <c r="H214" s="170" t="str">
        <f>IFERROR(VLOOKUP($C214,Datensammler!$B:$AA,13,0),)</f>
        <v/>
      </c>
      <c r="I214" s="170" t="str">
        <f>IFERROR(VLOOKUP($C214,Datensammler!$B:$AA,14,0),)</f>
        <v/>
      </c>
      <c r="J214" s="169">
        <f t="shared" si="69"/>
        <v>0</v>
      </c>
      <c r="N214" s="176"/>
      <c r="T214" s="177" t="str">
        <f t="array" ref="T214">INDIRECT("Spieler!AD"&amp;B212+5)</f>
        <v/>
      </c>
    </row>
    <row r="215" ht="17.25" customHeight="1">
      <c r="A215" s="130"/>
      <c r="B215" s="167"/>
      <c r="C215" s="178" t="str">
        <f>VLOOKUP(C214,'Mitglieder BBU'!A:K,8,0)</f>
        <v>#N/A</v>
      </c>
      <c r="D215" s="179" t="str">
        <f>IFERROR(VLOOKUP($C214,Datensammler!$B:$AA,15,0),)</f>
        <v/>
      </c>
      <c r="E215" s="179" t="str">
        <f>IFERROR(VLOOKUP($C214,Datensammler!$B:$AA,16,0),)</f>
        <v/>
      </c>
      <c r="F215" s="179" t="str">
        <f>IFERROR(VLOOKUP($C214,Datensammler!$B:$AA,17,0),)</f>
        <v/>
      </c>
      <c r="G215" s="179" t="str">
        <f>IFERROR(VLOOKUP($C214,Datensammler!$B:$AA,18,0),)</f>
        <v/>
      </c>
      <c r="H215" s="179" t="str">
        <f>IFERROR(VLOOKUP($C214,Datensammler!$B:$AA,19,0),)</f>
        <v/>
      </c>
      <c r="I215" s="179" t="str">
        <f>IFERROR(VLOOKUP($C214,Datensammler!$B:$AA,20,0),)</f>
        <v/>
      </c>
      <c r="J215" s="180">
        <f t="shared" si="69"/>
        <v>0</v>
      </c>
      <c r="K215" s="181"/>
      <c r="L215" s="181"/>
      <c r="M215" s="181"/>
      <c r="N215" s="182"/>
      <c r="T215" s="172"/>
    </row>
    <row r="216" ht="17.25" customHeight="1">
      <c r="A216" s="130"/>
      <c r="B216" s="183"/>
      <c r="C216" s="184" t="str">
        <f>IF(VLOOKUP(T214,Spieler!A:F,6,0)="Nein","keine Bayerische Meisterschaft gewünscht","")</f>
        <v>#N/A</v>
      </c>
      <c r="D216" s="161"/>
      <c r="E216" s="170"/>
      <c r="F216" s="170"/>
      <c r="G216" s="185" t="s">
        <v>2562</v>
      </c>
      <c r="H216" s="186"/>
      <c r="I216" s="186"/>
      <c r="J216" s="186"/>
      <c r="K216" s="186"/>
      <c r="L216" s="187">
        <f t="shared" ref="L216:M216" si="70">SUM(L213:L215)</f>
        <v>0</v>
      </c>
      <c r="M216" s="110">
        <f t="shared" si="70"/>
        <v>0</v>
      </c>
      <c r="N216" s="188" t="str">
        <f>L216/M216</f>
        <v>#DIV/0!</v>
      </c>
      <c r="T216" s="189"/>
    </row>
    <row r="217" ht="17.25" customHeight="1">
      <c r="A217" s="130"/>
      <c r="B217" s="190"/>
      <c r="C217" s="178"/>
      <c r="D217" s="191"/>
      <c r="E217" s="191"/>
      <c r="F217" s="191"/>
      <c r="G217" s="191"/>
      <c r="H217" s="191"/>
      <c r="I217" s="191"/>
      <c r="J217" s="191"/>
      <c r="K217" s="191"/>
      <c r="L217" s="192"/>
      <c r="M217" s="191"/>
      <c r="N217" s="193"/>
      <c r="T217" s="194"/>
    </row>
    <row r="218" ht="17.25" customHeight="1">
      <c r="A218" s="130"/>
      <c r="B218" s="157">
        <f>B212+1</f>
        <v>36</v>
      </c>
      <c r="C218" s="158"/>
      <c r="D218" s="159" t="str">
        <f>VLOOKUP(C220,'Mitglieder BBU'!A:J,6,0)</f>
        <v>#N/A</v>
      </c>
      <c r="E218" s="60"/>
      <c r="F218" s="60"/>
      <c r="G218" s="60"/>
      <c r="H218" s="60"/>
      <c r="I218" s="61"/>
      <c r="J218" s="160"/>
      <c r="K218" s="161"/>
      <c r="L218" s="162"/>
      <c r="M218" s="163"/>
      <c r="N218" s="164"/>
      <c r="T218" s="165"/>
    </row>
    <row r="219" ht="17.25" customHeight="1">
      <c r="A219" s="130"/>
      <c r="B219" s="167"/>
      <c r="C219" s="168" t="str">
        <f>VLOOKUP(C220,'Mitglieder BBU'!A:J,6,0)</f>
        <v>#N/A</v>
      </c>
      <c r="D219" s="110" t="str">
        <f>IFERROR(VLOOKUP($C220,Datensammler!$B:$AA,3,0),)</f>
        <v/>
      </c>
      <c r="E219" s="110" t="str">
        <f>IFERROR(VLOOKUP($C220,Datensammler!$B:$AA,4,0),)</f>
        <v/>
      </c>
      <c r="F219" s="110" t="str">
        <f>IFERROR(VLOOKUP($C220,Datensammler!$B:$AA,5,0),)</f>
        <v/>
      </c>
      <c r="G219" s="110" t="str">
        <f>IFERROR(VLOOKUP($C220,Datensammler!$B:$AA,6,0),)</f>
        <v/>
      </c>
      <c r="H219" s="110" t="str">
        <f>IFERROR(VLOOKUP($C220,Datensammler!$B:$AA,7,0),)</f>
        <v/>
      </c>
      <c r="I219" s="110" t="str">
        <f>IFERROR(VLOOKUP($C220,Datensammler!$B:$AA,8,0),)</f>
        <v/>
      </c>
      <c r="J219" s="169">
        <f t="shared" ref="J219:J221" si="71">SUM(D219:I219)</f>
        <v>0</v>
      </c>
      <c r="K219" s="170" t="str">
        <f>IFERROR(VLOOKUP($C220,Datensammler!$B:$AA,23,0),)</f>
        <v/>
      </c>
      <c r="L219" s="161" t="str">
        <f>IFERROR(VLOOKUP($C220,Datensammler!$B:$AA,24,0),)</f>
        <v/>
      </c>
      <c r="M219" s="170" t="str">
        <f>IFERROR(VLOOKUP($C220,Datensammler!$B:$AA,25,0),)</f>
        <v/>
      </c>
      <c r="N219" s="171" t="str">
        <f>IF(C220=0,"",(VLOOKUP($C220,Datensammler!$B:$AA,26,0)))</f>
        <v>#N/A</v>
      </c>
      <c r="T219" s="172"/>
    </row>
    <row r="220" ht="17.25" customHeight="1">
      <c r="A220" s="130"/>
      <c r="B220" s="174"/>
      <c r="C220" s="175" t="str">
        <f>VLOOKUP(T220,Spieler!A:E,2,0)</f>
        <v>#N/A</v>
      </c>
      <c r="D220" s="170" t="str">
        <f>IFERROR(VLOOKUP($C220,Datensammler!$B:$AA,9,0),)</f>
        <v/>
      </c>
      <c r="E220" s="170" t="str">
        <f>IFERROR(VLOOKUP($C220,Datensammler!$B:$AA,10,0),)</f>
        <v/>
      </c>
      <c r="F220" s="170" t="str">
        <f>IFERROR(VLOOKUP($C220,Datensammler!$B:$AA,11,0),)</f>
        <v/>
      </c>
      <c r="G220" s="170" t="str">
        <f>IFERROR(VLOOKUP($C220,Datensammler!$B:$AA,12,0),)</f>
        <v/>
      </c>
      <c r="H220" s="170" t="str">
        <f>IFERROR(VLOOKUP($C220,Datensammler!$B:$AA,13,0),)</f>
        <v/>
      </c>
      <c r="I220" s="170" t="str">
        <f>IFERROR(VLOOKUP($C220,Datensammler!$B:$AA,14,0),)</f>
        <v/>
      </c>
      <c r="J220" s="169">
        <f t="shared" si="71"/>
        <v>0</v>
      </c>
      <c r="N220" s="176"/>
      <c r="T220" s="177" t="str">
        <f t="array" ref="T220">INDIRECT("Spieler!AD"&amp;B218+5)</f>
        <v/>
      </c>
    </row>
    <row r="221" ht="17.25" customHeight="1">
      <c r="A221" s="130"/>
      <c r="B221" s="167"/>
      <c r="C221" s="178" t="str">
        <f>VLOOKUP(C220,'Mitglieder BBU'!A:K,8,0)</f>
        <v>#N/A</v>
      </c>
      <c r="D221" s="179" t="str">
        <f>IFERROR(VLOOKUP($C220,Datensammler!$B:$AA,15,0),)</f>
        <v/>
      </c>
      <c r="E221" s="179" t="str">
        <f>IFERROR(VLOOKUP($C220,Datensammler!$B:$AA,16,0),)</f>
        <v/>
      </c>
      <c r="F221" s="179" t="str">
        <f>IFERROR(VLOOKUP($C220,Datensammler!$B:$AA,17,0),)</f>
        <v/>
      </c>
      <c r="G221" s="179" t="str">
        <f>IFERROR(VLOOKUP($C220,Datensammler!$B:$AA,18,0),)</f>
        <v/>
      </c>
      <c r="H221" s="179" t="str">
        <f>IFERROR(VLOOKUP($C220,Datensammler!$B:$AA,19,0),)</f>
        <v/>
      </c>
      <c r="I221" s="179" t="str">
        <f>IFERROR(VLOOKUP($C220,Datensammler!$B:$AA,20,0),)</f>
        <v/>
      </c>
      <c r="J221" s="180">
        <f t="shared" si="71"/>
        <v>0</v>
      </c>
      <c r="K221" s="181"/>
      <c r="L221" s="181"/>
      <c r="M221" s="181"/>
      <c r="N221" s="182"/>
      <c r="T221" s="172"/>
    </row>
    <row r="222" ht="17.25" customHeight="1">
      <c r="A222" s="130"/>
      <c r="B222" s="183"/>
      <c r="C222" s="184" t="str">
        <f>IF(VLOOKUP(T220,Spieler!A:F,6,0)="Nein","keine Bayerische Meisterschaft gewünscht","")</f>
        <v>#N/A</v>
      </c>
      <c r="D222" s="161"/>
      <c r="E222" s="170"/>
      <c r="F222" s="170"/>
      <c r="G222" s="185" t="s">
        <v>2562</v>
      </c>
      <c r="H222" s="186"/>
      <c r="I222" s="186"/>
      <c r="J222" s="186"/>
      <c r="K222" s="186"/>
      <c r="L222" s="187">
        <f t="shared" ref="L222:M222" si="72">SUM(L219:L221)</f>
        <v>0</v>
      </c>
      <c r="M222" s="110">
        <f t="shared" si="72"/>
        <v>0</v>
      </c>
      <c r="N222" s="188" t="str">
        <f>L222/M222</f>
        <v>#DIV/0!</v>
      </c>
      <c r="T222" s="189"/>
    </row>
    <row r="223" ht="17.25" customHeight="1">
      <c r="A223" s="207"/>
      <c r="B223" s="190"/>
      <c r="C223" s="178"/>
      <c r="D223" s="191"/>
      <c r="E223" s="191"/>
      <c r="F223" s="191"/>
      <c r="G223" s="191"/>
      <c r="H223" s="191"/>
      <c r="I223" s="191"/>
      <c r="J223" s="191"/>
      <c r="K223" s="191"/>
      <c r="L223" s="192"/>
      <c r="M223" s="191"/>
      <c r="N223" s="193"/>
      <c r="T223" s="194"/>
    </row>
    <row r="224" ht="17.25" customHeight="1">
      <c r="A224" s="130"/>
      <c r="B224" s="157">
        <f>B218+1</f>
        <v>37</v>
      </c>
      <c r="C224" s="158"/>
      <c r="D224" s="159" t="str">
        <f>VLOOKUP(C226,'Mitglieder BBU'!A:J,6,0)</f>
        <v>#N/A</v>
      </c>
      <c r="E224" s="60"/>
      <c r="F224" s="60"/>
      <c r="G224" s="60"/>
      <c r="H224" s="60"/>
      <c r="I224" s="61"/>
      <c r="J224" s="160"/>
      <c r="K224" s="161"/>
      <c r="L224" s="162"/>
      <c r="M224" s="163"/>
      <c r="N224" s="164"/>
      <c r="T224" s="165"/>
    </row>
    <row r="225" ht="17.25" customHeight="1">
      <c r="A225" s="130"/>
      <c r="B225" s="167"/>
      <c r="C225" s="168" t="str">
        <f>VLOOKUP(C226,'Mitglieder BBU'!A:J,6,0)</f>
        <v>#N/A</v>
      </c>
      <c r="D225" s="110" t="str">
        <f>IFERROR(VLOOKUP($C226,Datensammler!$B:$AA,3,0),)</f>
        <v/>
      </c>
      <c r="E225" s="110" t="str">
        <f>IFERROR(VLOOKUP($C226,Datensammler!$B:$AA,4,0),)</f>
        <v/>
      </c>
      <c r="F225" s="110" t="str">
        <f>IFERROR(VLOOKUP($C226,Datensammler!$B:$AA,5,0),)</f>
        <v/>
      </c>
      <c r="G225" s="110" t="str">
        <f>IFERROR(VLOOKUP($C226,Datensammler!$B:$AA,6,0),)</f>
        <v/>
      </c>
      <c r="H225" s="110" t="str">
        <f>IFERROR(VLOOKUP($C226,Datensammler!$B:$AA,7,0),)</f>
        <v/>
      </c>
      <c r="I225" s="110" t="str">
        <f>IFERROR(VLOOKUP($C226,Datensammler!$B:$AA,8,0),)</f>
        <v/>
      </c>
      <c r="J225" s="169">
        <f t="shared" ref="J225:J227" si="73">SUM(D225:I225)</f>
        <v>0</v>
      </c>
      <c r="K225" s="170" t="str">
        <f>IFERROR(VLOOKUP($C226,Datensammler!$B:$AA,23,0),)</f>
        <v/>
      </c>
      <c r="L225" s="161" t="str">
        <f>IFERROR(VLOOKUP($C226,Datensammler!$B:$AA,24,0),)</f>
        <v/>
      </c>
      <c r="M225" s="170" t="str">
        <f>IFERROR(VLOOKUP($C226,Datensammler!$B:$AA,25,0),)</f>
        <v/>
      </c>
      <c r="N225" s="171" t="str">
        <f>IF(C226=0,"",(VLOOKUP($C226,Datensammler!$B:$AA,26,0)))</f>
        <v>#N/A</v>
      </c>
      <c r="T225" s="172"/>
    </row>
    <row r="226" ht="17.25" customHeight="1">
      <c r="A226" s="130"/>
      <c r="B226" s="174"/>
      <c r="C226" s="175" t="str">
        <f>VLOOKUP(T226,Spieler!A:E,2,0)</f>
        <v>#N/A</v>
      </c>
      <c r="D226" s="170" t="str">
        <f>IFERROR(VLOOKUP($C226,Datensammler!$B:$AA,9,0),)</f>
        <v/>
      </c>
      <c r="E226" s="170" t="str">
        <f>IFERROR(VLOOKUP($C226,Datensammler!$B:$AA,10,0),)</f>
        <v/>
      </c>
      <c r="F226" s="170" t="str">
        <f>IFERROR(VLOOKUP($C226,Datensammler!$B:$AA,11,0),)</f>
        <v/>
      </c>
      <c r="G226" s="170" t="str">
        <f>IFERROR(VLOOKUP($C226,Datensammler!$B:$AA,12,0),)</f>
        <v/>
      </c>
      <c r="H226" s="170" t="str">
        <f>IFERROR(VLOOKUP($C226,Datensammler!$B:$AA,13,0),)</f>
        <v/>
      </c>
      <c r="I226" s="170" t="str">
        <f>IFERROR(VLOOKUP($C226,Datensammler!$B:$AA,14,0),)</f>
        <v/>
      </c>
      <c r="J226" s="169">
        <f t="shared" si="73"/>
        <v>0</v>
      </c>
      <c r="N226" s="176"/>
      <c r="T226" s="177" t="str">
        <f t="array" ref="T226">INDIRECT("Spieler!AD"&amp;B224+5)</f>
        <v/>
      </c>
    </row>
    <row r="227" ht="17.25" customHeight="1">
      <c r="A227" s="130"/>
      <c r="B227" s="167"/>
      <c r="C227" s="178" t="str">
        <f>VLOOKUP(C226,'Mitglieder BBU'!A:K,8,0)</f>
        <v>#N/A</v>
      </c>
      <c r="D227" s="179" t="str">
        <f>IFERROR(VLOOKUP($C226,Datensammler!$B:$AA,15,0),)</f>
        <v/>
      </c>
      <c r="E227" s="179" t="str">
        <f>IFERROR(VLOOKUP($C226,Datensammler!$B:$AA,16,0),)</f>
        <v/>
      </c>
      <c r="F227" s="179" t="str">
        <f>IFERROR(VLOOKUP($C226,Datensammler!$B:$AA,17,0),)</f>
        <v/>
      </c>
      <c r="G227" s="179" t="str">
        <f>IFERROR(VLOOKUP($C226,Datensammler!$B:$AA,18,0),)</f>
        <v/>
      </c>
      <c r="H227" s="179" t="str">
        <f>IFERROR(VLOOKUP($C226,Datensammler!$B:$AA,19,0),)</f>
        <v/>
      </c>
      <c r="I227" s="179" t="str">
        <f>IFERROR(VLOOKUP($C226,Datensammler!$B:$AA,20,0),)</f>
        <v/>
      </c>
      <c r="J227" s="180">
        <f t="shared" si="73"/>
        <v>0</v>
      </c>
      <c r="K227" s="181"/>
      <c r="L227" s="181"/>
      <c r="M227" s="181"/>
      <c r="N227" s="182"/>
      <c r="T227" s="172"/>
    </row>
    <row r="228" ht="17.25" customHeight="1">
      <c r="A228" s="130"/>
      <c r="B228" s="183"/>
      <c r="C228" s="184" t="str">
        <f>IF(VLOOKUP(T226,Spieler!A:F,6,0)="Nein","keine Bayerische Meisterschaft gewünscht","")</f>
        <v>#N/A</v>
      </c>
      <c r="D228" s="161"/>
      <c r="E228" s="170"/>
      <c r="F228" s="170"/>
      <c r="G228" s="185" t="s">
        <v>2562</v>
      </c>
      <c r="H228" s="186"/>
      <c r="I228" s="186"/>
      <c r="J228" s="186"/>
      <c r="K228" s="186"/>
      <c r="L228" s="187">
        <f t="shared" ref="L228:M228" si="74">SUM(L225:L227)</f>
        <v>0</v>
      </c>
      <c r="M228" s="110">
        <f t="shared" si="74"/>
        <v>0</v>
      </c>
      <c r="N228" s="188" t="str">
        <f>L228/M228</f>
        <v>#DIV/0!</v>
      </c>
      <c r="T228" s="189"/>
    </row>
    <row r="229" ht="17.25" customHeight="1">
      <c r="A229" s="130"/>
      <c r="B229" s="190"/>
      <c r="C229" s="178"/>
      <c r="D229" s="191"/>
      <c r="E229" s="191"/>
      <c r="F229" s="191"/>
      <c r="G229" s="191"/>
      <c r="H229" s="191"/>
      <c r="I229" s="191"/>
      <c r="J229" s="191"/>
      <c r="K229" s="191"/>
      <c r="L229" s="192"/>
      <c r="M229" s="191"/>
      <c r="N229" s="193"/>
      <c r="T229" s="194"/>
    </row>
    <row r="230" ht="17.25" customHeight="1">
      <c r="A230" s="130"/>
      <c r="B230" s="157">
        <f>B224+1</f>
        <v>38</v>
      </c>
      <c r="C230" s="158"/>
      <c r="D230" s="159" t="str">
        <f>VLOOKUP(C232,'Mitglieder BBU'!A:J,6,0)</f>
        <v>#N/A</v>
      </c>
      <c r="E230" s="60"/>
      <c r="F230" s="60"/>
      <c r="G230" s="60"/>
      <c r="H230" s="60"/>
      <c r="I230" s="61"/>
      <c r="J230" s="160"/>
      <c r="K230" s="161"/>
      <c r="L230" s="162"/>
      <c r="M230" s="163"/>
      <c r="N230" s="164"/>
      <c r="T230" s="165"/>
    </row>
    <row r="231" ht="17.25" customHeight="1">
      <c r="A231" s="130"/>
      <c r="B231" s="167"/>
      <c r="C231" s="168" t="str">
        <f>VLOOKUP(C232,'Mitglieder BBU'!A:J,6,0)</f>
        <v>#N/A</v>
      </c>
      <c r="D231" s="110" t="str">
        <f>IFERROR(VLOOKUP($C232,Datensammler!$B:$AA,3,0),)</f>
        <v/>
      </c>
      <c r="E231" s="110" t="str">
        <f>IFERROR(VLOOKUP($C232,Datensammler!$B:$AA,4,0),)</f>
        <v/>
      </c>
      <c r="F231" s="110" t="str">
        <f>IFERROR(VLOOKUP($C232,Datensammler!$B:$AA,5,0),)</f>
        <v/>
      </c>
      <c r="G231" s="110" t="str">
        <f>IFERROR(VLOOKUP($C232,Datensammler!$B:$AA,6,0),)</f>
        <v/>
      </c>
      <c r="H231" s="110" t="str">
        <f>IFERROR(VLOOKUP($C232,Datensammler!$B:$AA,7,0),)</f>
        <v/>
      </c>
      <c r="I231" s="110" t="str">
        <f>IFERROR(VLOOKUP($C232,Datensammler!$B:$AA,8,0),)</f>
        <v/>
      </c>
      <c r="J231" s="169">
        <f t="shared" ref="J231:J233" si="75">SUM(D231:I231)</f>
        <v>0</v>
      </c>
      <c r="K231" s="170" t="str">
        <f>IFERROR(VLOOKUP($C232,Datensammler!$B:$AA,23,0),)</f>
        <v/>
      </c>
      <c r="L231" s="161" t="str">
        <f>IFERROR(VLOOKUP($C232,Datensammler!$B:$AA,24,0),)</f>
        <v/>
      </c>
      <c r="M231" s="170" t="str">
        <f>IFERROR(VLOOKUP($C232,Datensammler!$B:$AA,25,0),)</f>
        <v/>
      </c>
      <c r="N231" s="171" t="str">
        <f>IF(C232=0,"",(VLOOKUP($C232,Datensammler!$B:$AA,26,0)))</f>
        <v>#N/A</v>
      </c>
      <c r="T231" s="172"/>
    </row>
    <row r="232" ht="17.25" customHeight="1">
      <c r="A232" s="130"/>
      <c r="B232" s="174"/>
      <c r="C232" s="175" t="str">
        <f>VLOOKUP(T232,Spieler!A:E,2,0)</f>
        <v>#N/A</v>
      </c>
      <c r="D232" s="170" t="str">
        <f>IFERROR(VLOOKUP($C232,Datensammler!$B:$AA,9,0),)</f>
        <v/>
      </c>
      <c r="E232" s="170" t="str">
        <f>IFERROR(VLOOKUP($C232,Datensammler!$B:$AA,10,0),)</f>
        <v/>
      </c>
      <c r="F232" s="170" t="str">
        <f>IFERROR(VLOOKUP($C232,Datensammler!$B:$AA,11,0),)</f>
        <v/>
      </c>
      <c r="G232" s="170" t="str">
        <f>IFERROR(VLOOKUP($C232,Datensammler!$B:$AA,12,0),)</f>
        <v/>
      </c>
      <c r="H232" s="170" t="str">
        <f>IFERROR(VLOOKUP($C232,Datensammler!$B:$AA,13,0),)</f>
        <v/>
      </c>
      <c r="I232" s="170" t="str">
        <f>IFERROR(VLOOKUP($C232,Datensammler!$B:$AA,14,0),)</f>
        <v/>
      </c>
      <c r="J232" s="169">
        <f t="shared" si="75"/>
        <v>0</v>
      </c>
      <c r="N232" s="176"/>
      <c r="T232" s="177" t="str">
        <f t="array" ref="T232">INDIRECT("Spieler!AD"&amp;B230+5)</f>
        <v/>
      </c>
    </row>
    <row r="233" ht="17.25" customHeight="1">
      <c r="A233" s="130"/>
      <c r="B233" s="167"/>
      <c r="C233" s="178" t="str">
        <f>VLOOKUP(C232,'Mitglieder BBU'!A:K,8,0)</f>
        <v>#N/A</v>
      </c>
      <c r="D233" s="179" t="str">
        <f>IFERROR(VLOOKUP($C232,Datensammler!$B:$AA,15,0),)</f>
        <v/>
      </c>
      <c r="E233" s="179" t="str">
        <f>IFERROR(VLOOKUP($C232,Datensammler!$B:$AA,16,0),)</f>
        <v/>
      </c>
      <c r="F233" s="179" t="str">
        <f>IFERROR(VLOOKUP($C232,Datensammler!$B:$AA,17,0),)</f>
        <v/>
      </c>
      <c r="G233" s="179" t="str">
        <f>IFERROR(VLOOKUP($C232,Datensammler!$B:$AA,18,0),)</f>
        <v/>
      </c>
      <c r="H233" s="179" t="str">
        <f>IFERROR(VLOOKUP($C232,Datensammler!$B:$AA,19,0),)</f>
        <v/>
      </c>
      <c r="I233" s="179" t="str">
        <f>IFERROR(VLOOKUP($C232,Datensammler!$B:$AA,20,0),)</f>
        <v/>
      </c>
      <c r="J233" s="180">
        <f t="shared" si="75"/>
        <v>0</v>
      </c>
      <c r="K233" s="181"/>
      <c r="L233" s="181"/>
      <c r="M233" s="181"/>
      <c r="N233" s="182"/>
      <c r="T233" s="172"/>
    </row>
    <row r="234" ht="17.25" customHeight="1">
      <c r="A234" s="130"/>
      <c r="B234" s="183"/>
      <c r="C234" s="184" t="str">
        <f>IF(VLOOKUP(T232,Spieler!A:F,6,0)="Nein","keine Bayerische Meisterschaft gewünscht","")</f>
        <v>#N/A</v>
      </c>
      <c r="D234" s="161"/>
      <c r="E234" s="170"/>
      <c r="F234" s="170"/>
      <c r="G234" s="185" t="s">
        <v>2562</v>
      </c>
      <c r="H234" s="186"/>
      <c r="I234" s="186"/>
      <c r="J234" s="186"/>
      <c r="K234" s="186"/>
      <c r="L234" s="187">
        <f t="shared" ref="L234:M234" si="76">SUM(L231:L233)</f>
        <v>0</v>
      </c>
      <c r="M234" s="110">
        <f t="shared" si="76"/>
        <v>0</v>
      </c>
      <c r="N234" s="188" t="str">
        <f>L234/M234</f>
        <v>#DIV/0!</v>
      </c>
      <c r="T234" s="189"/>
    </row>
    <row r="235" ht="17.25" customHeight="1">
      <c r="A235" s="130"/>
      <c r="B235" s="190"/>
      <c r="C235" s="178"/>
      <c r="D235" s="191"/>
      <c r="E235" s="191"/>
      <c r="F235" s="191"/>
      <c r="G235" s="191"/>
      <c r="H235" s="191"/>
      <c r="I235" s="191"/>
      <c r="J235" s="191"/>
      <c r="K235" s="191"/>
      <c r="L235" s="192"/>
      <c r="M235" s="191"/>
      <c r="N235" s="193"/>
      <c r="T235" s="194"/>
    </row>
    <row r="236" ht="17.25" customHeight="1">
      <c r="A236" s="130"/>
      <c r="B236" s="157">
        <f>B230+1</f>
        <v>39</v>
      </c>
      <c r="C236" s="158"/>
      <c r="D236" s="159" t="str">
        <f>VLOOKUP(C238,'Mitglieder BBU'!A:J,6,0)</f>
        <v>#N/A</v>
      </c>
      <c r="E236" s="60"/>
      <c r="F236" s="60"/>
      <c r="G236" s="60"/>
      <c r="H236" s="60"/>
      <c r="I236" s="61"/>
      <c r="J236" s="160"/>
      <c r="K236" s="161"/>
      <c r="L236" s="162"/>
      <c r="M236" s="163"/>
      <c r="N236" s="164"/>
      <c r="T236" s="165"/>
    </row>
    <row r="237" ht="17.25" customHeight="1">
      <c r="A237" s="130"/>
      <c r="B237" s="167"/>
      <c r="C237" s="168" t="str">
        <f>VLOOKUP(C238,'Mitglieder BBU'!A:J,6,0)</f>
        <v>#N/A</v>
      </c>
      <c r="D237" s="110" t="str">
        <f>IFERROR(VLOOKUP($C238,Datensammler!$B:$AA,3,0),)</f>
        <v/>
      </c>
      <c r="E237" s="110" t="str">
        <f>IFERROR(VLOOKUP($C238,Datensammler!$B:$AA,4,0),)</f>
        <v/>
      </c>
      <c r="F237" s="110" t="str">
        <f>IFERROR(VLOOKUP($C238,Datensammler!$B:$AA,5,0),)</f>
        <v/>
      </c>
      <c r="G237" s="110" t="str">
        <f>IFERROR(VLOOKUP($C238,Datensammler!$B:$AA,6,0),)</f>
        <v/>
      </c>
      <c r="H237" s="110" t="str">
        <f>IFERROR(VLOOKUP($C238,Datensammler!$B:$AA,7,0),)</f>
        <v/>
      </c>
      <c r="I237" s="110" t="str">
        <f>IFERROR(VLOOKUP($C238,Datensammler!$B:$AA,8,0),)</f>
        <v/>
      </c>
      <c r="J237" s="169">
        <f t="shared" ref="J237:J239" si="77">SUM(D237:I237)</f>
        <v>0</v>
      </c>
      <c r="K237" s="170" t="str">
        <f>IFERROR(VLOOKUP($C238,Datensammler!$B:$AA,23,0),)</f>
        <v/>
      </c>
      <c r="L237" s="161" t="str">
        <f>IFERROR(VLOOKUP($C238,Datensammler!$B:$AA,24,0),)</f>
        <v/>
      </c>
      <c r="M237" s="170" t="str">
        <f>IFERROR(VLOOKUP($C238,Datensammler!$B:$AA,25,0),)</f>
        <v/>
      </c>
      <c r="N237" s="171" t="str">
        <f>IF(C238=0,"",(VLOOKUP($C238,Datensammler!$B:$AA,26,0)))</f>
        <v>#N/A</v>
      </c>
      <c r="T237" s="172"/>
    </row>
    <row r="238" ht="17.25" customHeight="1">
      <c r="A238" s="130"/>
      <c r="B238" s="174"/>
      <c r="C238" s="175" t="str">
        <f>VLOOKUP(T238,Spieler!A:E,2,0)</f>
        <v>#N/A</v>
      </c>
      <c r="D238" s="170" t="str">
        <f>IFERROR(VLOOKUP($C238,Datensammler!$B:$AA,9,0),)</f>
        <v/>
      </c>
      <c r="E238" s="170" t="str">
        <f>IFERROR(VLOOKUP($C238,Datensammler!$B:$AA,10,0),)</f>
        <v/>
      </c>
      <c r="F238" s="170" t="str">
        <f>IFERROR(VLOOKUP($C238,Datensammler!$B:$AA,11,0),)</f>
        <v/>
      </c>
      <c r="G238" s="170" t="str">
        <f>IFERROR(VLOOKUP($C238,Datensammler!$B:$AA,12,0),)</f>
        <v/>
      </c>
      <c r="H238" s="170" t="str">
        <f>IFERROR(VLOOKUP($C238,Datensammler!$B:$AA,13,0),)</f>
        <v/>
      </c>
      <c r="I238" s="170" t="str">
        <f>IFERROR(VLOOKUP($C238,Datensammler!$B:$AA,14,0),)</f>
        <v/>
      </c>
      <c r="J238" s="169">
        <f t="shared" si="77"/>
        <v>0</v>
      </c>
      <c r="N238" s="176"/>
      <c r="T238" s="177" t="str">
        <f t="array" ref="T238">INDIRECT("Spieler!AD"&amp;B236+5)</f>
        <v/>
      </c>
    </row>
    <row r="239" ht="17.25" customHeight="1">
      <c r="A239" s="130"/>
      <c r="B239" s="167"/>
      <c r="C239" s="178" t="str">
        <f>VLOOKUP(C238,'Mitglieder BBU'!A:K,8,0)</f>
        <v>#N/A</v>
      </c>
      <c r="D239" s="179" t="str">
        <f>IFERROR(VLOOKUP($C238,Datensammler!$B:$AA,15,0),)</f>
        <v/>
      </c>
      <c r="E239" s="179" t="str">
        <f>IFERROR(VLOOKUP($C238,Datensammler!$B:$AA,16,0),)</f>
        <v/>
      </c>
      <c r="F239" s="179" t="str">
        <f>IFERROR(VLOOKUP($C238,Datensammler!$B:$AA,17,0),)</f>
        <v/>
      </c>
      <c r="G239" s="179" t="str">
        <f>IFERROR(VLOOKUP($C238,Datensammler!$B:$AA,18,0),)</f>
        <v/>
      </c>
      <c r="H239" s="179" t="str">
        <f>IFERROR(VLOOKUP($C238,Datensammler!$B:$AA,19,0),)</f>
        <v/>
      </c>
      <c r="I239" s="179" t="str">
        <f>IFERROR(VLOOKUP($C238,Datensammler!$B:$AA,20,0),)</f>
        <v/>
      </c>
      <c r="J239" s="180">
        <f t="shared" si="77"/>
        <v>0</v>
      </c>
      <c r="K239" s="181"/>
      <c r="L239" s="181"/>
      <c r="M239" s="181"/>
      <c r="N239" s="182"/>
      <c r="T239" s="172"/>
    </row>
    <row r="240" ht="17.25" customHeight="1">
      <c r="A240" s="130"/>
      <c r="B240" s="183"/>
      <c r="C240" s="184" t="str">
        <f>IF(VLOOKUP(T238,Spieler!A:F,6,0)="Nein","keine Bayerische Meisterschaft gewünscht","")</f>
        <v>#N/A</v>
      </c>
      <c r="D240" s="161"/>
      <c r="E240" s="170"/>
      <c r="F240" s="170"/>
      <c r="G240" s="185" t="s">
        <v>2562</v>
      </c>
      <c r="H240" s="186"/>
      <c r="I240" s="186"/>
      <c r="J240" s="186"/>
      <c r="K240" s="186"/>
      <c r="L240" s="187">
        <f t="shared" ref="L240:M240" si="78">SUM(L237:L239)</f>
        <v>0</v>
      </c>
      <c r="M240" s="110">
        <f t="shared" si="78"/>
        <v>0</v>
      </c>
      <c r="N240" s="188" t="str">
        <f>L240/M240</f>
        <v>#DIV/0!</v>
      </c>
      <c r="T240" s="189"/>
    </row>
    <row r="241" ht="17.25" customHeight="1">
      <c r="A241" s="130"/>
      <c r="B241" s="190"/>
      <c r="C241" s="178"/>
      <c r="D241" s="191"/>
      <c r="E241" s="191"/>
      <c r="F241" s="191"/>
      <c r="G241" s="191"/>
      <c r="H241" s="191"/>
      <c r="I241" s="191"/>
      <c r="J241" s="191"/>
      <c r="K241" s="191"/>
      <c r="L241" s="192"/>
      <c r="M241" s="191"/>
      <c r="N241" s="193"/>
      <c r="T241" s="194"/>
    </row>
    <row r="242" ht="17.25" customHeight="1">
      <c r="A242" s="130"/>
      <c r="B242" s="157">
        <f>B236+1</f>
        <v>40</v>
      </c>
      <c r="C242" s="158"/>
      <c r="D242" s="159" t="str">
        <f>VLOOKUP(C244,'Mitglieder BBU'!A:J,6,0)</f>
        <v>#N/A</v>
      </c>
      <c r="E242" s="60"/>
      <c r="F242" s="60"/>
      <c r="G242" s="60"/>
      <c r="H242" s="60"/>
      <c r="I242" s="61"/>
      <c r="J242" s="160"/>
      <c r="K242" s="161"/>
      <c r="L242" s="162"/>
      <c r="M242" s="163"/>
      <c r="N242" s="164"/>
      <c r="T242" s="165"/>
    </row>
    <row r="243" ht="17.25" customHeight="1">
      <c r="A243" s="130"/>
      <c r="B243" s="167"/>
      <c r="C243" s="168" t="str">
        <f>VLOOKUP(C244,'Mitglieder BBU'!A:J,6,0)</f>
        <v>#N/A</v>
      </c>
      <c r="D243" s="110" t="str">
        <f>IFERROR(VLOOKUP($C244,Datensammler!$B:$AA,3,0),)</f>
        <v/>
      </c>
      <c r="E243" s="110" t="str">
        <f>IFERROR(VLOOKUP($C244,Datensammler!$B:$AA,4,0),)</f>
        <v/>
      </c>
      <c r="F243" s="110" t="str">
        <f>IFERROR(VLOOKUP($C244,Datensammler!$B:$AA,5,0),)</f>
        <v/>
      </c>
      <c r="G243" s="110" t="str">
        <f>IFERROR(VLOOKUP($C244,Datensammler!$B:$AA,6,0),)</f>
        <v/>
      </c>
      <c r="H243" s="110" t="str">
        <f>IFERROR(VLOOKUP($C244,Datensammler!$B:$AA,7,0),)</f>
        <v/>
      </c>
      <c r="I243" s="110" t="str">
        <f>IFERROR(VLOOKUP($C244,Datensammler!$B:$AA,8,0),)</f>
        <v/>
      </c>
      <c r="J243" s="169">
        <f t="shared" ref="J243:J245" si="79">SUM(D243:I243)</f>
        <v>0</v>
      </c>
      <c r="K243" s="170" t="str">
        <f>IFERROR(VLOOKUP($C244,Datensammler!$B:$AA,23,0),)</f>
        <v/>
      </c>
      <c r="L243" s="161" t="str">
        <f>IFERROR(VLOOKUP($C244,Datensammler!$B:$AA,24,0),)</f>
        <v/>
      </c>
      <c r="M243" s="170" t="str">
        <f>IFERROR(VLOOKUP($C244,Datensammler!$B:$AA,25,0),)</f>
        <v/>
      </c>
      <c r="N243" s="171" t="str">
        <f>IF(C244=0,"",(VLOOKUP($C244,Datensammler!$B:$AA,26,0)))</f>
        <v>#N/A</v>
      </c>
      <c r="T243" s="172"/>
    </row>
    <row r="244" ht="17.25" customHeight="1">
      <c r="A244" s="130"/>
      <c r="B244" s="174"/>
      <c r="C244" s="175" t="str">
        <f>VLOOKUP(T244,Spieler!A:E,2,0)</f>
        <v>#N/A</v>
      </c>
      <c r="D244" s="170" t="str">
        <f>IFERROR(VLOOKUP($C244,Datensammler!$B:$AA,9,0),)</f>
        <v/>
      </c>
      <c r="E244" s="170" t="str">
        <f>IFERROR(VLOOKUP($C244,Datensammler!$B:$AA,10,0),)</f>
        <v/>
      </c>
      <c r="F244" s="170" t="str">
        <f>IFERROR(VLOOKUP($C244,Datensammler!$B:$AA,11,0),)</f>
        <v/>
      </c>
      <c r="G244" s="170" t="str">
        <f>IFERROR(VLOOKUP($C244,Datensammler!$B:$AA,12,0),)</f>
        <v/>
      </c>
      <c r="H244" s="170" t="str">
        <f>IFERROR(VLOOKUP($C244,Datensammler!$B:$AA,13,0),)</f>
        <v/>
      </c>
      <c r="I244" s="170" t="str">
        <f>IFERROR(VLOOKUP($C244,Datensammler!$B:$AA,14,0),)</f>
        <v/>
      </c>
      <c r="J244" s="169">
        <f t="shared" si="79"/>
        <v>0</v>
      </c>
      <c r="N244" s="176"/>
      <c r="T244" s="177" t="str">
        <f t="array" ref="T244">INDIRECT("Spieler!AD"&amp;B242+5)</f>
        <v/>
      </c>
    </row>
    <row r="245" ht="17.25" customHeight="1">
      <c r="A245" s="130"/>
      <c r="B245" s="167"/>
      <c r="C245" s="178" t="str">
        <f>VLOOKUP(C244,'Mitglieder BBU'!A:K,8,0)</f>
        <v>#N/A</v>
      </c>
      <c r="D245" s="179" t="str">
        <f>IFERROR(VLOOKUP($C244,Datensammler!$B:$AA,15,0),)</f>
        <v/>
      </c>
      <c r="E245" s="179" t="str">
        <f>IFERROR(VLOOKUP($C244,Datensammler!$B:$AA,16,0),)</f>
        <v/>
      </c>
      <c r="F245" s="179" t="str">
        <f>IFERROR(VLOOKUP($C244,Datensammler!$B:$AA,17,0),)</f>
        <v/>
      </c>
      <c r="G245" s="179" t="str">
        <f>IFERROR(VLOOKUP($C244,Datensammler!$B:$AA,18,0),)</f>
        <v/>
      </c>
      <c r="H245" s="179" t="str">
        <f>IFERROR(VLOOKUP($C244,Datensammler!$B:$AA,19,0),)</f>
        <v/>
      </c>
      <c r="I245" s="179" t="str">
        <f>IFERROR(VLOOKUP($C244,Datensammler!$B:$AA,20,0),)</f>
        <v/>
      </c>
      <c r="J245" s="180">
        <f t="shared" si="79"/>
        <v>0</v>
      </c>
      <c r="K245" s="181"/>
      <c r="L245" s="181"/>
      <c r="M245" s="181"/>
      <c r="N245" s="182"/>
      <c r="T245" s="172"/>
    </row>
    <row r="246" ht="17.25" customHeight="1">
      <c r="A246" s="130"/>
      <c r="B246" s="183"/>
      <c r="C246" s="184" t="str">
        <f>IF(VLOOKUP(T244,Spieler!A:F,6,0)="Nein","keine Bayerische Meisterschaft gewünscht","")</f>
        <v>#N/A</v>
      </c>
      <c r="D246" s="161"/>
      <c r="E246" s="170"/>
      <c r="F246" s="170"/>
      <c r="G246" s="185" t="s">
        <v>2562</v>
      </c>
      <c r="H246" s="186"/>
      <c r="I246" s="186"/>
      <c r="J246" s="186"/>
      <c r="K246" s="186"/>
      <c r="L246" s="187">
        <f t="shared" ref="L246:M246" si="80">SUM(L243:L245)</f>
        <v>0</v>
      </c>
      <c r="M246" s="110">
        <f t="shared" si="80"/>
        <v>0</v>
      </c>
      <c r="N246" s="188" t="str">
        <f>L246/M246</f>
        <v>#DIV/0!</v>
      </c>
      <c r="T246" s="189"/>
    </row>
    <row r="247" ht="17.25" customHeight="1">
      <c r="A247" s="130"/>
      <c r="B247" s="190"/>
      <c r="N247" s="193"/>
      <c r="T247" s="194"/>
    </row>
    <row r="248" ht="17.25" customHeight="1">
      <c r="A248" s="130"/>
      <c r="B248" s="157">
        <f>B242+1</f>
        <v>41</v>
      </c>
      <c r="C248" s="158"/>
      <c r="D248" s="159" t="str">
        <f>VLOOKUP(C250,'Mitglieder BBU'!A:J,6,0)</f>
        <v>#N/A</v>
      </c>
      <c r="E248" s="60"/>
      <c r="F248" s="60"/>
      <c r="G248" s="60"/>
      <c r="H248" s="60"/>
      <c r="I248" s="61"/>
      <c r="J248" s="160"/>
      <c r="K248" s="161"/>
      <c r="L248" s="162"/>
      <c r="M248" s="163"/>
      <c r="N248" s="164"/>
      <c r="T248" s="165"/>
    </row>
    <row r="249" ht="17.25" customHeight="1">
      <c r="A249" s="130"/>
      <c r="B249" s="167"/>
      <c r="C249" s="168" t="str">
        <f>VLOOKUP(C250,'Mitglieder BBU'!A:J,6,0)</f>
        <v>#N/A</v>
      </c>
      <c r="D249" s="110" t="str">
        <f>IFERROR(VLOOKUP($C250,Datensammler!$B:$AA,3,0),)</f>
        <v/>
      </c>
      <c r="E249" s="110" t="str">
        <f>IFERROR(VLOOKUP($C250,Datensammler!$B:$AA,4,0),)</f>
        <v/>
      </c>
      <c r="F249" s="110" t="str">
        <f>IFERROR(VLOOKUP($C250,Datensammler!$B:$AA,5,0),)</f>
        <v/>
      </c>
      <c r="G249" s="110" t="str">
        <f>IFERROR(VLOOKUP($C250,Datensammler!$B:$AA,6,0),)</f>
        <v/>
      </c>
      <c r="H249" s="110" t="str">
        <f>IFERROR(VLOOKUP($C250,Datensammler!$B:$AA,7,0),)</f>
        <v/>
      </c>
      <c r="I249" s="110" t="str">
        <f>IFERROR(VLOOKUP($C250,Datensammler!$B:$AA,8,0),)</f>
        <v/>
      </c>
      <c r="J249" s="169">
        <f t="shared" ref="J249:J251" si="81">SUM(D249:I249)</f>
        <v>0</v>
      </c>
      <c r="K249" s="170" t="str">
        <f>IFERROR(VLOOKUP($C250,Datensammler!$B:$AA,23,0),)</f>
        <v/>
      </c>
      <c r="L249" s="161" t="str">
        <f>IFERROR(VLOOKUP($C250,Datensammler!$B:$AA,24,0),)</f>
        <v/>
      </c>
      <c r="M249" s="170" t="str">
        <f>IFERROR(VLOOKUP($C250,Datensammler!$B:$AA,25,0),)</f>
        <v/>
      </c>
      <c r="N249" s="171" t="str">
        <f>IF(C250=0,"",(VLOOKUP($C250,Datensammler!$B:$AA,26,0)))</f>
        <v>#N/A</v>
      </c>
      <c r="T249" s="172"/>
    </row>
    <row r="250" ht="17.25" customHeight="1">
      <c r="A250" s="130"/>
      <c r="B250" s="174"/>
      <c r="C250" s="175" t="str">
        <f>VLOOKUP(T250,Spieler!A:E,2,0)</f>
        <v>#N/A</v>
      </c>
      <c r="D250" s="170" t="str">
        <f>IFERROR(VLOOKUP($C250,Datensammler!$B:$AA,9,0),)</f>
        <v/>
      </c>
      <c r="E250" s="170" t="str">
        <f>IFERROR(VLOOKUP($C250,Datensammler!$B:$AA,10,0),)</f>
        <v/>
      </c>
      <c r="F250" s="170" t="str">
        <f>IFERROR(VLOOKUP($C250,Datensammler!$B:$AA,11,0),)</f>
        <v/>
      </c>
      <c r="G250" s="170" t="str">
        <f>IFERROR(VLOOKUP($C250,Datensammler!$B:$AA,12,0),)</f>
        <v/>
      </c>
      <c r="H250" s="170" t="str">
        <f>IFERROR(VLOOKUP($C250,Datensammler!$B:$AA,13,0),)</f>
        <v/>
      </c>
      <c r="I250" s="170" t="str">
        <f>IFERROR(VLOOKUP($C250,Datensammler!$B:$AA,14,0),)</f>
        <v/>
      </c>
      <c r="J250" s="169">
        <f t="shared" si="81"/>
        <v>0</v>
      </c>
      <c r="N250" s="176"/>
      <c r="T250" s="177" t="str">
        <f t="array" ref="T250">INDIRECT("Spieler!AD"&amp;B248+5)</f>
        <v/>
      </c>
    </row>
    <row r="251" ht="17.25" customHeight="1">
      <c r="A251" s="130"/>
      <c r="B251" s="167"/>
      <c r="C251" s="178" t="str">
        <f>VLOOKUP(C250,'Mitglieder BBU'!A:K,8,0)</f>
        <v>#N/A</v>
      </c>
      <c r="D251" s="179" t="str">
        <f>IFERROR(VLOOKUP($C250,Datensammler!$B:$AA,15,0),)</f>
        <v/>
      </c>
      <c r="E251" s="179" t="str">
        <f>IFERROR(VLOOKUP($C250,Datensammler!$B:$AA,16,0),)</f>
        <v/>
      </c>
      <c r="F251" s="179" t="str">
        <f>IFERROR(VLOOKUP($C250,Datensammler!$B:$AA,17,0),)</f>
        <v/>
      </c>
      <c r="G251" s="179" t="str">
        <f>IFERROR(VLOOKUP($C250,Datensammler!$B:$AA,18,0),)</f>
        <v/>
      </c>
      <c r="H251" s="179" t="str">
        <f>IFERROR(VLOOKUP($C250,Datensammler!$B:$AA,19,0),)</f>
        <v/>
      </c>
      <c r="I251" s="179" t="str">
        <f>IFERROR(VLOOKUP($C250,Datensammler!$B:$AA,20,0),)</f>
        <v/>
      </c>
      <c r="J251" s="180">
        <f t="shared" si="81"/>
        <v>0</v>
      </c>
      <c r="K251" s="181"/>
      <c r="L251" s="181"/>
      <c r="M251" s="181"/>
      <c r="N251" s="182"/>
      <c r="T251" s="172"/>
    </row>
    <row r="252" ht="17.25" customHeight="1">
      <c r="A252" s="130"/>
      <c r="B252" s="183"/>
      <c r="C252" s="184" t="str">
        <f>IF(VLOOKUP(T250,Spieler!A:F,6,0)="Nein","keine Bayerische Meisterschaft gewünscht","")</f>
        <v>#N/A</v>
      </c>
      <c r="D252" s="161"/>
      <c r="E252" s="170"/>
      <c r="F252" s="170"/>
      <c r="G252" s="185" t="s">
        <v>2562</v>
      </c>
      <c r="H252" s="186"/>
      <c r="I252" s="186"/>
      <c r="J252" s="186"/>
      <c r="K252" s="186"/>
      <c r="L252" s="187">
        <f t="shared" ref="L252:M252" si="82">SUM(L249:L251)</f>
        <v>0</v>
      </c>
      <c r="M252" s="110">
        <f t="shared" si="82"/>
        <v>0</v>
      </c>
      <c r="N252" s="188" t="str">
        <f>L252/M252</f>
        <v>#DIV/0!</v>
      </c>
      <c r="T252" s="189"/>
    </row>
    <row r="253" ht="17.25" customHeight="1">
      <c r="A253" s="130"/>
      <c r="B253" s="190"/>
      <c r="C253" s="178"/>
      <c r="D253" s="191"/>
      <c r="E253" s="191"/>
      <c r="F253" s="191"/>
      <c r="G253" s="191"/>
      <c r="H253" s="191"/>
      <c r="I253" s="191"/>
      <c r="J253" s="191"/>
      <c r="K253" s="191"/>
      <c r="L253" s="192"/>
      <c r="M253" s="191"/>
      <c r="N253" s="193"/>
      <c r="T253" s="194"/>
    </row>
    <row r="254" ht="17.25" customHeight="1">
      <c r="A254" s="130"/>
      <c r="B254" s="157">
        <f>B248+1</f>
        <v>42</v>
      </c>
      <c r="C254" s="158"/>
      <c r="D254" s="159" t="str">
        <f>VLOOKUP(C256,'Mitglieder BBU'!A:J,6,0)</f>
        <v>#N/A</v>
      </c>
      <c r="E254" s="60"/>
      <c r="F254" s="60"/>
      <c r="G254" s="60"/>
      <c r="H254" s="60"/>
      <c r="I254" s="61"/>
      <c r="J254" s="160"/>
      <c r="K254" s="161"/>
      <c r="L254" s="162"/>
      <c r="M254" s="163"/>
      <c r="N254" s="164"/>
      <c r="T254" s="165"/>
    </row>
    <row r="255" ht="17.25" customHeight="1">
      <c r="A255" s="130"/>
      <c r="B255" s="167"/>
      <c r="C255" s="168" t="str">
        <f>VLOOKUP(C256,'Mitglieder BBU'!A:J,6,0)</f>
        <v>#N/A</v>
      </c>
      <c r="D255" s="110" t="str">
        <f>IFERROR(VLOOKUP($C256,Datensammler!$B:$AA,3,0),)</f>
        <v/>
      </c>
      <c r="E255" s="110" t="str">
        <f>IFERROR(VLOOKUP($C256,Datensammler!$B:$AA,4,0),)</f>
        <v/>
      </c>
      <c r="F255" s="110" t="str">
        <f>IFERROR(VLOOKUP($C256,Datensammler!$B:$AA,5,0),)</f>
        <v/>
      </c>
      <c r="G255" s="110" t="str">
        <f>IFERROR(VLOOKUP($C256,Datensammler!$B:$AA,6,0),)</f>
        <v/>
      </c>
      <c r="H255" s="110" t="str">
        <f>IFERROR(VLOOKUP($C256,Datensammler!$B:$AA,7,0),)</f>
        <v/>
      </c>
      <c r="I255" s="110" t="str">
        <f>IFERROR(VLOOKUP($C256,Datensammler!$B:$AA,8,0),)</f>
        <v/>
      </c>
      <c r="J255" s="169">
        <f t="shared" ref="J255:J257" si="83">SUM(D255:I255)</f>
        <v>0</v>
      </c>
      <c r="K255" s="170" t="str">
        <f>IFERROR(VLOOKUP($C256,Datensammler!$B:$AA,23,0),)</f>
        <v/>
      </c>
      <c r="L255" s="161" t="str">
        <f>IFERROR(VLOOKUP($C256,Datensammler!$B:$AA,24,0),)</f>
        <v/>
      </c>
      <c r="M255" s="170" t="str">
        <f>IFERROR(VLOOKUP($C256,Datensammler!$B:$AA,25,0),)</f>
        <v/>
      </c>
      <c r="N255" s="171" t="str">
        <f>IF(C256=0,"",(VLOOKUP($C256,Datensammler!$B:$AA,26,0)))</f>
        <v>#N/A</v>
      </c>
      <c r="T255" s="172"/>
    </row>
    <row r="256" ht="17.25" customHeight="1">
      <c r="A256" s="130"/>
      <c r="B256" s="174"/>
      <c r="C256" s="175" t="str">
        <f>VLOOKUP(T256,Spieler!A:E,2,0)</f>
        <v>#N/A</v>
      </c>
      <c r="D256" s="170" t="str">
        <f>IFERROR(VLOOKUP($C256,Datensammler!$B:$AA,9,0),)</f>
        <v/>
      </c>
      <c r="E256" s="170" t="str">
        <f>IFERROR(VLOOKUP($C256,Datensammler!$B:$AA,10,0),)</f>
        <v/>
      </c>
      <c r="F256" s="170" t="str">
        <f>IFERROR(VLOOKUP($C256,Datensammler!$B:$AA,11,0),)</f>
        <v/>
      </c>
      <c r="G256" s="170" t="str">
        <f>IFERROR(VLOOKUP($C256,Datensammler!$B:$AA,12,0),)</f>
        <v/>
      </c>
      <c r="H256" s="170" t="str">
        <f>IFERROR(VLOOKUP($C256,Datensammler!$B:$AA,13,0),)</f>
        <v/>
      </c>
      <c r="I256" s="170" t="str">
        <f>IFERROR(VLOOKUP($C256,Datensammler!$B:$AA,14,0),)</f>
        <v/>
      </c>
      <c r="J256" s="169">
        <f t="shared" si="83"/>
        <v>0</v>
      </c>
      <c r="N256" s="176"/>
      <c r="T256" s="177" t="str">
        <f t="array" ref="T256">INDIRECT("Spieler!AD"&amp;B254+5)</f>
        <v/>
      </c>
    </row>
    <row r="257" ht="17.25" customHeight="1">
      <c r="A257" s="130"/>
      <c r="B257" s="167"/>
      <c r="C257" s="178" t="str">
        <f>VLOOKUP(C256,'Mitglieder BBU'!A:K,8,0)</f>
        <v>#N/A</v>
      </c>
      <c r="D257" s="179" t="str">
        <f>IFERROR(VLOOKUP($C256,Datensammler!$B:$AA,15,0),)</f>
        <v/>
      </c>
      <c r="E257" s="179" t="str">
        <f>IFERROR(VLOOKUP($C256,Datensammler!$B:$AA,16,0),)</f>
        <v/>
      </c>
      <c r="F257" s="179" t="str">
        <f>IFERROR(VLOOKUP($C256,Datensammler!$B:$AA,17,0),)</f>
        <v/>
      </c>
      <c r="G257" s="179" t="str">
        <f>IFERROR(VLOOKUP($C256,Datensammler!$B:$AA,18,0),)</f>
        <v/>
      </c>
      <c r="H257" s="179" t="str">
        <f>IFERROR(VLOOKUP($C256,Datensammler!$B:$AA,19,0),)</f>
        <v/>
      </c>
      <c r="I257" s="179" t="str">
        <f>IFERROR(VLOOKUP($C256,Datensammler!$B:$AA,20,0),)</f>
        <v/>
      </c>
      <c r="J257" s="180">
        <f t="shared" si="83"/>
        <v>0</v>
      </c>
      <c r="K257" s="181"/>
      <c r="L257" s="181"/>
      <c r="M257" s="181"/>
      <c r="N257" s="182"/>
      <c r="T257" s="172"/>
    </row>
    <row r="258" ht="17.25" customHeight="1">
      <c r="A258" s="130"/>
      <c r="B258" s="183"/>
      <c r="C258" s="184" t="str">
        <f>IF(VLOOKUP(T256,Spieler!A:F,6,0)="Nein","keine Bayerische Meisterschaft gewünscht","")</f>
        <v>#N/A</v>
      </c>
      <c r="D258" s="161"/>
      <c r="E258" s="170"/>
      <c r="F258" s="170"/>
      <c r="G258" s="185" t="s">
        <v>2562</v>
      </c>
      <c r="H258" s="186"/>
      <c r="I258" s="186"/>
      <c r="J258" s="186"/>
      <c r="K258" s="186"/>
      <c r="L258" s="187">
        <f t="shared" ref="L258:M258" si="84">SUM(L255:L257)</f>
        <v>0</v>
      </c>
      <c r="M258" s="110">
        <f t="shared" si="84"/>
        <v>0</v>
      </c>
      <c r="N258" s="188" t="str">
        <f>L258/M258</f>
        <v>#DIV/0!</v>
      </c>
      <c r="T258" s="189"/>
    </row>
    <row r="259" ht="17.25" customHeight="1">
      <c r="A259" s="130"/>
      <c r="B259" s="190"/>
      <c r="C259" s="178"/>
      <c r="D259" s="191"/>
      <c r="E259" s="191"/>
      <c r="F259" s="191"/>
      <c r="G259" s="191"/>
      <c r="H259" s="191"/>
      <c r="I259" s="191"/>
      <c r="J259" s="191"/>
      <c r="K259" s="191"/>
      <c r="L259" s="192"/>
      <c r="M259" s="191"/>
      <c r="N259" s="193"/>
      <c r="T259" s="194"/>
    </row>
    <row r="260" ht="17.25" customHeight="1">
      <c r="A260" s="130"/>
      <c r="B260" s="157">
        <f>B254+1</f>
        <v>43</v>
      </c>
      <c r="C260" s="158"/>
      <c r="D260" s="159" t="str">
        <f>VLOOKUP(C262,'Mitglieder BBU'!A:J,6,0)</f>
        <v>#N/A</v>
      </c>
      <c r="E260" s="60"/>
      <c r="F260" s="60"/>
      <c r="G260" s="60"/>
      <c r="H260" s="60"/>
      <c r="I260" s="61"/>
      <c r="J260" s="160"/>
      <c r="K260" s="161"/>
      <c r="L260" s="162"/>
      <c r="M260" s="163"/>
      <c r="N260" s="164"/>
      <c r="T260" s="165"/>
    </row>
    <row r="261" ht="17.25" customHeight="1">
      <c r="A261" s="130"/>
      <c r="B261" s="167"/>
      <c r="C261" s="168" t="str">
        <f>VLOOKUP(C262,'Mitglieder BBU'!A:J,6,0)</f>
        <v>#N/A</v>
      </c>
      <c r="D261" s="110" t="str">
        <f>IFERROR(VLOOKUP($C262,Datensammler!$B:$AA,3,0),)</f>
        <v/>
      </c>
      <c r="E261" s="110" t="str">
        <f>IFERROR(VLOOKUP($C262,Datensammler!$B:$AA,4,0),)</f>
        <v/>
      </c>
      <c r="F261" s="110" t="str">
        <f>IFERROR(VLOOKUP($C262,Datensammler!$B:$AA,5,0),)</f>
        <v/>
      </c>
      <c r="G261" s="110" t="str">
        <f>IFERROR(VLOOKUP($C262,Datensammler!$B:$AA,6,0),)</f>
        <v/>
      </c>
      <c r="H261" s="110" t="str">
        <f>IFERROR(VLOOKUP($C262,Datensammler!$B:$AA,7,0),)</f>
        <v/>
      </c>
      <c r="I261" s="110" t="str">
        <f>IFERROR(VLOOKUP($C262,Datensammler!$B:$AA,8,0),)</f>
        <v/>
      </c>
      <c r="J261" s="169">
        <f t="shared" ref="J261:J263" si="85">SUM(D261:I261)</f>
        <v>0</v>
      </c>
      <c r="K261" s="170" t="str">
        <f>IFERROR(VLOOKUP($C262,Datensammler!$B:$AA,23,0),)</f>
        <v/>
      </c>
      <c r="L261" s="161" t="str">
        <f>IFERROR(VLOOKUP($C262,Datensammler!$B:$AA,24,0),)</f>
        <v/>
      </c>
      <c r="M261" s="170" t="str">
        <f>IFERROR(VLOOKUP($C262,Datensammler!$B:$AA,25,0),)</f>
        <v/>
      </c>
      <c r="N261" s="171" t="str">
        <f>IF(C262=0,"",(VLOOKUP($C262,Datensammler!$B:$AA,26,0)))</f>
        <v>#N/A</v>
      </c>
      <c r="T261" s="172"/>
    </row>
    <row r="262" ht="17.25" customHeight="1">
      <c r="A262" s="130"/>
      <c r="B262" s="174"/>
      <c r="C262" s="175" t="str">
        <f>VLOOKUP(T262,Spieler!A:E,2,0)</f>
        <v>#N/A</v>
      </c>
      <c r="D262" s="170" t="str">
        <f>IFERROR(VLOOKUP($C262,Datensammler!$B:$AA,9,0),)</f>
        <v/>
      </c>
      <c r="E262" s="170" t="str">
        <f>IFERROR(VLOOKUP($C262,Datensammler!$B:$AA,10,0),)</f>
        <v/>
      </c>
      <c r="F262" s="170" t="str">
        <f>IFERROR(VLOOKUP($C262,Datensammler!$B:$AA,11,0),)</f>
        <v/>
      </c>
      <c r="G262" s="170" t="str">
        <f>IFERROR(VLOOKUP($C262,Datensammler!$B:$AA,12,0),)</f>
        <v/>
      </c>
      <c r="H262" s="170" t="str">
        <f>IFERROR(VLOOKUP($C262,Datensammler!$B:$AA,13,0),)</f>
        <v/>
      </c>
      <c r="I262" s="170" t="str">
        <f>IFERROR(VLOOKUP($C262,Datensammler!$B:$AA,14,0),)</f>
        <v/>
      </c>
      <c r="J262" s="169">
        <f t="shared" si="85"/>
        <v>0</v>
      </c>
      <c r="N262" s="176"/>
      <c r="T262" s="177" t="str">
        <f t="array" ref="T262">INDIRECT("Spieler!AD"&amp;B260+5)</f>
        <v/>
      </c>
    </row>
    <row r="263" ht="17.25" customHeight="1">
      <c r="A263" s="130"/>
      <c r="B263" s="167"/>
      <c r="C263" s="178" t="str">
        <f>VLOOKUP(C262,'Mitglieder BBU'!A:K,8,0)</f>
        <v>#N/A</v>
      </c>
      <c r="D263" s="179" t="str">
        <f>IFERROR(VLOOKUP($C262,Datensammler!$B:$AA,15,0),)</f>
        <v/>
      </c>
      <c r="E263" s="179" t="str">
        <f>IFERROR(VLOOKUP($C262,Datensammler!$B:$AA,16,0),)</f>
        <v/>
      </c>
      <c r="F263" s="179" t="str">
        <f>IFERROR(VLOOKUP($C262,Datensammler!$B:$AA,17,0),)</f>
        <v/>
      </c>
      <c r="G263" s="179" t="str">
        <f>IFERROR(VLOOKUP($C262,Datensammler!$B:$AA,18,0),)</f>
        <v/>
      </c>
      <c r="H263" s="179" t="str">
        <f>IFERROR(VLOOKUP($C262,Datensammler!$B:$AA,19,0),)</f>
        <v/>
      </c>
      <c r="I263" s="179" t="str">
        <f>IFERROR(VLOOKUP($C262,Datensammler!$B:$AA,20,0),)</f>
        <v/>
      </c>
      <c r="J263" s="180">
        <f t="shared" si="85"/>
        <v>0</v>
      </c>
      <c r="K263" s="181"/>
      <c r="L263" s="181"/>
      <c r="M263" s="181"/>
      <c r="N263" s="182"/>
      <c r="T263" s="172"/>
    </row>
    <row r="264" ht="17.25" customHeight="1">
      <c r="A264" s="130"/>
      <c r="B264" s="183"/>
      <c r="C264" s="184" t="str">
        <f>IF(VLOOKUP(T262,Spieler!A:F,6,0)="Nein","keine Bayerische Meisterschaft gewünscht","")</f>
        <v>#N/A</v>
      </c>
      <c r="D264" s="161"/>
      <c r="E264" s="170"/>
      <c r="F264" s="170"/>
      <c r="G264" s="185" t="s">
        <v>2562</v>
      </c>
      <c r="H264" s="186"/>
      <c r="I264" s="186"/>
      <c r="J264" s="186"/>
      <c r="K264" s="186"/>
      <c r="L264" s="187">
        <f t="shared" ref="L264:M264" si="86">SUM(L261:L263)</f>
        <v>0</v>
      </c>
      <c r="M264" s="110">
        <f t="shared" si="86"/>
        <v>0</v>
      </c>
      <c r="N264" s="188" t="str">
        <f>L264/M264</f>
        <v>#DIV/0!</v>
      </c>
      <c r="T264" s="189"/>
    </row>
    <row r="265" ht="17.25" customHeight="1">
      <c r="A265" s="130"/>
      <c r="B265" s="190"/>
      <c r="C265" s="178"/>
      <c r="D265" s="191"/>
      <c r="E265" s="191"/>
      <c r="F265" s="191"/>
      <c r="G265" s="191"/>
      <c r="H265" s="191"/>
      <c r="I265" s="191"/>
      <c r="J265" s="191"/>
      <c r="K265" s="191"/>
      <c r="L265" s="192"/>
      <c r="M265" s="191"/>
      <c r="N265" s="193"/>
      <c r="T265" s="194"/>
    </row>
    <row r="266" ht="17.25" customHeight="1">
      <c r="A266" s="130"/>
      <c r="B266" s="157">
        <f>B260+1</f>
        <v>44</v>
      </c>
      <c r="C266" s="158"/>
      <c r="D266" s="159" t="str">
        <f>VLOOKUP(C268,'Mitglieder BBU'!A:J,6,0)</f>
        <v>#N/A</v>
      </c>
      <c r="E266" s="60"/>
      <c r="F266" s="60"/>
      <c r="G266" s="60"/>
      <c r="H266" s="60"/>
      <c r="I266" s="61"/>
      <c r="J266" s="160"/>
      <c r="K266" s="161"/>
      <c r="L266" s="162"/>
      <c r="M266" s="163"/>
      <c r="N266" s="164"/>
      <c r="T266" s="165"/>
    </row>
    <row r="267" ht="17.25" customHeight="1">
      <c r="A267" s="130"/>
      <c r="B267" s="167"/>
      <c r="C267" s="168" t="str">
        <f>VLOOKUP(C268,'Mitglieder BBU'!A:J,6,0)</f>
        <v>#N/A</v>
      </c>
      <c r="D267" s="110" t="str">
        <f>IFERROR(VLOOKUP($C268,Datensammler!$B:$AA,3,0),)</f>
        <v/>
      </c>
      <c r="E267" s="110" t="str">
        <f>IFERROR(VLOOKUP($C268,Datensammler!$B:$AA,4,0),)</f>
        <v/>
      </c>
      <c r="F267" s="110" t="str">
        <f>IFERROR(VLOOKUP($C268,Datensammler!$B:$AA,5,0),)</f>
        <v/>
      </c>
      <c r="G267" s="110" t="str">
        <f>IFERROR(VLOOKUP($C268,Datensammler!$B:$AA,6,0),)</f>
        <v/>
      </c>
      <c r="H267" s="110" t="str">
        <f>IFERROR(VLOOKUP($C268,Datensammler!$B:$AA,7,0),)</f>
        <v/>
      </c>
      <c r="I267" s="110" t="str">
        <f>IFERROR(VLOOKUP($C268,Datensammler!$B:$AA,8,0),)</f>
        <v/>
      </c>
      <c r="J267" s="169">
        <f t="shared" ref="J267:J269" si="87">SUM(D267:I267)</f>
        <v>0</v>
      </c>
      <c r="K267" s="170" t="str">
        <f>IFERROR(VLOOKUP($C268,Datensammler!$B:$AA,23,0),)</f>
        <v/>
      </c>
      <c r="L267" s="161" t="str">
        <f>IFERROR(VLOOKUP($C268,Datensammler!$B:$AA,24,0),)</f>
        <v/>
      </c>
      <c r="M267" s="170" t="str">
        <f>IFERROR(VLOOKUP($C268,Datensammler!$B:$AA,25,0),)</f>
        <v/>
      </c>
      <c r="N267" s="171" t="str">
        <f>IF(C268=0,"",(VLOOKUP($C268,Datensammler!$B:$AA,26,0)))</f>
        <v>#N/A</v>
      </c>
      <c r="T267" s="172"/>
    </row>
    <row r="268" ht="17.25" customHeight="1">
      <c r="A268" s="130"/>
      <c r="B268" s="174"/>
      <c r="C268" s="175" t="str">
        <f>VLOOKUP(T268,Spieler!A:E,2,0)</f>
        <v>#N/A</v>
      </c>
      <c r="D268" s="170" t="str">
        <f>IFERROR(VLOOKUP($C268,Datensammler!$B:$AA,9,0),)</f>
        <v/>
      </c>
      <c r="E268" s="170" t="str">
        <f>IFERROR(VLOOKUP($C268,Datensammler!$B:$AA,10,0),)</f>
        <v/>
      </c>
      <c r="F268" s="170" t="str">
        <f>IFERROR(VLOOKUP($C268,Datensammler!$B:$AA,11,0),)</f>
        <v/>
      </c>
      <c r="G268" s="170" t="str">
        <f>IFERROR(VLOOKUP($C268,Datensammler!$B:$AA,12,0),)</f>
        <v/>
      </c>
      <c r="H268" s="170" t="str">
        <f>IFERROR(VLOOKUP($C268,Datensammler!$B:$AA,13,0),)</f>
        <v/>
      </c>
      <c r="I268" s="170" t="str">
        <f>IFERROR(VLOOKUP($C268,Datensammler!$B:$AA,14,0),)</f>
        <v/>
      </c>
      <c r="J268" s="169">
        <f t="shared" si="87"/>
        <v>0</v>
      </c>
      <c r="N268" s="176"/>
      <c r="T268" s="177" t="str">
        <f t="array" ref="T268">INDIRECT("Spieler!AD"&amp;B266+5)</f>
        <v/>
      </c>
    </row>
    <row r="269" ht="17.25" customHeight="1">
      <c r="A269" s="130"/>
      <c r="B269" s="167"/>
      <c r="C269" s="178" t="str">
        <f>VLOOKUP(C268,'Mitglieder BBU'!A:K,8,0)</f>
        <v>#N/A</v>
      </c>
      <c r="D269" s="179" t="str">
        <f>IFERROR(VLOOKUP($C268,Datensammler!$B:$AA,15,0),)</f>
        <v/>
      </c>
      <c r="E269" s="179" t="str">
        <f>IFERROR(VLOOKUP($C268,Datensammler!$B:$AA,16,0),)</f>
        <v/>
      </c>
      <c r="F269" s="179" t="str">
        <f>IFERROR(VLOOKUP($C268,Datensammler!$B:$AA,17,0),)</f>
        <v/>
      </c>
      <c r="G269" s="179" t="str">
        <f>IFERROR(VLOOKUP($C268,Datensammler!$B:$AA,18,0),)</f>
        <v/>
      </c>
      <c r="H269" s="179" t="str">
        <f>IFERROR(VLOOKUP($C268,Datensammler!$B:$AA,19,0),)</f>
        <v/>
      </c>
      <c r="I269" s="179" t="str">
        <f>IFERROR(VLOOKUP($C268,Datensammler!$B:$AA,20,0),)</f>
        <v/>
      </c>
      <c r="J269" s="180">
        <f t="shared" si="87"/>
        <v>0</v>
      </c>
      <c r="K269" s="181"/>
      <c r="L269" s="181"/>
      <c r="M269" s="181"/>
      <c r="N269" s="182"/>
      <c r="T269" s="172"/>
    </row>
    <row r="270" ht="17.25" customHeight="1">
      <c r="A270" s="130"/>
      <c r="B270" s="183"/>
      <c r="C270" s="184" t="str">
        <f>IF(VLOOKUP(T268,Spieler!A:F,6,0)="Nein","keine Bayerische Meisterschaft gewünscht","")</f>
        <v>#N/A</v>
      </c>
      <c r="D270" s="161"/>
      <c r="E270" s="170"/>
      <c r="F270" s="170"/>
      <c r="G270" s="185" t="s">
        <v>2562</v>
      </c>
      <c r="H270" s="186"/>
      <c r="I270" s="186"/>
      <c r="J270" s="186"/>
      <c r="K270" s="186"/>
      <c r="L270" s="187">
        <f t="shared" ref="L270:M270" si="88">SUM(L267:L269)</f>
        <v>0</v>
      </c>
      <c r="M270" s="110">
        <f t="shared" si="88"/>
        <v>0</v>
      </c>
      <c r="N270" s="188" t="str">
        <f>L270/M270</f>
        <v>#DIV/0!</v>
      </c>
      <c r="T270" s="189"/>
    </row>
    <row r="271" ht="17.25" customHeight="1">
      <c r="A271" s="130"/>
      <c r="B271" s="190"/>
      <c r="N271" s="193"/>
      <c r="T271" s="194"/>
    </row>
    <row r="272" ht="17.25" customHeight="1">
      <c r="A272" s="130"/>
      <c r="B272" s="157">
        <f>B266+1</f>
        <v>45</v>
      </c>
      <c r="C272" s="158"/>
      <c r="D272" s="159" t="str">
        <f>VLOOKUP(C274,'Mitglieder BBU'!A:J,6,0)</f>
        <v>#N/A</v>
      </c>
      <c r="E272" s="60"/>
      <c r="F272" s="60"/>
      <c r="G272" s="60"/>
      <c r="H272" s="60"/>
      <c r="I272" s="61"/>
      <c r="J272" s="160"/>
      <c r="K272" s="161"/>
      <c r="L272" s="162"/>
      <c r="M272" s="163"/>
      <c r="N272" s="164"/>
      <c r="T272" s="165"/>
    </row>
    <row r="273" ht="17.25" customHeight="1">
      <c r="A273" s="130"/>
      <c r="B273" s="167"/>
      <c r="C273" s="168" t="str">
        <f>VLOOKUP(C274,'Mitglieder BBU'!A:J,6,0)</f>
        <v>#N/A</v>
      </c>
      <c r="D273" s="110" t="str">
        <f>IFERROR(VLOOKUP($C274,Datensammler!$B:$AA,3,0),)</f>
        <v/>
      </c>
      <c r="E273" s="110" t="str">
        <f>IFERROR(VLOOKUP($C274,Datensammler!$B:$AA,4,0),)</f>
        <v/>
      </c>
      <c r="F273" s="110" t="str">
        <f>IFERROR(VLOOKUP($C274,Datensammler!$B:$AA,5,0),)</f>
        <v/>
      </c>
      <c r="G273" s="110" t="str">
        <f>IFERROR(VLOOKUP($C274,Datensammler!$B:$AA,6,0),)</f>
        <v/>
      </c>
      <c r="H273" s="110" t="str">
        <f>IFERROR(VLOOKUP($C274,Datensammler!$B:$AA,7,0),)</f>
        <v/>
      </c>
      <c r="I273" s="110" t="str">
        <f>IFERROR(VLOOKUP($C274,Datensammler!$B:$AA,8,0),)</f>
        <v/>
      </c>
      <c r="J273" s="169">
        <f t="shared" ref="J273:J275" si="89">SUM(D273:I273)</f>
        <v>0</v>
      </c>
      <c r="K273" s="170" t="str">
        <f>IFERROR(VLOOKUP($C274,Datensammler!$B:$AA,23,0),)</f>
        <v/>
      </c>
      <c r="L273" s="161" t="str">
        <f>IFERROR(VLOOKUP($C274,Datensammler!$B:$AA,24,0),)</f>
        <v/>
      </c>
      <c r="M273" s="170" t="str">
        <f>IFERROR(VLOOKUP($C274,Datensammler!$B:$AA,25,0),)</f>
        <v/>
      </c>
      <c r="N273" s="171" t="str">
        <f>IF(C274=0,"",(VLOOKUP($C274,Datensammler!$B:$AA,26,0)))</f>
        <v>#N/A</v>
      </c>
      <c r="T273" s="172"/>
    </row>
    <row r="274" ht="17.25" customHeight="1">
      <c r="A274" s="130"/>
      <c r="B274" s="174"/>
      <c r="C274" s="175" t="str">
        <f>VLOOKUP(T274,Spieler!A:E,2,0)</f>
        <v>#N/A</v>
      </c>
      <c r="D274" s="170" t="str">
        <f>IFERROR(VLOOKUP($C274,Datensammler!$B:$AA,9,0),)</f>
        <v/>
      </c>
      <c r="E274" s="170" t="str">
        <f>IFERROR(VLOOKUP($C274,Datensammler!$B:$AA,10,0),)</f>
        <v/>
      </c>
      <c r="F274" s="170" t="str">
        <f>IFERROR(VLOOKUP($C274,Datensammler!$B:$AA,11,0),)</f>
        <v/>
      </c>
      <c r="G274" s="170" t="str">
        <f>IFERROR(VLOOKUP($C274,Datensammler!$B:$AA,12,0),)</f>
        <v/>
      </c>
      <c r="H274" s="170" t="str">
        <f>IFERROR(VLOOKUP($C274,Datensammler!$B:$AA,13,0),)</f>
        <v/>
      </c>
      <c r="I274" s="170" t="str">
        <f>IFERROR(VLOOKUP($C274,Datensammler!$B:$AA,14,0),)</f>
        <v/>
      </c>
      <c r="J274" s="169">
        <f t="shared" si="89"/>
        <v>0</v>
      </c>
      <c r="N274" s="176"/>
      <c r="T274" s="177" t="str">
        <f t="array" ref="T274">INDIRECT("Spieler!AD"&amp;B272+5)</f>
        <v/>
      </c>
    </row>
    <row r="275" ht="17.25" customHeight="1">
      <c r="A275" s="130"/>
      <c r="B275" s="167"/>
      <c r="C275" s="178" t="str">
        <f>VLOOKUP(C274,'Mitglieder BBU'!A:K,8,0)</f>
        <v>#N/A</v>
      </c>
      <c r="D275" s="179" t="str">
        <f>IFERROR(VLOOKUP($C274,Datensammler!$B:$AA,15,0),)</f>
        <v/>
      </c>
      <c r="E275" s="179" t="str">
        <f>IFERROR(VLOOKUP($C274,Datensammler!$B:$AA,16,0),)</f>
        <v/>
      </c>
      <c r="F275" s="179" t="str">
        <f>IFERROR(VLOOKUP($C274,Datensammler!$B:$AA,17,0),)</f>
        <v/>
      </c>
      <c r="G275" s="179" t="str">
        <f>IFERROR(VLOOKUP($C274,Datensammler!$B:$AA,18,0),)</f>
        <v/>
      </c>
      <c r="H275" s="179" t="str">
        <f>IFERROR(VLOOKUP($C274,Datensammler!$B:$AA,19,0),)</f>
        <v/>
      </c>
      <c r="I275" s="179" t="str">
        <f>IFERROR(VLOOKUP($C274,Datensammler!$B:$AA,20,0),)</f>
        <v/>
      </c>
      <c r="J275" s="180">
        <f t="shared" si="89"/>
        <v>0</v>
      </c>
      <c r="K275" s="181"/>
      <c r="L275" s="181"/>
      <c r="M275" s="181"/>
      <c r="N275" s="182"/>
      <c r="T275" s="172"/>
    </row>
    <row r="276" ht="17.25" customHeight="1">
      <c r="A276" s="130"/>
      <c r="B276" s="183"/>
      <c r="C276" s="184" t="str">
        <f>IF(VLOOKUP(T274,Spieler!A:F,6,0)="Nein","keine Bayerische Meisterschaft gewünscht","")</f>
        <v>#N/A</v>
      </c>
      <c r="D276" s="161"/>
      <c r="E276" s="170"/>
      <c r="F276" s="170"/>
      <c r="G276" s="185" t="s">
        <v>2562</v>
      </c>
      <c r="H276" s="186"/>
      <c r="I276" s="186"/>
      <c r="J276" s="186"/>
      <c r="K276" s="186"/>
      <c r="L276" s="187">
        <f t="shared" ref="L276:M276" si="90">SUM(L273:L275)</f>
        <v>0</v>
      </c>
      <c r="M276" s="110">
        <f t="shared" si="90"/>
        <v>0</v>
      </c>
      <c r="N276" s="188" t="str">
        <f>L276/M276</f>
        <v>#DIV/0!</v>
      </c>
      <c r="T276" s="189"/>
    </row>
    <row r="277" ht="17.25" customHeight="1">
      <c r="A277" s="130"/>
      <c r="B277" s="190"/>
      <c r="C277" s="178"/>
      <c r="D277" s="191"/>
      <c r="E277" s="191"/>
      <c r="F277" s="191"/>
      <c r="G277" s="191"/>
      <c r="H277" s="191"/>
      <c r="I277" s="191"/>
      <c r="J277" s="191"/>
      <c r="K277" s="191"/>
      <c r="L277" s="192"/>
      <c r="M277" s="191"/>
      <c r="N277" s="193"/>
      <c r="T277" s="194"/>
    </row>
    <row r="278" ht="17.25" customHeight="1">
      <c r="A278" s="130"/>
      <c r="B278" s="157">
        <f>B272+1</f>
        <v>46</v>
      </c>
      <c r="C278" s="158"/>
      <c r="D278" s="159" t="str">
        <f>VLOOKUP(C280,'Mitglieder BBU'!A:J,6,0)</f>
        <v>#N/A</v>
      </c>
      <c r="E278" s="60"/>
      <c r="F278" s="60"/>
      <c r="G278" s="60"/>
      <c r="H278" s="60"/>
      <c r="I278" s="61"/>
      <c r="J278" s="160"/>
      <c r="K278" s="161"/>
      <c r="L278" s="162"/>
      <c r="M278" s="163"/>
      <c r="N278" s="164"/>
      <c r="T278" s="165"/>
    </row>
    <row r="279" ht="17.25" customHeight="1">
      <c r="A279" s="130"/>
      <c r="B279" s="167"/>
      <c r="C279" s="168" t="str">
        <f>VLOOKUP(C280,'Mitglieder BBU'!A:J,6,0)</f>
        <v>#N/A</v>
      </c>
      <c r="D279" s="110" t="str">
        <f>IFERROR(VLOOKUP($C280,Datensammler!$B:$AA,3,0),)</f>
        <v/>
      </c>
      <c r="E279" s="110" t="str">
        <f>IFERROR(VLOOKUP($C280,Datensammler!$B:$AA,4,0),)</f>
        <v/>
      </c>
      <c r="F279" s="110" t="str">
        <f>IFERROR(VLOOKUP($C280,Datensammler!$B:$AA,5,0),)</f>
        <v/>
      </c>
      <c r="G279" s="110" t="str">
        <f>IFERROR(VLOOKUP($C280,Datensammler!$B:$AA,6,0),)</f>
        <v/>
      </c>
      <c r="H279" s="110" t="str">
        <f>IFERROR(VLOOKUP($C280,Datensammler!$B:$AA,7,0),)</f>
        <v/>
      </c>
      <c r="I279" s="110" t="str">
        <f>IFERROR(VLOOKUP($C280,Datensammler!$B:$AA,8,0),)</f>
        <v/>
      </c>
      <c r="J279" s="169">
        <f t="shared" ref="J279:J281" si="91">SUM(D279:I279)</f>
        <v>0</v>
      </c>
      <c r="K279" s="170" t="str">
        <f>IFERROR(VLOOKUP($C280,Datensammler!$B:$AA,23,0),)</f>
        <v/>
      </c>
      <c r="L279" s="161" t="str">
        <f>IFERROR(VLOOKUP($C280,Datensammler!$B:$AA,24,0),)</f>
        <v/>
      </c>
      <c r="M279" s="170" t="str">
        <f>IFERROR(VLOOKUP($C280,Datensammler!$B:$AA,25,0),)</f>
        <v/>
      </c>
      <c r="N279" s="171" t="str">
        <f>IF(C280=0,"",(VLOOKUP($C280,Datensammler!$B:$AA,26,0)))</f>
        <v>#N/A</v>
      </c>
      <c r="T279" s="172"/>
    </row>
    <row r="280" ht="17.25" customHeight="1">
      <c r="A280" s="130"/>
      <c r="B280" s="174"/>
      <c r="C280" s="175" t="str">
        <f>VLOOKUP(T280,Spieler!A:E,2,0)</f>
        <v>#N/A</v>
      </c>
      <c r="D280" s="170" t="str">
        <f>IFERROR(VLOOKUP($C280,Datensammler!$B:$AA,9,0),)</f>
        <v/>
      </c>
      <c r="E280" s="170" t="str">
        <f>IFERROR(VLOOKUP($C280,Datensammler!$B:$AA,10,0),)</f>
        <v/>
      </c>
      <c r="F280" s="170" t="str">
        <f>IFERROR(VLOOKUP($C280,Datensammler!$B:$AA,11,0),)</f>
        <v/>
      </c>
      <c r="G280" s="170" t="str">
        <f>IFERROR(VLOOKUP($C280,Datensammler!$B:$AA,12,0),)</f>
        <v/>
      </c>
      <c r="H280" s="170" t="str">
        <f>IFERROR(VLOOKUP($C280,Datensammler!$B:$AA,13,0),)</f>
        <v/>
      </c>
      <c r="I280" s="170" t="str">
        <f>IFERROR(VLOOKUP($C280,Datensammler!$B:$AA,14,0),)</f>
        <v/>
      </c>
      <c r="J280" s="169">
        <f t="shared" si="91"/>
        <v>0</v>
      </c>
      <c r="N280" s="176"/>
      <c r="T280" s="177" t="str">
        <f t="array" ref="T280">INDIRECT("Spieler!AD"&amp;B278+5)</f>
        <v/>
      </c>
    </row>
    <row r="281" ht="17.25" customHeight="1">
      <c r="A281" s="130"/>
      <c r="B281" s="167"/>
      <c r="C281" s="178" t="str">
        <f>VLOOKUP(C280,'Mitglieder BBU'!A:K,8,0)</f>
        <v>#N/A</v>
      </c>
      <c r="D281" s="179" t="str">
        <f>IFERROR(VLOOKUP($C280,Datensammler!$B:$AA,15,0),)</f>
        <v/>
      </c>
      <c r="E281" s="179" t="str">
        <f>IFERROR(VLOOKUP($C280,Datensammler!$B:$AA,16,0),)</f>
        <v/>
      </c>
      <c r="F281" s="179" t="str">
        <f>IFERROR(VLOOKUP($C280,Datensammler!$B:$AA,17,0),)</f>
        <v/>
      </c>
      <c r="G281" s="179" t="str">
        <f>IFERROR(VLOOKUP($C280,Datensammler!$B:$AA,18,0),)</f>
        <v/>
      </c>
      <c r="H281" s="179" t="str">
        <f>IFERROR(VLOOKUP($C280,Datensammler!$B:$AA,19,0),)</f>
        <v/>
      </c>
      <c r="I281" s="179" t="str">
        <f>IFERROR(VLOOKUP($C280,Datensammler!$B:$AA,20,0),)</f>
        <v/>
      </c>
      <c r="J281" s="180">
        <f t="shared" si="91"/>
        <v>0</v>
      </c>
      <c r="K281" s="181"/>
      <c r="L281" s="181"/>
      <c r="M281" s="181"/>
      <c r="N281" s="182"/>
      <c r="T281" s="172"/>
    </row>
    <row r="282" ht="17.25" customHeight="1">
      <c r="A282" s="130"/>
      <c r="B282" s="183"/>
      <c r="C282" s="184" t="str">
        <f>IF(VLOOKUP(T280,Spieler!A:F,6,0)="Nein","keine Bayerische Meisterschaft gewünscht","")</f>
        <v>#N/A</v>
      </c>
      <c r="D282" s="161"/>
      <c r="E282" s="170"/>
      <c r="F282" s="170"/>
      <c r="G282" s="185" t="s">
        <v>2562</v>
      </c>
      <c r="H282" s="186"/>
      <c r="I282" s="186"/>
      <c r="J282" s="186"/>
      <c r="K282" s="186"/>
      <c r="L282" s="187">
        <f t="shared" ref="L282:M282" si="92">SUM(L279:L281)</f>
        <v>0</v>
      </c>
      <c r="M282" s="110">
        <f t="shared" si="92"/>
        <v>0</v>
      </c>
      <c r="N282" s="188" t="str">
        <f>L282/M282</f>
        <v>#DIV/0!</v>
      </c>
      <c r="T282" s="189"/>
    </row>
    <row r="283" ht="17.25" customHeight="1">
      <c r="A283" s="130"/>
      <c r="B283" s="190"/>
      <c r="C283" s="178"/>
      <c r="D283" s="191"/>
      <c r="E283" s="191"/>
      <c r="F283" s="191"/>
      <c r="G283" s="191"/>
      <c r="H283" s="191"/>
      <c r="I283" s="191"/>
      <c r="J283" s="191"/>
      <c r="K283" s="191"/>
      <c r="L283" s="192"/>
      <c r="M283" s="191"/>
      <c r="N283" s="193"/>
      <c r="T283" s="194"/>
    </row>
    <row r="284" ht="17.25" customHeight="1">
      <c r="A284" s="130"/>
      <c r="B284" s="157">
        <f>B278+1</f>
        <v>47</v>
      </c>
      <c r="C284" s="158"/>
      <c r="D284" s="159" t="str">
        <f>VLOOKUP(C286,'Mitglieder BBU'!A:J,6,0)</f>
        <v>#N/A</v>
      </c>
      <c r="E284" s="60"/>
      <c r="F284" s="60"/>
      <c r="G284" s="60"/>
      <c r="H284" s="60"/>
      <c r="I284" s="61"/>
      <c r="J284" s="160"/>
      <c r="K284" s="161"/>
      <c r="L284" s="162"/>
      <c r="M284" s="163"/>
      <c r="N284" s="164"/>
      <c r="T284" s="165"/>
    </row>
    <row r="285" ht="17.25" customHeight="1">
      <c r="A285" s="130"/>
      <c r="B285" s="167"/>
      <c r="C285" s="168" t="str">
        <f>VLOOKUP(C286,'Mitglieder BBU'!A:J,6,0)</f>
        <v>#N/A</v>
      </c>
      <c r="D285" s="110" t="str">
        <f>IFERROR(VLOOKUP($C286,Datensammler!$B:$AA,3,0),)</f>
        <v/>
      </c>
      <c r="E285" s="110" t="str">
        <f>IFERROR(VLOOKUP($C286,Datensammler!$B:$AA,4,0),)</f>
        <v/>
      </c>
      <c r="F285" s="110" t="str">
        <f>IFERROR(VLOOKUP($C286,Datensammler!$B:$AA,5,0),)</f>
        <v/>
      </c>
      <c r="G285" s="110" t="str">
        <f>IFERROR(VLOOKUP($C286,Datensammler!$B:$AA,6,0),)</f>
        <v/>
      </c>
      <c r="H285" s="110" t="str">
        <f>IFERROR(VLOOKUP($C286,Datensammler!$B:$AA,7,0),)</f>
        <v/>
      </c>
      <c r="I285" s="110" t="str">
        <f>IFERROR(VLOOKUP($C286,Datensammler!$B:$AA,8,0),)</f>
        <v/>
      </c>
      <c r="J285" s="169">
        <f t="shared" ref="J285:J287" si="93">SUM(D285:I285)</f>
        <v>0</v>
      </c>
      <c r="K285" s="170" t="str">
        <f>IFERROR(VLOOKUP($C286,Datensammler!$B:$AA,23,0),)</f>
        <v/>
      </c>
      <c r="L285" s="161" t="str">
        <f>IFERROR(VLOOKUP($C286,Datensammler!$B:$AA,24,0),)</f>
        <v/>
      </c>
      <c r="M285" s="170" t="str">
        <f>IFERROR(VLOOKUP($C286,Datensammler!$B:$AA,25,0),)</f>
        <v/>
      </c>
      <c r="N285" s="171" t="str">
        <f>IF(C286=0,"",(VLOOKUP($C286,Datensammler!$B:$AA,26,0)))</f>
        <v>#N/A</v>
      </c>
      <c r="T285" s="172"/>
    </row>
    <row r="286" ht="17.25" customHeight="1">
      <c r="A286" s="130"/>
      <c r="B286" s="174"/>
      <c r="C286" s="175" t="str">
        <f>VLOOKUP(T286,Spieler!A:E,2,0)</f>
        <v>#N/A</v>
      </c>
      <c r="D286" s="170" t="str">
        <f>IFERROR(VLOOKUP($C286,Datensammler!$B:$AA,9,0),)</f>
        <v/>
      </c>
      <c r="E286" s="170" t="str">
        <f>IFERROR(VLOOKUP($C286,Datensammler!$B:$AA,10,0),)</f>
        <v/>
      </c>
      <c r="F286" s="170" t="str">
        <f>IFERROR(VLOOKUP($C286,Datensammler!$B:$AA,11,0),)</f>
        <v/>
      </c>
      <c r="G286" s="170" t="str">
        <f>IFERROR(VLOOKUP($C286,Datensammler!$B:$AA,12,0),)</f>
        <v/>
      </c>
      <c r="H286" s="170" t="str">
        <f>IFERROR(VLOOKUP($C286,Datensammler!$B:$AA,13,0),)</f>
        <v/>
      </c>
      <c r="I286" s="170" t="str">
        <f>IFERROR(VLOOKUP($C286,Datensammler!$B:$AA,14,0),)</f>
        <v/>
      </c>
      <c r="J286" s="169">
        <f t="shared" si="93"/>
        <v>0</v>
      </c>
      <c r="N286" s="176"/>
      <c r="T286" s="177" t="str">
        <f t="array" ref="T286">INDIRECT("Spieler!AD"&amp;B284+5)</f>
        <v/>
      </c>
    </row>
    <row r="287" ht="17.25" customHeight="1">
      <c r="A287" s="130"/>
      <c r="B287" s="167"/>
      <c r="C287" s="178" t="str">
        <f>VLOOKUP(C286,'Mitglieder BBU'!A:K,8,0)</f>
        <v>#N/A</v>
      </c>
      <c r="D287" s="179" t="str">
        <f>IFERROR(VLOOKUP($C286,Datensammler!$B:$AA,15,0),)</f>
        <v/>
      </c>
      <c r="E287" s="179" t="str">
        <f>IFERROR(VLOOKUP($C286,Datensammler!$B:$AA,16,0),)</f>
        <v/>
      </c>
      <c r="F287" s="179" t="str">
        <f>IFERROR(VLOOKUP($C286,Datensammler!$B:$AA,17,0),)</f>
        <v/>
      </c>
      <c r="G287" s="179" t="str">
        <f>IFERROR(VLOOKUP($C286,Datensammler!$B:$AA,18,0),)</f>
        <v/>
      </c>
      <c r="H287" s="179" t="str">
        <f>IFERROR(VLOOKUP($C286,Datensammler!$B:$AA,19,0),)</f>
        <v/>
      </c>
      <c r="I287" s="179" t="str">
        <f>IFERROR(VLOOKUP($C286,Datensammler!$B:$AA,20,0),)</f>
        <v/>
      </c>
      <c r="J287" s="180">
        <f t="shared" si="93"/>
        <v>0</v>
      </c>
      <c r="K287" s="181"/>
      <c r="L287" s="181"/>
      <c r="M287" s="181"/>
      <c r="N287" s="182"/>
      <c r="T287" s="172"/>
    </row>
    <row r="288" ht="17.25" customHeight="1">
      <c r="A288" s="130"/>
      <c r="B288" s="183"/>
      <c r="C288" s="184" t="str">
        <f>IF(VLOOKUP(T286,Spieler!A:F,6,0)="Nein","keine Bayerische Meisterschaft gewünscht","")</f>
        <v>#N/A</v>
      </c>
      <c r="D288" s="161"/>
      <c r="E288" s="170"/>
      <c r="F288" s="170"/>
      <c r="G288" s="185" t="s">
        <v>2562</v>
      </c>
      <c r="H288" s="186"/>
      <c r="I288" s="186"/>
      <c r="J288" s="186"/>
      <c r="K288" s="186"/>
      <c r="L288" s="187">
        <f t="shared" ref="L288:M288" si="94">SUM(L285:L287)</f>
        <v>0</v>
      </c>
      <c r="M288" s="110">
        <f t="shared" si="94"/>
        <v>0</v>
      </c>
      <c r="N288" s="188" t="str">
        <f>L288/M288</f>
        <v>#DIV/0!</v>
      </c>
      <c r="T288" s="189"/>
    </row>
    <row r="289" ht="17.25" customHeight="1">
      <c r="A289" s="130"/>
      <c r="B289" s="190"/>
      <c r="C289" s="178"/>
      <c r="D289" s="191"/>
      <c r="E289" s="191"/>
      <c r="F289" s="191"/>
      <c r="G289" s="191"/>
      <c r="H289" s="191"/>
      <c r="I289" s="191"/>
      <c r="J289" s="191"/>
      <c r="K289" s="191"/>
      <c r="L289" s="192"/>
      <c r="M289" s="191"/>
      <c r="N289" s="193"/>
      <c r="T289" s="194"/>
    </row>
    <row r="290" ht="17.25" customHeight="1">
      <c r="A290" s="130"/>
      <c r="B290" s="157">
        <f>B284+1</f>
        <v>48</v>
      </c>
      <c r="C290" s="158"/>
      <c r="D290" s="159" t="str">
        <f>VLOOKUP(C292,'Mitglieder BBU'!A:J,6,0)</f>
        <v>#N/A</v>
      </c>
      <c r="E290" s="60"/>
      <c r="F290" s="60"/>
      <c r="G290" s="60"/>
      <c r="H290" s="60"/>
      <c r="I290" s="61"/>
      <c r="J290" s="160"/>
      <c r="K290" s="161"/>
      <c r="L290" s="162"/>
      <c r="M290" s="163"/>
      <c r="N290" s="164"/>
      <c r="T290" s="165"/>
    </row>
    <row r="291" ht="17.25" customHeight="1">
      <c r="A291" s="130"/>
      <c r="B291" s="167"/>
      <c r="C291" s="168" t="str">
        <f>VLOOKUP(C292,'Mitglieder BBU'!A:J,6,0)</f>
        <v>#N/A</v>
      </c>
      <c r="D291" s="110" t="str">
        <f>IFERROR(VLOOKUP($C292,Datensammler!$B:$AA,3,0),)</f>
        <v/>
      </c>
      <c r="E291" s="110" t="str">
        <f>IFERROR(VLOOKUP($C292,Datensammler!$B:$AA,4,0),)</f>
        <v/>
      </c>
      <c r="F291" s="110" t="str">
        <f>IFERROR(VLOOKUP($C292,Datensammler!$B:$AA,5,0),)</f>
        <v/>
      </c>
      <c r="G291" s="110" t="str">
        <f>IFERROR(VLOOKUP($C292,Datensammler!$B:$AA,6,0),)</f>
        <v/>
      </c>
      <c r="H291" s="110" t="str">
        <f>IFERROR(VLOOKUP($C292,Datensammler!$B:$AA,7,0),)</f>
        <v/>
      </c>
      <c r="I291" s="110" t="str">
        <f>IFERROR(VLOOKUP($C292,Datensammler!$B:$AA,8,0),)</f>
        <v/>
      </c>
      <c r="J291" s="169">
        <f t="shared" ref="J291:J293" si="95">SUM(D291:I291)</f>
        <v>0</v>
      </c>
      <c r="K291" s="170" t="str">
        <f>IFERROR(VLOOKUP($C292,Datensammler!$B:$AA,23,0),)</f>
        <v/>
      </c>
      <c r="L291" s="161" t="str">
        <f>IFERROR(VLOOKUP($C292,Datensammler!$B:$AA,24,0),)</f>
        <v/>
      </c>
      <c r="M291" s="170" t="str">
        <f>IFERROR(VLOOKUP($C292,Datensammler!$B:$AA,25,0),)</f>
        <v/>
      </c>
      <c r="N291" s="171" t="str">
        <f>IF(C292=0,"",(VLOOKUP($C292,Datensammler!$B:$AA,26,0)))</f>
        <v>#N/A</v>
      </c>
      <c r="T291" s="172"/>
    </row>
    <row r="292" ht="17.25" customHeight="1">
      <c r="A292" s="130"/>
      <c r="B292" s="174"/>
      <c r="C292" s="175" t="str">
        <f>VLOOKUP(T292,Spieler!A:E,2,0)</f>
        <v>#N/A</v>
      </c>
      <c r="D292" s="170" t="str">
        <f>IFERROR(VLOOKUP($C292,Datensammler!$B:$AA,9,0),)</f>
        <v/>
      </c>
      <c r="E292" s="170" t="str">
        <f>IFERROR(VLOOKUP($C292,Datensammler!$B:$AA,10,0),)</f>
        <v/>
      </c>
      <c r="F292" s="170" t="str">
        <f>IFERROR(VLOOKUP($C292,Datensammler!$B:$AA,11,0),)</f>
        <v/>
      </c>
      <c r="G292" s="170" t="str">
        <f>IFERROR(VLOOKUP($C292,Datensammler!$B:$AA,12,0),)</f>
        <v/>
      </c>
      <c r="H292" s="170" t="str">
        <f>IFERROR(VLOOKUP($C292,Datensammler!$B:$AA,13,0),)</f>
        <v/>
      </c>
      <c r="I292" s="170" t="str">
        <f>IFERROR(VLOOKUP($C292,Datensammler!$B:$AA,14,0),)</f>
        <v/>
      </c>
      <c r="J292" s="169">
        <f t="shared" si="95"/>
        <v>0</v>
      </c>
      <c r="N292" s="176"/>
      <c r="T292" s="177" t="str">
        <f t="array" ref="T292">INDIRECT("Spieler!AD"&amp;B290+5)</f>
        <v/>
      </c>
    </row>
    <row r="293" ht="17.25" customHeight="1">
      <c r="A293" s="130"/>
      <c r="B293" s="167"/>
      <c r="C293" s="178" t="str">
        <f>VLOOKUP(C292,'Mitglieder BBU'!A:K,8,0)</f>
        <v>#N/A</v>
      </c>
      <c r="D293" s="179" t="str">
        <f>IFERROR(VLOOKUP($C292,Datensammler!$B:$AA,15,0),)</f>
        <v/>
      </c>
      <c r="E293" s="179" t="str">
        <f>IFERROR(VLOOKUP($C292,Datensammler!$B:$AA,16,0),)</f>
        <v/>
      </c>
      <c r="F293" s="179" t="str">
        <f>IFERROR(VLOOKUP($C292,Datensammler!$B:$AA,17,0),)</f>
        <v/>
      </c>
      <c r="G293" s="179" t="str">
        <f>IFERROR(VLOOKUP($C292,Datensammler!$B:$AA,18,0),)</f>
        <v/>
      </c>
      <c r="H293" s="179" t="str">
        <f>IFERROR(VLOOKUP($C292,Datensammler!$B:$AA,19,0),)</f>
        <v/>
      </c>
      <c r="I293" s="179" t="str">
        <f>IFERROR(VLOOKUP($C292,Datensammler!$B:$AA,20,0),)</f>
        <v/>
      </c>
      <c r="J293" s="180">
        <f t="shared" si="95"/>
        <v>0</v>
      </c>
      <c r="K293" s="181"/>
      <c r="L293" s="181"/>
      <c r="M293" s="181"/>
      <c r="N293" s="182"/>
      <c r="T293" s="172"/>
    </row>
    <row r="294" ht="17.25" customHeight="1">
      <c r="A294" s="130"/>
      <c r="B294" s="183"/>
      <c r="C294" s="184" t="str">
        <f>IF(VLOOKUP(T292,Spieler!A:F,6,0)="Nein","keine Bayerische Meisterschaft gewünscht","")</f>
        <v>#N/A</v>
      </c>
      <c r="D294" s="161"/>
      <c r="E294" s="170"/>
      <c r="F294" s="170"/>
      <c r="G294" s="185" t="s">
        <v>2562</v>
      </c>
      <c r="H294" s="186"/>
      <c r="I294" s="186"/>
      <c r="J294" s="186"/>
      <c r="K294" s="186"/>
      <c r="L294" s="187">
        <f t="shared" ref="L294:M294" si="96">SUM(L291:L293)</f>
        <v>0</v>
      </c>
      <c r="M294" s="110">
        <f t="shared" si="96"/>
        <v>0</v>
      </c>
      <c r="N294" s="188" t="str">
        <f>L294/M294</f>
        <v>#DIV/0!</v>
      </c>
      <c r="T294" s="189"/>
    </row>
    <row r="295" ht="17.25" customHeight="1">
      <c r="A295" s="130"/>
      <c r="B295" s="190"/>
      <c r="C295" s="178"/>
      <c r="D295" s="191"/>
      <c r="E295" s="191"/>
      <c r="F295" s="191"/>
      <c r="G295" s="191"/>
      <c r="H295" s="191"/>
      <c r="I295" s="191"/>
      <c r="J295" s="191"/>
      <c r="K295" s="191"/>
      <c r="L295" s="192"/>
      <c r="M295" s="191"/>
      <c r="N295" s="193"/>
      <c r="T295" s="194"/>
    </row>
    <row r="296" ht="17.25" customHeight="1">
      <c r="A296" s="130"/>
      <c r="B296" s="157">
        <f>B290+1</f>
        <v>49</v>
      </c>
      <c r="C296" s="158"/>
      <c r="D296" s="159" t="str">
        <f>VLOOKUP(C298,'Mitglieder BBU'!A:J,6,0)</f>
        <v>#N/A</v>
      </c>
      <c r="E296" s="60"/>
      <c r="F296" s="60"/>
      <c r="G296" s="60"/>
      <c r="H296" s="60"/>
      <c r="I296" s="61"/>
      <c r="J296" s="160"/>
      <c r="K296" s="161"/>
      <c r="L296" s="162"/>
      <c r="M296" s="163"/>
      <c r="N296" s="164"/>
      <c r="T296" s="165"/>
    </row>
    <row r="297" ht="17.25" customHeight="1">
      <c r="A297" s="130"/>
      <c r="B297" s="167"/>
      <c r="C297" s="168" t="str">
        <f>VLOOKUP(C298,'Mitglieder BBU'!A:J,6,0)</f>
        <v>#N/A</v>
      </c>
      <c r="D297" s="110" t="str">
        <f>IFERROR(VLOOKUP($C298,Datensammler!$B:$AA,3,0),)</f>
        <v/>
      </c>
      <c r="E297" s="110" t="str">
        <f>IFERROR(VLOOKUP($C298,Datensammler!$B:$AA,4,0),)</f>
        <v/>
      </c>
      <c r="F297" s="110" t="str">
        <f>IFERROR(VLOOKUP($C298,Datensammler!$B:$AA,5,0),)</f>
        <v/>
      </c>
      <c r="G297" s="110" t="str">
        <f>IFERROR(VLOOKUP($C298,Datensammler!$B:$AA,6,0),)</f>
        <v/>
      </c>
      <c r="H297" s="110" t="str">
        <f>IFERROR(VLOOKUP($C298,Datensammler!$B:$AA,7,0),)</f>
        <v/>
      </c>
      <c r="I297" s="110" t="str">
        <f>IFERROR(VLOOKUP($C298,Datensammler!$B:$AA,8,0),)</f>
        <v/>
      </c>
      <c r="J297" s="169">
        <f t="shared" ref="J297:J299" si="97">SUM(D297:I297)</f>
        <v>0</v>
      </c>
      <c r="K297" s="170" t="str">
        <f>IFERROR(VLOOKUP($C298,Datensammler!$B:$AA,23,0),)</f>
        <v/>
      </c>
      <c r="L297" s="161" t="str">
        <f>IFERROR(VLOOKUP($C298,Datensammler!$B:$AA,24,0),)</f>
        <v/>
      </c>
      <c r="M297" s="170" t="str">
        <f>IFERROR(VLOOKUP($C298,Datensammler!$B:$AA,25,0),)</f>
        <v/>
      </c>
      <c r="N297" s="171" t="str">
        <f>IF(C298=0,"",(VLOOKUP($C298,Datensammler!$B:$AA,26,0)))</f>
        <v>#N/A</v>
      </c>
      <c r="T297" s="172"/>
    </row>
    <row r="298" ht="17.25" customHeight="1">
      <c r="A298" s="130"/>
      <c r="B298" s="174"/>
      <c r="C298" s="175" t="str">
        <f>VLOOKUP(T298,Spieler!A:E,2,0)</f>
        <v>#N/A</v>
      </c>
      <c r="D298" s="170" t="str">
        <f>IFERROR(VLOOKUP($C298,Datensammler!$B:$AA,9,0),)</f>
        <v/>
      </c>
      <c r="E298" s="170" t="str">
        <f>IFERROR(VLOOKUP($C298,Datensammler!$B:$AA,10,0),)</f>
        <v/>
      </c>
      <c r="F298" s="170" t="str">
        <f>IFERROR(VLOOKUP($C298,Datensammler!$B:$AA,11,0),)</f>
        <v/>
      </c>
      <c r="G298" s="170" t="str">
        <f>IFERROR(VLOOKUP($C298,Datensammler!$B:$AA,12,0),)</f>
        <v/>
      </c>
      <c r="H298" s="170" t="str">
        <f>IFERROR(VLOOKUP($C298,Datensammler!$B:$AA,13,0),)</f>
        <v/>
      </c>
      <c r="I298" s="170" t="str">
        <f>IFERROR(VLOOKUP($C298,Datensammler!$B:$AA,14,0),)</f>
        <v/>
      </c>
      <c r="J298" s="169">
        <f t="shared" si="97"/>
        <v>0</v>
      </c>
      <c r="N298" s="176"/>
      <c r="T298" s="177" t="str">
        <f t="array" ref="T298">INDIRECT("Spieler!AD"&amp;B296+5)</f>
        <v/>
      </c>
    </row>
    <row r="299" ht="17.25" customHeight="1">
      <c r="A299" s="130"/>
      <c r="B299" s="167"/>
      <c r="C299" s="178" t="str">
        <f>VLOOKUP(C298,'Mitglieder BBU'!A:K,8,0)</f>
        <v>#N/A</v>
      </c>
      <c r="D299" s="179" t="str">
        <f>IFERROR(VLOOKUP($C298,Datensammler!$B:$AA,15,0),)</f>
        <v/>
      </c>
      <c r="E299" s="179" t="str">
        <f>IFERROR(VLOOKUP($C298,Datensammler!$B:$AA,16,0),)</f>
        <v/>
      </c>
      <c r="F299" s="179" t="str">
        <f>IFERROR(VLOOKUP($C298,Datensammler!$B:$AA,17,0),)</f>
        <v/>
      </c>
      <c r="G299" s="179" t="str">
        <f>IFERROR(VLOOKUP($C298,Datensammler!$B:$AA,18,0),)</f>
        <v/>
      </c>
      <c r="H299" s="179" t="str">
        <f>IFERROR(VLOOKUP($C298,Datensammler!$B:$AA,19,0),)</f>
        <v/>
      </c>
      <c r="I299" s="179" t="str">
        <f>IFERROR(VLOOKUP($C298,Datensammler!$B:$AA,20,0),)</f>
        <v/>
      </c>
      <c r="J299" s="180">
        <f t="shared" si="97"/>
        <v>0</v>
      </c>
      <c r="K299" s="181"/>
      <c r="L299" s="181"/>
      <c r="M299" s="181"/>
      <c r="N299" s="182"/>
      <c r="T299" s="172"/>
    </row>
    <row r="300" ht="17.25" customHeight="1">
      <c r="A300" s="130"/>
      <c r="B300" s="183"/>
      <c r="C300" s="184" t="str">
        <f>IF(VLOOKUP(T298,Spieler!A:F,6,0)="Nein","keine Bayerische Meisterschaft gewünscht","")</f>
        <v>#N/A</v>
      </c>
      <c r="D300" s="161"/>
      <c r="E300" s="170"/>
      <c r="F300" s="170"/>
      <c r="G300" s="185" t="s">
        <v>2562</v>
      </c>
      <c r="H300" s="186"/>
      <c r="I300" s="186"/>
      <c r="J300" s="186"/>
      <c r="K300" s="186"/>
      <c r="L300" s="187">
        <f t="shared" ref="L300:M300" si="98">SUM(L297:L299)</f>
        <v>0</v>
      </c>
      <c r="M300" s="110">
        <f t="shared" si="98"/>
        <v>0</v>
      </c>
      <c r="N300" s="188" t="str">
        <f>L300/M300</f>
        <v>#DIV/0!</v>
      </c>
      <c r="T300" s="189"/>
    </row>
    <row r="301" ht="17.25" customHeight="1">
      <c r="A301" s="130"/>
      <c r="B301" s="190"/>
      <c r="C301" s="178"/>
      <c r="D301" s="191"/>
      <c r="E301" s="191"/>
      <c r="F301" s="191"/>
      <c r="G301" s="191"/>
      <c r="H301" s="191"/>
      <c r="I301" s="191"/>
      <c r="J301" s="191"/>
      <c r="K301" s="191"/>
      <c r="L301" s="192"/>
      <c r="M301" s="191"/>
      <c r="N301" s="193"/>
      <c r="T301" s="194"/>
    </row>
    <row r="302" ht="17.25" customHeight="1">
      <c r="A302" s="130"/>
      <c r="B302" s="157">
        <f>B296+1</f>
        <v>50</v>
      </c>
      <c r="C302" s="158"/>
      <c r="D302" s="159" t="str">
        <f>VLOOKUP(C304,'Mitglieder BBU'!A:J,6,0)</f>
        <v>#N/A</v>
      </c>
      <c r="E302" s="60"/>
      <c r="F302" s="60"/>
      <c r="G302" s="60"/>
      <c r="H302" s="60"/>
      <c r="I302" s="61"/>
      <c r="J302" s="160"/>
      <c r="K302" s="161"/>
      <c r="L302" s="162"/>
      <c r="M302" s="163"/>
      <c r="N302" s="164"/>
      <c r="T302" s="165"/>
    </row>
    <row r="303" ht="17.25" customHeight="1">
      <c r="A303" s="130"/>
      <c r="B303" s="167"/>
      <c r="C303" s="168" t="str">
        <f>VLOOKUP(C304,'Mitglieder BBU'!A:J,6,0)</f>
        <v>#N/A</v>
      </c>
      <c r="D303" s="110" t="str">
        <f>IFERROR(VLOOKUP($C304,Datensammler!$B:$AA,3,0),)</f>
        <v/>
      </c>
      <c r="E303" s="110" t="str">
        <f>IFERROR(VLOOKUP($C304,Datensammler!$B:$AA,4,0),)</f>
        <v/>
      </c>
      <c r="F303" s="110" t="str">
        <f>IFERROR(VLOOKUP($C304,Datensammler!$B:$AA,5,0),)</f>
        <v/>
      </c>
      <c r="G303" s="110" t="str">
        <f>IFERROR(VLOOKUP($C304,Datensammler!$B:$AA,6,0),)</f>
        <v/>
      </c>
      <c r="H303" s="110" t="str">
        <f>IFERROR(VLOOKUP($C304,Datensammler!$B:$AA,7,0),)</f>
        <v/>
      </c>
      <c r="I303" s="110" t="str">
        <f>IFERROR(VLOOKUP($C304,Datensammler!$B:$AA,8,0),)</f>
        <v/>
      </c>
      <c r="J303" s="169">
        <f t="shared" ref="J303:J305" si="99">SUM(D303:I303)</f>
        <v>0</v>
      </c>
      <c r="K303" s="170" t="str">
        <f>IFERROR(VLOOKUP($C304,Datensammler!$B:$AA,23,0),)</f>
        <v/>
      </c>
      <c r="L303" s="161" t="str">
        <f>IFERROR(VLOOKUP($C304,Datensammler!$B:$AA,24,0),)</f>
        <v/>
      </c>
      <c r="M303" s="170" t="str">
        <f>IFERROR(VLOOKUP($C304,Datensammler!$B:$AA,25,0),)</f>
        <v/>
      </c>
      <c r="N303" s="171" t="str">
        <f>IF(C304=0,"",(VLOOKUP($C304,Datensammler!$B:$AA,26,0)))</f>
        <v>#N/A</v>
      </c>
      <c r="T303" s="172"/>
    </row>
    <row r="304" ht="17.25" customHeight="1">
      <c r="A304" s="130"/>
      <c r="B304" s="174"/>
      <c r="C304" s="175" t="str">
        <f>VLOOKUP(T304,Spieler!A:E,2,0)</f>
        <v>#N/A</v>
      </c>
      <c r="D304" s="170" t="str">
        <f>IFERROR(VLOOKUP($C304,Datensammler!$B:$AA,9,0),)</f>
        <v/>
      </c>
      <c r="E304" s="170" t="str">
        <f>IFERROR(VLOOKUP($C304,Datensammler!$B:$AA,10,0),)</f>
        <v/>
      </c>
      <c r="F304" s="170" t="str">
        <f>IFERROR(VLOOKUP($C304,Datensammler!$B:$AA,11,0),)</f>
        <v/>
      </c>
      <c r="G304" s="170" t="str">
        <f>IFERROR(VLOOKUP($C304,Datensammler!$B:$AA,12,0),)</f>
        <v/>
      </c>
      <c r="H304" s="170" t="str">
        <f>IFERROR(VLOOKUP($C304,Datensammler!$B:$AA,13,0),)</f>
        <v/>
      </c>
      <c r="I304" s="170" t="str">
        <f>IFERROR(VLOOKUP($C304,Datensammler!$B:$AA,14,0),)</f>
        <v/>
      </c>
      <c r="J304" s="169">
        <f t="shared" si="99"/>
        <v>0</v>
      </c>
      <c r="N304" s="176"/>
      <c r="T304" s="177" t="str">
        <f t="array" ref="T304">INDIRECT("Spieler!AD"&amp;B302+5)</f>
        <v/>
      </c>
    </row>
    <row r="305" ht="17.25" customHeight="1">
      <c r="A305" s="130"/>
      <c r="B305" s="167"/>
      <c r="C305" s="178" t="str">
        <f>VLOOKUP(C304,'Mitglieder BBU'!A:K,8,0)</f>
        <v>#N/A</v>
      </c>
      <c r="D305" s="179" t="str">
        <f>IFERROR(VLOOKUP($C304,Datensammler!$B:$AA,15,0),)</f>
        <v/>
      </c>
      <c r="E305" s="179" t="str">
        <f>IFERROR(VLOOKUP($C304,Datensammler!$B:$AA,16,0),)</f>
        <v/>
      </c>
      <c r="F305" s="179" t="str">
        <f>IFERROR(VLOOKUP($C304,Datensammler!$B:$AA,17,0),)</f>
        <v/>
      </c>
      <c r="G305" s="179" t="str">
        <f>IFERROR(VLOOKUP($C304,Datensammler!$B:$AA,18,0),)</f>
        <v/>
      </c>
      <c r="H305" s="179" t="str">
        <f>IFERROR(VLOOKUP($C304,Datensammler!$B:$AA,19,0),)</f>
        <v/>
      </c>
      <c r="I305" s="179" t="str">
        <f>IFERROR(VLOOKUP($C304,Datensammler!$B:$AA,20,0),)</f>
        <v/>
      </c>
      <c r="J305" s="180">
        <f t="shared" si="99"/>
        <v>0</v>
      </c>
      <c r="K305" s="181"/>
      <c r="L305" s="181"/>
      <c r="M305" s="181"/>
      <c r="N305" s="182"/>
      <c r="T305" s="172"/>
    </row>
    <row r="306" ht="17.25" customHeight="1">
      <c r="A306" s="130"/>
      <c r="B306" s="183"/>
      <c r="C306" s="184" t="str">
        <f>IF(VLOOKUP(T304,Spieler!A:F,6,0)="Nein","keine Bayerische Meisterschaft gewünscht","")</f>
        <v>#N/A</v>
      </c>
      <c r="D306" s="161"/>
      <c r="E306" s="170"/>
      <c r="F306" s="170"/>
      <c r="G306" s="185" t="s">
        <v>2562</v>
      </c>
      <c r="H306" s="186"/>
      <c r="I306" s="186"/>
      <c r="J306" s="186"/>
      <c r="K306" s="186"/>
      <c r="L306" s="187">
        <f t="shared" ref="L306:M306" si="100">SUM(L303:L305)</f>
        <v>0</v>
      </c>
      <c r="M306" s="110">
        <f t="shared" si="100"/>
        <v>0</v>
      </c>
      <c r="N306" s="188" t="str">
        <f>L306/M306</f>
        <v>#DIV/0!</v>
      </c>
      <c r="T306" s="189"/>
    </row>
    <row r="307" ht="17.25" customHeight="1">
      <c r="A307" s="130"/>
      <c r="B307" s="190"/>
      <c r="C307" s="178"/>
      <c r="D307" s="191"/>
      <c r="E307" s="191"/>
      <c r="F307" s="191"/>
      <c r="G307" s="191"/>
      <c r="H307" s="191"/>
      <c r="I307" s="191"/>
      <c r="J307" s="191"/>
      <c r="K307" s="191"/>
      <c r="L307" s="192"/>
      <c r="M307" s="191"/>
      <c r="N307" s="193"/>
      <c r="T307" s="194"/>
    </row>
    <row r="308" ht="17.25" customHeight="1">
      <c r="A308" s="130"/>
      <c r="B308" s="157">
        <f>B302+1</f>
        <v>51</v>
      </c>
      <c r="C308" s="158"/>
      <c r="D308" s="159" t="str">
        <f>VLOOKUP(C310,'Mitglieder BBU'!A:J,6,0)</f>
        <v>#N/A</v>
      </c>
      <c r="E308" s="60"/>
      <c r="F308" s="60"/>
      <c r="G308" s="60"/>
      <c r="H308" s="60"/>
      <c r="I308" s="61"/>
      <c r="J308" s="160"/>
      <c r="K308" s="161"/>
      <c r="L308" s="162"/>
      <c r="M308" s="163"/>
      <c r="N308" s="164"/>
      <c r="T308" s="165"/>
    </row>
    <row r="309" ht="17.25" customHeight="1">
      <c r="A309" s="130"/>
      <c r="B309" s="167"/>
      <c r="C309" s="168" t="str">
        <f>VLOOKUP(C310,'Mitglieder BBU'!A:J,6,0)</f>
        <v>#N/A</v>
      </c>
      <c r="D309" s="110" t="str">
        <f>IFERROR(VLOOKUP($C310,Datensammler!$B:$AA,3,0),)</f>
        <v/>
      </c>
      <c r="E309" s="110" t="str">
        <f>IFERROR(VLOOKUP($C310,Datensammler!$B:$AA,4,0),)</f>
        <v/>
      </c>
      <c r="F309" s="110" t="str">
        <f>IFERROR(VLOOKUP($C310,Datensammler!$B:$AA,5,0),)</f>
        <v/>
      </c>
      <c r="G309" s="110" t="str">
        <f>IFERROR(VLOOKUP($C310,Datensammler!$B:$AA,6,0),)</f>
        <v/>
      </c>
      <c r="H309" s="110" t="str">
        <f>IFERROR(VLOOKUP($C310,Datensammler!$B:$AA,7,0),)</f>
        <v/>
      </c>
      <c r="I309" s="110" t="str">
        <f>IFERROR(VLOOKUP($C310,Datensammler!$B:$AA,8,0),)</f>
        <v/>
      </c>
      <c r="J309" s="169">
        <f t="shared" ref="J309:J311" si="101">SUM(D309:I309)</f>
        <v>0</v>
      </c>
      <c r="K309" s="170" t="str">
        <f>IFERROR(VLOOKUP($C310,Datensammler!$B:$AA,23,0),)</f>
        <v/>
      </c>
      <c r="L309" s="161" t="str">
        <f>IFERROR(VLOOKUP($C310,Datensammler!$B:$AA,24,0),)</f>
        <v/>
      </c>
      <c r="M309" s="170" t="str">
        <f>IFERROR(VLOOKUP($C310,Datensammler!$B:$AA,25,0),)</f>
        <v/>
      </c>
      <c r="N309" s="171" t="str">
        <f>IF(C310=0,"",(VLOOKUP($C310,Datensammler!$B:$AA,26,0)))</f>
        <v>#N/A</v>
      </c>
      <c r="T309" s="172"/>
    </row>
    <row r="310" ht="17.25" customHeight="1">
      <c r="A310" s="130"/>
      <c r="B310" s="174"/>
      <c r="C310" s="175" t="str">
        <f>VLOOKUP(T310,Spieler!A:E,2,0)</f>
        <v>#N/A</v>
      </c>
      <c r="D310" s="170" t="str">
        <f>IFERROR(VLOOKUP($C310,Datensammler!$B:$AA,9,0),)</f>
        <v/>
      </c>
      <c r="E310" s="170" t="str">
        <f>IFERROR(VLOOKUP($C310,Datensammler!$B:$AA,10,0),)</f>
        <v/>
      </c>
      <c r="F310" s="170" t="str">
        <f>IFERROR(VLOOKUP($C310,Datensammler!$B:$AA,11,0),)</f>
        <v/>
      </c>
      <c r="G310" s="170" t="str">
        <f>IFERROR(VLOOKUP($C310,Datensammler!$B:$AA,12,0),)</f>
        <v/>
      </c>
      <c r="H310" s="170" t="str">
        <f>IFERROR(VLOOKUP($C310,Datensammler!$B:$AA,13,0),)</f>
        <v/>
      </c>
      <c r="I310" s="170" t="str">
        <f>IFERROR(VLOOKUP($C310,Datensammler!$B:$AA,14,0),)</f>
        <v/>
      </c>
      <c r="J310" s="169">
        <f t="shared" si="101"/>
        <v>0</v>
      </c>
      <c r="N310" s="176"/>
      <c r="T310" s="177" t="str">
        <f t="array" ref="T310">INDIRECT("Spieler!AD"&amp;B308+5)</f>
        <v/>
      </c>
    </row>
    <row r="311" ht="17.25" customHeight="1">
      <c r="A311" s="130"/>
      <c r="B311" s="167"/>
      <c r="C311" s="178" t="str">
        <f>VLOOKUP(C310,'Mitglieder BBU'!A:K,8,0)</f>
        <v>#N/A</v>
      </c>
      <c r="D311" s="179" t="str">
        <f>IFERROR(VLOOKUP($C310,Datensammler!$B:$AA,15,0),)</f>
        <v/>
      </c>
      <c r="E311" s="179" t="str">
        <f>IFERROR(VLOOKUP($C310,Datensammler!$B:$AA,16,0),)</f>
        <v/>
      </c>
      <c r="F311" s="179" t="str">
        <f>IFERROR(VLOOKUP($C310,Datensammler!$B:$AA,17,0),)</f>
        <v/>
      </c>
      <c r="G311" s="179" t="str">
        <f>IFERROR(VLOOKUP($C310,Datensammler!$B:$AA,18,0),)</f>
        <v/>
      </c>
      <c r="H311" s="179" t="str">
        <f>IFERROR(VLOOKUP($C310,Datensammler!$B:$AA,19,0),)</f>
        <v/>
      </c>
      <c r="I311" s="179" t="str">
        <f>IFERROR(VLOOKUP($C310,Datensammler!$B:$AA,20,0),)</f>
        <v/>
      </c>
      <c r="J311" s="180">
        <f t="shared" si="101"/>
        <v>0</v>
      </c>
      <c r="K311" s="181"/>
      <c r="L311" s="181"/>
      <c r="M311" s="181"/>
      <c r="N311" s="182"/>
      <c r="T311" s="172"/>
    </row>
    <row r="312" ht="17.25" customHeight="1">
      <c r="A312" s="130"/>
      <c r="B312" s="183"/>
      <c r="C312" s="184" t="str">
        <f>IF(VLOOKUP(T310,Spieler!A:F,6,0)="Nein","keine Bayerische Meisterschaft gewünscht","")</f>
        <v>#N/A</v>
      </c>
      <c r="D312" s="161"/>
      <c r="E312" s="170"/>
      <c r="F312" s="170"/>
      <c r="G312" s="185" t="s">
        <v>2562</v>
      </c>
      <c r="H312" s="186"/>
      <c r="I312" s="186"/>
      <c r="J312" s="186"/>
      <c r="K312" s="186"/>
      <c r="L312" s="187">
        <f t="shared" ref="L312:M312" si="102">SUM(L309:L311)</f>
        <v>0</v>
      </c>
      <c r="M312" s="110">
        <f t="shared" si="102"/>
        <v>0</v>
      </c>
      <c r="N312" s="188" t="str">
        <f>L312/M312</f>
        <v>#DIV/0!</v>
      </c>
      <c r="T312" s="189"/>
    </row>
    <row r="313" ht="17.25" customHeight="1">
      <c r="A313" s="130"/>
      <c r="B313" s="190"/>
      <c r="C313" s="178"/>
      <c r="D313" s="191"/>
      <c r="E313" s="191"/>
      <c r="F313" s="191"/>
      <c r="G313" s="191"/>
      <c r="H313" s="191"/>
      <c r="I313" s="191"/>
      <c r="J313" s="191"/>
      <c r="K313" s="191"/>
      <c r="L313" s="192"/>
      <c r="M313" s="191"/>
      <c r="N313" s="193"/>
      <c r="T313" s="194"/>
    </row>
    <row r="314" ht="17.25" customHeight="1">
      <c r="A314" s="130"/>
      <c r="B314" s="157">
        <f>B308+1</f>
        <v>52</v>
      </c>
      <c r="C314" s="158"/>
      <c r="D314" s="159" t="str">
        <f>VLOOKUP(C316,'Mitglieder BBU'!A:J,6,0)</f>
        <v>#N/A</v>
      </c>
      <c r="E314" s="60"/>
      <c r="F314" s="60"/>
      <c r="G314" s="60"/>
      <c r="H314" s="60"/>
      <c r="I314" s="61"/>
      <c r="J314" s="160"/>
      <c r="K314" s="161"/>
      <c r="L314" s="162"/>
      <c r="M314" s="163"/>
      <c r="N314" s="164"/>
      <c r="T314" s="165"/>
    </row>
    <row r="315" ht="17.25" customHeight="1">
      <c r="A315" s="130"/>
      <c r="B315" s="167"/>
      <c r="C315" s="168" t="str">
        <f>VLOOKUP(C316,'Mitglieder BBU'!A:J,6,0)</f>
        <v>#N/A</v>
      </c>
      <c r="D315" s="110" t="str">
        <f>IFERROR(VLOOKUP($C316,Datensammler!$B:$AA,3,0),)</f>
        <v/>
      </c>
      <c r="E315" s="110" t="str">
        <f>IFERROR(VLOOKUP($C316,Datensammler!$B:$AA,4,0),)</f>
        <v/>
      </c>
      <c r="F315" s="110" t="str">
        <f>IFERROR(VLOOKUP($C316,Datensammler!$B:$AA,5,0),)</f>
        <v/>
      </c>
      <c r="G315" s="110" t="str">
        <f>IFERROR(VLOOKUP($C316,Datensammler!$B:$AA,6,0),)</f>
        <v/>
      </c>
      <c r="H315" s="110" t="str">
        <f>IFERROR(VLOOKUP($C316,Datensammler!$B:$AA,7,0),)</f>
        <v/>
      </c>
      <c r="I315" s="110" t="str">
        <f>IFERROR(VLOOKUP($C316,Datensammler!$B:$AA,8,0),)</f>
        <v/>
      </c>
      <c r="J315" s="169">
        <f t="shared" ref="J315:J317" si="103">SUM(D315:I315)</f>
        <v>0</v>
      </c>
      <c r="K315" s="170" t="str">
        <f>IFERROR(VLOOKUP($C316,Datensammler!$B:$AA,23,0),)</f>
        <v/>
      </c>
      <c r="L315" s="161" t="str">
        <f>IFERROR(VLOOKUP($C316,Datensammler!$B:$AA,24,0),)</f>
        <v/>
      </c>
      <c r="M315" s="170" t="str">
        <f>IFERROR(VLOOKUP($C316,Datensammler!$B:$AA,25,0),)</f>
        <v/>
      </c>
      <c r="N315" s="171" t="str">
        <f>IF(C316=0,"",(VLOOKUP($C316,Datensammler!$B:$AA,26,0)))</f>
        <v>#N/A</v>
      </c>
      <c r="T315" s="172"/>
    </row>
    <row r="316" ht="17.25" customHeight="1">
      <c r="A316" s="130"/>
      <c r="B316" s="174"/>
      <c r="C316" s="175" t="str">
        <f>VLOOKUP(T316,Spieler!A:E,2,0)</f>
        <v>#N/A</v>
      </c>
      <c r="D316" s="170" t="str">
        <f>IFERROR(VLOOKUP($C316,Datensammler!$B:$AA,9,0),)</f>
        <v/>
      </c>
      <c r="E316" s="170" t="str">
        <f>IFERROR(VLOOKUP($C316,Datensammler!$B:$AA,10,0),)</f>
        <v/>
      </c>
      <c r="F316" s="170" t="str">
        <f>IFERROR(VLOOKUP($C316,Datensammler!$B:$AA,11,0),)</f>
        <v/>
      </c>
      <c r="G316" s="170" t="str">
        <f>IFERROR(VLOOKUP($C316,Datensammler!$B:$AA,12,0),)</f>
        <v/>
      </c>
      <c r="H316" s="170" t="str">
        <f>IFERROR(VLOOKUP($C316,Datensammler!$B:$AA,13,0),)</f>
        <v/>
      </c>
      <c r="I316" s="170" t="str">
        <f>IFERROR(VLOOKUP($C316,Datensammler!$B:$AA,14,0),)</f>
        <v/>
      </c>
      <c r="J316" s="169">
        <f t="shared" si="103"/>
        <v>0</v>
      </c>
      <c r="N316" s="176"/>
      <c r="T316" s="177" t="str">
        <f t="array" ref="T316">INDIRECT("Spieler!AD"&amp;B314+5)</f>
        <v/>
      </c>
    </row>
    <row r="317" ht="17.25" customHeight="1">
      <c r="A317" s="130"/>
      <c r="B317" s="167"/>
      <c r="C317" s="178" t="str">
        <f>VLOOKUP(C316,'Mitglieder BBU'!A:K,8,0)</f>
        <v>#N/A</v>
      </c>
      <c r="D317" s="179" t="str">
        <f>IFERROR(VLOOKUP($C316,Datensammler!$B:$AA,15,0),)</f>
        <v/>
      </c>
      <c r="E317" s="179" t="str">
        <f>IFERROR(VLOOKUP($C316,Datensammler!$B:$AA,16,0),)</f>
        <v/>
      </c>
      <c r="F317" s="179" t="str">
        <f>IFERROR(VLOOKUP($C316,Datensammler!$B:$AA,17,0),)</f>
        <v/>
      </c>
      <c r="G317" s="179" t="str">
        <f>IFERROR(VLOOKUP($C316,Datensammler!$B:$AA,18,0),)</f>
        <v/>
      </c>
      <c r="H317" s="179" t="str">
        <f>IFERROR(VLOOKUP($C316,Datensammler!$B:$AA,19,0),)</f>
        <v/>
      </c>
      <c r="I317" s="179" t="str">
        <f>IFERROR(VLOOKUP($C316,Datensammler!$B:$AA,20,0),)</f>
        <v/>
      </c>
      <c r="J317" s="180">
        <f t="shared" si="103"/>
        <v>0</v>
      </c>
      <c r="K317" s="181"/>
      <c r="L317" s="181"/>
      <c r="M317" s="181"/>
      <c r="N317" s="182"/>
      <c r="T317" s="172"/>
    </row>
    <row r="318" ht="17.25" customHeight="1">
      <c r="A318" s="130"/>
      <c r="B318" s="183"/>
      <c r="C318" s="184" t="str">
        <f>IF(VLOOKUP(T316,Spieler!A:F,6,0)="Nein","keine Bayerische Meisterschaft gewünscht","")</f>
        <v>#N/A</v>
      </c>
      <c r="D318" s="161"/>
      <c r="E318" s="170"/>
      <c r="F318" s="170"/>
      <c r="G318" s="185" t="s">
        <v>2562</v>
      </c>
      <c r="H318" s="186"/>
      <c r="I318" s="186"/>
      <c r="J318" s="186"/>
      <c r="K318" s="186"/>
      <c r="L318" s="187">
        <f t="shared" ref="L318:M318" si="104">SUM(L315:L317)</f>
        <v>0</v>
      </c>
      <c r="M318" s="110">
        <f t="shared" si="104"/>
        <v>0</v>
      </c>
      <c r="N318" s="188" t="str">
        <f>L318/M318</f>
        <v>#DIV/0!</v>
      </c>
      <c r="T318" s="189"/>
    </row>
    <row r="319" ht="17.25" customHeight="1">
      <c r="A319" s="130"/>
      <c r="B319" s="190"/>
      <c r="C319" s="178"/>
      <c r="D319" s="191"/>
      <c r="E319" s="191"/>
      <c r="F319" s="191"/>
      <c r="G319" s="191"/>
      <c r="H319" s="191"/>
      <c r="I319" s="191"/>
      <c r="J319" s="191"/>
      <c r="K319" s="191"/>
      <c r="L319" s="192"/>
      <c r="M319" s="191"/>
      <c r="N319" s="193"/>
      <c r="T319" s="194"/>
    </row>
    <row r="320" ht="17.25" customHeight="1">
      <c r="A320" s="130"/>
      <c r="B320" s="157">
        <f>B314+1</f>
        <v>53</v>
      </c>
      <c r="C320" s="158"/>
      <c r="D320" s="159" t="str">
        <f>VLOOKUP(C322,'Mitglieder BBU'!A:J,6,0)</f>
        <v>#N/A</v>
      </c>
      <c r="E320" s="60"/>
      <c r="F320" s="60"/>
      <c r="G320" s="60"/>
      <c r="H320" s="60"/>
      <c r="I320" s="61"/>
      <c r="J320" s="160"/>
      <c r="K320" s="161"/>
      <c r="L320" s="162"/>
      <c r="M320" s="163"/>
      <c r="N320" s="164"/>
      <c r="T320" s="165"/>
    </row>
    <row r="321" ht="17.25" customHeight="1">
      <c r="A321" s="130"/>
      <c r="B321" s="167"/>
      <c r="C321" s="168" t="str">
        <f>VLOOKUP(C322,'Mitglieder BBU'!A:J,6,0)</f>
        <v>#N/A</v>
      </c>
      <c r="D321" s="110" t="str">
        <f>IFERROR(VLOOKUP($C322,Datensammler!$B:$AA,3,0),)</f>
        <v/>
      </c>
      <c r="E321" s="110" t="str">
        <f>IFERROR(VLOOKUP($C322,Datensammler!$B:$AA,4,0),)</f>
        <v/>
      </c>
      <c r="F321" s="110" t="str">
        <f>IFERROR(VLOOKUP($C322,Datensammler!$B:$AA,5,0),)</f>
        <v/>
      </c>
      <c r="G321" s="110" t="str">
        <f>IFERROR(VLOOKUP($C322,Datensammler!$B:$AA,6,0),)</f>
        <v/>
      </c>
      <c r="H321" s="110" t="str">
        <f>IFERROR(VLOOKUP($C322,Datensammler!$B:$AA,7,0),)</f>
        <v/>
      </c>
      <c r="I321" s="110" t="str">
        <f>IFERROR(VLOOKUP($C322,Datensammler!$B:$AA,8,0),)</f>
        <v/>
      </c>
      <c r="J321" s="169">
        <f t="shared" ref="J321:J323" si="105">SUM(D321:I321)</f>
        <v>0</v>
      </c>
      <c r="K321" s="170" t="str">
        <f>IFERROR(VLOOKUP($C322,Datensammler!$B:$AA,23,0),)</f>
        <v/>
      </c>
      <c r="L321" s="161" t="str">
        <f>IFERROR(VLOOKUP($C322,Datensammler!$B:$AA,24,0),)</f>
        <v/>
      </c>
      <c r="M321" s="170" t="str">
        <f>IFERROR(VLOOKUP($C322,Datensammler!$B:$AA,25,0),)</f>
        <v/>
      </c>
      <c r="N321" s="171" t="str">
        <f>IF(C322=0,"",(VLOOKUP($C322,Datensammler!$B:$AA,26,0)))</f>
        <v>#N/A</v>
      </c>
      <c r="T321" s="172"/>
    </row>
    <row r="322" ht="17.25" customHeight="1">
      <c r="A322" s="130"/>
      <c r="B322" s="174"/>
      <c r="C322" s="175" t="str">
        <f>VLOOKUP(T322,Spieler!A:E,2,0)</f>
        <v>#N/A</v>
      </c>
      <c r="D322" s="170" t="str">
        <f>IFERROR(VLOOKUP($C322,Datensammler!$B:$AA,9,0),)</f>
        <v/>
      </c>
      <c r="E322" s="170" t="str">
        <f>IFERROR(VLOOKUP($C322,Datensammler!$B:$AA,10,0),)</f>
        <v/>
      </c>
      <c r="F322" s="170" t="str">
        <f>IFERROR(VLOOKUP($C322,Datensammler!$B:$AA,11,0),)</f>
        <v/>
      </c>
      <c r="G322" s="170" t="str">
        <f>IFERROR(VLOOKUP($C322,Datensammler!$B:$AA,12,0),)</f>
        <v/>
      </c>
      <c r="H322" s="170" t="str">
        <f>IFERROR(VLOOKUP($C322,Datensammler!$B:$AA,13,0),)</f>
        <v/>
      </c>
      <c r="I322" s="170" t="str">
        <f>IFERROR(VLOOKUP($C322,Datensammler!$B:$AA,14,0),)</f>
        <v/>
      </c>
      <c r="J322" s="169">
        <f t="shared" si="105"/>
        <v>0</v>
      </c>
      <c r="N322" s="176"/>
      <c r="T322" s="177" t="str">
        <f t="array" ref="T322">INDIRECT("Spieler!AD"&amp;B320+5)</f>
        <v/>
      </c>
    </row>
    <row r="323" ht="17.25" customHeight="1">
      <c r="A323" s="130"/>
      <c r="B323" s="167"/>
      <c r="C323" s="178" t="str">
        <f>VLOOKUP(C322,'Mitglieder BBU'!A:K,8,0)</f>
        <v>#N/A</v>
      </c>
      <c r="D323" s="179" t="str">
        <f>IFERROR(VLOOKUP($C322,Datensammler!$B:$AA,15,0),)</f>
        <v/>
      </c>
      <c r="E323" s="179" t="str">
        <f>IFERROR(VLOOKUP($C322,Datensammler!$B:$AA,16,0),)</f>
        <v/>
      </c>
      <c r="F323" s="179" t="str">
        <f>IFERROR(VLOOKUP($C322,Datensammler!$B:$AA,17,0),)</f>
        <v/>
      </c>
      <c r="G323" s="179" t="str">
        <f>IFERROR(VLOOKUP($C322,Datensammler!$B:$AA,18,0),)</f>
        <v/>
      </c>
      <c r="H323" s="179" t="str">
        <f>IFERROR(VLOOKUP($C322,Datensammler!$B:$AA,19,0),)</f>
        <v/>
      </c>
      <c r="I323" s="179" t="str">
        <f>IFERROR(VLOOKUP($C322,Datensammler!$B:$AA,20,0),)</f>
        <v/>
      </c>
      <c r="J323" s="180">
        <f t="shared" si="105"/>
        <v>0</v>
      </c>
      <c r="K323" s="181"/>
      <c r="L323" s="181"/>
      <c r="M323" s="181"/>
      <c r="N323" s="182"/>
      <c r="T323" s="172"/>
    </row>
    <row r="324" ht="17.25" customHeight="1">
      <c r="A324" s="130"/>
      <c r="B324" s="183"/>
      <c r="C324" s="184" t="str">
        <f>IF(VLOOKUP(T322,Spieler!A:F,6,0)="Nein","keine Bayerische Meisterschaft gewünscht","")</f>
        <v>#N/A</v>
      </c>
      <c r="D324" s="161"/>
      <c r="E324" s="170"/>
      <c r="F324" s="170"/>
      <c r="G324" s="185" t="s">
        <v>2562</v>
      </c>
      <c r="H324" s="186"/>
      <c r="I324" s="186"/>
      <c r="J324" s="186"/>
      <c r="K324" s="186"/>
      <c r="L324" s="187">
        <f t="shared" ref="L324:M324" si="106">SUM(L321:L323)</f>
        <v>0</v>
      </c>
      <c r="M324" s="110">
        <f t="shared" si="106"/>
        <v>0</v>
      </c>
      <c r="N324" s="188" t="str">
        <f>L324/M324</f>
        <v>#DIV/0!</v>
      </c>
      <c r="T324" s="189"/>
    </row>
    <row r="325" ht="17.25" customHeight="1">
      <c r="A325" s="130"/>
      <c r="B325" s="190"/>
      <c r="C325" s="178"/>
      <c r="D325" s="191"/>
      <c r="E325" s="191"/>
      <c r="F325" s="191"/>
      <c r="G325" s="191"/>
      <c r="H325" s="191"/>
      <c r="I325" s="191"/>
      <c r="J325" s="191"/>
      <c r="K325" s="191"/>
      <c r="L325" s="192"/>
      <c r="M325" s="191"/>
      <c r="N325" s="193"/>
      <c r="T325" s="194"/>
    </row>
    <row r="326" ht="17.25" customHeight="1">
      <c r="A326" s="130"/>
      <c r="B326" s="157">
        <f>B320+1</f>
        <v>54</v>
      </c>
      <c r="C326" s="158"/>
      <c r="D326" s="159" t="str">
        <f>VLOOKUP(C328,'Mitglieder BBU'!A:J,6,0)</f>
        <v>#N/A</v>
      </c>
      <c r="E326" s="60"/>
      <c r="F326" s="60"/>
      <c r="G326" s="60"/>
      <c r="H326" s="60"/>
      <c r="I326" s="61"/>
      <c r="J326" s="160"/>
      <c r="K326" s="161"/>
      <c r="L326" s="162"/>
      <c r="M326" s="163"/>
      <c r="N326" s="164"/>
      <c r="T326" s="165"/>
    </row>
    <row r="327" ht="17.25" customHeight="1">
      <c r="A327" s="130"/>
      <c r="B327" s="167"/>
      <c r="C327" s="168" t="str">
        <f>VLOOKUP(C328,'Mitglieder BBU'!A:J,6,0)</f>
        <v>#N/A</v>
      </c>
      <c r="D327" s="110" t="str">
        <f>IFERROR(VLOOKUP($C328,Datensammler!$B:$AA,3,0),)</f>
        <v/>
      </c>
      <c r="E327" s="110" t="str">
        <f>IFERROR(VLOOKUP($C328,Datensammler!$B:$AA,4,0),)</f>
        <v/>
      </c>
      <c r="F327" s="110" t="str">
        <f>IFERROR(VLOOKUP($C328,Datensammler!$B:$AA,5,0),)</f>
        <v/>
      </c>
      <c r="G327" s="110" t="str">
        <f>IFERROR(VLOOKUP($C328,Datensammler!$B:$AA,6,0),)</f>
        <v/>
      </c>
      <c r="H327" s="110" t="str">
        <f>IFERROR(VLOOKUP($C328,Datensammler!$B:$AA,7,0),)</f>
        <v/>
      </c>
      <c r="I327" s="110" t="str">
        <f>IFERROR(VLOOKUP($C328,Datensammler!$B:$AA,8,0),)</f>
        <v/>
      </c>
      <c r="J327" s="169">
        <f t="shared" ref="J327:J329" si="107">SUM(D327:I327)</f>
        <v>0</v>
      </c>
      <c r="K327" s="170" t="str">
        <f>IFERROR(VLOOKUP($C328,Datensammler!$B:$AA,23,0),)</f>
        <v/>
      </c>
      <c r="L327" s="161" t="str">
        <f>IFERROR(VLOOKUP($C328,Datensammler!$B:$AA,24,0),)</f>
        <v/>
      </c>
      <c r="M327" s="170" t="str">
        <f>IFERROR(VLOOKUP($C328,Datensammler!$B:$AA,25,0),)</f>
        <v/>
      </c>
      <c r="N327" s="171" t="str">
        <f>IF(C328=0,"",(VLOOKUP($C328,Datensammler!$B:$AA,26,0)))</f>
        <v>#N/A</v>
      </c>
      <c r="T327" s="172"/>
    </row>
    <row r="328" ht="17.25" customHeight="1">
      <c r="A328" s="130"/>
      <c r="B328" s="174"/>
      <c r="C328" s="175" t="str">
        <f>VLOOKUP(T328,Spieler!A:E,2,0)</f>
        <v>#N/A</v>
      </c>
      <c r="D328" s="170" t="str">
        <f>IFERROR(VLOOKUP($C328,Datensammler!$B:$AA,9,0),)</f>
        <v/>
      </c>
      <c r="E328" s="170" t="str">
        <f>IFERROR(VLOOKUP($C328,Datensammler!$B:$AA,10,0),)</f>
        <v/>
      </c>
      <c r="F328" s="170" t="str">
        <f>IFERROR(VLOOKUP($C328,Datensammler!$B:$AA,11,0),)</f>
        <v/>
      </c>
      <c r="G328" s="170" t="str">
        <f>IFERROR(VLOOKUP($C328,Datensammler!$B:$AA,12,0),)</f>
        <v/>
      </c>
      <c r="H328" s="170" t="str">
        <f>IFERROR(VLOOKUP($C328,Datensammler!$B:$AA,13,0),)</f>
        <v/>
      </c>
      <c r="I328" s="170" t="str">
        <f>IFERROR(VLOOKUP($C328,Datensammler!$B:$AA,14,0),)</f>
        <v/>
      </c>
      <c r="J328" s="169">
        <f t="shared" si="107"/>
        <v>0</v>
      </c>
      <c r="N328" s="176"/>
      <c r="T328" s="177" t="str">
        <f t="array" ref="T328">INDIRECT("Spieler!AD"&amp;B326+5)</f>
        <v/>
      </c>
    </row>
    <row r="329" ht="17.25" customHeight="1">
      <c r="A329" s="130"/>
      <c r="B329" s="167"/>
      <c r="C329" s="178" t="str">
        <f>VLOOKUP(C328,'Mitglieder BBU'!A:K,8,0)</f>
        <v>#N/A</v>
      </c>
      <c r="D329" s="179" t="str">
        <f>IFERROR(VLOOKUP($C328,Datensammler!$B:$AA,15,0),)</f>
        <v/>
      </c>
      <c r="E329" s="179" t="str">
        <f>IFERROR(VLOOKUP($C328,Datensammler!$B:$AA,16,0),)</f>
        <v/>
      </c>
      <c r="F329" s="179" t="str">
        <f>IFERROR(VLOOKUP($C328,Datensammler!$B:$AA,17,0),)</f>
        <v/>
      </c>
      <c r="G329" s="179" t="str">
        <f>IFERROR(VLOOKUP($C328,Datensammler!$B:$AA,18,0),)</f>
        <v/>
      </c>
      <c r="H329" s="179" t="str">
        <f>IFERROR(VLOOKUP($C328,Datensammler!$B:$AA,19,0),)</f>
        <v/>
      </c>
      <c r="I329" s="179" t="str">
        <f>IFERROR(VLOOKUP($C328,Datensammler!$B:$AA,20,0),)</f>
        <v/>
      </c>
      <c r="J329" s="180">
        <f t="shared" si="107"/>
        <v>0</v>
      </c>
      <c r="K329" s="181"/>
      <c r="L329" s="181"/>
      <c r="M329" s="181"/>
      <c r="N329" s="182"/>
      <c r="T329" s="172"/>
    </row>
    <row r="330" ht="17.25" customHeight="1">
      <c r="A330" s="130"/>
      <c r="B330" s="183"/>
      <c r="C330" s="184" t="str">
        <f>IF(VLOOKUP(T328,Spieler!A:F,6,0)="Nein","keine Bayerische Meisterschaft gewünscht","")</f>
        <v>#N/A</v>
      </c>
      <c r="D330" s="161"/>
      <c r="E330" s="170"/>
      <c r="F330" s="170"/>
      <c r="G330" s="185" t="s">
        <v>2562</v>
      </c>
      <c r="H330" s="186"/>
      <c r="I330" s="186"/>
      <c r="J330" s="186"/>
      <c r="K330" s="186"/>
      <c r="L330" s="187">
        <f t="shared" ref="L330:M330" si="108">SUM(L327:L329)</f>
        <v>0</v>
      </c>
      <c r="M330" s="110">
        <f t="shared" si="108"/>
        <v>0</v>
      </c>
      <c r="N330" s="188" t="str">
        <f>L330/M330</f>
        <v>#DIV/0!</v>
      </c>
      <c r="T330" s="189"/>
    </row>
    <row r="331" ht="17.25" customHeight="1">
      <c r="A331" s="130"/>
      <c r="B331" s="190"/>
      <c r="C331" s="208"/>
      <c r="D331" s="208"/>
      <c r="E331" s="208"/>
      <c r="F331" s="208"/>
      <c r="G331" s="208"/>
      <c r="H331" s="208"/>
      <c r="I331" s="208"/>
      <c r="J331" s="208"/>
      <c r="K331" s="208"/>
      <c r="L331" s="208"/>
      <c r="M331" s="208"/>
      <c r="N331" s="193"/>
      <c r="T331" s="194"/>
    </row>
    <row r="332" ht="17.25" customHeight="1">
      <c r="A332" s="130"/>
      <c r="B332" s="157">
        <f>B326+1</f>
        <v>55</v>
      </c>
      <c r="C332" s="209"/>
      <c r="D332" s="159" t="str">
        <f>VLOOKUP(C334,'Mitglieder BBU'!A:J,6,0)</f>
        <v>#N/A</v>
      </c>
      <c r="E332" s="60"/>
      <c r="F332" s="60"/>
      <c r="G332" s="60"/>
      <c r="H332" s="60"/>
      <c r="I332" s="61"/>
      <c r="J332" s="160"/>
      <c r="K332" s="187"/>
      <c r="L332" s="210"/>
      <c r="M332" s="211"/>
      <c r="N332" s="164"/>
      <c r="T332" s="165"/>
    </row>
    <row r="333" ht="17.25" customHeight="1">
      <c r="A333" s="130"/>
      <c r="B333" s="167"/>
      <c r="C333" s="168" t="str">
        <f>VLOOKUP(C334,'Mitglieder BBU'!A:J,6,0)</f>
        <v>#N/A</v>
      </c>
      <c r="D333" s="110" t="str">
        <f>IFERROR(VLOOKUP($C334,Datensammler!$B:$AA,3,0),)</f>
        <v/>
      </c>
      <c r="E333" s="110" t="str">
        <f>IFERROR(VLOOKUP($C334,Datensammler!$B:$AA,4,0),)</f>
        <v/>
      </c>
      <c r="F333" s="110" t="str">
        <f>IFERROR(VLOOKUP($C334,Datensammler!$B:$AA,5,0),)</f>
        <v/>
      </c>
      <c r="G333" s="110" t="str">
        <f>IFERROR(VLOOKUP($C334,Datensammler!$B:$AA,6,0),)</f>
        <v/>
      </c>
      <c r="H333" s="110" t="str">
        <f>IFERROR(VLOOKUP($C334,Datensammler!$B:$AA,7,0),)</f>
        <v/>
      </c>
      <c r="I333" s="110" t="str">
        <f>IFERROR(VLOOKUP($C334,Datensammler!$B:$AA,8,0),)</f>
        <v/>
      </c>
      <c r="J333" s="169">
        <f t="shared" ref="J333:J335" si="109">SUM(D333:I333)</f>
        <v>0</v>
      </c>
      <c r="K333" s="170" t="str">
        <f>IFERROR(VLOOKUP($C334,Datensammler!$B:$AA,23,0),)</f>
        <v/>
      </c>
      <c r="L333" s="161" t="str">
        <f>IFERROR(VLOOKUP($C334,Datensammler!$B:$AA,24,0),)</f>
        <v/>
      </c>
      <c r="M333" s="170" t="str">
        <f>IFERROR(VLOOKUP($C334,Datensammler!$B:$AA,25,0),)</f>
        <v/>
      </c>
      <c r="N333" s="171" t="str">
        <f>IF(C334=0,"",(VLOOKUP($C334,Datensammler!$B:$AA,26,0)))</f>
        <v>#N/A</v>
      </c>
      <c r="T333" s="172"/>
    </row>
    <row r="334" ht="17.25" customHeight="1">
      <c r="A334" s="130"/>
      <c r="B334" s="174"/>
      <c r="C334" s="175" t="str">
        <f>VLOOKUP(T334,Spieler!A:E,2,0)</f>
        <v>#N/A</v>
      </c>
      <c r="D334" s="170" t="str">
        <f>IFERROR(VLOOKUP($C334,Datensammler!$B:$AA,9,0),)</f>
        <v/>
      </c>
      <c r="E334" s="170" t="str">
        <f>IFERROR(VLOOKUP($C334,Datensammler!$B:$AA,10,0),)</f>
        <v/>
      </c>
      <c r="F334" s="170" t="str">
        <f>IFERROR(VLOOKUP($C334,Datensammler!$B:$AA,11,0),)</f>
        <v/>
      </c>
      <c r="G334" s="170" t="str">
        <f>IFERROR(VLOOKUP($C334,Datensammler!$B:$AA,12,0),)</f>
        <v/>
      </c>
      <c r="H334" s="170" t="str">
        <f>IFERROR(VLOOKUP($C334,Datensammler!$B:$AA,13,0),)</f>
        <v/>
      </c>
      <c r="I334" s="170" t="str">
        <f>IFERROR(VLOOKUP($C334,Datensammler!$B:$AA,14,0),)</f>
        <v/>
      </c>
      <c r="J334" s="169">
        <f t="shared" si="109"/>
        <v>0</v>
      </c>
      <c r="N334" s="176"/>
      <c r="T334" s="177" t="str">
        <f t="array" ref="T334">INDIRECT("Spieler!AD"&amp;B332+5)</f>
        <v/>
      </c>
    </row>
    <row r="335" ht="17.25" customHeight="1">
      <c r="A335" s="130"/>
      <c r="B335" s="167"/>
      <c r="C335" s="178" t="str">
        <f>VLOOKUP(C334,'Mitglieder BBU'!A:K,8,0)</f>
        <v>#N/A</v>
      </c>
      <c r="D335" s="179" t="str">
        <f>IFERROR(VLOOKUP($C334,Datensammler!$B:$AA,15,0),)</f>
        <v/>
      </c>
      <c r="E335" s="179" t="str">
        <f>IFERROR(VLOOKUP($C334,Datensammler!$B:$AA,16,0),)</f>
        <v/>
      </c>
      <c r="F335" s="179" t="str">
        <f>IFERROR(VLOOKUP($C334,Datensammler!$B:$AA,17,0),)</f>
        <v/>
      </c>
      <c r="G335" s="179" t="str">
        <f>IFERROR(VLOOKUP($C334,Datensammler!$B:$AA,18,0),)</f>
        <v/>
      </c>
      <c r="H335" s="179" t="str">
        <f>IFERROR(VLOOKUP($C334,Datensammler!$B:$AA,19,0),)</f>
        <v/>
      </c>
      <c r="I335" s="179" t="str">
        <f>IFERROR(VLOOKUP($C334,Datensammler!$B:$AA,20,0),)</f>
        <v/>
      </c>
      <c r="J335" s="180">
        <f t="shared" si="109"/>
        <v>0</v>
      </c>
      <c r="K335" s="181"/>
      <c r="L335" s="181"/>
      <c r="M335" s="181"/>
      <c r="N335" s="182"/>
      <c r="T335" s="172"/>
    </row>
    <row r="336" ht="17.25" customHeight="1">
      <c r="A336" s="130"/>
      <c r="B336" s="183"/>
      <c r="C336" s="184" t="str">
        <f>IF(VLOOKUP(T334,Spieler!A:F,6,0)="Nein","keine Bayerische Meisterschaft gewünscht","")</f>
        <v>#N/A</v>
      </c>
      <c r="D336" s="161"/>
      <c r="E336" s="170"/>
      <c r="F336" s="170"/>
      <c r="G336" s="185" t="s">
        <v>2562</v>
      </c>
      <c r="H336" s="186"/>
      <c r="I336" s="186"/>
      <c r="J336" s="186"/>
      <c r="K336" s="186"/>
      <c r="L336" s="187">
        <f t="shared" ref="L336:M336" si="110">SUM(L333:L335)</f>
        <v>0</v>
      </c>
      <c r="M336" s="110">
        <f t="shared" si="110"/>
        <v>0</v>
      </c>
      <c r="N336" s="188" t="str">
        <f>L336/M336</f>
        <v>#DIV/0!</v>
      </c>
      <c r="T336" s="189"/>
    </row>
    <row r="337" ht="17.25" customHeight="1">
      <c r="A337" s="130"/>
      <c r="B337" s="190"/>
      <c r="C337" s="178"/>
      <c r="D337" s="191"/>
      <c r="E337" s="191"/>
      <c r="F337" s="191"/>
      <c r="G337" s="191"/>
      <c r="H337" s="191"/>
      <c r="I337" s="191"/>
      <c r="J337" s="191"/>
      <c r="K337" s="110"/>
      <c r="L337" s="187"/>
      <c r="M337" s="110"/>
      <c r="N337" s="188"/>
      <c r="T337" s="194"/>
    </row>
    <row r="338" ht="17.25" customHeight="1">
      <c r="A338" s="130"/>
      <c r="B338" s="157">
        <f>B332+1</f>
        <v>56</v>
      </c>
      <c r="C338" s="158"/>
      <c r="D338" s="159" t="str">
        <f>VLOOKUP(C340,'Mitglieder BBU'!A:J,6,0)</f>
        <v>#N/A</v>
      </c>
      <c r="E338" s="60"/>
      <c r="F338" s="60"/>
      <c r="G338" s="60"/>
      <c r="H338" s="60"/>
      <c r="I338" s="61"/>
      <c r="J338" s="160"/>
      <c r="K338" s="161"/>
      <c r="L338" s="162"/>
      <c r="M338" s="163"/>
      <c r="N338" s="164"/>
      <c r="T338" s="165"/>
    </row>
    <row r="339" ht="17.25" customHeight="1">
      <c r="A339" s="130"/>
      <c r="B339" s="167"/>
      <c r="C339" s="168" t="str">
        <f>VLOOKUP(C340,'Mitglieder BBU'!A:J,6,0)</f>
        <v>#N/A</v>
      </c>
      <c r="D339" s="110" t="str">
        <f>IFERROR(VLOOKUP($C340,Datensammler!$B:$AA,3,0),)</f>
        <v/>
      </c>
      <c r="E339" s="110" t="str">
        <f>IFERROR(VLOOKUP($C340,Datensammler!$B:$AA,4,0),)</f>
        <v/>
      </c>
      <c r="F339" s="110" t="str">
        <f>IFERROR(VLOOKUP($C340,Datensammler!$B:$AA,5,0),)</f>
        <v/>
      </c>
      <c r="G339" s="110" t="str">
        <f>IFERROR(VLOOKUP($C340,Datensammler!$B:$AA,6,0),)</f>
        <v/>
      </c>
      <c r="H339" s="110" t="str">
        <f>IFERROR(VLOOKUP($C340,Datensammler!$B:$AA,7,0),)</f>
        <v/>
      </c>
      <c r="I339" s="110" t="str">
        <f>IFERROR(VLOOKUP($C340,Datensammler!$B:$AA,8,0),)</f>
        <v/>
      </c>
      <c r="J339" s="169">
        <f t="shared" ref="J339:J341" si="111">SUM(D339:I339)</f>
        <v>0</v>
      </c>
      <c r="K339" s="170" t="str">
        <f>IFERROR(VLOOKUP($C340,Datensammler!$B:$AA,23,0),)</f>
        <v/>
      </c>
      <c r="L339" s="161" t="str">
        <f>IFERROR(VLOOKUP($C340,Datensammler!$B:$AA,24,0),)</f>
        <v/>
      </c>
      <c r="M339" s="170" t="str">
        <f>IFERROR(VLOOKUP($C340,Datensammler!$B:$AA,25,0),)</f>
        <v/>
      </c>
      <c r="N339" s="171" t="str">
        <f>IF(C340=0,"",(VLOOKUP($C340,Datensammler!$B:$AA,26,0)))</f>
        <v>#N/A</v>
      </c>
      <c r="T339" s="172"/>
    </row>
    <row r="340" ht="17.25" customHeight="1">
      <c r="A340" s="130"/>
      <c r="B340" s="174"/>
      <c r="C340" s="175" t="str">
        <f>VLOOKUP(T340,Spieler!A:E,2,0)</f>
        <v>#N/A</v>
      </c>
      <c r="D340" s="170" t="str">
        <f>IFERROR(VLOOKUP($C340,Datensammler!$B:$AA,9,0),)</f>
        <v/>
      </c>
      <c r="E340" s="170" t="str">
        <f>IFERROR(VLOOKUP($C340,Datensammler!$B:$AA,10,0),)</f>
        <v/>
      </c>
      <c r="F340" s="170" t="str">
        <f>IFERROR(VLOOKUP($C340,Datensammler!$B:$AA,11,0),)</f>
        <v/>
      </c>
      <c r="G340" s="170" t="str">
        <f>IFERROR(VLOOKUP($C340,Datensammler!$B:$AA,12,0),)</f>
        <v/>
      </c>
      <c r="H340" s="170" t="str">
        <f>IFERROR(VLOOKUP($C340,Datensammler!$B:$AA,13,0),)</f>
        <v/>
      </c>
      <c r="I340" s="170" t="str">
        <f>IFERROR(VLOOKUP($C340,Datensammler!$B:$AA,14,0),)</f>
        <v/>
      </c>
      <c r="J340" s="169">
        <f t="shared" si="111"/>
        <v>0</v>
      </c>
      <c r="N340" s="176"/>
      <c r="T340" s="177" t="str">
        <f t="array" ref="T340">INDIRECT("Spieler!AD"&amp;B338+5)</f>
        <v/>
      </c>
    </row>
    <row r="341" ht="17.25" customHeight="1">
      <c r="A341" s="130"/>
      <c r="B341" s="167"/>
      <c r="C341" s="178" t="str">
        <f>VLOOKUP(C340,'Mitglieder BBU'!A:K,8,0)</f>
        <v>#N/A</v>
      </c>
      <c r="D341" s="179" t="str">
        <f>IFERROR(VLOOKUP($C340,Datensammler!$B:$AA,15,0),)</f>
        <v/>
      </c>
      <c r="E341" s="179" t="str">
        <f>IFERROR(VLOOKUP($C340,Datensammler!$B:$AA,16,0),)</f>
        <v/>
      </c>
      <c r="F341" s="179" t="str">
        <f>IFERROR(VLOOKUP($C340,Datensammler!$B:$AA,17,0),)</f>
        <v/>
      </c>
      <c r="G341" s="179" t="str">
        <f>IFERROR(VLOOKUP($C340,Datensammler!$B:$AA,18,0),)</f>
        <v/>
      </c>
      <c r="H341" s="179" t="str">
        <f>IFERROR(VLOOKUP($C340,Datensammler!$B:$AA,19,0),)</f>
        <v/>
      </c>
      <c r="I341" s="179" t="str">
        <f>IFERROR(VLOOKUP($C340,Datensammler!$B:$AA,20,0),)</f>
        <v/>
      </c>
      <c r="J341" s="180">
        <f t="shared" si="111"/>
        <v>0</v>
      </c>
      <c r="K341" s="181"/>
      <c r="L341" s="181"/>
      <c r="M341" s="181"/>
      <c r="N341" s="182"/>
      <c r="T341" s="172"/>
    </row>
    <row r="342" ht="17.25" customHeight="1">
      <c r="A342" s="130"/>
      <c r="B342" s="183"/>
      <c r="C342" s="184" t="str">
        <f>IF(VLOOKUP(T340,Spieler!A:F,6,0)="Nein","keine Bayerische Meisterschaft gewünscht","")</f>
        <v>#N/A</v>
      </c>
      <c r="D342" s="161"/>
      <c r="E342" s="170"/>
      <c r="F342" s="170"/>
      <c r="G342" s="185" t="s">
        <v>2562</v>
      </c>
      <c r="H342" s="186"/>
      <c r="I342" s="186"/>
      <c r="J342" s="186"/>
      <c r="K342" s="186"/>
      <c r="L342" s="187">
        <f t="shared" ref="L342:M342" si="112">SUM(L339:L341)</f>
        <v>0</v>
      </c>
      <c r="M342" s="110">
        <f t="shared" si="112"/>
        <v>0</v>
      </c>
      <c r="N342" s="188" t="str">
        <f>L342/M342</f>
        <v>#DIV/0!</v>
      </c>
      <c r="T342" s="189"/>
    </row>
    <row r="343" ht="17.25" customHeight="1">
      <c r="A343" s="130"/>
      <c r="B343" s="190"/>
      <c r="C343" s="178"/>
      <c r="D343" s="191"/>
      <c r="E343" s="191"/>
      <c r="F343" s="191"/>
      <c r="G343" s="191"/>
      <c r="H343" s="191"/>
      <c r="I343" s="191"/>
      <c r="J343" s="191"/>
      <c r="K343" s="191"/>
      <c r="L343" s="192"/>
      <c r="M343" s="191"/>
      <c r="N343" s="193"/>
      <c r="T343" s="194"/>
    </row>
    <row r="344" ht="17.25" customHeight="1">
      <c r="A344" s="130"/>
      <c r="B344" s="157">
        <f>B338+1</f>
        <v>57</v>
      </c>
      <c r="C344" s="158"/>
      <c r="D344" s="159" t="str">
        <f>VLOOKUP(C346,'Mitglieder BBU'!A:J,6,0)</f>
        <v>#N/A</v>
      </c>
      <c r="E344" s="60"/>
      <c r="F344" s="60"/>
      <c r="G344" s="60"/>
      <c r="H344" s="60"/>
      <c r="I344" s="61"/>
      <c r="J344" s="160"/>
      <c r="K344" s="161"/>
      <c r="L344" s="162"/>
      <c r="M344" s="163"/>
      <c r="N344" s="164"/>
      <c r="T344" s="165"/>
    </row>
    <row r="345" ht="17.25" customHeight="1">
      <c r="A345" s="130"/>
      <c r="B345" s="167"/>
      <c r="C345" s="168" t="str">
        <f>VLOOKUP(C346,'Mitglieder BBU'!A:J,6,0)</f>
        <v>#N/A</v>
      </c>
      <c r="D345" s="110" t="str">
        <f>IFERROR(VLOOKUP($C346,Datensammler!$B:$AA,3,0),)</f>
        <v/>
      </c>
      <c r="E345" s="110" t="str">
        <f>IFERROR(VLOOKUP($C346,Datensammler!$B:$AA,4,0),)</f>
        <v/>
      </c>
      <c r="F345" s="110" t="str">
        <f>IFERROR(VLOOKUP($C346,Datensammler!$B:$AA,5,0),)</f>
        <v/>
      </c>
      <c r="G345" s="110" t="str">
        <f>IFERROR(VLOOKUP($C346,Datensammler!$B:$AA,6,0),)</f>
        <v/>
      </c>
      <c r="H345" s="110" t="str">
        <f>IFERROR(VLOOKUP($C346,Datensammler!$B:$AA,7,0),)</f>
        <v/>
      </c>
      <c r="I345" s="110" t="str">
        <f>IFERROR(VLOOKUP($C346,Datensammler!$B:$AA,8,0),)</f>
        <v/>
      </c>
      <c r="J345" s="169">
        <f t="shared" ref="J345:J347" si="113">SUM(D345:I345)</f>
        <v>0</v>
      </c>
      <c r="K345" s="170" t="str">
        <f>IFERROR(VLOOKUP($C346,Datensammler!$B:$AA,23,0),)</f>
        <v/>
      </c>
      <c r="L345" s="161" t="str">
        <f>IFERROR(VLOOKUP($C346,Datensammler!$B:$AA,24,0),)</f>
        <v/>
      </c>
      <c r="M345" s="170" t="str">
        <f>IFERROR(VLOOKUP($C346,Datensammler!$B:$AA,25,0),)</f>
        <v/>
      </c>
      <c r="N345" s="171" t="str">
        <f>IF(C346=0,"",(VLOOKUP($C346,Datensammler!$B:$AA,26,0)))</f>
        <v>#N/A</v>
      </c>
      <c r="T345" s="172"/>
    </row>
    <row r="346" ht="17.25" customHeight="1">
      <c r="A346" s="130"/>
      <c r="B346" s="174"/>
      <c r="C346" s="175" t="str">
        <f>VLOOKUP(T346,Spieler!A:E,2,0)</f>
        <v>#N/A</v>
      </c>
      <c r="D346" s="170" t="str">
        <f>IFERROR(VLOOKUP($C346,Datensammler!$B:$AA,9,0),)</f>
        <v/>
      </c>
      <c r="E346" s="170" t="str">
        <f>IFERROR(VLOOKUP($C346,Datensammler!$B:$AA,10,0),)</f>
        <v/>
      </c>
      <c r="F346" s="170" t="str">
        <f>IFERROR(VLOOKUP($C346,Datensammler!$B:$AA,11,0),)</f>
        <v/>
      </c>
      <c r="G346" s="170" t="str">
        <f>IFERROR(VLOOKUP($C346,Datensammler!$B:$AA,12,0),)</f>
        <v/>
      </c>
      <c r="H346" s="170" t="str">
        <f>IFERROR(VLOOKUP($C346,Datensammler!$B:$AA,13,0),)</f>
        <v/>
      </c>
      <c r="I346" s="170" t="str">
        <f>IFERROR(VLOOKUP($C346,Datensammler!$B:$AA,14,0),)</f>
        <v/>
      </c>
      <c r="J346" s="169">
        <f t="shared" si="113"/>
        <v>0</v>
      </c>
      <c r="N346" s="176"/>
      <c r="T346" s="177" t="str">
        <f t="array" ref="T346">INDIRECT("Spieler!AD"&amp;B344+5)</f>
        <v/>
      </c>
    </row>
    <row r="347" ht="17.25" customHeight="1">
      <c r="A347" s="130"/>
      <c r="B347" s="167"/>
      <c r="C347" s="178" t="str">
        <f>VLOOKUP(C346,'Mitglieder BBU'!A:K,8,0)</f>
        <v>#N/A</v>
      </c>
      <c r="D347" s="179" t="str">
        <f>IFERROR(VLOOKUP($C346,Datensammler!$B:$AA,15,0),)</f>
        <v/>
      </c>
      <c r="E347" s="179" t="str">
        <f>IFERROR(VLOOKUP($C346,Datensammler!$B:$AA,16,0),)</f>
        <v/>
      </c>
      <c r="F347" s="179" t="str">
        <f>IFERROR(VLOOKUP($C346,Datensammler!$B:$AA,17,0),)</f>
        <v/>
      </c>
      <c r="G347" s="179" t="str">
        <f>IFERROR(VLOOKUP($C346,Datensammler!$B:$AA,18,0),)</f>
        <v/>
      </c>
      <c r="H347" s="179" t="str">
        <f>IFERROR(VLOOKUP($C346,Datensammler!$B:$AA,19,0),)</f>
        <v/>
      </c>
      <c r="I347" s="179" t="str">
        <f>IFERROR(VLOOKUP($C346,Datensammler!$B:$AA,20,0),)</f>
        <v/>
      </c>
      <c r="J347" s="180">
        <f t="shared" si="113"/>
        <v>0</v>
      </c>
      <c r="K347" s="181"/>
      <c r="L347" s="181"/>
      <c r="M347" s="181"/>
      <c r="N347" s="182"/>
      <c r="T347" s="172"/>
    </row>
    <row r="348" ht="17.25" customHeight="1">
      <c r="A348" s="130"/>
      <c r="B348" s="183"/>
      <c r="C348" s="184" t="str">
        <f>IF(VLOOKUP(T346,Spieler!A:F,6,0)="Nein","keine Bayerische Meisterschaft gewünscht","")</f>
        <v>#N/A</v>
      </c>
      <c r="D348" s="161"/>
      <c r="E348" s="170"/>
      <c r="F348" s="170"/>
      <c r="G348" s="185" t="s">
        <v>2562</v>
      </c>
      <c r="H348" s="186"/>
      <c r="I348" s="186"/>
      <c r="J348" s="186"/>
      <c r="K348" s="186"/>
      <c r="L348" s="187">
        <f t="shared" ref="L348:M348" si="114">SUM(L345:L347)</f>
        <v>0</v>
      </c>
      <c r="M348" s="110">
        <f t="shared" si="114"/>
        <v>0</v>
      </c>
      <c r="N348" s="188" t="str">
        <f>L348/M348</f>
        <v>#DIV/0!</v>
      </c>
      <c r="T348" s="189"/>
    </row>
    <row r="349" ht="17.25" customHeight="1">
      <c r="A349" s="130"/>
      <c r="B349" s="190"/>
      <c r="C349" s="178"/>
      <c r="D349" s="191"/>
      <c r="E349" s="191"/>
      <c r="F349" s="191"/>
      <c r="G349" s="191"/>
      <c r="H349" s="191"/>
      <c r="I349" s="191"/>
      <c r="J349" s="191"/>
      <c r="K349" s="191"/>
      <c r="L349" s="192"/>
      <c r="M349" s="191"/>
      <c r="N349" s="193"/>
      <c r="T349" s="194"/>
    </row>
    <row r="350" ht="17.25" customHeight="1">
      <c r="A350" s="130"/>
      <c r="B350" s="157">
        <f>B344+1</f>
        <v>58</v>
      </c>
      <c r="C350" s="158"/>
      <c r="D350" s="159" t="str">
        <f>VLOOKUP(C352,'Mitglieder BBU'!A:J,6,0)</f>
        <v>#N/A</v>
      </c>
      <c r="E350" s="60"/>
      <c r="F350" s="60"/>
      <c r="G350" s="60"/>
      <c r="H350" s="60"/>
      <c r="I350" s="61"/>
      <c r="J350" s="160"/>
      <c r="K350" s="161"/>
      <c r="L350" s="162"/>
      <c r="M350" s="163"/>
      <c r="N350" s="164"/>
      <c r="T350" s="165"/>
    </row>
    <row r="351" ht="17.25" customHeight="1">
      <c r="A351" s="130"/>
      <c r="B351" s="167"/>
      <c r="C351" s="168" t="str">
        <f>VLOOKUP(C352,'Mitglieder BBU'!A:J,6,0)</f>
        <v>#N/A</v>
      </c>
      <c r="D351" s="110" t="str">
        <f>IFERROR(VLOOKUP($C352,Datensammler!$B:$AA,3,0),)</f>
        <v/>
      </c>
      <c r="E351" s="110" t="str">
        <f>IFERROR(VLOOKUP($C352,Datensammler!$B:$AA,4,0),)</f>
        <v/>
      </c>
      <c r="F351" s="110" t="str">
        <f>IFERROR(VLOOKUP($C352,Datensammler!$B:$AA,5,0),)</f>
        <v/>
      </c>
      <c r="G351" s="110" t="str">
        <f>IFERROR(VLOOKUP($C352,Datensammler!$B:$AA,6,0),)</f>
        <v/>
      </c>
      <c r="H351" s="110" t="str">
        <f>IFERROR(VLOOKUP($C352,Datensammler!$B:$AA,7,0),)</f>
        <v/>
      </c>
      <c r="I351" s="110" t="str">
        <f>IFERROR(VLOOKUP($C352,Datensammler!$B:$AA,8,0),)</f>
        <v/>
      </c>
      <c r="J351" s="169">
        <f t="shared" ref="J351:J353" si="115">SUM(D351:I351)</f>
        <v>0</v>
      </c>
      <c r="K351" s="170" t="str">
        <f>IFERROR(VLOOKUP($C352,Datensammler!$B:$AA,23,0),)</f>
        <v/>
      </c>
      <c r="L351" s="161" t="str">
        <f>IFERROR(VLOOKUP($C352,Datensammler!$B:$AA,24,0),)</f>
        <v/>
      </c>
      <c r="M351" s="170" t="str">
        <f>IFERROR(VLOOKUP($C352,Datensammler!$B:$AA,25,0),)</f>
        <v/>
      </c>
      <c r="N351" s="171" t="str">
        <f>IF(C352=0,"",(VLOOKUP($C352,Datensammler!$B:$AA,26,0)))</f>
        <v>#N/A</v>
      </c>
      <c r="T351" s="172"/>
    </row>
    <row r="352" ht="17.25" customHeight="1">
      <c r="A352" s="130"/>
      <c r="B352" s="174"/>
      <c r="C352" s="175" t="str">
        <f>VLOOKUP(T352,Spieler!A:E,2,0)</f>
        <v>#N/A</v>
      </c>
      <c r="D352" s="170" t="str">
        <f>IFERROR(VLOOKUP($C352,Datensammler!$B:$AA,9,0),)</f>
        <v/>
      </c>
      <c r="E352" s="170" t="str">
        <f>IFERROR(VLOOKUP($C352,Datensammler!$B:$AA,10,0),)</f>
        <v/>
      </c>
      <c r="F352" s="170" t="str">
        <f>IFERROR(VLOOKUP($C352,Datensammler!$B:$AA,11,0),)</f>
        <v/>
      </c>
      <c r="G352" s="170" t="str">
        <f>IFERROR(VLOOKUP($C352,Datensammler!$B:$AA,12,0),)</f>
        <v/>
      </c>
      <c r="H352" s="170" t="str">
        <f>IFERROR(VLOOKUP($C352,Datensammler!$B:$AA,13,0),)</f>
        <v/>
      </c>
      <c r="I352" s="170" t="str">
        <f>IFERROR(VLOOKUP($C352,Datensammler!$B:$AA,14,0),)</f>
        <v/>
      </c>
      <c r="J352" s="169">
        <f t="shared" si="115"/>
        <v>0</v>
      </c>
      <c r="N352" s="176"/>
      <c r="T352" s="177" t="str">
        <f t="array" ref="T352">INDIRECT("Spieler!AD"&amp;B350+5)</f>
        <v/>
      </c>
    </row>
    <row r="353" ht="17.25" customHeight="1">
      <c r="A353" s="130"/>
      <c r="B353" s="167"/>
      <c r="C353" s="178" t="str">
        <f>VLOOKUP(C352,'Mitglieder BBU'!A:K,8,0)</f>
        <v>#N/A</v>
      </c>
      <c r="D353" s="179" t="str">
        <f>IFERROR(VLOOKUP($C352,Datensammler!$B:$AA,15,0),)</f>
        <v/>
      </c>
      <c r="E353" s="179" t="str">
        <f>IFERROR(VLOOKUP($C352,Datensammler!$B:$AA,16,0),)</f>
        <v/>
      </c>
      <c r="F353" s="179" t="str">
        <f>IFERROR(VLOOKUP($C352,Datensammler!$B:$AA,17,0),)</f>
        <v/>
      </c>
      <c r="G353" s="179" t="str">
        <f>IFERROR(VLOOKUP($C352,Datensammler!$B:$AA,18,0),)</f>
        <v/>
      </c>
      <c r="H353" s="179" t="str">
        <f>IFERROR(VLOOKUP($C352,Datensammler!$B:$AA,19,0),)</f>
        <v/>
      </c>
      <c r="I353" s="179" t="str">
        <f>IFERROR(VLOOKUP($C352,Datensammler!$B:$AA,20,0),)</f>
        <v/>
      </c>
      <c r="J353" s="180">
        <f t="shared" si="115"/>
        <v>0</v>
      </c>
      <c r="K353" s="181"/>
      <c r="L353" s="181"/>
      <c r="M353" s="181"/>
      <c r="N353" s="182"/>
      <c r="T353" s="172"/>
    </row>
    <row r="354" ht="17.25" customHeight="1">
      <c r="A354" s="130"/>
      <c r="B354" s="183"/>
      <c r="C354" s="184" t="str">
        <f>IF(VLOOKUP(T352,Spieler!A:F,6,0)="Nein","keine Bayerische Meisterschaft gewünscht","")</f>
        <v>#N/A</v>
      </c>
      <c r="D354" s="161"/>
      <c r="E354" s="170"/>
      <c r="F354" s="170"/>
      <c r="G354" s="185" t="s">
        <v>2562</v>
      </c>
      <c r="H354" s="186"/>
      <c r="I354" s="186"/>
      <c r="J354" s="186"/>
      <c r="K354" s="186"/>
      <c r="L354" s="187">
        <f t="shared" ref="L354:M354" si="116">SUM(L351:L353)</f>
        <v>0</v>
      </c>
      <c r="M354" s="110">
        <f t="shared" si="116"/>
        <v>0</v>
      </c>
      <c r="N354" s="188" t="str">
        <f>L354/M354</f>
        <v>#DIV/0!</v>
      </c>
      <c r="T354" s="189"/>
    </row>
    <row r="355" ht="17.25" customHeight="1">
      <c r="A355" s="130"/>
      <c r="B355" s="190"/>
      <c r="C355" s="178"/>
      <c r="D355" s="191"/>
      <c r="E355" s="191"/>
      <c r="F355" s="191"/>
      <c r="G355" s="191"/>
      <c r="H355" s="191"/>
      <c r="I355" s="191"/>
      <c r="J355" s="191"/>
      <c r="K355" s="191"/>
      <c r="L355" s="192"/>
      <c r="M355" s="191"/>
      <c r="N355" s="193"/>
      <c r="T355" s="194"/>
    </row>
    <row r="356" ht="17.25" customHeight="1">
      <c r="A356" s="130"/>
      <c r="B356" s="157">
        <f>B350+1</f>
        <v>59</v>
      </c>
      <c r="C356" s="158"/>
      <c r="D356" s="159" t="str">
        <f>VLOOKUP(C358,'Mitglieder BBU'!A:J,6,0)</f>
        <v>#N/A</v>
      </c>
      <c r="E356" s="60"/>
      <c r="F356" s="60"/>
      <c r="G356" s="60"/>
      <c r="H356" s="60"/>
      <c r="I356" s="61"/>
      <c r="J356" s="160"/>
      <c r="K356" s="161"/>
      <c r="L356" s="162"/>
      <c r="M356" s="163"/>
      <c r="N356" s="164"/>
      <c r="T356" s="165"/>
    </row>
    <row r="357" ht="17.25" customHeight="1">
      <c r="A357" s="130"/>
      <c r="B357" s="167"/>
      <c r="C357" s="168" t="str">
        <f>VLOOKUP(C358,'Mitglieder BBU'!A:J,6,0)</f>
        <v>#N/A</v>
      </c>
      <c r="D357" s="110" t="str">
        <f>IFERROR(VLOOKUP($C358,Datensammler!$B:$AA,3,0),)</f>
        <v/>
      </c>
      <c r="E357" s="110" t="str">
        <f>IFERROR(VLOOKUP($C358,Datensammler!$B:$AA,4,0),)</f>
        <v/>
      </c>
      <c r="F357" s="110" t="str">
        <f>IFERROR(VLOOKUP($C358,Datensammler!$B:$AA,5,0),)</f>
        <v/>
      </c>
      <c r="G357" s="110" t="str">
        <f>IFERROR(VLOOKUP($C358,Datensammler!$B:$AA,6,0),)</f>
        <v/>
      </c>
      <c r="H357" s="110" t="str">
        <f>IFERROR(VLOOKUP($C358,Datensammler!$B:$AA,7,0),)</f>
        <v/>
      </c>
      <c r="I357" s="110" t="str">
        <f>IFERROR(VLOOKUP($C358,Datensammler!$B:$AA,8,0),)</f>
        <v/>
      </c>
      <c r="J357" s="169">
        <f t="shared" ref="J357:J359" si="117">SUM(D357:I357)</f>
        <v>0</v>
      </c>
      <c r="K357" s="170" t="str">
        <f>IFERROR(VLOOKUP($C358,Datensammler!$B:$AA,23,0),)</f>
        <v/>
      </c>
      <c r="L357" s="161" t="str">
        <f>IFERROR(VLOOKUP($C358,Datensammler!$B:$AA,24,0),)</f>
        <v/>
      </c>
      <c r="M357" s="170" t="str">
        <f>IFERROR(VLOOKUP($C358,Datensammler!$B:$AA,25,0),)</f>
        <v/>
      </c>
      <c r="N357" s="171" t="str">
        <f>IF(C358=0,"",(VLOOKUP($C358,Datensammler!$B:$AA,26,0)))</f>
        <v>#N/A</v>
      </c>
      <c r="T357" s="172"/>
    </row>
    <row r="358" ht="17.25" customHeight="1">
      <c r="A358" s="130"/>
      <c r="B358" s="174"/>
      <c r="C358" s="175" t="str">
        <f>VLOOKUP(T358,Spieler!A:E,2,0)</f>
        <v>#N/A</v>
      </c>
      <c r="D358" s="170" t="str">
        <f>IFERROR(VLOOKUP($C358,Datensammler!$B:$AA,9,0),)</f>
        <v/>
      </c>
      <c r="E358" s="170" t="str">
        <f>IFERROR(VLOOKUP($C358,Datensammler!$B:$AA,10,0),)</f>
        <v/>
      </c>
      <c r="F358" s="170" t="str">
        <f>IFERROR(VLOOKUP($C358,Datensammler!$B:$AA,11,0),)</f>
        <v/>
      </c>
      <c r="G358" s="170" t="str">
        <f>IFERROR(VLOOKUP($C358,Datensammler!$B:$AA,12,0),)</f>
        <v/>
      </c>
      <c r="H358" s="170" t="str">
        <f>IFERROR(VLOOKUP($C358,Datensammler!$B:$AA,13,0),)</f>
        <v/>
      </c>
      <c r="I358" s="170" t="str">
        <f>IFERROR(VLOOKUP($C358,Datensammler!$B:$AA,14,0),)</f>
        <v/>
      </c>
      <c r="J358" s="169">
        <f t="shared" si="117"/>
        <v>0</v>
      </c>
      <c r="N358" s="176"/>
      <c r="T358" s="177" t="str">
        <f t="array" ref="T358">INDIRECT("Spieler!AD"&amp;B356+5)</f>
        <v/>
      </c>
    </row>
    <row r="359" ht="17.25" customHeight="1">
      <c r="A359" s="130"/>
      <c r="B359" s="167"/>
      <c r="C359" s="178" t="str">
        <f>VLOOKUP(C358,'Mitglieder BBU'!A:K,8,0)</f>
        <v>#N/A</v>
      </c>
      <c r="D359" s="179" t="str">
        <f>IFERROR(VLOOKUP($C358,Datensammler!$B:$AA,15,0),)</f>
        <v/>
      </c>
      <c r="E359" s="179" t="str">
        <f>IFERROR(VLOOKUP($C358,Datensammler!$B:$AA,16,0),)</f>
        <v/>
      </c>
      <c r="F359" s="179" t="str">
        <f>IFERROR(VLOOKUP($C358,Datensammler!$B:$AA,17,0),)</f>
        <v/>
      </c>
      <c r="G359" s="179" t="str">
        <f>IFERROR(VLOOKUP($C358,Datensammler!$B:$AA,18,0),)</f>
        <v/>
      </c>
      <c r="H359" s="179" t="str">
        <f>IFERROR(VLOOKUP($C358,Datensammler!$B:$AA,19,0),)</f>
        <v/>
      </c>
      <c r="I359" s="179" t="str">
        <f>IFERROR(VLOOKUP($C358,Datensammler!$B:$AA,20,0),)</f>
        <v/>
      </c>
      <c r="J359" s="180">
        <f t="shared" si="117"/>
        <v>0</v>
      </c>
      <c r="K359" s="181"/>
      <c r="L359" s="181"/>
      <c r="M359" s="181"/>
      <c r="N359" s="182"/>
      <c r="T359" s="172"/>
    </row>
    <row r="360" ht="17.25" customHeight="1">
      <c r="A360" s="130"/>
      <c r="B360" s="183"/>
      <c r="C360" s="184" t="str">
        <f>IF(VLOOKUP(T358,Spieler!A:F,6,0)="Nein","keine Bayerische Meisterschaft gewünscht","")</f>
        <v>#N/A</v>
      </c>
      <c r="D360" s="161"/>
      <c r="E360" s="170"/>
      <c r="F360" s="170"/>
      <c r="G360" s="185" t="s">
        <v>2562</v>
      </c>
      <c r="H360" s="186"/>
      <c r="I360" s="186"/>
      <c r="J360" s="186"/>
      <c r="K360" s="186"/>
      <c r="L360" s="187">
        <f t="shared" ref="L360:M360" si="118">SUM(L357:L359)</f>
        <v>0</v>
      </c>
      <c r="M360" s="110">
        <f t="shared" si="118"/>
        <v>0</v>
      </c>
      <c r="N360" s="188" t="str">
        <f>L360/M360</f>
        <v>#DIV/0!</v>
      </c>
      <c r="T360" s="189"/>
    </row>
    <row r="361" ht="17.25" customHeight="1">
      <c r="A361" s="130"/>
      <c r="B361" s="190"/>
      <c r="C361" s="178"/>
      <c r="D361" s="191"/>
      <c r="E361" s="191"/>
      <c r="F361" s="191"/>
      <c r="G361" s="191"/>
      <c r="H361" s="191"/>
      <c r="I361" s="191"/>
      <c r="J361" s="191"/>
      <c r="K361" s="191"/>
      <c r="L361" s="192"/>
      <c r="M361" s="191"/>
      <c r="N361" s="193"/>
      <c r="T361" s="194"/>
    </row>
    <row r="362" ht="17.25" customHeight="1">
      <c r="A362" s="130"/>
      <c r="B362" s="157">
        <f>B356+1</f>
        <v>60</v>
      </c>
      <c r="C362" s="158"/>
      <c r="D362" s="159" t="str">
        <f>VLOOKUP(C364,'Mitglieder BBU'!A:J,6,0)</f>
        <v>#N/A</v>
      </c>
      <c r="E362" s="60"/>
      <c r="F362" s="60"/>
      <c r="G362" s="60"/>
      <c r="H362" s="60"/>
      <c r="I362" s="61"/>
      <c r="J362" s="160"/>
      <c r="K362" s="161"/>
      <c r="L362" s="162"/>
      <c r="M362" s="163"/>
      <c r="N362" s="164"/>
      <c r="T362" s="165"/>
    </row>
    <row r="363" ht="17.25" customHeight="1">
      <c r="A363" s="130"/>
      <c r="B363" s="167"/>
      <c r="C363" s="168" t="str">
        <f>VLOOKUP(C364,'Mitglieder BBU'!A:J,6,0)</f>
        <v>#N/A</v>
      </c>
      <c r="D363" s="110" t="str">
        <f>IFERROR(VLOOKUP($C364,Datensammler!$B:$AA,3,0),)</f>
        <v/>
      </c>
      <c r="E363" s="110" t="str">
        <f>IFERROR(VLOOKUP($C364,Datensammler!$B:$AA,4,0),)</f>
        <v/>
      </c>
      <c r="F363" s="110" t="str">
        <f>IFERROR(VLOOKUP($C364,Datensammler!$B:$AA,5,0),)</f>
        <v/>
      </c>
      <c r="G363" s="110" t="str">
        <f>IFERROR(VLOOKUP($C364,Datensammler!$B:$AA,6,0),)</f>
        <v/>
      </c>
      <c r="H363" s="110" t="str">
        <f>IFERROR(VLOOKUP($C364,Datensammler!$B:$AA,7,0),)</f>
        <v/>
      </c>
      <c r="I363" s="110" t="str">
        <f>IFERROR(VLOOKUP($C364,Datensammler!$B:$AA,8,0),)</f>
        <v/>
      </c>
      <c r="J363" s="169">
        <f t="shared" ref="J363:J365" si="119">SUM(D363:I363)</f>
        <v>0</v>
      </c>
      <c r="K363" s="170" t="str">
        <f>IFERROR(VLOOKUP($C364,Datensammler!$B:$AA,23,0),)</f>
        <v/>
      </c>
      <c r="L363" s="161" t="str">
        <f>IFERROR(VLOOKUP($C364,Datensammler!$B:$AA,24,0),)</f>
        <v/>
      </c>
      <c r="M363" s="170" t="str">
        <f>IFERROR(VLOOKUP($C364,Datensammler!$B:$AA,25,0),)</f>
        <v/>
      </c>
      <c r="N363" s="171" t="str">
        <f>IF(C364=0,"",(VLOOKUP($C364,Datensammler!$B:$AA,26,0)))</f>
        <v>#N/A</v>
      </c>
      <c r="T363" s="172"/>
    </row>
    <row r="364" ht="17.25" customHeight="1">
      <c r="A364" s="130"/>
      <c r="B364" s="174"/>
      <c r="C364" s="175" t="str">
        <f>VLOOKUP(T364,Spieler!A:E,2,0)</f>
        <v>#N/A</v>
      </c>
      <c r="D364" s="170" t="str">
        <f>IFERROR(VLOOKUP($C364,Datensammler!$B:$AA,9,0),)</f>
        <v/>
      </c>
      <c r="E364" s="170" t="str">
        <f>IFERROR(VLOOKUP($C364,Datensammler!$B:$AA,10,0),)</f>
        <v/>
      </c>
      <c r="F364" s="170" t="str">
        <f>IFERROR(VLOOKUP($C364,Datensammler!$B:$AA,11,0),)</f>
        <v/>
      </c>
      <c r="G364" s="170" t="str">
        <f>IFERROR(VLOOKUP($C364,Datensammler!$B:$AA,12,0),)</f>
        <v/>
      </c>
      <c r="H364" s="170" t="str">
        <f>IFERROR(VLOOKUP($C364,Datensammler!$B:$AA,13,0),)</f>
        <v/>
      </c>
      <c r="I364" s="170" t="str">
        <f>IFERROR(VLOOKUP($C364,Datensammler!$B:$AA,14,0),)</f>
        <v/>
      </c>
      <c r="J364" s="169">
        <f t="shared" si="119"/>
        <v>0</v>
      </c>
      <c r="N364" s="176"/>
      <c r="T364" s="177" t="str">
        <f t="array" ref="T364">INDIRECT("Spieler!AD"&amp;B362+5)</f>
        <v/>
      </c>
    </row>
    <row r="365" ht="17.25" customHeight="1">
      <c r="A365" s="130"/>
      <c r="B365" s="167"/>
      <c r="C365" s="178" t="str">
        <f>VLOOKUP(C364,'Mitglieder BBU'!A:K,8,0)</f>
        <v>#N/A</v>
      </c>
      <c r="D365" s="179" t="str">
        <f>IFERROR(VLOOKUP($C364,Datensammler!$B:$AA,15,0),)</f>
        <v/>
      </c>
      <c r="E365" s="179" t="str">
        <f>IFERROR(VLOOKUP($C364,Datensammler!$B:$AA,16,0),)</f>
        <v/>
      </c>
      <c r="F365" s="179" t="str">
        <f>IFERROR(VLOOKUP($C364,Datensammler!$B:$AA,17,0),)</f>
        <v/>
      </c>
      <c r="G365" s="179" t="str">
        <f>IFERROR(VLOOKUP($C364,Datensammler!$B:$AA,18,0),)</f>
        <v/>
      </c>
      <c r="H365" s="179" t="str">
        <f>IFERROR(VLOOKUP($C364,Datensammler!$B:$AA,19,0),)</f>
        <v/>
      </c>
      <c r="I365" s="179" t="str">
        <f>IFERROR(VLOOKUP($C364,Datensammler!$B:$AA,20,0),)</f>
        <v/>
      </c>
      <c r="J365" s="180">
        <f t="shared" si="119"/>
        <v>0</v>
      </c>
      <c r="K365" s="181"/>
      <c r="L365" s="181"/>
      <c r="M365" s="181"/>
      <c r="N365" s="182"/>
      <c r="T365" s="172"/>
    </row>
    <row r="366" ht="17.25" customHeight="1">
      <c r="A366" s="130"/>
      <c r="B366" s="183"/>
      <c r="C366" s="184" t="str">
        <f>IF(VLOOKUP(T364,Spieler!A:F,6,0)="Nein","keine Bayerische Meisterschaft gewünscht","")</f>
        <v>#N/A</v>
      </c>
      <c r="D366" s="161"/>
      <c r="E366" s="170"/>
      <c r="F366" s="170"/>
      <c r="G366" s="185" t="s">
        <v>2562</v>
      </c>
      <c r="H366" s="186"/>
      <c r="I366" s="186"/>
      <c r="J366" s="186"/>
      <c r="K366" s="186"/>
      <c r="L366" s="187">
        <f t="shared" ref="L366:M366" si="120">SUM(L363:L365)</f>
        <v>0</v>
      </c>
      <c r="M366" s="110">
        <f t="shared" si="120"/>
        <v>0</v>
      </c>
      <c r="N366" s="188" t="str">
        <f>L366/M366</f>
        <v>#DIV/0!</v>
      </c>
      <c r="T366" s="189"/>
    </row>
    <row r="367" ht="17.25" customHeight="1">
      <c r="A367" s="130"/>
      <c r="B367" s="190"/>
      <c r="C367" s="178"/>
      <c r="D367" s="191"/>
      <c r="E367" s="191"/>
      <c r="F367" s="191"/>
      <c r="G367" s="191"/>
      <c r="H367" s="191"/>
      <c r="I367" s="191"/>
      <c r="J367" s="191"/>
      <c r="K367" s="110"/>
      <c r="L367" s="187"/>
      <c r="M367" s="110"/>
      <c r="N367" s="188"/>
      <c r="T367" s="194"/>
    </row>
    <row r="368" ht="17.25" customHeight="1">
      <c r="A368" s="130"/>
      <c r="B368" s="157">
        <f>B362+1</f>
        <v>61</v>
      </c>
      <c r="C368" s="158"/>
      <c r="D368" s="159" t="str">
        <f>VLOOKUP(C370,'Mitglieder BBU'!A:J,6,0)</f>
        <v>#N/A</v>
      </c>
      <c r="E368" s="60"/>
      <c r="F368" s="60"/>
      <c r="G368" s="60"/>
      <c r="H368" s="60"/>
      <c r="I368" s="61"/>
      <c r="J368" s="160"/>
      <c r="K368" s="161"/>
      <c r="L368" s="162"/>
      <c r="M368" s="163"/>
      <c r="N368" s="164"/>
      <c r="T368" s="165"/>
    </row>
    <row r="369" ht="17.25" customHeight="1">
      <c r="A369" s="130"/>
      <c r="B369" s="167"/>
      <c r="C369" s="168" t="str">
        <f>VLOOKUP(C370,'Mitglieder BBU'!A:J,6,0)</f>
        <v>#N/A</v>
      </c>
      <c r="D369" s="110" t="str">
        <f>IFERROR(VLOOKUP($C370,Datensammler!$B:$AA,3,0),)</f>
        <v/>
      </c>
      <c r="E369" s="110" t="str">
        <f>IFERROR(VLOOKUP($C370,Datensammler!$B:$AA,4,0),)</f>
        <v/>
      </c>
      <c r="F369" s="110" t="str">
        <f>IFERROR(VLOOKUP($C370,Datensammler!$B:$AA,5,0),)</f>
        <v/>
      </c>
      <c r="G369" s="110" t="str">
        <f>IFERROR(VLOOKUP($C370,Datensammler!$B:$AA,6,0),)</f>
        <v/>
      </c>
      <c r="H369" s="110" t="str">
        <f>IFERROR(VLOOKUP($C370,Datensammler!$B:$AA,7,0),)</f>
        <v/>
      </c>
      <c r="I369" s="110" t="str">
        <f>IFERROR(VLOOKUP($C370,Datensammler!$B:$AA,8,0),)</f>
        <v/>
      </c>
      <c r="J369" s="169">
        <f t="shared" ref="J369:J371" si="121">SUM(D369:I369)</f>
        <v>0</v>
      </c>
      <c r="K369" s="170" t="str">
        <f>IFERROR(VLOOKUP($C370,Datensammler!$B:$AA,23,0),)</f>
        <v/>
      </c>
      <c r="L369" s="161" t="str">
        <f>IFERROR(VLOOKUP($C370,Datensammler!$B:$AA,24,0),)</f>
        <v/>
      </c>
      <c r="M369" s="170" t="str">
        <f>IFERROR(VLOOKUP($C370,Datensammler!$B:$AA,25,0),)</f>
        <v/>
      </c>
      <c r="N369" s="171" t="str">
        <f>IF(C370=0,"",(VLOOKUP($C370,Datensammler!$B:$AA,26,0)))</f>
        <v>#N/A</v>
      </c>
      <c r="T369" s="172"/>
    </row>
    <row r="370" ht="17.25" customHeight="1">
      <c r="A370" s="130"/>
      <c r="B370" s="174"/>
      <c r="C370" s="175" t="str">
        <f>VLOOKUP(T370,Spieler!A:E,2,0)</f>
        <v>#N/A</v>
      </c>
      <c r="D370" s="170" t="str">
        <f>IFERROR(VLOOKUP($C370,Datensammler!$B:$AA,9,0),)</f>
        <v/>
      </c>
      <c r="E370" s="170" t="str">
        <f>IFERROR(VLOOKUP($C370,Datensammler!$B:$AA,10,0),)</f>
        <v/>
      </c>
      <c r="F370" s="170" t="str">
        <f>IFERROR(VLOOKUP($C370,Datensammler!$B:$AA,11,0),)</f>
        <v/>
      </c>
      <c r="G370" s="170" t="str">
        <f>IFERROR(VLOOKUP($C370,Datensammler!$B:$AA,12,0),)</f>
        <v/>
      </c>
      <c r="H370" s="170" t="str">
        <f>IFERROR(VLOOKUP($C370,Datensammler!$B:$AA,13,0),)</f>
        <v/>
      </c>
      <c r="I370" s="170" t="str">
        <f>IFERROR(VLOOKUP($C370,Datensammler!$B:$AA,14,0),)</f>
        <v/>
      </c>
      <c r="J370" s="169">
        <f t="shared" si="121"/>
        <v>0</v>
      </c>
      <c r="N370" s="176"/>
      <c r="T370" s="177" t="str">
        <f t="array" ref="T370">INDIRECT("Spieler!AD"&amp;B368+5)</f>
        <v/>
      </c>
    </row>
    <row r="371" ht="17.25" customHeight="1">
      <c r="A371" s="130"/>
      <c r="B371" s="167"/>
      <c r="C371" s="178" t="str">
        <f>VLOOKUP(C370,'Mitglieder BBU'!A:K,8,0)</f>
        <v>#N/A</v>
      </c>
      <c r="D371" s="179" t="str">
        <f>IFERROR(VLOOKUP($C370,Datensammler!$B:$AA,15,0),)</f>
        <v/>
      </c>
      <c r="E371" s="179" t="str">
        <f>IFERROR(VLOOKUP($C370,Datensammler!$B:$AA,16,0),)</f>
        <v/>
      </c>
      <c r="F371" s="179" t="str">
        <f>IFERROR(VLOOKUP($C370,Datensammler!$B:$AA,17,0),)</f>
        <v/>
      </c>
      <c r="G371" s="179" t="str">
        <f>IFERROR(VLOOKUP($C370,Datensammler!$B:$AA,18,0),)</f>
        <v/>
      </c>
      <c r="H371" s="179" t="str">
        <f>IFERROR(VLOOKUP($C370,Datensammler!$B:$AA,19,0),)</f>
        <v/>
      </c>
      <c r="I371" s="179" t="str">
        <f>IFERROR(VLOOKUP($C370,Datensammler!$B:$AA,20,0),)</f>
        <v/>
      </c>
      <c r="J371" s="180">
        <f t="shared" si="121"/>
        <v>0</v>
      </c>
      <c r="K371" s="181"/>
      <c r="L371" s="181"/>
      <c r="M371" s="181"/>
      <c r="N371" s="182"/>
      <c r="T371" s="172"/>
    </row>
    <row r="372" ht="17.25" customHeight="1">
      <c r="A372" s="130"/>
      <c r="B372" s="183"/>
      <c r="C372" s="184" t="str">
        <f>IF(VLOOKUP(T370,Spieler!A:F,6,0)="Nein","keine Bayerische Meisterschaft gewünscht","")</f>
        <v>#N/A</v>
      </c>
      <c r="D372" s="161"/>
      <c r="E372" s="170"/>
      <c r="F372" s="170"/>
      <c r="G372" s="185" t="s">
        <v>2562</v>
      </c>
      <c r="H372" s="186"/>
      <c r="I372" s="186"/>
      <c r="J372" s="186"/>
      <c r="K372" s="186"/>
      <c r="L372" s="187">
        <f t="shared" ref="L372:M372" si="122">SUM(L369:L371)</f>
        <v>0</v>
      </c>
      <c r="M372" s="110">
        <f t="shared" si="122"/>
        <v>0</v>
      </c>
      <c r="N372" s="188" t="str">
        <f>L372/M372</f>
        <v>#DIV/0!</v>
      </c>
      <c r="T372" s="189"/>
    </row>
    <row r="373" ht="17.25" customHeight="1">
      <c r="A373" s="130"/>
      <c r="B373" s="190"/>
      <c r="C373" s="178"/>
      <c r="D373" s="191"/>
      <c r="E373" s="191"/>
      <c r="F373" s="191"/>
      <c r="G373" s="191"/>
      <c r="H373" s="191"/>
      <c r="I373" s="191"/>
      <c r="J373" s="191"/>
      <c r="K373" s="191"/>
      <c r="L373" s="192"/>
      <c r="M373" s="191"/>
      <c r="N373" s="193"/>
      <c r="T373" s="194"/>
    </row>
    <row r="374" ht="17.25" customHeight="1">
      <c r="A374" s="130"/>
      <c r="B374" s="157">
        <f>B368+1</f>
        <v>62</v>
      </c>
      <c r="C374" s="158"/>
      <c r="D374" s="159" t="str">
        <f>VLOOKUP(C376,'Mitglieder BBU'!A:J,6,0)</f>
        <v>#N/A</v>
      </c>
      <c r="E374" s="60"/>
      <c r="F374" s="60"/>
      <c r="G374" s="60"/>
      <c r="H374" s="60"/>
      <c r="I374" s="61"/>
      <c r="J374" s="160"/>
      <c r="K374" s="161"/>
      <c r="L374" s="162"/>
      <c r="M374" s="163"/>
      <c r="N374" s="164"/>
      <c r="T374" s="165"/>
    </row>
    <row r="375" ht="17.25" customHeight="1">
      <c r="A375" s="130"/>
      <c r="B375" s="167"/>
      <c r="C375" s="168" t="str">
        <f>VLOOKUP(C376,'Mitglieder BBU'!A:J,6,0)</f>
        <v>#N/A</v>
      </c>
      <c r="D375" s="110" t="str">
        <f>IFERROR(VLOOKUP($C376,Datensammler!$B:$AA,3,0),)</f>
        <v/>
      </c>
      <c r="E375" s="110" t="str">
        <f>IFERROR(VLOOKUP($C376,Datensammler!$B:$AA,4,0),)</f>
        <v/>
      </c>
      <c r="F375" s="110" t="str">
        <f>IFERROR(VLOOKUP($C376,Datensammler!$B:$AA,5,0),)</f>
        <v/>
      </c>
      <c r="G375" s="110" t="str">
        <f>IFERROR(VLOOKUP($C376,Datensammler!$B:$AA,6,0),)</f>
        <v/>
      </c>
      <c r="H375" s="110" t="str">
        <f>IFERROR(VLOOKUP($C376,Datensammler!$B:$AA,7,0),)</f>
        <v/>
      </c>
      <c r="I375" s="110" t="str">
        <f>IFERROR(VLOOKUP($C376,Datensammler!$B:$AA,8,0),)</f>
        <v/>
      </c>
      <c r="J375" s="169">
        <f t="shared" ref="J375:J377" si="123">SUM(D375:I375)</f>
        <v>0</v>
      </c>
      <c r="K375" s="170" t="str">
        <f>IFERROR(VLOOKUP($C376,Datensammler!$B:$AA,23,0),)</f>
        <v/>
      </c>
      <c r="L375" s="161" t="str">
        <f>IFERROR(VLOOKUP($C376,Datensammler!$B:$AA,24,0),)</f>
        <v/>
      </c>
      <c r="M375" s="170" t="str">
        <f>IFERROR(VLOOKUP($C376,Datensammler!$B:$AA,25,0),)</f>
        <v/>
      </c>
      <c r="N375" s="171" t="str">
        <f>IF(C376=0,"",(VLOOKUP($C376,Datensammler!$B:$AA,26,0)))</f>
        <v>#N/A</v>
      </c>
      <c r="T375" s="172"/>
    </row>
    <row r="376" ht="17.25" customHeight="1">
      <c r="A376" s="130"/>
      <c r="B376" s="174"/>
      <c r="C376" s="175" t="str">
        <f>VLOOKUP(T376,Spieler!A:E,2,0)</f>
        <v>#N/A</v>
      </c>
      <c r="D376" s="170" t="str">
        <f>IFERROR(VLOOKUP($C376,Datensammler!$B:$AA,9,0),)</f>
        <v/>
      </c>
      <c r="E376" s="170" t="str">
        <f>IFERROR(VLOOKUP($C376,Datensammler!$B:$AA,10,0),)</f>
        <v/>
      </c>
      <c r="F376" s="170" t="str">
        <f>IFERROR(VLOOKUP($C376,Datensammler!$B:$AA,11,0),)</f>
        <v/>
      </c>
      <c r="G376" s="170" t="str">
        <f>IFERROR(VLOOKUP($C376,Datensammler!$B:$AA,12,0),)</f>
        <v/>
      </c>
      <c r="H376" s="170" t="str">
        <f>IFERROR(VLOOKUP($C376,Datensammler!$B:$AA,13,0),)</f>
        <v/>
      </c>
      <c r="I376" s="170" t="str">
        <f>IFERROR(VLOOKUP($C376,Datensammler!$B:$AA,14,0),)</f>
        <v/>
      </c>
      <c r="J376" s="169">
        <f t="shared" si="123"/>
        <v>0</v>
      </c>
      <c r="N376" s="176"/>
      <c r="T376" s="177" t="str">
        <f t="array" ref="T376">INDIRECT("Spieler!AD"&amp;B374+5)</f>
        <v/>
      </c>
    </row>
    <row r="377" ht="17.25" customHeight="1">
      <c r="A377" s="130"/>
      <c r="B377" s="167"/>
      <c r="C377" s="178" t="str">
        <f>VLOOKUP(C376,'Mitglieder BBU'!A:K,8,0)</f>
        <v>#N/A</v>
      </c>
      <c r="D377" s="179" t="str">
        <f>IFERROR(VLOOKUP($C376,Datensammler!$B:$AA,15,0),)</f>
        <v/>
      </c>
      <c r="E377" s="179" t="str">
        <f>IFERROR(VLOOKUP($C376,Datensammler!$B:$AA,16,0),)</f>
        <v/>
      </c>
      <c r="F377" s="179" t="str">
        <f>IFERROR(VLOOKUP($C376,Datensammler!$B:$AA,17,0),)</f>
        <v/>
      </c>
      <c r="G377" s="179" t="str">
        <f>IFERROR(VLOOKUP($C376,Datensammler!$B:$AA,18,0),)</f>
        <v/>
      </c>
      <c r="H377" s="179" t="str">
        <f>IFERROR(VLOOKUP($C376,Datensammler!$B:$AA,19,0),)</f>
        <v/>
      </c>
      <c r="I377" s="179" t="str">
        <f>IFERROR(VLOOKUP($C376,Datensammler!$B:$AA,20,0),)</f>
        <v/>
      </c>
      <c r="J377" s="180">
        <f t="shared" si="123"/>
        <v>0</v>
      </c>
      <c r="K377" s="181"/>
      <c r="L377" s="181"/>
      <c r="M377" s="181"/>
      <c r="N377" s="182"/>
      <c r="T377" s="172"/>
    </row>
    <row r="378" ht="17.25" customHeight="1">
      <c r="A378" s="130"/>
      <c r="B378" s="183"/>
      <c r="C378" s="184" t="str">
        <f>IF(VLOOKUP(T376,Spieler!A:F,6,0)="Nein","keine Bayerische Meisterschaft gewünscht","")</f>
        <v>#N/A</v>
      </c>
      <c r="D378" s="161"/>
      <c r="E378" s="170"/>
      <c r="F378" s="170"/>
      <c r="G378" s="185" t="s">
        <v>2562</v>
      </c>
      <c r="H378" s="186"/>
      <c r="I378" s="186"/>
      <c r="J378" s="186"/>
      <c r="K378" s="186"/>
      <c r="L378" s="187">
        <f t="shared" ref="L378:M378" si="124">SUM(L375:L377)</f>
        <v>0</v>
      </c>
      <c r="M378" s="110">
        <f t="shared" si="124"/>
        <v>0</v>
      </c>
      <c r="N378" s="188" t="str">
        <f>L378/M378</f>
        <v>#DIV/0!</v>
      </c>
      <c r="T378" s="189"/>
    </row>
    <row r="379" ht="17.25" customHeight="1">
      <c r="A379" s="130"/>
      <c r="B379" s="190"/>
      <c r="C379" s="178"/>
      <c r="D379" s="191"/>
      <c r="E379" s="191"/>
      <c r="F379" s="191"/>
      <c r="G379" s="191"/>
      <c r="H379" s="191"/>
      <c r="I379" s="191"/>
      <c r="J379" s="191"/>
      <c r="K379" s="191"/>
      <c r="L379" s="192"/>
      <c r="M379" s="191"/>
      <c r="N379" s="193"/>
      <c r="T379" s="194"/>
    </row>
    <row r="380" ht="17.25" customHeight="1">
      <c r="A380" s="130"/>
      <c r="B380" s="157">
        <f>B374+1</f>
        <v>63</v>
      </c>
      <c r="C380" s="158"/>
      <c r="D380" s="159" t="str">
        <f>VLOOKUP(C382,'Mitglieder BBU'!A:J,6,0)</f>
        <v>#N/A</v>
      </c>
      <c r="E380" s="60"/>
      <c r="F380" s="60"/>
      <c r="G380" s="60"/>
      <c r="H380" s="60"/>
      <c r="I380" s="61"/>
      <c r="J380" s="160"/>
      <c r="K380" s="161"/>
      <c r="L380" s="162"/>
      <c r="M380" s="163"/>
      <c r="N380" s="164"/>
      <c r="T380" s="165"/>
    </row>
    <row r="381" ht="17.25" customHeight="1">
      <c r="A381" s="130"/>
      <c r="B381" s="167"/>
      <c r="C381" s="168" t="str">
        <f>VLOOKUP(C382,'Mitglieder BBU'!A:J,6,0)</f>
        <v>#N/A</v>
      </c>
      <c r="D381" s="110" t="str">
        <f>IFERROR(VLOOKUP($C382,Datensammler!$B:$AA,3,0),)</f>
        <v/>
      </c>
      <c r="E381" s="110" t="str">
        <f>IFERROR(VLOOKUP($C382,Datensammler!$B:$AA,4,0),)</f>
        <v/>
      </c>
      <c r="F381" s="110" t="str">
        <f>IFERROR(VLOOKUP($C382,Datensammler!$B:$AA,5,0),)</f>
        <v/>
      </c>
      <c r="G381" s="110" t="str">
        <f>IFERROR(VLOOKUP($C382,Datensammler!$B:$AA,6,0),)</f>
        <v/>
      </c>
      <c r="H381" s="110" t="str">
        <f>IFERROR(VLOOKUP($C382,Datensammler!$B:$AA,7,0),)</f>
        <v/>
      </c>
      <c r="I381" s="110" t="str">
        <f>IFERROR(VLOOKUP($C382,Datensammler!$B:$AA,8,0),)</f>
        <v/>
      </c>
      <c r="J381" s="169">
        <f t="shared" ref="J381:J383" si="125">SUM(D381:I381)</f>
        <v>0</v>
      </c>
      <c r="K381" s="170" t="str">
        <f>IFERROR(VLOOKUP($C382,Datensammler!$B:$AA,23,0),)</f>
        <v/>
      </c>
      <c r="L381" s="161" t="str">
        <f>IFERROR(VLOOKUP($C382,Datensammler!$B:$AA,24,0),)</f>
        <v/>
      </c>
      <c r="M381" s="170" t="str">
        <f>IFERROR(VLOOKUP($C382,Datensammler!$B:$AA,25,0),)</f>
        <v/>
      </c>
      <c r="N381" s="171" t="str">
        <f>IF(C382=0,"",(VLOOKUP($C382,Datensammler!$B:$AA,26,0)))</f>
        <v>#N/A</v>
      </c>
      <c r="T381" s="172"/>
    </row>
    <row r="382" ht="17.25" customHeight="1">
      <c r="A382" s="130"/>
      <c r="B382" s="174"/>
      <c r="C382" s="175" t="str">
        <f>VLOOKUP(T382,Spieler!A:E,2,0)</f>
        <v>#N/A</v>
      </c>
      <c r="D382" s="170" t="str">
        <f>IFERROR(VLOOKUP($C382,Datensammler!$B:$AA,9,0),)</f>
        <v/>
      </c>
      <c r="E382" s="170" t="str">
        <f>IFERROR(VLOOKUP($C382,Datensammler!$B:$AA,10,0),)</f>
        <v/>
      </c>
      <c r="F382" s="170" t="str">
        <f>IFERROR(VLOOKUP($C382,Datensammler!$B:$AA,11,0),)</f>
        <v/>
      </c>
      <c r="G382" s="170" t="str">
        <f>IFERROR(VLOOKUP($C382,Datensammler!$B:$AA,12,0),)</f>
        <v/>
      </c>
      <c r="H382" s="170" t="str">
        <f>IFERROR(VLOOKUP($C382,Datensammler!$B:$AA,13,0),)</f>
        <v/>
      </c>
      <c r="I382" s="170" t="str">
        <f>IFERROR(VLOOKUP($C382,Datensammler!$B:$AA,14,0),)</f>
        <v/>
      </c>
      <c r="J382" s="169">
        <f t="shared" si="125"/>
        <v>0</v>
      </c>
      <c r="N382" s="176"/>
      <c r="T382" s="177" t="str">
        <f t="array" ref="T382">INDIRECT("Spieler!AD"&amp;B380+5)</f>
        <v/>
      </c>
    </row>
    <row r="383" ht="17.25" customHeight="1">
      <c r="A383" s="130"/>
      <c r="B383" s="167"/>
      <c r="C383" s="178" t="str">
        <f>VLOOKUP(C382,'Mitglieder BBU'!A:K,8,0)</f>
        <v>#N/A</v>
      </c>
      <c r="D383" s="179" t="str">
        <f>IFERROR(VLOOKUP($C382,Datensammler!$B:$AA,15,0),)</f>
        <v/>
      </c>
      <c r="E383" s="179" t="str">
        <f>IFERROR(VLOOKUP($C382,Datensammler!$B:$AA,16,0),)</f>
        <v/>
      </c>
      <c r="F383" s="179" t="str">
        <f>IFERROR(VLOOKUP($C382,Datensammler!$B:$AA,17,0),)</f>
        <v/>
      </c>
      <c r="G383" s="179" t="str">
        <f>IFERROR(VLOOKUP($C382,Datensammler!$B:$AA,18,0),)</f>
        <v/>
      </c>
      <c r="H383" s="179" t="str">
        <f>IFERROR(VLOOKUP($C382,Datensammler!$B:$AA,19,0),)</f>
        <v/>
      </c>
      <c r="I383" s="179" t="str">
        <f>IFERROR(VLOOKUP($C382,Datensammler!$B:$AA,20,0),)</f>
        <v/>
      </c>
      <c r="J383" s="180">
        <f t="shared" si="125"/>
        <v>0</v>
      </c>
      <c r="K383" s="181"/>
      <c r="L383" s="181"/>
      <c r="M383" s="181"/>
      <c r="N383" s="182"/>
      <c r="T383" s="172"/>
    </row>
    <row r="384" ht="17.25" customHeight="1">
      <c r="A384" s="130"/>
      <c r="B384" s="183"/>
      <c r="C384" s="184" t="str">
        <f>IF(VLOOKUP(T382,Spieler!A:F,6,0)="Nein","keine Bayerische Meisterschaft gewünscht","")</f>
        <v>#N/A</v>
      </c>
      <c r="D384" s="161"/>
      <c r="E384" s="170"/>
      <c r="F384" s="170"/>
      <c r="G384" s="185" t="s">
        <v>2562</v>
      </c>
      <c r="H384" s="186"/>
      <c r="I384" s="186"/>
      <c r="J384" s="186"/>
      <c r="K384" s="186"/>
      <c r="L384" s="187">
        <f t="shared" ref="L384:M384" si="126">SUM(L381:L383)</f>
        <v>0</v>
      </c>
      <c r="M384" s="110">
        <f t="shared" si="126"/>
        <v>0</v>
      </c>
      <c r="N384" s="188" t="str">
        <f>L384/M384</f>
        <v>#DIV/0!</v>
      </c>
      <c r="T384" s="189"/>
    </row>
    <row r="385" ht="17.25" customHeight="1">
      <c r="A385" s="130"/>
      <c r="B385" s="190"/>
      <c r="C385" s="178"/>
      <c r="D385" s="191"/>
      <c r="E385" s="191"/>
      <c r="F385" s="191"/>
      <c r="G385" s="191"/>
      <c r="H385" s="191"/>
      <c r="I385" s="191"/>
      <c r="J385" s="191"/>
      <c r="K385" s="191"/>
      <c r="L385" s="192"/>
      <c r="M385" s="191"/>
      <c r="N385" s="193"/>
      <c r="T385" s="194"/>
    </row>
    <row r="386" ht="17.25" customHeight="1">
      <c r="A386" s="130"/>
      <c r="B386" s="157">
        <f>B380+1</f>
        <v>64</v>
      </c>
      <c r="C386" s="158"/>
      <c r="D386" s="159" t="str">
        <f>VLOOKUP(C388,'Mitglieder BBU'!A:J,6,0)</f>
        <v>#N/A</v>
      </c>
      <c r="E386" s="60"/>
      <c r="F386" s="60"/>
      <c r="G386" s="60"/>
      <c r="H386" s="60"/>
      <c r="I386" s="61"/>
      <c r="J386" s="160"/>
      <c r="K386" s="161"/>
      <c r="L386" s="162"/>
      <c r="M386" s="163"/>
      <c r="N386" s="164"/>
      <c r="T386" s="165"/>
    </row>
    <row r="387" ht="17.25" customHeight="1">
      <c r="A387" s="130"/>
      <c r="B387" s="167"/>
      <c r="C387" s="168" t="str">
        <f>VLOOKUP(C388,'Mitglieder BBU'!A:J,6,0)</f>
        <v>#N/A</v>
      </c>
      <c r="D387" s="110" t="str">
        <f>IFERROR(VLOOKUP($C388,Datensammler!$B:$AA,3,0),)</f>
        <v/>
      </c>
      <c r="E387" s="110" t="str">
        <f>IFERROR(VLOOKUP($C388,Datensammler!$B:$AA,4,0),)</f>
        <v/>
      </c>
      <c r="F387" s="110" t="str">
        <f>IFERROR(VLOOKUP($C388,Datensammler!$B:$AA,5,0),)</f>
        <v/>
      </c>
      <c r="G387" s="110" t="str">
        <f>IFERROR(VLOOKUP($C388,Datensammler!$B:$AA,6,0),)</f>
        <v/>
      </c>
      <c r="H387" s="110" t="str">
        <f>IFERROR(VLOOKUP($C388,Datensammler!$B:$AA,7,0),)</f>
        <v/>
      </c>
      <c r="I387" s="110" t="str">
        <f>IFERROR(VLOOKUP($C388,Datensammler!$B:$AA,8,0),)</f>
        <v/>
      </c>
      <c r="J387" s="169">
        <f t="shared" ref="J387:J389" si="127">SUM(D387:I387)</f>
        <v>0</v>
      </c>
      <c r="K387" s="170" t="str">
        <f>IFERROR(VLOOKUP($C388,Datensammler!$B:$AA,23,0),)</f>
        <v/>
      </c>
      <c r="L387" s="161" t="str">
        <f>IFERROR(VLOOKUP($C388,Datensammler!$B:$AA,24,0),)</f>
        <v/>
      </c>
      <c r="M387" s="170" t="str">
        <f>IFERROR(VLOOKUP($C388,Datensammler!$B:$AA,25,0),)</f>
        <v/>
      </c>
      <c r="N387" s="171" t="str">
        <f>IF(C388=0,"",(VLOOKUP($C388,Datensammler!$B:$AA,26,0)))</f>
        <v>#N/A</v>
      </c>
      <c r="T387" s="172"/>
    </row>
    <row r="388" ht="17.25" customHeight="1">
      <c r="A388" s="130"/>
      <c r="B388" s="174"/>
      <c r="C388" s="175" t="str">
        <f>VLOOKUP(T388,Spieler!A:E,2,0)</f>
        <v>#N/A</v>
      </c>
      <c r="D388" s="170" t="str">
        <f>IFERROR(VLOOKUP($C388,Datensammler!$B:$AA,9,0),)</f>
        <v/>
      </c>
      <c r="E388" s="170" t="str">
        <f>IFERROR(VLOOKUP($C388,Datensammler!$B:$AA,10,0),)</f>
        <v/>
      </c>
      <c r="F388" s="170" t="str">
        <f>IFERROR(VLOOKUP($C388,Datensammler!$B:$AA,11,0),)</f>
        <v/>
      </c>
      <c r="G388" s="170" t="str">
        <f>IFERROR(VLOOKUP($C388,Datensammler!$B:$AA,12,0),)</f>
        <v/>
      </c>
      <c r="H388" s="170" t="str">
        <f>IFERROR(VLOOKUP($C388,Datensammler!$B:$AA,13,0),)</f>
        <v/>
      </c>
      <c r="I388" s="170" t="str">
        <f>IFERROR(VLOOKUP($C388,Datensammler!$B:$AA,14,0),)</f>
        <v/>
      </c>
      <c r="J388" s="169">
        <f t="shared" si="127"/>
        <v>0</v>
      </c>
      <c r="N388" s="176"/>
      <c r="T388" s="177" t="str">
        <f t="array" ref="T388">INDIRECT("Spieler!AD"&amp;B386+5)</f>
        <v/>
      </c>
    </row>
    <row r="389" ht="17.25" customHeight="1">
      <c r="A389" s="130"/>
      <c r="B389" s="167"/>
      <c r="C389" s="178" t="str">
        <f>VLOOKUP(C388,'Mitglieder BBU'!A:K,8,0)</f>
        <v>#N/A</v>
      </c>
      <c r="D389" s="179" t="str">
        <f>IFERROR(VLOOKUP($C388,Datensammler!$B:$AA,15,0),)</f>
        <v/>
      </c>
      <c r="E389" s="179" t="str">
        <f>IFERROR(VLOOKUP($C388,Datensammler!$B:$AA,16,0),)</f>
        <v/>
      </c>
      <c r="F389" s="179" t="str">
        <f>IFERROR(VLOOKUP($C388,Datensammler!$B:$AA,17,0),)</f>
        <v/>
      </c>
      <c r="G389" s="179" t="str">
        <f>IFERROR(VLOOKUP($C388,Datensammler!$B:$AA,18,0),)</f>
        <v/>
      </c>
      <c r="H389" s="179" t="str">
        <f>IFERROR(VLOOKUP($C388,Datensammler!$B:$AA,19,0),)</f>
        <v/>
      </c>
      <c r="I389" s="179" t="str">
        <f>IFERROR(VLOOKUP($C388,Datensammler!$B:$AA,20,0),)</f>
        <v/>
      </c>
      <c r="J389" s="180">
        <f t="shared" si="127"/>
        <v>0</v>
      </c>
      <c r="K389" s="181"/>
      <c r="L389" s="181"/>
      <c r="M389" s="181"/>
      <c r="N389" s="182"/>
      <c r="T389" s="172"/>
    </row>
    <row r="390" ht="17.25" customHeight="1">
      <c r="A390" s="130"/>
      <c r="B390" s="183"/>
      <c r="C390" s="184" t="str">
        <f>IF(VLOOKUP(T388,Spieler!A:F,6,0)="Nein","keine Bayerische Meisterschaft gewünscht","")</f>
        <v>#N/A</v>
      </c>
      <c r="D390" s="161"/>
      <c r="E390" s="170"/>
      <c r="F390" s="170"/>
      <c r="G390" s="185" t="s">
        <v>2562</v>
      </c>
      <c r="H390" s="186"/>
      <c r="I390" s="186"/>
      <c r="J390" s="186"/>
      <c r="K390" s="186"/>
      <c r="L390" s="187">
        <f t="shared" ref="L390:M390" si="128">SUM(L387:L389)</f>
        <v>0</v>
      </c>
      <c r="M390" s="110">
        <f t="shared" si="128"/>
        <v>0</v>
      </c>
      <c r="N390" s="188" t="str">
        <f>L390/M390</f>
        <v>#DIV/0!</v>
      </c>
      <c r="T390" s="189"/>
    </row>
    <row r="391" ht="17.25" customHeight="1">
      <c r="A391" s="130"/>
      <c r="B391" s="190"/>
      <c r="C391" s="178"/>
      <c r="D391" s="191"/>
      <c r="E391" s="191"/>
      <c r="F391" s="191"/>
      <c r="G391" s="191"/>
      <c r="H391" s="191"/>
      <c r="I391" s="191"/>
      <c r="J391" s="191"/>
      <c r="K391" s="191"/>
      <c r="L391" s="192"/>
      <c r="M391" s="191"/>
      <c r="N391" s="193"/>
      <c r="T391" s="194"/>
    </row>
    <row r="392" ht="17.25" customHeight="1">
      <c r="A392" s="130"/>
      <c r="B392" s="157">
        <f>B386+1</f>
        <v>65</v>
      </c>
      <c r="C392" s="158"/>
      <c r="D392" s="159" t="str">
        <f>VLOOKUP(C394,'Mitglieder BBU'!A:J,6,0)</f>
        <v>#N/A</v>
      </c>
      <c r="E392" s="60"/>
      <c r="F392" s="60"/>
      <c r="G392" s="60"/>
      <c r="H392" s="60"/>
      <c r="I392" s="61"/>
      <c r="J392" s="160"/>
      <c r="K392" s="161"/>
      <c r="L392" s="162"/>
      <c r="M392" s="163"/>
      <c r="N392" s="164"/>
      <c r="T392" s="165"/>
    </row>
    <row r="393" ht="17.25" customHeight="1">
      <c r="A393" s="130"/>
      <c r="B393" s="167"/>
      <c r="C393" s="168" t="str">
        <f>VLOOKUP(C394,'Mitglieder BBU'!A:J,6,0)</f>
        <v>#N/A</v>
      </c>
      <c r="D393" s="110" t="str">
        <f>IFERROR(VLOOKUP($C394,Datensammler!$B:$AA,3,0),)</f>
        <v/>
      </c>
      <c r="E393" s="110" t="str">
        <f>IFERROR(VLOOKUP($C394,Datensammler!$B:$AA,4,0),)</f>
        <v/>
      </c>
      <c r="F393" s="110" t="str">
        <f>IFERROR(VLOOKUP($C394,Datensammler!$B:$AA,5,0),)</f>
        <v/>
      </c>
      <c r="G393" s="110" t="str">
        <f>IFERROR(VLOOKUP($C394,Datensammler!$B:$AA,6,0),)</f>
        <v/>
      </c>
      <c r="H393" s="110" t="str">
        <f>IFERROR(VLOOKUP($C394,Datensammler!$B:$AA,7,0),)</f>
        <v/>
      </c>
      <c r="I393" s="110" t="str">
        <f>IFERROR(VLOOKUP($C394,Datensammler!$B:$AA,8,0),)</f>
        <v/>
      </c>
      <c r="J393" s="169">
        <f t="shared" ref="J393:J395" si="129">SUM(D393:I393)</f>
        <v>0</v>
      </c>
      <c r="K393" s="170" t="str">
        <f>IFERROR(VLOOKUP($C394,Datensammler!$B:$AA,23,0),)</f>
        <v/>
      </c>
      <c r="L393" s="161" t="str">
        <f>IFERROR(VLOOKUP($C394,Datensammler!$B:$AA,24,0),)</f>
        <v/>
      </c>
      <c r="M393" s="170" t="str">
        <f>IFERROR(VLOOKUP($C394,Datensammler!$B:$AA,25,0),)</f>
        <v/>
      </c>
      <c r="N393" s="171" t="str">
        <f>IF(C394=0,"",(VLOOKUP($C394,Datensammler!$B:$AA,26,0)))</f>
        <v>#N/A</v>
      </c>
      <c r="T393" s="172"/>
    </row>
    <row r="394" ht="17.25" customHeight="1">
      <c r="A394" s="130"/>
      <c r="B394" s="174"/>
      <c r="C394" s="175" t="str">
        <f>VLOOKUP(T394,Spieler!A:E,2,0)</f>
        <v>#N/A</v>
      </c>
      <c r="D394" s="170" t="str">
        <f>IFERROR(VLOOKUP($C394,Datensammler!$B:$AA,9,0),)</f>
        <v/>
      </c>
      <c r="E394" s="170" t="str">
        <f>IFERROR(VLOOKUP($C394,Datensammler!$B:$AA,10,0),)</f>
        <v/>
      </c>
      <c r="F394" s="170" t="str">
        <f>IFERROR(VLOOKUP($C394,Datensammler!$B:$AA,11,0),)</f>
        <v/>
      </c>
      <c r="G394" s="170" t="str">
        <f>IFERROR(VLOOKUP($C394,Datensammler!$B:$AA,12,0),)</f>
        <v/>
      </c>
      <c r="H394" s="170" t="str">
        <f>IFERROR(VLOOKUP($C394,Datensammler!$B:$AA,13,0),)</f>
        <v/>
      </c>
      <c r="I394" s="170" t="str">
        <f>IFERROR(VLOOKUP($C394,Datensammler!$B:$AA,14,0),)</f>
        <v/>
      </c>
      <c r="J394" s="169">
        <f t="shared" si="129"/>
        <v>0</v>
      </c>
      <c r="N394" s="176"/>
      <c r="T394" s="177" t="str">
        <f t="array" ref="T394">INDIRECT("Spieler!AD"&amp;B392+5)</f>
        <v/>
      </c>
    </row>
    <row r="395" ht="17.25" customHeight="1">
      <c r="A395" s="130"/>
      <c r="B395" s="167"/>
      <c r="C395" s="178" t="str">
        <f>VLOOKUP(C394,'Mitglieder BBU'!A:K,8,0)</f>
        <v>#N/A</v>
      </c>
      <c r="D395" s="179" t="str">
        <f>IFERROR(VLOOKUP($C394,Datensammler!$B:$AA,15,0),)</f>
        <v/>
      </c>
      <c r="E395" s="179" t="str">
        <f>IFERROR(VLOOKUP($C394,Datensammler!$B:$AA,16,0),)</f>
        <v/>
      </c>
      <c r="F395" s="179" t="str">
        <f>IFERROR(VLOOKUP($C394,Datensammler!$B:$AA,17,0),)</f>
        <v/>
      </c>
      <c r="G395" s="179" t="str">
        <f>IFERROR(VLOOKUP($C394,Datensammler!$B:$AA,18,0),)</f>
        <v/>
      </c>
      <c r="H395" s="179" t="str">
        <f>IFERROR(VLOOKUP($C394,Datensammler!$B:$AA,19,0),)</f>
        <v/>
      </c>
      <c r="I395" s="179" t="str">
        <f>IFERROR(VLOOKUP($C394,Datensammler!$B:$AA,20,0),)</f>
        <v/>
      </c>
      <c r="J395" s="180">
        <f t="shared" si="129"/>
        <v>0</v>
      </c>
      <c r="K395" s="181"/>
      <c r="L395" s="181"/>
      <c r="M395" s="181"/>
      <c r="N395" s="182"/>
      <c r="T395" s="172"/>
    </row>
    <row r="396" ht="17.25" customHeight="1">
      <c r="A396" s="130"/>
      <c r="B396" s="183"/>
      <c r="C396" s="184" t="str">
        <f>IF(VLOOKUP(T394,Spieler!A:F,6,0)="Nein","keine Bayerische Meisterschaft gewünscht","")</f>
        <v>#N/A</v>
      </c>
      <c r="D396" s="161"/>
      <c r="E396" s="170"/>
      <c r="F396" s="170"/>
      <c r="G396" s="185" t="s">
        <v>2562</v>
      </c>
      <c r="H396" s="186"/>
      <c r="I396" s="186"/>
      <c r="J396" s="186"/>
      <c r="K396" s="186"/>
      <c r="L396" s="187">
        <f t="shared" ref="L396:M396" si="130">SUM(L393:L395)</f>
        <v>0</v>
      </c>
      <c r="M396" s="110">
        <f t="shared" si="130"/>
        <v>0</v>
      </c>
      <c r="N396" s="188" t="str">
        <f>L396/M396</f>
        <v>#DIV/0!</v>
      </c>
      <c r="T396" s="189"/>
    </row>
    <row r="397" ht="17.25" customHeight="1">
      <c r="A397" s="130"/>
      <c r="B397" s="190"/>
      <c r="C397" s="178"/>
      <c r="D397" s="191"/>
      <c r="E397" s="191"/>
      <c r="F397" s="191"/>
      <c r="G397" s="191"/>
      <c r="H397" s="191"/>
      <c r="I397" s="191"/>
      <c r="J397" s="191"/>
      <c r="K397" s="110"/>
      <c r="L397" s="187"/>
      <c r="M397" s="110"/>
      <c r="N397" s="188"/>
      <c r="T397" s="194"/>
    </row>
    <row r="398" ht="17.25" customHeight="1">
      <c r="A398" s="130"/>
      <c r="B398" s="157">
        <f>B392+1</f>
        <v>66</v>
      </c>
      <c r="C398" s="158"/>
      <c r="D398" s="159" t="str">
        <f>VLOOKUP(C400,'Mitglieder BBU'!A:J,6,0)</f>
        <v>#N/A</v>
      </c>
      <c r="E398" s="60"/>
      <c r="F398" s="60"/>
      <c r="G398" s="60"/>
      <c r="H398" s="60"/>
      <c r="I398" s="61"/>
      <c r="J398" s="160"/>
      <c r="K398" s="161"/>
      <c r="L398" s="162"/>
      <c r="M398" s="163"/>
      <c r="N398" s="164"/>
      <c r="T398" s="165"/>
    </row>
    <row r="399" ht="17.25" customHeight="1">
      <c r="A399" s="130"/>
      <c r="B399" s="167"/>
      <c r="C399" s="168" t="str">
        <f>VLOOKUP(C400,'Mitglieder BBU'!A:J,6,0)</f>
        <v>#N/A</v>
      </c>
      <c r="D399" s="110" t="str">
        <f>IFERROR(VLOOKUP($C400,Datensammler!$B:$AA,3,0),)</f>
        <v/>
      </c>
      <c r="E399" s="110" t="str">
        <f>IFERROR(VLOOKUP($C400,Datensammler!$B:$AA,4,0),)</f>
        <v/>
      </c>
      <c r="F399" s="110" t="str">
        <f>IFERROR(VLOOKUP($C400,Datensammler!$B:$AA,5,0),)</f>
        <v/>
      </c>
      <c r="G399" s="110" t="str">
        <f>IFERROR(VLOOKUP($C400,Datensammler!$B:$AA,6,0),)</f>
        <v/>
      </c>
      <c r="H399" s="110" t="str">
        <f>IFERROR(VLOOKUP($C400,Datensammler!$B:$AA,7,0),)</f>
        <v/>
      </c>
      <c r="I399" s="110" t="str">
        <f>IFERROR(VLOOKUP($C400,Datensammler!$B:$AA,8,0),)</f>
        <v/>
      </c>
      <c r="J399" s="169">
        <f t="shared" ref="J399:J401" si="131">SUM(D399:I399)</f>
        <v>0</v>
      </c>
      <c r="K399" s="170" t="str">
        <f>IFERROR(VLOOKUP($C400,Datensammler!$B:$AA,23,0),)</f>
        <v/>
      </c>
      <c r="L399" s="161" t="str">
        <f>IFERROR(VLOOKUP($C400,Datensammler!$B:$AA,24,0),)</f>
        <v/>
      </c>
      <c r="M399" s="170" t="str">
        <f>IFERROR(VLOOKUP($C400,Datensammler!$B:$AA,25,0),)</f>
        <v/>
      </c>
      <c r="N399" s="171" t="str">
        <f>IF(C400=0,"",(VLOOKUP($C400,Datensammler!$B:$AA,26,0)))</f>
        <v>#N/A</v>
      </c>
      <c r="T399" s="172"/>
    </row>
    <row r="400" ht="17.25" customHeight="1">
      <c r="A400" s="130"/>
      <c r="B400" s="174"/>
      <c r="C400" s="175" t="str">
        <f>VLOOKUP(T400,Spieler!A:E,2,0)</f>
        <v>#N/A</v>
      </c>
      <c r="D400" s="170" t="str">
        <f>IFERROR(VLOOKUP($C400,Datensammler!$B:$AA,9,0),)</f>
        <v/>
      </c>
      <c r="E400" s="170" t="str">
        <f>IFERROR(VLOOKUP($C400,Datensammler!$B:$AA,10,0),)</f>
        <v/>
      </c>
      <c r="F400" s="170" t="str">
        <f>IFERROR(VLOOKUP($C400,Datensammler!$B:$AA,11,0),)</f>
        <v/>
      </c>
      <c r="G400" s="170" t="str">
        <f>IFERROR(VLOOKUP($C400,Datensammler!$B:$AA,12,0),)</f>
        <v/>
      </c>
      <c r="H400" s="170" t="str">
        <f>IFERROR(VLOOKUP($C400,Datensammler!$B:$AA,13,0),)</f>
        <v/>
      </c>
      <c r="I400" s="170" t="str">
        <f>IFERROR(VLOOKUP($C400,Datensammler!$B:$AA,14,0),)</f>
        <v/>
      </c>
      <c r="J400" s="169">
        <f t="shared" si="131"/>
        <v>0</v>
      </c>
      <c r="N400" s="176"/>
      <c r="T400" s="177" t="str">
        <f t="array" ref="T400">INDIRECT("Spieler!AD"&amp;B398+5)</f>
        <v/>
      </c>
    </row>
    <row r="401" ht="17.25" customHeight="1">
      <c r="A401" s="212"/>
      <c r="B401" s="167"/>
      <c r="C401" s="178" t="str">
        <f>VLOOKUP(C400,'Mitglieder BBU'!A:K,8,0)</f>
        <v>#N/A</v>
      </c>
      <c r="D401" s="179" t="str">
        <f>IFERROR(VLOOKUP($C400,Datensammler!$B:$AA,15,0),)</f>
        <v/>
      </c>
      <c r="E401" s="179" t="str">
        <f>IFERROR(VLOOKUP($C400,Datensammler!$B:$AA,16,0),)</f>
        <v/>
      </c>
      <c r="F401" s="179" t="str">
        <f>IFERROR(VLOOKUP($C400,Datensammler!$B:$AA,17,0),)</f>
        <v/>
      </c>
      <c r="G401" s="179" t="str">
        <f>IFERROR(VLOOKUP($C400,Datensammler!$B:$AA,18,0),)</f>
        <v/>
      </c>
      <c r="H401" s="179" t="str">
        <f>IFERROR(VLOOKUP($C400,Datensammler!$B:$AA,19,0),)</f>
        <v/>
      </c>
      <c r="I401" s="179" t="str">
        <f>IFERROR(VLOOKUP($C400,Datensammler!$B:$AA,20,0),)</f>
        <v/>
      </c>
      <c r="J401" s="180">
        <f t="shared" si="131"/>
        <v>0</v>
      </c>
      <c r="K401" s="181"/>
      <c r="L401" s="181"/>
      <c r="M401" s="181"/>
      <c r="N401" s="182"/>
      <c r="T401" s="172"/>
    </row>
    <row r="402" ht="17.25" customHeight="1">
      <c r="A402" s="212"/>
      <c r="B402" s="183"/>
      <c r="C402" s="184" t="str">
        <f>IF(VLOOKUP(T400,Spieler!A:F,6,0)="Nein","keine Bayerische Meisterschaft gewünscht","")</f>
        <v>#N/A</v>
      </c>
      <c r="D402" s="161"/>
      <c r="E402" s="170"/>
      <c r="F402" s="170"/>
      <c r="G402" s="185" t="s">
        <v>2562</v>
      </c>
      <c r="H402" s="186"/>
      <c r="I402" s="186"/>
      <c r="J402" s="186"/>
      <c r="K402" s="186"/>
      <c r="L402" s="187">
        <f t="shared" ref="L402:M402" si="132">SUM(L399:L401)</f>
        <v>0</v>
      </c>
      <c r="M402" s="110">
        <f t="shared" si="132"/>
        <v>0</v>
      </c>
      <c r="N402" s="188" t="str">
        <f>L402/M402</f>
        <v>#DIV/0!</v>
      </c>
      <c r="T402" s="189"/>
    </row>
    <row r="403" ht="17.25" customHeight="1">
      <c r="A403" s="212"/>
      <c r="B403" s="190"/>
      <c r="C403" s="178"/>
      <c r="D403" s="191"/>
      <c r="E403" s="191"/>
      <c r="F403" s="191"/>
      <c r="G403" s="191"/>
      <c r="H403" s="191"/>
      <c r="I403" s="191"/>
      <c r="J403" s="191"/>
      <c r="K403" s="191"/>
      <c r="L403" s="192"/>
      <c r="M403" s="191"/>
      <c r="N403" s="193"/>
      <c r="T403" s="194"/>
    </row>
    <row r="404" ht="17.25" customHeight="1">
      <c r="A404" s="212"/>
      <c r="B404" s="157">
        <f>B398+1</f>
        <v>67</v>
      </c>
      <c r="C404" s="158"/>
      <c r="D404" s="159" t="str">
        <f>VLOOKUP(C406,'Mitglieder BBU'!A:J,6,0)</f>
        <v>#N/A</v>
      </c>
      <c r="E404" s="60"/>
      <c r="F404" s="60"/>
      <c r="G404" s="60"/>
      <c r="H404" s="60"/>
      <c r="I404" s="61"/>
      <c r="J404" s="160"/>
      <c r="K404" s="161"/>
      <c r="L404" s="162"/>
      <c r="M404" s="163"/>
      <c r="N404" s="164"/>
      <c r="T404" s="165"/>
    </row>
    <row r="405" ht="17.25" customHeight="1">
      <c r="A405" s="212"/>
      <c r="B405" s="167"/>
      <c r="C405" s="168" t="str">
        <f>VLOOKUP(C406,'Mitglieder BBU'!A:J,6,0)</f>
        <v>#N/A</v>
      </c>
      <c r="D405" s="110" t="str">
        <f>IFERROR(VLOOKUP($C406,Datensammler!$B:$AA,3,0),)</f>
        <v/>
      </c>
      <c r="E405" s="110" t="str">
        <f>IFERROR(VLOOKUP($C406,Datensammler!$B:$AA,4,0),)</f>
        <v/>
      </c>
      <c r="F405" s="110" t="str">
        <f>IFERROR(VLOOKUP($C406,Datensammler!$B:$AA,5,0),)</f>
        <v/>
      </c>
      <c r="G405" s="110" t="str">
        <f>IFERROR(VLOOKUP($C406,Datensammler!$B:$AA,6,0),)</f>
        <v/>
      </c>
      <c r="H405" s="110" t="str">
        <f>IFERROR(VLOOKUP($C406,Datensammler!$B:$AA,7,0),)</f>
        <v/>
      </c>
      <c r="I405" s="110" t="str">
        <f>IFERROR(VLOOKUP($C406,Datensammler!$B:$AA,8,0),)</f>
        <v/>
      </c>
      <c r="J405" s="169">
        <f t="shared" ref="J405:J407" si="133">SUM(D405:I405)</f>
        <v>0</v>
      </c>
      <c r="K405" s="170" t="str">
        <f>IFERROR(VLOOKUP($C406,Datensammler!$B:$AA,23,0),)</f>
        <v/>
      </c>
      <c r="L405" s="161" t="str">
        <f>IFERROR(VLOOKUP($C406,Datensammler!$B:$AA,24,0),)</f>
        <v/>
      </c>
      <c r="M405" s="170" t="str">
        <f>IFERROR(VLOOKUP($C406,Datensammler!$B:$AA,25,0),)</f>
        <v/>
      </c>
      <c r="N405" s="171" t="str">
        <f>IF(C406=0,"",(VLOOKUP($C406,Datensammler!$B:$AA,26,0)))</f>
        <v>#N/A</v>
      </c>
      <c r="T405" s="172"/>
    </row>
    <row r="406" ht="17.25" customHeight="1">
      <c r="A406" s="212"/>
      <c r="B406" s="174"/>
      <c r="C406" s="175" t="str">
        <f>VLOOKUP(T406,Spieler!A:E,2,0)</f>
        <v>#N/A</v>
      </c>
      <c r="D406" s="170" t="str">
        <f>IFERROR(VLOOKUP($C406,Datensammler!$B:$AA,9,0),)</f>
        <v/>
      </c>
      <c r="E406" s="170" t="str">
        <f>IFERROR(VLOOKUP($C406,Datensammler!$B:$AA,10,0),)</f>
        <v/>
      </c>
      <c r="F406" s="170" t="str">
        <f>IFERROR(VLOOKUP($C406,Datensammler!$B:$AA,11,0),)</f>
        <v/>
      </c>
      <c r="G406" s="170" t="str">
        <f>IFERROR(VLOOKUP($C406,Datensammler!$B:$AA,12,0),)</f>
        <v/>
      </c>
      <c r="H406" s="170" t="str">
        <f>IFERROR(VLOOKUP($C406,Datensammler!$B:$AA,13,0),)</f>
        <v/>
      </c>
      <c r="I406" s="170" t="str">
        <f>IFERROR(VLOOKUP($C406,Datensammler!$B:$AA,14,0),)</f>
        <v/>
      </c>
      <c r="J406" s="169">
        <f t="shared" si="133"/>
        <v>0</v>
      </c>
      <c r="N406" s="176"/>
      <c r="T406" s="177" t="str">
        <f t="array" ref="T406">INDIRECT("Spieler!AD"&amp;B404+5)</f>
        <v/>
      </c>
    </row>
    <row r="407" ht="17.25" customHeight="1">
      <c r="A407" s="212"/>
      <c r="B407" s="167"/>
      <c r="C407" s="178" t="str">
        <f>VLOOKUP(C406,'Mitglieder BBU'!A:K,8,0)</f>
        <v>#N/A</v>
      </c>
      <c r="D407" s="179" t="str">
        <f>IFERROR(VLOOKUP($C406,Datensammler!$B:$AA,15,0),)</f>
        <v/>
      </c>
      <c r="E407" s="179" t="str">
        <f>IFERROR(VLOOKUP($C406,Datensammler!$B:$AA,16,0),)</f>
        <v/>
      </c>
      <c r="F407" s="179" t="str">
        <f>IFERROR(VLOOKUP($C406,Datensammler!$B:$AA,17,0),)</f>
        <v/>
      </c>
      <c r="G407" s="179" t="str">
        <f>IFERROR(VLOOKUP($C406,Datensammler!$B:$AA,18,0),)</f>
        <v/>
      </c>
      <c r="H407" s="179" t="str">
        <f>IFERROR(VLOOKUP($C406,Datensammler!$B:$AA,19,0),)</f>
        <v/>
      </c>
      <c r="I407" s="179" t="str">
        <f>IFERROR(VLOOKUP($C406,Datensammler!$B:$AA,20,0),)</f>
        <v/>
      </c>
      <c r="J407" s="180">
        <f t="shared" si="133"/>
        <v>0</v>
      </c>
      <c r="K407" s="181"/>
      <c r="L407" s="181"/>
      <c r="M407" s="181"/>
      <c r="N407" s="182"/>
      <c r="T407" s="172"/>
    </row>
    <row r="408" ht="17.25" customHeight="1">
      <c r="A408" s="212"/>
      <c r="B408" s="183"/>
      <c r="C408" s="184" t="str">
        <f>IF(VLOOKUP(T406,Spieler!A:F,6,0)="Nein","keine Bayerische Meisterschaft gewünscht","")</f>
        <v>#N/A</v>
      </c>
      <c r="D408" s="161"/>
      <c r="E408" s="170"/>
      <c r="F408" s="170"/>
      <c r="G408" s="185" t="s">
        <v>2562</v>
      </c>
      <c r="H408" s="186"/>
      <c r="I408" s="186"/>
      <c r="J408" s="186"/>
      <c r="K408" s="186"/>
      <c r="L408" s="187">
        <f t="shared" ref="L408:M408" si="134">SUM(L405:L407)</f>
        <v>0</v>
      </c>
      <c r="M408" s="110">
        <f t="shared" si="134"/>
        <v>0</v>
      </c>
      <c r="N408" s="188" t="str">
        <f>L408/M408</f>
        <v>#DIV/0!</v>
      </c>
      <c r="T408" s="189"/>
    </row>
    <row r="409" ht="17.25" customHeight="1">
      <c r="A409" s="212"/>
      <c r="B409" s="190"/>
      <c r="C409" s="178"/>
      <c r="D409" s="191"/>
      <c r="E409" s="191"/>
      <c r="F409" s="191"/>
      <c r="G409" s="191"/>
      <c r="H409" s="191"/>
      <c r="I409" s="191"/>
      <c r="J409" s="191"/>
      <c r="K409" s="191"/>
      <c r="L409" s="192"/>
      <c r="M409" s="191"/>
      <c r="N409" s="193"/>
      <c r="T409" s="194"/>
    </row>
    <row r="410" ht="17.25" customHeight="1">
      <c r="A410" s="212"/>
      <c r="B410" s="157">
        <f>B404+1</f>
        <v>68</v>
      </c>
      <c r="C410" s="158"/>
      <c r="D410" s="159" t="str">
        <f>VLOOKUP(C412,'Mitglieder BBU'!A:J,6,0)</f>
        <v>#N/A</v>
      </c>
      <c r="E410" s="60"/>
      <c r="F410" s="60"/>
      <c r="G410" s="60"/>
      <c r="H410" s="60"/>
      <c r="I410" s="61"/>
      <c r="J410" s="160"/>
      <c r="K410" s="161"/>
      <c r="L410" s="162"/>
      <c r="M410" s="163"/>
      <c r="N410" s="164"/>
      <c r="T410" s="165"/>
    </row>
    <row r="411" ht="17.25" customHeight="1">
      <c r="A411" s="212"/>
      <c r="B411" s="167"/>
      <c r="C411" s="168" t="str">
        <f>VLOOKUP(C412,'Mitglieder BBU'!A:J,6,0)</f>
        <v>#N/A</v>
      </c>
      <c r="D411" s="110" t="str">
        <f>IFERROR(VLOOKUP($C412,Datensammler!$B:$AA,3,0),)</f>
        <v/>
      </c>
      <c r="E411" s="110" t="str">
        <f>IFERROR(VLOOKUP($C412,Datensammler!$B:$AA,4,0),)</f>
        <v/>
      </c>
      <c r="F411" s="110" t="str">
        <f>IFERROR(VLOOKUP($C412,Datensammler!$B:$AA,5,0),)</f>
        <v/>
      </c>
      <c r="G411" s="110" t="str">
        <f>IFERROR(VLOOKUP($C412,Datensammler!$B:$AA,6,0),)</f>
        <v/>
      </c>
      <c r="H411" s="110" t="str">
        <f>IFERROR(VLOOKUP($C412,Datensammler!$B:$AA,7,0),)</f>
        <v/>
      </c>
      <c r="I411" s="110" t="str">
        <f>IFERROR(VLOOKUP($C412,Datensammler!$B:$AA,8,0),)</f>
        <v/>
      </c>
      <c r="J411" s="169">
        <f t="shared" ref="J411:J413" si="135">SUM(D411:I411)</f>
        <v>0</v>
      </c>
      <c r="K411" s="170" t="str">
        <f>IFERROR(VLOOKUP($C412,Datensammler!$B:$AA,23,0),)</f>
        <v/>
      </c>
      <c r="L411" s="161" t="str">
        <f>IFERROR(VLOOKUP($C412,Datensammler!$B:$AA,24,0),)</f>
        <v/>
      </c>
      <c r="M411" s="170" t="str">
        <f>IFERROR(VLOOKUP($C412,Datensammler!$B:$AA,25,0),)</f>
        <v/>
      </c>
      <c r="N411" s="171" t="str">
        <f>IF(C412=0,"",(VLOOKUP($C412,Datensammler!$B:$AA,26,0)))</f>
        <v>#N/A</v>
      </c>
      <c r="T411" s="172"/>
    </row>
    <row r="412" ht="17.25" customHeight="1">
      <c r="A412" s="212"/>
      <c r="B412" s="174"/>
      <c r="C412" s="175" t="str">
        <f>VLOOKUP(T412,Spieler!A:E,2,0)</f>
        <v>#N/A</v>
      </c>
      <c r="D412" s="170" t="str">
        <f>IFERROR(VLOOKUP($C412,Datensammler!$B:$AA,9,0),)</f>
        <v/>
      </c>
      <c r="E412" s="170" t="str">
        <f>IFERROR(VLOOKUP($C412,Datensammler!$B:$AA,10,0),)</f>
        <v/>
      </c>
      <c r="F412" s="170" t="str">
        <f>IFERROR(VLOOKUP($C412,Datensammler!$B:$AA,11,0),)</f>
        <v/>
      </c>
      <c r="G412" s="170" t="str">
        <f>IFERROR(VLOOKUP($C412,Datensammler!$B:$AA,12,0),)</f>
        <v/>
      </c>
      <c r="H412" s="170" t="str">
        <f>IFERROR(VLOOKUP($C412,Datensammler!$B:$AA,13,0),)</f>
        <v/>
      </c>
      <c r="I412" s="170" t="str">
        <f>IFERROR(VLOOKUP($C412,Datensammler!$B:$AA,14,0),)</f>
        <v/>
      </c>
      <c r="J412" s="169">
        <f t="shared" si="135"/>
        <v>0</v>
      </c>
      <c r="N412" s="176"/>
      <c r="T412" s="177" t="str">
        <f t="array" ref="T412">INDIRECT("Spieler!AD"&amp;B410+5)</f>
        <v/>
      </c>
    </row>
    <row r="413" ht="17.25" customHeight="1">
      <c r="A413" s="212"/>
      <c r="B413" s="167"/>
      <c r="C413" s="178" t="str">
        <f>VLOOKUP(C412,'Mitglieder BBU'!A:K,8,0)</f>
        <v>#N/A</v>
      </c>
      <c r="D413" s="179" t="str">
        <f>IFERROR(VLOOKUP($C412,Datensammler!$B:$AA,15,0),)</f>
        <v/>
      </c>
      <c r="E413" s="179" t="str">
        <f>IFERROR(VLOOKUP($C412,Datensammler!$B:$AA,16,0),)</f>
        <v/>
      </c>
      <c r="F413" s="179" t="str">
        <f>IFERROR(VLOOKUP($C412,Datensammler!$B:$AA,17,0),)</f>
        <v/>
      </c>
      <c r="G413" s="179" t="str">
        <f>IFERROR(VLOOKUP($C412,Datensammler!$B:$AA,18,0),)</f>
        <v/>
      </c>
      <c r="H413" s="179" t="str">
        <f>IFERROR(VLOOKUP($C412,Datensammler!$B:$AA,19,0),)</f>
        <v/>
      </c>
      <c r="I413" s="179" t="str">
        <f>IFERROR(VLOOKUP($C412,Datensammler!$B:$AA,20,0),)</f>
        <v/>
      </c>
      <c r="J413" s="180">
        <f t="shared" si="135"/>
        <v>0</v>
      </c>
      <c r="K413" s="181"/>
      <c r="L413" s="181"/>
      <c r="M413" s="181"/>
      <c r="N413" s="182"/>
      <c r="T413" s="172"/>
    </row>
    <row r="414" ht="17.25" customHeight="1">
      <c r="A414" s="212"/>
      <c r="B414" s="183"/>
      <c r="C414" s="184" t="str">
        <f>IF(VLOOKUP(T412,Spieler!A:F,6,0)="Nein","keine Bayerische Meisterschaft gewünscht","")</f>
        <v>#N/A</v>
      </c>
      <c r="D414" s="161"/>
      <c r="E414" s="170"/>
      <c r="F414" s="170"/>
      <c r="G414" s="185" t="s">
        <v>2562</v>
      </c>
      <c r="H414" s="186"/>
      <c r="I414" s="186"/>
      <c r="J414" s="186"/>
      <c r="K414" s="186"/>
      <c r="L414" s="187">
        <f t="shared" ref="L414:M414" si="136">SUM(L411:L413)</f>
        <v>0</v>
      </c>
      <c r="M414" s="110">
        <f t="shared" si="136"/>
        <v>0</v>
      </c>
      <c r="N414" s="188" t="str">
        <f>L414/M414</f>
        <v>#DIV/0!</v>
      </c>
      <c r="T414" s="189"/>
    </row>
    <row r="415" ht="17.25" customHeight="1">
      <c r="A415" s="212"/>
      <c r="B415" s="190"/>
      <c r="C415" s="178"/>
      <c r="D415" s="191"/>
      <c r="E415" s="191"/>
      <c r="F415" s="191"/>
      <c r="G415" s="191"/>
      <c r="H415" s="191"/>
      <c r="I415" s="191"/>
      <c r="J415" s="191"/>
      <c r="K415" s="191"/>
      <c r="L415" s="192"/>
      <c r="M415" s="191"/>
      <c r="N415" s="193"/>
      <c r="T415" s="194"/>
    </row>
    <row r="416" ht="17.25" customHeight="1">
      <c r="A416" s="212"/>
      <c r="B416" s="157">
        <f>B410+1</f>
        <v>69</v>
      </c>
      <c r="C416" s="158"/>
      <c r="D416" s="159" t="str">
        <f>VLOOKUP(C418,'Mitglieder BBU'!A:J,6,0)</f>
        <v>#N/A</v>
      </c>
      <c r="E416" s="60"/>
      <c r="F416" s="60"/>
      <c r="G416" s="60"/>
      <c r="H416" s="60"/>
      <c r="I416" s="61"/>
      <c r="J416" s="160"/>
      <c r="K416" s="161"/>
      <c r="L416" s="162"/>
      <c r="M416" s="163"/>
      <c r="N416" s="164"/>
      <c r="T416" s="165"/>
    </row>
    <row r="417" ht="17.25" customHeight="1">
      <c r="A417" s="212"/>
      <c r="B417" s="167"/>
      <c r="C417" s="168" t="str">
        <f>VLOOKUP(C418,'Mitglieder BBU'!A:J,6,0)</f>
        <v>#N/A</v>
      </c>
      <c r="D417" s="110" t="str">
        <f>IFERROR(VLOOKUP($C418,Datensammler!$B:$AA,3,0),)</f>
        <v/>
      </c>
      <c r="E417" s="110" t="str">
        <f>IFERROR(VLOOKUP($C418,Datensammler!$B:$AA,4,0),)</f>
        <v/>
      </c>
      <c r="F417" s="110" t="str">
        <f>IFERROR(VLOOKUP($C418,Datensammler!$B:$AA,5,0),)</f>
        <v/>
      </c>
      <c r="G417" s="110" t="str">
        <f>IFERROR(VLOOKUP($C418,Datensammler!$B:$AA,6,0),)</f>
        <v/>
      </c>
      <c r="H417" s="110" t="str">
        <f>IFERROR(VLOOKUP($C418,Datensammler!$B:$AA,7,0),)</f>
        <v/>
      </c>
      <c r="I417" s="110" t="str">
        <f>IFERROR(VLOOKUP($C418,Datensammler!$B:$AA,8,0),)</f>
        <v/>
      </c>
      <c r="J417" s="169">
        <f t="shared" ref="J417:J419" si="137">SUM(D417:I417)</f>
        <v>0</v>
      </c>
      <c r="K417" s="170" t="str">
        <f>IFERROR(VLOOKUP($C418,Datensammler!$B:$AA,23,0),)</f>
        <v/>
      </c>
      <c r="L417" s="161" t="str">
        <f>IFERROR(VLOOKUP($C418,Datensammler!$B:$AA,24,0),)</f>
        <v/>
      </c>
      <c r="M417" s="170" t="str">
        <f>IFERROR(VLOOKUP($C418,Datensammler!$B:$AA,25,0),)</f>
        <v/>
      </c>
      <c r="N417" s="171" t="str">
        <f>IF(C418=0,"",(VLOOKUP($C418,Datensammler!$B:$AA,26,0)))</f>
        <v>#N/A</v>
      </c>
      <c r="T417" s="172"/>
    </row>
    <row r="418" ht="17.25" customHeight="1">
      <c r="A418" s="212"/>
      <c r="B418" s="174"/>
      <c r="C418" s="175" t="str">
        <f>VLOOKUP(T418,Spieler!A:E,2,0)</f>
        <v>#N/A</v>
      </c>
      <c r="D418" s="170" t="str">
        <f>IFERROR(VLOOKUP($C418,Datensammler!$B:$AA,9,0),)</f>
        <v/>
      </c>
      <c r="E418" s="170" t="str">
        <f>IFERROR(VLOOKUP($C418,Datensammler!$B:$AA,10,0),)</f>
        <v/>
      </c>
      <c r="F418" s="170" t="str">
        <f>IFERROR(VLOOKUP($C418,Datensammler!$B:$AA,11,0),)</f>
        <v/>
      </c>
      <c r="G418" s="170" t="str">
        <f>IFERROR(VLOOKUP($C418,Datensammler!$B:$AA,12,0),)</f>
        <v/>
      </c>
      <c r="H418" s="170" t="str">
        <f>IFERROR(VLOOKUP($C418,Datensammler!$B:$AA,13,0),)</f>
        <v/>
      </c>
      <c r="I418" s="170" t="str">
        <f>IFERROR(VLOOKUP($C418,Datensammler!$B:$AA,14,0),)</f>
        <v/>
      </c>
      <c r="J418" s="169">
        <f t="shared" si="137"/>
        <v>0</v>
      </c>
      <c r="N418" s="176"/>
      <c r="T418" s="177" t="str">
        <f t="array" ref="T418">INDIRECT("Spieler!AD"&amp;B416+5)</f>
        <v/>
      </c>
    </row>
    <row r="419" ht="17.25" customHeight="1">
      <c r="A419" s="212"/>
      <c r="B419" s="167"/>
      <c r="C419" s="178" t="str">
        <f>VLOOKUP(C418,'Mitglieder BBU'!A:K,8,0)</f>
        <v>#N/A</v>
      </c>
      <c r="D419" s="179" t="str">
        <f>IFERROR(VLOOKUP($C418,Datensammler!$B:$AA,15,0),)</f>
        <v/>
      </c>
      <c r="E419" s="179" t="str">
        <f>IFERROR(VLOOKUP($C418,Datensammler!$B:$AA,16,0),)</f>
        <v/>
      </c>
      <c r="F419" s="179" t="str">
        <f>IFERROR(VLOOKUP($C418,Datensammler!$B:$AA,17,0),)</f>
        <v/>
      </c>
      <c r="G419" s="179" t="str">
        <f>IFERROR(VLOOKUP($C418,Datensammler!$B:$AA,18,0),)</f>
        <v/>
      </c>
      <c r="H419" s="179" t="str">
        <f>IFERROR(VLOOKUP($C418,Datensammler!$B:$AA,19,0),)</f>
        <v/>
      </c>
      <c r="I419" s="179" t="str">
        <f>IFERROR(VLOOKUP($C418,Datensammler!$B:$AA,20,0),)</f>
        <v/>
      </c>
      <c r="J419" s="180">
        <f t="shared" si="137"/>
        <v>0</v>
      </c>
      <c r="K419" s="181"/>
      <c r="L419" s="181"/>
      <c r="M419" s="181"/>
      <c r="N419" s="182"/>
      <c r="T419" s="172"/>
    </row>
    <row r="420" ht="17.25" customHeight="1">
      <c r="A420" s="212"/>
      <c r="B420" s="183"/>
      <c r="C420" s="184" t="str">
        <f>IF(VLOOKUP(T418,Spieler!A:F,6,0)="Nein","keine Bayerische Meisterschaft gewünscht","")</f>
        <v>#N/A</v>
      </c>
      <c r="D420" s="161"/>
      <c r="E420" s="170"/>
      <c r="F420" s="170"/>
      <c r="G420" s="185" t="s">
        <v>2562</v>
      </c>
      <c r="H420" s="186"/>
      <c r="I420" s="186"/>
      <c r="J420" s="186"/>
      <c r="K420" s="186"/>
      <c r="L420" s="187">
        <f t="shared" ref="L420:M420" si="138">SUM(L417:L419)</f>
        <v>0</v>
      </c>
      <c r="M420" s="110">
        <f t="shared" si="138"/>
        <v>0</v>
      </c>
      <c r="N420" s="188" t="str">
        <f>L420/M420</f>
        <v>#DIV/0!</v>
      </c>
      <c r="T420" s="189"/>
    </row>
    <row r="421" ht="17.25" customHeight="1">
      <c r="A421" s="212"/>
      <c r="B421" s="190"/>
      <c r="C421" s="178"/>
      <c r="D421" s="191"/>
      <c r="E421" s="191"/>
      <c r="F421" s="191"/>
      <c r="G421" s="191"/>
      <c r="H421" s="191"/>
      <c r="I421" s="191"/>
      <c r="J421" s="191"/>
      <c r="K421" s="191"/>
      <c r="L421" s="192"/>
      <c r="M421" s="191"/>
      <c r="N421" s="193"/>
      <c r="T421" s="194"/>
    </row>
    <row r="422" ht="17.25" customHeight="1">
      <c r="A422" s="212"/>
      <c r="B422" s="157">
        <f>B416+1</f>
        <v>70</v>
      </c>
      <c r="C422" s="158"/>
      <c r="D422" s="159" t="str">
        <f>VLOOKUP(C424,'Mitglieder BBU'!A:J,6,0)</f>
        <v>#N/A</v>
      </c>
      <c r="E422" s="60"/>
      <c r="F422" s="60"/>
      <c r="G422" s="60"/>
      <c r="H422" s="60"/>
      <c r="I422" s="61"/>
      <c r="J422" s="160"/>
      <c r="K422" s="161"/>
      <c r="L422" s="162"/>
      <c r="M422" s="163"/>
      <c r="N422" s="164"/>
      <c r="T422" s="165"/>
    </row>
    <row r="423" ht="17.25" customHeight="1">
      <c r="A423" s="212"/>
      <c r="B423" s="167"/>
      <c r="C423" s="168" t="str">
        <f>VLOOKUP(C424,'Mitglieder BBU'!A:J,6,0)</f>
        <v>#N/A</v>
      </c>
      <c r="D423" s="110" t="str">
        <f>IFERROR(VLOOKUP($C424,Datensammler!$B:$AA,3,0),)</f>
        <v/>
      </c>
      <c r="E423" s="110" t="str">
        <f>IFERROR(VLOOKUP($C424,Datensammler!$B:$AA,4,0),)</f>
        <v/>
      </c>
      <c r="F423" s="110" t="str">
        <f>IFERROR(VLOOKUP($C424,Datensammler!$B:$AA,5,0),)</f>
        <v/>
      </c>
      <c r="G423" s="110" t="str">
        <f>IFERROR(VLOOKUP($C424,Datensammler!$B:$AA,6,0),)</f>
        <v/>
      </c>
      <c r="H423" s="110" t="str">
        <f>IFERROR(VLOOKUP($C424,Datensammler!$B:$AA,7,0),)</f>
        <v/>
      </c>
      <c r="I423" s="110" t="str">
        <f>IFERROR(VLOOKUP($C424,Datensammler!$B:$AA,8,0),)</f>
        <v/>
      </c>
      <c r="J423" s="169">
        <f t="shared" ref="J423:J425" si="139">SUM(D423:I423)</f>
        <v>0</v>
      </c>
      <c r="K423" s="170" t="str">
        <f>IFERROR(VLOOKUP($C424,Datensammler!$B:$AA,23,0),)</f>
        <v/>
      </c>
      <c r="L423" s="161" t="str">
        <f>IFERROR(VLOOKUP($C424,Datensammler!$B:$AA,24,0),)</f>
        <v/>
      </c>
      <c r="M423" s="170" t="str">
        <f>IFERROR(VLOOKUP($C424,Datensammler!$B:$AA,25,0),)</f>
        <v/>
      </c>
      <c r="N423" s="171" t="str">
        <f>IF(C424=0,"",(VLOOKUP($C424,Datensammler!$B:$AA,26,0)))</f>
        <v>#N/A</v>
      </c>
      <c r="T423" s="172"/>
    </row>
    <row r="424" ht="17.25" customHeight="1">
      <c r="A424" s="212"/>
      <c r="B424" s="174"/>
      <c r="C424" s="175" t="str">
        <f>VLOOKUP(T424,Spieler!A:E,2,0)</f>
        <v>#N/A</v>
      </c>
      <c r="D424" s="170" t="str">
        <f>IFERROR(VLOOKUP($C424,Datensammler!$B:$AA,9,0),)</f>
        <v/>
      </c>
      <c r="E424" s="170" t="str">
        <f>IFERROR(VLOOKUP($C424,Datensammler!$B:$AA,10,0),)</f>
        <v/>
      </c>
      <c r="F424" s="170" t="str">
        <f>IFERROR(VLOOKUP($C424,Datensammler!$B:$AA,11,0),)</f>
        <v/>
      </c>
      <c r="G424" s="170" t="str">
        <f>IFERROR(VLOOKUP($C424,Datensammler!$B:$AA,12,0),)</f>
        <v/>
      </c>
      <c r="H424" s="170" t="str">
        <f>IFERROR(VLOOKUP($C424,Datensammler!$B:$AA,13,0),)</f>
        <v/>
      </c>
      <c r="I424" s="170" t="str">
        <f>IFERROR(VLOOKUP($C424,Datensammler!$B:$AA,14,0),)</f>
        <v/>
      </c>
      <c r="J424" s="169">
        <f t="shared" si="139"/>
        <v>0</v>
      </c>
      <c r="N424" s="176"/>
      <c r="T424" s="177" t="str">
        <f t="array" ref="T424">INDIRECT("Spieler!AD"&amp;B422+5)</f>
        <v/>
      </c>
    </row>
    <row r="425" ht="17.25" customHeight="1">
      <c r="A425" s="212"/>
      <c r="B425" s="167"/>
      <c r="C425" s="178" t="str">
        <f>VLOOKUP(C424,'Mitglieder BBU'!A:K,8,0)</f>
        <v>#N/A</v>
      </c>
      <c r="D425" s="179" t="str">
        <f>IFERROR(VLOOKUP($C424,Datensammler!$B:$AA,15,0),)</f>
        <v/>
      </c>
      <c r="E425" s="179" t="str">
        <f>IFERROR(VLOOKUP($C424,Datensammler!$B:$AA,16,0),)</f>
        <v/>
      </c>
      <c r="F425" s="179" t="str">
        <f>IFERROR(VLOOKUP($C424,Datensammler!$B:$AA,17,0),)</f>
        <v/>
      </c>
      <c r="G425" s="179" t="str">
        <f>IFERROR(VLOOKUP($C424,Datensammler!$B:$AA,18,0),)</f>
        <v/>
      </c>
      <c r="H425" s="179" t="str">
        <f>IFERROR(VLOOKUP($C424,Datensammler!$B:$AA,19,0),)</f>
        <v/>
      </c>
      <c r="I425" s="179" t="str">
        <f>IFERROR(VLOOKUP($C424,Datensammler!$B:$AA,20,0),)</f>
        <v/>
      </c>
      <c r="J425" s="180">
        <f t="shared" si="139"/>
        <v>0</v>
      </c>
      <c r="K425" s="181"/>
      <c r="L425" s="181"/>
      <c r="M425" s="181"/>
      <c r="N425" s="182"/>
      <c r="T425" s="172"/>
    </row>
    <row r="426" ht="17.25" customHeight="1">
      <c r="A426" s="212"/>
      <c r="B426" s="183"/>
      <c r="C426" s="184" t="str">
        <f>IF(VLOOKUP(T424,Spieler!A:F,6,0)="Nein","keine Bayerische Meisterschaft gewünscht","")</f>
        <v>#N/A</v>
      </c>
      <c r="D426" s="161"/>
      <c r="E426" s="170"/>
      <c r="F426" s="170"/>
      <c r="G426" s="185" t="s">
        <v>2562</v>
      </c>
      <c r="H426" s="186"/>
      <c r="I426" s="186"/>
      <c r="J426" s="186"/>
      <c r="K426" s="186"/>
      <c r="L426" s="187">
        <f t="shared" ref="L426:M426" si="140">SUM(L423:L425)</f>
        <v>0</v>
      </c>
      <c r="M426" s="110">
        <f t="shared" si="140"/>
        <v>0</v>
      </c>
      <c r="N426" s="188" t="str">
        <f>L426/M426</f>
        <v>#DIV/0!</v>
      </c>
      <c r="T426" s="189"/>
    </row>
    <row r="427" ht="17.25" customHeight="1">
      <c r="A427" s="212"/>
      <c r="B427" s="190"/>
      <c r="C427" s="178"/>
      <c r="D427" s="191"/>
      <c r="E427" s="191"/>
      <c r="F427" s="191"/>
      <c r="G427" s="191"/>
      <c r="H427" s="191"/>
      <c r="I427" s="191"/>
      <c r="J427" s="191"/>
      <c r="K427" s="110"/>
      <c r="L427" s="187"/>
      <c r="M427" s="110"/>
      <c r="N427" s="188"/>
      <c r="T427" s="194"/>
    </row>
    <row r="428" ht="17.25" customHeight="1">
      <c r="A428" s="212"/>
      <c r="B428" s="157">
        <f>B422+1</f>
        <v>71</v>
      </c>
      <c r="C428" s="158"/>
      <c r="D428" s="159" t="str">
        <f>VLOOKUP(C430,'Mitglieder BBU'!A:J,6,0)</f>
        <v>#N/A</v>
      </c>
      <c r="E428" s="60"/>
      <c r="F428" s="60"/>
      <c r="G428" s="60"/>
      <c r="H428" s="60"/>
      <c r="I428" s="61"/>
      <c r="J428" s="160"/>
      <c r="K428" s="161"/>
      <c r="L428" s="162"/>
      <c r="M428" s="163"/>
      <c r="N428" s="164"/>
      <c r="T428" s="165"/>
    </row>
    <row r="429" ht="17.25" customHeight="1">
      <c r="A429" s="212"/>
      <c r="B429" s="167"/>
      <c r="C429" s="168" t="str">
        <f>VLOOKUP(C430,'Mitglieder BBU'!A:J,6,0)</f>
        <v>#N/A</v>
      </c>
      <c r="D429" s="110" t="str">
        <f>IFERROR(VLOOKUP($C430,Datensammler!$B:$AA,3,0),)</f>
        <v/>
      </c>
      <c r="E429" s="110" t="str">
        <f>IFERROR(VLOOKUP($C430,Datensammler!$B:$AA,4,0),)</f>
        <v/>
      </c>
      <c r="F429" s="110" t="str">
        <f>IFERROR(VLOOKUP($C430,Datensammler!$B:$AA,5,0),)</f>
        <v/>
      </c>
      <c r="G429" s="110" t="str">
        <f>IFERROR(VLOOKUP($C430,Datensammler!$B:$AA,6,0),)</f>
        <v/>
      </c>
      <c r="H429" s="110" t="str">
        <f>IFERROR(VLOOKUP($C430,Datensammler!$B:$AA,7,0),)</f>
        <v/>
      </c>
      <c r="I429" s="110" t="str">
        <f>IFERROR(VLOOKUP($C430,Datensammler!$B:$AA,8,0),)</f>
        <v/>
      </c>
      <c r="J429" s="169">
        <f t="shared" ref="J429:J431" si="141">SUM(D429:I429)</f>
        <v>0</v>
      </c>
      <c r="K429" s="170" t="str">
        <f>IFERROR(VLOOKUP($C430,Datensammler!$B:$AA,23,0),)</f>
        <v/>
      </c>
      <c r="L429" s="161" t="str">
        <f>IFERROR(VLOOKUP($C430,Datensammler!$B:$AA,24,0),)</f>
        <v/>
      </c>
      <c r="M429" s="170" t="str">
        <f>IFERROR(VLOOKUP($C430,Datensammler!$B:$AA,25,0),)</f>
        <v/>
      </c>
      <c r="N429" s="171" t="str">
        <f>IF(C430=0,"",(VLOOKUP($C430,Datensammler!$B:$AA,26,0)))</f>
        <v>#N/A</v>
      </c>
      <c r="T429" s="172"/>
    </row>
    <row r="430" ht="17.25" customHeight="1">
      <c r="A430" s="212"/>
      <c r="B430" s="174"/>
      <c r="C430" s="175" t="str">
        <f>VLOOKUP(T430,Spieler!A:E,2,0)</f>
        <v>#N/A</v>
      </c>
      <c r="D430" s="170" t="str">
        <f>IFERROR(VLOOKUP($C430,Datensammler!$B:$AA,9,0),)</f>
        <v/>
      </c>
      <c r="E430" s="170" t="str">
        <f>IFERROR(VLOOKUP($C430,Datensammler!$B:$AA,10,0),)</f>
        <v/>
      </c>
      <c r="F430" s="170" t="str">
        <f>IFERROR(VLOOKUP($C430,Datensammler!$B:$AA,11,0),)</f>
        <v/>
      </c>
      <c r="G430" s="170" t="str">
        <f>IFERROR(VLOOKUP($C430,Datensammler!$B:$AA,12,0),)</f>
        <v/>
      </c>
      <c r="H430" s="170" t="str">
        <f>IFERROR(VLOOKUP($C430,Datensammler!$B:$AA,13,0),)</f>
        <v/>
      </c>
      <c r="I430" s="170" t="str">
        <f>IFERROR(VLOOKUP($C430,Datensammler!$B:$AA,14,0),)</f>
        <v/>
      </c>
      <c r="J430" s="169">
        <f t="shared" si="141"/>
        <v>0</v>
      </c>
      <c r="N430" s="176"/>
      <c r="T430" s="177" t="str">
        <f t="array" ref="T430">INDIRECT("Spieler!AD"&amp;B428+5)</f>
        <v/>
      </c>
    </row>
    <row r="431" ht="17.25" customHeight="1">
      <c r="A431" s="212"/>
      <c r="B431" s="167"/>
      <c r="C431" s="178" t="str">
        <f>VLOOKUP(C430,'Mitglieder BBU'!A:K,8,0)</f>
        <v>#N/A</v>
      </c>
      <c r="D431" s="179" t="str">
        <f>IFERROR(VLOOKUP($C430,Datensammler!$B:$AA,15,0),)</f>
        <v/>
      </c>
      <c r="E431" s="179" t="str">
        <f>IFERROR(VLOOKUP($C430,Datensammler!$B:$AA,16,0),)</f>
        <v/>
      </c>
      <c r="F431" s="179" t="str">
        <f>IFERROR(VLOOKUP($C430,Datensammler!$B:$AA,17,0),)</f>
        <v/>
      </c>
      <c r="G431" s="179" t="str">
        <f>IFERROR(VLOOKUP($C430,Datensammler!$B:$AA,18,0),)</f>
        <v/>
      </c>
      <c r="H431" s="179" t="str">
        <f>IFERROR(VLOOKUP($C430,Datensammler!$B:$AA,19,0),)</f>
        <v/>
      </c>
      <c r="I431" s="179" t="str">
        <f>IFERROR(VLOOKUP($C430,Datensammler!$B:$AA,20,0),)</f>
        <v/>
      </c>
      <c r="J431" s="180">
        <f t="shared" si="141"/>
        <v>0</v>
      </c>
      <c r="K431" s="181"/>
      <c r="L431" s="181"/>
      <c r="M431" s="181"/>
      <c r="N431" s="182"/>
      <c r="T431" s="172"/>
    </row>
    <row r="432" ht="17.25" customHeight="1">
      <c r="A432" s="212"/>
      <c r="B432" s="183"/>
      <c r="C432" s="184" t="str">
        <f>IF(VLOOKUP(T430,Spieler!A:F,6,0)="Nein","keine Bayerische Meisterschaft gewünscht","")</f>
        <v>#N/A</v>
      </c>
      <c r="D432" s="161"/>
      <c r="E432" s="170"/>
      <c r="F432" s="170"/>
      <c r="G432" s="185" t="s">
        <v>2562</v>
      </c>
      <c r="H432" s="186"/>
      <c r="I432" s="186"/>
      <c r="J432" s="186"/>
      <c r="K432" s="186"/>
      <c r="L432" s="187">
        <f t="shared" ref="L432:M432" si="142">SUM(L429:L431)</f>
        <v>0</v>
      </c>
      <c r="M432" s="110">
        <f t="shared" si="142"/>
        <v>0</v>
      </c>
      <c r="N432" s="188" t="str">
        <f>L432/M432</f>
        <v>#DIV/0!</v>
      </c>
      <c r="T432" s="189"/>
    </row>
    <row r="433" ht="17.25" customHeight="1">
      <c r="A433" s="212"/>
      <c r="B433" s="190"/>
      <c r="C433" s="178"/>
      <c r="D433" s="191"/>
      <c r="E433" s="191"/>
      <c r="F433" s="191"/>
      <c r="G433" s="191"/>
      <c r="H433" s="191"/>
      <c r="I433" s="191"/>
      <c r="J433" s="191"/>
      <c r="K433" s="191"/>
      <c r="L433" s="192"/>
      <c r="M433" s="191"/>
      <c r="N433" s="193"/>
      <c r="T433" s="194"/>
    </row>
    <row r="434" ht="17.25" customHeight="1">
      <c r="A434" s="212"/>
      <c r="B434" s="157">
        <f>B428+1</f>
        <v>72</v>
      </c>
      <c r="C434" s="158"/>
      <c r="D434" s="159" t="str">
        <f>VLOOKUP(C436,'Mitglieder BBU'!A:J,6,0)</f>
        <v>#N/A</v>
      </c>
      <c r="E434" s="60"/>
      <c r="F434" s="60"/>
      <c r="G434" s="60"/>
      <c r="H434" s="60"/>
      <c r="I434" s="61"/>
      <c r="J434" s="160"/>
      <c r="K434" s="161"/>
      <c r="L434" s="162"/>
      <c r="M434" s="163"/>
      <c r="N434" s="164"/>
      <c r="T434" s="165"/>
    </row>
    <row r="435" ht="17.25" customHeight="1">
      <c r="A435" s="212"/>
      <c r="B435" s="167"/>
      <c r="C435" s="168" t="str">
        <f>VLOOKUP(C436,'Mitglieder BBU'!A:J,6,0)</f>
        <v>#N/A</v>
      </c>
      <c r="D435" s="110" t="str">
        <f>IFERROR(VLOOKUP($C436,Datensammler!$B:$AA,3,0),)</f>
        <v/>
      </c>
      <c r="E435" s="110" t="str">
        <f>IFERROR(VLOOKUP($C436,Datensammler!$B:$AA,4,0),)</f>
        <v/>
      </c>
      <c r="F435" s="110" t="str">
        <f>IFERROR(VLOOKUP($C436,Datensammler!$B:$AA,5,0),)</f>
        <v/>
      </c>
      <c r="G435" s="110" t="str">
        <f>IFERROR(VLOOKUP($C436,Datensammler!$B:$AA,6,0),)</f>
        <v/>
      </c>
      <c r="H435" s="110" t="str">
        <f>IFERROR(VLOOKUP($C436,Datensammler!$B:$AA,7,0),)</f>
        <v/>
      </c>
      <c r="I435" s="110" t="str">
        <f>IFERROR(VLOOKUP($C436,Datensammler!$B:$AA,8,0),)</f>
        <v/>
      </c>
      <c r="J435" s="169">
        <f t="shared" ref="J435:J437" si="143">SUM(D435:I435)</f>
        <v>0</v>
      </c>
      <c r="K435" s="170" t="str">
        <f>IFERROR(VLOOKUP($C436,Datensammler!$B:$AA,23,0),)</f>
        <v/>
      </c>
      <c r="L435" s="161" t="str">
        <f>IFERROR(VLOOKUP($C436,Datensammler!$B:$AA,24,0),)</f>
        <v/>
      </c>
      <c r="M435" s="170" t="str">
        <f>IFERROR(VLOOKUP($C436,Datensammler!$B:$AA,25,0),)</f>
        <v/>
      </c>
      <c r="N435" s="171" t="str">
        <f>IF(C436=0,"",(VLOOKUP($C436,Datensammler!$B:$AA,26,0)))</f>
        <v>#N/A</v>
      </c>
      <c r="T435" s="172"/>
    </row>
    <row r="436" ht="17.25" customHeight="1">
      <c r="A436" s="212"/>
      <c r="B436" s="174"/>
      <c r="C436" s="175" t="str">
        <f>VLOOKUP(T436,Spieler!A:E,2,0)</f>
        <v>#N/A</v>
      </c>
      <c r="D436" s="170" t="str">
        <f>IFERROR(VLOOKUP($C436,Datensammler!$B:$AA,9,0),)</f>
        <v/>
      </c>
      <c r="E436" s="170" t="str">
        <f>IFERROR(VLOOKUP($C436,Datensammler!$B:$AA,10,0),)</f>
        <v/>
      </c>
      <c r="F436" s="170" t="str">
        <f>IFERROR(VLOOKUP($C436,Datensammler!$B:$AA,11,0),)</f>
        <v/>
      </c>
      <c r="G436" s="170" t="str">
        <f>IFERROR(VLOOKUP($C436,Datensammler!$B:$AA,12,0),)</f>
        <v/>
      </c>
      <c r="H436" s="170" t="str">
        <f>IFERROR(VLOOKUP($C436,Datensammler!$B:$AA,13,0),)</f>
        <v/>
      </c>
      <c r="I436" s="170" t="str">
        <f>IFERROR(VLOOKUP($C436,Datensammler!$B:$AA,14,0),)</f>
        <v/>
      </c>
      <c r="J436" s="169">
        <f t="shared" si="143"/>
        <v>0</v>
      </c>
      <c r="N436" s="176"/>
      <c r="T436" s="177" t="str">
        <f t="array" ref="T436">INDIRECT("Spieler!AD"&amp;B434+5)</f>
        <v/>
      </c>
    </row>
    <row r="437" ht="17.25" customHeight="1">
      <c r="A437" s="212"/>
      <c r="B437" s="167"/>
      <c r="C437" s="178" t="str">
        <f>VLOOKUP(C436,'Mitglieder BBU'!A:K,8,0)</f>
        <v>#N/A</v>
      </c>
      <c r="D437" s="179" t="str">
        <f>IFERROR(VLOOKUP($C436,Datensammler!$B:$AA,15,0),)</f>
        <v/>
      </c>
      <c r="E437" s="179" t="str">
        <f>IFERROR(VLOOKUP($C436,Datensammler!$B:$AA,16,0),)</f>
        <v/>
      </c>
      <c r="F437" s="179" t="str">
        <f>IFERROR(VLOOKUP($C436,Datensammler!$B:$AA,17,0),)</f>
        <v/>
      </c>
      <c r="G437" s="179" t="str">
        <f>IFERROR(VLOOKUP($C436,Datensammler!$B:$AA,18,0),)</f>
        <v/>
      </c>
      <c r="H437" s="179" t="str">
        <f>IFERROR(VLOOKUP($C436,Datensammler!$B:$AA,19,0),)</f>
        <v/>
      </c>
      <c r="I437" s="179" t="str">
        <f>IFERROR(VLOOKUP($C436,Datensammler!$B:$AA,20,0),)</f>
        <v/>
      </c>
      <c r="J437" s="180">
        <f t="shared" si="143"/>
        <v>0</v>
      </c>
      <c r="K437" s="181"/>
      <c r="L437" s="181"/>
      <c r="M437" s="181"/>
      <c r="N437" s="182"/>
      <c r="T437" s="172"/>
    </row>
    <row r="438" ht="17.25" customHeight="1">
      <c r="A438" s="212"/>
      <c r="B438" s="183"/>
      <c r="C438" s="184" t="str">
        <f>IF(VLOOKUP(T436,Spieler!A:F,6,0)="Nein","keine Bayerische Meisterschaft gewünscht","")</f>
        <v>#N/A</v>
      </c>
      <c r="D438" s="161"/>
      <c r="E438" s="170"/>
      <c r="F438" s="170"/>
      <c r="G438" s="185" t="s">
        <v>2562</v>
      </c>
      <c r="H438" s="186"/>
      <c r="I438" s="186"/>
      <c r="J438" s="186"/>
      <c r="K438" s="186"/>
      <c r="L438" s="187">
        <f t="shared" ref="L438:M438" si="144">SUM(L435:L437)</f>
        <v>0</v>
      </c>
      <c r="M438" s="110">
        <f t="shared" si="144"/>
        <v>0</v>
      </c>
      <c r="N438" s="188" t="str">
        <f>L438/M438</f>
        <v>#DIV/0!</v>
      </c>
      <c r="T438" s="189"/>
    </row>
    <row r="439" ht="17.25" customHeight="1">
      <c r="A439" s="212"/>
      <c r="B439" s="190"/>
      <c r="C439" s="178"/>
      <c r="D439" s="191"/>
      <c r="E439" s="191"/>
      <c r="F439" s="191"/>
      <c r="G439" s="191"/>
      <c r="H439" s="191"/>
      <c r="I439" s="191"/>
      <c r="J439" s="191"/>
      <c r="K439" s="191"/>
      <c r="L439" s="192"/>
      <c r="M439" s="191"/>
      <c r="N439" s="193"/>
      <c r="T439" s="194"/>
    </row>
    <row r="440" ht="17.25" customHeight="1">
      <c r="A440" s="212"/>
      <c r="B440" s="157">
        <f>B434+1</f>
        <v>73</v>
      </c>
      <c r="C440" s="158"/>
      <c r="D440" s="159" t="str">
        <f>VLOOKUP(C442,'Mitglieder BBU'!A:J,6,0)</f>
        <v>#N/A</v>
      </c>
      <c r="E440" s="60"/>
      <c r="F440" s="60"/>
      <c r="G440" s="60"/>
      <c r="H440" s="60"/>
      <c r="I440" s="61"/>
      <c r="J440" s="160"/>
      <c r="K440" s="161"/>
      <c r="L440" s="162"/>
      <c r="M440" s="163"/>
      <c r="N440" s="164"/>
      <c r="T440" s="165"/>
    </row>
    <row r="441" ht="17.25" customHeight="1">
      <c r="A441" s="212"/>
      <c r="B441" s="167"/>
      <c r="C441" s="168" t="str">
        <f>VLOOKUP(C442,'Mitglieder BBU'!A:J,6,0)</f>
        <v>#N/A</v>
      </c>
      <c r="D441" s="110" t="str">
        <f>IFERROR(VLOOKUP($C442,Datensammler!$B:$AA,3,0),)</f>
        <v/>
      </c>
      <c r="E441" s="110" t="str">
        <f>IFERROR(VLOOKUP($C442,Datensammler!$B:$AA,4,0),)</f>
        <v/>
      </c>
      <c r="F441" s="110" t="str">
        <f>IFERROR(VLOOKUP($C442,Datensammler!$B:$AA,5,0),)</f>
        <v/>
      </c>
      <c r="G441" s="110" t="str">
        <f>IFERROR(VLOOKUP($C442,Datensammler!$B:$AA,6,0),)</f>
        <v/>
      </c>
      <c r="H441" s="110" t="str">
        <f>IFERROR(VLOOKUP($C442,Datensammler!$B:$AA,7,0),)</f>
        <v/>
      </c>
      <c r="I441" s="110" t="str">
        <f>IFERROR(VLOOKUP($C442,Datensammler!$B:$AA,8,0),)</f>
        <v/>
      </c>
      <c r="J441" s="169">
        <f t="shared" ref="J441:J443" si="145">SUM(D441:I441)</f>
        <v>0</v>
      </c>
      <c r="K441" s="170" t="str">
        <f>IFERROR(VLOOKUP($C442,Datensammler!$B:$AA,23,0),)</f>
        <v/>
      </c>
      <c r="L441" s="161" t="str">
        <f>IFERROR(VLOOKUP($C442,Datensammler!$B:$AA,24,0),)</f>
        <v/>
      </c>
      <c r="M441" s="170" t="str">
        <f>IFERROR(VLOOKUP($C442,Datensammler!$B:$AA,25,0),)</f>
        <v/>
      </c>
      <c r="N441" s="171" t="str">
        <f>IF(C442=0,"",(VLOOKUP($C442,Datensammler!$B:$AA,26,0)))</f>
        <v>#N/A</v>
      </c>
      <c r="T441" s="172"/>
    </row>
    <row r="442" ht="17.25" customHeight="1">
      <c r="A442" s="212"/>
      <c r="B442" s="174"/>
      <c r="C442" s="175" t="str">
        <f>VLOOKUP(T442,Spieler!A:E,2,0)</f>
        <v>#N/A</v>
      </c>
      <c r="D442" s="170" t="str">
        <f>IFERROR(VLOOKUP($C442,Datensammler!$B:$AA,9,0),)</f>
        <v/>
      </c>
      <c r="E442" s="170" t="str">
        <f>IFERROR(VLOOKUP($C442,Datensammler!$B:$AA,10,0),)</f>
        <v/>
      </c>
      <c r="F442" s="170" t="str">
        <f>IFERROR(VLOOKUP($C442,Datensammler!$B:$AA,11,0),)</f>
        <v/>
      </c>
      <c r="G442" s="170" t="str">
        <f>IFERROR(VLOOKUP($C442,Datensammler!$B:$AA,12,0),)</f>
        <v/>
      </c>
      <c r="H442" s="170" t="str">
        <f>IFERROR(VLOOKUP($C442,Datensammler!$B:$AA,13,0),)</f>
        <v/>
      </c>
      <c r="I442" s="170" t="str">
        <f>IFERROR(VLOOKUP($C442,Datensammler!$B:$AA,14,0),)</f>
        <v/>
      </c>
      <c r="J442" s="169">
        <f t="shared" si="145"/>
        <v>0</v>
      </c>
      <c r="N442" s="176"/>
      <c r="T442" s="177" t="str">
        <f t="array" ref="T442">INDIRECT("Spieler!AD"&amp;B440+5)</f>
        <v/>
      </c>
    </row>
    <row r="443" ht="17.25" customHeight="1">
      <c r="A443" s="212"/>
      <c r="B443" s="167"/>
      <c r="C443" s="178" t="str">
        <f>VLOOKUP(C442,'Mitglieder BBU'!A:K,8,0)</f>
        <v>#N/A</v>
      </c>
      <c r="D443" s="179" t="str">
        <f>IFERROR(VLOOKUP($C442,Datensammler!$B:$AA,15,0),)</f>
        <v/>
      </c>
      <c r="E443" s="179" t="str">
        <f>IFERROR(VLOOKUP($C442,Datensammler!$B:$AA,16,0),)</f>
        <v/>
      </c>
      <c r="F443" s="179" t="str">
        <f>IFERROR(VLOOKUP($C442,Datensammler!$B:$AA,17,0),)</f>
        <v/>
      </c>
      <c r="G443" s="179" t="str">
        <f>IFERROR(VLOOKUP($C442,Datensammler!$B:$AA,18,0),)</f>
        <v/>
      </c>
      <c r="H443" s="179" t="str">
        <f>IFERROR(VLOOKUP($C442,Datensammler!$B:$AA,19,0),)</f>
        <v/>
      </c>
      <c r="I443" s="179" t="str">
        <f>IFERROR(VLOOKUP($C442,Datensammler!$B:$AA,20,0),)</f>
        <v/>
      </c>
      <c r="J443" s="180">
        <f t="shared" si="145"/>
        <v>0</v>
      </c>
      <c r="K443" s="181"/>
      <c r="L443" s="181"/>
      <c r="M443" s="181"/>
      <c r="N443" s="182"/>
      <c r="T443" s="172"/>
    </row>
    <row r="444" ht="17.25" customHeight="1">
      <c r="A444" s="212"/>
      <c r="B444" s="183"/>
      <c r="C444" s="184" t="str">
        <f>IF(VLOOKUP(T442,Spieler!A:F,6,0)="Nein","keine Bayerische Meisterschaft gewünscht","")</f>
        <v>#N/A</v>
      </c>
      <c r="D444" s="161"/>
      <c r="E444" s="170"/>
      <c r="F444" s="170"/>
      <c r="G444" s="185" t="s">
        <v>2562</v>
      </c>
      <c r="H444" s="186"/>
      <c r="I444" s="186"/>
      <c r="J444" s="186"/>
      <c r="K444" s="186"/>
      <c r="L444" s="187">
        <f t="shared" ref="L444:M444" si="146">SUM(L441:L443)</f>
        <v>0</v>
      </c>
      <c r="M444" s="110">
        <f t="shared" si="146"/>
        <v>0</v>
      </c>
      <c r="N444" s="188" t="str">
        <f>L444/M444</f>
        <v>#DIV/0!</v>
      </c>
      <c r="T444" s="189"/>
    </row>
    <row r="445" ht="17.25" customHeight="1">
      <c r="A445" s="212"/>
      <c r="B445" s="190"/>
      <c r="C445" s="178"/>
      <c r="D445" s="191"/>
      <c r="E445" s="191"/>
      <c r="F445" s="191"/>
      <c r="G445" s="191"/>
      <c r="H445" s="191"/>
      <c r="I445" s="191"/>
      <c r="J445" s="191"/>
      <c r="K445" s="191"/>
      <c r="L445" s="192"/>
      <c r="M445" s="191"/>
      <c r="N445" s="193"/>
      <c r="T445" s="194"/>
    </row>
    <row r="446" ht="17.25" customHeight="1">
      <c r="A446" s="212"/>
      <c r="B446" s="157">
        <f>B440+1</f>
        <v>74</v>
      </c>
      <c r="C446" s="158"/>
      <c r="D446" s="159" t="str">
        <f>VLOOKUP(C448,'Mitglieder BBU'!A:J,6,0)</f>
        <v>#N/A</v>
      </c>
      <c r="E446" s="60"/>
      <c r="F446" s="60"/>
      <c r="G446" s="60"/>
      <c r="H446" s="60"/>
      <c r="I446" s="61"/>
      <c r="J446" s="160"/>
      <c r="K446" s="161"/>
      <c r="L446" s="162"/>
      <c r="M446" s="163"/>
      <c r="N446" s="164"/>
      <c r="T446" s="165"/>
    </row>
    <row r="447" ht="17.25" customHeight="1">
      <c r="A447" s="212"/>
      <c r="B447" s="167"/>
      <c r="C447" s="168" t="str">
        <f>VLOOKUP(C448,'Mitglieder BBU'!A:J,6,0)</f>
        <v>#N/A</v>
      </c>
      <c r="D447" s="110" t="str">
        <f>IFERROR(VLOOKUP($C448,Datensammler!$B:$AA,3,0),)</f>
        <v/>
      </c>
      <c r="E447" s="110" t="str">
        <f>IFERROR(VLOOKUP($C448,Datensammler!$B:$AA,4,0),)</f>
        <v/>
      </c>
      <c r="F447" s="110" t="str">
        <f>IFERROR(VLOOKUP($C448,Datensammler!$B:$AA,5,0),)</f>
        <v/>
      </c>
      <c r="G447" s="110" t="str">
        <f>IFERROR(VLOOKUP($C448,Datensammler!$B:$AA,6,0),)</f>
        <v/>
      </c>
      <c r="H447" s="110" t="str">
        <f>IFERROR(VLOOKUP($C448,Datensammler!$B:$AA,7,0),)</f>
        <v/>
      </c>
      <c r="I447" s="110" t="str">
        <f>IFERROR(VLOOKUP($C448,Datensammler!$B:$AA,8,0),)</f>
        <v/>
      </c>
      <c r="J447" s="169">
        <f t="shared" ref="J447:J449" si="147">SUM(D447:I447)</f>
        <v>0</v>
      </c>
      <c r="K447" s="170" t="str">
        <f>IFERROR(VLOOKUP($C448,Datensammler!$B:$AA,23,0),)</f>
        <v/>
      </c>
      <c r="L447" s="161" t="str">
        <f>IFERROR(VLOOKUP($C448,Datensammler!$B:$AA,24,0),)</f>
        <v/>
      </c>
      <c r="M447" s="170" t="str">
        <f>IFERROR(VLOOKUP($C448,Datensammler!$B:$AA,25,0),)</f>
        <v/>
      </c>
      <c r="N447" s="171" t="str">
        <f>IF(C448=0,"",(VLOOKUP($C448,Datensammler!$B:$AA,26,0)))</f>
        <v>#N/A</v>
      </c>
      <c r="T447" s="172"/>
    </row>
    <row r="448" ht="17.25" customHeight="1">
      <c r="A448" s="212"/>
      <c r="B448" s="174"/>
      <c r="C448" s="175" t="str">
        <f>VLOOKUP(T448,Spieler!A:E,2,0)</f>
        <v>#N/A</v>
      </c>
      <c r="D448" s="170" t="str">
        <f>IFERROR(VLOOKUP($C448,Datensammler!$B:$AA,9,0),)</f>
        <v/>
      </c>
      <c r="E448" s="170" t="str">
        <f>IFERROR(VLOOKUP($C448,Datensammler!$B:$AA,10,0),)</f>
        <v/>
      </c>
      <c r="F448" s="170" t="str">
        <f>IFERROR(VLOOKUP($C448,Datensammler!$B:$AA,11,0),)</f>
        <v/>
      </c>
      <c r="G448" s="170" t="str">
        <f>IFERROR(VLOOKUP($C448,Datensammler!$B:$AA,12,0),)</f>
        <v/>
      </c>
      <c r="H448" s="170" t="str">
        <f>IFERROR(VLOOKUP($C448,Datensammler!$B:$AA,13,0),)</f>
        <v/>
      </c>
      <c r="I448" s="170" t="str">
        <f>IFERROR(VLOOKUP($C448,Datensammler!$B:$AA,14,0),)</f>
        <v/>
      </c>
      <c r="J448" s="169">
        <f t="shared" si="147"/>
        <v>0</v>
      </c>
      <c r="N448" s="176"/>
      <c r="T448" s="177" t="str">
        <f t="array" ref="T448">INDIRECT("Spieler!AD"&amp;B446+5)</f>
        <v/>
      </c>
    </row>
    <row r="449" ht="17.25" customHeight="1">
      <c r="A449" s="212"/>
      <c r="B449" s="167"/>
      <c r="C449" s="178" t="str">
        <f>VLOOKUP(C448,'Mitglieder BBU'!A:K,8,0)</f>
        <v>#N/A</v>
      </c>
      <c r="D449" s="179" t="str">
        <f>IFERROR(VLOOKUP($C448,Datensammler!$B:$AA,15,0),)</f>
        <v/>
      </c>
      <c r="E449" s="179" t="str">
        <f>IFERROR(VLOOKUP($C448,Datensammler!$B:$AA,16,0),)</f>
        <v/>
      </c>
      <c r="F449" s="179" t="str">
        <f>IFERROR(VLOOKUP($C448,Datensammler!$B:$AA,17,0),)</f>
        <v/>
      </c>
      <c r="G449" s="179" t="str">
        <f>IFERROR(VLOOKUP($C448,Datensammler!$B:$AA,18,0),)</f>
        <v/>
      </c>
      <c r="H449" s="179" t="str">
        <f>IFERROR(VLOOKUP($C448,Datensammler!$B:$AA,19,0),)</f>
        <v/>
      </c>
      <c r="I449" s="179" t="str">
        <f>IFERROR(VLOOKUP($C448,Datensammler!$B:$AA,20,0),)</f>
        <v/>
      </c>
      <c r="J449" s="180">
        <f t="shared" si="147"/>
        <v>0</v>
      </c>
      <c r="K449" s="181"/>
      <c r="L449" s="181"/>
      <c r="M449" s="181"/>
      <c r="N449" s="182"/>
      <c r="T449" s="172"/>
    </row>
    <row r="450" ht="17.25" customHeight="1">
      <c r="A450" s="212"/>
      <c r="B450" s="183"/>
      <c r="C450" s="184" t="str">
        <f>IF(VLOOKUP(T448,Spieler!A:F,6,0)="Nein","keine Bayerische Meisterschaft gewünscht","")</f>
        <v>#N/A</v>
      </c>
      <c r="D450" s="161"/>
      <c r="E450" s="170"/>
      <c r="F450" s="170"/>
      <c r="G450" s="185" t="s">
        <v>2562</v>
      </c>
      <c r="H450" s="186"/>
      <c r="I450" s="186"/>
      <c r="J450" s="186"/>
      <c r="K450" s="186"/>
      <c r="L450" s="187">
        <f t="shared" ref="L450:M450" si="148">SUM(L447:L449)</f>
        <v>0</v>
      </c>
      <c r="M450" s="110">
        <f t="shared" si="148"/>
        <v>0</v>
      </c>
      <c r="N450" s="188" t="str">
        <f>L450/M450</f>
        <v>#DIV/0!</v>
      </c>
      <c r="T450" s="189"/>
    </row>
    <row r="451" ht="17.25" customHeight="1">
      <c r="A451" s="212"/>
      <c r="B451" s="190"/>
      <c r="C451" s="178"/>
      <c r="D451" s="191"/>
      <c r="E451" s="191"/>
      <c r="F451" s="191"/>
      <c r="G451" s="191"/>
      <c r="H451" s="191"/>
      <c r="I451" s="191"/>
      <c r="J451" s="191"/>
      <c r="K451" s="191"/>
      <c r="L451" s="192"/>
      <c r="M451" s="191"/>
      <c r="N451" s="193"/>
      <c r="T451" s="194"/>
    </row>
    <row r="452" ht="17.25" customHeight="1">
      <c r="A452" s="212"/>
      <c r="B452" s="157">
        <f>B446+1</f>
        <v>75</v>
      </c>
      <c r="C452" s="158"/>
      <c r="D452" s="159" t="str">
        <f>VLOOKUP(C454,'Mitglieder BBU'!A:J,6,0)</f>
        <v>#N/A</v>
      </c>
      <c r="E452" s="60"/>
      <c r="F452" s="60"/>
      <c r="G452" s="60"/>
      <c r="H452" s="60"/>
      <c r="I452" s="61"/>
      <c r="J452" s="160"/>
      <c r="K452" s="161"/>
      <c r="L452" s="162"/>
      <c r="M452" s="163"/>
      <c r="N452" s="164"/>
      <c r="T452" s="165"/>
    </row>
    <row r="453" ht="17.25" customHeight="1">
      <c r="A453" s="212"/>
      <c r="B453" s="167"/>
      <c r="C453" s="168" t="str">
        <f>VLOOKUP(C454,'Mitglieder BBU'!A:J,6,0)</f>
        <v>#N/A</v>
      </c>
      <c r="D453" s="110" t="str">
        <f>IFERROR(VLOOKUP($C454,Datensammler!$B:$AA,3,0),)</f>
        <v/>
      </c>
      <c r="E453" s="110" t="str">
        <f>IFERROR(VLOOKUP($C454,Datensammler!$B:$AA,4,0),)</f>
        <v/>
      </c>
      <c r="F453" s="110" t="str">
        <f>IFERROR(VLOOKUP($C454,Datensammler!$B:$AA,5,0),)</f>
        <v/>
      </c>
      <c r="G453" s="110" t="str">
        <f>IFERROR(VLOOKUP($C454,Datensammler!$B:$AA,6,0),)</f>
        <v/>
      </c>
      <c r="H453" s="110" t="str">
        <f>IFERROR(VLOOKUP($C454,Datensammler!$B:$AA,7,0),)</f>
        <v/>
      </c>
      <c r="I453" s="110" t="str">
        <f>IFERROR(VLOOKUP($C454,Datensammler!$B:$AA,8,0),)</f>
        <v/>
      </c>
      <c r="J453" s="169">
        <f t="shared" ref="J453:J455" si="149">SUM(D453:I453)</f>
        <v>0</v>
      </c>
      <c r="K453" s="170" t="str">
        <f>IFERROR(VLOOKUP($C454,Datensammler!$B:$AA,23,0),)</f>
        <v/>
      </c>
      <c r="L453" s="161" t="str">
        <f>IFERROR(VLOOKUP($C454,Datensammler!$B:$AA,24,0),)</f>
        <v/>
      </c>
      <c r="M453" s="170" t="str">
        <f>IFERROR(VLOOKUP($C454,Datensammler!$B:$AA,25,0),)</f>
        <v/>
      </c>
      <c r="N453" s="171" t="str">
        <f>IF(C454=0,"",(VLOOKUP($C454,Datensammler!$B:$AA,26,0)))</f>
        <v>#N/A</v>
      </c>
      <c r="T453" s="172"/>
    </row>
    <row r="454" ht="17.25" customHeight="1">
      <c r="A454" s="212"/>
      <c r="B454" s="174"/>
      <c r="C454" s="175" t="str">
        <f>VLOOKUP(T454,Spieler!A:E,2,0)</f>
        <v>#N/A</v>
      </c>
      <c r="D454" s="170" t="str">
        <f>IFERROR(VLOOKUP($C454,Datensammler!$B:$AA,9,0),)</f>
        <v/>
      </c>
      <c r="E454" s="170" t="str">
        <f>IFERROR(VLOOKUP($C454,Datensammler!$B:$AA,10,0),)</f>
        <v/>
      </c>
      <c r="F454" s="170" t="str">
        <f>IFERROR(VLOOKUP($C454,Datensammler!$B:$AA,11,0),)</f>
        <v/>
      </c>
      <c r="G454" s="170" t="str">
        <f>IFERROR(VLOOKUP($C454,Datensammler!$B:$AA,12,0),)</f>
        <v/>
      </c>
      <c r="H454" s="170" t="str">
        <f>IFERROR(VLOOKUP($C454,Datensammler!$B:$AA,13,0),)</f>
        <v/>
      </c>
      <c r="I454" s="170" t="str">
        <f>IFERROR(VLOOKUP($C454,Datensammler!$B:$AA,14,0),)</f>
        <v/>
      </c>
      <c r="J454" s="169">
        <f t="shared" si="149"/>
        <v>0</v>
      </c>
      <c r="N454" s="176"/>
      <c r="T454" s="177" t="str">
        <f t="array" ref="T454">INDIRECT("Spieler!AD"&amp;B452+5)</f>
        <v/>
      </c>
    </row>
    <row r="455" ht="17.25" customHeight="1">
      <c r="A455" s="212"/>
      <c r="B455" s="167"/>
      <c r="C455" s="178" t="str">
        <f>VLOOKUP(C454,'Mitglieder BBU'!A:K,8,0)</f>
        <v>#N/A</v>
      </c>
      <c r="D455" s="179" t="str">
        <f>IFERROR(VLOOKUP($C454,Datensammler!$B:$AA,15,0),)</f>
        <v/>
      </c>
      <c r="E455" s="179" t="str">
        <f>IFERROR(VLOOKUP($C454,Datensammler!$B:$AA,16,0),)</f>
        <v/>
      </c>
      <c r="F455" s="179" t="str">
        <f>IFERROR(VLOOKUP($C454,Datensammler!$B:$AA,17,0),)</f>
        <v/>
      </c>
      <c r="G455" s="179" t="str">
        <f>IFERROR(VLOOKUP($C454,Datensammler!$B:$AA,18,0),)</f>
        <v/>
      </c>
      <c r="H455" s="179" t="str">
        <f>IFERROR(VLOOKUP($C454,Datensammler!$B:$AA,19,0),)</f>
        <v/>
      </c>
      <c r="I455" s="179" t="str">
        <f>IFERROR(VLOOKUP($C454,Datensammler!$B:$AA,20,0),)</f>
        <v/>
      </c>
      <c r="J455" s="180">
        <f t="shared" si="149"/>
        <v>0</v>
      </c>
      <c r="K455" s="181"/>
      <c r="L455" s="181"/>
      <c r="M455" s="181"/>
      <c r="N455" s="182"/>
      <c r="T455" s="172"/>
    </row>
    <row r="456" ht="17.25" customHeight="1">
      <c r="A456" s="212"/>
      <c r="B456" s="183"/>
      <c r="C456" s="184" t="str">
        <f>IF(VLOOKUP(T454,Spieler!A:F,6,0)="Nein","keine Bayerische Meisterschaft gewünscht","")</f>
        <v>#N/A</v>
      </c>
      <c r="D456" s="161"/>
      <c r="E456" s="170"/>
      <c r="F456" s="170"/>
      <c r="G456" s="185" t="s">
        <v>2562</v>
      </c>
      <c r="H456" s="186"/>
      <c r="I456" s="186"/>
      <c r="J456" s="186"/>
      <c r="K456" s="186"/>
      <c r="L456" s="187">
        <f t="shared" ref="L456:M456" si="150">SUM(L453:L455)</f>
        <v>0</v>
      </c>
      <c r="M456" s="110">
        <f t="shared" si="150"/>
        <v>0</v>
      </c>
      <c r="N456" s="188" t="str">
        <f>L456/M456</f>
        <v>#DIV/0!</v>
      </c>
      <c r="T456" s="189"/>
    </row>
    <row r="457" ht="17.25" customHeight="1">
      <c r="A457" s="212"/>
      <c r="B457" s="190"/>
      <c r="C457" s="178"/>
      <c r="D457" s="191"/>
      <c r="E457" s="191"/>
      <c r="F457" s="191"/>
      <c r="G457" s="191"/>
      <c r="H457" s="191"/>
      <c r="I457" s="191"/>
      <c r="J457" s="191"/>
      <c r="K457" s="110"/>
      <c r="L457" s="187"/>
      <c r="M457" s="110"/>
      <c r="N457" s="188"/>
      <c r="T457" s="194"/>
    </row>
    <row r="458" ht="17.25" customHeight="1">
      <c r="A458" s="212"/>
      <c r="B458" s="157">
        <f>B452+1</f>
        <v>76</v>
      </c>
      <c r="C458" s="158"/>
      <c r="D458" s="159" t="str">
        <f>VLOOKUP(C460,'Mitglieder BBU'!A:J,6,0)</f>
        <v>#N/A</v>
      </c>
      <c r="E458" s="60"/>
      <c r="F458" s="60"/>
      <c r="G458" s="60"/>
      <c r="H458" s="60"/>
      <c r="I458" s="61"/>
      <c r="J458" s="160"/>
      <c r="K458" s="161"/>
      <c r="L458" s="162"/>
      <c r="M458" s="163"/>
      <c r="N458" s="164"/>
      <c r="T458" s="165"/>
    </row>
    <row r="459" ht="17.25" customHeight="1">
      <c r="A459" s="212"/>
      <c r="B459" s="167"/>
      <c r="C459" s="168" t="str">
        <f>VLOOKUP(C460,'Mitglieder BBU'!A:J,6,0)</f>
        <v>#N/A</v>
      </c>
      <c r="D459" s="110" t="str">
        <f>IFERROR(VLOOKUP($C460,Datensammler!$B:$AA,3,0),)</f>
        <v/>
      </c>
      <c r="E459" s="110" t="str">
        <f>IFERROR(VLOOKUP($C460,Datensammler!$B:$AA,4,0),)</f>
        <v/>
      </c>
      <c r="F459" s="110" t="str">
        <f>IFERROR(VLOOKUP($C460,Datensammler!$B:$AA,5,0),)</f>
        <v/>
      </c>
      <c r="G459" s="110" t="str">
        <f>IFERROR(VLOOKUP($C460,Datensammler!$B:$AA,6,0),)</f>
        <v/>
      </c>
      <c r="H459" s="110" t="str">
        <f>IFERROR(VLOOKUP($C460,Datensammler!$B:$AA,7,0),)</f>
        <v/>
      </c>
      <c r="I459" s="110" t="str">
        <f>IFERROR(VLOOKUP($C460,Datensammler!$B:$AA,8,0),)</f>
        <v/>
      </c>
      <c r="J459" s="169">
        <f t="shared" ref="J459:J461" si="151">SUM(D459:I459)</f>
        <v>0</v>
      </c>
      <c r="K459" s="170" t="str">
        <f>IFERROR(VLOOKUP($C460,Datensammler!$B:$AA,23,0),)</f>
        <v/>
      </c>
      <c r="L459" s="161" t="str">
        <f>IFERROR(VLOOKUP($C460,Datensammler!$B:$AA,24,0),)</f>
        <v/>
      </c>
      <c r="M459" s="170" t="str">
        <f>IFERROR(VLOOKUP($C460,Datensammler!$B:$AA,25,0),)</f>
        <v/>
      </c>
      <c r="N459" s="171" t="str">
        <f>IF(C460=0,"",(VLOOKUP($C460,Datensammler!$B:$AA,26,0)))</f>
        <v>#N/A</v>
      </c>
      <c r="T459" s="172"/>
    </row>
    <row r="460" ht="17.25" customHeight="1">
      <c r="A460" s="212"/>
      <c r="B460" s="174"/>
      <c r="C460" s="175" t="str">
        <f>VLOOKUP(T460,Spieler!A:E,2,0)</f>
        <v>#N/A</v>
      </c>
      <c r="D460" s="170" t="str">
        <f>IFERROR(VLOOKUP($C460,Datensammler!$B:$AA,9,0),)</f>
        <v/>
      </c>
      <c r="E460" s="170" t="str">
        <f>IFERROR(VLOOKUP($C460,Datensammler!$B:$AA,10,0),)</f>
        <v/>
      </c>
      <c r="F460" s="170" t="str">
        <f>IFERROR(VLOOKUP($C460,Datensammler!$B:$AA,11,0),)</f>
        <v/>
      </c>
      <c r="G460" s="170" t="str">
        <f>IFERROR(VLOOKUP($C460,Datensammler!$B:$AA,12,0),)</f>
        <v/>
      </c>
      <c r="H460" s="170" t="str">
        <f>IFERROR(VLOOKUP($C460,Datensammler!$B:$AA,13,0),)</f>
        <v/>
      </c>
      <c r="I460" s="170" t="str">
        <f>IFERROR(VLOOKUP($C460,Datensammler!$B:$AA,14,0),)</f>
        <v/>
      </c>
      <c r="J460" s="169">
        <f t="shared" si="151"/>
        <v>0</v>
      </c>
      <c r="N460" s="176"/>
      <c r="T460" s="177" t="str">
        <f t="array" ref="T460">INDIRECT("Spieler!AD"&amp;B458+5)</f>
        <v/>
      </c>
    </row>
    <row r="461" ht="17.25" customHeight="1">
      <c r="A461" s="212"/>
      <c r="B461" s="167"/>
      <c r="C461" s="178" t="str">
        <f>VLOOKUP(C460,'Mitglieder BBU'!A:K,8,0)</f>
        <v>#N/A</v>
      </c>
      <c r="D461" s="179" t="str">
        <f>IFERROR(VLOOKUP($C460,Datensammler!$B:$AA,15,0),)</f>
        <v/>
      </c>
      <c r="E461" s="179" t="str">
        <f>IFERROR(VLOOKUP($C460,Datensammler!$B:$AA,16,0),)</f>
        <v/>
      </c>
      <c r="F461" s="179" t="str">
        <f>IFERROR(VLOOKUP($C460,Datensammler!$B:$AA,17,0),)</f>
        <v/>
      </c>
      <c r="G461" s="179" t="str">
        <f>IFERROR(VLOOKUP($C460,Datensammler!$B:$AA,18,0),)</f>
        <v/>
      </c>
      <c r="H461" s="179" t="str">
        <f>IFERROR(VLOOKUP($C460,Datensammler!$B:$AA,19,0),)</f>
        <v/>
      </c>
      <c r="I461" s="179" t="str">
        <f>IFERROR(VLOOKUP($C460,Datensammler!$B:$AA,20,0),)</f>
        <v/>
      </c>
      <c r="J461" s="180">
        <f t="shared" si="151"/>
        <v>0</v>
      </c>
      <c r="K461" s="181"/>
      <c r="L461" s="181"/>
      <c r="M461" s="181"/>
      <c r="N461" s="182"/>
      <c r="T461" s="172"/>
    </row>
    <row r="462" ht="17.25" customHeight="1">
      <c r="A462" s="212"/>
      <c r="B462" s="183"/>
      <c r="C462" s="184" t="str">
        <f>IF(VLOOKUP(T460,Spieler!A:F,6,0)="Nein","keine Bayerische Meisterschaft gewünscht","")</f>
        <v>#N/A</v>
      </c>
      <c r="D462" s="161"/>
      <c r="E462" s="170"/>
      <c r="F462" s="170"/>
      <c r="G462" s="185" t="s">
        <v>2562</v>
      </c>
      <c r="H462" s="186"/>
      <c r="I462" s="186"/>
      <c r="J462" s="186"/>
      <c r="K462" s="186"/>
      <c r="L462" s="187">
        <f t="shared" ref="L462:M462" si="152">SUM(L459:L461)</f>
        <v>0</v>
      </c>
      <c r="M462" s="110">
        <f t="shared" si="152"/>
        <v>0</v>
      </c>
      <c r="N462" s="188" t="str">
        <f>L462/M462</f>
        <v>#DIV/0!</v>
      </c>
      <c r="T462" s="189"/>
    </row>
    <row r="463" ht="17.25" customHeight="1">
      <c r="A463" s="212"/>
      <c r="B463" s="190"/>
      <c r="C463" s="178"/>
      <c r="D463" s="191"/>
      <c r="E463" s="191"/>
      <c r="F463" s="191"/>
      <c r="G463" s="191"/>
      <c r="H463" s="191"/>
      <c r="I463" s="191"/>
      <c r="J463" s="191"/>
      <c r="K463" s="191"/>
      <c r="L463" s="192"/>
      <c r="M463" s="191"/>
      <c r="N463" s="193"/>
      <c r="T463" s="194"/>
    </row>
    <row r="464" ht="17.25" customHeight="1">
      <c r="A464" s="212"/>
      <c r="B464" s="157">
        <f>B458+1</f>
        <v>77</v>
      </c>
      <c r="C464" s="158"/>
      <c r="D464" s="159" t="str">
        <f>VLOOKUP(C466,'Mitglieder BBU'!A:J,6,0)</f>
        <v>#N/A</v>
      </c>
      <c r="E464" s="60"/>
      <c r="F464" s="60"/>
      <c r="G464" s="60"/>
      <c r="H464" s="60"/>
      <c r="I464" s="61"/>
      <c r="J464" s="160"/>
      <c r="K464" s="161"/>
      <c r="L464" s="162"/>
      <c r="M464" s="163"/>
      <c r="N464" s="164"/>
      <c r="T464" s="165"/>
    </row>
    <row r="465" ht="17.25" customHeight="1">
      <c r="A465" s="212"/>
      <c r="B465" s="167"/>
      <c r="C465" s="168" t="str">
        <f>VLOOKUP(C466,'Mitglieder BBU'!A:J,6,0)</f>
        <v>#N/A</v>
      </c>
      <c r="D465" s="110" t="str">
        <f>IFERROR(VLOOKUP($C466,Datensammler!$B:$AA,3,0),)</f>
        <v/>
      </c>
      <c r="E465" s="110" t="str">
        <f>IFERROR(VLOOKUP($C466,Datensammler!$B:$AA,4,0),)</f>
        <v/>
      </c>
      <c r="F465" s="110" t="str">
        <f>IFERROR(VLOOKUP($C466,Datensammler!$B:$AA,5,0),)</f>
        <v/>
      </c>
      <c r="G465" s="110" t="str">
        <f>IFERROR(VLOOKUP($C466,Datensammler!$B:$AA,6,0),)</f>
        <v/>
      </c>
      <c r="H465" s="110" t="str">
        <f>IFERROR(VLOOKUP($C466,Datensammler!$B:$AA,7,0),)</f>
        <v/>
      </c>
      <c r="I465" s="110" t="str">
        <f>IFERROR(VLOOKUP($C466,Datensammler!$B:$AA,8,0),)</f>
        <v/>
      </c>
      <c r="J465" s="169">
        <f t="shared" ref="J465:J467" si="153">SUM(D465:I465)</f>
        <v>0</v>
      </c>
      <c r="K465" s="170" t="str">
        <f>IFERROR(VLOOKUP($C466,Datensammler!$B:$AA,23,0),)</f>
        <v/>
      </c>
      <c r="L465" s="161" t="str">
        <f>IFERROR(VLOOKUP($C466,Datensammler!$B:$AA,24,0),)</f>
        <v/>
      </c>
      <c r="M465" s="170" t="str">
        <f>IFERROR(VLOOKUP($C466,Datensammler!$B:$AA,25,0),)</f>
        <v/>
      </c>
      <c r="N465" s="171" t="str">
        <f>IF(C466=0,"",(VLOOKUP($C466,Datensammler!$B:$AA,26,0)))</f>
        <v>#N/A</v>
      </c>
      <c r="T465" s="172"/>
    </row>
    <row r="466" ht="17.25" customHeight="1">
      <c r="A466" s="212"/>
      <c r="B466" s="174"/>
      <c r="C466" s="175" t="str">
        <f>VLOOKUP(T466,Spieler!A:E,2,0)</f>
        <v>#N/A</v>
      </c>
      <c r="D466" s="170" t="str">
        <f>IFERROR(VLOOKUP($C466,Datensammler!$B:$AA,9,0),)</f>
        <v/>
      </c>
      <c r="E466" s="170" t="str">
        <f>IFERROR(VLOOKUP($C466,Datensammler!$B:$AA,10,0),)</f>
        <v/>
      </c>
      <c r="F466" s="170" t="str">
        <f>IFERROR(VLOOKUP($C466,Datensammler!$B:$AA,11,0),)</f>
        <v/>
      </c>
      <c r="G466" s="170" t="str">
        <f>IFERROR(VLOOKUP($C466,Datensammler!$B:$AA,12,0),)</f>
        <v/>
      </c>
      <c r="H466" s="170" t="str">
        <f>IFERROR(VLOOKUP($C466,Datensammler!$B:$AA,13,0),)</f>
        <v/>
      </c>
      <c r="I466" s="170" t="str">
        <f>IFERROR(VLOOKUP($C466,Datensammler!$B:$AA,14,0),)</f>
        <v/>
      </c>
      <c r="J466" s="169">
        <f t="shared" si="153"/>
        <v>0</v>
      </c>
      <c r="N466" s="176"/>
      <c r="T466" s="177" t="str">
        <f t="array" ref="T466">INDIRECT("Spieler!AD"&amp;B464+5)</f>
        <v/>
      </c>
    </row>
    <row r="467" ht="17.25" customHeight="1">
      <c r="A467" s="212"/>
      <c r="B467" s="167"/>
      <c r="C467" s="178" t="str">
        <f>VLOOKUP(C466,'Mitglieder BBU'!A:K,8,0)</f>
        <v>#N/A</v>
      </c>
      <c r="D467" s="179" t="str">
        <f>IFERROR(VLOOKUP($C466,Datensammler!$B:$AA,15,0),)</f>
        <v/>
      </c>
      <c r="E467" s="179" t="str">
        <f>IFERROR(VLOOKUP($C466,Datensammler!$B:$AA,16,0),)</f>
        <v/>
      </c>
      <c r="F467" s="179" t="str">
        <f>IFERROR(VLOOKUP($C466,Datensammler!$B:$AA,17,0),)</f>
        <v/>
      </c>
      <c r="G467" s="179" t="str">
        <f>IFERROR(VLOOKUP($C466,Datensammler!$B:$AA,18,0),)</f>
        <v/>
      </c>
      <c r="H467" s="179" t="str">
        <f>IFERROR(VLOOKUP($C466,Datensammler!$B:$AA,19,0),)</f>
        <v/>
      </c>
      <c r="I467" s="179" t="str">
        <f>IFERROR(VLOOKUP($C466,Datensammler!$B:$AA,20,0),)</f>
        <v/>
      </c>
      <c r="J467" s="180">
        <f t="shared" si="153"/>
        <v>0</v>
      </c>
      <c r="K467" s="181"/>
      <c r="L467" s="181"/>
      <c r="M467" s="181"/>
      <c r="N467" s="182"/>
      <c r="T467" s="172"/>
    </row>
    <row r="468" ht="17.25" customHeight="1">
      <c r="A468" s="212"/>
      <c r="B468" s="183"/>
      <c r="C468" s="184" t="str">
        <f>IF(VLOOKUP(T466,Spieler!A:F,6,0)="Nein","keine Bayerische Meisterschaft gewünscht","")</f>
        <v>#N/A</v>
      </c>
      <c r="D468" s="161"/>
      <c r="E468" s="170"/>
      <c r="F468" s="170"/>
      <c r="G468" s="185" t="s">
        <v>2562</v>
      </c>
      <c r="H468" s="186"/>
      <c r="I468" s="186"/>
      <c r="J468" s="186"/>
      <c r="K468" s="186"/>
      <c r="L468" s="187">
        <f t="shared" ref="L468:M468" si="154">SUM(L465:L467)</f>
        <v>0</v>
      </c>
      <c r="M468" s="110">
        <f t="shared" si="154"/>
        <v>0</v>
      </c>
      <c r="N468" s="188" t="str">
        <f>L468/M468</f>
        <v>#DIV/0!</v>
      </c>
      <c r="T468" s="189"/>
    </row>
    <row r="469" ht="17.25" customHeight="1">
      <c r="A469" s="212"/>
      <c r="B469" s="190"/>
      <c r="C469" s="178"/>
      <c r="D469" s="191"/>
      <c r="E469" s="191"/>
      <c r="F469" s="191"/>
      <c r="G469" s="191"/>
      <c r="H469" s="191"/>
      <c r="I469" s="191"/>
      <c r="J469" s="191"/>
      <c r="K469" s="191"/>
      <c r="L469" s="192"/>
      <c r="M469" s="191"/>
      <c r="N469" s="193"/>
      <c r="T469" s="194"/>
    </row>
    <row r="470" ht="17.25" customHeight="1">
      <c r="A470" s="212"/>
      <c r="B470" s="157">
        <f>B464+1</f>
        <v>78</v>
      </c>
      <c r="C470" s="158"/>
      <c r="D470" s="159" t="str">
        <f>VLOOKUP(C472,'Mitglieder BBU'!A:J,6,0)</f>
        <v>#N/A</v>
      </c>
      <c r="E470" s="60"/>
      <c r="F470" s="60"/>
      <c r="G470" s="60"/>
      <c r="H470" s="60"/>
      <c r="I470" s="61"/>
      <c r="J470" s="160"/>
      <c r="K470" s="161"/>
      <c r="L470" s="162"/>
      <c r="M470" s="163"/>
      <c r="N470" s="164"/>
      <c r="T470" s="165"/>
    </row>
    <row r="471" ht="17.25" customHeight="1">
      <c r="A471" s="212"/>
      <c r="B471" s="167"/>
      <c r="C471" s="168" t="str">
        <f>VLOOKUP(C472,'Mitglieder BBU'!A:J,6,0)</f>
        <v>#N/A</v>
      </c>
      <c r="D471" s="110" t="str">
        <f>IFERROR(VLOOKUP($C472,Datensammler!$B:$AA,3,0),)</f>
        <v/>
      </c>
      <c r="E471" s="110" t="str">
        <f>IFERROR(VLOOKUP($C472,Datensammler!$B:$AA,4,0),)</f>
        <v/>
      </c>
      <c r="F471" s="110" t="str">
        <f>IFERROR(VLOOKUP($C472,Datensammler!$B:$AA,5,0),)</f>
        <v/>
      </c>
      <c r="G471" s="110" t="str">
        <f>IFERROR(VLOOKUP($C472,Datensammler!$B:$AA,6,0),)</f>
        <v/>
      </c>
      <c r="H471" s="110" t="str">
        <f>IFERROR(VLOOKUP($C472,Datensammler!$B:$AA,7,0),)</f>
        <v/>
      </c>
      <c r="I471" s="110" t="str">
        <f>IFERROR(VLOOKUP($C472,Datensammler!$B:$AA,8,0),)</f>
        <v/>
      </c>
      <c r="J471" s="169">
        <f t="shared" ref="J471:J473" si="155">SUM(D471:I471)</f>
        <v>0</v>
      </c>
      <c r="K471" s="170" t="str">
        <f>IFERROR(VLOOKUP($C472,Datensammler!$B:$AA,23,0),)</f>
        <v/>
      </c>
      <c r="L471" s="161" t="str">
        <f>IFERROR(VLOOKUP($C472,Datensammler!$B:$AA,24,0),)</f>
        <v/>
      </c>
      <c r="M471" s="170" t="str">
        <f>IFERROR(VLOOKUP($C472,Datensammler!$B:$AA,25,0),)</f>
        <v/>
      </c>
      <c r="N471" s="171" t="str">
        <f>IF(C472=0,"",(VLOOKUP($C472,Datensammler!$B:$AA,26,0)))</f>
        <v>#N/A</v>
      </c>
      <c r="T471" s="172"/>
    </row>
    <row r="472" ht="17.25" customHeight="1">
      <c r="A472" s="212"/>
      <c r="B472" s="174"/>
      <c r="C472" s="175" t="str">
        <f>VLOOKUP(T472,Spieler!A:E,2,0)</f>
        <v>#N/A</v>
      </c>
      <c r="D472" s="170" t="str">
        <f>IFERROR(VLOOKUP($C472,Datensammler!$B:$AA,9,0),)</f>
        <v/>
      </c>
      <c r="E472" s="170" t="str">
        <f>IFERROR(VLOOKUP($C472,Datensammler!$B:$AA,10,0),)</f>
        <v/>
      </c>
      <c r="F472" s="170" t="str">
        <f>IFERROR(VLOOKUP($C472,Datensammler!$B:$AA,11,0),)</f>
        <v/>
      </c>
      <c r="G472" s="170" t="str">
        <f>IFERROR(VLOOKUP($C472,Datensammler!$B:$AA,12,0),)</f>
        <v/>
      </c>
      <c r="H472" s="170" t="str">
        <f>IFERROR(VLOOKUP($C472,Datensammler!$B:$AA,13,0),)</f>
        <v/>
      </c>
      <c r="I472" s="170" t="str">
        <f>IFERROR(VLOOKUP($C472,Datensammler!$B:$AA,14,0),)</f>
        <v/>
      </c>
      <c r="J472" s="169">
        <f t="shared" si="155"/>
        <v>0</v>
      </c>
      <c r="N472" s="176"/>
      <c r="T472" s="177" t="str">
        <f t="array" ref="T472">INDIRECT("Spieler!AD"&amp;B470+5)</f>
        <v/>
      </c>
    </row>
    <row r="473" ht="17.25" customHeight="1">
      <c r="A473" s="212"/>
      <c r="B473" s="167"/>
      <c r="C473" s="178" t="str">
        <f>VLOOKUP(C472,'Mitglieder BBU'!A:K,8,0)</f>
        <v>#N/A</v>
      </c>
      <c r="D473" s="179" t="str">
        <f>IFERROR(VLOOKUP($C472,Datensammler!$B:$AA,15,0),)</f>
        <v/>
      </c>
      <c r="E473" s="179" t="str">
        <f>IFERROR(VLOOKUP($C472,Datensammler!$B:$AA,16,0),)</f>
        <v/>
      </c>
      <c r="F473" s="179" t="str">
        <f>IFERROR(VLOOKUP($C472,Datensammler!$B:$AA,17,0),)</f>
        <v/>
      </c>
      <c r="G473" s="179" t="str">
        <f>IFERROR(VLOOKUP($C472,Datensammler!$B:$AA,18,0),)</f>
        <v/>
      </c>
      <c r="H473" s="179" t="str">
        <f>IFERROR(VLOOKUP($C472,Datensammler!$B:$AA,19,0),)</f>
        <v/>
      </c>
      <c r="I473" s="179" t="str">
        <f>IFERROR(VLOOKUP($C472,Datensammler!$B:$AA,20,0),)</f>
        <v/>
      </c>
      <c r="J473" s="180">
        <f t="shared" si="155"/>
        <v>0</v>
      </c>
      <c r="K473" s="181"/>
      <c r="L473" s="181"/>
      <c r="M473" s="181"/>
      <c r="N473" s="182"/>
      <c r="T473" s="172"/>
    </row>
    <row r="474" ht="17.25" customHeight="1">
      <c r="A474" s="212"/>
      <c r="B474" s="183"/>
      <c r="C474" s="184" t="str">
        <f>IF(VLOOKUP(T472,Spieler!A:F,6,0)="Nein","keine Bayerische Meisterschaft gewünscht","")</f>
        <v>#N/A</v>
      </c>
      <c r="D474" s="161"/>
      <c r="E474" s="170"/>
      <c r="F474" s="170"/>
      <c r="G474" s="185" t="s">
        <v>2562</v>
      </c>
      <c r="H474" s="186"/>
      <c r="I474" s="186"/>
      <c r="J474" s="186"/>
      <c r="K474" s="186"/>
      <c r="L474" s="187">
        <f t="shared" ref="L474:M474" si="156">SUM(L471:L473)</f>
        <v>0</v>
      </c>
      <c r="M474" s="110">
        <f t="shared" si="156"/>
        <v>0</v>
      </c>
      <c r="N474" s="188" t="str">
        <f>L474/M474</f>
        <v>#DIV/0!</v>
      </c>
      <c r="T474" s="189"/>
    </row>
    <row r="475" ht="17.25" customHeight="1">
      <c r="A475" s="212"/>
      <c r="B475" s="190"/>
      <c r="C475" s="178"/>
      <c r="D475" s="191"/>
      <c r="E475" s="191"/>
      <c r="F475" s="191"/>
      <c r="G475" s="191"/>
      <c r="H475" s="191"/>
      <c r="I475" s="191"/>
      <c r="J475" s="191"/>
      <c r="K475" s="191"/>
      <c r="L475" s="192"/>
      <c r="M475" s="191"/>
      <c r="N475" s="193"/>
      <c r="T475" s="194"/>
    </row>
    <row r="476" ht="17.25" customHeight="1">
      <c r="A476" s="212"/>
      <c r="B476" s="157">
        <f>B470+1</f>
        <v>79</v>
      </c>
      <c r="C476" s="158"/>
      <c r="D476" s="159" t="str">
        <f>VLOOKUP(C478,'Mitglieder BBU'!A:J,6,0)</f>
        <v>#N/A</v>
      </c>
      <c r="E476" s="60"/>
      <c r="F476" s="60"/>
      <c r="G476" s="60"/>
      <c r="H476" s="60"/>
      <c r="I476" s="61"/>
      <c r="J476" s="160"/>
      <c r="K476" s="161"/>
      <c r="L476" s="162"/>
      <c r="M476" s="163"/>
      <c r="N476" s="164"/>
      <c r="T476" s="165"/>
    </row>
    <row r="477" ht="17.25" customHeight="1">
      <c r="A477" s="212"/>
      <c r="B477" s="167"/>
      <c r="C477" s="168" t="str">
        <f>VLOOKUP(C478,'Mitglieder BBU'!A:J,6,0)</f>
        <v>#N/A</v>
      </c>
      <c r="D477" s="110" t="str">
        <f>IFERROR(VLOOKUP($C478,Datensammler!$B:$AA,3,0),)</f>
        <v/>
      </c>
      <c r="E477" s="110" t="str">
        <f>IFERROR(VLOOKUP($C478,Datensammler!$B:$AA,4,0),)</f>
        <v/>
      </c>
      <c r="F477" s="110" t="str">
        <f>IFERROR(VLOOKUP($C478,Datensammler!$B:$AA,5,0),)</f>
        <v/>
      </c>
      <c r="G477" s="110" t="str">
        <f>IFERROR(VLOOKUP($C478,Datensammler!$B:$AA,6,0),)</f>
        <v/>
      </c>
      <c r="H477" s="110" t="str">
        <f>IFERROR(VLOOKUP($C478,Datensammler!$B:$AA,7,0),)</f>
        <v/>
      </c>
      <c r="I477" s="110" t="str">
        <f>IFERROR(VLOOKUP($C478,Datensammler!$B:$AA,8,0),)</f>
        <v/>
      </c>
      <c r="J477" s="169">
        <f t="shared" ref="J477:J479" si="157">SUM(D477:I477)</f>
        <v>0</v>
      </c>
      <c r="K477" s="170" t="str">
        <f>IFERROR(VLOOKUP($C478,Datensammler!$B:$AA,23,0),)</f>
        <v/>
      </c>
      <c r="L477" s="161" t="str">
        <f>IFERROR(VLOOKUP($C478,Datensammler!$B:$AA,24,0),)</f>
        <v/>
      </c>
      <c r="M477" s="170" t="str">
        <f>IFERROR(VLOOKUP($C478,Datensammler!$B:$AA,25,0),)</f>
        <v/>
      </c>
      <c r="N477" s="171" t="str">
        <f>IF(C478=0,"",(VLOOKUP($C478,Datensammler!$B:$AA,26,0)))</f>
        <v>#N/A</v>
      </c>
      <c r="T477" s="172"/>
    </row>
    <row r="478" ht="17.25" customHeight="1">
      <c r="A478" s="212"/>
      <c r="B478" s="174"/>
      <c r="C478" s="175" t="str">
        <f>VLOOKUP(T478,Spieler!A:E,2,0)</f>
        <v>#N/A</v>
      </c>
      <c r="D478" s="170" t="str">
        <f>IFERROR(VLOOKUP($C478,Datensammler!$B:$AA,9,0),)</f>
        <v/>
      </c>
      <c r="E478" s="170" t="str">
        <f>IFERROR(VLOOKUP($C478,Datensammler!$B:$AA,10,0),)</f>
        <v/>
      </c>
      <c r="F478" s="170" t="str">
        <f>IFERROR(VLOOKUP($C478,Datensammler!$B:$AA,11,0),)</f>
        <v/>
      </c>
      <c r="G478" s="170" t="str">
        <f>IFERROR(VLOOKUP($C478,Datensammler!$B:$AA,12,0),)</f>
        <v/>
      </c>
      <c r="H478" s="170" t="str">
        <f>IFERROR(VLOOKUP($C478,Datensammler!$B:$AA,13,0),)</f>
        <v/>
      </c>
      <c r="I478" s="170" t="str">
        <f>IFERROR(VLOOKUP($C478,Datensammler!$B:$AA,14,0),)</f>
        <v/>
      </c>
      <c r="J478" s="169">
        <f t="shared" si="157"/>
        <v>0</v>
      </c>
      <c r="N478" s="176"/>
      <c r="T478" s="177" t="str">
        <f t="array" ref="T478">INDIRECT("Spieler!AD"&amp;B476+5)</f>
        <v/>
      </c>
    </row>
    <row r="479" ht="17.25" customHeight="1">
      <c r="A479" s="212"/>
      <c r="B479" s="167"/>
      <c r="C479" s="178" t="str">
        <f>VLOOKUP(C478,'Mitglieder BBU'!A:K,8,0)</f>
        <v>#N/A</v>
      </c>
      <c r="D479" s="179" t="str">
        <f>IFERROR(VLOOKUP($C478,Datensammler!$B:$AA,15,0),)</f>
        <v/>
      </c>
      <c r="E479" s="179" t="str">
        <f>IFERROR(VLOOKUP($C478,Datensammler!$B:$AA,16,0),)</f>
        <v/>
      </c>
      <c r="F479" s="179" t="str">
        <f>IFERROR(VLOOKUP($C478,Datensammler!$B:$AA,17,0),)</f>
        <v/>
      </c>
      <c r="G479" s="179" t="str">
        <f>IFERROR(VLOOKUP($C478,Datensammler!$B:$AA,18,0),)</f>
        <v/>
      </c>
      <c r="H479" s="179" t="str">
        <f>IFERROR(VLOOKUP($C478,Datensammler!$B:$AA,19,0),)</f>
        <v/>
      </c>
      <c r="I479" s="179" t="str">
        <f>IFERROR(VLOOKUP($C478,Datensammler!$B:$AA,20,0),)</f>
        <v/>
      </c>
      <c r="J479" s="180">
        <f t="shared" si="157"/>
        <v>0</v>
      </c>
      <c r="K479" s="181"/>
      <c r="L479" s="181"/>
      <c r="M479" s="181"/>
      <c r="N479" s="182"/>
      <c r="T479" s="172"/>
    </row>
    <row r="480" ht="17.25" customHeight="1">
      <c r="A480" s="212"/>
      <c r="B480" s="183"/>
      <c r="C480" s="184" t="str">
        <f>IF(VLOOKUP(T478,Spieler!A:F,6,0)="Nein","keine Bayerische Meisterschaft gewünscht","")</f>
        <v>#N/A</v>
      </c>
      <c r="D480" s="161"/>
      <c r="E480" s="170"/>
      <c r="F480" s="170"/>
      <c r="G480" s="185" t="s">
        <v>2562</v>
      </c>
      <c r="H480" s="186"/>
      <c r="I480" s="186"/>
      <c r="J480" s="186"/>
      <c r="K480" s="186"/>
      <c r="L480" s="187">
        <f t="shared" ref="L480:M480" si="158">SUM(L477:L479)</f>
        <v>0</v>
      </c>
      <c r="M480" s="110">
        <f t="shared" si="158"/>
        <v>0</v>
      </c>
      <c r="N480" s="188" t="str">
        <f>L480/M480</f>
        <v>#DIV/0!</v>
      </c>
      <c r="T480" s="189"/>
    </row>
    <row r="481" ht="17.25" customHeight="1">
      <c r="A481" s="212"/>
      <c r="B481" s="190"/>
      <c r="C481" s="178"/>
      <c r="D481" s="191"/>
      <c r="E481" s="191"/>
      <c r="F481" s="191"/>
      <c r="G481" s="191"/>
      <c r="H481" s="191"/>
      <c r="I481" s="191"/>
      <c r="J481" s="191"/>
      <c r="K481" s="191"/>
      <c r="L481" s="192"/>
      <c r="M481" s="191"/>
      <c r="N481" s="193"/>
      <c r="T481" s="194"/>
    </row>
    <row r="482" ht="17.25" customHeight="1">
      <c r="A482" s="212"/>
      <c r="B482" s="157">
        <f>B476+1</f>
        <v>80</v>
      </c>
      <c r="C482" s="158"/>
      <c r="D482" s="159" t="str">
        <f>VLOOKUP(C484,'Mitglieder BBU'!A:J,6,0)</f>
        <v>#N/A</v>
      </c>
      <c r="E482" s="60"/>
      <c r="F482" s="60"/>
      <c r="G482" s="60"/>
      <c r="H482" s="60"/>
      <c r="I482" s="61"/>
      <c r="J482" s="160"/>
      <c r="K482" s="161"/>
      <c r="L482" s="162"/>
      <c r="M482" s="163"/>
      <c r="N482" s="164"/>
      <c r="T482" s="165"/>
    </row>
    <row r="483" ht="17.25" customHeight="1">
      <c r="A483" s="212"/>
      <c r="B483" s="167"/>
      <c r="C483" s="168" t="str">
        <f>VLOOKUP(C484,'Mitglieder BBU'!A:J,6,0)</f>
        <v>#N/A</v>
      </c>
      <c r="D483" s="110" t="str">
        <f>IFERROR(VLOOKUP($C484,Datensammler!$B:$AA,3,0),)</f>
        <v/>
      </c>
      <c r="E483" s="110" t="str">
        <f>IFERROR(VLOOKUP($C484,Datensammler!$B:$AA,4,0),)</f>
        <v/>
      </c>
      <c r="F483" s="110" t="str">
        <f>IFERROR(VLOOKUP($C484,Datensammler!$B:$AA,5,0),)</f>
        <v/>
      </c>
      <c r="G483" s="110" t="str">
        <f>IFERROR(VLOOKUP($C484,Datensammler!$B:$AA,6,0),)</f>
        <v/>
      </c>
      <c r="H483" s="110" t="str">
        <f>IFERROR(VLOOKUP($C484,Datensammler!$B:$AA,7,0),)</f>
        <v/>
      </c>
      <c r="I483" s="110" t="str">
        <f>IFERROR(VLOOKUP($C484,Datensammler!$B:$AA,8,0),)</f>
        <v/>
      </c>
      <c r="J483" s="169">
        <f t="shared" ref="J483:J485" si="159">SUM(D483:I483)</f>
        <v>0</v>
      </c>
      <c r="K483" s="170" t="str">
        <f>IFERROR(VLOOKUP($C484,Datensammler!$B:$AA,23,0),)</f>
        <v/>
      </c>
      <c r="L483" s="161" t="str">
        <f>IFERROR(VLOOKUP($C484,Datensammler!$B:$AA,24,0),)</f>
        <v/>
      </c>
      <c r="M483" s="170" t="str">
        <f>IFERROR(VLOOKUP($C484,Datensammler!$B:$AA,25,0),)</f>
        <v/>
      </c>
      <c r="N483" s="171" t="str">
        <f>IF(C484=0,"",(VLOOKUP($C484,Datensammler!$B:$AA,26,0)))</f>
        <v>#N/A</v>
      </c>
      <c r="T483" s="172"/>
    </row>
    <row r="484" ht="17.25" customHeight="1">
      <c r="A484" s="212"/>
      <c r="B484" s="174"/>
      <c r="C484" s="175" t="str">
        <f>VLOOKUP(T484,Spieler!A:E,2,0)</f>
        <v>#N/A</v>
      </c>
      <c r="D484" s="170" t="str">
        <f>IFERROR(VLOOKUP($C484,Datensammler!$B:$AA,9,0),)</f>
        <v/>
      </c>
      <c r="E484" s="170" t="str">
        <f>IFERROR(VLOOKUP($C484,Datensammler!$B:$AA,10,0),)</f>
        <v/>
      </c>
      <c r="F484" s="170" t="str">
        <f>IFERROR(VLOOKUP($C484,Datensammler!$B:$AA,11,0),)</f>
        <v/>
      </c>
      <c r="G484" s="170" t="str">
        <f>IFERROR(VLOOKUP($C484,Datensammler!$B:$AA,12,0),)</f>
        <v/>
      </c>
      <c r="H484" s="170" t="str">
        <f>IFERROR(VLOOKUP($C484,Datensammler!$B:$AA,13,0),)</f>
        <v/>
      </c>
      <c r="I484" s="170" t="str">
        <f>IFERROR(VLOOKUP($C484,Datensammler!$B:$AA,14,0),)</f>
        <v/>
      </c>
      <c r="J484" s="169">
        <f t="shared" si="159"/>
        <v>0</v>
      </c>
      <c r="N484" s="176"/>
      <c r="T484" s="177" t="str">
        <f t="array" ref="T484">INDIRECT("Spieler!AD"&amp;B482+5)</f>
        <v/>
      </c>
    </row>
    <row r="485" ht="17.25" customHeight="1">
      <c r="A485" s="212"/>
      <c r="B485" s="167"/>
      <c r="C485" s="178" t="str">
        <f>VLOOKUP(C484,'Mitglieder BBU'!A:K,8,0)</f>
        <v>#N/A</v>
      </c>
      <c r="D485" s="179" t="str">
        <f>IFERROR(VLOOKUP($C484,Datensammler!$B:$AA,15,0),)</f>
        <v/>
      </c>
      <c r="E485" s="179" t="str">
        <f>IFERROR(VLOOKUP($C484,Datensammler!$B:$AA,16,0),)</f>
        <v/>
      </c>
      <c r="F485" s="179" t="str">
        <f>IFERROR(VLOOKUP($C484,Datensammler!$B:$AA,17,0),)</f>
        <v/>
      </c>
      <c r="G485" s="179" t="str">
        <f>IFERROR(VLOOKUP($C484,Datensammler!$B:$AA,18,0),)</f>
        <v/>
      </c>
      <c r="H485" s="179" t="str">
        <f>IFERROR(VLOOKUP($C484,Datensammler!$B:$AA,19,0),)</f>
        <v/>
      </c>
      <c r="I485" s="179" t="str">
        <f>IFERROR(VLOOKUP($C484,Datensammler!$B:$AA,20,0),)</f>
        <v/>
      </c>
      <c r="J485" s="180">
        <f t="shared" si="159"/>
        <v>0</v>
      </c>
      <c r="K485" s="181"/>
      <c r="L485" s="181"/>
      <c r="M485" s="181"/>
      <c r="N485" s="182"/>
      <c r="T485" s="172"/>
    </row>
    <row r="486" ht="17.25" customHeight="1">
      <c r="A486" s="212"/>
      <c r="B486" s="183"/>
      <c r="C486" s="184" t="str">
        <f>IF(VLOOKUP(T484,Spieler!A:F,6,0)="Nein","keine Bayerische Meisterschaft gewünscht","")</f>
        <v>#N/A</v>
      </c>
      <c r="D486" s="161"/>
      <c r="E486" s="170"/>
      <c r="F486" s="170"/>
      <c r="G486" s="185" t="s">
        <v>2562</v>
      </c>
      <c r="H486" s="186"/>
      <c r="I486" s="186"/>
      <c r="J486" s="186"/>
      <c r="K486" s="186"/>
      <c r="L486" s="187">
        <f t="shared" ref="L486:M486" si="160">SUM(L483:L485)</f>
        <v>0</v>
      </c>
      <c r="M486" s="110">
        <f t="shared" si="160"/>
        <v>0</v>
      </c>
      <c r="N486" s="188" t="str">
        <f>L486/M486</f>
        <v>#DIV/0!</v>
      </c>
      <c r="T486" s="189"/>
    </row>
    <row r="487" ht="17.25" customHeight="1">
      <c r="A487" s="212"/>
      <c r="B487" s="190"/>
      <c r="N487" s="188"/>
      <c r="T487" s="194"/>
    </row>
    <row r="488" ht="17.25" customHeight="1">
      <c r="A488" s="212"/>
      <c r="B488" s="157">
        <f>B482+1</f>
        <v>81</v>
      </c>
      <c r="C488" s="158"/>
      <c r="D488" s="159" t="str">
        <f>VLOOKUP(C490,'Mitglieder BBU'!A:J,6,0)</f>
        <v>#N/A</v>
      </c>
      <c r="E488" s="60"/>
      <c r="F488" s="60"/>
      <c r="G488" s="60"/>
      <c r="H488" s="60"/>
      <c r="I488" s="61"/>
      <c r="J488" s="160"/>
      <c r="K488" s="161"/>
      <c r="L488" s="162"/>
      <c r="M488" s="163"/>
      <c r="N488" s="164"/>
      <c r="T488" s="165"/>
    </row>
    <row r="489" ht="17.25" customHeight="1">
      <c r="A489" s="212"/>
      <c r="B489" s="167"/>
      <c r="C489" s="168" t="str">
        <f>VLOOKUP(C490,'Mitglieder BBU'!A:J,6,0)</f>
        <v>#N/A</v>
      </c>
      <c r="D489" s="110" t="str">
        <f>IFERROR(VLOOKUP($C490,Datensammler!$B:$AA,3,0),)</f>
        <v/>
      </c>
      <c r="E489" s="110" t="str">
        <f>IFERROR(VLOOKUP($C490,Datensammler!$B:$AA,4,0),)</f>
        <v/>
      </c>
      <c r="F489" s="110" t="str">
        <f>IFERROR(VLOOKUP($C490,Datensammler!$B:$AA,5,0),)</f>
        <v/>
      </c>
      <c r="G489" s="110" t="str">
        <f>IFERROR(VLOOKUP($C490,Datensammler!$B:$AA,6,0),)</f>
        <v/>
      </c>
      <c r="H489" s="110" t="str">
        <f>IFERROR(VLOOKUP($C490,Datensammler!$B:$AA,7,0),)</f>
        <v/>
      </c>
      <c r="I489" s="110" t="str">
        <f>IFERROR(VLOOKUP($C490,Datensammler!$B:$AA,8,0),)</f>
        <v/>
      </c>
      <c r="J489" s="169">
        <f t="shared" ref="J489:J491" si="161">SUM(D489:I489)</f>
        <v>0</v>
      </c>
      <c r="K489" s="170" t="str">
        <f>IFERROR(VLOOKUP($C490,Datensammler!$B:$AA,23,0),)</f>
        <v/>
      </c>
      <c r="L489" s="161" t="str">
        <f>IFERROR(VLOOKUP($C490,Datensammler!$B:$AA,24,0),)</f>
        <v/>
      </c>
      <c r="M489" s="170" t="str">
        <f>IFERROR(VLOOKUP($C490,Datensammler!$B:$AA,25,0),)</f>
        <v/>
      </c>
      <c r="N489" s="171" t="str">
        <f>IF(C490=0,"",(VLOOKUP($C490,Datensammler!$B:$AA,26,0)))</f>
        <v>#N/A</v>
      </c>
      <c r="T489" s="172"/>
    </row>
    <row r="490" ht="17.25" customHeight="1">
      <c r="A490" s="212"/>
      <c r="B490" s="174"/>
      <c r="C490" s="175" t="str">
        <f>VLOOKUP(T490,Spieler!A:E,2,0)</f>
        <v>#N/A</v>
      </c>
      <c r="D490" s="170" t="str">
        <f>IFERROR(VLOOKUP($C490,Datensammler!$B:$AA,9,0),)</f>
        <v/>
      </c>
      <c r="E490" s="170" t="str">
        <f>IFERROR(VLOOKUP($C490,Datensammler!$B:$AA,10,0),)</f>
        <v/>
      </c>
      <c r="F490" s="170" t="str">
        <f>IFERROR(VLOOKUP($C490,Datensammler!$B:$AA,11,0),)</f>
        <v/>
      </c>
      <c r="G490" s="170" t="str">
        <f>IFERROR(VLOOKUP($C490,Datensammler!$B:$AA,12,0),)</f>
        <v/>
      </c>
      <c r="H490" s="170" t="str">
        <f>IFERROR(VLOOKUP($C490,Datensammler!$B:$AA,13,0),)</f>
        <v/>
      </c>
      <c r="I490" s="170" t="str">
        <f>IFERROR(VLOOKUP($C490,Datensammler!$B:$AA,14,0),)</f>
        <v/>
      </c>
      <c r="J490" s="169">
        <f t="shared" si="161"/>
        <v>0</v>
      </c>
      <c r="N490" s="176"/>
      <c r="T490" s="177" t="str">
        <f t="array" ref="T490">INDIRECT("Spieler!AD"&amp;B488+5)</f>
        <v/>
      </c>
    </row>
    <row r="491" ht="17.25" customHeight="1">
      <c r="A491" s="212"/>
      <c r="B491" s="167"/>
      <c r="C491" s="178" t="str">
        <f>VLOOKUP(C490,'Mitglieder BBU'!A:K,8,0)</f>
        <v>#N/A</v>
      </c>
      <c r="D491" s="179" t="str">
        <f>IFERROR(VLOOKUP($C490,Datensammler!$B:$AA,15,0),)</f>
        <v/>
      </c>
      <c r="E491" s="179" t="str">
        <f>IFERROR(VLOOKUP($C490,Datensammler!$B:$AA,16,0),)</f>
        <v/>
      </c>
      <c r="F491" s="179" t="str">
        <f>IFERROR(VLOOKUP($C490,Datensammler!$B:$AA,17,0),)</f>
        <v/>
      </c>
      <c r="G491" s="179" t="str">
        <f>IFERROR(VLOOKUP($C490,Datensammler!$B:$AA,18,0),)</f>
        <v/>
      </c>
      <c r="H491" s="179" t="str">
        <f>IFERROR(VLOOKUP($C490,Datensammler!$B:$AA,19,0),)</f>
        <v/>
      </c>
      <c r="I491" s="179" t="str">
        <f>IFERROR(VLOOKUP($C490,Datensammler!$B:$AA,20,0),)</f>
        <v/>
      </c>
      <c r="J491" s="180">
        <f t="shared" si="161"/>
        <v>0</v>
      </c>
      <c r="K491" s="181"/>
      <c r="L491" s="181"/>
      <c r="M491" s="181"/>
      <c r="N491" s="182"/>
      <c r="T491" s="172"/>
    </row>
    <row r="492" ht="17.25" customHeight="1">
      <c r="A492" s="212"/>
      <c r="B492" s="183"/>
      <c r="C492" s="184" t="str">
        <f>IF(VLOOKUP(T490,Spieler!A:F,6,0)="Nein","keine Bayerische Meisterschaft gewünscht","")</f>
        <v>#N/A</v>
      </c>
      <c r="D492" s="161"/>
      <c r="E492" s="170"/>
      <c r="F492" s="170"/>
      <c r="G492" s="185" t="s">
        <v>2562</v>
      </c>
      <c r="H492" s="186"/>
      <c r="I492" s="186"/>
      <c r="J492" s="186"/>
      <c r="K492" s="186"/>
      <c r="L492" s="187">
        <f t="shared" ref="L492:M492" si="162">SUM(L489:L491)</f>
        <v>0</v>
      </c>
      <c r="M492" s="110">
        <f t="shared" si="162"/>
        <v>0</v>
      </c>
      <c r="N492" s="188" t="str">
        <f>L492/M492</f>
        <v>#DIV/0!</v>
      </c>
      <c r="T492" s="189"/>
    </row>
    <row r="493" ht="17.25" customHeight="1">
      <c r="A493" s="212"/>
      <c r="B493" s="190"/>
      <c r="N493" s="193"/>
      <c r="T493" s="194"/>
    </row>
    <row r="494" ht="17.25" customHeight="1">
      <c r="A494" s="212"/>
      <c r="B494" s="157">
        <f>B488+1</f>
        <v>82</v>
      </c>
      <c r="C494" s="158"/>
      <c r="D494" s="159" t="str">
        <f>VLOOKUP(C496,'Mitglieder BBU'!A:J,6,0)</f>
        <v>#N/A</v>
      </c>
      <c r="E494" s="60"/>
      <c r="F494" s="60"/>
      <c r="G494" s="60"/>
      <c r="H494" s="60"/>
      <c r="I494" s="61"/>
      <c r="J494" s="160"/>
      <c r="K494" s="161"/>
      <c r="L494" s="162"/>
      <c r="M494" s="163"/>
      <c r="N494" s="164"/>
      <c r="T494" s="165"/>
    </row>
    <row r="495" ht="17.25" customHeight="1">
      <c r="A495" s="212"/>
      <c r="B495" s="167"/>
      <c r="C495" s="168" t="str">
        <f>VLOOKUP(C496,'Mitglieder BBU'!A:J,6,0)</f>
        <v>#N/A</v>
      </c>
      <c r="D495" s="110" t="str">
        <f>IFERROR(VLOOKUP($C496,Datensammler!$B:$AA,3,0),)</f>
        <v/>
      </c>
      <c r="E495" s="110" t="str">
        <f>IFERROR(VLOOKUP($C496,Datensammler!$B:$AA,4,0),)</f>
        <v/>
      </c>
      <c r="F495" s="110" t="str">
        <f>IFERROR(VLOOKUP($C496,Datensammler!$B:$AA,5,0),)</f>
        <v/>
      </c>
      <c r="G495" s="110" t="str">
        <f>IFERROR(VLOOKUP($C496,Datensammler!$B:$AA,6,0),)</f>
        <v/>
      </c>
      <c r="H495" s="110" t="str">
        <f>IFERROR(VLOOKUP($C496,Datensammler!$B:$AA,7,0),)</f>
        <v/>
      </c>
      <c r="I495" s="110" t="str">
        <f>IFERROR(VLOOKUP($C496,Datensammler!$B:$AA,8,0),)</f>
        <v/>
      </c>
      <c r="J495" s="169">
        <f t="shared" ref="J495:J497" si="163">SUM(D495:I495)</f>
        <v>0</v>
      </c>
      <c r="K495" s="170" t="str">
        <f>IFERROR(VLOOKUP($C496,Datensammler!$B:$AA,23,0),)</f>
        <v/>
      </c>
      <c r="L495" s="161" t="str">
        <f>IFERROR(VLOOKUP($C496,Datensammler!$B:$AA,24,0),)</f>
        <v/>
      </c>
      <c r="M495" s="170" t="str">
        <f>IFERROR(VLOOKUP($C496,Datensammler!$B:$AA,25,0),)</f>
        <v/>
      </c>
      <c r="N495" s="171" t="str">
        <f>IF(C496=0,"",(VLOOKUP($C496,Datensammler!$B:$AA,26,0)))</f>
        <v>#N/A</v>
      </c>
      <c r="T495" s="172"/>
    </row>
    <row r="496" ht="17.25" customHeight="1">
      <c r="A496" s="212"/>
      <c r="B496" s="174"/>
      <c r="C496" s="175" t="str">
        <f>VLOOKUP(T496,Spieler!A:E,2,0)</f>
        <v>#N/A</v>
      </c>
      <c r="D496" s="170" t="str">
        <f>IFERROR(VLOOKUP($C496,Datensammler!$B:$AA,9,0),)</f>
        <v/>
      </c>
      <c r="E496" s="170" t="str">
        <f>IFERROR(VLOOKUP($C496,Datensammler!$B:$AA,10,0),)</f>
        <v/>
      </c>
      <c r="F496" s="170" t="str">
        <f>IFERROR(VLOOKUP($C496,Datensammler!$B:$AA,11,0),)</f>
        <v/>
      </c>
      <c r="G496" s="170" t="str">
        <f>IFERROR(VLOOKUP($C496,Datensammler!$B:$AA,12,0),)</f>
        <v/>
      </c>
      <c r="H496" s="170" t="str">
        <f>IFERROR(VLOOKUP($C496,Datensammler!$B:$AA,13,0),)</f>
        <v/>
      </c>
      <c r="I496" s="170" t="str">
        <f>IFERROR(VLOOKUP($C496,Datensammler!$B:$AA,14,0),)</f>
        <v/>
      </c>
      <c r="J496" s="169">
        <f t="shared" si="163"/>
        <v>0</v>
      </c>
      <c r="N496" s="176"/>
      <c r="T496" s="177" t="str">
        <f t="array" ref="T496">INDIRECT("Spieler!AD"&amp;B494+5)</f>
        <v/>
      </c>
    </row>
    <row r="497" ht="17.25" customHeight="1">
      <c r="A497" s="212"/>
      <c r="B497" s="167"/>
      <c r="C497" s="178" t="str">
        <f>VLOOKUP(C496,'Mitglieder BBU'!A:K,8,0)</f>
        <v>#N/A</v>
      </c>
      <c r="D497" s="179" t="str">
        <f>IFERROR(VLOOKUP($C496,Datensammler!$B:$AA,15,0),)</f>
        <v/>
      </c>
      <c r="E497" s="179" t="str">
        <f>IFERROR(VLOOKUP($C496,Datensammler!$B:$AA,16,0),)</f>
        <v/>
      </c>
      <c r="F497" s="179" t="str">
        <f>IFERROR(VLOOKUP($C496,Datensammler!$B:$AA,17,0),)</f>
        <v/>
      </c>
      <c r="G497" s="179" t="str">
        <f>IFERROR(VLOOKUP($C496,Datensammler!$B:$AA,18,0),)</f>
        <v/>
      </c>
      <c r="H497" s="179" t="str">
        <f>IFERROR(VLOOKUP($C496,Datensammler!$B:$AA,19,0),)</f>
        <v/>
      </c>
      <c r="I497" s="179" t="str">
        <f>IFERROR(VLOOKUP($C496,Datensammler!$B:$AA,20,0),)</f>
        <v/>
      </c>
      <c r="J497" s="180">
        <f t="shared" si="163"/>
        <v>0</v>
      </c>
      <c r="K497" s="181"/>
      <c r="L497" s="181"/>
      <c r="M497" s="181"/>
      <c r="N497" s="182"/>
      <c r="T497" s="172"/>
    </row>
    <row r="498" ht="17.25" customHeight="1">
      <c r="A498" s="212"/>
      <c r="B498" s="183"/>
      <c r="C498" s="184" t="str">
        <f>IF(VLOOKUP(T496,Spieler!A:F,6,0)="Nein","keine Bayerische Meisterschaft gewünscht","")</f>
        <v>#N/A</v>
      </c>
      <c r="D498" s="161"/>
      <c r="E498" s="170"/>
      <c r="F498" s="170"/>
      <c r="G498" s="185" t="s">
        <v>2562</v>
      </c>
      <c r="H498" s="186"/>
      <c r="I498" s="186"/>
      <c r="J498" s="186"/>
      <c r="K498" s="186"/>
      <c r="L498" s="187">
        <f t="shared" ref="L498:M498" si="164">SUM(L495:L497)</f>
        <v>0</v>
      </c>
      <c r="M498" s="110">
        <f t="shared" si="164"/>
        <v>0</v>
      </c>
      <c r="N498" s="188" t="str">
        <f>L498/M498</f>
        <v>#DIV/0!</v>
      </c>
      <c r="T498" s="189"/>
    </row>
    <row r="499" ht="17.25" customHeight="1">
      <c r="A499" s="212"/>
      <c r="B499" s="190"/>
      <c r="C499" s="208"/>
      <c r="D499" s="208"/>
      <c r="E499" s="208"/>
      <c r="F499" s="208"/>
      <c r="G499" s="208"/>
      <c r="H499" s="208"/>
      <c r="I499" s="208"/>
      <c r="J499" s="208"/>
      <c r="K499" s="208"/>
      <c r="L499" s="208"/>
      <c r="M499" s="208"/>
      <c r="N499" s="193"/>
      <c r="T499" s="194"/>
    </row>
    <row r="500" ht="17.25" customHeight="1">
      <c r="A500" s="212"/>
      <c r="B500" s="157">
        <f>B494+1</f>
        <v>83</v>
      </c>
      <c r="C500" s="209"/>
      <c r="D500" s="159" t="str">
        <f>VLOOKUP(C502,'Mitglieder BBU'!A:J,6,0)</f>
        <v>#N/A</v>
      </c>
      <c r="E500" s="60"/>
      <c r="F500" s="60"/>
      <c r="G500" s="60"/>
      <c r="H500" s="60"/>
      <c r="I500" s="61"/>
      <c r="J500" s="160"/>
      <c r="K500" s="187"/>
      <c r="L500" s="210"/>
      <c r="M500" s="211"/>
      <c r="N500" s="164"/>
      <c r="T500" s="165"/>
    </row>
    <row r="501" ht="17.25" customHeight="1">
      <c r="A501" s="212"/>
      <c r="B501" s="167"/>
      <c r="C501" s="168" t="str">
        <f>VLOOKUP(C502,'Mitglieder BBU'!A:J,6,0)</f>
        <v>#N/A</v>
      </c>
      <c r="D501" s="110" t="str">
        <f>IFERROR(VLOOKUP($C502,Datensammler!$B:$AA,3,0),)</f>
        <v/>
      </c>
      <c r="E501" s="110" t="str">
        <f>IFERROR(VLOOKUP($C502,Datensammler!$B:$AA,4,0),)</f>
        <v/>
      </c>
      <c r="F501" s="110" t="str">
        <f>IFERROR(VLOOKUP($C502,Datensammler!$B:$AA,5,0),)</f>
        <v/>
      </c>
      <c r="G501" s="110" t="str">
        <f>IFERROR(VLOOKUP($C502,Datensammler!$B:$AA,6,0),)</f>
        <v/>
      </c>
      <c r="H501" s="110" t="str">
        <f>IFERROR(VLOOKUP($C502,Datensammler!$B:$AA,7,0),)</f>
        <v/>
      </c>
      <c r="I501" s="110" t="str">
        <f>IFERROR(VLOOKUP($C502,Datensammler!$B:$AA,8,0),)</f>
        <v/>
      </c>
      <c r="J501" s="169">
        <f t="shared" ref="J501:J503" si="165">SUM(D501:I501)</f>
        <v>0</v>
      </c>
      <c r="K501" s="170" t="str">
        <f>IFERROR(VLOOKUP($C502,Datensammler!$B:$AA,23,0),)</f>
        <v/>
      </c>
      <c r="L501" s="161" t="str">
        <f>IFERROR(VLOOKUP($C502,Datensammler!$B:$AA,24,0),)</f>
        <v/>
      </c>
      <c r="M501" s="170" t="str">
        <f>IFERROR(VLOOKUP($C502,Datensammler!$B:$AA,25,0),)</f>
        <v/>
      </c>
      <c r="N501" s="171" t="str">
        <f>IF(C502=0,"",(VLOOKUP($C502,Datensammler!$B:$AA,26,0)))</f>
        <v>#N/A</v>
      </c>
      <c r="T501" s="172"/>
    </row>
    <row r="502" ht="17.25" customHeight="1">
      <c r="A502" s="212"/>
      <c r="B502" s="174"/>
      <c r="C502" s="175" t="str">
        <f>VLOOKUP(T502,Spieler!A:E,2,0)</f>
        <v>#N/A</v>
      </c>
      <c r="D502" s="170" t="str">
        <f>IFERROR(VLOOKUP($C502,Datensammler!$B:$AA,9,0),)</f>
        <v/>
      </c>
      <c r="E502" s="170" t="str">
        <f>IFERROR(VLOOKUP($C502,Datensammler!$B:$AA,10,0),)</f>
        <v/>
      </c>
      <c r="F502" s="170" t="str">
        <f>IFERROR(VLOOKUP($C502,Datensammler!$B:$AA,11,0),)</f>
        <v/>
      </c>
      <c r="G502" s="170" t="str">
        <f>IFERROR(VLOOKUP($C502,Datensammler!$B:$AA,12,0),)</f>
        <v/>
      </c>
      <c r="H502" s="170" t="str">
        <f>IFERROR(VLOOKUP($C502,Datensammler!$B:$AA,13,0),)</f>
        <v/>
      </c>
      <c r="I502" s="170" t="str">
        <f>IFERROR(VLOOKUP($C502,Datensammler!$B:$AA,14,0),)</f>
        <v/>
      </c>
      <c r="J502" s="169">
        <f t="shared" si="165"/>
        <v>0</v>
      </c>
      <c r="N502" s="176"/>
      <c r="T502" s="177" t="str">
        <f t="array" ref="T502">INDIRECT("Spieler!AD"&amp;B500+5)</f>
        <v/>
      </c>
    </row>
    <row r="503" ht="17.25" customHeight="1">
      <c r="A503" s="212"/>
      <c r="B503" s="167"/>
      <c r="C503" s="178" t="str">
        <f>VLOOKUP(C502,'Mitglieder BBU'!A:K,8,0)</f>
        <v>#N/A</v>
      </c>
      <c r="D503" s="179" t="str">
        <f>IFERROR(VLOOKUP($C502,Datensammler!$B:$AA,15,0),)</f>
        <v/>
      </c>
      <c r="E503" s="179" t="str">
        <f>IFERROR(VLOOKUP($C502,Datensammler!$B:$AA,16,0),)</f>
        <v/>
      </c>
      <c r="F503" s="179" t="str">
        <f>IFERROR(VLOOKUP($C502,Datensammler!$B:$AA,17,0),)</f>
        <v/>
      </c>
      <c r="G503" s="179" t="str">
        <f>IFERROR(VLOOKUP($C502,Datensammler!$B:$AA,18,0),)</f>
        <v/>
      </c>
      <c r="H503" s="179" t="str">
        <f>IFERROR(VLOOKUP($C502,Datensammler!$B:$AA,19,0),)</f>
        <v/>
      </c>
      <c r="I503" s="179" t="str">
        <f>IFERROR(VLOOKUP($C502,Datensammler!$B:$AA,20,0),)</f>
        <v/>
      </c>
      <c r="J503" s="180">
        <f t="shared" si="165"/>
        <v>0</v>
      </c>
      <c r="K503" s="181"/>
      <c r="L503" s="181"/>
      <c r="M503" s="181"/>
      <c r="N503" s="182"/>
      <c r="T503" s="172"/>
    </row>
    <row r="504" ht="17.25" customHeight="1">
      <c r="A504" s="212"/>
      <c r="B504" s="183"/>
      <c r="C504" s="184" t="str">
        <f>IF(VLOOKUP(T502,Spieler!A:F,6,0)="Nein","keine Bayerische Meisterschaft gewünscht","")</f>
        <v>#N/A</v>
      </c>
      <c r="D504" s="161"/>
      <c r="E504" s="170"/>
      <c r="F504" s="170"/>
      <c r="G504" s="185" t="s">
        <v>2562</v>
      </c>
      <c r="H504" s="186"/>
      <c r="I504" s="186"/>
      <c r="J504" s="186"/>
      <c r="K504" s="186"/>
      <c r="L504" s="187">
        <f t="shared" ref="L504:M504" si="166">SUM(L501:L503)</f>
        <v>0</v>
      </c>
      <c r="M504" s="110">
        <f t="shared" si="166"/>
        <v>0</v>
      </c>
      <c r="N504" s="188" t="str">
        <f>L504/M504</f>
        <v>#DIV/0!</v>
      </c>
      <c r="T504" s="189"/>
    </row>
    <row r="505" ht="17.25" customHeight="1">
      <c r="A505" s="212"/>
      <c r="B505" s="190"/>
      <c r="C505" s="178"/>
      <c r="D505" s="191"/>
      <c r="E505" s="191"/>
      <c r="F505" s="191"/>
      <c r="G505" s="191"/>
      <c r="H505" s="191"/>
      <c r="I505" s="191"/>
      <c r="J505" s="191"/>
      <c r="K505" s="191"/>
      <c r="L505" s="192"/>
      <c r="M505" s="191"/>
      <c r="N505" s="193"/>
      <c r="T505" s="194"/>
    </row>
    <row r="506" ht="17.25" customHeight="1">
      <c r="A506" s="212"/>
      <c r="B506" s="157">
        <f>B500+1</f>
        <v>84</v>
      </c>
      <c r="C506" s="158"/>
      <c r="D506" s="159" t="str">
        <f>VLOOKUP(C508,'Mitglieder BBU'!A:J,6,0)</f>
        <v>#N/A</v>
      </c>
      <c r="E506" s="60"/>
      <c r="F506" s="60"/>
      <c r="G506" s="60"/>
      <c r="H506" s="60"/>
      <c r="I506" s="61"/>
      <c r="J506" s="160"/>
      <c r="K506" s="161"/>
      <c r="L506" s="162"/>
      <c r="M506" s="163"/>
      <c r="N506" s="164"/>
      <c r="T506" s="165"/>
    </row>
    <row r="507" ht="17.25" customHeight="1">
      <c r="A507" s="212"/>
      <c r="B507" s="167"/>
      <c r="C507" s="168" t="str">
        <f>VLOOKUP(C508,'Mitglieder BBU'!A:J,6,0)</f>
        <v>#N/A</v>
      </c>
      <c r="D507" s="110" t="str">
        <f>IFERROR(VLOOKUP($C508,Datensammler!$B:$AA,3,0),)</f>
        <v/>
      </c>
      <c r="E507" s="110" t="str">
        <f>IFERROR(VLOOKUP($C508,Datensammler!$B:$AA,4,0),)</f>
        <v/>
      </c>
      <c r="F507" s="110" t="str">
        <f>IFERROR(VLOOKUP($C508,Datensammler!$B:$AA,5,0),)</f>
        <v/>
      </c>
      <c r="G507" s="110" t="str">
        <f>IFERROR(VLOOKUP($C508,Datensammler!$B:$AA,6,0),)</f>
        <v/>
      </c>
      <c r="H507" s="110" t="str">
        <f>IFERROR(VLOOKUP($C508,Datensammler!$B:$AA,7,0),)</f>
        <v/>
      </c>
      <c r="I507" s="110" t="str">
        <f>IFERROR(VLOOKUP($C508,Datensammler!$B:$AA,8,0),)</f>
        <v/>
      </c>
      <c r="J507" s="169">
        <f t="shared" ref="J507:J509" si="167">SUM(D507:I507)</f>
        <v>0</v>
      </c>
      <c r="K507" s="170" t="str">
        <f>IFERROR(VLOOKUP($C508,Datensammler!$B:$AA,23,0),)</f>
        <v/>
      </c>
      <c r="L507" s="161" t="str">
        <f>IFERROR(VLOOKUP($C508,Datensammler!$B:$AA,24,0),)</f>
        <v/>
      </c>
      <c r="M507" s="170" t="str">
        <f>IFERROR(VLOOKUP($C508,Datensammler!$B:$AA,25,0),)</f>
        <v/>
      </c>
      <c r="N507" s="171" t="str">
        <f>IF(C508=0,"",(VLOOKUP($C508,Datensammler!$B:$AA,26,0)))</f>
        <v>#N/A</v>
      </c>
      <c r="T507" s="172"/>
    </row>
    <row r="508" ht="17.25" customHeight="1">
      <c r="A508" s="212"/>
      <c r="B508" s="174"/>
      <c r="C508" s="175" t="str">
        <f>VLOOKUP(T508,Spieler!A:E,2,0)</f>
        <v>#N/A</v>
      </c>
      <c r="D508" s="170" t="str">
        <f>IFERROR(VLOOKUP($C508,Datensammler!$B:$AA,9,0),)</f>
        <v/>
      </c>
      <c r="E508" s="170" t="str">
        <f>IFERROR(VLOOKUP($C508,Datensammler!$B:$AA,10,0),)</f>
        <v/>
      </c>
      <c r="F508" s="170" t="str">
        <f>IFERROR(VLOOKUP($C508,Datensammler!$B:$AA,11,0),)</f>
        <v/>
      </c>
      <c r="G508" s="170" t="str">
        <f>IFERROR(VLOOKUP($C508,Datensammler!$B:$AA,12,0),)</f>
        <v/>
      </c>
      <c r="H508" s="170" t="str">
        <f>IFERROR(VLOOKUP($C508,Datensammler!$B:$AA,13,0),)</f>
        <v/>
      </c>
      <c r="I508" s="170" t="str">
        <f>IFERROR(VLOOKUP($C508,Datensammler!$B:$AA,14,0),)</f>
        <v/>
      </c>
      <c r="J508" s="169">
        <f t="shared" si="167"/>
        <v>0</v>
      </c>
      <c r="N508" s="176"/>
      <c r="T508" s="177" t="str">
        <f t="array" ref="T508">INDIRECT("Spieler!AD"&amp;B506+5)</f>
        <v/>
      </c>
    </row>
    <row r="509" ht="17.25" customHeight="1">
      <c r="A509" s="212"/>
      <c r="B509" s="167"/>
      <c r="C509" s="178" t="str">
        <f>VLOOKUP(C508,'Mitglieder BBU'!A:K,8,0)</f>
        <v>#N/A</v>
      </c>
      <c r="D509" s="179" t="str">
        <f>IFERROR(VLOOKUP($C508,Datensammler!$B:$AA,15,0),)</f>
        <v/>
      </c>
      <c r="E509" s="179" t="str">
        <f>IFERROR(VLOOKUP($C508,Datensammler!$B:$AA,16,0),)</f>
        <v/>
      </c>
      <c r="F509" s="179" t="str">
        <f>IFERROR(VLOOKUP($C508,Datensammler!$B:$AA,17,0),)</f>
        <v/>
      </c>
      <c r="G509" s="179" t="str">
        <f>IFERROR(VLOOKUP($C508,Datensammler!$B:$AA,18,0),)</f>
        <v/>
      </c>
      <c r="H509" s="179" t="str">
        <f>IFERROR(VLOOKUP($C508,Datensammler!$B:$AA,19,0),)</f>
        <v/>
      </c>
      <c r="I509" s="179" t="str">
        <f>IFERROR(VLOOKUP($C508,Datensammler!$B:$AA,20,0),)</f>
        <v/>
      </c>
      <c r="J509" s="180">
        <f t="shared" si="167"/>
        <v>0</v>
      </c>
      <c r="K509" s="181"/>
      <c r="L509" s="181"/>
      <c r="M509" s="181"/>
      <c r="N509" s="182"/>
      <c r="T509" s="172"/>
    </row>
    <row r="510" ht="17.25" customHeight="1">
      <c r="A510" s="212"/>
      <c r="B510" s="183"/>
      <c r="C510" s="184" t="str">
        <f>IF(VLOOKUP(T508,Spieler!A:F,6,0)="Nein","keine Bayerische Meisterschaft gewünscht","")</f>
        <v>#N/A</v>
      </c>
      <c r="D510" s="161"/>
      <c r="E510" s="170"/>
      <c r="F510" s="170"/>
      <c r="G510" s="185" t="s">
        <v>2562</v>
      </c>
      <c r="H510" s="186"/>
      <c r="I510" s="186"/>
      <c r="J510" s="186"/>
      <c r="K510" s="186"/>
      <c r="L510" s="187">
        <f t="shared" ref="L510:M510" si="168">SUM(L507:L509)</f>
        <v>0</v>
      </c>
      <c r="M510" s="110">
        <f t="shared" si="168"/>
        <v>0</v>
      </c>
      <c r="N510" s="188" t="str">
        <f>L510/M510</f>
        <v>#DIV/0!</v>
      </c>
      <c r="T510" s="189"/>
    </row>
    <row r="511" ht="17.25" customHeight="1">
      <c r="A511" s="212"/>
      <c r="B511" s="190"/>
      <c r="C511" s="178"/>
      <c r="D511" s="191"/>
      <c r="E511" s="191"/>
      <c r="F511" s="191"/>
      <c r="G511" s="191"/>
      <c r="H511" s="191"/>
      <c r="I511" s="191"/>
      <c r="J511" s="191"/>
      <c r="K511" s="191"/>
      <c r="L511" s="192"/>
      <c r="M511" s="191"/>
      <c r="N511" s="193"/>
      <c r="T511" s="194"/>
    </row>
    <row r="512" ht="17.25" customHeight="1">
      <c r="A512" s="212"/>
      <c r="B512" s="157">
        <f>B506+1</f>
        <v>85</v>
      </c>
      <c r="C512" s="158"/>
      <c r="D512" s="159" t="str">
        <f>VLOOKUP(C514,'Mitglieder BBU'!A:J,6,0)</f>
        <v>#N/A</v>
      </c>
      <c r="E512" s="60"/>
      <c r="F512" s="60"/>
      <c r="G512" s="60"/>
      <c r="H512" s="60"/>
      <c r="I512" s="61"/>
      <c r="J512" s="160"/>
      <c r="K512" s="161"/>
      <c r="L512" s="162"/>
      <c r="M512" s="163"/>
      <c r="N512" s="164"/>
      <c r="T512" s="165"/>
    </row>
    <row r="513" ht="17.25" customHeight="1">
      <c r="A513" s="212"/>
      <c r="B513" s="167"/>
      <c r="C513" s="168" t="str">
        <f>VLOOKUP(C514,'Mitglieder BBU'!A:J,6,0)</f>
        <v>#N/A</v>
      </c>
      <c r="D513" s="110" t="str">
        <f>IFERROR(VLOOKUP($C514,Datensammler!$B:$AA,3,0),)</f>
        <v/>
      </c>
      <c r="E513" s="110" t="str">
        <f>IFERROR(VLOOKUP($C514,Datensammler!$B:$AA,4,0),)</f>
        <v/>
      </c>
      <c r="F513" s="110" t="str">
        <f>IFERROR(VLOOKUP($C514,Datensammler!$B:$AA,5,0),)</f>
        <v/>
      </c>
      <c r="G513" s="110" t="str">
        <f>IFERROR(VLOOKUP($C514,Datensammler!$B:$AA,6,0),)</f>
        <v/>
      </c>
      <c r="H513" s="110" t="str">
        <f>IFERROR(VLOOKUP($C514,Datensammler!$B:$AA,7,0),)</f>
        <v/>
      </c>
      <c r="I513" s="110" t="str">
        <f>IFERROR(VLOOKUP($C514,Datensammler!$B:$AA,8,0),)</f>
        <v/>
      </c>
      <c r="J513" s="169">
        <f t="shared" ref="J513:J515" si="169">SUM(D513:I513)</f>
        <v>0</v>
      </c>
      <c r="K513" s="170" t="str">
        <f>IFERROR(VLOOKUP($C514,Datensammler!$B:$AA,23,0),)</f>
        <v/>
      </c>
      <c r="L513" s="161" t="str">
        <f>IFERROR(VLOOKUP($C514,Datensammler!$B:$AA,24,0),)</f>
        <v/>
      </c>
      <c r="M513" s="170" t="str">
        <f>IFERROR(VLOOKUP($C514,Datensammler!$B:$AA,25,0),)</f>
        <v/>
      </c>
      <c r="N513" s="171" t="str">
        <f>IF(C514=0,"",(VLOOKUP($C514,Datensammler!$B:$AA,26,0)))</f>
        <v>#N/A</v>
      </c>
      <c r="T513" s="172"/>
    </row>
    <row r="514" ht="17.25" customHeight="1">
      <c r="A514" s="212"/>
      <c r="B514" s="174"/>
      <c r="C514" s="175" t="str">
        <f>VLOOKUP(T514,Spieler!A:E,2,0)</f>
        <v>#N/A</v>
      </c>
      <c r="D514" s="170" t="str">
        <f>IFERROR(VLOOKUP($C514,Datensammler!$B:$AA,9,0),)</f>
        <v/>
      </c>
      <c r="E514" s="170" t="str">
        <f>IFERROR(VLOOKUP($C514,Datensammler!$B:$AA,10,0),)</f>
        <v/>
      </c>
      <c r="F514" s="170" t="str">
        <f>IFERROR(VLOOKUP($C514,Datensammler!$B:$AA,11,0),)</f>
        <v/>
      </c>
      <c r="G514" s="170" t="str">
        <f>IFERROR(VLOOKUP($C514,Datensammler!$B:$AA,12,0),)</f>
        <v/>
      </c>
      <c r="H514" s="170" t="str">
        <f>IFERROR(VLOOKUP($C514,Datensammler!$B:$AA,13,0),)</f>
        <v/>
      </c>
      <c r="I514" s="170" t="str">
        <f>IFERROR(VLOOKUP($C514,Datensammler!$B:$AA,14,0),)</f>
        <v/>
      </c>
      <c r="J514" s="169">
        <f t="shared" si="169"/>
        <v>0</v>
      </c>
      <c r="N514" s="176"/>
      <c r="T514" s="177" t="str">
        <f t="array" ref="T514">INDIRECT("Spieler!AD"&amp;B512+5)</f>
        <v/>
      </c>
    </row>
    <row r="515" ht="17.25" customHeight="1">
      <c r="A515" s="212"/>
      <c r="B515" s="167"/>
      <c r="C515" s="178" t="str">
        <f>VLOOKUP(C514,'Mitglieder BBU'!A:K,8,0)</f>
        <v>#N/A</v>
      </c>
      <c r="D515" s="179" t="str">
        <f>IFERROR(VLOOKUP($C514,Datensammler!$B:$AA,15,0),)</f>
        <v/>
      </c>
      <c r="E515" s="179" t="str">
        <f>IFERROR(VLOOKUP($C514,Datensammler!$B:$AA,16,0),)</f>
        <v/>
      </c>
      <c r="F515" s="179" t="str">
        <f>IFERROR(VLOOKUP($C514,Datensammler!$B:$AA,17,0),)</f>
        <v/>
      </c>
      <c r="G515" s="179" t="str">
        <f>IFERROR(VLOOKUP($C514,Datensammler!$B:$AA,18,0),)</f>
        <v/>
      </c>
      <c r="H515" s="179" t="str">
        <f>IFERROR(VLOOKUP($C514,Datensammler!$B:$AA,19,0),)</f>
        <v/>
      </c>
      <c r="I515" s="179" t="str">
        <f>IFERROR(VLOOKUP($C514,Datensammler!$B:$AA,20,0),)</f>
        <v/>
      </c>
      <c r="J515" s="180">
        <f t="shared" si="169"/>
        <v>0</v>
      </c>
      <c r="K515" s="181"/>
      <c r="L515" s="181"/>
      <c r="M515" s="181"/>
      <c r="N515" s="182"/>
      <c r="T515" s="172"/>
    </row>
    <row r="516" ht="17.25" customHeight="1">
      <c r="A516" s="212"/>
      <c r="B516" s="183"/>
      <c r="C516" s="184" t="str">
        <f>IF(VLOOKUP(T514,Spieler!A:F,6,0)="Nein","keine Bayerische Meisterschaft gewünscht","")</f>
        <v>#N/A</v>
      </c>
      <c r="D516" s="161"/>
      <c r="E516" s="170"/>
      <c r="F516" s="170"/>
      <c r="G516" s="185" t="s">
        <v>2562</v>
      </c>
      <c r="H516" s="186"/>
      <c r="I516" s="186"/>
      <c r="J516" s="186"/>
      <c r="K516" s="186"/>
      <c r="L516" s="187">
        <f t="shared" ref="L516:M516" si="170">SUM(L513:L515)</f>
        <v>0</v>
      </c>
      <c r="M516" s="110">
        <f t="shared" si="170"/>
        <v>0</v>
      </c>
      <c r="N516" s="188" t="str">
        <f>L516/M516</f>
        <v>#DIV/0!</v>
      </c>
      <c r="T516" s="189"/>
    </row>
    <row r="517" ht="17.25" customHeight="1">
      <c r="A517" s="212"/>
      <c r="B517" s="190"/>
      <c r="C517" s="178"/>
      <c r="D517" s="191"/>
      <c r="E517" s="191"/>
      <c r="F517" s="191"/>
      <c r="G517" s="191"/>
      <c r="H517" s="191"/>
      <c r="I517" s="191"/>
      <c r="J517" s="191"/>
      <c r="K517" s="110"/>
      <c r="L517" s="187"/>
      <c r="M517" s="110"/>
      <c r="N517" s="188"/>
      <c r="T517" s="194"/>
    </row>
    <row r="518" ht="17.25" customHeight="1">
      <c r="A518" s="212"/>
      <c r="B518" s="157">
        <f>B512+1</f>
        <v>86</v>
      </c>
      <c r="C518" s="158"/>
      <c r="D518" s="159" t="str">
        <f>VLOOKUP(C520,'Mitglieder BBU'!A:J,6,0)</f>
        <v>#N/A</v>
      </c>
      <c r="E518" s="60"/>
      <c r="F518" s="60"/>
      <c r="G518" s="60"/>
      <c r="H518" s="60"/>
      <c r="I518" s="61"/>
      <c r="J518" s="160"/>
      <c r="K518" s="161"/>
      <c r="L518" s="162"/>
      <c r="M518" s="163"/>
      <c r="N518" s="164"/>
      <c r="T518" s="165"/>
    </row>
    <row r="519" ht="17.25" customHeight="1">
      <c r="A519" s="212"/>
      <c r="B519" s="167"/>
      <c r="C519" s="168" t="str">
        <f>VLOOKUP(C520,'Mitglieder BBU'!A:J,6,0)</f>
        <v>#N/A</v>
      </c>
      <c r="D519" s="110" t="str">
        <f>IFERROR(VLOOKUP($C520,Datensammler!$B:$AA,3,0),)</f>
        <v/>
      </c>
      <c r="E519" s="110" t="str">
        <f>IFERROR(VLOOKUP($C520,Datensammler!$B:$AA,4,0),)</f>
        <v/>
      </c>
      <c r="F519" s="110" t="str">
        <f>IFERROR(VLOOKUP($C520,Datensammler!$B:$AA,5,0),)</f>
        <v/>
      </c>
      <c r="G519" s="110" t="str">
        <f>IFERROR(VLOOKUP($C520,Datensammler!$B:$AA,6,0),)</f>
        <v/>
      </c>
      <c r="H519" s="110" t="str">
        <f>IFERROR(VLOOKUP($C520,Datensammler!$B:$AA,7,0),)</f>
        <v/>
      </c>
      <c r="I519" s="110" t="str">
        <f>IFERROR(VLOOKUP($C520,Datensammler!$B:$AA,8,0),)</f>
        <v/>
      </c>
      <c r="J519" s="169">
        <f t="shared" ref="J519:J521" si="171">SUM(D519:I519)</f>
        <v>0</v>
      </c>
      <c r="K519" s="170" t="str">
        <f>IFERROR(VLOOKUP($C520,Datensammler!$B:$AA,23,0),)</f>
        <v/>
      </c>
      <c r="L519" s="161" t="str">
        <f>IFERROR(VLOOKUP($C520,Datensammler!$B:$AA,24,0),)</f>
        <v/>
      </c>
      <c r="M519" s="170" t="str">
        <f>IFERROR(VLOOKUP($C520,Datensammler!$B:$AA,25,0),)</f>
        <v/>
      </c>
      <c r="N519" s="171" t="str">
        <f>IF(C520=0,"",(VLOOKUP($C520,Datensammler!$B:$AA,26,0)))</f>
        <v>#N/A</v>
      </c>
      <c r="T519" s="172"/>
    </row>
    <row r="520" ht="17.25" customHeight="1">
      <c r="A520" s="212"/>
      <c r="B520" s="174"/>
      <c r="C520" s="175" t="str">
        <f>VLOOKUP(T520,Spieler!A:E,2,0)</f>
        <v>#N/A</v>
      </c>
      <c r="D520" s="170" t="str">
        <f>IFERROR(VLOOKUP($C520,Datensammler!$B:$AA,9,0),)</f>
        <v/>
      </c>
      <c r="E520" s="170" t="str">
        <f>IFERROR(VLOOKUP($C520,Datensammler!$B:$AA,10,0),)</f>
        <v/>
      </c>
      <c r="F520" s="170" t="str">
        <f>IFERROR(VLOOKUP($C520,Datensammler!$B:$AA,11,0),)</f>
        <v/>
      </c>
      <c r="G520" s="170" t="str">
        <f>IFERROR(VLOOKUP($C520,Datensammler!$B:$AA,12,0),)</f>
        <v/>
      </c>
      <c r="H520" s="170" t="str">
        <f>IFERROR(VLOOKUP($C520,Datensammler!$B:$AA,13,0),)</f>
        <v/>
      </c>
      <c r="I520" s="170" t="str">
        <f>IFERROR(VLOOKUP($C520,Datensammler!$B:$AA,14,0),)</f>
        <v/>
      </c>
      <c r="J520" s="169">
        <f t="shared" si="171"/>
        <v>0</v>
      </c>
      <c r="N520" s="176"/>
      <c r="T520" s="177" t="str">
        <f t="array" ref="T520">INDIRECT("Spieler!AD"&amp;B518+5)</f>
        <v/>
      </c>
    </row>
    <row r="521" ht="17.25" customHeight="1">
      <c r="A521" s="212"/>
      <c r="B521" s="167"/>
      <c r="C521" s="178" t="str">
        <f>VLOOKUP(C520,'Mitglieder BBU'!A:K,8,0)</f>
        <v>#N/A</v>
      </c>
      <c r="D521" s="179" t="str">
        <f>IFERROR(VLOOKUP($C520,Datensammler!$B:$AA,15,0),)</f>
        <v/>
      </c>
      <c r="E521" s="179" t="str">
        <f>IFERROR(VLOOKUP($C520,Datensammler!$B:$AA,16,0),)</f>
        <v/>
      </c>
      <c r="F521" s="179" t="str">
        <f>IFERROR(VLOOKUP($C520,Datensammler!$B:$AA,17,0),)</f>
        <v/>
      </c>
      <c r="G521" s="179" t="str">
        <f>IFERROR(VLOOKUP($C520,Datensammler!$B:$AA,18,0),)</f>
        <v/>
      </c>
      <c r="H521" s="179" t="str">
        <f>IFERROR(VLOOKUP($C520,Datensammler!$B:$AA,19,0),)</f>
        <v/>
      </c>
      <c r="I521" s="179" t="str">
        <f>IFERROR(VLOOKUP($C520,Datensammler!$B:$AA,20,0),)</f>
        <v/>
      </c>
      <c r="J521" s="180">
        <f t="shared" si="171"/>
        <v>0</v>
      </c>
      <c r="K521" s="181"/>
      <c r="L521" s="181"/>
      <c r="M521" s="181"/>
      <c r="N521" s="182"/>
      <c r="T521" s="172"/>
    </row>
    <row r="522" ht="17.25" customHeight="1">
      <c r="A522" s="212"/>
      <c r="B522" s="183"/>
      <c r="C522" s="184" t="str">
        <f>IF(VLOOKUP(T520,Spieler!A:F,6,0)="Nein","keine Bayerische Meisterschaft gewünscht","")</f>
        <v>#N/A</v>
      </c>
      <c r="D522" s="161"/>
      <c r="E522" s="170"/>
      <c r="F522" s="170"/>
      <c r="G522" s="185" t="s">
        <v>2562</v>
      </c>
      <c r="H522" s="186"/>
      <c r="I522" s="186"/>
      <c r="J522" s="186"/>
      <c r="K522" s="186"/>
      <c r="L522" s="187">
        <f t="shared" ref="L522:M522" si="172">SUM(L519:L521)</f>
        <v>0</v>
      </c>
      <c r="M522" s="110">
        <f t="shared" si="172"/>
        <v>0</v>
      </c>
      <c r="N522" s="188" t="str">
        <f>L522/M522</f>
        <v>#DIV/0!</v>
      </c>
      <c r="T522" s="189"/>
    </row>
    <row r="523" ht="17.25" customHeight="1">
      <c r="A523" s="212"/>
      <c r="B523" s="190"/>
      <c r="C523" s="178"/>
      <c r="D523" s="191"/>
      <c r="E523" s="191"/>
      <c r="F523" s="191"/>
      <c r="G523" s="191"/>
      <c r="H523" s="191"/>
      <c r="I523" s="191"/>
      <c r="J523" s="191"/>
      <c r="K523" s="191"/>
      <c r="L523" s="192"/>
      <c r="M523" s="191"/>
      <c r="N523" s="193"/>
      <c r="T523" s="194"/>
    </row>
    <row r="524" ht="17.25" customHeight="1">
      <c r="A524" s="212"/>
      <c r="B524" s="157">
        <f>B518+1</f>
        <v>87</v>
      </c>
      <c r="C524" s="158"/>
      <c r="D524" s="159" t="str">
        <f>VLOOKUP(C526,'Mitglieder BBU'!A:J,6,0)</f>
        <v>#N/A</v>
      </c>
      <c r="E524" s="60"/>
      <c r="F524" s="60"/>
      <c r="G524" s="60"/>
      <c r="H524" s="60"/>
      <c r="I524" s="61"/>
      <c r="J524" s="160"/>
      <c r="K524" s="161"/>
      <c r="L524" s="162"/>
      <c r="M524" s="163"/>
      <c r="N524" s="164"/>
      <c r="T524" s="165"/>
    </row>
    <row r="525" ht="17.25" customHeight="1">
      <c r="A525" s="212"/>
      <c r="B525" s="167"/>
      <c r="C525" s="168" t="str">
        <f>VLOOKUP(C526,'Mitglieder BBU'!A:J,6,0)</f>
        <v>#N/A</v>
      </c>
      <c r="D525" s="110" t="str">
        <f>IFERROR(VLOOKUP($C526,Datensammler!$B:$AA,3,0),)</f>
        <v/>
      </c>
      <c r="E525" s="110" t="str">
        <f>IFERROR(VLOOKUP($C526,Datensammler!$B:$AA,4,0),)</f>
        <v/>
      </c>
      <c r="F525" s="110" t="str">
        <f>IFERROR(VLOOKUP($C526,Datensammler!$B:$AA,5,0),)</f>
        <v/>
      </c>
      <c r="G525" s="110" t="str">
        <f>IFERROR(VLOOKUP($C526,Datensammler!$B:$AA,6,0),)</f>
        <v/>
      </c>
      <c r="H525" s="110" t="str">
        <f>IFERROR(VLOOKUP($C526,Datensammler!$B:$AA,7,0),)</f>
        <v/>
      </c>
      <c r="I525" s="110" t="str">
        <f>IFERROR(VLOOKUP($C526,Datensammler!$B:$AA,8,0),)</f>
        <v/>
      </c>
      <c r="J525" s="169">
        <f t="shared" ref="J525:J527" si="173">SUM(D525:I525)</f>
        <v>0</v>
      </c>
      <c r="K525" s="170" t="str">
        <f>IFERROR(VLOOKUP($C526,Datensammler!$B:$AA,23,0),)</f>
        <v/>
      </c>
      <c r="L525" s="161" t="str">
        <f>IFERROR(VLOOKUP($C526,Datensammler!$B:$AA,24,0),)</f>
        <v/>
      </c>
      <c r="M525" s="170" t="str">
        <f>IFERROR(VLOOKUP($C526,Datensammler!$B:$AA,25,0),)</f>
        <v/>
      </c>
      <c r="N525" s="171" t="str">
        <f>IF(C526=0,"",(VLOOKUP($C526,Datensammler!$B:$AA,26,0)))</f>
        <v>#N/A</v>
      </c>
      <c r="T525" s="172"/>
    </row>
    <row r="526" ht="17.25" customHeight="1">
      <c r="A526" s="212"/>
      <c r="B526" s="174"/>
      <c r="C526" s="175" t="str">
        <f>VLOOKUP(T526,Spieler!A:E,2,0)</f>
        <v>#N/A</v>
      </c>
      <c r="D526" s="170" t="str">
        <f>IFERROR(VLOOKUP($C526,Datensammler!$B:$AA,9,0),)</f>
        <v/>
      </c>
      <c r="E526" s="170" t="str">
        <f>IFERROR(VLOOKUP($C526,Datensammler!$B:$AA,10,0),)</f>
        <v/>
      </c>
      <c r="F526" s="170" t="str">
        <f>IFERROR(VLOOKUP($C526,Datensammler!$B:$AA,11,0),)</f>
        <v/>
      </c>
      <c r="G526" s="170" t="str">
        <f>IFERROR(VLOOKUP($C526,Datensammler!$B:$AA,12,0),)</f>
        <v/>
      </c>
      <c r="H526" s="170" t="str">
        <f>IFERROR(VLOOKUP($C526,Datensammler!$B:$AA,13,0),)</f>
        <v/>
      </c>
      <c r="I526" s="170" t="str">
        <f>IFERROR(VLOOKUP($C526,Datensammler!$B:$AA,14,0),)</f>
        <v/>
      </c>
      <c r="J526" s="169">
        <f t="shared" si="173"/>
        <v>0</v>
      </c>
      <c r="N526" s="176"/>
      <c r="T526" s="177" t="str">
        <f t="array" ref="T526">INDIRECT("Spieler!AD"&amp;B524+5)</f>
        <v/>
      </c>
    </row>
    <row r="527" ht="17.25" customHeight="1">
      <c r="A527" s="212"/>
      <c r="B527" s="167"/>
      <c r="C527" s="178" t="str">
        <f>VLOOKUP(C526,'Mitglieder BBU'!A:K,8,0)</f>
        <v>#N/A</v>
      </c>
      <c r="D527" s="179" t="str">
        <f>IFERROR(VLOOKUP($C526,Datensammler!$B:$AA,15,0),)</f>
        <v/>
      </c>
      <c r="E527" s="179" t="str">
        <f>IFERROR(VLOOKUP($C526,Datensammler!$B:$AA,16,0),)</f>
        <v/>
      </c>
      <c r="F527" s="179" t="str">
        <f>IFERROR(VLOOKUP($C526,Datensammler!$B:$AA,17,0),)</f>
        <v/>
      </c>
      <c r="G527" s="179" t="str">
        <f>IFERROR(VLOOKUP($C526,Datensammler!$B:$AA,18,0),)</f>
        <v/>
      </c>
      <c r="H527" s="179" t="str">
        <f>IFERROR(VLOOKUP($C526,Datensammler!$B:$AA,19,0),)</f>
        <v/>
      </c>
      <c r="I527" s="179" t="str">
        <f>IFERROR(VLOOKUP($C526,Datensammler!$B:$AA,20,0),)</f>
        <v/>
      </c>
      <c r="J527" s="180">
        <f t="shared" si="173"/>
        <v>0</v>
      </c>
      <c r="K527" s="181"/>
      <c r="L527" s="181"/>
      <c r="M527" s="181"/>
      <c r="N527" s="182"/>
      <c r="T527" s="172"/>
    </row>
    <row r="528" ht="17.25" customHeight="1">
      <c r="A528" s="212"/>
      <c r="B528" s="183"/>
      <c r="C528" s="184" t="str">
        <f>IF(VLOOKUP(T526,Spieler!A:F,6,0)="Nein","keine Bayerische Meisterschaft gewünscht","")</f>
        <v>#N/A</v>
      </c>
      <c r="D528" s="161"/>
      <c r="E528" s="170"/>
      <c r="F528" s="170"/>
      <c r="G528" s="185" t="s">
        <v>2562</v>
      </c>
      <c r="H528" s="186"/>
      <c r="I528" s="186"/>
      <c r="J528" s="186"/>
      <c r="K528" s="186"/>
      <c r="L528" s="187">
        <f t="shared" ref="L528:M528" si="174">SUM(L525:L527)</f>
        <v>0</v>
      </c>
      <c r="M528" s="110">
        <f t="shared" si="174"/>
        <v>0</v>
      </c>
      <c r="N528" s="188" t="str">
        <f>L528/M528</f>
        <v>#DIV/0!</v>
      </c>
      <c r="T528" s="189"/>
    </row>
    <row r="529" ht="17.25" customHeight="1">
      <c r="A529" s="212"/>
      <c r="B529" s="190"/>
      <c r="C529" s="178"/>
      <c r="D529" s="191"/>
      <c r="E529" s="191"/>
      <c r="F529" s="191"/>
      <c r="G529" s="191"/>
      <c r="H529" s="191"/>
      <c r="I529" s="191"/>
      <c r="J529" s="191"/>
      <c r="K529" s="191"/>
      <c r="L529" s="192"/>
      <c r="M529" s="191"/>
      <c r="N529" s="193"/>
      <c r="T529" s="194"/>
    </row>
    <row r="530" ht="17.25" customHeight="1">
      <c r="A530" s="212"/>
      <c r="B530" s="157">
        <f>B524+1</f>
        <v>88</v>
      </c>
      <c r="C530" s="158"/>
      <c r="D530" s="159" t="str">
        <f>VLOOKUP(C532,'Mitglieder BBU'!A:J,6,0)</f>
        <v>#N/A</v>
      </c>
      <c r="E530" s="60"/>
      <c r="F530" s="60"/>
      <c r="G530" s="60"/>
      <c r="H530" s="60"/>
      <c r="I530" s="61"/>
      <c r="J530" s="160"/>
      <c r="K530" s="161"/>
      <c r="L530" s="162"/>
      <c r="M530" s="163"/>
      <c r="N530" s="164"/>
      <c r="T530" s="165"/>
    </row>
    <row r="531" ht="17.25" customHeight="1">
      <c r="A531" s="212"/>
      <c r="B531" s="167"/>
      <c r="C531" s="168" t="str">
        <f>VLOOKUP(C532,'Mitglieder BBU'!A:J,6,0)</f>
        <v>#N/A</v>
      </c>
      <c r="D531" s="110" t="str">
        <f>IFERROR(VLOOKUP($C532,Datensammler!$B:$AA,3,0),)</f>
        <v/>
      </c>
      <c r="E531" s="110" t="str">
        <f>IFERROR(VLOOKUP($C532,Datensammler!$B:$AA,4,0),)</f>
        <v/>
      </c>
      <c r="F531" s="110" t="str">
        <f>IFERROR(VLOOKUP($C532,Datensammler!$B:$AA,5,0),)</f>
        <v/>
      </c>
      <c r="G531" s="110" t="str">
        <f>IFERROR(VLOOKUP($C532,Datensammler!$B:$AA,6,0),)</f>
        <v/>
      </c>
      <c r="H531" s="110" t="str">
        <f>IFERROR(VLOOKUP($C532,Datensammler!$B:$AA,7,0),)</f>
        <v/>
      </c>
      <c r="I531" s="110" t="str">
        <f>IFERROR(VLOOKUP($C532,Datensammler!$B:$AA,8,0),)</f>
        <v/>
      </c>
      <c r="J531" s="169">
        <f t="shared" ref="J531:J533" si="175">SUM(D531:I531)</f>
        <v>0</v>
      </c>
      <c r="K531" s="170" t="str">
        <f>IFERROR(VLOOKUP($C532,Datensammler!$B:$AA,23,0),)</f>
        <v/>
      </c>
      <c r="L531" s="161" t="str">
        <f>IFERROR(VLOOKUP($C532,Datensammler!$B:$AA,24,0),)</f>
        <v/>
      </c>
      <c r="M531" s="170" t="str">
        <f>IFERROR(VLOOKUP($C532,Datensammler!$B:$AA,25,0),)</f>
        <v/>
      </c>
      <c r="N531" s="171" t="str">
        <f>IF(C532=0,"",(VLOOKUP($C532,Datensammler!$B:$AA,26,0)))</f>
        <v>#N/A</v>
      </c>
      <c r="T531" s="172"/>
    </row>
    <row r="532" ht="17.25" customHeight="1">
      <c r="A532" s="212"/>
      <c r="B532" s="174"/>
      <c r="C532" s="175" t="str">
        <f>VLOOKUP(T532,Spieler!A:E,2,0)</f>
        <v>#N/A</v>
      </c>
      <c r="D532" s="170" t="str">
        <f>IFERROR(VLOOKUP($C532,Datensammler!$B:$AA,9,0),)</f>
        <v/>
      </c>
      <c r="E532" s="170" t="str">
        <f>IFERROR(VLOOKUP($C532,Datensammler!$B:$AA,10,0),)</f>
        <v/>
      </c>
      <c r="F532" s="170" t="str">
        <f>IFERROR(VLOOKUP($C532,Datensammler!$B:$AA,11,0),)</f>
        <v/>
      </c>
      <c r="G532" s="170" t="str">
        <f>IFERROR(VLOOKUP($C532,Datensammler!$B:$AA,12,0),)</f>
        <v/>
      </c>
      <c r="H532" s="170" t="str">
        <f>IFERROR(VLOOKUP($C532,Datensammler!$B:$AA,13,0),)</f>
        <v/>
      </c>
      <c r="I532" s="170" t="str">
        <f>IFERROR(VLOOKUP($C532,Datensammler!$B:$AA,14,0),)</f>
        <v/>
      </c>
      <c r="J532" s="169">
        <f t="shared" si="175"/>
        <v>0</v>
      </c>
      <c r="N532" s="176"/>
      <c r="T532" s="177" t="str">
        <f t="array" ref="T532">INDIRECT("Spieler!AD"&amp;B530+5)</f>
        <v/>
      </c>
    </row>
    <row r="533" ht="17.25" customHeight="1">
      <c r="A533" s="212"/>
      <c r="B533" s="167"/>
      <c r="C533" s="178" t="str">
        <f>VLOOKUP(C532,'Mitglieder BBU'!A:K,8,0)</f>
        <v>#N/A</v>
      </c>
      <c r="D533" s="179" t="str">
        <f>IFERROR(VLOOKUP($C532,Datensammler!$B:$AA,15,0),)</f>
        <v/>
      </c>
      <c r="E533" s="179" t="str">
        <f>IFERROR(VLOOKUP($C532,Datensammler!$B:$AA,16,0),)</f>
        <v/>
      </c>
      <c r="F533" s="179" t="str">
        <f>IFERROR(VLOOKUP($C532,Datensammler!$B:$AA,17,0),)</f>
        <v/>
      </c>
      <c r="G533" s="179" t="str">
        <f>IFERROR(VLOOKUP($C532,Datensammler!$B:$AA,18,0),)</f>
        <v/>
      </c>
      <c r="H533" s="179" t="str">
        <f>IFERROR(VLOOKUP($C532,Datensammler!$B:$AA,19,0),)</f>
        <v/>
      </c>
      <c r="I533" s="179" t="str">
        <f>IFERROR(VLOOKUP($C532,Datensammler!$B:$AA,20,0),)</f>
        <v/>
      </c>
      <c r="J533" s="180">
        <f t="shared" si="175"/>
        <v>0</v>
      </c>
      <c r="K533" s="181"/>
      <c r="L533" s="181"/>
      <c r="M533" s="181"/>
      <c r="N533" s="182"/>
      <c r="T533" s="172"/>
    </row>
    <row r="534" ht="17.25" customHeight="1">
      <c r="A534" s="212"/>
      <c r="B534" s="183"/>
      <c r="C534" s="184" t="str">
        <f>IF(VLOOKUP(T532,Spieler!A:F,6,0)="Nein","keine Bayerische Meisterschaft gewünscht","")</f>
        <v>#N/A</v>
      </c>
      <c r="D534" s="161"/>
      <c r="E534" s="170"/>
      <c r="F534" s="170"/>
      <c r="G534" s="185" t="s">
        <v>2562</v>
      </c>
      <c r="H534" s="186"/>
      <c r="I534" s="186"/>
      <c r="J534" s="186"/>
      <c r="K534" s="186"/>
      <c r="L534" s="187">
        <f t="shared" ref="L534:M534" si="176">SUM(L531:L533)</f>
        <v>0</v>
      </c>
      <c r="M534" s="110">
        <f t="shared" si="176"/>
        <v>0</v>
      </c>
      <c r="N534" s="188" t="str">
        <f>L534/M534</f>
        <v>#DIV/0!</v>
      </c>
      <c r="T534" s="189"/>
    </row>
    <row r="535" ht="17.25" customHeight="1">
      <c r="A535" s="212"/>
      <c r="B535" s="190"/>
      <c r="C535" s="178"/>
      <c r="D535" s="191"/>
      <c r="E535" s="191"/>
      <c r="F535" s="191"/>
      <c r="G535" s="191"/>
      <c r="H535" s="191"/>
      <c r="I535" s="191"/>
      <c r="J535" s="191"/>
      <c r="K535" s="191"/>
      <c r="L535" s="192"/>
      <c r="M535" s="191"/>
      <c r="N535" s="193"/>
      <c r="T535" s="194"/>
    </row>
    <row r="536" ht="17.25" customHeight="1">
      <c r="A536" s="212"/>
      <c r="B536" s="157">
        <f>B530+1</f>
        <v>89</v>
      </c>
      <c r="C536" s="158"/>
      <c r="D536" s="159" t="str">
        <f>VLOOKUP(C538,'Mitglieder BBU'!A:J,6,0)</f>
        <v>#N/A</v>
      </c>
      <c r="E536" s="60"/>
      <c r="F536" s="60"/>
      <c r="G536" s="60"/>
      <c r="H536" s="60"/>
      <c r="I536" s="61"/>
      <c r="J536" s="160"/>
      <c r="K536" s="161"/>
      <c r="L536" s="162"/>
      <c r="M536" s="163"/>
      <c r="N536" s="164"/>
      <c r="T536" s="165"/>
    </row>
    <row r="537" ht="17.25" customHeight="1">
      <c r="A537" s="212"/>
      <c r="B537" s="167"/>
      <c r="C537" s="168" t="str">
        <f>VLOOKUP(C538,'Mitglieder BBU'!A:J,6,0)</f>
        <v>#N/A</v>
      </c>
      <c r="D537" s="110" t="str">
        <f>IFERROR(VLOOKUP($C538,Datensammler!$B:$AA,3,0),)</f>
        <v/>
      </c>
      <c r="E537" s="110" t="str">
        <f>IFERROR(VLOOKUP($C538,Datensammler!$B:$AA,4,0),)</f>
        <v/>
      </c>
      <c r="F537" s="110" t="str">
        <f>IFERROR(VLOOKUP($C538,Datensammler!$B:$AA,5,0),)</f>
        <v/>
      </c>
      <c r="G537" s="110" t="str">
        <f>IFERROR(VLOOKUP($C538,Datensammler!$B:$AA,6,0),)</f>
        <v/>
      </c>
      <c r="H537" s="110" t="str">
        <f>IFERROR(VLOOKUP($C538,Datensammler!$B:$AA,7,0),)</f>
        <v/>
      </c>
      <c r="I537" s="110" t="str">
        <f>IFERROR(VLOOKUP($C538,Datensammler!$B:$AA,8,0),)</f>
        <v/>
      </c>
      <c r="J537" s="169">
        <f t="shared" ref="J537:J539" si="177">SUM(D537:I537)</f>
        <v>0</v>
      </c>
      <c r="K537" s="170" t="str">
        <f>IFERROR(VLOOKUP($C538,Datensammler!$B:$AA,23,0),)</f>
        <v/>
      </c>
      <c r="L537" s="161" t="str">
        <f>IFERROR(VLOOKUP($C538,Datensammler!$B:$AA,24,0),)</f>
        <v/>
      </c>
      <c r="M537" s="170" t="str">
        <f>IFERROR(VLOOKUP($C538,Datensammler!$B:$AA,25,0),)</f>
        <v/>
      </c>
      <c r="N537" s="171" t="str">
        <f>IF(C538=0,"",(VLOOKUP($C538,Datensammler!$B:$AA,26,0)))</f>
        <v>#N/A</v>
      </c>
      <c r="T537" s="172"/>
    </row>
    <row r="538" ht="17.25" customHeight="1">
      <c r="A538" s="212"/>
      <c r="B538" s="174"/>
      <c r="C538" s="175" t="str">
        <f>VLOOKUP(T538,Spieler!A:E,2,0)</f>
        <v>#N/A</v>
      </c>
      <c r="D538" s="170" t="str">
        <f>IFERROR(VLOOKUP($C538,Datensammler!$B:$AA,9,0),)</f>
        <v/>
      </c>
      <c r="E538" s="170" t="str">
        <f>IFERROR(VLOOKUP($C538,Datensammler!$B:$AA,10,0),)</f>
        <v/>
      </c>
      <c r="F538" s="170" t="str">
        <f>IFERROR(VLOOKUP($C538,Datensammler!$B:$AA,11,0),)</f>
        <v/>
      </c>
      <c r="G538" s="170" t="str">
        <f>IFERROR(VLOOKUP($C538,Datensammler!$B:$AA,12,0),)</f>
        <v/>
      </c>
      <c r="H538" s="170" t="str">
        <f>IFERROR(VLOOKUP($C538,Datensammler!$B:$AA,13,0),)</f>
        <v/>
      </c>
      <c r="I538" s="170" t="str">
        <f>IFERROR(VLOOKUP($C538,Datensammler!$B:$AA,14,0),)</f>
        <v/>
      </c>
      <c r="J538" s="169">
        <f t="shared" si="177"/>
        <v>0</v>
      </c>
      <c r="N538" s="176"/>
      <c r="T538" s="177" t="str">
        <f t="array" ref="T538">INDIRECT("Spieler!AD"&amp;B536+5)</f>
        <v/>
      </c>
    </row>
    <row r="539" ht="17.25" customHeight="1">
      <c r="A539" s="212"/>
      <c r="B539" s="167"/>
      <c r="C539" s="178" t="str">
        <f>VLOOKUP(C538,'Mitglieder BBU'!A:K,8,0)</f>
        <v>#N/A</v>
      </c>
      <c r="D539" s="179" t="str">
        <f>IFERROR(VLOOKUP($C538,Datensammler!$B:$AA,15,0),)</f>
        <v/>
      </c>
      <c r="E539" s="179" t="str">
        <f>IFERROR(VLOOKUP($C538,Datensammler!$B:$AA,16,0),)</f>
        <v/>
      </c>
      <c r="F539" s="179" t="str">
        <f>IFERROR(VLOOKUP($C538,Datensammler!$B:$AA,17,0),)</f>
        <v/>
      </c>
      <c r="G539" s="179" t="str">
        <f>IFERROR(VLOOKUP($C538,Datensammler!$B:$AA,18,0),)</f>
        <v/>
      </c>
      <c r="H539" s="179" t="str">
        <f>IFERROR(VLOOKUP($C538,Datensammler!$B:$AA,19,0),)</f>
        <v/>
      </c>
      <c r="I539" s="179" t="str">
        <f>IFERROR(VLOOKUP($C538,Datensammler!$B:$AA,20,0),)</f>
        <v/>
      </c>
      <c r="J539" s="180">
        <f t="shared" si="177"/>
        <v>0</v>
      </c>
      <c r="K539" s="181"/>
      <c r="L539" s="181"/>
      <c r="M539" s="181"/>
      <c r="N539" s="182"/>
      <c r="T539" s="172"/>
    </row>
    <row r="540" ht="17.25" customHeight="1">
      <c r="A540" s="212"/>
      <c r="B540" s="183"/>
      <c r="C540" s="184" t="str">
        <f>IF(VLOOKUP(T538,Spieler!A:F,6,0)="Nein","keine Bayerische Meisterschaft gewünscht","")</f>
        <v>#N/A</v>
      </c>
      <c r="D540" s="161"/>
      <c r="E540" s="170"/>
      <c r="F540" s="170"/>
      <c r="G540" s="185" t="s">
        <v>2562</v>
      </c>
      <c r="H540" s="186"/>
      <c r="I540" s="186"/>
      <c r="J540" s="186"/>
      <c r="K540" s="186"/>
      <c r="L540" s="187">
        <f t="shared" ref="L540:M540" si="178">SUM(L537:L539)</f>
        <v>0</v>
      </c>
      <c r="M540" s="110">
        <f t="shared" si="178"/>
        <v>0</v>
      </c>
      <c r="N540" s="188" t="str">
        <f>L540/M540</f>
        <v>#DIV/0!</v>
      </c>
      <c r="T540" s="189"/>
    </row>
    <row r="541" ht="17.25" customHeight="1">
      <c r="A541" s="212"/>
      <c r="B541" s="190"/>
      <c r="C541" s="178"/>
      <c r="D541" s="191"/>
      <c r="E541" s="191"/>
      <c r="F541" s="191"/>
      <c r="G541" s="191"/>
      <c r="H541" s="191"/>
      <c r="I541" s="191"/>
      <c r="J541" s="191"/>
      <c r="K541" s="191"/>
      <c r="L541" s="192"/>
      <c r="M541" s="191"/>
      <c r="N541" s="193"/>
      <c r="T541" s="194"/>
    </row>
    <row r="542" ht="17.25" customHeight="1">
      <c r="A542" s="212"/>
      <c r="B542" s="157">
        <f>B536+1</f>
        <v>90</v>
      </c>
      <c r="C542" s="158"/>
      <c r="D542" s="159" t="str">
        <f>VLOOKUP(C544,'Mitglieder BBU'!A:J,6,0)</f>
        <v>#N/A</v>
      </c>
      <c r="E542" s="60"/>
      <c r="F542" s="60"/>
      <c r="G542" s="60"/>
      <c r="H542" s="60"/>
      <c r="I542" s="61"/>
      <c r="J542" s="160"/>
      <c r="K542" s="161"/>
      <c r="L542" s="162"/>
      <c r="M542" s="163"/>
      <c r="N542" s="164"/>
      <c r="T542" s="165"/>
    </row>
    <row r="543" ht="17.25" customHeight="1">
      <c r="A543" s="212"/>
      <c r="B543" s="167"/>
      <c r="C543" s="168" t="str">
        <f>VLOOKUP(C544,'Mitglieder BBU'!A:J,6,0)</f>
        <v>#N/A</v>
      </c>
      <c r="D543" s="110" t="str">
        <f>IFERROR(VLOOKUP($C544,Datensammler!$B:$AA,3,0),)</f>
        <v/>
      </c>
      <c r="E543" s="110" t="str">
        <f>IFERROR(VLOOKUP($C544,Datensammler!$B:$AA,4,0),)</f>
        <v/>
      </c>
      <c r="F543" s="110" t="str">
        <f>IFERROR(VLOOKUP($C544,Datensammler!$B:$AA,5,0),)</f>
        <v/>
      </c>
      <c r="G543" s="110" t="str">
        <f>IFERROR(VLOOKUP($C544,Datensammler!$B:$AA,6,0),)</f>
        <v/>
      </c>
      <c r="H543" s="110" t="str">
        <f>IFERROR(VLOOKUP($C544,Datensammler!$B:$AA,7,0),)</f>
        <v/>
      </c>
      <c r="I543" s="110" t="str">
        <f>IFERROR(VLOOKUP($C544,Datensammler!$B:$AA,8,0),)</f>
        <v/>
      </c>
      <c r="J543" s="169">
        <f t="shared" ref="J543:J545" si="179">SUM(D543:I543)</f>
        <v>0</v>
      </c>
      <c r="K543" s="170" t="str">
        <f>IFERROR(VLOOKUP($C544,Datensammler!$B:$AA,23,0),)</f>
        <v/>
      </c>
      <c r="L543" s="161" t="str">
        <f>IFERROR(VLOOKUP($C544,Datensammler!$B:$AA,24,0),)</f>
        <v/>
      </c>
      <c r="M543" s="170" t="str">
        <f>IFERROR(VLOOKUP($C544,Datensammler!$B:$AA,25,0),)</f>
        <v/>
      </c>
      <c r="N543" s="171" t="str">
        <f>IF(C544=0,"",(VLOOKUP($C544,Datensammler!$B:$AA,26,0)))</f>
        <v>#N/A</v>
      </c>
      <c r="T543" s="172"/>
    </row>
    <row r="544" ht="17.25" customHeight="1">
      <c r="A544" s="212"/>
      <c r="B544" s="174"/>
      <c r="C544" s="175" t="str">
        <f>VLOOKUP(T544,Spieler!A:E,2,0)</f>
        <v>#N/A</v>
      </c>
      <c r="D544" s="170" t="str">
        <f>IFERROR(VLOOKUP($C544,Datensammler!$B:$AA,9,0),)</f>
        <v/>
      </c>
      <c r="E544" s="170" t="str">
        <f>IFERROR(VLOOKUP($C544,Datensammler!$B:$AA,10,0),)</f>
        <v/>
      </c>
      <c r="F544" s="170" t="str">
        <f>IFERROR(VLOOKUP($C544,Datensammler!$B:$AA,11,0),)</f>
        <v/>
      </c>
      <c r="G544" s="170" t="str">
        <f>IFERROR(VLOOKUP($C544,Datensammler!$B:$AA,12,0),)</f>
        <v/>
      </c>
      <c r="H544" s="170" t="str">
        <f>IFERROR(VLOOKUP($C544,Datensammler!$B:$AA,13,0),)</f>
        <v/>
      </c>
      <c r="I544" s="170" t="str">
        <f>IFERROR(VLOOKUP($C544,Datensammler!$B:$AA,14,0),)</f>
        <v/>
      </c>
      <c r="J544" s="169">
        <f t="shared" si="179"/>
        <v>0</v>
      </c>
      <c r="N544" s="176"/>
      <c r="T544" s="177" t="str">
        <f t="array" ref="T544">INDIRECT("Spieler!AD"&amp;B542+5)</f>
        <v/>
      </c>
    </row>
    <row r="545" ht="17.25" customHeight="1">
      <c r="A545" s="212"/>
      <c r="B545" s="167"/>
      <c r="C545" s="178" t="str">
        <f>VLOOKUP(C544,'Mitglieder BBU'!A:K,8,0)</f>
        <v>#N/A</v>
      </c>
      <c r="D545" s="179" t="str">
        <f>IFERROR(VLOOKUP($C544,Datensammler!$B:$AA,15,0),)</f>
        <v/>
      </c>
      <c r="E545" s="179" t="str">
        <f>IFERROR(VLOOKUP($C544,Datensammler!$B:$AA,16,0),)</f>
        <v/>
      </c>
      <c r="F545" s="179" t="str">
        <f>IFERROR(VLOOKUP($C544,Datensammler!$B:$AA,17,0),)</f>
        <v/>
      </c>
      <c r="G545" s="179" t="str">
        <f>IFERROR(VLOOKUP($C544,Datensammler!$B:$AA,18,0),)</f>
        <v/>
      </c>
      <c r="H545" s="179" t="str">
        <f>IFERROR(VLOOKUP($C544,Datensammler!$B:$AA,19,0),)</f>
        <v/>
      </c>
      <c r="I545" s="179" t="str">
        <f>IFERROR(VLOOKUP($C544,Datensammler!$B:$AA,20,0),)</f>
        <v/>
      </c>
      <c r="J545" s="180">
        <f t="shared" si="179"/>
        <v>0</v>
      </c>
      <c r="K545" s="181"/>
      <c r="L545" s="181"/>
      <c r="M545" s="181"/>
      <c r="N545" s="182"/>
      <c r="T545" s="172"/>
    </row>
    <row r="546" ht="17.25" customHeight="1">
      <c r="A546" s="212"/>
      <c r="B546" s="183"/>
      <c r="C546" s="184" t="str">
        <f>IF(VLOOKUP(T544,Spieler!A:F,6,0)="Nein","keine Bayerische Meisterschaft gewünscht","")</f>
        <v>#N/A</v>
      </c>
      <c r="D546" s="161"/>
      <c r="E546" s="170"/>
      <c r="F546" s="170"/>
      <c r="G546" s="185" t="s">
        <v>2562</v>
      </c>
      <c r="H546" s="186"/>
      <c r="I546" s="186"/>
      <c r="J546" s="186"/>
      <c r="K546" s="186"/>
      <c r="L546" s="187">
        <f t="shared" ref="L546:M546" si="180">SUM(L543:L545)</f>
        <v>0</v>
      </c>
      <c r="M546" s="110">
        <f t="shared" si="180"/>
        <v>0</v>
      </c>
      <c r="N546" s="188" t="str">
        <f>L546/M546</f>
        <v>#DIV/0!</v>
      </c>
      <c r="T546" s="189"/>
    </row>
    <row r="547" ht="17.25" customHeight="1">
      <c r="A547" s="212"/>
      <c r="B547" s="190"/>
      <c r="C547" s="178"/>
      <c r="D547" s="191"/>
      <c r="E547" s="191"/>
      <c r="F547" s="191"/>
      <c r="G547" s="191"/>
      <c r="H547" s="191"/>
      <c r="I547" s="191"/>
      <c r="J547" s="191"/>
      <c r="K547" s="110"/>
      <c r="L547" s="187"/>
      <c r="M547" s="110"/>
      <c r="N547" s="188"/>
      <c r="T547" s="194"/>
    </row>
    <row r="548" ht="17.25" customHeight="1">
      <c r="A548" s="212"/>
      <c r="B548" s="157">
        <f>B542+1</f>
        <v>91</v>
      </c>
      <c r="C548" s="158"/>
      <c r="D548" s="159" t="str">
        <f>VLOOKUP(C550,'Mitglieder BBU'!A:J,6,0)</f>
        <v>#N/A</v>
      </c>
      <c r="E548" s="60"/>
      <c r="F548" s="60"/>
      <c r="G548" s="60"/>
      <c r="H548" s="60"/>
      <c r="I548" s="61"/>
      <c r="J548" s="160"/>
      <c r="K548" s="161"/>
      <c r="L548" s="162"/>
      <c r="M548" s="163"/>
      <c r="N548" s="164"/>
      <c r="T548" s="165"/>
    </row>
    <row r="549" ht="17.25" customHeight="1">
      <c r="A549" s="212"/>
      <c r="B549" s="167"/>
      <c r="C549" s="168" t="str">
        <f>VLOOKUP(C550,'Mitglieder BBU'!A:J,6,0)</f>
        <v>#N/A</v>
      </c>
      <c r="D549" s="110" t="str">
        <f>IFERROR(VLOOKUP($C550,Datensammler!$B:$AA,3,0),)</f>
        <v/>
      </c>
      <c r="E549" s="110" t="str">
        <f>IFERROR(VLOOKUP($C550,Datensammler!$B:$AA,4,0),)</f>
        <v/>
      </c>
      <c r="F549" s="110" t="str">
        <f>IFERROR(VLOOKUP($C550,Datensammler!$B:$AA,5,0),)</f>
        <v/>
      </c>
      <c r="G549" s="110" t="str">
        <f>IFERROR(VLOOKUP($C550,Datensammler!$B:$AA,6,0),)</f>
        <v/>
      </c>
      <c r="H549" s="110" t="str">
        <f>IFERROR(VLOOKUP($C550,Datensammler!$B:$AA,7,0),)</f>
        <v/>
      </c>
      <c r="I549" s="110" t="str">
        <f>IFERROR(VLOOKUP($C550,Datensammler!$B:$AA,8,0),)</f>
        <v/>
      </c>
      <c r="J549" s="169">
        <f t="shared" ref="J549:J551" si="181">SUM(D549:I549)</f>
        <v>0</v>
      </c>
      <c r="K549" s="170" t="str">
        <f>IFERROR(VLOOKUP($C550,Datensammler!$B:$AA,23,0),)</f>
        <v/>
      </c>
      <c r="L549" s="161" t="str">
        <f>IFERROR(VLOOKUP($C550,Datensammler!$B:$AA,24,0),)</f>
        <v/>
      </c>
      <c r="M549" s="170" t="str">
        <f>IFERROR(VLOOKUP($C550,Datensammler!$B:$AA,25,0),)</f>
        <v/>
      </c>
      <c r="N549" s="171" t="str">
        <f>IF(C550=0,"",(VLOOKUP($C550,Datensammler!$B:$AA,26,0)))</f>
        <v>#N/A</v>
      </c>
      <c r="T549" s="172"/>
    </row>
    <row r="550" ht="17.25" customHeight="1">
      <c r="A550" s="212"/>
      <c r="B550" s="174"/>
      <c r="C550" s="175" t="str">
        <f>VLOOKUP(T550,Spieler!A:E,2,0)</f>
        <v>#N/A</v>
      </c>
      <c r="D550" s="170" t="str">
        <f>IFERROR(VLOOKUP($C550,Datensammler!$B:$AA,9,0),)</f>
        <v/>
      </c>
      <c r="E550" s="170" t="str">
        <f>IFERROR(VLOOKUP($C550,Datensammler!$B:$AA,10,0),)</f>
        <v/>
      </c>
      <c r="F550" s="170" t="str">
        <f>IFERROR(VLOOKUP($C550,Datensammler!$B:$AA,11,0),)</f>
        <v/>
      </c>
      <c r="G550" s="170" t="str">
        <f>IFERROR(VLOOKUP($C550,Datensammler!$B:$AA,12,0),)</f>
        <v/>
      </c>
      <c r="H550" s="170" t="str">
        <f>IFERROR(VLOOKUP($C550,Datensammler!$B:$AA,13,0),)</f>
        <v/>
      </c>
      <c r="I550" s="170" t="str">
        <f>IFERROR(VLOOKUP($C550,Datensammler!$B:$AA,14,0),)</f>
        <v/>
      </c>
      <c r="J550" s="169">
        <f t="shared" si="181"/>
        <v>0</v>
      </c>
      <c r="N550" s="176"/>
      <c r="T550" s="177" t="str">
        <f t="array" ref="T550">INDIRECT("Spieler!AD"&amp;B548+5)</f>
        <v/>
      </c>
    </row>
    <row r="551" ht="17.25" customHeight="1">
      <c r="A551" s="212"/>
      <c r="B551" s="167"/>
      <c r="C551" s="178" t="str">
        <f>VLOOKUP(C550,'Mitglieder BBU'!A:K,8,0)</f>
        <v>#N/A</v>
      </c>
      <c r="D551" s="179" t="str">
        <f>IFERROR(VLOOKUP($C550,Datensammler!$B:$AA,15,0),)</f>
        <v/>
      </c>
      <c r="E551" s="179" t="str">
        <f>IFERROR(VLOOKUP($C550,Datensammler!$B:$AA,16,0),)</f>
        <v/>
      </c>
      <c r="F551" s="179" t="str">
        <f>IFERROR(VLOOKUP($C550,Datensammler!$B:$AA,17,0),)</f>
        <v/>
      </c>
      <c r="G551" s="179" t="str">
        <f>IFERROR(VLOOKUP($C550,Datensammler!$B:$AA,18,0),)</f>
        <v/>
      </c>
      <c r="H551" s="179" t="str">
        <f>IFERROR(VLOOKUP($C550,Datensammler!$B:$AA,19,0),)</f>
        <v/>
      </c>
      <c r="I551" s="179" t="str">
        <f>IFERROR(VLOOKUP($C550,Datensammler!$B:$AA,20,0),)</f>
        <v/>
      </c>
      <c r="J551" s="180">
        <f t="shared" si="181"/>
        <v>0</v>
      </c>
      <c r="K551" s="181"/>
      <c r="L551" s="181"/>
      <c r="M551" s="181"/>
      <c r="N551" s="182"/>
      <c r="T551" s="172"/>
    </row>
    <row r="552" ht="17.25" customHeight="1">
      <c r="A552" s="212"/>
      <c r="B552" s="183"/>
      <c r="C552" s="184" t="str">
        <f>IF(VLOOKUP(T550,Spieler!A:F,6,0)="Nein","keine Bayerische Meisterschaft gewünscht","")</f>
        <v>#N/A</v>
      </c>
      <c r="D552" s="161"/>
      <c r="E552" s="170"/>
      <c r="F552" s="170"/>
      <c r="G552" s="185" t="s">
        <v>2562</v>
      </c>
      <c r="H552" s="186"/>
      <c r="I552" s="186"/>
      <c r="J552" s="186"/>
      <c r="K552" s="186"/>
      <c r="L552" s="187">
        <f t="shared" ref="L552:M552" si="182">SUM(L549:L551)</f>
        <v>0</v>
      </c>
      <c r="M552" s="110">
        <f t="shared" si="182"/>
        <v>0</v>
      </c>
      <c r="N552" s="188" t="str">
        <f>L552/M552</f>
        <v>#DIV/0!</v>
      </c>
      <c r="T552" s="189"/>
    </row>
    <row r="553" ht="17.25" customHeight="1">
      <c r="A553" s="212"/>
      <c r="B553" s="190"/>
      <c r="C553" s="178"/>
      <c r="D553" s="191"/>
      <c r="E553" s="191"/>
      <c r="F553" s="191"/>
      <c r="G553" s="191"/>
      <c r="H553" s="191"/>
      <c r="I553" s="191"/>
      <c r="J553" s="191"/>
      <c r="K553" s="191"/>
      <c r="L553" s="192"/>
      <c r="M553" s="191"/>
      <c r="N553" s="193"/>
      <c r="T553" s="194"/>
    </row>
    <row r="554" ht="17.25" customHeight="1">
      <c r="A554" s="212"/>
      <c r="B554" s="157">
        <f>B548+1</f>
        <v>92</v>
      </c>
      <c r="C554" s="158"/>
      <c r="D554" s="159" t="str">
        <f>VLOOKUP(C556,'Mitglieder BBU'!A:J,6,0)</f>
        <v>#N/A</v>
      </c>
      <c r="E554" s="60"/>
      <c r="F554" s="60"/>
      <c r="G554" s="60"/>
      <c r="H554" s="60"/>
      <c r="I554" s="61"/>
      <c r="J554" s="160"/>
      <c r="K554" s="161"/>
      <c r="L554" s="162"/>
      <c r="M554" s="163"/>
      <c r="N554" s="164"/>
      <c r="T554" s="165"/>
    </row>
    <row r="555" ht="17.25" customHeight="1">
      <c r="A555" s="212"/>
      <c r="B555" s="167"/>
      <c r="C555" s="168" t="str">
        <f>VLOOKUP(C556,'Mitglieder BBU'!A:J,6,0)</f>
        <v>#N/A</v>
      </c>
      <c r="D555" s="110" t="str">
        <f>IFERROR(VLOOKUP($C556,Datensammler!$B:$AA,3,0),)</f>
        <v/>
      </c>
      <c r="E555" s="110" t="str">
        <f>IFERROR(VLOOKUP($C556,Datensammler!$B:$AA,4,0),)</f>
        <v/>
      </c>
      <c r="F555" s="110" t="str">
        <f>IFERROR(VLOOKUP($C556,Datensammler!$B:$AA,5,0),)</f>
        <v/>
      </c>
      <c r="G555" s="110" t="str">
        <f>IFERROR(VLOOKUP($C556,Datensammler!$B:$AA,6,0),)</f>
        <v/>
      </c>
      <c r="H555" s="110" t="str">
        <f>IFERROR(VLOOKUP($C556,Datensammler!$B:$AA,7,0),)</f>
        <v/>
      </c>
      <c r="I555" s="110" t="str">
        <f>IFERROR(VLOOKUP($C556,Datensammler!$B:$AA,8,0),)</f>
        <v/>
      </c>
      <c r="J555" s="169">
        <f t="shared" ref="J555:J557" si="183">SUM(D555:I555)</f>
        <v>0</v>
      </c>
      <c r="K555" s="170" t="str">
        <f>IFERROR(VLOOKUP($C556,Datensammler!$B:$AA,23,0),)</f>
        <v/>
      </c>
      <c r="L555" s="161" t="str">
        <f>IFERROR(VLOOKUP($C556,Datensammler!$B:$AA,24,0),)</f>
        <v/>
      </c>
      <c r="M555" s="170" t="str">
        <f>IFERROR(VLOOKUP($C556,Datensammler!$B:$AA,25,0),)</f>
        <v/>
      </c>
      <c r="N555" s="171" t="str">
        <f>IF(C556=0,"",(VLOOKUP($C556,Datensammler!$B:$AA,26,0)))</f>
        <v>#N/A</v>
      </c>
      <c r="T555" s="172"/>
    </row>
    <row r="556" ht="17.25" customHeight="1">
      <c r="A556" s="212"/>
      <c r="B556" s="174"/>
      <c r="C556" s="175" t="str">
        <f>VLOOKUP(T556,Spieler!A:E,2,0)</f>
        <v>#N/A</v>
      </c>
      <c r="D556" s="170" t="str">
        <f>IFERROR(VLOOKUP($C556,Datensammler!$B:$AA,9,0),)</f>
        <v/>
      </c>
      <c r="E556" s="170" t="str">
        <f>IFERROR(VLOOKUP($C556,Datensammler!$B:$AA,10,0),)</f>
        <v/>
      </c>
      <c r="F556" s="170" t="str">
        <f>IFERROR(VLOOKUP($C556,Datensammler!$B:$AA,11,0),)</f>
        <v/>
      </c>
      <c r="G556" s="170" t="str">
        <f>IFERROR(VLOOKUP($C556,Datensammler!$B:$AA,12,0),)</f>
        <v/>
      </c>
      <c r="H556" s="170" t="str">
        <f>IFERROR(VLOOKUP($C556,Datensammler!$B:$AA,13,0),)</f>
        <v/>
      </c>
      <c r="I556" s="170" t="str">
        <f>IFERROR(VLOOKUP($C556,Datensammler!$B:$AA,14,0),)</f>
        <v/>
      </c>
      <c r="J556" s="169">
        <f t="shared" si="183"/>
        <v>0</v>
      </c>
      <c r="N556" s="176"/>
      <c r="T556" s="177" t="str">
        <f t="array" ref="T556">INDIRECT("Spieler!AD"&amp;B554+5)</f>
        <v/>
      </c>
    </row>
    <row r="557" ht="17.25" customHeight="1">
      <c r="A557" s="212"/>
      <c r="B557" s="167"/>
      <c r="C557" s="178" t="str">
        <f>VLOOKUP(C556,'Mitglieder BBU'!A:K,8,0)</f>
        <v>#N/A</v>
      </c>
      <c r="D557" s="179" t="str">
        <f>IFERROR(VLOOKUP($C556,Datensammler!$B:$AA,15,0),)</f>
        <v/>
      </c>
      <c r="E557" s="179" t="str">
        <f>IFERROR(VLOOKUP($C556,Datensammler!$B:$AA,16,0),)</f>
        <v/>
      </c>
      <c r="F557" s="179" t="str">
        <f>IFERROR(VLOOKUP($C556,Datensammler!$B:$AA,17,0),)</f>
        <v/>
      </c>
      <c r="G557" s="179" t="str">
        <f>IFERROR(VLOOKUP($C556,Datensammler!$B:$AA,18,0),)</f>
        <v/>
      </c>
      <c r="H557" s="179" t="str">
        <f>IFERROR(VLOOKUP($C556,Datensammler!$B:$AA,19,0),)</f>
        <v/>
      </c>
      <c r="I557" s="179" t="str">
        <f>IFERROR(VLOOKUP($C556,Datensammler!$B:$AA,20,0),)</f>
        <v/>
      </c>
      <c r="J557" s="180">
        <f t="shared" si="183"/>
        <v>0</v>
      </c>
      <c r="K557" s="181"/>
      <c r="L557" s="181"/>
      <c r="M557" s="181"/>
      <c r="N557" s="182"/>
      <c r="T557" s="172"/>
    </row>
    <row r="558" ht="17.25" customHeight="1">
      <c r="A558" s="212"/>
      <c r="B558" s="183"/>
      <c r="C558" s="184" t="str">
        <f>IF(VLOOKUP(T556,Spieler!A:F,6,0)="Nein","keine Bayerische Meisterschaft gewünscht","")</f>
        <v>#N/A</v>
      </c>
      <c r="D558" s="161"/>
      <c r="E558" s="170"/>
      <c r="F558" s="170"/>
      <c r="G558" s="185" t="s">
        <v>2562</v>
      </c>
      <c r="H558" s="186"/>
      <c r="I558" s="186"/>
      <c r="J558" s="186"/>
      <c r="K558" s="186"/>
      <c r="L558" s="187">
        <f t="shared" ref="L558:M558" si="184">SUM(L555:L557)</f>
        <v>0</v>
      </c>
      <c r="M558" s="110">
        <f t="shared" si="184"/>
        <v>0</v>
      </c>
      <c r="N558" s="188" t="str">
        <f>L558/M558</f>
        <v>#DIV/0!</v>
      </c>
      <c r="T558" s="189"/>
    </row>
    <row r="559" ht="17.25" customHeight="1">
      <c r="A559" s="212"/>
      <c r="B559" s="190"/>
      <c r="C559" s="178"/>
      <c r="D559" s="191"/>
      <c r="E559" s="191"/>
      <c r="F559" s="191"/>
      <c r="G559" s="191"/>
      <c r="H559" s="191"/>
      <c r="I559" s="191"/>
      <c r="J559" s="191"/>
      <c r="K559" s="191"/>
      <c r="L559" s="192"/>
      <c r="M559" s="191"/>
      <c r="N559" s="193"/>
      <c r="T559" s="194"/>
    </row>
    <row r="560" ht="17.25" customHeight="1">
      <c r="A560" s="212"/>
      <c r="B560" s="157">
        <f>B554+1</f>
        <v>93</v>
      </c>
      <c r="C560" s="158"/>
      <c r="D560" s="159" t="str">
        <f>VLOOKUP(C562,'Mitglieder BBU'!A:J,6,0)</f>
        <v>#N/A</v>
      </c>
      <c r="E560" s="60"/>
      <c r="F560" s="60"/>
      <c r="G560" s="60"/>
      <c r="H560" s="60"/>
      <c r="I560" s="61"/>
      <c r="J560" s="160"/>
      <c r="K560" s="161"/>
      <c r="L560" s="162"/>
      <c r="M560" s="163"/>
      <c r="N560" s="164"/>
      <c r="T560" s="165"/>
    </row>
    <row r="561" ht="17.25" customHeight="1">
      <c r="A561" s="212"/>
      <c r="B561" s="167"/>
      <c r="C561" s="168" t="str">
        <f>VLOOKUP(C562,'Mitglieder BBU'!A:J,6,0)</f>
        <v>#N/A</v>
      </c>
      <c r="D561" s="110" t="str">
        <f>IFERROR(VLOOKUP($C562,Datensammler!$B:$AA,3,0),)</f>
        <v/>
      </c>
      <c r="E561" s="110" t="str">
        <f>IFERROR(VLOOKUP($C562,Datensammler!$B:$AA,4,0),)</f>
        <v/>
      </c>
      <c r="F561" s="110" t="str">
        <f>IFERROR(VLOOKUP($C562,Datensammler!$B:$AA,5,0),)</f>
        <v/>
      </c>
      <c r="G561" s="110" t="str">
        <f>IFERROR(VLOOKUP($C562,Datensammler!$B:$AA,6,0),)</f>
        <v/>
      </c>
      <c r="H561" s="110" t="str">
        <f>IFERROR(VLOOKUP($C562,Datensammler!$B:$AA,7,0),)</f>
        <v/>
      </c>
      <c r="I561" s="110" t="str">
        <f>IFERROR(VLOOKUP($C562,Datensammler!$B:$AA,8,0),)</f>
        <v/>
      </c>
      <c r="J561" s="169">
        <f t="shared" ref="J561:J563" si="185">SUM(D561:I561)</f>
        <v>0</v>
      </c>
      <c r="K561" s="170" t="str">
        <f>IFERROR(VLOOKUP($C562,Datensammler!$B:$AA,23,0),)</f>
        <v/>
      </c>
      <c r="L561" s="161" t="str">
        <f>IFERROR(VLOOKUP($C562,Datensammler!$B:$AA,24,0),)</f>
        <v/>
      </c>
      <c r="M561" s="170" t="str">
        <f>IFERROR(VLOOKUP($C562,Datensammler!$B:$AA,25,0),)</f>
        <v/>
      </c>
      <c r="N561" s="171" t="str">
        <f>IF(C562=0,"",(VLOOKUP($C562,Datensammler!$B:$AA,26,0)))</f>
        <v>#N/A</v>
      </c>
      <c r="T561" s="172"/>
    </row>
    <row r="562" ht="17.25" customHeight="1">
      <c r="A562" s="212"/>
      <c r="B562" s="174"/>
      <c r="C562" s="175" t="str">
        <f>VLOOKUP(T562,Spieler!A:E,2,0)</f>
        <v>#N/A</v>
      </c>
      <c r="D562" s="170" t="str">
        <f>IFERROR(VLOOKUP($C562,Datensammler!$B:$AA,9,0),)</f>
        <v/>
      </c>
      <c r="E562" s="170" t="str">
        <f>IFERROR(VLOOKUP($C562,Datensammler!$B:$AA,10,0),)</f>
        <v/>
      </c>
      <c r="F562" s="170" t="str">
        <f>IFERROR(VLOOKUP($C562,Datensammler!$B:$AA,11,0),)</f>
        <v/>
      </c>
      <c r="G562" s="170" t="str">
        <f>IFERROR(VLOOKUP($C562,Datensammler!$B:$AA,12,0),)</f>
        <v/>
      </c>
      <c r="H562" s="170" t="str">
        <f>IFERROR(VLOOKUP($C562,Datensammler!$B:$AA,13,0),)</f>
        <v/>
      </c>
      <c r="I562" s="170" t="str">
        <f>IFERROR(VLOOKUP($C562,Datensammler!$B:$AA,14,0),)</f>
        <v/>
      </c>
      <c r="J562" s="169">
        <f t="shared" si="185"/>
        <v>0</v>
      </c>
      <c r="N562" s="176"/>
      <c r="T562" s="177" t="str">
        <f t="array" ref="T562">INDIRECT("Spieler!AD"&amp;B560+5)</f>
        <v/>
      </c>
    </row>
    <row r="563" ht="17.25" customHeight="1">
      <c r="A563" s="212"/>
      <c r="B563" s="167"/>
      <c r="C563" s="178" t="str">
        <f>VLOOKUP(C562,'Mitglieder BBU'!A:K,8,0)</f>
        <v>#N/A</v>
      </c>
      <c r="D563" s="179" t="str">
        <f>IFERROR(VLOOKUP($C562,Datensammler!$B:$AA,15,0),)</f>
        <v/>
      </c>
      <c r="E563" s="179" t="str">
        <f>IFERROR(VLOOKUP($C562,Datensammler!$B:$AA,16,0),)</f>
        <v/>
      </c>
      <c r="F563" s="179" t="str">
        <f>IFERROR(VLOOKUP($C562,Datensammler!$B:$AA,17,0),)</f>
        <v/>
      </c>
      <c r="G563" s="179" t="str">
        <f>IFERROR(VLOOKUP($C562,Datensammler!$B:$AA,18,0),)</f>
        <v/>
      </c>
      <c r="H563" s="179" t="str">
        <f>IFERROR(VLOOKUP($C562,Datensammler!$B:$AA,19,0),)</f>
        <v/>
      </c>
      <c r="I563" s="179" t="str">
        <f>IFERROR(VLOOKUP($C562,Datensammler!$B:$AA,20,0),)</f>
        <v/>
      </c>
      <c r="J563" s="180">
        <f t="shared" si="185"/>
        <v>0</v>
      </c>
      <c r="K563" s="181"/>
      <c r="L563" s="181"/>
      <c r="M563" s="181"/>
      <c r="N563" s="182"/>
      <c r="T563" s="172"/>
    </row>
    <row r="564" ht="17.25" customHeight="1">
      <c r="A564" s="212"/>
      <c r="B564" s="183"/>
      <c r="C564" s="184" t="str">
        <f>IF(VLOOKUP(T562,Spieler!A:F,6,0)="Nein","keine Bayerische Meisterschaft gewünscht","")</f>
        <v>#N/A</v>
      </c>
      <c r="D564" s="161"/>
      <c r="E564" s="170"/>
      <c r="F564" s="170"/>
      <c r="G564" s="185" t="s">
        <v>2562</v>
      </c>
      <c r="H564" s="186"/>
      <c r="I564" s="186"/>
      <c r="J564" s="186"/>
      <c r="K564" s="186"/>
      <c r="L564" s="187">
        <f t="shared" ref="L564:M564" si="186">SUM(L561:L563)</f>
        <v>0</v>
      </c>
      <c r="M564" s="110">
        <f t="shared" si="186"/>
        <v>0</v>
      </c>
      <c r="N564" s="188" t="str">
        <f>L564/M564</f>
        <v>#DIV/0!</v>
      </c>
      <c r="T564" s="189"/>
    </row>
    <row r="565" ht="17.25" customHeight="1">
      <c r="A565" s="212"/>
      <c r="B565" s="190"/>
      <c r="C565" s="178"/>
      <c r="D565" s="191"/>
      <c r="E565" s="191"/>
      <c r="F565" s="191"/>
      <c r="G565" s="191"/>
      <c r="H565" s="191"/>
      <c r="I565" s="191"/>
      <c r="J565" s="191"/>
      <c r="K565" s="191"/>
      <c r="L565" s="192"/>
      <c r="M565" s="191"/>
      <c r="N565" s="193"/>
      <c r="T565" s="194"/>
    </row>
    <row r="566" ht="17.25" customHeight="1">
      <c r="A566" s="212"/>
      <c r="B566" s="157">
        <f>B560+1</f>
        <v>94</v>
      </c>
      <c r="C566" s="158"/>
      <c r="D566" s="159" t="str">
        <f>VLOOKUP(C568,'Mitglieder BBU'!A:J,6,0)</f>
        <v>#N/A</v>
      </c>
      <c r="E566" s="60"/>
      <c r="F566" s="60"/>
      <c r="G566" s="60"/>
      <c r="H566" s="60"/>
      <c r="I566" s="61"/>
      <c r="J566" s="160"/>
      <c r="K566" s="161"/>
      <c r="L566" s="162"/>
      <c r="M566" s="163"/>
      <c r="N566" s="164"/>
      <c r="T566" s="165"/>
    </row>
    <row r="567" ht="17.25" customHeight="1">
      <c r="A567" s="212"/>
      <c r="B567" s="167"/>
      <c r="C567" s="168" t="str">
        <f>VLOOKUP(C568,'Mitglieder BBU'!A:J,6,0)</f>
        <v>#N/A</v>
      </c>
      <c r="D567" s="110" t="str">
        <f>IFERROR(VLOOKUP($C568,Datensammler!$B:$AA,3,0),)</f>
        <v/>
      </c>
      <c r="E567" s="110" t="str">
        <f>IFERROR(VLOOKUP($C568,Datensammler!$B:$AA,4,0),)</f>
        <v/>
      </c>
      <c r="F567" s="110" t="str">
        <f>IFERROR(VLOOKUP($C568,Datensammler!$B:$AA,5,0),)</f>
        <v/>
      </c>
      <c r="G567" s="110" t="str">
        <f>IFERROR(VLOOKUP($C568,Datensammler!$B:$AA,6,0),)</f>
        <v/>
      </c>
      <c r="H567" s="110" t="str">
        <f>IFERROR(VLOOKUP($C568,Datensammler!$B:$AA,7,0),)</f>
        <v/>
      </c>
      <c r="I567" s="110" t="str">
        <f>IFERROR(VLOOKUP($C568,Datensammler!$B:$AA,8,0),)</f>
        <v/>
      </c>
      <c r="J567" s="169">
        <f t="shared" ref="J567:J569" si="187">SUM(D567:I567)</f>
        <v>0</v>
      </c>
      <c r="K567" s="170" t="str">
        <f>IFERROR(VLOOKUP($C568,Datensammler!$B:$AA,23,0),)</f>
        <v/>
      </c>
      <c r="L567" s="161" t="str">
        <f>IFERROR(VLOOKUP($C568,Datensammler!$B:$AA,24,0),)</f>
        <v/>
      </c>
      <c r="M567" s="170" t="str">
        <f>IFERROR(VLOOKUP($C568,Datensammler!$B:$AA,25,0),)</f>
        <v/>
      </c>
      <c r="N567" s="171" t="str">
        <f>IF(C568=0,"",(VLOOKUP($C568,Datensammler!$B:$AA,26,0)))</f>
        <v>#N/A</v>
      </c>
      <c r="T567" s="172"/>
    </row>
    <row r="568" ht="17.25" customHeight="1">
      <c r="A568" s="212"/>
      <c r="B568" s="174"/>
      <c r="C568" s="175" t="str">
        <f>VLOOKUP(T568,Spieler!A:E,2,0)</f>
        <v>#N/A</v>
      </c>
      <c r="D568" s="170" t="str">
        <f>IFERROR(VLOOKUP($C568,Datensammler!$B:$AA,9,0),)</f>
        <v/>
      </c>
      <c r="E568" s="170" t="str">
        <f>IFERROR(VLOOKUP($C568,Datensammler!$B:$AA,10,0),)</f>
        <v/>
      </c>
      <c r="F568" s="170" t="str">
        <f>IFERROR(VLOOKUP($C568,Datensammler!$B:$AA,11,0),)</f>
        <v/>
      </c>
      <c r="G568" s="170" t="str">
        <f>IFERROR(VLOOKUP($C568,Datensammler!$B:$AA,12,0),)</f>
        <v/>
      </c>
      <c r="H568" s="170" t="str">
        <f>IFERROR(VLOOKUP($C568,Datensammler!$B:$AA,13,0),)</f>
        <v/>
      </c>
      <c r="I568" s="170" t="str">
        <f>IFERROR(VLOOKUP($C568,Datensammler!$B:$AA,14,0),)</f>
        <v/>
      </c>
      <c r="J568" s="169">
        <f t="shared" si="187"/>
        <v>0</v>
      </c>
      <c r="N568" s="176"/>
      <c r="T568" s="177" t="str">
        <f t="array" ref="T568">INDIRECT("Spieler!AD"&amp;B566+5)</f>
        <v/>
      </c>
    </row>
    <row r="569" ht="17.25" customHeight="1">
      <c r="A569" s="212"/>
      <c r="B569" s="167"/>
      <c r="C569" s="178" t="str">
        <f>VLOOKUP(C568,'Mitglieder BBU'!A:K,8,0)</f>
        <v>#N/A</v>
      </c>
      <c r="D569" s="179" t="str">
        <f>IFERROR(VLOOKUP($C568,Datensammler!$B:$AA,15,0),)</f>
        <v/>
      </c>
      <c r="E569" s="179" t="str">
        <f>IFERROR(VLOOKUP($C568,Datensammler!$B:$AA,16,0),)</f>
        <v/>
      </c>
      <c r="F569" s="179" t="str">
        <f>IFERROR(VLOOKUP($C568,Datensammler!$B:$AA,17,0),)</f>
        <v/>
      </c>
      <c r="G569" s="179" t="str">
        <f>IFERROR(VLOOKUP($C568,Datensammler!$B:$AA,18,0),)</f>
        <v/>
      </c>
      <c r="H569" s="179" t="str">
        <f>IFERROR(VLOOKUP($C568,Datensammler!$B:$AA,19,0),)</f>
        <v/>
      </c>
      <c r="I569" s="179" t="str">
        <f>IFERROR(VLOOKUP($C568,Datensammler!$B:$AA,20,0),)</f>
        <v/>
      </c>
      <c r="J569" s="180">
        <f t="shared" si="187"/>
        <v>0</v>
      </c>
      <c r="K569" s="181"/>
      <c r="L569" s="181"/>
      <c r="M569" s="181"/>
      <c r="N569" s="182"/>
      <c r="T569" s="172"/>
    </row>
    <row r="570" ht="17.25" customHeight="1">
      <c r="A570" s="212"/>
      <c r="B570" s="183"/>
      <c r="C570" s="184" t="str">
        <f>IF(VLOOKUP(T568,Spieler!A:F,6,0)="Nein","keine Bayerische Meisterschaft gewünscht","")</f>
        <v>#N/A</v>
      </c>
      <c r="D570" s="161"/>
      <c r="E570" s="170"/>
      <c r="F570" s="170"/>
      <c r="G570" s="185" t="s">
        <v>2562</v>
      </c>
      <c r="H570" s="186"/>
      <c r="I570" s="186"/>
      <c r="J570" s="186"/>
      <c r="K570" s="186"/>
      <c r="L570" s="187">
        <f t="shared" ref="L570:M570" si="188">SUM(L567:L569)</f>
        <v>0</v>
      </c>
      <c r="M570" s="110">
        <f t="shared" si="188"/>
        <v>0</v>
      </c>
      <c r="N570" s="188" t="str">
        <f>L570/M570</f>
        <v>#DIV/0!</v>
      </c>
      <c r="T570" s="189"/>
    </row>
    <row r="571" ht="17.25" customHeight="1">
      <c r="A571" s="212"/>
      <c r="B571" s="190"/>
      <c r="C571" s="178"/>
      <c r="D571" s="191"/>
      <c r="E571" s="191"/>
      <c r="F571" s="191"/>
      <c r="G571" s="191"/>
      <c r="H571" s="191"/>
      <c r="I571" s="191"/>
      <c r="J571" s="191"/>
      <c r="K571" s="191"/>
      <c r="L571" s="192"/>
      <c r="M571" s="191"/>
      <c r="N571" s="193"/>
      <c r="T571" s="194"/>
    </row>
    <row r="572" ht="17.25" customHeight="1">
      <c r="A572" s="212"/>
      <c r="B572" s="157">
        <f>B566+1</f>
        <v>95</v>
      </c>
      <c r="C572" s="158"/>
      <c r="D572" s="159" t="str">
        <f>VLOOKUP(C574,'Mitglieder BBU'!A:J,6,0)</f>
        <v>#N/A</v>
      </c>
      <c r="E572" s="60"/>
      <c r="F572" s="60"/>
      <c r="G572" s="60"/>
      <c r="H572" s="60"/>
      <c r="I572" s="61"/>
      <c r="J572" s="160"/>
      <c r="K572" s="161"/>
      <c r="L572" s="162"/>
      <c r="M572" s="163"/>
      <c r="N572" s="164"/>
      <c r="T572" s="165"/>
    </row>
    <row r="573" ht="17.25" customHeight="1">
      <c r="A573" s="212"/>
      <c r="B573" s="167"/>
      <c r="C573" s="168" t="str">
        <f>VLOOKUP(C574,'Mitglieder BBU'!A:J,6,0)</f>
        <v>#N/A</v>
      </c>
      <c r="D573" s="110" t="str">
        <f>IFERROR(VLOOKUP($C574,Datensammler!$B:$AA,3,0),)</f>
        <v/>
      </c>
      <c r="E573" s="110" t="str">
        <f>IFERROR(VLOOKUP($C574,Datensammler!$B:$AA,4,0),)</f>
        <v/>
      </c>
      <c r="F573" s="110" t="str">
        <f>IFERROR(VLOOKUP($C574,Datensammler!$B:$AA,5,0),)</f>
        <v/>
      </c>
      <c r="G573" s="110" t="str">
        <f>IFERROR(VLOOKUP($C574,Datensammler!$B:$AA,6,0),)</f>
        <v/>
      </c>
      <c r="H573" s="110" t="str">
        <f>IFERROR(VLOOKUP($C574,Datensammler!$B:$AA,7,0),)</f>
        <v/>
      </c>
      <c r="I573" s="110" t="str">
        <f>IFERROR(VLOOKUP($C574,Datensammler!$B:$AA,8,0),)</f>
        <v/>
      </c>
      <c r="J573" s="169">
        <f t="shared" ref="J573:J575" si="189">SUM(D573:I573)</f>
        <v>0</v>
      </c>
      <c r="K573" s="170" t="str">
        <f>IFERROR(VLOOKUP($C574,Datensammler!$B:$AA,23,0),)</f>
        <v/>
      </c>
      <c r="L573" s="161" t="str">
        <f>IFERROR(VLOOKUP($C574,Datensammler!$B:$AA,24,0),)</f>
        <v/>
      </c>
      <c r="M573" s="170" t="str">
        <f>IFERROR(VLOOKUP($C574,Datensammler!$B:$AA,25,0),)</f>
        <v/>
      </c>
      <c r="N573" s="171" t="str">
        <f>IF(C574=0,"",(VLOOKUP($C574,Datensammler!$B:$AA,26,0)))</f>
        <v>#N/A</v>
      </c>
      <c r="T573" s="172"/>
    </row>
    <row r="574" ht="17.25" customHeight="1">
      <c r="A574" s="212"/>
      <c r="B574" s="174"/>
      <c r="C574" s="175" t="str">
        <f>VLOOKUP(T574,Spieler!A:E,2,0)</f>
        <v>#N/A</v>
      </c>
      <c r="D574" s="170" t="str">
        <f>IFERROR(VLOOKUP($C574,Datensammler!$B:$AA,9,0),)</f>
        <v/>
      </c>
      <c r="E574" s="170" t="str">
        <f>IFERROR(VLOOKUP($C574,Datensammler!$B:$AA,10,0),)</f>
        <v/>
      </c>
      <c r="F574" s="170" t="str">
        <f>IFERROR(VLOOKUP($C574,Datensammler!$B:$AA,11,0),)</f>
        <v/>
      </c>
      <c r="G574" s="170" t="str">
        <f>IFERROR(VLOOKUP($C574,Datensammler!$B:$AA,12,0),)</f>
        <v/>
      </c>
      <c r="H574" s="170" t="str">
        <f>IFERROR(VLOOKUP($C574,Datensammler!$B:$AA,13,0),)</f>
        <v/>
      </c>
      <c r="I574" s="170" t="str">
        <f>IFERROR(VLOOKUP($C574,Datensammler!$B:$AA,14,0),)</f>
        <v/>
      </c>
      <c r="J574" s="169">
        <f t="shared" si="189"/>
        <v>0</v>
      </c>
      <c r="N574" s="176"/>
      <c r="T574" s="177" t="str">
        <f t="array" ref="T574">INDIRECT("Spieler!AD"&amp;B572+5)</f>
        <v/>
      </c>
    </row>
    <row r="575" ht="17.25" customHeight="1">
      <c r="A575" s="212"/>
      <c r="B575" s="167"/>
      <c r="C575" s="178" t="str">
        <f>VLOOKUP(C574,'Mitglieder BBU'!A:K,8,0)</f>
        <v>#N/A</v>
      </c>
      <c r="D575" s="179" t="str">
        <f>IFERROR(VLOOKUP($C574,Datensammler!$B:$AA,15,0),)</f>
        <v/>
      </c>
      <c r="E575" s="179" t="str">
        <f>IFERROR(VLOOKUP($C574,Datensammler!$B:$AA,16,0),)</f>
        <v/>
      </c>
      <c r="F575" s="179" t="str">
        <f>IFERROR(VLOOKUP($C574,Datensammler!$B:$AA,17,0),)</f>
        <v/>
      </c>
      <c r="G575" s="179" t="str">
        <f>IFERROR(VLOOKUP($C574,Datensammler!$B:$AA,18,0),)</f>
        <v/>
      </c>
      <c r="H575" s="179" t="str">
        <f>IFERROR(VLOOKUP($C574,Datensammler!$B:$AA,19,0),)</f>
        <v/>
      </c>
      <c r="I575" s="179" t="str">
        <f>IFERROR(VLOOKUP($C574,Datensammler!$B:$AA,20,0),)</f>
        <v/>
      </c>
      <c r="J575" s="180">
        <f t="shared" si="189"/>
        <v>0</v>
      </c>
      <c r="K575" s="181"/>
      <c r="L575" s="181"/>
      <c r="M575" s="181"/>
      <c r="N575" s="182"/>
      <c r="T575" s="172"/>
    </row>
    <row r="576" ht="17.25" customHeight="1">
      <c r="A576" s="212"/>
      <c r="B576" s="183"/>
      <c r="C576" s="184" t="str">
        <f>IF(VLOOKUP(T574,Spieler!A:F,6,0)="Nein","keine Bayerische Meisterschaft gewünscht","")</f>
        <v>#N/A</v>
      </c>
      <c r="D576" s="161"/>
      <c r="E576" s="170"/>
      <c r="F576" s="170"/>
      <c r="G576" s="185" t="s">
        <v>2562</v>
      </c>
      <c r="H576" s="186"/>
      <c r="I576" s="186"/>
      <c r="J576" s="186"/>
      <c r="K576" s="186"/>
      <c r="L576" s="187">
        <f t="shared" ref="L576:M576" si="190">SUM(L573:L575)</f>
        <v>0</v>
      </c>
      <c r="M576" s="110">
        <f t="shared" si="190"/>
        <v>0</v>
      </c>
      <c r="N576" s="188" t="str">
        <f>L576/M576</f>
        <v>#DIV/0!</v>
      </c>
      <c r="T576" s="189"/>
    </row>
    <row r="577" ht="17.25" customHeight="1">
      <c r="A577" s="212"/>
      <c r="B577" s="190"/>
      <c r="C577" s="178"/>
      <c r="D577" s="191"/>
      <c r="E577" s="191"/>
      <c r="F577" s="191"/>
      <c r="G577" s="191"/>
      <c r="H577" s="191"/>
      <c r="I577" s="191"/>
      <c r="J577" s="191"/>
      <c r="K577" s="110"/>
      <c r="L577" s="187"/>
      <c r="M577" s="110"/>
      <c r="N577" s="188"/>
      <c r="T577" s="194"/>
    </row>
    <row r="578" ht="17.25" customHeight="1">
      <c r="A578" s="212"/>
      <c r="B578" s="157">
        <f>B572+1</f>
        <v>96</v>
      </c>
      <c r="C578" s="158"/>
      <c r="D578" s="159" t="str">
        <f>VLOOKUP(C580,'Mitglieder BBU'!A:J,6,0)</f>
        <v>#N/A</v>
      </c>
      <c r="E578" s="60"/>
      <c r="F578" s="60"/>
      <c r="G578" s="60"/>
      <c r="H578" s="60"/>
      <c r="I578" s="61"/>
      <c r="J578" s="160"/>
      <c r="K578" s="161"/>
      <c r="L578" s="162"/>
      <c r="M578" s="163"/>
      <c r="N578" s="164"/>
      <c r="T578" s="165"/>
    </row>
    <row r="579" ht="17.25" customHeight="1">
      <c r="A579" s="212"/>
      <c r="B579" s="167"/>
      <c r="C579" s="168" t="str">
        <f>VLOOKUP(C580,'Mitglieder BBU'!A:J,6,0)</f>
        <v>#N/A</v>
      </c>
      <c r="D579" s="110" t="str">
        <f>IFERROR(VLOOKUP($C580,Datensammler!$B:$AA,3,0),)</f>
        <v/>
      </c>
      <c r="E579" s="110" t="str">
        <f>IFERROR(VLOOKUP($C580,Datensammler!$B:$AA,4,0),)</f>
        <v/>
      </c>
      <c r="F579" s="110" t="str">
        <f>IFERROR(VLOOKUP($C580,Datensammler!$B:$AA,5,0),)</f>
        <v/>
      </c>
      <c r="G579" s="110" t="str">
        <f>IFERROR(VLOOKUP($C580,Datensammler!$B:$AA,6,0),)</f>
        <v/>
      </c>
      <c r="H579" s="110" t="str">
        <f>IFERROR(VLOOKUP($C580,Datensammler!$B:$AA,7,0),)</f>
        <v/>
      </c>
      <c r="I579" s="110" t="str">
        <f>IFERROR(VLOOKUP($C580,Datensammler!$B:$AA,8,0),)</f>
        <v/>
      </c>
      <c r="J579" s="169">
        <f t="shared" ref="J579:J581" si="191">SUM(D579:I579)</f>
        <v>0</v>
      </c>
      <c r="K579" s="170" t="str">
        <f>IFERROR(VLOOKUP($C580,Datensammler!$B:$AA,23,0),)</f>
        <v/>
      </c>
      <c r="L579" s="161" t="str">
        <f>IFERROR(VLOOKUP($C580,Datensammler!$B:$AA,24,0),)</f>
        <v/>
      </c>
      <c r="M579" s="170" t="str">
        <f>IFERROR(VLOOKUP($C580,Datensammler!$B:$AA,25,0),)</f>
        <v/>
      </c>
      <c r="N579" s="171" t="str">
        <f>IF(C580=0,"",(VLOOKUP($C580,Datensammler!$B:$AA,26,0)))</f>
        <v>#N/A</v>
      </c>
      <c r="T579" s="172"/>
    </row>
    <row r="580" ht="17.25" customHeight="1">
      <c r="A580" s="212"/>
      <c r="B580" s="174"/>
      <c r="C580" s="175" t="str">
        <f>VLOOKUP(T580,Spieler!A:E,2,0)</f>
        <v>#N/A</v>
      </c>
      <c r="D580" s="170" t="str">
        <f>IFERROR(VLOOKUP($C580,Datensammler!$B:$AA,9,0),)</f>
        <v/>
      </c>
      <c r="E580" s="170" t="str">
        <f>IFERROR(VLOOKUP($C580,Datensammler!$B:$AA,10,0),)</f>
        <v/>
      </c>
      <c r="F580" s="170" t="str">
        <f>IFERROR(VLOOKUP($C580,Datensammler!$B:$AA,11,0),)</f>
        <v/>
      </c>
      <c r="G580" s="170" t="str">
        <f>IFERROR(VLOOKUP($C580,Datensammler!$B:$AA,12,0),)</f>
        <v/>
      </c>
      <c r="H580" s="170" t="str">
        <f>IFERROR(VLOOKUP($C580,Datensammler!$B:$AA,13,0),)</f>
        <v/>
      </c>
      <c r="I580" s="170" t="str">
        <f>IFERROR(VLOOKUP($C580,Datensammler!$B:$AA,14,0),)</f>
        <v/>
      </c>
      <c r="J580" s="169">
        <f t="shared" si="191"/>
        <v>0</v>
      </c>
      <c r="N580" s="176"/>
      <c r="T580" s="177" t="str">
        <f t="array" ref="T580">INDIRECT("Spieler!AD"&amp;B578+5)</f>
        <v/>
      </c>
    </row>
    <row r="581" ht="17.25" customHeight="1">
      <c r="A581" s="212"/>
      <c r="B581" s="167"/>
      <c r="C581" s="178" t="str">
        <f>VLOOKUP(C580,'Mitglieder BBU'!A:K,8,0)</f>
        <v>#N/A</v>
      </c>
      <c r="D581" s="179" t="str">
        <f>IFERROR(VLOOKUP($C580,Datensammler!$B:$AA,15,0),)</f>
        <v/>
      </c>
      <c r="E581" s="179" t="str">
        <f>IFERROR(VLOOKUP($C580,Datensammler!$B:$AA,16,0),)</f>
        <v/>
      </c>
      <c r="F581" s="179" t="str">
        <f>IFERROR(VLOOKUP($C580,Datensammler!$B:$AA,17,0),)</f>
        <v/>
      </c>
      <c r="G581" s="179" t="str">
        <f>IFERROR(VLOOKUP($C580,Datensammler!$B:$AA,18,0),)</f>
        <v/>
      </c>
      <c r="H581" s="179" t="str">
        <f>IFERROR(VLOOKUP($C580,Datensammler!$B:$AA,19,0),)</f>
        <v/>
      </c>
      <c r="I581" s="179" t="str">
        <f>IFERROR(VLOOKUP($C580,Datensammler!$B:$AA,20,0),)</f>
        <v/>
      </c>
      <c r="J581" s="180">
        <f t="shared" si="191"/>
        <v>0</v>
      </c>
      <c r="K581" s="181"/>
      <c r="L581" s="181"/>
      <c r="M581" s="181"/>
      <c r="N581" s="182"/>
      <c r="T581" s="172"/>
    </row>
    <row r="582" ht="17.25" customHeight="1">
      <c r="A582" s="212"/>
      <c r="B582" s="183"/>
      <c r="C582" s="184" t="str">
        <f>IF(VLOOKUP(T580,Spieler!A:F,6,0)="Nein","keine Bayerische Meisterschaft gewünscht","")</f>
        <v>#N/A</v>
      </c>
      <c r="D582" s="161"/>
      <c r="E582" s="170"/>
      <c r="F582" s="170"/>
      <c r="G582" s="185" t="s">
        <v>2562</v>
      </c>
      <c r="H582" s="186"/>
      <c r="I582" s="186"/>
      <c r="J582" s="186"/>
      <c r="K582" s="186"/>
      <c r="L582" s="187">
        <f t="shared" ref="L582:M582" si="192">SUM(L579:L581)</f>
        <v>0</v>
      </c>
      <c r="M582" s="110">
        <f t="shared" si="192"/>
        <v>0</v>
      </c>
      <c r="N582" s="188" t="str">
        <f>L582/M582</f>
        <v>#DIV/0!</v>
      </c>
      <c r="T582" s="189"/>
    </row>
    <row r="583" ht="17.25" customHeight="1">
      <c r="A583" s="212"/>
      <c r="B583" s="190"/>
      <c r="C583" s="178"/>
      <c r="D583" s="191"/>
      <c r="E583" s="191"/>
      <c r="F583" s="191"/>
      <c r="G583" s="191"/>
      <c r="H583" s="191"/>
      <c r="I583" s="191"/>
      <c r="J583" s="191"/>
      <c r="K583" s="191"/>
      <c r="L583" s="192"/>
      <c r="M583" s="191"/>
      <c r="N583" s="193"/>
      <c r="T583" s="194"/>
    </row>
    <row r="584" ht="17.25" customHeight="1">
      <c r="A584" s="212"/>
      <c r="B584" s="157">
        <f>B578+1</f>
        <v>97</v>
      </c>
      <c r="C584" s="158"/>
      <c r="D584" s="159" t="str">
        <f>VLOOKUP(C586,'Mitglieder BBU'!A:J,6,0)</f>
        <v>#N/A</v>
      </c>
      <c r="E584" s="60"/>
      <c r="F584" s="60"/>
      <c r="G584" s="60"/>
      <c r="H584" s="60"/>
      <c r="I584" s="61"/>
      <c r="J584" s="160"/>
      <c r="K584" s="161"/>
      <c r="L584" s="162"/>
      <c r="M584" s="163"/>
      <c r="N584" s="164"/>
      <c r="T584" s="165"/>
    </row>
    <row r="585" ht="17.25" customHeight="1">
      <c r="A585" s="212"/>
      <c r="B585" s="167"/>
      <c r="C585" s="168" t="str">
        <f>VLOOKUP(C586,'Mitglieder BBU'!A:J,6,0)</f>
        <v>#N/A</v>
      </c>
      <c r="D585" s="110" t="str">
        <f>IFERROR(VLOOKUP($C586,Datensammler!$B:$AA,3,0),)</f>
        <v/>
      </c>
      <c r="E585" s="110" t="str">
        <f>IFERROR(VLOOKUP($C586,Datensammler!$B:$AA,4,0),)</f>
        <v/>
      </c>
      <c r="F585" s="110" t="str">
        <f>IFERROR(VLOOKUP($C586,Datensammler!$B:$AA,5,0),)</f>
        <v/>
      </c>
      <c r="G585" s="110" t="str">
        <f>IFERROR(VLOOKUP($C586,Datensammler!$B:$AA,6,0),)</f>
        <v/>
      </c>
      <c r="H585" s="110" t="str">
        <f>IFERROR(VLOOKUP($C586,Datensammler!$B:$AA,7,0),)</f>
        <v/>
      </c>
      <c r="I585" s="110" t="str">
        <f>IFERROR(VLOOKUP($C586,Datensammler!$B:$AA,8,0),)</f>
        <v/>
      </c>
      <c r="J585" s="169">
        <f t="shared" ref="J585:J587" si="193">SUM(D585:I585)</f>
        <v>0</v>
      </c>
      <c r="K585" s="170" t="str">
        <f>IFERROR(VLOOKUP($C586,Datensammler!$B:$AA,23,0),)</f>
        <v/>
      </c>
      <c r="L585" s="161" t="str">
        <f>IFERROR(VLOOKUP($C586,Datensammler!$B:$AA,24,0),)</f>
        <v/>
      </c>
      <c r="M585" s="170" t="str">
        <f>IFERROR(VLOOKUP($C586,Datensammler!$B:$AA,25,0),)</f>
        <v/>
      </c>
      <c r="N585" s="171" t="str">
        <f>IF(C586=0,"",(VLOOKUP($C586,Datensammler!$B:$AA,26,0)))</f>
        <v>#N/A</v>
      </c>
      <c r="T585" s="172"/>
    </row>
    <row r="586" ht="17.25" customHeight="1">
      <c r="A586" s="212"/>
      <c r="B586" s="174"/>
      <c r="C586" s="175" t="str">
        <f>VLOOKUP(T586,Spieler!A:E,2,0)</f>
        <v>#N/A</v>
      </c>
      <c r="D586" s="170" t="str">
        <f>IFERROR(VLOOKUP($C586,Datensammler!$B:$AA,9,0),)</f>
        <v/>
      </c>
      <c r="E586" s="170" t="str">
        <f>IFERROR(VLOOKUP($C586,Datensammler!$B:$AA,10,0),)</f>
        <v/>
      </c>
      <c r="F586" s="170" t="str">
        <f>IFERROR(VLOOKUP($C586,Datensammler!$B:$AA,11,0),)</f>
        <v/>
      </c>
      <c r="G586" s="170" t="str">
        <f>IFERROR(VLOOKUP($C586,Datensammler!$B:$AA,12,0),)</f>
        <v/>
      </c>
      <c r="H586" s="170" t="str">
        <f>IFERROR(VLOOKUP($C586,Datensammler!$B:$AA,13,0),)</f>
        <v/>
      </c>
      <c r="I586" s="170" t="str">
        <f>IFERROR(VLOOKUP($C586,Datensammler!$B:$AA,14,0),)</f>
        <v/>
      </c>
      <c r="J586" s="169">
        <f t="shared" si="193"/>
        <v>0</v>
      </c>
      <c r="N586" s="176"/>
      <c r="T586" s="177" t="str">
        <f t="array" ref="T586">INDIRECT("Spieler!AD"&amp;B584+5)</f>
        <v/>
      </c>
    </row>
    <row r="587" ht="17.25" customHeight="1">
      <c r="A587" s="212"/>
      <c r="B587" s="167"/>
      <c r="C587" s="178" t="str">
        <f>VLOOKUP(C586,'Mitglieder BBU'!A:K,8,0)</f>
        <v>#N/A</v>
      </c>
      <c r="D587" s="179" t="str">
        <f>IFERROR(VLOOKUP($C586,Datensammler!$B:$AA,15,0),)</f>
        <v/>
      </c>
      <c r="E587" s="179" t="str">
        <f>IFERROR(VLOOKUP($C586,Datensammler!$B:$AA,16,0),)</f>
        <v/>
      </c>
      <c r="F587" s="179" t="str">
        <f>IFERROR(VLOOKUP($C586,Datensammler!$B:$AA,17,0),)</f>
        <v/>
      </c>
      <c r="G587" s="179" t="str">
        <f>IFERROR(VLOOKUP($C586,Datensammler!$B:$AA,18,0),)</f>
        <v/>
      </c>
      <c r="H587" s="179" t="str">
        <f>IFERROR(VLOOKUP($C586,Datensammler!$B:$AA,19,0),)</f>
        <v/>
      </c>
      <c r="I587" s="179" t="str">
        <f>IFERROR(VLOOKUP($C586,Datensammler!$B:$AA,20,0),)</f>
        <v/>
      </c>
      <c r="J587" s="180">
        <f t="shared" si="193"/>
        <v>0</v>
      </c>
      <c r="K587" s="181"/>
      <c r="L587" s="181"/>
      <c r="M587" s="181"/>
      <c r="N587" s="182"/>
      <c r="T587" s="172"/>
    </row>
    <row r="588" ht="17.25" customHeight="1">
      <c r="A588" s="212"/>
      <c r="B588" s="183"/>
      <c r="C588" s="184" t="str">
        <f>IF(VLOOKUP(T586,Spieler!A:F,6,0)="Nein","keine Bayerische Meisterschaft gewünscht","")</f>
        <v>#N/A</v>
      </c>
      <c r="D588" s="161"/>
      <c r="E588" s="170"/>
      <c r="F588" s="170"/>
      <c r="G588" s="185" t="s">
        <v>2562</v>
      </c>
      <c r="H588" s="186"/>
      <c r="I588" s="186"/>
      <c r="J588" s="186"/>
      <c r="K588" s="186"/>
      <c r="L588" s="187">
        <f t="shared" ref="L588:M588" si="194">SUM(L585:L587)</f>
        <v>0</v>
      </c>
      <c r="M588" s="110">
        <f t="shared" si="194"/>
        <v>0</v>
      </c>
      <c r="N588" s="188" t="str">
        <f>L588/M588</f>
        <v>#DIV/0!</v>
      </c>
      <c r="T588" s="189"/>
    </row>
    <row r="589" ht="17.25" customHeight="1">
      <c r="A589" s="212"/>
      <c r="B589" s="190"/>
      <c r="C589" s="178"/>
      <c r="D589" s="191"/>
      <c r="E589" s="191"/>
      <c r="F589" s="191"/>
      <c r="G589" s="191"/>
      <c r="H589" s="191"/>
      <c r="I589" s="191"/>
      <c r="J589" s="191"/>
      <c r="K589" s="191"/>
      <c r="L589" s="192"/>
      <c r="M589" s="191"/>
      <c r="N589" s="193"/>
      <c r="T589" s="194"/>
    </row>
    <row r="590" ht="17.25" customHeight="1">
      <c r="A590" s="212"/>
      <c r="B590" s="157">
        <f>B584+1</f>
        <v>98</v>
      </c>
      <c r="C590" s="158"/>
      <c r="D590" s="159" t="str">
        <f>VLOOKUP(C592,'Mitglieder BBU'!A:J,6,0)</f>
        <v>#N/A</v>
      </c>
      <c r="E590" s="60"/>
      <c r="F590" s="60"/>
      <c r="G590" s="60"/>
      <c r="H590" s="60"/>
      <c r="I590" s="61"/>
      <c r="J590" s="160"/>
      <c r="K590" s="161"/>
      <c r="L590" s="162"/>
      <c r="M590" s="163"/>
      <c r="N590" s="164"/>
      <c r="T590" s="165"/>
    </row>
    <row r="591" ht="17.25" customHeight="1">
      <c r="A591" s="212"/>
      <c r="B591" s="167"/>
      <c r="C591" s="168" t="str">
        <f>VLOOKUP(C592,'Mitglieder BBU'!A:J,6,0)</f>
        <v>#N/A</v>
      </c>
      <c r="D591" s="110" t="str">
        <f>IFERROR(VLOOKUP($C592,Datensammler!$B:$AA,3,0),)</f>
        <v/>
      </c>
      <c r="E591" s="110" t="str">
        <f>IFERROR(VLOOKUP($C592,Datensammler!$B:$AA,4,0),)</f>
        <v/>
      </c>
      <c r="F591" s="110" t="str">
        <f>IFERROR(VLOOKUP($C592,Datensammler!$B:$AA,5,0),)</f>
        <v/>
      </c>
      <c r="G591" s="110" t="str">
        <f>IFERROR(VLOOKUP($C592,Datensammler!$B:$AA,6,0),)</f>
        <v/>
      </c>
      <c r="H591" s="110" t="str">
        <f>IFERROR(VLOOKUP($C592,Datensammler!$B:$AA,7,0),)</f>
        <v/>
      </c>
      <c r="I591" s="110" t="str">
        <f>IFERROR(VLOOKUP($C592,Datensammler!$B:$AA,8,0),)</f>
        <v/>
      </c>
      <c r="J591" s="169">
        <f t="shared" ref="J591:J593" si="195">SUM(D591:I591)</f>
        <v>0</v>
      </c>
      <c r="K591" s="170" t="str">
        <f>IFERROR(VLOOKUP($C592,Datensammler!$B:$AA,23,0),)</f>
        <v/>
      </c>
      <c r="L591" s="161" t="str">
        <f>IFERROR(VLOOKUP($C592,Datensammler!$B:$AA,24,0),)</f>
        <v/>
      </c>
      <c r="M591" s="170" t="str">
        <f>IFERROR(VLOOKUP($C592,Datensammler!$B:$AA,25,0),)</f>
        <v/>
      </c>
      <c r="N591" s="171" t="str">
        <f>IF(C592=0,"",(VLOOKUP($C592,Datensammler!$B:$AA,26,0)))</f>
        <v>#N/A</v>
      </c>
      <c r="T591" s="172"/>
    </row>
    <row r="592" ht="17.25" customHeight="1">
      <c r="A592" s="212"/>
      <c r="B592" s="174"/>
      <c r="C592" s="175" t="str">
        <f>VLOOKUP(T592,Spieler!A:E,2,0)</f>
        <v>#N/A</v>
      </c>
      <c r="D592" s="170" t="str">
        <f>IFERROR(VLOOKUP($C592,Datensammler!$B:$AA,9,0),)</f>
        <v/>
      </c>
      <c r="E592" s="170" t="str">
        <f>IFERROR(VLOOKUP($C592,Datensammler!$B:$AA,10,0),)</f>
        <v/>
      </c>
      <c r="F592" s="170" t="str">
        <f>IFERROR(VLOOKUP($C592,Datensammler!$B:$AA,11,0),)</f>
        <v/>
      </c>
      <c r="G592" s="170" t="str">
        <f>IFERROR(VLOOKUP($C592,Datensammler!$B:$AA,12,0),)</f>
        <v/>
      </c>
      <c r="H592" s="170" t="str">
        <f>IFERROR(VLOOKUP($C592,Datensammler!$B:$AA,13,0),)</f>
        <v/>
      </c>
      <c r="I592" s="170" t="str">
        <f>IFERROR(VLOOKUP($C592,Datensammler!$B:$AA,14,0),)</f>
        <v/>
      </c>
      <c r="J592" s="169">
        <f t="shared" si="195"/>
        <v>0</v>
      </c>
      <c r="N592" s="176"/>
      <c r="T592" s="177" t="str">
        <f t="array" ref="T592">INDIRECT("Spieler!AD"&amp;B590+5)</f>
        <v/>
      </c>
    </row>
    <row r="593" ht="17.25" customHeight="1">
      <c r="A593" s="212"/>
      <c r="B593" s="167"/>
      <c r="C593" s="178" t="str">
        <f>VLOOKUP(C592,'Mitglieder BBU'!A:K,8,0)</f>
        <v>#N/A</v>
      </c>
      <c r="D593" s="179" t="str">
        <f>IFERROR(VLOOKUP($C592,Datensammler!$B:$AA,15,0),)</f>
        <v/>
      </c>
      <c r="E593" s="179" t="str">
        <f>IFERROR(VLOOKUP($C592,Datensammler!$B:$AA,16,0),)</f>
        <v/>
      </c>
      <c r="F593" s="179" t="str">
        <f>IFERROR(VLOOKUP($C592,Datensammler!$B:$AA,17,0),)</f>
        <v/>
      </c>
      <c r="G593" s="179" t="str">
        <f>IFERROR(VLOOKUP($C592,Datensammler!$B:$AA,18,0),)</f>
        <v/>
      </c>
      <c r="H593" s="179" t="str">
        <f>IFERROR(VLOOKUP($C592,Datensammler!$B:$AA,19,0),)</f>
        <v/>
      </c>
      <c r="I593" s="179" t="str">
        <f>IFERROR(VLOOKUP($C592,Datensammler!$B:$AA,20,0),)</f>
        <v/>
      </c>
      <c r="J593" s="180">
        <f t="shared" si="195"/>
        <v>0</v>
      </c>
      <c r="K593" s="181"/>
      <c r="L593" s="181"/>
      <c r="M593" s="181"/>
      <c r="N593" s="182"/>
      <c r="T593" s="172"/>
    </row>
    <row r="594" ht="17.25" customHeight="1">
      <c r="A594" s="212"/>
      <c r="B594" s="183"/>
      <c r="C594" s="184" t="str">
        <f>IF(VLOOKUP(T592,Spieler!A:F,6,0)="Nein","keine Bayerische Meisterschaft gewünscht","")</f>
        <v>#N/A</v>
      </c>
      <c r="D594" s="161"/>
      <c r="E594" s="170"/>
      <c r="F594" s="170"/>
      <c r="G594" s="185" t="s">
        <v>2562</v>
      </c>
      <c r="H594" s="186"/>
      <c r="I594" s="186"/>
      <c r="J594" s="186"/>
      <c r="K594" s="186"/>
      <c r="L594" s="187">
        <f t="shared" ref="L594:M594" si="196">SUM(L591:L593)</f>
        <v>0</v>
      </c>
      <c r="M594" s="110">
        <f t="shared" si="196"/>
        <v>0</v>
      </c>
      <c r="N594" s="188" t="str">
        <f>L594/M594</f>
        <v>#DIV/0!</v>
      </c>
      <c r="T594" s="189"/>
    </row>
    <row r="595" ht="17.25" customHeight="1">
      <c r="A595" s="212"/>
      <c r="B595" s="190"/>
      <c r="C595" s="178"/>
      <c r="D595" s="191"/>
      <c r="E595" s="191"/>
      <c r="F595" s="191"/>
      <c r="G595" s="191"/>
      <c r="H595" s="191"/>
      <c r="I595" s="191"/>
      <c r="J595" s="191"/>
      <c r="K595" s="191"/>
      <c r="L595" s="192"/>
      <c r="M595" s="191"/>
      <c r="N595" s="193"/>
      <c r="T595" s="194"/>
    </row>
    <row r="596" ht="17.25" customHeight="1">
      <c r="A596" s="212"/>
      <c r="B596" s="157">
        <f>B590+1</f>
        <v>99</v>
      </c>
      <c r="C596" s="158"/>
      <c r="D596" s="159" t="str">
        <f>VLOOKUP(C598,'Mitglieder BBU'!A:J,6,0)</f>
        <v>#N/A</v>
      </c>
      <c r="E596" s="60"/>
      <c r="F596" s="60"/>
      <c r="G596" s="60"/>
      <c r="H596" s="60"/>
      <c r="I596" s="61"/>
      <c r="J596" s="160"/>
      <c r="K596" s="161"/>
      <c r="L596" s="162"/>
      <c r="M596" s="163"/>
      <c r="N596" s="164"/>
      <c r="T596" s="165"/>
    </row>
    <row r="597" ht="17.25" customHeight="1">
      <c r="A597" s="212"/>
      <c r="B597" s="167"/>
      <c r="C597" s="168" t="str">
        <f>VLOOKUP(C598,'Mitglieder BBU'!A:J,6,0)</f>
        <v>#N/A</v>
      </c>
      <c r="D597" s="110" t="str">
        <f>IFERROR(VLOOKUP($C598,Datensammler!$B:$AA,3,0),)</f>
        <v/>
      </c>
      <c r="E597" s="110" t="str">
        <f>IFERROR(VLOOKUP($C598,Datensammler!$B:$AA,4,0),)</f>
        <v/>
      </c>
      <c r="F597" s="110" t="str">
        <f>IFERROR(VLOOKUP($C598,Datensammler!$B:$AA,5,0),)</f>
        <v/>
      </c>
      <c r="G597" s="110" t="str">
        <f>IFERROR(VLOOKUP($C598,Datensammler!$B:$AA,6,0),)</f>
        <v/>
      </c>
      <c r="H597" s="110" t="str">
        <f>IFERROR(VLOOKUP($C598,Datensammler!$B:$AA,7,0),)</f>
        <v/>
      </c>
      <c r="I597" s="110" t="str">
        <f>IFERROR(VLOOKUP($C598,Datensammler!$B:$AA,8,0),)</f>
        <v/>
      </c>
      <c r="J597" s="169">
        <f t="shared" ref="J597:J599" si="197">SUM(D597:I597)</f>
        <v>0</v>
      </c>
      <c r="K597" s="170" t="str">
        <f>IFERROR(VLOOKUP($C598,Datensammler!$B:$AA,23,0),)</f>
        <v/>
      </c>
      <c r="L597" s="161" t="str">
        <f>IFERROR(VLOOKUP($C598,Datensammler!$B:$AA,24,0),)</f>
        <v/>
      </c>
      <c r="M597" s="170" t="str">
        <f>IFERROR(VLOOKUP($C598,Datensammler!$B:$AA,25,0),)</f>
        <v/>
      </c>
      <c r="N597" s="171" t="str">
        <f>IF(C598=0,"",(VLOOKUP($C598,Datensammler!$B:$AA,26,0)))</f>
        <v>#N/A</v>
      </c>
      <c r="T597" s="172"/>
    </row>
    <row r="598" ht="17.25" customHeight="1">
      <c r="A598" s="212"/>
      <c r="B598" s="174"/>
      <c r="C598" s="175" t="str">
        <f>VLOOKUP(T598,Spieler!A:E,2,0)</f>
        <v>#N/A</v>
      </c>
      <c r="D598" s="170" t="str">
        <f>IFERROR(VLOOKUP($C598,Datensammler!$B:$AA,9,0),)</f>
        <v/>
      </c>
      <c r="E598" s="170" t="str">
        <f>IFERROR(VLOOKUP($C598,Datensammler!$B:$AA,10,0),)</f>
        <v/>
      </c>
      <c r="F598" s="170" t="str">
        <f>IFERROR(VLOOKUP($C598,Datensammler!$B:$AA,11,0),)</f>
        <v/>
      </c>
      <c r="G598" s="170" t="str">
        <f>IFERROR(VLOOKUP($C598,Datensammler!$B:$AA,12,0),)</f>
        <v/>
      </c>
      <c r="H598" s="170" t="str">
        <f>IFERROR(VLOOKUP($C598,Datensammler!$B:$AA,13,0),)</f>
        <v/>
      </c>
      <c r="I598" s="170" t="str">
        <f>IFERROR(VLOOKUP($C598,Datensammler!$B:$AA,14,0),)</f>
        <v/>
      </c>
      <c r="J598" s="169">
        <f t="shared" si="197"/>
        <v>0</v>
      </c>
      <c r="N598" s="176"/>
      <c r="T598" s="177" t="str">
        <f t="array" ref="T598">INDIRECT("Spieler!AD"&amp;B596+5)</f>
        <v/>
      </c>
    </row>
    <row r="599" ht="17.25" customHeight="1">
      <c r="A599" s="212"/>
      <c r="B599" s="167"/>
      <c r="C599" s="178" t="str">
        <f>VLOOKUP(C598,'Mitglieder BBU'!A:K,8,0)</f>
        <v>#N/A</v>
      </c>
      <c r="D599" s="179" t="str">
        <f>IFERROR(VLOOKUP($C598,Datensammler!$B:$AA,15,0),)</f>
        <v/>
      </c>
      <c r="E599" s="179" t="str">
        <f>IFERROR(VLOOKUP($C598,Datensammler!$B:$AA,16,0),)</f>
        <v/>
      </c>
      <c r="F599" s="179" t="str">
        <f>IFERROR(VLOOKUP($C598,Datensammler!$B:$AA,17,0),)</f>
        <v/>
      </c>
      <c r="G599" s="179" t="str">
        <f>IFERROR(VLOOKUP($C598,Datensammler!$B:$AA,18,0),)</f>
        <v/>
      </c>
      <c r="H599" s="179" t="str">
        <f>IFERROR(VLOOKUP($C598,Datensammler!$B:$AA,19,0),)</f>
        <v/>
      </c>
      <c r="I599" s="179" t="str">
        <f>IFERROR(VLOOKUP($C598,Datensammler!$B:$AA,20,0),)</f>
        <v/>
      </c>
      <c r="J599" s="180">
        <f t="shared" si="197"/>
        <v>0</v>
      </c>
      <c r="K599" s="181"/>
      <c r="L599" s="181"/>
      <c r="M599" s="181"/>
      <c r="N599" s="182"/>
      <c r="T599" s="172"/>
    </row>
    <row r="600" ht="17.25" customHeight="1">
      <c r="A600" s="212"/>
      <c r="B600" s="183"/>
      <c r="C600" s="184" t="str">
        <f>IF(VLOOKUP(T598,Spieler!A:F,6,0)="Nein","keine Bayerische Meisterschaft gewünscht","")</f>
        <v>#N/A</v>
      </c>
      <c r="D600" s="161"/>
      <c r="E600" s="170"/>
      <c r="F600" s="170"/>
      <c r="G600" s="185" t="s">
        <v>2562</v>
      </c>
      <c r="H600" s="186"/>
      <c r="I600" s="186"/>
      <c r="J600" s="186"/>
      <c r="K600" s="186"/>
      <c r="L600" s="187">
        <f t="shared" ref="L600:M600" si="198">SUM(L597:L599)</f>
        <v>0</v>
      </c>
      <c r="M600" s="110">
        <f t="shared" si="198"/>
        <v>0</v>
      </c>
      <c r="N600" s="188" t="str">
        <f>L600/M600</f>
        <v>#DIV/0!</v>
      </c>
      <c r="T600" s="189"/>
    </row>
    <row r="601" ht="17.25" customHeight="1">
      <c r="A601" s="212"/>
      <c r="B601" s="190"/>
      <c r="C601" s="178"/>
      <c r="D601" s="191"/>
      <c r="E601" s="191"/>
      <c r="F601" s="191"/>
      <c r="G601" s="191"/>
      <c r="H601" s="191"/>
      <c r="I601" s="191"/>
      <c r="J601" s="191"/>
      <c r="K601" s="191"/>
      <c r="L601" s="192"/>
      <c r="M601" s="191"/>
      <c r="N601" s="193"/>
      <c r="T601" s="194"/>
    </row>
    <row r="602" ht="17.25" customHeight="1">
      <c r="A602" s="212"/>
      <c r="B602" s="157">
        <f>B596+1</f>
        <v>100</v>
      </c>
      <c r="C602" s="158"/>
      <c r="D602" s="159" t="str">
        <f>VLOOKUP(C604,'Mitglieder BBU'!A:J,6,0)</f>
        <v>#N/A</v>
      </c>
      <c r="E602" s="60"/>
      <c r="F602" s="60"/>
      <c r="G602" s="60"/>
      <c r="H602" s="60"/>
      <c r="I602" s="61"/>
      <c r="J602" s="160"/>
      <c r="K602" s="161"/>
      <c r="L602" s="162"/>
      <c r="M602" s="163"/>
      <c r="N602" s="164"/>
      <c r="T602" s="165"/>
    </row>
    <row r="603" ht="17.25" customHeight="1">
      <c r="A603" s="212"/>
      <c r="B603" s="167"/>
      <c r="C603" s="168" t="str">
        <f>VLOOKUP(C604,'Mitglieder BBU'!A:J,6,0)</f>
        <v>#N/A</v>
      </c>
      <c r="D603" s="110" t="str">
        <f>IFERROR(VLOOKUP($C604,Datensammler!$B:$AA,3,0),)</f>
        <v/>
      </c>
      <c r="E603" s="110" t="str">
        <f>IFERROR(VLOOKUP($C604,Datensammler!$B:$AA,4,0),)</f>
        <v/>
      </c>
      <c r="F603" s="110" t="str">
        <f>IFERROR(VLOOKUP($C604,Datensammler!$B:$AA,5,0),)</f>
        <v/>
      </c>
      <c r="G603" s="110" t="str">
        <f>IFERROR(VLOOKUP($C604,Datensammler!$B:$AA,6,0),)</f>
        <v/>
      </c>
      <c r="H603" s="110" t="str">
        <f>IFERROR(VLOOKUP($C604,Datensammler!$B:$AA,7,0),)</f>
        <v/>
      </c>
      <c r="I603" s="110" t="str">
        <f>IFERROR(VLOOKUP($C604,Datensammler!$B:$AA,8,0),)</f>
        <v/>
      </c>
      <c r="J603" s="169">
        <f t="shared" ref="J603:J605" si="199">SUM(D603:I603)</f>
        <v>0</v>
      </c>
      <c r="K603" s="170" t="str">
        <f>IFERROR(VLOOKUP($C604,Datensammler!$B:$AA,23,0),)</f>
        <v/>
      </c>
      <c r="L603" s="161" t="str">
        <f>IFERROR(VLOOKUP($C604,Datensammler!$B:$AA,24,0),)</f>
        <v/>
      </c>
      <c r="M603" s="170" t="str">
        <f>IFERROR(VLOOKUP($C604,Datensammler!$B:$AA,25,0),)</f>
        <v/>
      </c>
      <c r="N603" s="171" t="str">
        <f>IF(C604=0,"",(VLOOKUP($C604,Datensammler!$B:$AA,26,0)))</f>
        <v>#N/A</v>
      </c>
      <c r="T603" s="172"/>
    </row>
    <row r="604" ht="17.25" customHeight="1">
      <c r="A604" s="212"/>
      <c r="B604" s="174"/>
      <c r="C604" s="175" t="str">
        <f>VLOOKUP(T604,Spieler!A:E,2,0)</f>
        <v>#N/A</v>
      </c>
      <c r="D604" s="170" t="str">
        <f>IFERROR(VLOOKUP($C604,Datensammler!$B:$AA,9,0),)</f>
        <v/>
      </c>
      <c r="E604" s="170" t="str">
        <f>IFERROR(VLOOKUP($C604,Datensammler!$B:$AA,10,0),)</f>
        <v/>
      </c>
      <c r="F604" s="170" t="str">
        <f>IFERROR(VLOOKUP($C604,Datensammler!$B:$AA,11,0),)</f>
        <v/>
      </c>
      <c r="G604" s="170" t="str">
        <f>IFERROR(VLOOKUP($C604,Datensammler!$B:$AA,12,0),)</f>
        <v/>
      </c>
      <c r="H604" s="170" t="str">
        <f>IFERROR(VLOOKUP($C604,Datensammler!$B:$AA,13,0),)</f>
        <v/>
      </c>
      <c r="I604" s="170" t="str">
        <f>IFERROR(VLOOKUP($C604,Datensammler!$B:$AA,14,0),)</f>
        <v/>
      </c>
      <c r="J604" s="169">
        <f t="shared" si="199"/>
        <v>0</v>
      </c>
      <c r="N604" s="176"/>
      <c r="T604" s="177" t="str">
        <f t="array" ref="T604">INDIRECT("Spieler!AD"&amp;B602+5)</f>
        <v/>
      </c>
    </row>
    <row r="605" ht="17.25" customHeight="1">
      <c r="A605" s="212"/>
      <c r="B605" s="167"/>
      <c r="C605" s="178" t="str">
        <f>VLOOKUP(C604,'Mitglieder BBU'!A:K,8,0)</f>
        <v>#N/A</v>
      </c>
      <c r="D605" s="179" t="str">
        <f>IFERROR(VLOOKUP($C604,Datensammler!$B:$AA,15,0),)</f>
        <v/>
      </c>
      <c r="E605" s="179" t="str">
        <f>IFERROR(VLOOKUP($C604,Datensammler!$B:$AA,16,0),)</f>
        <v/>
      </c>
      <c r="F605" s="179" t="str">
        <f>IFERROR(VLOOKUP($C604,Datensammler!$B:$AA,17,0),)</f>
        <v/>
      </c>
      <c r="G605" s="179" t="str">
        <f>IFERROR(VLOOKUP($C604,Datensammler!$B:$AA,18,0),)</f>
        <v/>
      </c>
      <c r="H605" s="179" t="str">
        <f>IFERROR(VLOOKUP($C604,Datensammler!$B:$AA,19,0),)</f>
        <v/>
      </c>
      <c r="I605" s="179" t="str">
        <f>IFERROR(VLOOKUP($C604,Datensammler!$B:$AA,20,0),)</f>
        <v/>
      </c>
      <c r="J605" s="180">
        <f t="shared" si="199"/>
        <v>0</v>
      </c>
      <c r="K605" s="181"/>
      <c r="L605" s="181"/>
      <c r="M605" s="181"/>
      <c r="N605" s="182"/>
      <c r="T605" s="172"/>
    </row>
    <row r="606" ht="17.25" customHeight="1">
      <c r="A606" s="212"/>
      <c r="B606" s="183"/>
      <c r="C606" s="184" t="str">
        <f>IF(VLOOKUP(T604,Spieler!A:F,6,0)="Nein","keine Bayerische Meisterschaft gewünscht","")</f>
        <v>#N/A</v>
      </c>
      <c r="D606" s="161"/>
      <c r="E606" s="170"/>
      <c r="F606" s="170"/>
      <c r="G606" s="185" t="s">
        <v>2562</v>
      </c>
      <c r="H606" s="186"/>
      <c r="I606" s="186"/>
      <c r="J606" s="186"/>
      <c r="K606" s="186"/>
      <c r="L606" s="187">
        <f t="shared" ref="L606:M606" si="200">SUM(L603:L605)</f>
        <v>0</v>
      </c>
      <c r="M606" s="110">
        <f t="shared" si="200"/>
        <v>0</v>
      </c>
      <c r="N606" s="188" t="str">
        <f>L606/M606</f>
        <v>#DIV/0!</v>
      </c>
      <c r="T606" s="189"/>
    </row>
    <row r="607" ht="17.25" customHeight="1">
      <c r="A607" s="212"/>
      <c r="B607" s="190"/>
      <c r="C607" s="178"/>
      <c r="D607" s="191"/>
      <c r="E607" s="191"/>
      <c r="F607" s="191"/>
      <c r="G607" s="191"/>
      <c r="H607" s="191"/>
      <c r="I607" s="191"/>
      <c r="J607" s="191"/>
      <c r="K607" s="110"/>
      <c r="L607" s="187"/>
      <c r="M607" s="110"/>
      <c r="N607" s="188"/>
      <c r="T607" s="194"/>
    </row>
    <row r="608" ht="17.25" customHeight="1">
      <c r="A608" s="212"/>
      <c r="B608" s="157">
        <f>B602+1</f>
        <v>101</v>
      </c>
      <c r="C608" s="158"/>
      <c r="D608" s="159" t="str">
        <f>VLOOKUP(C610,'Mitglieder BBU'!A:J,6,0)</f>
        <v>#N/A</v>
      </c>
      <c r="E608" s="60"/>
      <c r="F608" s="60"/>
      <c r="G608" s="60"/>
      <c r="H608" s="60"/>
      <c r="I608" s="61"/>
      <c r="J608" s="160"/>
      <c r="K608" s="161"/>
      <c r="L608" s="162"/>
      <c r="M608" s="163"/>
      <c r="N608" s="164"/>
      <c r="T608" s="165"/>
    </row>
    <row r="609" ht="17.25" customHeight="1">
      <c r="A609" s="212"/>
      <c r="B609" s="167"/>
      <c r="C609" s="168" t="str">
        <f>VLOOKUP(C610,'Mitglieder BBU'!A:J,6,0)</f>
        <v>#N/A</v>
      </c>
      <c r="D609" s="110" t="str">
        <f>IFERROR(VLOOKUP($C610,Datensammler!$B:$AA,3,0),)</f>
        <v/>
      </c>
      <c r="E609" s="110" t="str">
        <f>IFERROR(VLOOKUP($C610,Datensammler!$B:$AA,4,0),)</f>
        <v/>
      </c>
      <c r="F609" s="110" t="str">
        <f>IFERROR(VLOOKUP($C610,Datensammler!$B:$AA,5,0),)</f>
        <v/>
      </c>
      <c r="G609" s="110" t="str">
        <f>IFERROR(VLOOKUP($C610,Datensammler!$B:$AA,6,0),)</f>
        <v/>
      </c>
      <c r="H609" s="110" t="str">
        <f>IFERROR(VLOOKUP($C610,Datensammler!$B:$AA,7,0),)</f>
        <v/>
      </c>
      <c r="I609" s="110" t="str">
        <f>IFERROR(VLOOKUP($C610,Datensammler!$B:$AA,8,0),)</f>
        <v/>
      </c>
      <c r="J609" s="169">
        <f t="shared" ref="J609:J611" si="201">SUM(D609:I609)</f>
        <v>0</v>
      </c>
      <c r="K609" s="170" t="str">
        <f>IFERROR(VLOOKUP($C610,Datensammler!$B:$AA,23,0),)</f>
        <v/>
      </c>
      <c r="L609" s="161" t="str">
        <f>IFERROR(VLOOKUP($C610,Datensammler!$B:$AA,24,0),)</f>
        <v/>
      </c>
      <c r="M609" s="170" t="str">
        <f>IFERROR(VLOOKUP($C610,Datensammler!$B:$AA,25,0),)</f>
        <v/>
      </c>
      <c r="N609" s="171" t="str">
        <f>IF(C610=0,"",(VLOOKUP($C610,Datensammler!$B:$AA,26,0)))</f>
        <v>#N/A</v>
      </c>
      <c r="T609" s="172"/>
    </row>
    <row r="610" ht="17.25" customHeight="1">
      <c r="A610" s="212"/>
      <c r="B610" s="174"/>
      <c r="C610" s="175" t="str">
        <f>VLOOKUP(T610,Spieler!A:E,2,0)</f>
        <v>#N/A</v>
      </c>
      <c r="D610" s="170" t="str">
        <f>IFERROR(VLOOKUP($C610,Datensammler!$B:$AA,9,0),)</f>
        <v/>
      </c>
      <c r="E610" s="170" t="str">
        <f>IFERROR(VLOOKUP($C610,Datensammler!$B:$AA,10,0),)</f>
        <v/>
      </c>
      <c r="F610" s="170" t="str">
        <f>IFERROR(VLOOKUP($C610,Datensammler!$B:$AA,11,0),)</f>
        <v/>
      </c>
      <c r="G610" s="170" t="str">
        <f>IFERROR(VLOOKUP($C610,Datensammler!$B:$AA,12,0),)</f>
        <v/>
      </c>
      <c r="H610" s="170" t="str">
        <f>IFERROR(VLOOKUP($C610,Datensammler!$B:$AA,13,0),)</f>
        <v/>
      </c>
      <c r="I610" s="170" t="str">
        <f>IFERROR(VLOOKUP($C610,Datensammler!$B:$AA,14,0),)</f>
        <v/>
      </c>
      <c r="J610" s="169">
        <f t="shared" si="201"/>
        <v>0</v>
      </c>
      <c r="N610" s="176"/>
      <c r="T610" s="177" t="str">
        <f t="array" ref="T610">INDIRECT("Spieler!AD"&amp;B608+5)</f>
        <v/>
      </c>
    </row>
    <row r="611" ht="17.25" customHeight="1">
      <c r="A611" s="212"/>
      <c r="B611" s="167"/>
      <c r="C611" s="178" t="str">
        <f>VLOOKUP(C610,'Mitglieder BBU'!A:K,8,0)</f>
        <v>#N/A</v>
      </c>
      <c r="D611" s="179" t="str">
        <f>IFERROR(VLOOKUP($C610,Datensammler!$B:$AA,15,0),)</f>
        <v/>
      </c>
      <c r="E611" s="179" t="str">
        <f>IFERROR(VLOOKUP($C610,Datensammler!$B:$AA,16,0),)</f>
        <v/>
      </c>
      <c r="F611" s="179" t="str">
        <f>IFERROR(VLOOKUP($C610,Datensammler!$B:$AA,17,0),)</f>
        <v/>
      </c>
      <c r="G611" s="179" t="str">
        <f>IFERROR(VLOOKUP($C610,Datensammler!$B:$AA,18,0),)</f>
        <v/>
      </c>
      <c r="H611" s="179" t="str">
        <f>IFERROR(VLOOKUP($C610,Datensammler!$B:$AA,19,0),)</f>
        <v/>
      </c>
      <c r="I611" s="179" t="str">
        <f>IFERROR(VLOOKUP($C610,Datensammler!$B:$AA,20,0),)</f>
        <v/>
      </c>
      <c r="J611" s="180">
        <f t="shared" si="201"/>
        <v>0</v>
      </c>
      <c r="K611" s="181"/>
      <c r="L611" s="181"/>
      <c r="M611" s="181"/>
      <c r="N611" s="182"/>
      <c r="T611" s="172"/>
    </row>
    <row r="612" ht="17.25" customHeight="1">
      <c r="A612" s="212"/>
      <c r="B612" s="183"/>
      <c r="C612" s="184" t="str">
        <f>IF(VLOOKUP(T610,Spieler!A:F,6,0)="Nein","keine Bayerische Meisterschaft gewünscht","")</f>
        <v>#N/A</v>
      </c>
      <c r="D612" s="161"/>
      <c r="E612" s="170"/>
      <c r="F612" s="170"/>
      <c r="G612" s="185" t="s">
        <v>2562</v>
      </c>
      <c r="H612" s="186"/>
      <c r="I612" s="186"/>
      <c r="J612" s="186"/>
      <c r="K612" s="186"/>
      <c r="L612" s="187">
        <f t="shared" ref="L612:M612" si="202">SUM(L609:L611)</f>
        <v>0</v>
      </c>
      <c r="M612" s="110">
        <f t="shared" si="202"/>
        <v>0</v>
      </c>
      <c r="N612" s="188" t="str">
        <f>L612/M612</f>
        <v>#DIV/0!</v>
      </c>
      <c r="T612" s="189"/>
    </row>
    <row r="613" ht="17.25" customHeight="1">
      <c r="A613" s="212"/>
      <c r="B613" s="190"/>
      <c r="C613" s="178"/>
      <c r="D613" s="191"/>
      <c r="E613" s="191"/>
      <c r="F613" s="191"/>
      <c r="G613" s="191"/>
      <c r="H613" s="191"/>
      <c r="I613" s="191"/>
      <c r="J613" s="191"/>
      <c r="K613" s="191"/>
      <c r="L613" s="192"/>
      <c r="M613" s="191"/>
      <c r="N613" s="193"/>
      <c r="T613" s="194"/>
    </row>
    <row r="614" ht="17.25" customHeight="1">
      <c r="A614" s="212"/>
      <c r="B614" s="157">
        <f>B608+1</f>
        <v>102</v>
      </c>
      <c r="C614" s="158"/>
      <c r="D614" s="159" t="str">
        <f>VLOOKUP(C616,'Mitglieder BBU'!A:J,6,0)</f>
        <v>#N/A</v>
      </c>
      <c r="E614" s="60"/>
      <c r="F614" s="60"/>
      <c r="G614" s="60"/>
      <c r="H614" s="60"/>
      <c r="I614" s="61"/>
      <c r="J614" s="160"/>
      <c r="K614" s="161"/>
      <c r="L614" s="162"/>
      <c r="M614" s="163"/>
      <c r="N614" s="164"/>
      <c r="T614" s="165"/>
    </row>
    <row r="615" ht="17.25" customHeight="1">
      <c r="A615" s="212"/>
      <c r="B615" s="167"/>
      <c r="C615" s="168" t="str">
        <f>VLOOKUP(C616,'Mitglieder BBU'!A:J,6,0)</f>
        <v>#N/A</v>
      </c>
      <c r="D615" s="110" t="str">
        <f>IFERROR(VLOOKUP($C616,Datensammler!$B:$AA,3,0),)</f>
        <v/>
      </c>
      <c r="E615" s="110" t="str">
        <f>IFERROR(VLOOKUP($C616,Datensammler!$B:$AA,4,0),)</f>
        <v/>
      </c>
      <c r="F615" s="110" t="str">
        <f>IFERROR(VLOOKUP($C616,Datensammler!$B:$AA,5,0),)</f>
        <v/>
      </c>
      <c r="G615" s="110" t="str">
        <f>IFERROR(VLOOKUP($C616,Datensammler!$B:$AA,6,0),)</f>
        <v/>
      </c>
      <c r="H615" s="110" t="str">
        <f>IFERROR(VLOOKUP($C616,Datensammler!$B:$AA,7,0),)</f>
        <v/>
      </c>
      <c r="I615" s="110" t="str">
        <f>IFERROR(VLOOKUP($C616,Datensammler!$B:$AA,8,0),)</f>
        <v/>
      </c>
      <c r="J615" s="169">
        <f t="shared" ref="J615:J617" si="203">SUM(D615:I615)</f>
        <v>0</v>
      </c>
      <c r="K615" s="170" t="str">
        <f>IFERROR(VLOOKUP($C616,Datensammler!$B:$AA,23,0),)</f>
        <v/>
      </c>
      <c r="L615" s="161" t="str">
        <f>IFERROR(VLOOKUP($C616,Datensammler!$B:$AA,24,0),)</f>
        <v/>
      </c>
      <c r="M615" s="170" t="str">
        <f>IFERROR(VLOOKUP($C616,Datensammler!$B:$AA,25,0),)</f>
        <v/>
      </c>
      <c r="N615" s="171" t="str">
        <f>IF(C616=0,"",(VLOOKUP($C616,Datensammler!$B:$AA,26,0)))</f>
        <v>#N/A</v>
      </c>
      <c r="T615" s="172"/>
    </row>
    <row r="616" ht="17.25" customHeight="1">
      <c r="A616" s="212"/>
      <c r="B616" s="174"/>
      <c r="C616" s="175" t="str">
        <f>VLOOKUP(T616,Spieler!A:E,2,0)</f>
        <v>#N/A</v>
      </c>
      <c r="D616" s="170" t="str">
        <f>IFERROR(VLOOKUP($C616,Datensammler!$B:$AA,9,0),)</f>
        <v/>
      </c>
      <c r="E616" s="170" t="str">
        <f>IFERROR(VLOOKUP($C616,Datensammler!$B:$AA,10,0),)</f>
        <v/>
      </c>
      <c r="F616" s="170" t="str">
        <f>IFERROR(VLOOKUP($C616,Datensammler!$B:$AA,11,0),)</f>
        <v/>
      </c>
      <c r="G616" s="170" t="str">
        <f>IFERROR(VLOOKUP($C616,Datensammler!$B:$AA,12,0),)</f>
        <v/>
      </c>
      <c r="H616" s="170" t="str">
        <f>IFERROR(VLOOKUP($C616,Datensammler!$B:$AA,13,0),)</f>
        <v/>
      </c>
      <c r="I616" s="170" t="str">
        <f>IFERROR(VLOOKUP($C616,Datensammler!$B:$AA,14,0),)</f>
        <v/>
      </c>
      <c r="J616" s="169">
        <f t="shared" si="203"/>
        <v>0</v>
      </c>
      <c r="N616" s="176"/>
      <c r="T616" s="177" t="str">
        <f t="array" ref="T616">INDIRECT("Spieler!AD"&amp;B614+5)</f>
        <v/>
      </c>
    </row>
    <row r="617" ht="17.25" customHeight="1">
      <c r="A617" s="212"/>
      <c r="B617" s="167"/>
      <c r="C617" s="178" t="str">
        <f>VLOOKUP(C616,'Mitglieder BBU'!A:K,8,0)</f>
        <v>#N/A</v>
      </c>
      <c r="D617" s="179" t="str">
        <f>IFERROR(VLOOKUP($C616,Datensammler!$B:$AA,15,0),)</f>
        <v/>
      </c>
      <c r="E617" s="179" t="str">
        <f>IFERROR(VLOOKUP($C616,Datensammler!$B:$AA,16,0),)</f>
        <v/>
      </c>
      <c r="F617" s="179" t="str">
        <f>IFERROR(VLOOKUP($C616,Datensammler!$B:$AA,17,0),)</f>
        <v/>
      </c>
      <c r="G617" s="179" t="str">
        <f>IFERROR(VLOOKUP($C616,Datensammler!$B:$AA,18,0),)</f>
        <v/>
      </c>
      <c r="H617" s="179" t="str">
        <f>IFERROR(VLOOKUP($C616,Datensammler!$B:$AA,19,0),)</f>
        <v/>
      </c>
      <c r="I617" s="179" t="str">
        <f>IFERROR(VLOOKUP($C616,Datensammler!$B:$AA,20,0),)</f>
        <v/>
      </c>
      <c r="J617" s="180">
        <f t="shared" si="203"/>
        <v>0</v>
      </c>
      <c r="K617" s="181"/>
      <c r="L617" s="181"/>
      <c r="M617" s="181"/>
      <c r="N617" s="182"/>
      <c r="T617" s="172"/>
    </row>
    <row r="618" ht="17.25" customHeight="1">
      <c r="A618" s="212"/>
      <c r="B618" s="183"/>
      <c r="C618" s="184" t="str">
        <f>IF(VLOOKUP(T616,Spieler!A:F,6,0)="Nein","keine Bayerische Meisterschaft gewünscht","")</f>
        <v>#N/A</v>
      </c>
      <c r="D618" s="161"/>
      <c r="E618" s="170"/>
      <c r="F618" s="170"/>
      <c r="G618" s="185" t="s">
        <v>2562</v>
      </c>
      <c r="H618" s="186"/>
      <c r="I618" s="186"/>
      <c r="J618" s="186"/>
      <c r="K618" s="186"/>
      <c r="L618" s="187">
        <f t="shared" ref="L618:M618" si="204">SUM(L615:L617)</f>
        <v>0</v>
      </c>
      <c r="M618" s="110">
        <f t="shared" si="204"/>
        <v>0</v>
      </c>
      <c r="N618" s="188" t="str">
        <f>L618/M618</f>
        <v>#DIV/0!</v>
      </c>
      <c r="T618" s="189"/>
    </row>
    <row r="619" ht="17.25" customHeight="1">
      <c r="A619" s="212"/>
      <c r="B619" s="190"/>
      <c r="C619" s="178"/>
      <c r="D619" s="191"/>
      <c r="E619" s="191"/>
      <c r="F619" s="191"/>
      <c r="G619" s="191"/>
      <c r="H619" s="191"/>
      <c r="I619" s="191"/>
      <c r="J619" s="191"/>
      <c r="K619" s="191"/>
      <c r="L619" s="192"/>
      <c r="M619" s="191"/>
      <c r="N619" s="193"/>
      <c r="T619" s="194"/>
    </row>
    <row r="620" ht="17.25" customHeight="1">
      <c r="A620" s="212"/>
      <c r="B620" s="157">
        <f>B614+1</f>
        <v>103</v>
      </c>
      <c r="C620" s="158"/>
      <c r="D620" s="159" t="str">
        <f>VLOOKUP(C622,'Mitglieder BBU'!A:J,6,0)</f>
        <v>#N/A</v>
      </c>
      <c r="E620" s="60"/>
      <c r="F620" s="60"/>
      <c r="G620" s="60"/>
      <c r="H620" s="60"/>
      <c r="I620" s="61"/>
      <c r="J620" s="160"/>
      <c r="K620" s="161"/>
      <c r="L620" s="162"/>
      <c r="M620" s="163"/>
      <c r="N620" s="164"/>
      <c r="T620" s="165"/>
    </row>
    <row r="621" ht="21.0" customHeight="1">
      <c r="A621" s="212"/>
      <c r="B621" s="167"/>
      <c r="C621" s="168" t="str">
        <f>VLOOKUP(C622,'Mitglieder BBU'!A:J,6,0)</f>
        <v>#N/A</v>
      </c>
      <c r="D621" s="110" t="str">
        <f>IFERROR(VLOOKUP($C622,Datensammler!$B:$AA,3,0),)</f>
        <v/>
      </c>
      <c r="E621" s="110" t="str">
        <f>IFERROR(VLOOKUP($C622,Datensammler!$B:$AA,4,0),)</f>
        <v/>
      </c>
      <c r="F621" s="110" t="str">
        <f>IFERROR(VLOOKUP($C622,Datensammler!$B:$AA,5,0),)</f>
        <v/>
      </c>
      <c r="G621" s="110" t="str">
        <f>IFERROR(VLOOKUP($C622,Datensammler!$B:$AA,6,0),)</f>
        <v/>
      </c>
      <c r="H621" s="110" t="str">
        <f>IFERROR(VLOOKUP($C622,Datensammler!$B:$AA,7,0),)</f>
        <v/>
      </c>
      <c r="I621" s="110" t="str">
        <f>IFERROR(VLOOKUP($C622,Datensammler!$B:$AA,8,0),)</f>
        <v/>
      </c>
      <c r="J621" s="169">
        <f t="shared" ref="J621:J623" si="205">SUM(D621:I621)</f>
        <v>0</v>
      </c>
      <c r="K621" s="170" t="str">
        <f>IFERROR(VLOOKUP($C622,Datensammler!$B:$AA,23,0),)</f>
        <v/>
      </c>
      <c r="L621" s="161" t="str">
        <f>IFERROR(VLOOKUP($C622,Datensammler!$B:$AA,24,0),)</f>
        <v/>
      </c>
      <c r="M621" s="170" t="str">
        <f>IFERROR(VLOOKUP($C622,Datensammler!$B:$AA,25,0),)</f>
        <v/>
      </c>
      <c r="N621" s="171" t="str">
        <f>IF(C622=0,"",(VLOOKUP($C622,Datensammler!$B:$AA,26,0)))</f>
        <v>#N/A</v>
      </c>
      <c r="T621" s="172"/>
    </row>
    <row r="622" ht="21.0" customHeight="1">
      <c r="A622" s="212"/>
      <c r="B622" s="174"/>
      <c r="C622" s="175" t="str">
        <f>VLOOKUP(T622,Spieler!A:E,2,0)</f>
        <v>#N/A</v>
      </c>
      <c r="D622" s="170" t="str">
        <f>IFERROR(VLOOKUP($C622,Datensammler!$B:$AA,9,0),)</f>
        <v/>
      </c>
      <c r="E622" s="170" t="str">
        <f>IFERROR(VLOOKUP($C622,Datensammler!$B:$AA,10,0),)</f>
        <v/>
      </c>
      <c r="F622" s="170" t="str">
        <f>IFERROR(VLOOKUP($C622,Datensammler!$B:$AA,11,0),)</f>
        <v/>
      </c>
      <c r="G622" s="170" t="str">
        <f>IFERROR(VLOOKUP($C622,Datensammler!$B:$AA,12,0),)</f>
        <v/>
      </c>
      <c r="H622" s="170" t="str">
        <f>IFERROR(VLOOKUP($C622,Datensammler!$B:$AA,13,0),)</f>
        <v/>
      </c>
      <c r="I622" s="170" t="str">
        <f>IFERROR(VLOOKUP($C622,Datensammler!$B:$AA,14,0),)</f>
        <v/>
      </c>
      <c r="J622" s="169">
        <f t="shared" si="205"/>
        <v>0</v>
      </c>
      <c r="N622" s="176"/>
      <c r="T622" s="177" t="str">
        <f t="array" ref="T622">INDIRECT("Spieler!AD"&amp;B620+5)</f>
        <v/>
      </c>
    </row>
    <row r="623" ht="21.0" customHeight="1">
      <c r="A623" s="212"/>
      <c r="B623" s="167"/>
      <c r="C623" s="178" t="str">
        <f>VLOOKUP(C622,'Mitglieder BBU'!A:K,8,0)</f>
        <v>#N/A</v>
      </c>
      <c r="D623" s="179" t="str">
        <f>IFERROR(VLOOKUP($C622,Datensammler!$B:$AA,15,0),)</f>
        <v/>
      </c>
      <c r="E623" s="179" t="str">
        <f>IFERROR(VLOOKUP($C622,Datensammler!$B:$AA,16,0),)</f>
        <v/>
      </c>
      <c r="F623" s="179" t="str">
        <f>IFERROR(VLOOKUP($C622,Datensammler!$B:$AA,17,0),)</f>
        <v/>
      </c>
      <c r="G623" s="179" t="str">
        <f>IFERROR(VLOOKUP($C622,Datensammler!$B:$AA,18,0),)</f>
        <v/>
      </c>
      <c r="H623" s="179" t="str">
        <f>IFERROR(VLOOKUP($C622,Datensammler!$B:$AA,19,0),)</f>
        <v/>
      </c>
      <c r="I623" s="179" t="str">
        <f>IFERROR(VLOOKUP($C622,Datensammler!$B:$AA,20,0),)</f>
        <v/>
      </c>
      <c r="J623" s="180">
        <f t="shared" si="205"/>
        <v>0</v>
      </c>
      <c r="K623" s="181"/>
      <c r="L623" s="181"/>
      <c r="M623" s="181"/>
      <c r="N623" s="182"/>
      <c r="T623" s="172"/>
    </row>
    <row r="624" ht="21.0" customHeight="1">
      <c r="A624" s="212"/>
      <c r="B624" s="183"/>
      <c r="C624" s="184" t="str">
        <f>IF(VLOOKUP(T622,Spieler!A:F,6,0)="Nein","keine Bayerische Meisterschaft gewünscht","")</f>
        <v>#N/A</v>
      </c>
      <c r="D624" s="161"/>
      <c r="E624" s="170"/>
      <c r="F624" s="170"/>
      <c r="G624" s="185" t="s">
        <v>2562</v>
      </c>
      <c r="H624" s="186"/>
      <c r="I624" s="186"/>
      <c r="J624" s="186"/>
      <c r="K624" s="186"/>
      <c r="L624" s="187">
        <f t="shared" ref="L624:M624" si="206">SUM(L621:L623)</f>
        <v>0</v>
      </c>
      <c r="M624" s="110">
        <f t="shared" si="206"/>
        <v>0</v>
      </c>
      <c r="N624" s="188" t="str">
        <f>L624/M624</f>
        <v>#DIV/0!</v>
      </c>
      <c r="T624" s="189"/>
    </row>
    <row r="625" ht="21.0" customHeight="1">
      <c r="A625" s="212"/>
      <c r="B625" s="190"/>
      <c r="C625" s="178"/>
      <c r="D625" s="191"/>
      <c r="E625" s="191"/>
      <c r="F625" s="191"/>
      <c r="G625" s="191"/>
      <c r="H625" s="191"/>
      <c r="I625" s="191"/>
      <c r="J625" s="191"/>
      <c r="K625" s="191"/>
      <c r="L625" s="192"/>
      <c r="M625" s="191"/>
      <c r="N625" s="193"/>
      <c r="T625" s="194"/>
    </row>
    <row r="626" ht="21.0" customHeight="1">
      <c r="A626" s="212"/>
      <c r="B626" s="157">
        <f>B620+1</f>
        <v>104</v>
      </c>
      <c r="C626" s="158"/>
      <c r="D626" s="159" t="str">
        <f>VLOOKUP(C628,'Mitglieder BBU'!A:J,6,0)</f>
        <v>#N/A</v>
      </c>
      <c r="E626" s="60"/>
      <c r="F626" s="60"/>
      <c r="G626" s="60"/>
      <c r="H626" s="60"/>
      <c r="I626" s="61"/>
      <c r="J626" s="160"/>
      <c r="K626" s="161"/>
      <c r="L626" s="162"/>
      <c r="M626" s="163"/>
      <c r="N626" s="164"/>
      <c r="T626" s="165"/>
    </row>
    <row r="627" ht="21.0" customHeight="1">
      <c r="A627" s="212"/>
      <c r="B627" s="167"/>
      <c r="C627" s="168" t="str">
        <f>VLOOKUP(C628,'Mitglieder BBU'!A:J,6,0)</f>
        <v>#N/A</v>
      </c>
      <c r="D627" s="110" t="str">
        <f>IFERROR(VLOOKUP($C628,Datensammler!$B:$AA,3,0),)</f>
        <v/>
      </c>
      <c r="E627" s="110" t="str">
        <f>IFERROR(VLOOKUP($C628,Datensammler!$B:$AA,4,0),)</f>
        <v/>
      </c>
      <c r="F627" s="110" t="str">
        <f>IFERROR(VLOOKUP($C628,Datensammler!$B:$AA,5,0),)</f>
        <v/>
      </c>
      <c r="G627" s="110" t="str">
        <f>IFERROR(VLOOKUP($C628,Datensammler!$B:$AA,6,0),)</f>
        <v/>
      </c>
      <c r="H627" s="110" t="str">
        <f>IFERROR(VLOOKUP($C628,Datensammler!$B:$AA,7,0),)</f>
        <v/>
      </c>
      <c r="I627" s="110" t="str">
        <f>IFERROR(VLOOKUP($C628,Datensammler!$B:$AA,8,0),)</f>
        <v/>
      </c>
      <c r="J627" s="169">
        <f t="shared" ref="J627:J629" si="207">SUM(D627:I627)</f>
        <v>0</v>
      </c>
      <c r="K627" s="170" t="str">
        <f>IFERROR(VLOOKUP($C628,Datensammler!$B:$AA,23,0),)</f>
        <v/>
      </c>
      <c r="L627" s="161" t="str">
        <f>IFERROR(VLOOKUP($C628,Datensammler!$B:$AA,24,0),)</f>
        <v/>
      </c>
      <c r="M627" s="170" t="str">
        <f>IFERROR(VLOOKUP($C628,Datensammler!$B:$AA,25,0),)</f>
        <v/>
      </c>
      <c r="N627" s="171" t="str">
        <f>IF(C628=0,"",(VLOOKUP($C628,Datensammler!$B:$AA,26,0)))</f>
        <v>#N/A</v>
      </c>
      <c r="T627" s="172"/>
    </row>
    <row r="628" ht="21.0" customHeight="1">
      <c r="A628" s="212"/>
      <c r="B628" s="174"/>
      <c r="C628" s="175" t="str">
        <f>VLOOKUP(T628,Spieler!A:E,2,0)</f>
        <v>#N/A</v>
      </c>
      <c r="D628" s="170" t="str">
        <f>IFERROR(VLOOKUP($C628,Datensammler!$B:$AA,9,0),)</f>
        <v/>
      </c>
      <c r="E628" s="170" t="str">
        <f>IFERROR(VLOOKUP($C628,Datensammler!$B:$AA,10,0),)</f>
        <v/>
      </c>
      <c r="F628" s="170" t="str">
        <f>IFERROR(VLOOKUP($C628,Datensammler!$B:$AA,11,0),)</f>
        <v/>
      </c>
      <c r="G628" s="170" t="str">
        <f>IFERROR(VLOOKUP($C628,Datensammler!$B:$AA,12,0),)</f>
        <v/>
      </c>
      <c r="H628" s="170" t="str">
        <f>IFERROR(VLOOKUP($C628,Datensammler!$B:$AA,13,0),)</f>
        <v/>
      </c>
      <c r="I628" s="170" t="str">
        <f>IFERROR(VLOOKUP($C628,Datensammler!$B:$AA,14,0),)</f>
        <v/>
      </c>
      <c r="J628" s="169">
        <f t="shared" si="207"/>
        <v>0</v>
      </c>
      <c r="N628" s="176"/>
      <c r="T628" s="177" t="str">
        <f t="array" ref="T628">INDIRECT("Spieler!AD"&amp;B626+5)</f>
        <v/>
      </c>
    </row>
    <row r="629" ht="21.0" customHeight="1">
      <c r="A629" s="212"/>
      <c r="B629" s="167"/>
      <c r="C629" s="178" t="str">
        <f>VLOOKUP(C628,'Mitglieder BBU'!A:K,8,0)</f>
        <v>#N/A</v>
      </c>
      <c r="D629" s="179" t="str">
        <f>IFERROR(VLOOKUP($C628,Datensammler!$B:$AA,15,0),)</f>
        <v/>
      </c>
      <c r="E629" s="179" t="str">
        <f>IFERROR(VLOOKUP($C628,Datensammler!$B:$AA,16,0),)</f>
        <v/>
      </c>
      <c r="F629" s="179" t="str">
        <f>IFERROR(VLOOKUP($C628,Datensammler!$B:$AA,17,0),)</f>
        <v/>
      </c>
      <c r="G629" s="179" t="str">
        <f>IFERROR(VLOOKUP($C628,Datensammler!$B:$AA,18,0),)</f>
        <v/>
      </c>
      <c r="H629" s="179" t="str">
        <f>IFERROR(VLOOKUP($C628,Datensammler!$B:$AA,19,0),)</f>
        <v/>
      </c>
      <c r="I629" s="179" t="str">
        <f>IFERROR(VLOOKUP($C628,Datensammler!$B:$AA,20,0),)</f>
        <v/>
      </c>
      <c r="J629" s="180">
        <f t="shared" si="207"/>
        <v>0</v>
      </c>
      <c r="K629" s="181"/>
      <c r="L629" s="181"/>
      <c r="M629" s="181"/>
      <c r="N629" s="182"/>
      <c r="T629" s="172"/>
    </row>
    <row r="630" ht="21.0" customHeight="1">
      <c r="A630" s="212"/>
      <c r="B630" s="183"/>
      <c r="C630" s="184" t="str">
        <f>IF(VLOOKUP(T628,Spieler!A:F,6,0)="Nein","keine Bayerische Meisterschaft gewünscht","")</f>
        <v>#N/A</v>
      </c>
      <c r="D630" s="161"/>
      <c r="E630" s="170"/>
      <c r="F630" s="170"/>
      <c r="G630" s="185" t="s">
        <v>2562</v>
      </c>
      <c r="H630" s="186"/>
      <c r="I630" s="186"/>
      <c r="J630" s="186"/>
      <c r="K630" s="186"/>
      <c r="L630" s="187">
        <f t="shared" ref="L630:M630" si="208">SUM(L627:L629)</f>
        <v>0</v>
      </c>
      <c r="M630" s="110">
        <f t="shared" si="208"/>
        <v>0</v>
      </c>
      <c r="N630" s="188" t="str">
        <f>L630/M630</f>
        <v>#DIV/0!</v>
      </c>
      <c r="T630" s="189"/>
    </row>
    <row r="631" ht="21.0" customHeight="1">
      <c r="A631" s="212"/>
      <c r="B631" s="190"/>
      <c r="C631" s="178"/>
      <c r="D631" s="191"/>
      <c r="E631" s="191"/>
      <c r="F631" s="191"/>
      <c r="G631" s="191"/>
      <c r="H631" s="191"/>
      <c r="I631" s="191"/>
      <c r="J631" s="191"/>
      <c r="K631" s="191"/>
      <c r="L631" s="192"/>
      <c r="M631" s="191"/>
      <c r="N631" s="193"/>
      <c r="T631" s="194"/>
    </row>
    <row r="632" ht="21.0" customHeight="1">
      <c r="A632" s="212"/>
      <c r="B632" s="157">
        <f>B626+1</f>
        <v>105</v>
      </c>
      <c r="C632" s="158"/>
      <c r="D632" s="159" t="str">
        <f>VLOOKUP(C634,'Mitglieder BBU'!A:J,6,0)</f>
        <v>#N/A</v>
      </c>
      <c r="E632" s="60"/>
      <c r="F632" s="60"/>
      <c r="G632" s="60"/>
      <c r="H632" s="60"/>
      <c r="I632" s="61"/>
      <c r="J632" s="160"/>
      <c r="K632" s="161"/>
      <c r="L632" s="162"/>
      <c r="M632" s="163"/>
      <c r="N632" s="164"/>
      <c r="T632" s="165"/>
    </row>
    <row r="633" ht="21.0" customHeight="1">
      <c r="A633" s="212"/>
      <c r="B633" s="167"/>
      <c r="C633" s="168" t="str">
        <f>VLOOKUP(C634,'Mitglieder BBU'!A:J,6,0)</f>
        <v>#N/A</v>
      </c>
      <c r="D633" s="110" t="str">
        <f>IFERROR(VLOOKUP($C634,Datensammler!$B:$AA,3,0),)</f>
        <v/>
      </c>
      <c r="E633" s="110" t="str">
        <f>IFERROR(VLOOKUP($C634,Datensammler!$B:$AA,4,0),)</f>
        <v/>
      </c>
      <c r="F633" s="110" t="str">
        <f>IFERROR(VLOOKUP($C634,Datensammler!$B:$AA,5,0),)</f>
        <v/>
      </c>
      <c r="G633" s="110" t="str">
        <f>IFERROR(VLOOKUP($C634,Datensammler!$B:$AA,6,0),)</f>
        <v/>
      </c>
      <c r="H633" s="110" t="str">
        <f>IFERROR(VLOOKUP($C634,Datensammler!$B:$AA,7,0),)</f>
        <v/>
      </c>
      <c r="I633" s="110" t="str">
        <f>IFERROR(VLOOKUP($C634,Datensammler!$B:$AA,8,0),)</f>
        <v/>
      </c>
      <c r="J633" s="169">
        <f t="shared" ref="J633:J635" si="209">SUM(D633:I633)</f>
        <v>0</v>
      </c>
      <c r="K633" s="170" t="str">
        <f>IFERROR(VLOOKUP($C634,Datensammler!$B:$AA,23,0),)</f>
        <v/>
      </c>
      <c r="L633" s="161" t="str">
        <f>IFERROR(VLOOKUP($C634,Datensammler!$B:$AA,24,0),)</f>
        <v/>
      </c>
      <c r="M633" s="170" t="str">
        <f>IFERROR(VLOOKUP($C634,Datensammler!$B:$AA,25,0),)</f>
        <v/>
      </c>
      <c r="N633" s="171" t="str">
        <f>IF(C634=0,"",(VLOOKUP($C634,Datensammler!$B:$AA,26,0)))</f>
        <v>#N/A</v>
      </c>
      <c r="T633" s="172"/>
    </row>
    <row r="634" ht="21.0" customHeight="1">
      <c r="A634" s="212"/>
      <c r="B634" s="174"/>
      <c r="C634" s="175" t="str">
        <f>VLOOKUP(T634,Spieler!A:E,2,0)</f>
        <v>#N/A</v>
      </c>
      <c r="D634" s="170" t="str">
        <f>IFERROR(VLOOKUP($C634,Datensammler!$B:$AA,9,0),)</f>
        <v/>
      </c>
      <c r="E634" s="170" t="str">
        <f>IFERROR(VLOOKUP($C634,Datensammler!$B:$AA,10,0),)</f>
        <v/>
      </c>
      <c r="F634" s="170" t="str">
        <f>IFERROR(VLOOKUP($C634,Datensammler!$B:$AA,11,0),)</f>
        <v/>
      </c>
      <c r="G634" s="170" t="str">
        <f>IFERROR(VLOOKUP($C634,Datensammler!$B:$AA,12,0),)</f>
        <v/>
      </c>
      <c r="H634" s="170" t="str">
        <f>IFERROR(VLOOKUP($C634,Datensammler!$B:$AA,13,0),)</f>
        <v/>
      </c>
      <c r="I634" s="170" t="str">
        <f>IFERROR(VLOOKUP($C634,Datensammler!$B:$AA,14,0),)</f>
        <v/>
      </c>
      <c r="J634" s="169">
        <f t="shared" si="209"/>
        <v>0</v>
      </c>
      <c r="N634" s="176"/>
      <c r="T634" s="177" t="str">
        <f t="array" ref="T634">INDIRECT("Spieler!AD"&amp;B632+5)</f>
        <v/>
      </c>
    </row>
    <row r="635" ht="21.0" customHeight="1">
      <c r="A635" s="212"/>
      <c r="B635" s="167"/>
      <c r="C635" s="178" t="str">
        <f>VLOOKUP(C634,'Mitglieder BBU'!A:K,8,0)</f>
        <v>#N/A</v>
      </c>
      <c r="D635" s="179" t="str">
        <f>IFERROR(VLOOKUP($C634,Datensammler!$B:$AA,15,0),)</f>
        <v/>
      </c>
      <c r="E635" s="179" t="str">
        <f>IFERROR(VLOOKUP($C634,Datensammler!$B:$AA,16,0),)</f>
        <v/>
      </c>
      <c r="F635" s="179" t="str">
        <f>IFERROR(VLOOKUP($C634,Datensammler!$B:$AA,17,0),)</f>
        <v/>
      </c>
      <c r="G635" s="179" t="str">
        <f>IFERROR(VLOOKUP($C634,Datensammler!$B:$AA,18,0),)</f>
        <v/>
      </c>
      <c r="H635" s="179" t="str">
        <f>IFERROR(VLOOKUP($C634,Datensammler!$B:$AA,19,0),)</f>
        <v/>
      </c>
      <c r="I635" s="179" t="str">
        <f>IFERROR(VLOOKUP($C634,Datensammler!$B:$AA,20,0),)</f>
        <v/>
      </c>
      <c r="J635" s="180">
        <f t="shared" si="209"/>
        <v>0</v>
      </c>
      <c r="K635" s="181"/>
      <c r="L635" s="181"/>
      <c r="M635" s="181"/>
      <c r="N635" s="182"/>
      <c r="T635" s="172"/>
    </row>
    <row r="636" ht="21.0" customHeight="1">
      <c r="A636" s="212"/>
      <c r="B636" s="183"/>
      <c r="C636" s="184" t="str">
        <f>IF(VLOOKUP(T634,Spieler!A:F,6,0)="Nein","keine Bayerische Meisterschaft gewünscht","")</f>
        <v>#N/A</v>
      </c>
      <c r="D636" s="161"/>
      <c r="E636" s="170"/>
      <c r="F636" s="170"/>
      <c r="G636" s="185" t="s">
        <v>2562</v>
      </c>
      <c r="H636" s="186"/>
      <c r="I636" s="186"/>
      <c r="J636" s="186"/>
      <c r="K636" s="186"/>
      <c r="L636" s="187">
        <f t="shared" ref="L636:M636" si="210">SUM(L633:L635)</f>
        <v>0</v>
      </c>
      <c r="M636" s="110">
        <f t="shared" si="210"/>
        <v>0</v>
      </c>
      <c r="N636" s="188" t="str">
        <f>L636/M636</f>
        <v>#DIV/0!</v>
      </c>
      <c r="T636" s="189"/>
    </row>
    <row r="637" ht="21.0" customHeight="1">
      <c r="A637" s="212"/>
      <c r="B637" s="190"/>
      <c r="C637" s="178"/>
      <c r="D637" s="191"/>
      <c r="E637" s="191"/>
      <c r="F637" s="191"/>
      <c r="G637" s="191"/>
      <c r="H637" s="191"/>
      <c r="I637" s="191"/>
      <c r="J637" s="191"/>
      <c r="K637" s="110"/>
      <c r="L637" s="187"/>
      <c r="M637" s="110"/>
      <c r="N637" s="188"/>
      <c r="T637" s="194"/>
    </row>
    <row r="638" ht="21.0" customHeight="1">
      <c r="A638" s="212"/>
      <c r="B638" s="157">
        <f>B632+1</f>
        <v>106</v>
      </c>
      <c r="C638" s="158"/>
      <c r="D638" s="159" t="str">
        <f>VLOOKUP(C640,'Mitglieder BBU'!A:J,6,0)</f>
        <v>#N/A</v>
      </c>
      <c r="E638" s="60"/>
      <c r="F638" s="60"/>
      <c r="G638" s="60"/>
      <c r="H638" s="60"/>
      <c r="I638" s="61"/>
      <c r="J638" s="160"/>
      <c r="K638" s="161"/>
      <c r="L638" s="162"/>
      <c r="M638" s="163"/>
      <c r="N638" s="164"/>
      <c r="T638" s="165"/>
    </row>
    <row r="639" ht="21.0" customHeight="1">
      <c r="A639" s="212"/>
      <c r="B639" s="167"/>
      <c r="C639" s="168" t="str">
        <f>VLOOKUP(C640,'Mitglieder BBU'!A:J,6,0)</f>
        <v>#N/A</v>
      </c>
      <c r="D639" s="110" t="str">
        <f>IFERROR(VLOOKUP($C640,Datensammler!$B:$AA,3,0),)</f>
        <v/>
      </c>
      <c r="E639" s="110" t="str">
        <f>IFERROR(VLOOKUP($C640,Datensammler!$B:$AA,4,0),)</f>
        <v/>
      </c>
      <c r="F639" s="110" t="str">
        <f>IFERROR(VLOOKUP($C640,Datensammler!$B:$AA,5,0),)</f>
        <v/>
      </c>
      <c r="G639" s="110" t="str">
        <f>IFERROR(VLOOKUP($C640,Datensammler!$B:$AA,6,0),)</f>
        <v/>
      </c>
      <c r="H639" s="110" t="str">
        <f>IFERROR(VLOOKUP($C640,Datensammler!$B:$AA,7,0),)</f>
        <v/>
      </c>
      <c r="I639" s="110" t="str">
        <f>IFERROR(VLOOKUP($C640,Datensammler!$B:$AA,8,0),)</f>
        <v/>
      </c>
      <c r="J639" s="169">
        <f t="shared" ref="J639:J641" si="211">SUM(D639:I639)</f>
        <v>0</v>
      </c>
      <c r="K639" s="170" t="str">
        <f>IFERROR(VLOOKUP($C640,Datensammler!$B:$AA,23,0),)</f>
        <v/>
      </c>
      <c r="L639" s="161" t="str">
        <f>IFERROR(VLOOKUP($C640,Datensammler!$B:$AA,24,0),)</f>
        <v/>
      </c>
      <c r="M639" s="170" t="str">
        <f>IFERROR(VLOOKUP($C640,Datensammler!$B:$AA,25,0),)</f>
        <v/>
      </c>
      <c r="N639" s="171" t="str">
        <f>IF(C640=0,"",(VLOOKUP($C640,Datensammler!$B:$AA,26,0)))</f>
        <v>#N/A</v>
      </c>
      <c r="T639" s="172"/>
    </row>
    <row r="640" ht="21.0" customHeight="1">
      <c r="A640" s="212"/>
      <c r="B640" s="174"/>
      <c r="C640" s="175" t="str">
        <f>VLOOKUP(T640,Spieler!A:E,2,0)</f>
        <v>#N/A</v>
      </c>
      <c r="D640" s="170" t="str">
        <f>IFERROR(VLOOKUP($C640,Datensammler!$B:$AA,9,0),)</f>
        <v/>
      </c>
      <c r="E640" s="170" t="str">
        <f>IFERROR(VLOOKUP($C640,Datensammler!$B:$AA,10,0),)</f>
        <v/>
      </c>
      <c r="F640" s="170" t="str">
        <f>IFERROR(VLOOKUP($C640,Datensammler!$B:$AA,11,0),)</f>
        <v/>
      </c>
      <c r="G640" s="170" t="str">
        <f>IFERROR(VLOOKUP($C640,Datensammler!$B:$AA,12,0),)</f>
        <v/>
      </c>
      <c r="H640" s="170" t="str">
        <f>IFERROR(VLOOKUP($C640,Datensammler!$B:$AA,13,0),)</f>
        <v/>
      </c>
      <c r="I640" s="170" t="str">
        <f>IFERROR(VLOOKUP($C640,Datensammler!$B:$AA,14,0),)</f>
        <v/>
      </c>
      <c r="J640" s="169">
        <f t="shared" si="211"/>
        <v>0</v>
      </c>
      <c r="N640" s="176"/>
      <c r="T640" s="177" t="str">
        <f t="array" ref="T640">INDIRECT("Spieler!AD"&amp;B638+5)</f>
        <v/>
      </c>
    </row>
    <row r="641" ht="21.0" customHeight="1">
      <c r="A641" s="212"/>
      <c r="B641" s="167"/>
      <c r="C641" s="178" t="str">
        <f>VLOOKUP(C640,'Mitglieder BBU'!A:K,8,0)</f>
        <v>#N/A</v>
      </c>
      <c r="D641" s="179" t="str">
        <f>IFERROR(VLOOKUP($C640,Datensammler!$B:$AA,15,0),)</f>
        <v/>
      </c>
      <c r="E641" s="179" t="str">
        <f>IFERROR(VLOOKUP($C640,Datensammler!$B:$AA,16,0),)</f>
        <v/>
      </c>
      <c r="F641" s="179" t="str">
        <f>IFERROR(VLOOKUP($C640,Datensammler!$B:$AA,17,0),)</f>
        <v/>
      </c>
      <c r="G641" s="179" t="str">
        <f>IFERROR(VLOOKUP($C640,Datensammler!$B:$AA,18,0),)</f>
        <v/>
      </c>
      <c r="H641" s="179" t="str">
        <f>IFERROR(VLOOKUP($C640,Datensammler!$B:$AA,19,0),)</f>
        <v/>
      </c>
      <c r="I641" s="179" t="str">
        <f>IFERROR(VLOOKUP($C640,Datensammler!$B:$AA,20,0),)</f>
        <v/>
      </c>
      <c r="J641" s="180">
        <f t="shared" si="211"/>
        <v>0</v>
      </c>
      <c r="K641" s="181"/>
      <c r="L641" s="181"/>
      <c r="M641" s="181"/>
      <c r="N641" s="182"/>
      <c r="T641" s="172"/>
    </row>
    <row r="642" ht="21.0" customHeight="1">
      <c r="A642" s="212"/>
      <c r="B642" s="183"/>
      <c r="C642" s="184" t="str">
        <f>IF(VLOOKUP(T640,Spieler!A:F,6,0)="Nein","keine Bayerische Meisterschaft gewünscht","")</f>
        <v>#N/A</v>
      </c>
      <c r="D642" s="161"/>
      <c r="E642" s="170"/>
      <c r="F642" s="170"/>
      <c r="G642" s="185" t="s">
        <v>2562</v>
      </c>
      <c r="H642" s="186"/>
      <c r="I642" s="186"/>
      <c r="J642" s="186"/>
      <c r="K642" s="186"/>
      <c r="L642" s="187">
        <f t="shared" ref="L642:M642" si="212">SUM(L639:L641)</f>
        <v>0</v>
      </c>
      <c r="M642" s="110">
        <f t="shared" si="212"/>
        <v>0</v>
      </c>
      <c r="N642" s="188" t="str">
        <f>L642/M642</f>
        <v>#DIV/0!</v>
      </c>
      <c r="T642" s="189"/>
    </row>
    <row r="643" ht="21.0" customHeight="1">
      <c r="A643" s="212"/>
      <c r="B643" s="190"/>
      <c r="C643" s="178"/>
      <c r="D643" s="191"/>
      <c r="E643" s="191"/>
      <c r="F643" s="191"/>
      <c r="G643" s="191"/>
      <c r="H643" s="191"/>
      <c r="I643" s="191"/>
      <c r="J643" s="191"/>
      <c r="K643" s="191"/>
      <c r="L643" s="192"/>
      <c r="M643" s="191"/>
      <c r="N643" s="193"/>
      <c r="T643" s="194"/>
    </row>
    <row r="644" ht="21.0" customHeight="1">
      <c r="A644" s="212"/>
      <c r="B644" s="157">
        <f>B638+1</f>
        <v>107</v>
      </c>
      <c r="C644" s="158"/>
      <c r="D644" s="159" t="str">
        <f>VLOOKUP(C646,'Mitglieder BBU'!A:J,6,0)</f>
        <v>#N/A</v>
      </c>
      <c r="E644" s="60"/>
      <c r="F644" s="60"/>
      <c r="G644" s="60"/>
      <c r="H644" s="60"/>
      <c r="I644" s="61"/>
      <c r="J644" s="160"/>
      <c r="K644" s="161"/>
      <c r="L644" s="162"/>
      <c r="M644" s="163"/>
      <c r="N644" s="164"/>
      <c r="T644" s="165"/>
    </row>
    <row r="645" ht="21.0" customHeight="1">
      <c r="A645" s="212"/>
      <c r="B645" s="167"/>
      <c r="C645" s="168" t="str">
        <f>VLOOKUP(C646,'Mitglieder BBU'!A:J,6,0)</f>
        <v>#N/A</v>
      </c>
      <c r="D645" s="110" t="str">
        <f>IFERROR(VLOOKUP($C646,Datensammler!$B:$AA,3,0),)</f>
        <v/>
      </c>
      <c r="E645" s="110" t="str">
        <f>IFERROR(VLOOKUP($C646,Datensammler!$B:$AA,4,0),)</f>
        <v/>
      </c>
      <c r="F645" s="110" t="str">
        <f>IFERROR(VLOOKUP($C646,Datensammler!$B:$AA,5,0),)</f>
        <v/>
      </c>
      <c r="G645" s="110" t="str">
        <f>IFERROR(VLOOKUP($C646,Datensammler!$B:$AA,6,0),)</f>
        <v/>
      </c>
      <c r="H645" s="110" t="str">
        <f>IFERROR(VLOOKUP($C646,Datensammler!$B:$AA,7,0),)</f>
        <v/>
      </c>
      <c r="I645" s="110" t="str">
        <f>IFERROR(VLOOKUP($C646,Datensammler!$B:$AA,8,0),)</f>
        <v/>
      </c>
      <c r="J645" s="169">
        <f t="shared" ref="J645:J647" si="213">SUM(D645:I645)</f>
        <v>0</v>
      </c>
      <c r="K645" s="170" t="str">
        <f>IFERROR(VLOOKUP($C646,Datensammler!$B:$AA,23,0),)</f>
        <v/>
      </c>
      <c r="L645" s="161" t="str">
        <f>IFERROR(VLOOKUP($C646,Datensammler!$B:$AA,24,0),)</f>
        <v/>
      </c>
      <c r="M645" s="170" t="str">
        <f>IFERROR(VLOOKUP($C646,Datensammler!$B:$AA,25,0),)</f>
        <v/>
      </c>
      <c r="N645" s="171" t="str">
        <f>IF(C646=0,"",(VLOOKUP($C646,Datensammler!$B:$AA,26,0)))</f>
        <v>#N/A</v>
      </c>
      <c r="T645" s="172"/>
    </row>
    <row r="646" ht="21.0" customHeight="1">
      <c r="A646" s="212"/>
      <c r="B646" s="174"/>
      <c r="C646" s="175" t="str">
        <f>VLOOKUP(T646,Spieler!A:E,2,0)</f>
        <v>#N/A</v>
      </c>
      <c r="D646" s="170" t="str">
        <f>IFERROR(VLOOKUP($C646,Datensammler!$B:$AA,9,0),)</f>
        <v/>
      </c>
      <c r="E646" s="170" t="str">
        <f>IFERROR(VLOOKUP($C646,Datensammler!$B:$AA,10,0),)</f>
        <v/>
      </c>
      <c r="F646" s="170" t="str">
        <f>IFERROR(VLOOKUP($C646,Datensammler!$B:$AA,11,0),)</f>
        <v/>
      </c>
      <c r="G646" s="170" t="str">
        <f>IFERROR(VLOOKUP($C646,Datensammler!$B:$AA,12,0),)</f>
        <v/>
      </c>
      <c r="H646" s="170" t="str">
        <f>IFERROR(VLOOKUP($C646,Datensammler!$B:$AA,13,0),)</f>
        <v/>
      </c>
      <c r="I646" s="170" t="str">
        <f>IFERROR(VLOOKUP($C646,Datensammler!$B:$AA,14,0),)</f>
        <v/>
      </c>
      <c r="J646" s="169">
        <f t="shared" si="213"/>
        <v>0</v>
      </c>
      <c r="N646" s="176"/>
      <c r="T646" s="177" t="str">
        <f t="array" ref="T646">INDIRECT("Spieler!AD"&amp;B644+5)</f>
        <v/>
      </c>
    </row>
    <row r="647" ht="21.0" customHeight="1">
      <c r="A647" s="212"/>
      <c r="B647" s="167"/>
      <c r="C647" s="178" t="str">
        <f>VLOOKUP(C646,'Mitglieder BBU'!A:K,8,0)</f>
        <v>#N/A</v>
      </c>
      <c r="D647" s="179" t="str">
        <f>IFERROR(VLOOKUP($C646,Datensammler!$B:$AA,15,0),)</f>
        <v/>
      </c>
      <c r="E647" s="179" t="str">
        <f>IFERROR(VLOOKUP($C646,Datensammler!$B:$AA,16,0),)</f>
        <v/>
      </c>
      <c r="F647" s="179" t="str">
        <f>IFERROR(VLOOKUP($C646,Datensammler!$B:$AA,17,0),)</f>
        <v/>
      </c>
      <c r="G647" s="179" t="str">
        <f>IFERROR(VLOOKUP($C646,Datensammler!$B:$AA,18,0),)</f>
        <v/>
      </c>
      <c r="H647" s="179" t="str">
        <f>IFERROR(VLOOKUP($C646,Datensammler!$B:$AA,19,0),)</f>
        <v/>
      </c>
      <c r="I647" s="179" t="str">
        <f>IFERROR(VLOOKUP($C646,Datensammler!$B:$AA,20,0),)</f>
        <v/>
      </c>
      <c r="J647" s="180">
        <f t="shared" si="213"/>
        <v>0</v>
      </c>
      <c r="K647" s="181"/>
      <c r="L647" s="181"/>
      <c r="M647" s="181"/>
      <c r="N647" s="182"/>
      <c r="T647" s="172"/>
    </row>
    <row r="648" ht="21.0" customHeight="1">
      <c r="A648" s="212"/>
      <c r="B648" s="183"/>
      <c r="C648" s="184" t="str">
        <f>IF(VLOOKUP(T646,Spieler!A:F,6,0)="Nein","keine Bayerische Meisterschaft gewünscht","")</f>
        <v>#N/A</v>
      </c>
      <c r="D648" s="161"/>
      <c r="E648" s="170"/>
      <c r="F648" s="170"/>
      <c r="G648" s="185" t="s">
        <v>2562</v>
      </c>
      <c r="H648" s="186"/>
      <c r="I648" s="186"/>
      <c r="J648" s="186"/>
      <c r="K648" s="186"/>
      <c r="L648" s="187">
        <f t="shared" ref="L648:M648" si="214">SUM(L645:L647)</f>
        <v>0</v>
      </c>
      <c r="M648" s="110">
        <f t="shared" si="214"/>
        <v>0</v>
      </c>
      <c r="N648" s="188" t="str">
        <f>L648/M648</f>
        <v>#DIV/0!</v>
      </c>
      <c r="T648" s="189"/>
    </row>
    <row r="649" ht="21.0" customHeight="1">
      <c r="A649" s="212"/>
      <c r="B649" s="190"/>
      <c r="C649" s="178"/>
      <c r="D649" s="191"/>
      <c r="E649" s="191"/>
      <c r="F649" s="191"/>
      <c r="G649" s="191"/>
      <c r="H649" s="191"/>
      <c r="I649" s="191"/>
      <c r="J649" s="191"/>
      <c r="K649" s="191"/>
      <c r="L649" s="192"/>
      <c r="M649" s="191"/>
      <c r="N649" s="193"/>
      <c r="T649" s="194"/>
    </row>
    <row r="650" ht="21.0" customHeight="1">
      <c r="A650" s="212"/>
      <c r="B650" s="157">
        <f>B644+1</f>
        <v>108</v>
      </c>
      <c r="C650" s="158"/>
      <c r="D650" s="159" t="str">
        <f>VLOOKUP(C652,'Mitglieder BBU'!A:J,6,0)</f>
        <v>#N/A</v>
      </c>
      <c r="E650" s="60"/>
      <c r="F650" s="60"/>
      <c r="G650" s="60"/>
      <c r="H650" s="60"/>
      <c r="I650" s="61"/>
      <c r="J650" s="160"/>
      <c r="K650" s="161"/>
      <c r="L650" s="162"/>
      <c r="M650" s="163"/>
      <c r="N650" s="164"/>
      <c r="T650" s="165"/>
    </row>
    <row r="651" ht="21.0" customHeight="1">
      <c r="A651" s="212"/>
      <c r="B651" s="167"/>
      <c r="C651" s="168" t="str">
        <f>VLOOKUP(C652,'Mitglieder BBU'!A:J,6,0)</f>
        <v>#N/A</v>
      </c>
      <c r="D651" s="110" t="str">
        <f>IFERROR(VLOOKUP($C652,Datensammler!$B:$AA,3,0),)</f>
        <v/>
      </c>
      <c r="E651" s="110" t="str">
        <f>IFERROR(VLOOKUP($C652,Datensammler!$B:$AA,4,0),)</f>
        <v/>
      </c>
      <c r="F651" s="110" t="str">
        <f>IFERROR(VLOOKUP($C652,Datensammler!$B:$AA,5,0),)</f>
        <v/>
      </c>
      <c r="G651" s="110" t="str">
        <f>IFERROR(VLOOKUP($C652,Datensammler!$B:$AA,6,0),)</f>
        <v/>
      </c>
      <c r="H651" s="110" t="str">
        <f>IFERROR(VLOOKUP($C652,Datensammler!$B:$AA,7,0),)</f>
        <v/>
      </c>
      <c r="I651" s="110" t="str">
        <f>IFERROR(VLOOKUP($C652,Datensammler!$B:$AA,8,0),)</f>
        <v/>
      </c>
      <c r="J651" s="169">
        <f t="shared" ref="J651:J653" si="215">SUM(D651:I651)</f>
        <v>0</v>
      </c>
      <c r="K651" s="170" t="str">
        <f>IFERROR(VLOOKUP($C652,Datensammler!$B:$AA,23,0),)</f>
        <v/>
      </c>
      <c r="L651" s="161" t="str">
        <f>IFERROR(VLOOKUP($C652,Datensammler!$B:$AA,24,0),)</f>
        <v/>
      </c>
      <c r="M651" s="170" t="str">
        <f>IFERROR(VLOOKUP($C652,Datensammler!$B:$AA,25,0),)</f>
        <v/>
      </c>
      <c r="N651" s="171" t="str">
        <f>IF(C652=0,"",(VLOOKUP($C652,Datensammler!$B:$AA,26,0)))</f>
        <v>#N/A</v>
      </c>
      <c r="T651" s="172"/>
    </row>
    <row r="652" ht="21.0" customHeight="1">
      <c r="A652" s="212"/>
      <c r="B652" s="174"/>
      <c r="C652" s="175" t="str">
        <f>VLOOKUP(T652,Spieler!A:E,2,0)</f>
        <v>#N/A</v>
      </c>
      <c r="D652" s="170" t="str">
        <f>IFERROR(VLOOKUP($C652,Datensammler!$B:$AA,9,0),)</f>
        <v/>
      </c>
      <c r="E652" s="170" t="str">
        <f>IFERROR(VLOOKUP($C652,Datensammler!$B:$AA,10,0),)</f>
        <v/>
      </c>
      <c r="F652" s="170" t="str">
        <f>IFERROR(VLOOKUP($C652,Datensammler!$B:$AA,11,0),)</f>
        <v/>
      </c>
      <c r="G652" s="170" t="str">
        <f>IFERROR(VLOOKUP($C652,Datensammler!$B:$AA,12,0),)</f>
        <v/>
      </c>
      <c r="H652" s="170" t="str">
        <f>IFERROR(VLOOKUP($C652,Datensammler!$B:$AA,13,0),)</f>
        <v/>
      </c>
      <c r="I652" s="170" t="str">
        <f>IFERROR(VLOOKUP($C652,Datensammler!$B:$AA,14,0),)</f>
        <v/>
      </c>
      <c r="J652" s="169">
        <f t="shared" si="215"/>
        <v>0</v>
      </c>
      <c r="N652" s="176"/>
      <c r="T652" s="177" t="str">
        <f t="array" ref="T652">INDIRECT("Spieler!AD"&amp;B650+5)</f>
        <v/>
      </c>
    </row>
    <row r="653" ht="21.0" customHeight="1">
      <c r="A653" s="212"/>
      <c r="B653" s="167"/>
      <c r="C653" s="178" t="str">
        <f>VLOOKUP(C652,'Mitglieder BBU'!A:K,8,0)</f>
        <v>#N/A</v>
      </c>
      <c r="D653" s="179" t="str">
        <f>IFERROR(VLOOKUP($C652,Datensammler!$B:$AA,15,0),)</f>
        <v/>
      </c>
      <c r="E653" s="179" t="str">
        <f>IFERROR(VLOOKUP($C652,Datensammler!$B:$AA,16,0),)</f>
        <v/>
      </c>
      <c r="F653" s="179" t="str">
        <f>IFERROR(VLOOKUP($C652,Datensammler!$B:$AA,17,0),)</f>
        <v/>
      </c>
      <c r="G653" s="179" t="str">
        <f>IFERROR(VLOOKUP($C652,Datensammler!$B:$AA,18,0),)</f>
        <v/>
      </c>
      <c r="H653" s="179" t="str">
        <f>IFERROR(VLOOKUP($C652,Datensammler!$B:$AA,19,0),)</f>
        <v/>
      </c>
      <c r="I653" s="179" t="str">
        <f>IFERROR(VLOOKUP($C652,Datensammler!$B:$AA,20,0),)</f>
        <v/>
      </c>
      <c r="J653" s="180">
        <f t="shared" si="215"/>
        <v>0</v>
      </c>
      <c r="K653" s="181"/>
      <c r="L653" s="181"/>
      <c r="M653" s="181"/>
      <c r="N653" s="182"/>
      <c r="T653" s="172"/>
    </row>
    <row r="654" ht="21.0" customHeight="1">
      <c r="A654" s="212"/>
      <c r="B654" s="183"/>
      <c r="C654" s="184" t="str">
        <f>IF(VLOOKUP(T652,Spieler!A:F,6,0)="Nein","keine Bayerische Meisterschaft gewünscht","")</f>
        <v>#N/A</v>
      </c>
      <c r="D654" s="161"/>
      <c r="E654" s="170"/>
      <c r="F654" s="170"/>
      <c r="G654" s="185" t="s">
        <v>2562</v>
      </c>
      <c r="H654" s="186"/>
      <c r="I654" s="186"/>
      <c r="J654" s="186"/>
      <c r="K654" s="186"/>
      <c r="L654" s="187">
        <f t="shared" ref="L654:M654" si="216">SUM(L651:L653)</f>
        <v>0</v>
      </c>
      <c r="M654" s="110">
        <f t="shared" si="216"/>
        <v>0</v>
      </c>
      <c r="N654" s="188" t="str">
        <f>L654/M654</f>
        <v>#DIV/0!</v>
      </c>
      <c r="T654" s="189"/>
    </row>
    <row r="655" ht="21.0" customHeight="1">
      <c r="A655" s="212"/>
      <c r="B655" s="190"/>
      <c r="C655" s="178"/>
      <c r="D655" s="191"/>
      <c r="E655" s="191"/>
      <c r="F655" s="191"/>
      <c r="G655" s="191"/>
      <c r="H655" s="191"/>
      <c r="I655" s="191"/>
      <c r="J655" s="191"/>
      <c r="K655" s="191"/>
      <c r="L655" s="192"/>
      <c r="M655" s="191"/>
      <c r="N655" s="193"/>
      <c r="T655" s="194"/>
    </row>
    <row r="656" ht="21.0" customHeight="1">
      <c r="A656" s="212"/>
      <c r="B656" s="157">
        <f>B650+1</f>
        <v>109</v>
      </c>
      <c r="C656" s="158"/>
      <c r="D656" s="159" t="str">
        <f>VLOOKUP(C658,'Mitglieder BBU'!A:J,6,0)</f>
        <v>#N/A</v>
      </c>
      <c r="E656" s="60"/>
      <c r="F656" s="60"/>
      <c r="G656" s="60"/>
      <c r="H656" s="60"/>
      <c r="I656" s="61"/>
      <c r="J656" s="160"/>
      <c r="K656" s="161"/>
      <c r="L656" s="162"/>
      <c r="M656" s="163"/>
      <c r="N656" s="164"/>
      <c r="T656" s="165"/>
    </row>
    <row r="657" ht="21.0" customHeight="1">
      <c r="A657" s="212"/>
      <c r="B657" s="167"/>
      <c r="C657" s="168" t="str">
        <f>VLOOKUP(C658,'Mitglieder BBU'!A:J,6,0)</f>
        <v>#N/A</v>
      </c>
      <c r="D657" s="110" t="str">
        <f>IFERROR(VLOOKUP($C658,Datensammler!$B:$AA,3,0),)</f>
        <v/>
      </c>
      <c r="E657" s="110" t="str">
        <f>IFERROR(VLOOKUP($C658,Datensammler!$B:$AA,4,0),)</f>
        <v/>
      </c>
      <c r="F657" s="110" t="str">
        <f>IFERROR(VLOOKUP($C658,Datensammler!$B:$AA,5,0),)</f>
        <v/>
      </c>
      <c r="G657" s="110" t="str">
        <f>IFERROR(VLOOKUP($C658,Datensammler!$B:$AA,6,0),)</f>
        <v/>
      </c>
      <c r="H657" s="110" t="str">
        <f>IFERROR(VLOOKUP($C658,Datensammler!$B:$AA,7,0),)</f>
        <v/>
      </c>
      <c r="I657" s="110" t="str">
        <f>IFERROR(VLOOKUP($C658,Datensammler!$B:$AA,8,0),)</f>
        <v/>
      </c>
      <c r="J657" s="169">
        <f t="shared" ref="J657:J659" si="217">SUM(D657:I657)</f>
        <v>0</v>
      </c>
      <c r="K657" s="170" t="str">
        <f>IFERROR(VLOOKUP($C658,Datensammler!$B:$AA,23,0),)</f>
        <v/>
      </c>
      <c r="L657" s="161" t="str">
        <f>IFERROR(VLOOKUP($C658,Datensammler!$B:$AA,24,0),)</f>
        <v/>
      </c>
      <c r="M657" s="170" t="str">
        <f>IFERROR(VLOOKUP($C658,Datensammler!$B:$AA,25,0),)</f>
        <v/>
      </c>
      <c r="N657" s="171" t="str">
        <f>IF(C658=0,"",(VLOOKUP($C658,Datensammler!$B:$AA,26,0)))</f>
        <v>#N/A</v>
      </c>
      <c r="T657" s="172"/>
    </row>
    <row r="658" ht="21.0" customHeight="1">
      <c r="A658" s="212"/>
      <c r="B658" s="174"/>
      <c r="C658" s="175" t="str">
        <f>VLOOKUP(T658,Spieler!A:E,2,0)</f>
        <v>#N/A</v>
      </c>
      <c r="D658" s="170" t="str">
        <f>IFERROR(VLOOKUP($C658,Datensammler!$B:$AA,9,0),)</f>
        <v/>
      </c>
      <c r="E658" s="170" t="str">
        <f>IFERROR(VLOOKUP($C658,Datensammler!$B:$AA,10,0),)</f>
        <v/>
      </c>
      <c r="F658" s="170" t="str">
        <f>IFERROR(VLOOKUP($C658,Datensammler!$B:$AA,11,0),)</f>
        <v/>
      </c>
      <c r="G658" s="170" t="str">
        <f>IFERROR(VLOOKUP($C658,Datensammler!$B:$AA,12,0),)</f>
        <v/>
      </c>
      <c r="H658" s="170" t="str">
        <f>IFERROR(VLOOKUP($C658,Datensammler!$B:$AA,13,0),)</f>
        <v/>
      </c>
      <c r="I658" s="170" t="str">
        <f>IFERROR(VLOOKUP($C658,Datensammler!$B:$AA,14,0),)</f>
        <v/>
      </c>
      <c r="J658" s="169">
        <f t="shared" si="217"/>
        <v>0</v>
      </c>
      <c r="N658" s="176"/>
      <c r="T658" s="177" t="str">
        <f t="array" ref="T658">INDIRECT("Spieler!AD"&amp;B656+5)</f>
        <v/>
      </c>
    </row>
    <row r="659" ht="21.0" customHeight="1">
      <c r="A659" s="212"/>
      <c r="B659" s="167"/>
      <c r="C659" s="178" t="str">
        <f>VLOOKUP(C658,'Mitglieder BBU'!A:K,8,0)</f>
        <v>#N/A</v>
      </c>
      <c r="D659" s="179" t="str">
        <f>IFERROR(VLOOKUP($C658,Datensammler!$B:$AA,15,0),)</f>
        <v/>
      </c>
      <c r="E659" s="179" t="str">
        <f>IFERROR(VLOOKUP($C658,Datensammler!$B:$AA,16,0),)</f>
        <v/>
      </c>
      <c r="F659" s="179" t="str">
        <f>IFERROR(VLOOKUP($C658,Datensammler!$B:$AA,17,0),)</f>
        <v/>
      </c>
      <c r="G659" s="179" t="str">
        <f>IFERROR(VLOOKUP($C658,Datensammler!$B:$AA,18,0),)</f>
        <v/>
      </c>
      <c r="H659" s="179" t="str">
        <f>IFERROR(VLOOKUP($C658,Datensammler!$B:$AA,19,0),)</f>
        <v/>
      </c>
      <c r="I659" s="179" t="str">
        <f>IFERROR(VLOOKUP($C658,Datensammler!$B:$AA,20,0),)</f>
        <v/>
      </c>
      <c r="J659" s="180">
        <f t="shared" si="217"/>
        <v>0</v>
      </c>
      <c r="K659" s="181"/>
      <c r="L659" s="181"/>
      <c r="M659" s="181"/>
      <c r="N659" s="182"/>
      <c r="T659" s="172"/>
    </row>
    <row r="660" ht="21.0" customHeight="1">
      <c r="A660" s="212"/>
      <c r="B660" s="183"/>
      <c r="C660" s="184" t="str">
        <f>IF(VLOOKUP(T658,Spieler!A:F,6,0)="Nein","keine Bayerische Meisterschaft gewünscht","")</f>
        <v>#N/A</v>
      </c>
      <c r="D660" s="161"/>
      <c r="E660" s="170"/>
      <c r="F660" s="170"/>
      <c r="G660" s="185" t="s">
        <v>2562</v>
      </c>
      <c r="H660" s="186"/>
      <c r="I660" s="186"/>
      <c r="J660" s="186"/>
      <c r="K660" s="186"/>
      <c r="L660" s="187">
        <f t="shared" ref="L660:M660" si="218">SUM(L657:L659)</f>
        <v>0</v>
      </c>
      <c r="M660" s="110">
        <f t="shared" si="218"/>
        <v>0</v>
      </c>
      <c r="N660" s="188" t="str">
        <f>L660/M660</f>
        <v>#DIV/0!</v>
      </c>
      <c r="T660" s="189"/>
    </row>
    <row r="661" ht="17.25" customHeight="1">
      <c r="A661" s="212"/>
      <c r="B661" s="190"/>
      <c r="C661" s="178"/>
      <c r="D661" s="191"/>
      <c r="E661" s="191"/>
      <c r="F661" s="191"/>
      <c r="G661" s="191"/>
      <c r="H661" s="191"/>
      <c r="I661" s="191"/>
      <c r="J661" s="191"/>
      <c r="K661" s="191"/>
      <c r="L661" s="192"/>
      <c r="M661" s="191"/>
      <c r="N661" s="193"/>
      <c r="T661" s="194"/>
    </row>
    <row r="662" ht="17.25" customHeight="1">
      <c r="A662" s="212"/>
      <c r="B662" s="157">
        <f>B656+1</f>
        <v>110</v>
      </c>
      <c r="C662" s="158"/>
      <c r="D662" s="159" t="str">
        <f>VLOOKUP(C664,'Mitglieder BBU'!A:J,6,0)</f>
        <v>#N/A</v>
      </c>
      <c r="E662" s="60"/>
      <c r="F662" s="60"/>
      <c r="G662" s="60"/>
      <c r="H662" s="60"/>
      <c r="I662" s="61"/>
      <c r="J662" s="160"/>
      <c r="K662" s="161"/>
      <c r="L662" s="162"/>
      <c r="M662" s="163"/>
      <c r="N662" s="164"/>
      <c r="T662" s="165"/>
    </row>
    <row r="663" ht="17.25" customHeight="1">
      <c r="A663" s="212"/>
      <c r="B663" s="167"/>
      <c r="C663" s="168" t="str">
        <f>VLOOKUP(C664,'Mitglieder BBU'!A:J,6,0)</f>
        <v>#N/A</v>
      </c>
      <c r="D663" s="110" t="str">
        <f>IFERROR(VLOOKUP($C664,Datensammler!$B:$AA,3,0),)</f>
        <v/>
      </c>
      <c r="E663" s="110" t="str">
        <f>IFERROR(VLOOKUP($C664,Datensammler!$B:$AA,4,0),)</f>
        <v/>
      </c>
      <c r="F663" s="110" t="str">
        <f>IFERROR(VLOOKUP($C664,Datensammler!$B:$AA,5,0),)</f>
        <v/>
      </c>
      <c r="G663" s="110" t="str">
        <f>IFERROR(VLOOKUP($C664,Datensammler!$B:$AA,6,0),)</f>
        <v/>
      </c>
      <c r="H663" s="110" t="str">
        <f>IFERROR(VLOOKUP($C664,Datensammler!$B:$AA,7,0),)</f>
        <v/>
      </c>
      <c r="I663" s="110" t="str">
        <f>IFERROR(VLOOKUP($C664,Datensammler!$B:$AA,8,0),)</f>
        <v/>
      </c>
      <c r="J663" s="169">
        <f t="shared" ref="J663:J665" si="219">SUM(D663:I663)</f>
        <v>0</v>
      </c>
      <c r="K663" s="170" t="str">
        <f>IFERROR(VLOOKUP($C664,Datensammler!$B:$AA,23,0),)</f>
        <v/>
      </c>
      <c r="L663" s="161" t="str">
        <f>IFERROR(VLOOKUP($C664,Datensammler!$B:$AA,24,0),)</f>
        <v/>
      </c>
      <c r="M663" s="170" t="str">
        <f>IFERROR(VLOOKUP($C664,Datensammler!$B:$AA,25,0),)</f>
        <v/>
      </c>
      <c r="N663" s="171" t="str">
        <f>IF(C664=0,"",(VLOOKUP($C664,Datensammler!$B:$AA,26,0)))</f>
        <v>#N/A</v>
      </c>
      <c r="T663" s="172"/>
    </row>
    <row r="664" ht="17.25" customHeight="1">
      <c r="A664" s="212"/>
      <c r="B664" s="174"/>
      <c r="C664" s="175" t="str">
        <f>VLOOKUP(T664,Spieler!A:E,2,0)</f>
        <v>#N/A</v>
      </c>
      <c r="D664" s="170" t="str">
        <f>IFERROR(VLOOKUP($C664,Datensammler!$B:$AA,9,0),)</f>
        <v/>
      </c>
      <c r="E664" s="170" t="str">
        <f>IFERROR(VLOOKUP($C664,Datensammler!$B:$AA,10,0),)</f>
        <v/>
      </c>
      <c r="F664" s="170" t="str">
        <f>IFERROR(VLOOKUP($C664,Datensammler!$B:$AA,11,0),)</f>
        <v/>
      </c>
      <c r="G664" s="170" t="str">
        <f>IFERROR(VLOOKUP($C664,Datensammler!$B:$AA,12,0),)</f>
        <v/>
      </c>
      <c r="H664" s="170" t="str">
        <f>IFERROR(VLOOKUP($C664,Datensammler!$B:$AA,13,0),)</f>
        <v/>
      </c>
      <c r="I664" s="170" t="str">
        <f>IFERROR(VLOOKUP($C664,Datensammler!$B:$AA,14,0),)</f>
        <v/>
      </c>
      <c r="J664" s="169">
        <f t="shared" si="219"/>
        <v>0</v>
      </c>
      <c r="N664" s="176"/>
      <c r="T664" s="177" t="str">
        <f t="array" ref="T664">INDIRECT("Spieler!AD"&amp;B662+5)</f>
        <v/>
      </c>
    </row>
    <row r="665" ht="17.25" customHeight="1">
      <c r="A665" s="212"/>
      <c r="B665" s="167"/>
      <c r="C665" s="178" t="str">
        <f>VLOOKUP(C664,'Mitglieder BBU'!A:K,8,0)</f>
        <v>#N/A</v>
      </c>
      <c r="D665" s="179" t="str">
        <f>IFERROR(VLOOKUP($C664,Datensammler!$B:$AA,15,0),)</f>
        <v/>
      </c>
      <c r="E665" s="179" t="str">
        <f>IFERROR(VLOOKUP($C664,Datensammler!$B:$AA,16,0),)</f>
        <v/>
      </c>
      <c r="F665" s="179" t="str">
        <f>IFERROR(VLOOKUP($C664,Datensammler!$B:$AA,17,0),)</f>
        <v/>
      </c>
      <c r="G665" s="179" t="str">
        <f>IFERROR(VLOOKUP($C664,Datensammler!$B:$AA,18,0),)</f>
        <v/>
      </c>
      <c r="H665" s="179" t="str">
        <f>IFERROR(VLOOKUP($C664,Datensammler!$B:$AA,19,0),)</f>
        <v/>
      </c>
      <c r="I665" s="179" t="str">
        <f>IFERROR(VLOOKUP($C664,Datensammler!$B:$AA,20,0),)</f>
        <v/>
      </c>
      <c r="J665" s="180">
        <f t="shared" si="219"/>
        <v>0</v>
      </c>
      <c r="K665" s="181"/>
      <c r="L665" s="181"/>
      <c r="M665" s="181"/>
      <c r="N665" s="182"/>
      <c r="T665" s="172"/>
    </row>
    <row r="666" ht="17.25" customHeight="1">
      <c r="A666" s="212"/>
      <c r="B666" s="183"/>
      <c r="C666" s="184" t="str">
        <f>IF(VLOOKUP(T664,Spieler!A:F,6,0)="Nein","keine Bayerische Meisterschaft gewünscht","")</f>
        <v>#N/A</v>
      </c>
      <c r="D666" s="161"/>
      <c r="E666" s="170"/>
      <c r="F666" s="170"/>
      <c r="G666" s="185" t="s">
        <v>2562</v>
      </c>
      <c r="H666" s="186"/>
      <c r="I666" s="186"/>
      <c r="J666" s="186"/>
      <c r="K666" s="186"/>
      <c r="L666" s="187">
        <f t="shared" ref="L666:M666" si="220">SUM(L663:L665)</f>
        <v>0</v>
      </c>
      <c r="M666" s="110">
        <f t="shared" si="220"/>
        <v>0</v>
      </c>
      <c r="N666" s="188" t="str">
        <f>L666/M666</f>
        <v>#DIV/0!</v>
      </c>
      <c r="T666" s="189"/>
    </row>
    <row r="667" ht="17.25" customHeight="1">
      <c r="A667" s="212"/>
      <c r="B667" s="190"/>
      <c r="C667" s="178"/>
      <c r="D667" s="191"/>
      <c r="E667" s="191"/>
      <c r="F667" s="191"/>
      <c r="G667" s="191"/>
      <c r="H667" s="191"/>
      <c r="I667" s="191"/>
      <c r="J667" s="191"/>
      <c r="K667" s="110"/>
      <c r="L667" s="187"/>
      <c r="M667" s="110"/>
      <c r="N667" s="188"/>
      <c r="T667" s="194"/>
    </row>
    <row r="668" ht="17.25" customHeight="1">
      <c r="A668" s="212"/>
      <c r="B668" s="157">
        <f>B662+1</f>
        <v>111</v>
      </c>
      <c r="C668" s="158"/>
      <c r="D668" s="159" t="str">
        <f>VLOOKUP(C670,'Mitglieder BBU'!A:J,6,0)</f>
        <v>#N/A</v>
      </c>
      <c r="E668" s="60"/>
      <c r="F668" s="60"/>
      <c r="G668" s="60"/>
      <c r="H668" s="60"/>
      <c r="I668" s="61"/>
      <c r="J668" s="160"/>
      <c r="K668" s="161"/>
      <c r="L668" s="162"/>
      <c r="M668" s="163"/>
      <c r="N668" s="164"/>
      <c r="T668" s="165"/>
    </row>
    <row r="669" ht="17.25" customHeight="1">
      <c r="A669" s="212"/>
      <c r="B669" s="167"/>
      <c r="C669" s="168" t="str">
        <f>VLOOKUP(C670,'Mitglieder BBU'!A:J,6,0)</f>
        <v>#N/A</v>
      </c>
      <c r="D669" s="110" t="str">
        <f>IFERROR(VLOOKUP($C670,Datensammler!$B:$AA,3,0),)</f>
        <v/>
      </c>
      <c r="E669" s="110" t="str">
        <f>IFERROR(VLOOKUP($C670,Datensammler!$B:$AA,4,0),)</f>
        <v/>
      </c>
      <c r="F669" s="110" t="str">
        <f>IFERROR(VLOOKUP($C670,Datensammler!$B:$AA,5,0),)</f>
        <v/>
      </c>
      <c r="G669" s="110" t="str">
        <f>IFERROR(VLOOKUP($C670,Datensammler!$B:$AA,6,0),)</f>
        <v/>
      </c>
      <c r="H669" s="110" t="str">
        <f>IFERROR(VLOOKUP($C670,Datensammler!$B:$AA,7,0),)</f>
        <v/>
      </c>
      <c r="I669" s="110" t="str">
        <f>IFERROR(VLOOKUP($C670,Datensammler!$B:$AA,8,0),)</f>
        <v/>
      </c>
      <c r="J669" s="169">
        <f t="shared" ref="J669:J671" si="221">SUM(D669:I669)</f>
        <v>0</v>
      </c>
      <c r="K669" s="170" t="str">
        <f>IFERROR(VLOOKUP($C670,Datensammler!$B:$AA,23,0),)</f>
        <v/>
      </c>
      <c r="L669" s="161" t="str">
        <f>IFERROR(VLOOKUP($C670,Datensammler!$B:$AA,24,0),)</f>
        <v/>
      </c>
      <c r="M669" s="170" t="str">
        <f>IFERROR(VLOOKUP($C670,Datensammler!$B:$AA,25,0),)</f>
        <v/>
      </c>
      <c r="N669" s="171" t="str">
        <f>IF(C670=0,"",(VLOOKUP($C670,Datensammler!$B:$AA,26,0)))</f>
        <v>#N/A</v>
      </c>
      <c r="T669" s="172"/>
    </row>
    <row r="670" ht="17.25" customHeight="1">
      <c r="A670" s="212"/>
      <c r="B670" s="174"/>
      <c r="C670" s="175" t="str">
        <f>VLOOKUP(T670,Spieler!A:E,2,0)</f>
        <v>#N/A</v>
      </c>
      <c r="D670" s="170" t="str">
        <f>IFERROR(VLOOKUP($C670,Datensammler!$B:$AA,9,0),)</f>
        <v/>
      </c>
      <c r="E670" s="170" t="str">
        <f>IFERROR(VLOOKUP($C670,Datensammler!$B:$AA,10,0),)</f>
        <v/>
      </c>
      <c r="F670" s="170" t="str">
        <f>IFERROR(VLOOKUP($C670,Datensammler!$B:$AA,11,0),)</f>
        <v/>
      </c>
      <c r="G670" s="170" t="str">
        <f>IFERROR(VLOOKUP($C670,Datensammler!$B:$AA,12,0),)</f>
        <v/>
      </c>
      <c r="H670" s="170" t="str">
        <f>IFERROR(VLOOKUP($C670,Datensammler!$B:$AA,13,0),)</f>
        <v/>
      </c>
      <c r="I670" s="170" t="str">
        <f>IFERROR(VLOOKUP($C670,Datensammler!$B:$AA,14,0),)</f>
        <v/>
      </c>
      <c r="J670" s="169">
        <f t="shared" si="221"/>
        <v>0</v>
      </c>
      <c r="N670" s="176"/>
      <c r="T670" s="177" t="str">
        <f t="array" ref="T670">INDIRECT("Spieler!AD"&amp;B668+5)</f>
        <v/>
      </c>
    </row>
    <row r="671" ht="17.25" customHeight="1">
      <c r="A671" s="212"/>
      <c r="B671" s="167"/>
      <c r="C671" s="178" t="str">
        <f>VLOOKUP(C670,'Mitglieder BBU'!A:K,8,0)</f>
        <v>#N/A</v>
      </c>
      <c r="D671" s="179" t="str">
        <f>IFERROR(VLOOKUP($C670,Datensammler!$B:$AA,15,0),)</f>
        <v/>
      </c>
      <c r="E671" s="179" t="str">
        <f>IFERROR(VLOOKUP($C670,Datensammler!$B:$AA,16,0),)</f>
        <v/>
      </c>
      <c r="F671" s="179" t="str">
        <f>IFERROR(VLOOKUP($C670,Datensammler!$B:$AA,17,0),)</f>
        <v/>
      </c>
      <c r="G671" s="179" t="str">
        <f>IFERROR(VLOOKUP($C670,Datensammler!$B:$AA,18,0),)</f>
        <v/>
      </c>
      <c r="H671" s="179" t="str">
        <f>IFERROR(VLOOKUP($C670,Datensammler!$B:$AA,19,0),)</f>
        <v/>
      </c>
      <c r="I671" s="179" t="str">
        <f>IFERROR(VLOOKUP($C670,Datensammler!$B:$AA,20,0),)</f>
        <v/>
      </c>
      <c r="J671" s="180">
        <f t="shared" si="221"/>
        <v>0</v>
      </c>
      <c r="K671" s="181"/>
      <c r="L671" s="181"/>
      <c r="M671" s="181"/>
      <c r="N671" s="182"/>
      <c r="T671" s="172"/>
    </row>
    <row r="672" ht="17.25" customHeight="1">
      <c r="A672" s="212"/>
      <c r="B672" s="183"/>
      <c r="C672" s="184" t="str">
        <f>IF(VLOOKUP(T670,Spieler!A:F,6,0)="Nein","keine Bayerische Meisterschaft gewünscht","")</f>
        <v>#N/A</v>
      </c>
      <c r="D672" s="161"/>
      <c r="E672" s="170"/>
      <c r="F672" s="170"/>
      <c r="G672" s="185" t="s">
        <v>2562</v>
      </c>
      <c r="H672" s="186"/>
      <c r="I672" s="186"/>
      <c r="J672" s="186"/>
      <c r="K672" s="186"/>
      <c r="L672" s="187">
        <f t="shared" ref="L672:M672" si="222">SUM(L669:L671)</f>
        <v>0</v>
      </c>
      <c r="M672" s="110">
        <f t="shared" si="222"/>
        <v>0</v>
      </c>
      <c r="N672" s="188" t="str">
        <f>L672/M672</f>
        <v>#DIV/0!</v>
      </c>
      <c r="T672" s="189"/>
    </row>
    <row r="673" ht="17.25" customHeight="1">
      <c r="A673" s="212"/>
      <c r="B673" s="190"/>
      <c r="C673" s="178"/>
      <c r="D673" s="191"/>
      <c r="E673" s="191"/>
      <c r="F673" s="191"/>
      <c r="G673" s="191"/>
      <c r="H673" s="191"/>
      <c r="I673" s="191"/>
      <c r="J673" s="191"/>
      <c r="K673" s="191"/>
      <c r="L673" s="192"/>
      <c r="M673" s="191"/>
      <c r="N673" s="193"/>
      <c r="T673" s="194"/>
    </row>
    <row r="674" ht="17.25" customHeight="1">
      <c r="A674" s="212"/>
      <c r="B674" s="157">
        <f>B668+1</f>
        <v>112</v>
      </c>
      <c r="C674" s="158"/>
      <c r="D674" s="159" t="str">
        <f>VLOOKUP(C676,'Mitglieder BBU'!A:J,6,0)</f>
        <v>#N/A</v>
      </c>
      <c r="E674" s="60"/>
      <c r="F674" s="60"/>
      <c r="G674" s="60"/>
      <c r="H674" s="60"/>
      <c r="I674" s="61"/>
      <c r="J674" s="160"/>
      <c r="K674" s="161"/>
      <c r="L674" s="162"/>
      <c r="M674" s="163"/>
      <c r="N674" s="164"/>
      <c r="T674" s="165"/>
    </row>
    <row r="675" ht="17.25" customHeight="1">
      <c r="A675" s="212"/>
      <c r="B675" s="167"/>
      <c r="C675" s="168" t="str">
        <f>VLOOKUP(C676,'Mitglieder BBU'!A:J,6,0)</f>
        <v>#N/A</v>
      </c>
      <c r="D675" s="110" t="str">
        <f>IFERROR(VLOOKUP($C676,Datensammler!$B:$AA,3,0),)</f>
        <v/>
      </c>
      <c r="E675" s="110" t="str">
        <f>IFERROR(VLOOKUP($C676,Datensammler!$B:$AA,4,0),)</f>
        <v/>
      </c>
      <c r="F675" s="110" t="str">
        <f>IFERROR(VLOOKUP($C676,Datensammler!$B:$AA,5,0),)</f>
        <v/>
      </c>
      <c r="G675" s="110" t="str">
        <f>IFERROR(VLOOKUP($C676,Datensammler!$B:$AA,6,0),)</f>
        <v/>
      </c>
      <c r="H675" s="110" t="str">
        <f>IFERROR(VLOOKUP($C676,Datensammler!$B:$AA,7,0),)</f>
        <v/>
      </c>
      <c r="I675" s="110" t="str">
        <f>IFERROR(VLOOKUP($C676,Datensammler!$B:$AA,8,0),)</f>
        <v/>
      </c>
      <c r="J675" s="169">
        <f t="shared" ref="J675:J677" si="223">SUM(D675:I675)</f>
        <v>0</v>
      </c>
      <c r="K675" s="170" t="str">
        <f>IFERROR(VLOOKUP($C676,Datensammler!$B:$AA,23,0),)</f>
        <v/>
      </c>
      <c r="L675" s="161" t="str">
        <f>IFERROR(VLOOKUP($C676,Datensammler!$B:$AA,24,0),)</f>
        <v/>
      </c>
      <c r="M675" s="170" t="str">
        <f>IFERROR(VLOOKUP($C676,Datensammler!$B:$AA,25,0),)</f>
        <v/>
      </c>
      <c r="N675" s="171" t="str">
        <f>IF(C676=0,"",(VLOOKUP($C676,Datensammler!$B:$AA,26,0)))</f>
        <v>#N/A</v>
      </c>
      <c r="T675" s="172"/>
    </row>
    <row r="676" ht="17.25" customHeight="1">
      <c r="A676" s="212"/>
      <c r="B676" s="174"/>
      <c r="C676" s="175" t="str">
        <f>VLOOKUP(T676,Spieler!A:E,2,0)</f>
        <v>#N/A</v>
      </c>
      <c r="D676" s="170" t="str">
        <f>IFERROR(VLOOKUP($C676,Datensammler!$B:$AA,9,0),)</f>
        <v/>
      </c>
      <c r="E676" s="170" t="str">
        <f>IFERROR(VLOOKUP($C676,Datensammler!$B:$AA,10,0),)</f>
        <v/>
      </c>
      <c r="F676" s="170" t="str">
        <f>IFERROR(VLOOKUP($C676,Datensammler!$B:$AA,11,0),)</f>
        <v/>
      </c>
      <c r="G676" s="170" t="str">
        <f>IFERROR(VLOOKUP($C676,Datensammler!$B:$AA,12,0),)</f>
        <v/>
      </c>
      <c r="H676" s="170" t="str">
        <f>IFERROR(VLOOKUP($C676,Datensammler!$B:$AA,13,0),)</f>
        <v/>
      </c>
      <c r="I676" s="170" t="str">
        <f>IFERROR(VLOOKUP($C676,Datensammler!$B:$AA,14,0),)</f>
        <v/>
      </c>
      <c r="J676" s="169">
        <f t="shared" si="223"/>
        <v>0</v>
      </c>
      <c r="N676" s="176"/>
      <c r="T676" s="177" t="str">
        <f t="array" ref="T676">INDIRECT("Spieler!AD"&amp;B674+5)</f>
        <v/>
      </c>
    </row>
    <row r="677" ht="17.25" customHeight="1">
      <c r="A677" s="212"/>
      <c r="B677" s="167"/>
      <c r="C677" s="178" t="str">
        <f>VLOOKUP(C676,'Mitglieder BBU'!A:K,8,0)</f>
        <v>#N/A</v>
      </c>
      <c r="D677" s="179" t="str">
        <f>IFERROR(VLOOKUP($C676,Datensammler!$B:$AA,15,0),)</f>
        <v/>
      </c>
      <c r="E677" s="179" t="str">
        <f>IFERROR(VLOOKUP($C676,Datensammler!$B:$AA,16,0),)</f>
        <v/>
      </c>
      <c r="F677" s="179" t="str">
        <f>IFERROR(VLOOKUP($C676,Datensammler!$B:$AA,17,0),)</f>
        <v/>
      </c>
      <c r="G677" s="179" t="str">
        <f>IFERROR(VLOOKUP($C676,Datensammler!$B:$AA,18,0),)</f>
        <v/>
      </c>
      <c r="H677" s="179" t="str">
        <f>IFERROR(VLOOKUP($C676,Datensammler!$B:$AA,19,0),)</f>
        <v/>
      </c>
      <c r="I677" s="179" t="str">
        <f>IFERROR(VLOOKUP($C676,Datensammler!$B:$AA,20,0),)</f>
        <v/>
      </c>
      <c r="J677" s="180">
        <f t="shared" si="223"/>
        <v>0</v>
      </c>
      <c r="K677" s="181"/>
      <c r="L677" s="181"/>
      <c r="M677" s="181"/>
      <c r="N677" s="182"/>
      <c r="T677" s="172"/>
    </row>
    <row r="678" ht="17.25" customHeight="1">
      <c r="A678" s="212"/>
      <c r="B678" s="183"/>
      <c r="C678" s="184" t="str">
        <f>IF(VLOOKUP(T676,Spieler!A:F,6,0)="Nein","keine Bayerische Meisterschaft gewünscht","")</f>
        <v>#N/A</v>
      </c>
      <c r="D678" s="161"/>
      <c r="E678" s="170"/>
      <c r="F678" s="170"/>
      <c r="G678" s="185" t="s">
        <v>2562</v>
      </c>
      <c r="H678" s="186"/>
      <c r="I678" s="186"/>
      <c r="J678" s="186"/>
      <c r="K678" s="186"/>
      <c r="L678" s="187">
        <f t="shared" ref="L678:M678" si="224">SUM(L675:L677)</f>
        <v>0</v>
      </c>
      <c r="M678" s="110">
        <f t="shared" si="224"/>
        <v>0</v>
      </c>
      <c r="N678" s="188" t="str">
        <f>L678/M678</f>
        <v>#DIV/0!</v>
      </c>
      <c r="T678" s="189"/>
    </row>
    <row r="679" ht="17.25" customHeight="1">
      <c r="A679" s="212"/>
      <c r="B679" s="190"/>
      <c r="C679" s="178"/>
      <c r="D679" s="191"/>
      <c r="E679" s="191"/>
      <c r="F679" s="191"/>
      <c r="G679" s="191"/>
      <c r="H679" s="191"/>
      <c r="I679" s="191"/>
      <c r="J679" s="191"/>
      <c r="K679" s="191"/>
      <c r="L679" s="192"/>
      <c r="M679" s="191"/>
      <c r="N679" s="193"/>
      <c r="T679" s="194"/>
    </row>
    <row r="680" ht="17.25" customHeight="1">
      <c r="A680" s="212"/>
      <c r="B680" s="157">
        <f>B674+1</f>
        <v>113</v>
      </c>
      <c r="C680" s="158"/>
      <c r="D680" s="159" t="str">
        <f>VLOOKUP(C682,'Mitglieder BBU'!A:J,6,0)</f>
        <v>#N/A</v>
      </c>
      <c r="E680" s="60"/>
      <c r="F680" s="60"/>
      <c r="G680" s="60"/>
      <c r="H680" s="60"/>
      <c r="I680" s="61"/>
      <c r="J680" s="160"/>
      <c r="K680" s="161"/>
      <c r="L680" s="162"/>
      <c r="M680" s="163"/>
      <c r="N680" s="164"/>
      <c r="T680" s="165"/>
    </row>
    <row r="681" ht="21.0" customHeight="1">
      <c r="A681" s="212"/>
      <c r="B681" s="167"/>
      <c r="C681" s="168" t="str">
        <f>VLOOKUP(C682,'Mitglieder BBU'!A:J,6,0)</f>
        <v>#N/A</v>
      </c>
      <c r="D681" s="110" t="str">
        <f>IFERROR(VLOOKUP($C682,Datensammler!$B:$AA,3,0),)</f>
        <v/>
      </c>
      <c r="E681" s="110" t="str">
        <f>IFERROR(VLOOKUP($C682,Datensammler!$B:$AA,4,0),)</f>
        <v/>
      </c>
      <c r="F681" s="110" t="str">
        <f>IFERROR(VLOOKUP($C682,Datensammler!$B:$AA,5,0),)</f>
        <v/>
      </c>
      <c r="G681" s="110" t="str">
        <f>IFERROR(VLOOKUP($C682,Datensammler!$B:$AA,6,0),)</f>
        <v/>
      </c>
      <c r="H681" s="110" t="str">
        <f>IFERROR(VLOOKUP($C682,Datensammler!$B:$AA,7,0),)</f>
        <v/>
      </c>
      <c r="I681" s="110" t="str">
        <f>IFERROR(VLOOKUP($C682,Datensammler!$B:$AA,8,0),)</f>
        <v/>
      </c>
      <c r="J681" s="169">
        <f t="shared" ref="J681:J683" si="225">SUM(D681:I681)</f>
        <v>0</v>
      </c>
      <c r="K681" s="170" t="str">
        <f>IFERROR(VLOOKUP($C682,Datensammler!$B:$AA,23,0),)</f>
        <v/>
      </c>
      <c r="L681" s="161" t="str">
        <f>IFERROR(VLOOKUP($C682,Datensammler!$B:$AA,24,0),)</f>
        <v/>
      </c>
      <c r="M681" s="170" t="str">
        <f>IFERROR(VLOOKUP($C682,Datensammler!$B:$AA,25,0),)</f>
        <v/>
      </c>
      <c r="N681" s="171" t="str">
        <f>IF(C682=0,"",(VLOOKUP($C682,Datensammler!$B:$AA,26,0)))</f>
        <v>#N/A</v>
      </c>
      <c r="T681" s="172"/>
    </row>
    <row r="682" ht="21.0" customHeight="1">
      <c r="A682" s="212"/>
      <c r="B682" s="174"/>
      <c r="C682" s="175" t="str">
        <f>VLOOKUP(T682,Spieler!A:E,2,0)</f>
        <v>#N/A</v>
      </c>
      <c r="D682" s="170" t="str">
        <f>IFERROR(VLOOKUP($C682,Datensammler!$B:$AA,9,0),)</f>
        <v/>
      </c>
      <c r="E682" s="170" t="str">
        <f>IFERROR(VLOOKUP($C682,Datensammler!$B:$AA,10,0),)</f>
        <v/>
      </c>
      <c r="F682" s="170" t="str">
        <f>IFERROR(VLOOKUP($C682,Datensammler!$B:$AA,11,0),)</f>
        <v/>
      </c>
      <c r="G682" s="170" t="str">
        <f>IFERROR(VLOOKUP($C682,Datensammler!$B:$AA,12,0),)</f>
        <v/>
      </c>
      <c r="H682" s="170" t="str">
        <f>IFERROR(VLOOKUP($C682,Datensammler!$B:$AA,13,0),)</f>
        <v/>
      </c>
      <c r="I682" s="170" t="str">
        <f>IFERROR(VLOOKUP($C682,Datensammler!$B:$AA,14,0),)</f>
        <v/>
      </c>
      <c r="J682" s="169">
        <f t="shared" si="225"/>
        <v>0</v>
      </c>
      <c r="N682" s="176"/>
      <c r="T682" s="177" t="str">
        <f t="array" ref="T682">INDIRECT("Spieler!AD"&amp;B680+5)</f>
        <v/>
      </c>
    </row>
    <row r="683" ht="21.0" customHeight="1">
      <c r="A683" s="212"/>
      <c r="B683" s="167"/>
      <c r="C683" s="178" t="str">
        <f>VLOOKUP(C682,'Mitglieder BBU'!A:K,8,0)</f>
        <v>#N/A</v>
      </c>
      <c r="D683" s="179" t="str">
        <f>IFERROR(VLOOKUP($C682,Datensammler!$B:$AA,15,0),)</f>
        <v/>
      </c>
      <c r="E683" s="179" t="str">
        <f>IFERROR(VLOOKUP($C682,Datensammler!$B:$AA,16,0),)</f>
        <v/>
      </c>
      <c r="F683" s="179" t="str">
        <f>IFERROR(VLOOKUP($C682,Datensammler!$B:$AA,17,0),)</f>
        <v/>
      </c>
      <c r="G683" s="179" t="str">
        <f>IFERROR(VLOOKUP($C682,Datensammler!$B:$AA,18,0),)</f>
        <v/>
      </c>
      <c r="H683" s="179" t="str">
        <f>IFERROR(VLOOKUP($C682,Datensammler!$B:$AA,19,0),)</f>
        <v/>
      </c>
      <c r="I683" s="179" t="str">
        <f>IFERROR(VLOOKUP($C682,Datensammler!$B:$AA,20,0),)</f>
        <v/>
      </c>
      <c r="J683" s="180">
        <f t="shared" si="225"/>
        <v>0</v>
      </c>
      <c r="K683" s="181"/>
      <c r="L683" s="181"/>
      <c r="M683" s="181"/>
      <c r="N683" s="182"/>
      <c r="T683" s="172"/>
    </row>
    <row r="684" ht="21.0" customHeight="1">
      <c r="A684" s="212"/>
      <c r="B684" s="183"/>
      <c r="C684" s="184" t="str">
        <f>IF(VLOOKUP(T682,Spieler!A:F,6,0)="Nein","keine Bayerische Meisterschaft gewünscht","")</f>
        <v>#N/A</v>
      </c>
      <c r="D684" s="161"/>
      <c r="E684" s="170"/>
      <c r="F684" s="170"/>
      <c r="G684" s="185" t="s">
        <v>2562</v>
      </c>
      <c r="H684" s="186"/>
      <c r="I684" s="186"/>
      <c r="J684" s="186"/>
      <c r="K684" s="186"/>
      <c r="L684" s="187">
        <f t="shared" ref="L684:M684" si="226">SUM(L681:L683)</f>
        <v>0</v>
      </c>
      <c r="M684" s="110">
        <f t="shared" si="226"/>
        <v>0</v>
      </c>
      <c r="N684" s="188" t="str">
        <f>L684/M684</f>
        <v>#DIV/0!</v>
      </c>
      <c r="T684" s="189"/>
    </row>
    <row r="685" ht="21.0" customHeight="1">
      <c r="A685" s="212"/>
      <c r="B685" s="190"/>
      <c r="C685" s="178"/>
      <c r="D685" s="191"/>
      <c r="E685" s="191"/>
      <c r="F685" s="191"/>
      <c r="G685" s="191"/>
      <c r="H685" s="191"/>
      <c r="I685" s="191"/>
      <c r="J685" s="191"/>
      <c r="K685" s="191"/>
      <c r="L685" s="192"/>
      <c r="M685" s="191"/>
      <c r="N685" s="193"/>
      <c r="T685" s="194"/>
    </row>
    <row r="686" ht="21.0" customHeight="1">
      <c r="A686" s="212"/>
      <c r="B686" s="157">
        <f>B680+1</f>
        <v>114</v>
      </c>
      <c r="C686" s="158"/>
      <c r="D686" s="159" t="str">
        <f>VLOOKUP(C688,'Mitglieder BBU'!A:J,6,0)</f>
        <v>#N/A</v>
      </c>
      <c r="E686" s="60"/>
      <c r="F686" s="60"/>
      <c r="G686" s="60"/>
      <c r="H686" s="60"/>
      <c r="I686" s="61"/>
      <c r="J686" s="160"/>
      <c r="K686" s="161"/>
      <c r="L686" s="162"/>
      <c r="M686" s="163"/>
      <c r="N686" s="164"/>
      <c r="T686" s="165"/>
    </row>
    <row r="687" ht="21.0" customHeight="1">
      <c r="A687" s="212"/>
      <c r="B687" s="167"/>
      <c r="C687" s="168" t="str">
        <f>VLOOKUP(C688,'Mitglieder BBU'!A:J,6,0)</f>
        <v>#N/A</v>
      </c>
      <c r="D687" s="110" t="str">
        <f>IFERROR(VLOOKUP($C688,Datensammler!$B:$AA,3,0),)</f>
        <v/>
      </c>
      <c r="E687" s="110" t="str">
        <f>IFERROR(VLOOKUP($C688,Datensammler!$B:$AA,4,0),)</f>
        <v/>
      </c>
      <c r="F687" s="110" t="str">
        <f>IFERROR(VLOOKUP($C688,Datensammler!$B:$AA,5,0),)</f>
        <v/>
      </c>
      <c r="G687" s="110" t="str">
        <f>IFERROR(VLOOKUP($C688,Datensammler!$B:$AA,6,0),)</f>
        <v/>
      </c>
      <c r="H687" s="110" t="str">
        <f>IFERROR(VLOOKUP($C688,Datensammler!$B:$AA,7,0),)</f>
        <v/>
      </c>
      <c r="I687" s="110" t="str">
        <f>IFERROR(VLOOKUP($C688,Datensammler!$B:$AA,8,0),)</f>
        <v/>
      </c>
      <c r="J687" s="169">
        <f t="shared" ref="J687:J689" si="227">SUM(D687:I687)</f>
        <v>0</v>
      </c>
      <c r="K687" s="170" t="str">
        <f>IFERROR(VLOOKUP($C688,Datensammler!$B:$AA,23,0),)</f>
        <v/>
      </c>
      <c r="L687" s="161" t="str">
        <f>IFERROR(VLOOKUP($C688,Datensammler!$B:$AA,24,0),)</f>
        <v/>
      </c>
      <c r="M687" s="170" t="str">
        <f>IFERROR(VLOOKUP($C688,Datensammler!$B:$AA,25,0),)</f>
        <v/>
      </c>
      <c r="N687" s="171" t="str">
        <f>IF(C688=0,"",(VLOOKUP($C688,Datensammler!$B:$AA,26,0)))</f>
        <v>#N/A</v>
      </c>
      <c r="T687" s="172"/>
    </row>
    <row r="688" ht="21.0" customHeight="1">
      <c r="A688" s="212"/>
      <c r="B688" s="174"/>
      <c r="C688" s="175" t="str">
        <f>VLOOKUP(T688,Spieler!A:E,2,0)</f>
        <v>#N/A</v>
      </c>
      <c r="D688" s="170" t="str">
        <f>IFERROR(VLOOKUP($C688,Datensammler!$B:$AA,9,0),)</f>
        <v/>
      </c>
      <c r="E688" s="170" t="str">
        <f>IFERROR(VLOOKUP($C688,Datensammler!$B:$AA,10,0),)</f>
        <v/>
      </c>
      <c r="F688" s="170" t="str">
        <f>IFERROR(VLOOKUP($C688,Datensammler!$B:$AA,11,0),)</f>
        <v/>
      </c>
      <c r="G688" s="170" t="str">
        <f>IFERROR(VLOOKUP($C688,Datensammler!$B:$AA,12,0),)</f>
        <v/>
      </c>
      <c r="H688" s="170" t="str">
        <f>IFERROR(VLOOKUP($C688,Datensammler!$B:$AA,13,0),)</f>
        <v/>
      </c>
      <c r="I688" s="170" t="str">
        <f>IFERROR(VLOOKUP($C688,Datensammler!$B:$AA,14,0),)</f>
        <v/>
      </c>
      <c r="J688" s="169">
        <f t="shared" si="227"/>
        <v>0</v>
      </c>
      <c r="N688" s="176"/>
      <c r="T688" s="177" t="str">
        <f t="array" ref="T688">INDIRECT("Spieler!AD"&amp;B686+5)</f>
        <v/>
      </c>
    </row>
    <row r="689" ht="21.0" customHeight="1">
      <c r="A689" s="212"/>
      <c r="B689" s="167"/>
      <c r="C689" s="178" t="str">
        <f>VLOOKUP(C688,'Mitglieder BBU'!A:K,8,0)</f>
        <v>#N/A</v>
      </c>
      <c r="D689" s="179" t="str">
        <f>IFERROR(VLOOKUP($C688,Datensammler!$B:$AA,15,0),)</f>
        <v/>
      </c>
      <c r="E689" s="179" t="str">
        <f>IFERROR(VLOOKUP($C688,Datensammler!$B:$AA,16,0),)</f>
        <v/>
      </c>
      <c r="F689" s="179" t="str">
        <f>IFERROR(VLOOKUP($C688,Datensammler!$B:$AA,17,0),)</f>
        <v/>
      </c>
      <c r="G689" s="179" t="str">
        <f>IFERROR(VLOOKUP($C688,Datensammler!$B:$AA,18,0),)</f>
        <v/>
      </c>
      <c r="H689" s="179" t="str">
        <f>IFERROR(VLOOKUP($C688,Datensammler!$B:$AA,19,0),)</f>
        <v/>
      </c>
      <c r="I689" s="179" t="str">
        <f>IFERROR(VLOOKUP($C688,Datensammler!$B:$AA,20,0),)</f>
        <v/>
      </c>
      <c r="J689" s="180">
        <f t="shared" si="227"/>
        <v>0</v>
      </c>
      <c r="K689" s="181"/>
      <c r="L689" s="181"/>
      <c r="M689" s="181"/>
      <c r="N689" s="182"/>
      <c r="T689" s="172"/>
    </row>
    <row r="690" ht="21.0" customHeight="1">
      <c r="A690" s="212"/>
      <c r="B690" s="183"/>
      <c r="C690" s="184" t="str">
        <f>IF(VLOOKUP(T688,Spieler!A:F,6,0)="Nein","keine Bayerische Meisterschaft gewünscht","")</f>
        <v>#N/A</v>
      </c>
      <c r="D690" s="161"/>
      <c r="E690" s="170"/>
      <c r="F690" s="170"/>
      <c r="G690" s="185" t="s">
        <v>2562</v>
      </c>
      <c r="H690" s="186"/>
      <c r="I690" s="186"/>
      <c r="J690" s="186"/>
      <c r="K690" s="186"/>
      <c r="L690" s="187">
        <f t="shared" ref="L690:M690" si="228">SUM(L687:L689)</f>
        <v>0</v>
      </c>
      <c r="M690" s="110">
        <f t="shared" si="228"/>
        <v>0</v>
      </c>
      <c r="N690" s="188" t="str">
        <f>L690/M690</f>
        <v>#DIV/0!</v>
      </c>
      <c r="T690" s="189"/>
    </row>
    <row r="691" ht="21.0" customHeight="1">
      <c r="A691" s="212"/>
      <c r="B691" s="190"/>
      <c r="C691" s="178"/>
      <c r="D691" s="191"/>
      <c r="E691" s="191"/>
      <c r="F691" s="191"/>
      <c r="G691" s="191"/>
      <c r="H691" s="191"/>
      <c r="I691" s="191"/>
      <c r="J691" s="191"/>
      <c r="K691" s="191"/>
      <c r="L691" s="192"/>
      <c r="M691" s="191"/>
      <c r="N691" s="193"/>
      <c r="T691" s="194"/>
    </row>
    <row r="692" ht="21.0" customHeight="1">
      <c r="A692" s="212"/>
      <c r="B692" s="157">
        <f>B686+1</f>
        <v>115</v>
      </c>
      <c r="C692" s="158"/>
      <c r="D692" s="159" t="str">
        <f>VLOOKUP(C694,'Mitglieder BBU'!A:J,6,0)</f>
        <v>#N/A</v>
      </c>
      <c r="E692" s="60"/>
      <c r="F692" s="60"/>
      <c r="G692" s="60"/>
      <c r="H692" s="60"/>
      <c r="I692" s="61"/>
      <c r="J692" s="160"/>
      <c r="K692" s="161"/>
      <c r="L692" s="162"/>
      <c r="M692" s="163"/>
      <c r="N692" s="164"/>
      <c r="T692" s="165"/>
    </row>
    <row r="693" ht="21.0" customHeight="1">
      <c r="A693" s="212"/>
      <c r="B693" s="167"/>
      <c r="C693" s="168" t="str">
        <f>VLOOKUP(C694,'Mitglieder BBU'!A:J,6,0)</f>
        <v>#N/A</v>
      </c>
      <c r="D693" s="110" t="str">
        <f>IFERROR(VLOOKUP($C694,Datensammler!$B:$AA,3,0),)</f>
        <v/>
      </c>
      <c r="E693" s="110" t="str">
        <f>IFERROR(VLOOKUP($C694,Datensammler!$B:$AA,4,0),)</f>
        <v/>
      </c>
      <c r="F693" s="110" t="str">
        <f>IFERROR(VLOOKUP($C694,Datensammler!$B:$AA,5,0),)</f>
        <v/>
      </c>
      <c r="G693" s="110" t="str">
        <f>IFERROR(VLOOKUP($C694,Datensammler!$B:$AA,6,0),)</f>
        <v/>
      </c>
      <c r="H693" s="110" t="str">
        <f>IFERROR(VLOOKUP($C694,Datensammler!$B:$AA,7,0),)</f>
        <v/>
      </c>
      <c r="I693" s="110" t="str">
        <f>IFERROR(VLOOKUP($C694,Datensammler!$B:$AA,8,0),)</f>
        <v/>
      </c>
      <c r="J693" s="169">
        <f t="shared" ref="J693:J695" si="229">SUM(D693:I693)</f>
        <v>0</v>
      </c>
      <c r="K693" s="170" t="str">
        <f>IFERROR(VLOOKUP($C694,Datensammler!$B:$AA,23,0),)</f>
        <v/>
      </c>
      <c r="L693" s="161" t="str">
        <f>IFERROR(VLOOKUP($C694,Datensammler!$B:$AA,24,0),)</f>
        <v/>
      </c>
      <c r="M693" s="170" t="str">
        <f>IFERROR(VLOOKUP($C694,Datensammler!$B:$AA,25,0),)</f>
        <v/>
      </c>
      <c r="N693" s="171" t="str">
        <f>IF(C694=0,"",(VLOOKUP($C694,Datensammler!$B:$AA,26,0)))</f>
        <v>#N/A</v>
      </c>
      <c r="T693" s="172"/>
    </row>
    <row r="694" ht="21.0" customHeight="1">
      <c r="A694" s="212"/>
      <c r="B694" s="174"/>
      <c r="C694" s="175" t="str">
        <f>VLOOKUP(T694,Spieler!A:E,2,0)</f>
        <v>#N/A</v>
      </c>
      <c r="D694" s="170" t="str">
        <f>IFERROR(VLOOKUP($C694,Datensammler!$B:$AA,9,0),)</f>
        <v/>
      </c>
      <c r="E694" s="170" t="str">
        <f>IFERROR(VLOOKUP($C694,Datensammler!$B:$AA,10,0),)</f>
        <v/>
      </c>
      <c r="F694" s="170" t="str">
        <f>IFERROR(VLOOKUP($C694,Datensammler!$B:$AA,11,0),)</f>
        <v/>
      </c>
      <c r="G694" s="170" t="str">
        <f>IFERROR(VLOOKUP($C694,Datensammler!$B:$AA,12,0),)</f>
        <v/>
      </c>
      <c r="H694" s="170" t="str">
        <f>IFERROR(VLOOKUP($C694,Datensammler!$B:$AA,13,0),)</f>
        <v/>
      </c>
      <c r="I694" s="170" t="str">
        <f>IFERROR(VLOOKUP($C694,Datensammler!$B:$AA,14,0),)</f>
        <v/>
      </c>
      <c r="J694" s="169">
        <f t="shared" si="229"/>
        <v>0</v>
      </c>
      <c r="N694" s="176"/>
      <c r="T694" s="177" t="str">
        <f t="array" ref="T694">INDIRECT("Spieler!AD"&amp;B692+5)</f>
        <v/>
      </c>
    </row>
    <row r="695" ht="21.0" customHeight="1">
      <c r="A695" s="212"/>
      <c r="B695" s="167"/>
      <c r="C695" s="178" t="str">
        <f>VLOOKUP(C694,'Mitglieder BBU'!A:K,8,0)</f>
        <v>#N/A</v>
      </c>
      <c r="D695" s="179" t="str">
        <f>IFERROR(VLOOKUP($C694,Datensammler!$B:$AA,15,0),)</f>
        <v/>
      </c>
      <c r="E695" s="179" t="str">
        <f>IFERROR(VLOOKUP($C694,Datensammler!$B:$AA,16,0),)</f>
        <v/>
      </c>
      <c r="F695" s="179" t="str">
        <f>IFERROR(VLOOKUP($C694,Datensammler!$B:$AA,17,0),)</f>
        <v/>
      </c>
      <c r="G695" s="179" t="str">
        <f>IFERROR(VLOOKUP($C694,Datensammler!$B:$AA,18,0),)</f>
        <v/>
      </c>
      <c r="H695" s="179" t="str">
        <f>IFERROR(VLOOKUP($C694,Datensammler!$B:$AA,19,0),)</f>
        <v/>
      </c>
      <c r="I695" s="179" t="str">
        <f>IFERROR(VLOOKUP($C694,Datensammler!$B:$AA,20,0),)</f>
        <v/>
      </c>
      <c r="J695" s="180">
        <f t="shared" si="229"/>
        <v>0</v>
      </c>
      <c r="K695" s="181"/>
      <c r="L695" s="181"/>
      <c r="M695" s="181"/>
      <c r="N695" s="182"/>
      <c r="T695" s="172"/>
    </row>
    <row r="696" ht="21.0" customHeight="1">
      <c r="A696" s="212"/>
      <c r="B696" s="183"/>
      <c r="C696" s="184" t="str">
        <f>IF(VLOOKUP(T694,Spieler!A:F,6,0)="Nein","keine Bayerische Meisterschaft gewünscht","")</f>
        <v>#N/A</v>
      </c>
      <c r="D696" s="161"/>
      <c r="E696" s="170"/>
      <c r="F696" s="170"/>
      <c r="G696" s="185" t="s">
        <v>2562</v>
      </c>
      <c r="H696" s="186"/>
      <c r="I696" s="186"/>
      <c r="J696" s="186"/>
      <c r="K696" s="186"/>
      <c r="L696" s="187">
        <f t="shared" ref="L696:M696" si="230">SUM(L693:L695)</f>
        <v>0</v>
      </c>
      <c r="M696" s="110">
        <f t="shared" si="230"/>
        <v>0</v>
      </c>
      <c r="N696" s="188" t="str">
        <f>L696/M696</f>
        <v>#DIV/0!</v>
      </c>
      <c r="T696" s="189"/>
    </row>
    <row r="697" ht="17.25" customHeight="1">
      <c r="A697" s="212"/>
      <c r="B697" s="190"/>
      <c r="C697" s="178"/>
      <c r="D697" s="191"/>
      <c r="E697" s="191"/>
      <c r="F697" s="191"/>
      <c r="G697" s="191"/>
      <c r="H697" s="191"/>
      <c r="I697" s="191"/>
      <c r="J697" s="191"/>
      <c r="K697" s="110"/>
      <c r="L697" s="187"/>
      <c r="M697" s="110"/>
      <c r="N697" s="188"/>
      <c r="T697" s="194"/>
    </row>
    <row r="698" ht="17.25" customHeight="1">
      <c r="A698" s="212"/>
      <c r="B698" s="157">
        <f>B692+1</f>
        <v>116</v>
      </c>
      <c r="C698" s="158"/>
      <c r="D698" s="159" t="str">
        <f>VLOOKUP(C700,'Mitglieder BBU'!A:J,6,0)</f>
        <v>#N/A</v>
      </c>
      <c r="E698" s="60"/>
      <c r="F698" s="60"/>
      <c r="G698" s="60"/>
      <c r="H698" s="60"/>
      <c r="I698" s="61"/>
      <c r="J698" s="160"/>
      <c r="K698" s="161"/>
      <c r="L698" s="162"/>
      <c r="M698" s="163"/>
      <c r="N698" s="164"/>
      <c r="T698" s="165"/>
    </row>
    <row r="699" ht="17.25" customHeight="1">
      <c r="A699" s="212"/>
      <c r="B699" s="167"/>
      <c r="C699" s="168" t="str">
        <f>VLOOKUP(C700,'Mitglieder BBU'!A:J,6,0)</f>
        <v>#N/A</v>
      </c>
      <c r="D699" s="110" t="str">
        <f>IFERROR(VLOOKUP($C700,Datensammler!$B:$AA,3,0),)</f>
        <v/>
      </c>
      <c r="E699" s="110" t="str">
        <f>IFERROR(VLOOKUP($C700,Datensammler!$B:$AA,4,0),)</f>
        <v/>
      </c>
      <c r="F699" s="110" t="str">
        <f>IFERROR(VLOOKUP($C700,Datensammler!$B:$AA,5,0),)</f>
        <v/>
      </c>
      <c r="G699" s="110" t="str">
        <f>IFERROR(VLOOKUP($C700,Datensammler!$B:$AA,6,0),)</f>
        <v/>
      </c>
      <c r="H699" s="110" t="str">
        <f>IFERROR(VLOOKUP($C700,Datensammler!$B:$AA,7,0),)</f>
        <v/>
      </c>
      <c r="I699" s="110" t="str">
        <f>IFERROR(VLOOKUP($C700,Datensammler!$B:$AA,8,0),)</f>
        <v/>
      </c>
      <c r="J699" s="169">
        <f t="shared" ref="J699:J701" si="231">SUM(D699:I699)</f>
        <v>0</v>
      </c>
      <c r="K699" s="170" t="str">
        <f>IFERROR(VLOOKUP($C700,Datensammler!$B:$AA,23,0),)</f>
        <v/>
      </c>
      <c r="L699" s="161" t="str">
        <f>IFERROR(VLOOKUP($C700,Datensammler!$B:$AA,24,0),)</f>
        <v/>
      </c>
      <c r="M699" s="170" t="str">
        <f>IFERROR(VLOOKUP($C700,Datensammler!$B:$AA,25,0),)</f>
        <v/>
      </c>
      <c r="N699" s="171" t="str">
        <f>IF(C700=0,"",(VLOOKUP($C700,Datensammler!$B:$AA,26,0)))</f>
        <v>#N/A</v>
      </c>
      <c r="T699" s="172"/>
    </row>
    <row r="700" ht="17.25" customHeight="1">
      <c r="A700" s="212"/>
      <c r="B700" s="174"/>
      <c r="C700" s="175" t="str">
        <f>VLOOKUP(T700,Spieler!A:E,2,0)</f>
        <v>#N/A</v>
      </c>
      <c r="D700" s="170" t="str">
        <f>IFERROR(VLOOKUP($C700,Datensammler!$B:$AA,9,0),)</f>
        <v/>
      </c>
      <c r="E700" s="170" t="str">
        <f>IFERROR(VLOOKUP($C700,Datensammler!$B:$AA,10,0),)</f>
        <v/>
      </c>
      <c r="F700" s="170" t="str">
        <f>IFERROR(VLOOKUP($C700,Datensammler!$B:$AA,11,0),)</f>
        <v/>
      </c>
      <c r="G700" s="170" t="str">
        <f>IFERROR(VLOOKUP($C700,Datensammler!$B:$AA,12,0),)</f>
        <v/>
      </c>
      <c r="H700" s="170" t="str">
        <f>IFERROR(VLOOKUP($C700,Datensammler!$B:$AA,13,0),)</f>
        <v/>
      </c>
      <c r="I700" s="170" t="str">
        <f>IFERROR(VLOOKUP($C700,Datensammler!$B:$AA,14,0),)</f>
        <v/>
      </c>
      <c r="J700" s="169">
        <f t="shared" si="231"/>
        <v>0</v>
      </c>
      <c r="N700" s="176"/>
      <c r="T700" s="177" t="str">
        <f t="array" ref="T700">INDIRECT("Spieler!AD"&amp;B698+5)</f>
        <v/>
      </c>
    </row>
    <row r="701" ht="17.25" customHeight="1">
      <c r="A701" s="212"/>
      <c r="B701" s="167"/>
      <c r="C701" s="178" t="str">
        <f>VLOOKUP(C700,'Mitglieder BBU'!A:K,8,0)</f>
        <v>#N/A</v>
      </c>
      <c r="D701" s="179" t="str">
        <f>IFERROR(VLOOKUP($C700,Datensammler!$B:$AA,15,0),)</f>
        <v/>
      </c>
      <c r="E701" s="179" t="str">
        <f>IFERROR(VLOOKUP($C700,Datensammler!$B:$AA,16,0),)</f>
        <v/>
      </c>
      <c r="F701" s="179" t="str">
        <f>IFERROR(VLOOKUP($C700,Datensammler!$B:$AA,17,0),)</f>
        <v/>
      </c>
      <c r="G701" s="179" t="str">
        <f>IFERROR(VLOOKUP($C700,Datensammler!$B:$AA,18,0),)</f>
        <v/>
      </c>
      <c r="H701" s="179" t="str">
        <f>IFERROR(VLOOKUP($C700,Datensammler!$B:$AA,19,0),)</f>
        <v/>
      </c>
      <c r="I701" s="179" t="str">
        <f>IFERROR(VLOOKUP($C700,Datensammler!$B:$AA,20,0),)</f>
        <v/>
      </c>
      <c r="J701" s="180">
        <f t="shared" si="231"/>
        <v>0</v>
      </c>
      <c r="K701" s="181"/>
      <c r="L701" s="181"/>
      <c r="M701" s="181"/>
      <c r="N701" s="182"/>
      <c r="T701" s="172"/>
    </row>
    <row r="702" ht="17.25" customHeight="1">
      <c r="A702" s="212"/>
      <c r="B702" s="183"/>
      <c r="C702" s="184" t="str">
        <f>IF(VLOOKUP(T700,Spieler!A:F,6,0)="Nein","keine Bayerische Meisterschaft gewünscht","")</f>
        <v>#N/A</v>
      </c>
      <c r="D702" s="161"/>
      <c r="E702" s="170"/>
      <c r="F702" s="170"/>
      <c r="G702" s="185" t="s">
        <v>2562</v>
      </c>
      <c r="H702" s="186"/>
      <c r="I702" s="186"/>
      <c r="J702" s="186"/>
      <c r="K702" s="186"/>
      <c r="L702" s="187">
        <f t="shared" ref="L702:M702" si="232">SUM(L699:L701)</f>
        <v>0</v>
      </c>
      <c r="M702" s="110">
        <f t="shared" si="232"/>
        <v>0</v>
      </c>
      <c r="N702" s="188" t="str">
        <f>L702/M702</f>
        <v>#DIV/0!</v>
      </c>
      <c r="T702" s="189"/>
    </row>
    <row r="703" ht="17.25" customHeight="1">
      <c r="A703" s="212"/>
      <c r="B703" s="190"/>
      <c r="C703" s="178"/>
      <c r="D703" s="191"/>
      <c r="E703" s="191"/>
      <c r="F703" s="191"/>
      <c r="G703" s="191"/>
      <c r="H703" s="191"/>
      <c r="I703" s="191"/>
      <c r="J703" s="191"/>
      <c r="K703" s="191"/>
      <c r="L703" s="192"/>
      <c r="M703" s="191"/>
      <c r="N703" s="193"/>
      <c r="T703" s="194"/>
    </row>
    <row r="704" ht="17.25" customHeight="1">
      <c r="A704" s="212"/>
      <c r="B704" s="157">
        <f>B698+1</f>
        <v>117</v>
      </c>
      <c r="C704" s="158"/>
      <c r="D704" s="159" t="str">
        <f>VLOOKUP(C706,'Mitglieder BBU'!A:J,6,0)</f>
        <v>#N/A</v>
      </c>
      <c r="E704" s="60"/>
      <c r="F704" s="60"/>
      <c r="G704" s="60"/>
      <c r="H704" s="60"/>
      <c r="I704" s="61"/>
      <c r="J704" s="160"/>
      <c r="K704" s="161"/>
      <c r="L704" s="162"/>
      <c r="M704" s="163"/>
      <c r="N704" s="164"/>
      <c r="T704" s="165"/>
    </row>
    <row r="705" ht="17.25" customHeight="1">
      <c r="A705" s="212"/>
      <c r="B705" s="167"/>
      <c r="C705" s="168" t="str">
        <f>VLOOKUP(C706,'Mitglieder BBU'!A:J,6,0)</f>
        <v>#N/A</v>
      </c>
      <c r="D705" s="110" t="str">
        <f>IFERROR(VLOOKUP($C706,Datensammler!$B:$AA,3,0),)</f>
        <v/>
      </c>
      <c r="E705" s="110" t="str">
        <f>IFERROR(VLOOKUP($C706,Datensammler!$B:$AA,4,0),)</f>
        <v/>
      </c>
      <c r="F705" s="110" t="str">
        <f>IFERROR(VLOOKUP($C706,Datensammler!$B:$AA,5,0),)</f>
        <v/>
      </c>
      <c r="G705" s="110" t="str">
        <f>IFERROR(VLOOKUP($C706,Datensammler!$B:$AA,6,0),)</f>
        <v/>
      </c>
      <c r="H705" s="110" t="str">
        <f>IFERROR(VLOOKUP($C706,Datensammler!$B:$AA,7,0),)</f>
        <v/>
      </c>
      <c r="I705" s="110" t="str">
        <f>IFERROR(VLOOKUP($C706,Datensammler!$B:$AA,8,0),)</f>
        <v/>
      </c>
      <c r="J705" s="169">
        <f t="shared" ref="J705:J707" si="233">SUM(D705:I705)</f>
        <v>0</v>
      </c>
      <c r="K705" s="170" t="str">
        <f>IFERROR(VLOOKUP($C706,Datensammler!$B:$AA,23,0),)</f>
        <v/>
      </c>
      <c r="L705" s="161" t="str">
        <f>IFERROR(VLOOKUP($C706,Datensammler!$B:$AA,24,0),)</f>
        <v/>
      </c>
      <c r="M705" s="170" t="str">
        <f>IFERROR(VLOOKUP($C706,Datensammler!$B:$AA,25,0),)</f>
        <v/>
      </c>
      <c r="N705" s="171" t="str">
        <f>IF(C706=0,"",(VLOOKUP($C706,Datensammler!$B:$AA,26,0)))</f>
        <v>#N/A</v>
      </c>
      <c r="T705" s="172"/>
    </row>
    <row r="706" ht="17.25" customHeight="1">
      <c r="A706" s="212"/>
      <c r="B706" s="174"/>
      <c r="C706" s="175" t="str">
        <f>VLOOKUP(T706,Spieler!A:E,2,0)</f>
        <v>#N/A</v>
      </c>
      <c r="D706" s="170" t="str">
        <f>IFERROR(VLOOKUP($C706,Datensammler!$B:$AA,9,0),)</f>
        <v/>
      </c>
      <c r="E706" s="170" t="str">
        <f>IFERROR(VLOOKUP($C706,Datensammler!$B:$AA,10,0),)</f>
        <v/>
      </c>
      <c r="F706" s="170" t="str">
        <f>IFERROR(VLOOKUP($C706,Datensammler!$B:$AA,11,0),)</f>
        <v/>
      </c>
      <c r="G706" s="170" t="str">
        <f>IFERROR(VLOOKUP($C706,Datensammler!$B:$AA,12,0),)</f>
        <v/>
      </c>
      <c r="H706" s="170" t="str">
        <f>IFERROR(VLOOKUP($C706,Datensammler!$B:$AA,13,0),)</f>
        <v/>
      </c>
      <c r="I706" s="170" t="str">
        <f>IFERROR(VLOOKUP($C706,Datensammler!$B:$AA,14,0),)</f>
        <v/>
      </c>
      <c r="J706" s="169">
        <f t="shared" si="233"/>
        <v>0</v>
      </c>
      <c r="N706" s="176"/>
      <c r="T706" s="177" t="str">
        <f t="array" ref="T706">INDIRECT("Spieler!AD"&amp;B704+5)</f>
        <v/>
      </c>
    </row>
    <row r="707" ht="17.25" customHeight="1">
      <c r="A707" s="212"/>
      <c r="B707" s="167"/>
      <c r="C707" s="178" t="str">
        <f>VLOOKUP(C706,'Mitglieder BBU'!A:K,8,0)</f>
        <v>#N/A</v>
      </c>
      <c r="D707" s="179" t="str">
        <f>IFERROR(VLOOKUP($C706,Datensammler!$B:$AA,15,0),)</f>
        <v/>
      </c>
      <c r="E707" s="179" t="str">
        <f>IFERROR(VLOOKUP($C706,Datensammler!$B:$AA,16,0),)</f>
        <v/>
      </c>
      <c r="F707" s="179" t="str">
        <f>IFERROR(VLOOKUP($C706,Datensammler!$B:$AA,17,0),)</f>
        <v/>
      </c>
      <c r="G707" s="179" t="str">
        <f>IFERROR(VLOOKUP($C706,Datensammler!$B:$AA,18,0),)</f>
        <v/>
      </c>
      <c r="H707" s="179" t="str">
        <f>IFERROR(VLOOKUP($C706,Datensammler!$B:$AA,19,0),)</f>
        <v/>
      </c>
      <c r="I707" s="179" t="str">
        <f>IFERROR(VLOOKUP($C706,Datensammler!$B:$AA,20,0),)</f>
        <v/>
      </c>
      <c r="J707" s="180">
        <f t="shared" si="233"/>
        <v>0</v>
      </c>
      <c r="K707" s="181"/>
      <c r="L707" s="181"/>
      <c r="M707" s="181"/>
      <c r="N707" s="182"/>
      <c r="T707" s="172"/>
    </row>
    <row r="708" ht="17.25" customHeight="1">
      <c r="A708" s="212"/>
      <c r="B708" s="183"/>
      <c r="C708" s="184" t="str">
        <f>IF(VLOOKUP(T706,Spieler!A:F,6,0)="Nein","keine Bayerische Meisterschaft gewünscht","")</f>
        <v>#N/A</v>
      </c>
      <c r="D708" s="161"/>
      <c r="E708" s="170"/>
      <c r="F708" s="170"/>
      <c r="G708" s="185" t="s">
        <v>2562</v>
      </c>
      <c r="H708" s="186"/>
      <c r="I708" s="186"/>
      <c r="J708" s="186"/>
      <c r="K708" s="186"/>
      <c r="L708" s="187">
        <f t="shared" ref="L708:M708" si="234">SUM(L705:L707)</f>
        <v>0</v>
      </c>
      <c r="M708" s="110">
        <f t="shared" si="234"/>
        <v>0</v>
      </c>
      <c r="N708" s="188" t="str">
        <f>L708/M708</f>
        <v>#DIV/0!</v>
      </c>
      <c r="T708" s="189"/>
    </row>
    <row r="709" ht="17.25" customHeight="1">
      <c r="A709" s="212"/>
      <c r="B709" s="190"/>
      <c r="C709" s="178"/>
      <c r="D709" s="191"/>
      <c r="E709" s="191"/>
      <c r="F709" s="191"/>
      <c r="G709" s="191"/>
      <c r="H709" s="191"/>
      <c r="I709" s="191"/>
      <c r="J709" s="191"/>
      <c r="K709" s="191"/>
      <c r="L709" s="192"/>
      <c r="M709" s="191"/>
      <c r="N709" s="193"/>
      <c r="T709" s="194"/>
    </row>
    <row r="710" ht="17.25" customHeight="1">
      <c r="A710" s="212"/>
      <c r="B710" s="157">
        <f>B704+1</f>
        <v>118</v>
      </c>
      <c r="C710" s="158"/>
      <c r="D710" s="159" t="str">
        <f>VLOOKUP(C712,'Mitglieder BBU'!A:J,6,0)</f>
        <v>#N/A</v>
      </c>
      <c r="E710" s="60"/>
      <c r="F710" s="60"/>
      <c r="G710" s="60"/>
      <c r="H710" s="60"/>
      <c r="I710" s="61"/>
      <c r="J710" s="160"/>
      <c r="K710" s="161"/>
      <c r="L710" s="162"/>
      <c r="M710" s="163"/>
      <c r="N710" s="164"/>
      <c r="T710" s="165"/>
    </row>
    <row r="711" ht="17.25" customHeight="1">
      <c r="A711" s="212"/>
      <c r="B711" s="167"/>
      <c r="C711" s="168" t="str">
        <f>VLOOKUP(C712,'Mitglieder BBU'!A:J,6,0)</f>
        <v>#N/A</v>
      </c>
      <c r="D711" s="110" t="str">
        <f>IFERROR(VLOOKUP($C712,Datensammler!$B:$AA,3,0),)</f>
        <v/>
      </c>
      <c r="E711" s="110" t="str">
        <f>IFERROR(VLOOKUP($C712,Datensammler!$B:$AA,4,0),)</f>
        <v/>
      </c>
      <c r="F711" s="110" t="str">
        <f>IFERROR(VLOOKUP($C712,Datensammler!$B:$AA,5,0),)</f>
        <v/>
      </c>
      <c r="G711" s="110" t="str">
        <f>IFERROR(VLOOKUP($C712,Datensammler!$B:$AA,6,0),)</f>
        <v/>
      </c>
      <c r="H711" s="110" t="str">
        <f>IFERROR(VLOOKUP($C712,Datensammler!$B:$AA,7,0),)</f>
        <v/>
      </c>
      <c r="I711" s="110" t="str">
        <f>IFERROR(VLOOKUP($C712,Datensammler!$B:$AA,8,0),)</f>
        <v/>
      </c>
      <c r="J711" s="169">
        <f t="shared" ref="J711:J713" si="235">SUM(D711:I711)</f>
        <v>0</v>
      </c>
      <c r="K711" s="170" t="str">
        <f>IFERROR(VLOOKUP($C712,Datensammler!$B:$AA,23,0),)</f>
        <v/>
      </c>
      <c r="L711" s="161" t="str">
        <f>IFERROR(VLOOKUP($C712,Datensammler!$B:$AA,24,0),)</f>
        <v/>
      </c>
      <c r="M711" s="170" t="str">
        <f>IFERROR(VLOOKUP($C712,Datensammler!$B:$AA,25,0),)</f>
        <v/>
      </c>
      <c r="N711" s="171" t="str">
        <f>IF(C712=0,"",(VLOOKUP($C712,Datensammler!$B:$AA,26,0)))</f>
        <v>#N/A</v>
      </c>
      <c r="T711" s="172"/>
    </row>
    <row r="712" ht="17.25" customHeight="1">
      <c r="A712" s="212"/>
      <c r="B712" s="174"/>
      <c r="C712" s="175" t="str">
        <f>VLOOKUP(T712,Spieler!A:E,2,0)</f>
        <v>#N/A</v>
      </c>
      <c r="D712" s="170" t="str">
        <f>IFERROR(VLOOKUP($C712,Datensammler!$B:$AA,9,0),)</f>
        <v/>
      </c>
      <c r="E712" s="170" t="str">
        <f>IFERROR(VLOOKUP($C712,Datensammler!$B:$AA,10,0),)</f>
        <v/>
      </c>
      <c r="F712" s="170" t="str">
        <f>IFERROR(VLOOKUP($C712,Datensammler!$B:$AA,11,0),)</f>
        <v/>
      </c>
      <c r="G712" s="170" t="str">
        <f>IFERROR(VLOOKUP($C712,Datensammler!$B:$AA,12,0),)</f>
        <v/>
      </c>
      <c r="H712" s="170" t="str">
        <f>IFERROR(VLOOKUP($C712,Datensammler!$B:$AA,13,0),)</f>
        <v/>
      </c>
      <c r="I712" s="170" t="str">
        <f>IFERROR(VLOOKUP($C712,Datensammler!$B:$AA,14,0),)</f>
        <v/>
      </c>
      <c r="J712" s="169">
        <f t="shared" si="235"/>
        <v>0</v>
      </c>
      <c r="N712" s="176"/>
      <c r="T712" s="177" t="str">
        <f t="array" ref="T712">INDIRECT("Spieler!AD"&amp;B710+5)</f>
        <v/>
      </c>
    </row>
    <row r="713" ht="17.25" customHeight="1">
      <c r="A713" s="212"/>
      <c r="B713" s="167"/>
      <c r="C713" s="178" t="str">
        <f>VLOOKUP(C712,'Mitglieder BBU'!A:K,8,0)</f>
        <v>#N/A</v>
      </c>
      <c r="D713" s="179" t="str">
        <f>IFERROR(VLOOKUP($C712,Datensammler!$B:$AA,15,0),)</f>
        <v/>
      </c>
      <c r="E713" s="179" t="str">
        <f>IFERROR(VLOOKUP($C712,Datensammler!$B:$AA,16,0),)</f>
        <v/>
      </c>
      <c r="F713" s="179" t="str">
        <f>IFERROR(VLOOKUP($C712,Datensammler!$B:$AA,17,0),)</f>
        <v/>
      </c>
      <c r="G713" s="179" t="str">
        <f>IFERROR(VLOOKUP($C712,Datensammler!$B:$AA,18,0),)</f>
        <v/>
      </c>
      <c r="H713" s="179" t="str">
        <f>IFERROR(VLOOKUP($C712,Datensammler!$B:$AA,19,0),)</f>
        <v/>
      </c>
      <c r="I713" s="179" t="str">
        <f>IFERROR(VLOOKUP($C712,Datensammler!$B:$AA,20,0),)</f>
        <v/>
      </c>
      <c r="J713" s="180">
        <f t="shared" si="235"/>
        <v>0</v>
      </c>
      <c r="K713" s="181"/>
      <c r="L713" s="181"/>
      <c r="M713" s="181"/>
      <c r="N713" s="182"/>
      <c r="T713" s="172"/>
    </row>
    <row r="714" ht="17.25" customHeight="1">
      <c r="A714" s="212"/>
      <c r="B714" s="183"/>
      <c r="C714" s="184" t="str">
        <f>IF(VLOOKUP(T712,Spieler!A:F,6,0)="Nein","keine Bayerische Meisterschaft gewünscht","")</f>
        <v>#N/A</v>
      </c>
      <c r="D714" s="161"/>
      <c r="E714" s="170"/>
      <c r="F714" s="170"/>
      <c r="G714" s="185" t="s">
        <v>2562</v>
      </c>
      <c r="H714" s="186"/>
      <c r="I714" s="186"/>
      <c r="J714" s="186"/>
      <c r="K714" s="186"/>
      <c r="L714" s="187">
        <f t="shared" ref="L714:M714" si="236">SUM(L711:L713)</f>
        <v>0</v>
      </c>
      <c r="M714" s="110">
        <f t="shared" si="236"/>
        <v>0</v>
      </c>
      <c r="N714" s="188" t="str">
        <f>L714/M714</f>
        <v>#DIV/0!</v>
      </c>
      <c r="T714" s="189"/>
    </row>
    <row r="715" ht="17.25" customHeight="1">
      <c r="A715" s="212"/>
      <c r="B715" s="190"/>
      <c r="C715" s="178"/>
      <c r="D715" s="191"/>
      <c r="E715" s="191"/>
      <c r="F715" s="191"/>
      <c r="G715" s="191"/>
      <c r="H715" s="191"/>
      <c r="I715" s="191"/>
      <c r="J715" s="191"/>
      <c r="K715" s="191"/>
      <c r="L715" s="192"/>
      <c r="M715" s="191"/>
      <c r="N715" s="193"/>
      <c r="T715" s="194"/>
    </row>
    <row r="716" ht="17.25" customHeight="1">
      <c r="A716" s="212"/>
      <c r="B716" s="157">
        <f>B710+1</f>
        <v>119</v>
      </c>
      <c r="C716" s="158"/>
      <c r="D716" s="159" t="str">
        <f>VLOOKUP(C718,'Mitglieder BBU'!A:J,6,0)</f>
        <v>#N/A</v>
      </c>
      <c r="E716" s="60"/>
      <c r="F716" s="60"/>
      <c r="G716" s="60"/>
      <c r="H716" s="60"/>
      <c r="I716" s="61"/>
      <c r="J716" s="160"/>
      <c r="K716" s="161"/>
      <c r="L716" s="162"/>
      <c r="M716" s="163"/>
      <c r="N716" s="164"/>
      <c r="T716" s="165"/>
    </row>
    <row r="717" ht="21.0" customHeight="1">
      <c r="A717" s="212"/>
      <c r="B717" s="167"/>
      <c r="C717" s="168" t="str">
        <f>VLOOKUP(C718,'Mitglieder BBU'!A:J,6,0)</f>
        <v>#N/A</v>
      </c>
      <c r="D717" s="110" t="str">
        <f>IFERROR(VLOOKUP($C718,Datensammler!$B:$AA,3,0),)</f>
        <v/>
      </c>
      <c r="E717" s="110" t="str">
        <f>IFERROR(VLOOKUP($C718,Datensammler!$B:$AA,4,0),)</f>
        <v/>
      </c>
      <c r="F717" s="110" t="str">
        <f>IFERROR(VLOOKUP($C718,Datensammler!$B:$AA,5,0),)</f>
        <v/>
      </c>
      <c r="G717" s="110" t="str">
        <f>IFERROR(VLOOKUP($C718,Datensammler!$B:$AA,6,0),)</f>
        <v/>
      </c>
      <c r="H717" s="110" t="str">
        <f>IFERROR(VLOOKUP($C718,Datensammler!$B:$AA,7,0),)</f>
        <v/>
      </c>
      <c r="I717" s="110" t="str">
        <f>IFERROR(VLOOKUP($C718,Datensammler!$B:$AA,8,0),)</f>
        <v/>
      </c>
      <c r="J717" s="169">
        <f t="shared" ref="J717:J719" si="237">SUM(D717:I717)</f>
        <v>0</v>
      </c>
      <c r="K717" s="170" t="str">
        <f>IFERROR(VLOOKUP($C718,Datensammler!$B:$AA,23,0),)</f>
        <v/>
      </c>
      <c r="L717" s="161" t="str">
        <f>IFERROR(VLOOKUP($C718,Datensammler!$B:$AA,24,0),)</f>
        <v/>
      </c>
      <c r="M717" s="170" t="str">
        <f>IFERROR(VLOOKUP($C718,Datensammler!$B:$AA,25,0),)</f>
        <v/>
      </c>
      <c r="N717" s="171" t="str">
        <f>IF(C718=0,"",(VLOOKUP($C718,Datensammler!$B:$AA,26,0)))</f>
        <v>#N/A</v>
      </c>
      <c r="T717" s="172"/>
    </row>
    <row r="718" ht="21.0" customHeight="1">
      <c r="A718" s="212"/>
      <c r="B718" s="174"/>
      <c r="C718" s="175" t="str">
        <f>VLOOKUP(T718,Spieler!A:E,2,0)</f>
        <v>#N/A</v>
      </c>
      <c r="D718" s="170" t="str">
        <f>IFERROR(VLOOKUP($C718,Datensammler!$B:$AA,9,0),)</f>
        <v/>
      </c>
      <c r="E718" s="170" t="str">
        <f>IFERROR(VLOOKUP($C718,Datensammler!$B:$AA,10,0),)</f>
        <v/>
      </c>
      <c r="F718" s="170" t="str">
        <f>IFERROR(VLOOKUP($C718,Datensammler!$B:$AA,11,0),)</f>
        <v/>
      </c>
      <c r="G718" s="170" t="str">
        <f>IFERROR(VLOOKUP($C718,Datensammler!$B:$AA,12,0),)</f>
        <v/>
      </c>
      <c r="H718" s="170" t="str">
        <f>IFERROR(VLOOKUP($C718,Datensammler!$B:$AA,13,0),)</f>
        <v/>
      </c>
      <c r="I718" s="170" t="str">
        <f>IFERROR(VLOOKUP($C718,Datensammler!$B:$AA,14,0),)</f>
        <v/>
      </c>
      <c r="J718" s="169">
        <f t="shared" si="237"/>
        <v>0</v>
      </c>
      <c r="N718" s="176"/>
      <c r="T718" s="177" t="str">
        <f t="array" ref="T718">INDIRECT("Spieler!AD"&amp;B716+5)</f>
        <v/>
      </c>
    </row>
    <row r="719" ht="21.0" customHeight="1">
      <c r="A719" s="212"/>
      <c r="B719" s="167"/>
      <c r="C719" s="178" t="str">
        <f>VLOOKUP(C718,'Mitglieder BBU'!A:K,8,0)</f>
        <v>#N/A</v>
      </c>
      <c r="D719" s="179" t="str">
        <f>IFERROR(VLOOKUP($C718,Datensammler!$B:$AA,15,0),)</f>
        <v/>
      </c>
      <c r="E719" s="179" t="str">
        <f>IFERROR(VLOOKUP($C718,Datensammler!$B:$AA,16,0),)</f>
        <v/>
      </c>
      <c r="F719" s="179" t="str">
        <f>IFERROR(VLOOKUP($C718,Datensammler!$B:$AA,17,0),)</f>
        <v/>
      </c>
      <c r="G719" s="179" t="str">
        <f>IFERROR(VLOOKUP($C718,Datensammler!$B:$AA,18,0),)</f>
        <v/>
      </c>
      <c r="H719" s="179" t="str">
        <f>IFERROR(VLOOKUP($C718,Datensammler!$B:$AA,19,0),)</f>
        <v/>
      </c>
      <c r="I719" s="179" t="str">
        <f>IFERROR(VLOOKUP($C718,Datensammler!$B:$AA,20,0),)</f>
        <v/>
      </c>
      <c r="J719" s="180">
        <f t="shared" si="237"/>
        <v>0</v>
      </c>
      <c r="K719" s="181"/>
      <c r="L719" s="181"/>
      <c r="M719" s="181"/>
      <c r="N719" s="182"/>
      <c r="T719" s="172"/>
    </row>
    <row r="720" ht="21.0" customHeight="1">
      <c r="A720" s="212"/>
      <c r="B720" s="183"/>
      <c r="C720" s="184" t="str">
        <f>IF(VLOOKUP(T718,Spieler!A:F,6,0)="Nein","keine Bayerische Meisterschaft gewünscht","")</f>
        <v>#N/A</v>
      </c>
      <c r="D720" s="161"/>
      <c r="E720" s="170"/>
      <c r="F720" s="170"/>
      <c r="G720" s="185" t="s">
        <v>2562</v>
      </c>
      <c r="H720" s="186"/>
      <c r="I720" s="186"/>
      <c r="J720" s="186"/>
      <c r="K720" s="186"/>
      <c r="L720" s="187">
        <f t="shared" ref="L720:M720" si="238">SUM(L717:L719)</f>
        <v>0</v>
      </c>
      <c r="M720" s="110">
        <f t="shared" si="238"/>
        <v>0</v>
      </c>
      <c r="N720" s="188" t="str">
        <f>L720/M720</f>
        <v>#DIV/0!</v>
      </c>
      <c r="T720" s="189"/>
    </row>
    <row r="721" ht="21.0" customHeight="1">
      <c r="A721" s="212"/>
      <c r="B721" s="190"/>
      <c r="C721" s="178"/>
      <c r="D721" s="191"/>
      <c r="E721" s="191"/>
      <c r="F721" s="191"/>
      <c r="G721" s="191"/>
      <c r="H721" s="191"/>
      <c r="I721" s="191"/>
      <c r="J721" s="191"/>
      <c r="K721" s="191"/>
      <c r="L721" s="192"/>
      <c r="M721" s="191"/>
      <c r="N721" s="193"/>
      <c r="T721" s="194"/>
    </row>
    <row r="722" ht="21.0" customHeight="1">
      <c r="A722" s="212"/>
      <c r="B722" s="157">
        <f>B716+1</f>
        <v>120</v>
      </c>
      <c r="C722" s="158"/>
      <c r="D722" s="159" t="str">
        <f>VLOOKUP(C724,'Mitglieder BBU'!A:J,6,0)</f>
        <v>#N/A</v>
      </c>
      <c r="E722" s="60"/>
      <c r="F722" s="60"/>
      <c r="G722" s="60"/>
      <c r="H722" s="60"/>
      <c r="I722" s="61"/>
      <c r="J722" s="160"/>
      <c r="K722" s="161"/>
      <c r="L722" s="162"/>
      <c r="M722" s="163"/>
      <c r="N722" s="164"/>
      <c r="T722" s="165"/>
    </row>
    <row r="723" ht="21.0" customHeight="1">
      <c r="A723" s="212"/>
      <c r="B723" s="167"/>
      <c r="C723" s="168" t="str">
        <f>VLOOKUP(C724,'Mitglieder BBU'!A:J,6,0)</f>
        <v>#N/A</v>
      </c>
      <c r="D723" s="110" t="str">
        <f>IFERROR(VLOOKUP($C724,Datensammler!$B:$AA,3,0),)</f>
        <v/>
      </c>
      <c r="E723" s="110" t="str">
        <f>IFERROR(VLOOKUP($C724,Datensammler!$B:$AA,4,0),)</f>
        <v/>
      </c>
      <c r="F723" s="110" t="str">
        <f>IFERROR(VLOOKUP($C724,Datensammler!$B:$AA,5,0),)</f>
        <v/>
      </c>
      <c r="G723" s="110" t="str">
        <f>IFERROR(VLOOKUP($C724,Datensammler!$B:$AA,6,0),)</f>
        <v/>
      </c>
      <c r="H723" s="110" t="str">
        <f>IFERROR(VLOOKUP($C724,Datensammler!$B:$AA,7,0),)</f>
        <v/>
      </c>
      <c r="I723" s="110" t="str">
        <f>IFERROR(VLOOKUP($C724,Datensammler!$B:$AA,8,0),)</f>
        <v/>
      </c>
      <c r="J723" s="169">
        <f t="shared" ref="J723:J725" si="239">SUM(D723:I723)</f>
        <v>0</v>
      </c>
      <c r="K723" s="170" t="str">
        <f>IFERROR(VLOOKUP($C724,Datensammler!$B:$AA,23,0),)</f>
        <v/>
      </c>
      <c r="L723" s="161" t="str">
        <f>IFERROR(VLOOKUP($C724,Datensammler!$B:$AA,24,0),)</f>
        <v/>
      </c>
      <c r="M723" s="170" t="str">
        <f>IFERROR(VLOOKUP($C724,Datensammler!$B:$AA,25,0),)</f>
        <v/>
      </c>
      <c r="N723" s="171" t="str">
        <f>IF(C724=0,"",(VLOOKUP($C724,Datensammler!$B:$AA,26,0)))</f>
        <v>#N/A</v>
      </c>
      <c r="T723" s="172"/>
    </row>
    <row r="724" ht="21.0" customHeight="1">
      <c r="A724" s="212"/>
      <c r="B724" s="174"/>
      <c r="C724" s="175" t="str">
        <f>VLOOKUP(T724,Spieler!A:E,2,0)</f>
        <v>#N/A</v>
      </c>
      <c r="D724" s="170" t="str">
        <f>IFERROR(VLOOKUP($C724,Datensammler!$B:$AA,9,0),)</f>
        <v/>
      </c>
      <c r="E724" s="170" t="str">
        <f>IFERROR(VLOOKUP($C724,Datensammler!$B:$AA,10,0),)</f>
        <v/>
      </c>
      <c r="F724" s="170" t="str">
        <f>IFERROR(VLOOKUP($C724,Datensammler!$B:$AA,11,0),)</f>
        <v/>
      </c>
      <c r="G724" s="170" t="str">
        <f>IFERROR(VLOOKUP($C724,Datensammler!$B:$AA,12,0),)</f>
        <v/>
      </c>
      <c r="H724" s="170" t="str">
        <f>IFERROR(VLOOKUP($C724,Datensammler!$B:$AA,13,0),)</f>
        <v/>
      </c>
      <c r="I724" s="170" t="str">
        <f>IFERROR(VLOOKUP($C724,Datensammler!$B:$AA,14,0),)</f>
        <v/>
      </c>
      <c r="J724" s="169">
        <f t="shared" si="239"/>
        <v>0</v>
      </c>
      <c r="N724" s="176"/>
      <c r="T724" s="177" t="str">
        <f t="array" ref="T724">INDIRECT("Spieler!AD"&amp;B722+5)</f>
        <v/>
      </c>
    </row>
    <row r="725" ht="21.0" customHeight="1">
      <c r="A725" s="212"/>
      <c r="B725" s="167"/>
      <c r="C725" s="178" t="str">
        <f>VLOOKUP(C724,'Mitglieder BBU'!A:K,8,0)</f>
        <v>#N/A</v>
      </c>
      <c r="D725" s="179" t="str">
        <f>IFERROR(VLOOKUP($C724,Datensammler!$B:$AA,15,0),)</f>
        <v/>
      </c>
      <c r="E725" s="179" t="str">
        <f>IFERROR(VLOOKUP($C724,Datensammler!$B:$AA,16,0),)</f>
        <v/>
      </c>
      <c r="F725" s="179" t="str">
        <f>IFERROR(VLOOKUP($C724,Datensammler!$B:$AA,17,0),)</f>
        <v/>
      </c>
      <c r="G725" s="179" t="str">
        <f>IFERROR(VLOOKUP($C724,Datensammler!$B:$AA,18,0),)</f>
        <v/>
      </c>
      <c r="H725" s="179" t="str">
        <f>IFERROR(VLOOKUP($C724,Datensammler!$B:$AA,19,0),)</f>
        <v/>
      </c>
      <c r="I725" s="179" t="str">
        <f>IFERROR(VLOOKUP($C724,Datensammler!$B:$AA,20,0),)</f>
        <v/>
      </c>
      <c r="J725" s="180">
        <f t="shared" si="239"/>
        <v>0</v>
      </c>
      <c r="K725" s="181"/>
      <c r="L725" s="181"/>
      <c r="M725" s="181"/>
      <c r="N725" s="182"/>
      <c r="T725" s="172"/>
    </row>
    <row r="726" ht="21.0" customHeight="1">
      <c r="A726" s="212"/>
      <c r="B726" s="183"/>
      <c r="C726" s="184" t="str">
        <f>IF(VLOOKUP(T724,Spieler!A:F,6,0)="Nein","keine Bayerische Meisterschaft gewünscht","")</f>
        <v>#N/A</v>
      </c>
      <c r="D726" s="161"/>
      <c r="E726" s="170"/>
      <c r="F726" s="170"/>
      <c r="G726" s="185" t="s">
        <v>2562</v>
      </c>
      <c r="H726" s="186"/>
      <c r="I726" s="186"/>
      <c r="J726" s="186"/>
      <c r="K726" s="186"/>
      <c r="L726" s="187">
        <f t="shared" ref="L726:M726" si="240">SUM(L723:L725)</f>
        <v>0</v>
      </c>
      <c r="M726" s="110">
        <f t="shared" si="240"/>
        <v>0</v>
      </c>
      <c r="N726" s="188" t="str">
        <f>L726/M726</f>
        <v>#DIV/0!</v>
      </c>
      <c r="T726" s="189"/>
    </row>
    <row r="727" ht="21.0" customHeight="1">
      <c r="A727" s="212"/>
      <c r="B727" s="190"/>
      <c r="C727" s="178"/>
      <c r="D727" s="191"/>
      <c r="E727" s="191"/>
      <c r="F727" s="191"/>
      <c r="G727" s="191"/>
      <c r="H727" s="191"/>
      <c r="I727" s="191"/>
      <c r="J727" s="191"/>
      <c r="K727" s="110"/>
      <c r="L727" s="187"/>
      <c r="M727" s="110"/>
      <c r="N727" s="188"/>
      <c r="T727" s="194"/>
    </row>
    <row r="728" ht="21.0" customHeight="1">
      <c r="A728" s="212"/>
      <c r="B728" s="157">
        <f>B722+1</f>
        <v>121</v>
      </c>
      <c r="C728" s="158"/>
      <c r="D728" s="159" t="str">
        <f>VLOOKUP(C730,'Mitglieder BBU'!A:J,6,0)</f>
        <v>#N/A</v>
      </c>
      <c r="E728" s="60"/>
      <c r="F728" s="60"/>
      <c r="G728" s="60"/>
      <c r="H728" s="60"/>
      <c r="I728" s="61"/>
      <c r="J728" s="160"/>
      <c r="K728" s="161"/>
      <c r="L728" s="162"/>
      <c r="M728" s="163"/>
      <c r="N728" s="164"/>
      <c r="T728" s="165"/>
    </row>
    <row r="729" ht="21.0" customHeight="1">
      <c r="A729" s="212"/>
      <c r="B729" s="167"/>
      <c r="C729" s="168" t="str">
        <f>VLOOKUP(C730,'Mitglieder BBU'!A:J,6,0)</f>
        <v>#N/A</v>
      </c>
      <c r="D729" s="110" t="str">
        <f>IFERROR(VLOOKUP($C730,Datensammler!$B:$AA,3,0),)</f>
        <v/>
      </c>
      <c r="E729" s="110" t="str">
        <f>IFERROR(VLOOKUP($C730,Datensammler!$B:$AA,4,0),)</f>
        <v/>
      </c>
      <c r="F729" s="110" t="str">
        <f>IFERROR(VLOOKUP($C730,Datensammler!$B:$AA,5,0),)</f>
        <v/>
      </c>
      <c r="G729" s="110" t="str">
        <f>IFERROR(VLOOKUP($C730,Datensammler!$B:$AA,6,0),)</f>
        <v/>
      </c>
      <c r="H729" s="110" t="str">
        <f>IFERROR(VLOOKUP($C730,Datensammler!$B:$AA,7,0),)</f>
        <v/>
      </c>
      <c r="I729" s="110" t="str">
        <f>IFERROR(VLOOKUP($C730,Datensammler!$B:$AA,8,0),)</f>
        <v/>
      </c>
      <c r="J729" s="169">
        <f t="shared" ref="J729:J731" si="241">SUM(D729:I729)</f>
        <v>0</v>
      </c>
      <c r="K729" s="170" t="str">
        <f>IFERROR(VLOOKUP($C730,Datensammler!$B:$AA,23,0),)</f>
        <v/>
      </c>
      <c r="L729" s="161" t="str">
        <f>IFERROR(VLOOKUP($C730,Datensammler!$B:$AA,24,0),)</f>
        <v/>
      </c>
      <c r="M729" s="170" t="str">
        <f>IFERROR(VLOOKUP($C730,Datensammler!$B:$AA,25,0),)</f>
        <v/>
      </c>
      <c r="N729" s="171" t="str">
        <f>IF(C730=0,"",(VLOOKUP($C730,Datensammler!$B:$AA,26,0)))</f>
        <v>#N/A</v>
      </c>
      <c r="T729" s="172"/>
    </row>
    <row r="730" ht="21.0" customHeight="1">
      <c r="A730" s="212"/>
      <c r="B730" s="174"/>
      <c r="C730" s="175" t="str">
        <f>VLOOKUP(T730,Spieler!A:E,2,0)</f>
        <v>#N/A</v>
      </c>
      <c r="D730" s="170" t="str">
        <f>IFERROR(VLOOKUP($C730,Datensammler!$B:$AA,9,0),)</f>
        <v/>
      </c>
      <c r="E730" s="170" t="str">
        <f>IFERROR(VLOOKUP($C730,Datensammler!$B:$AA,10,0),)</f>
        <v/>
      </c>
      <c r="F730" s="170" t="str">
        <f>IFERROR(VLOOKUP($C730,Datensammler!$B:$AA,11,0),)</f>
        <v/>
      </c>
      <c r="G730" s="170" t="str">
        <f>IFERROR(VLOOKUP($C730,Datensammler!$B:$AA,12,0),)</f>
        <v/>
      </c>
      <c r="H730" s="170" t="str">
        <f>IFERROR(VLOOKUP($C730,Datensammler!$B:$AA,13,0),)</f>
        <v/>
      </c>
      <c r="I730" s="170" t="str">
        <f>IFERROR(VLOOKUP($C730,Datensammler!$B:$AA,14,0),)</f>
        <v/>
      </c>
      <c r="J730" s="169">
        <f t="shared" si="241"/>
        <v>0</v>
      </c>
      <c r="N730" s="176"/>
      <c r="T730" s="177" t="str">
        <f t="array" ref="T730">INDIRECT("Spieler!AD"&amp;B728+5)</f>
        <v/>
      </c>
    </row>
    <row r="731" ht="21.0" customHeight="1">
      <c r="A731" s="212"/>
      <c r="B731" s="167"/>
      <c r="C731" s="178" t="str">
        <f>VLOOKUP(C730,'Mitglieder BBU'!A:K,8,0)</f>
        <v>#N/A</v>
      </c>
      <c r="D731" s="179" t="str">
        <f>IFERROR(VLOOKUP($C730,Datensammler!$B:$AA,15,0),)</f>
        <v/>
      </c>
      <c r="E731" s="179" t="str">
        <f>IFERROR(VLOOKUP($C730,Datensammler!$B:$AA,16,0),)</f>
        <v/>
      </c>
      <c r="F731" s="179" t="str">
        <f>IFERROR(VLOOKUP($C730,Datensammler!$B:$AA,17,0),)</f>
        <v/>
      </c>
      <c r="G731" s="179" t="str">
        <f>IFERROR(VLOOKUP($C730,Datensammler!$B:$AA,18,0),)</f>
        <v/>
      </c>
      <c r="H731" s="179" t="str">
        <f>IFERROR(VLOOKUP($C730,Datensammler!$B:$AA,19,0),)</f>
        <v/>
      </c>
      <c r="I731" s="179" t="str">
        <f>IFERROR(VLOOKUP($C730,Datensammler!$B:$AA,20,0),)</f>
        <v/>
      </c>
      <c r="J731" s="180">
        <f t="shared" si="241"/>
        <v>0</v>
      </c>
      <c r="K731" s="181"/>
      <c r="L731" s="181"/>
      <c r="M731" s="181"/>
      <c r="N731" s="182"/>
      <c r="T731" s="172"/>
    </row>
    <row r="732" ht="21.0" customHeight="1">
      <c r="A732" s="212"/>
      <c r="B732" s="183"/>
      <c r="C732" s="184" t="str">
        <f>IF(VLOOKUP(T730,Spieler!A:F,6,0)="Nein","keine Bayerische Meisterschaft gewünscht","")</f>
        <v>#N/A</v>
      </c>
      <c r="D732" s="161"/>
      <c r="E732" s="170"/>
      <c r="F732" s="170"/>
      <c r="G732" s="185" t="s">
        <v>2562</v>
      </c>
      <c r="H732" s="186"/>
      <c r="I732" s="186"/>
      <c r="J732" s="186"/>
      <c r="K732" s="186"/>
      <c r="L732" s="187">
        <f t="shared" ref="L732:M732" si="242">SUM(L729:L731)</f>
        <v>0</v>
      </c>
      <c r="M732" s="110">
        <f t="shared" si="242"/>
        <v>0</v>
      </c>
      <c r="N732" s="188" t="str">
        <f>L732/M732</f>
        <v>#DIV/0!</v>
      </c>
      <c r="T732" s="189"/>
    </row>
    <row r="733" ht="17.25" customHeight="1">
      <c r="A733" s="212"/>
      <c r="B733" s="190"/>
      <c r="C733" s="178"/>
      <c r="D733" s="191"/>
      <c r="E733" s="191"/>
      <c r="F733" s="191"/>
      <c r="G733" s="191"/>
      <c r="H733" s="191"/>
      <c r="I733" s="191"/>
      <c r="J733" s="191"/>
      <c r="K733" s="191"/>
      <c r="L733" s="192"/>
      <c r="M733" s="191"/>
      <c r="N733" s="193"/>
      <c r="T733" s="194"/>
    </row>
    <row r="734" ht="17.25" customHeight="1">
      <c r="A734" s="212"/>
      <c r="B734" s="157">
        <f>B728+1</f>
        <v>122</v>
      </c>
      <c r="C734" s="158"/>
      <c r="D734" s="159" t="str">
        <f>VLOOKUP(C736,'Mitglieder BBU'!A:J,6,0)</f>
        <v>#N/A</v>
      </c>
      <c r="E734" s="60"/>
      <c r="F734" s="60"/>
      <c r="G734" s="60"/>
      <c r="H734" s="60"/>
      <c r="I734" s="61"/>
      <c r="J734" s="160"/>
      <c r="K734" s="161"/>
      <c r="L734" s="162"/>
      <c r="M734" s="163"/>
      <c r="N734" s="164"/>
      <c r="T734" s="165"/>
    </row>
    <row r="735" ht="17.25" customHeight="1">
      <c r="A735" s="212"/>
      <c r="B735" s="167"/>
      <c r="C735" s="168" t="str">
        <f>VLOOKUP(C736,'Mitglieder BBU'!A:J,6,0)</f>
        <v>#N/A</v>
      </c>
      <c r="D735" s="110" t="str">
        <f>IFERROR(VLOOKUP($C736,Datensammler!$B:$AA,3,0),)</f>
        <v/>
      </c>
      <c r="E735" s="110" t="str">
        <f>IFERROR(VLOOKUP($C736,Datensammler!$B:$AA,4,0),)</f>
        <v/>
      </c>
      <c r="F735" s="110" t="str">
        <f>IFERROR(VLOOKUP($C736,Datensammler!$B:$AA,5,0),)</f>
        <v/>
      </c>
      <c r="G735" s="110" t="str">
        <f>IFERROR(VLOOKUP($C736,Datensammler!$B:$AA,6,0),)</f>
        <v/>
      </c>
      <c r="H735" s="110" t="str">
        <f>IFERROR(VLOOKUP($C736,Datensammler!$B:$AA,7,0),)</f>
        <v/>
      </c>
      <c r="I735" s="110" t="str">
        <f>IFERROR(VLOOKUP($C736,Datensammler!$B:$AA,8,0),)</f>
        <v/>
      </c>
      <c r="J735" s="169">
        <f t="shared" ref="J735:J737" si="243">SUM(D735:I735)</f>
        <v>0</v>
      </c>
      <c r="K735" s="170" t="str">
        <f>IFERROR(VLOOKUP($C736,Datensammler!$B:$AA,23,0),)</f>
        <v/>
      </c>
      <c r="L735" s="161" t="str">
        <f>IFERROR(VLOOKUP($C736,Datensammler!$B:$AA,24,0),)</f>
        <v/>
      </c>
      <c r="M735" s="170" t="str">
        <f>IFERROR(VLOOKUP($C736,Datensammler!$B:$AA,25,0),)</f>
        <v/>
      </c>
      <c r="N735" s="171" t="str">
        <f>IF(C736=0,"",(VLOOKUP($C736,Datensammler!$B:$AA,26,0)))</f>
        <v>#N/A</v>
      </c>
      <c r="T735" s="172"/>
    </row>
    <row r="736" ht="17.25" customHeight="1">
      <c r="A736" s="212"/>
      <c r="B736" s="174"/>
      <c r="C736" s="175" t="str">
        <f>VLOOKUP(T736,Spieler!A:E,2,0)</f>
        <v>#N/A</v>
      </c>
      <c r="D736" s="170" t="str">
        <f>IFERROR(VLOOKUP($C736,Datensammler!$B:$AA,9,0),)</f>
        <v/>
      </c>
      <c r="E736" s="170" t="str">
        <f>IFERROR(VLOOKUP($C736,Datensammler!$B:$AA,10,0),)</f>
        <v/>
      </c>
      <c r="F736" s="170" t="str">
        <f>IFERROR(VLOOKUP($C736,Datensammler!$B:$AA,11,0),)</f>
        <v/>
      </c>
      <c r="G736" s="170" t="str">
        <f>IFERROR(VLOOKUP($C736,Datensammler!$B:$AA,12,0),)</f>
        <v/>
      </c>
      <c r="H736" s="170" t="str">
        <f>IFERROR(VLOOKUP($C736,Datensammler!$B:$AA,13,0),)</f>
        <v/>
      </c>
      <c r="I736" s="170" t="str">
        <f>IFERROR(VLOOKUP($C736,Datensammler!$B:$AA,14,0),)</f>
        <v/>
      </c>
      <c r="J736" s="169">
        <f t="shared" si="243"/>
        <v>0</v>
      </c>
      <c r="N736" s="176"/>
      <c r="T736" s="177" t="str">
        <f t="array" ref="T736">INDIRECT("Spieler!AD"&amp;B734+5)</f>
        <v/>
      </c>
    </row>
    <row r="737" ht="17.25" customHeight="1">
      <c r="A737" s="212"/>
      <c r="B737" s="167"/>
      <c r="C737" s="178" t="str">
        <f>VLOOKUP(C736,'Mitglieder BBU'!A:K,8,0)</f>
        <v>#N/A</v>
      </c>
      <c r="D737" s="179" t="str">
        <f>IFERROR(VLOOKUP($C736,Datensammler!$B:$AA,15,0),)</f>
        <v/>
      </c>
      <c r="E737" s="179" t="str">
        <f>IFERROR(VLOOKUP($C736,Datensammler!$B:$AA,16,0),)</f>
        <v/>
      </c>
      <c r="F737" s="179" t="str">
        <f>IFERROR(VLOOKUP($C736,Datensammler!$B:$AA,17,0),)</f>
        <v/>
      </c>
      <c r="G737" s="179" t="str">
        <f>IFERROR(VLOOKUP($C736,Datensammler!$B:$AA,18,0),)</f>
        <v/>
      </c>
      <c r="H737" s="179" t="str">
        <f>IFERROR(VLOOKUP($C736,Datensammler!$B:$AA,19,0),)</f>
        <v/>
      </c>
      <c r="I737" s="179" t="str">
        <f>IFERROR(VLOOKUP($C736,Datensammler!$B:$AA,20,0),)</f>
        <v/>
      </c>
      <c r="J737" s="180">
        <f t="shared" si="243"/>
        <v>0</v>
      </c>
      <c r="K737" s="181"/>
      <c r="L737" s="181"/>
      <c r="M737" s="181"/>
      <c r="N737" s="182"/>
      <c r="T737" s="172"/>
    </row>
    <row r="738" ht="17.25" customHeight="1">
      <c r="A738" s="212"/>
      <c r="B738" s="183"/>
      <c r="C738" s="184" t="str">
        <f>IF(VLOOKUP(T736,Spieler!A:F,6,0)="Nein","keine Bayerische Meisterschaft gewünscht","")</f>
        <v>#N/A</v>
      </c>
      <c r="D738" s="161"/>
      <c r="E738" s="170"/>
      <c r="F738" s="170"/>
      <c r="G738" s="185" t="s">
        <v>2562</v>
      </c>
      <c r="H738" s="186"/>
      <c r="I738" s="186"/>
      <c r="J738" s="186"/>
      <c r="K738" s="186"/>
      <c r="L738" s="187">
        <f t="shared" ref="L738:M738" si="244">SUM(L735:L737)</f>
        <v>0</v>
      </c>
      <c r="M738" s="110">
        <f t="shared" si="244"/>
        <v>0</v>
      </c>
      <c r="N738" s="188" t="str">
        <f>L738/M738</f>
        <v>#DIV/0!</v>
      </c>
      <c r="T738" s="189"/>
    </row>
    <row r="739" ht="17.25" customHeight="1">
      <c r="A739" s="212"/>
      <c r="B739" s="190"/>
      <c r="C739" s="178"/>
      <c r="D739" s="191"/>
      <c r="E739" s="191"/>
      <c r="F739" s="191"/>
      <c r="G739" s="191"/>
      <c r="H739" s="191"/>
      <c r="I739" s="191"/>
      <c r="J739" s="191"/>
      <c r="K739" s="191"/>
      <c r="L739" s="192"/>
      <c r="M739" s="191"/>
      <c r="N739" s="193"/>
      <c r="T739" s="194"/>
    </row>
    <row r="740" ht="17.25" customHeight="1">
      <c r="A740" s="212"/>
      <c r="B740" s="157">
        <f>B734+1</f>
        <v>123</v>
      </c>
      <c r="C740" s="158"/>
      <c r="D740" s="159" t="str">
        <f>VLOOKUP(C742,'Mitglieder BBU'!A:J,6,0)</f>
        <v>#N/A</v>
      </c>
      <c r="E740" s="60"/>
      <c r="F740" s="60"/>
      <c r="G740" s="60"/>
      <c r="H740" s="60"/>
      <c r="I740" s="61"/>
      <c r="J740" s="160"/>
      <c r="K740" s="161"/>
      <c r="L740" s="162"/>
      <c r="M740" s="163"/>
      <c r="N740" s="164"/>
      <c r="T740" s="165"/>
    </row>
    <row r="741" ht="17.25" customHeight="1">
      <c r="A741" s="212"/>
      <c r="B741" s="167"/>
      <c r="C741" s="168" t="str">
        <f>VLOOKUP(C742,'Mitglieder BBU'!A:J,6,0)</f>
        <v>#N/A</v>
      </c>
      <c r="D741" s="110" t="str">
        <f>IFERROR(VLOOKUP($C742,Datensammler!$B:$AA,3,0),)</f>
        <v/>
      </c>
      <c r="E741" s="110" t="str">
        <f>IFERROR(VLOOKUP($C742,Datensammler!$B:$AA,4,0),)</f>
        <v/>
      </c>
      <c r="F741" s="110" t="str">
        <f>IFERROR(VLOOKUP($C742,Datensammler!$B:$AA,5,0),)</f>
        <v/>
      </c>
      <c r="G741" s="110" t="str">
        <f>IFERROR(VLOOKUP($C742,Datensammler!$B:$AA,6,0),)</f>
        <v/>
      </c>
      <c r="H741" s="110" t="str">
        <f>IFERROR(VLOOKUP($C742,Datensammler!$B:$AA,7,0),)</f>
        <v/>
      </c>
      <c r="I741" s="110" t="str">
        <f>IFERROR(VLOOKUP($C742,Datensammler!$B:$AA,8,0),)</f>
        <v/>
      </c>
      <c r="J741" s="169">
        <f t="shared" ref="J741:J743" si="245">SUM(D741:I741)</f>
        <v>0</v>
      </c>
      <c r="K741" s="170" t="str">
        <f>IFERROR(VLOOKUP($C742,Datensammler!$B:$AA,23,0),)</f>
        <v/>
      </c>
      <c r="L741" s="161" t="str">
        <f>IFERROR(VLOOKUP($C742,Datensammler!$B:$AA,24,0),)</f>
        <v/>
      </c>
      <c r="M741" s="170" t="str">
        <f>IFERROR(VLOOKUP($C742,Datensammler!$B:$AA,25,0),)</f>
        <v/>
      </c>
      <c r="N741" s="171" t="str">
        <f>IF(C742=0,"",(VLOOKUP($C742,Datensammler!$B:$AA,26,0)))</f>
        <v>#N/A</v>
      </c>
      <c r="T741" s="172"/>
    </row>
    <row r="742" ht="17.25" customHeight="1">
      <c r="A742" s="212"/>
      <c r="B742" s="174"/>
      <c r="C742" s="175" t="str">
        <f>VLOOKUP(T742,Spieler!A:E,2,0)</f>
        <v>#N/A</v>
      </c>
      <c r="D742" s="170" t="str">
        <f>IFERROR(VLOOKUP($C742,Datensammler!$B:$AA,9,0),)</f>
        <v/>
      </c>
      <c r="E742" s="170" t="str">
        <f>IFERROR(VLOOKUP($C742,Datensammler!$B:$AA,10,0),)</f>
        <v/>
      </c>
      <c r="F742" s="170" t="str">
        <f>IFERROR(VLOOKUP($C742,Datensammler!$B:$AA,11,0),)</f>
        <v/>
      </c>
      <c r="G742" s="170" t="str">
        <f>IFERROR(VLOOKUP($C742,Datensammler!$B:$AA,12,0),)</f>
        <v/>
      </c>
      <c r="H742" s="170" t="str">
        <f>IFERROR(VLOOKUP($C742,Datensammler!$B:$AA,13,0),)</f>
        <v/>
      </c>
      <c r="I742" s="170" t="str">
        <f>IFERROR(VLOOKUP($C742,Datensammler!$B:$AA,14,0),)</f>
        <v/>
      </c>
      <c r="J742" s="169">
        <f t="shared" si="245"/>
        <v>0</v>
      </c>
      <c r="N742" s="176"/>
      <c r="T742" s="177" t="str">
        <f t="array" ref="T742">INDIRECT("Spieler!AD"&amp;B740+5)</f>
        <v/>
      </c>
    </row>
    <row r="743" ht="17.25" customHeight="1">
      <c r="A743" s="212"/>
      <c r="B743" s="167"/>
      <c r="C743" s="178" t="str">
        <f>VLOOKUP(C742,'Mitglieder BBU'!A:K,8,0)</f>
        <v>#N/A</v>
      </c>
      <c r="D743" s="179" t="str">
        <f>IFERROR(VLOOKUP($C742,Datensammler!$B:$AA,15,0),)</f>
        <v/>
      </c>
      <c r="E743" s="179" t="str">
        <f>IFERROR(VLOOKUP($C742,Datensammler!$B:$AA,16,0),)</f>
        <v/>
      </c>
      <c r="F743" s="179" t="str">
        <f>IFERROR(VLOOKUP($C742,Datensammler!$B:$AA,17,0),)</f>
        <v/>
      </c>
      <c r="G743" s="179" t="str">
        <f>IFERROR(VLOOKUP($C742,Datensammler!$B:$AA,18,0),)</f>
        <v/>
      </c>
      <c r="H743" s="179" t="str">
        <f>IFERROR(VLOOKUP($C742,Datensammler!$B:$AA,19,0),)</f>
        <v/>
      </c>
      <c r="I743" s="179" t="str">
        <f>IFERROR(VLOOKUP($C742,Datensammler!$B:$AA,20,0),)</f>
        <v/>
      </c>
      <c r="J743" s="180">
        <f t="shared" si="245"/>
        <v>0</v>
      </c>
      <c r="K743" s="181"/>
      <c r="L743" s="181"/>
      <c r="M743" s="181"/>
      <c r="N743" s="182"/>
      <c r="T743" s="172"/>
    </row>
    <row r="744" ht="17.25" customHeight="1">
      <c r="A744" s="212"/>
      <c r="B744" s="183"/>
      <c r="C744" s="184" t="str">
        <f>IF(VLOOKUP(T742,Spieler!A:F,6,0)="Nein","keine Bayerische Meisterschaft gewünscht","")</f>
        <v>#N/A</v>
      </c>
      <c r="D744" s="161"/>
      <c r="E744" s="170"/>
      <c r="F744" s="170"/>
      <c r="G744" s="185" t="s">
        <v>2562</v>
      </c>
      <c r="H744" s="186"/>
      <c r="I744" s="186"/>
      <c r="J744" s="186"/>
      <c r="K744" s="186"/>
      <c r="L744" s="187">
        <f t="shared" ref="L744:M744" si="246">SUM(L741:L743)</f>
        <v>0</v>
      </c>
      <c r="M744" s="110">
        <f t="shared" si="246"/>
        <v>0</v>
      </c>
      <c r="N744" s="188" t="str">
        <f>L744/M744</f>
        <v>#DIV/0!</v>
      </c>
      <c r="T744" s="189"/>
    </row>
    <row r="745" ht="17.25" customHeight="1">
      <c r="A745" s="212"/>
      <c r="B745" s="190"/>
      <c r="C745" s="178"/>
      <c r="D745" s="191"/>
      <c r="E745" s="191"/>
      <c r="F745" s="191"/>
      <c r="G745" s="191"/>
      <c r="H745" s="191"/>
      <c r="I745" s="191"/>
      <c r="J745" s="191"/>
      <c r="K745" s="191"/>
      <c r="L745" s="192"/>
      <c r="M745" s="191"/>
      <c r="N745" s="193"/>
      <c r="T745" s="194"/>
    </row>
    <row r="746" ht="17.25" customHeight="1">
      <c r="A746" s="212"/>
      <c r="B746" s="157">
        <f>B740+1</f>
        <v>124</v>
      </c>
      <c r="C746" s="158"/>
      <c r="D746" s="159" t="str">
        <f>VLOOKUP(C748,'Mitglieder BBU'!A:J,6,0)</f>
        <v>#N/A</v>
      </c>
      <c r="E746" s="60"/>
      <c r="F746" s="60"/>
      <c r="G746" s="60"/>
      <c r="H746" s="60"/>
      <c r="I746" s="61"/>
      <c r="J746" s="160"/>
      <c r="K746" s="161"/>
      <c r="L746" s="162"/>
      <c r="M746" s="163"/>
      <c r="N746" s="164"/>
      <c r="T746" s="165"/>
    </row>
    <row r="747" ht="17.25" customHeight="1">
      <c r="A747" s="212"/>
      <c r="B747" s="167"/>
      <c r="C747" s="168" t="str">
        <f>VLOOKUP(C748,'Mitglieder BBU'!A:J,6,0)</f>
        <v>#N/A</v>
      </c>
      <c r="D747" s="110" t="str">
        <f>IFERROR(VLOOKUP($C748,Datensammler!$B:$AA,3,0),)</f>
        <v/>
      </c>
      <c r="E747" s="110" t="str">
        <f>IFERROR(VLOOKUP($C748,Datensammler!$B:$AA,4,0),)</f>
        <v/>
      </c>
      <c r="F747" s="110" t="str">
        <f>IFERROR(VLOOKUP($C748,Datensammler!$B:$AA,5,0),)</f>
        <v/>
      </c>
      <c r="G747" s="110" t="str">
        <f>IFERROR(VLOOKUP($C748,Datensammler!$B:$AA,6,0),)</f>
        <v/>
      </c>
      <c r="H747" s="110" t="str">
        <f>IFERROR(VLOOKUP($C748,Datensammler!$B:$AA,7,0),)</f>
        <v/>
      </c>
      <c r="I747" s="110" t="str">
        <f>IFERROR(VLOOKUP($C748,Datensammler!$B:$AA,8,0),)</f>
        <v/>
      </c>
      <c r="J747" s="169">
        <f t="shared" ref="J747:J749" si="247">SUM(D747:I747)</f>
        <v>0</v>
      </c>
      <c r="K747" s="170" t="str">
        <f>IFERROR(VLOOKUP($C748,Datensammler!$B:$AA,23,0),)</f>
        <v/>
      </c>
      <c r="L747" s="161" t="str">
        <f>IFERROR(VLOOKUP($C748,Datensammler!$B:$AA,24,0),)</f>
        <v/>
      </c>
      <c r="M747" s="170" t="str">
        <f>IFERROR(VLOOKUP($C748,Datensammler!$B:$AA,25,0),)</f>
        <v/>
      </c>
      <c r="N747" s="171" t="str">
        <f>IF(C748=0,"",(VLOOKUP($C748,Datensammler!$B:$AA,26,0)))</f>
        <v>#N/A</v>
      </c>
      <c r="T747" s="172"/>
    </row>
    <row r="748" ht="17.25" customHeight="1">
      <c r="A748" s="212"/>
      <c r="B748" s="174"/>
      <c r="C748" s="175" t="str">
        <f>VLOOKUP(T748,Spieler!A:E,2,0)</f>
        <v>#N/A</v>
      </c>
      <c r="D748" s="170" t="str">
        <f>IFERROR(VLOOKUP($C748,Datensammler!$B:$AA,9,0),)</f>
        <v/>
      </c>
      <c r="E748" s="170" t="str">
        <f>IFERROR(VLOOKUP($C748,Datensammler!$B:$AA,10,0),)</f>
        <v/>
      </c>
      <c r="F748" s="170" t="str">
        <f>IFERROR(VLOOKUP($C748,Datensammler!$B:$AA,11,0),)</f>
        <v/>
      </c>
      <c r="G748" s="170" t="str">
        <f>IFERROR(VLOOKUP($C748,Datensammler!$B:$AA,12,0),)</f>
        <v/>
      </c>
      <c r="H748" s="170" t="str">
        <f>IFERROR(VLOOKUP($C748,Datensammler!$B:$AA,13,0),)</f>
        <v/>
      </c>
      <c r="I748" s="170" t="str">
        <f>IFERROR(VLOOKUP($C748,Datensammler!$B:$AA,14,0),)</f>
        <v/>
      </c>
      <c r="J748" s="169">
        <f t="shared" si="247"/>
        <v>0</v>
      </c>
      <c r="N748" s="176"/>
      <c r="T748" s="177" t="str">
        <f t="array" ref="T748">INDIRECT("Spieler!AD"&amp;B746+5)</f>
        <v/>
      </c>
    </row>
    <row r="749" ht="17.25" customHeight="1">
      <c r="A749" s="212"/>
      <c r="B749" s="167"/>
      <c r="C749" s="178" t="str">
        <f>VLOOKUP(C748,'Mitglieder BBU'!A:K,8,0)</f>
        <v>#N/A</v>
      </c>
      <c r="D749" s="179" t="str">
        <f>IFERROR(VLOOKUP($C748,Datensammler!$B:$AA,15,0),)</f>
        <v/>
      </c>
      <c r="E749" s="179" t="str">
        <f>IFERROR(VLOOKUP($C748,Datensammler!$B:$AA,16,0),)</f>
        <v/>
      </c>
      <c r="F749" s="179" t="str">
        <f>IFERROR(VLOOKUP($C748,Datensammler!$B:$AA,17,0),)</f>
        <v/>
      </c>
      <c r="G749" s="179" t="str">
        <f>IFERROR(VLOOKUP($C748,Datensammler!$B:$AA,18,0),)</f>
        <v/>
      </c>
      <c r="H749" s="179" t="str">
        <f>IFERROR(VLOOKUP($C748,Datensammler!$B:$AA,19,0),)</f>
        <v/>
      </c>
      <c r="I749" s="179" t="str">
        <f>IFERROR(VLOOKUP($C748,Datensammler!$B:$AA,20,0),)</f>
        <v/>
      </c>
      <c r="J749" s="180">
        <f t="shared" si="247"/>
        <v>0</v>
      </c>
      <c r="K749" s="181"/>
      <c r="L749" s="181"/>
      <c r="M749" s="181"/>
      <c r="N749" s="182"/>
      <c r="T749" s="172"/>
    </row>
    <row r="750" ht="17.25" customHeight="1">
      <c r="A750" s="212"/>
      <c r="B750" s="183"/>
      <c r="C750" s="184" t="str">
        <f>IF(VLOOKUP(T748,Spieler!A:F,6,0)="Nein","keine Bayerische Meisterschaft gewünscht","")</f>
        <v>#N/A</v>
      </c>
      <c r="D750" s="161"/>
      <c r="E750" s="170"/>
      <c r="F750" s="170"/>
      <c r="G750" s="185" t="s">
        <v>2562</v>
      </c>
      <c r="H750" s="186"/>
      <c r="I750" s="186"/>
      <c r="J750" s="186"/>
      <c r="K750" s="186"/>
      <c r="L750" s="187">
        <f t="shared" ref="L750:M750" si="248">SUM(L747:L749)</f>
        <v>0</v>
      </c>
      <c r="M750" s="110">
        <f t="shared" si="248"/>
        <v>0</v>
      </c>
      <c r="N750" s="188" t="str">
        <f>L750/M750</f>
        <v>#DIV/0!</v>
      </c>
      <c r="T750" s="189"/>
    </row>
    <row r="751" ht="17.25" customHeight="1">
      <c r="A751" s="212"/>
      <c r="B751" s="190"/>
      <c r="C751" s="178"/>
      <c r="D751" s="191"/>
      <c r="E751" s="191"/>
      <c r="F751" s="191"/>
      <c r="G751" s="191"/>
      <c r="H751" s="191"/>
      <c r="I751" s="191"/>
      <c r="J751" s="191"/>
      <c r="K751" s="191"/>
      <c r="L751" s="192"/>
      <c r="M751" s="191"/>
      <c r="N751" s="193"/>
      <c r="T751" s="194"/>
    </row>
    <row r="752" ht="17.25" customHeight="1">
      <c r="A752" s="212"/>
      <c r="B752" s="157">
        <f>B746+1</f>
        <v>125</v>
      </c>
      <c r="C752" s="158"/>
      <c r="D752" s="159" t="str">
        <f>VLOOKUP(C754,'Mitglieder BBU'!A:J,6,0)</f>
        <v>#N/A</v>
      </c>
      <c r="E752" s="60"/>
      <c r="F752" s="60"/>
      <c r="G752" s="60"/>
      <c r="H752" s="60"/>
      <c r="I752" s="61"/>
      <c r="J752" s="160"/>
      <c r="K752" s="161"/>
      <c r="L752" s="162"/>
      <c r="M752" s="163"/>
      <c r="N752" s="164"/>
      <c r="T752" s="165"/>
    </row>
    <row r="753" ht="21.0" customHeight="1">
      <c r="A753" s="212"/>
      <c r="B753" s="167"/>
      <c r="C753" s="168" t="str">
        <f>VLOOKUP(C754,'Mitglieder BBU'!A:J,6,0)</f>
        <v>#N/A</v>
      </c>
      <c r="D753" s="110" t="str">
        <f>IFERROR(VLOOKUP($C754,Datensammler!$B:$AA,3,0),)</f>
        <v/>
      </c>
      <c r="E753" s="110" t="str">
        <f>IFERROR(VLOOKUP($C754,Datensammler!$B:$AA,4,0),)</f>
        <v/>
      </c>
      <c r="F753" s="110" t="str">
        <f>IFERROR(VLOOKUP($C754,Datensammler!$B:$AA,5,0),)</f>
        <v/>
      </c>
      <c r="G753" s="110" t="str">
        <f>IFERROR(VLOOKUP($C754,Datensammler!$B:$AA,6,0),)</f>
        <v/>
      </c>
      <c r="H753" s="110" t="str">
        <f>IFERROR(VLOOKUP($C754,Datensammler!$B:$AA,7,0),)</f>
        <v/>
      </c>
      <c r="I753" s="110" t="str">
        <f>IFERROR(VLOOKUP($C754,Datensammler!$B:$AA,8,0),)</f>
        <v/>
      </c>
      <c r="J753" s="169">
        <f t="shared" ref="J753:J755" si="249">SUM(D753:I753)</f>
        <v>0</v>
      </c>
      <c r="K753" s="170" t="str">
        <f>IFERROR(VLOOKUP($C754,Datensammler!$B:$AA,23,0),)</f>
        <v/>
      </c>
      <c r="L753" s="161" t="str">
        <f>IFERROR(VLOOKUP($C754,Datensammler!$B:$AA,24,0),)</f>
        <v/>
      </c>
      <c r="M753" s="170" t="str">
        <f>IFERROR(VLOOKUP($C754,Datensammler!$B:$AA,25,0),)</f>
        <v/>
      </c>
      <c r="N753" s="171" t="str">
        <f>IF(C754=0,"",(VLOOKUP($C754,Datensammler!$B:$AA,26,0)))</f>
        <v>#N/A</v>
      </c>
      <c r="T753" s="172"/>
    </row>
    <row r="754" ht="21.0" customHeight="1">
      <c r="A754" s="212"/>
      <c r="B754" s="174"/>
      <c r="C754" s="175" t="str">
        <f>VLOOKUP(T754,Spieler!A:E,2,0)</f>
        <v>#N/A</v>
      </c>
      <c r="D754" s="170" t="str">
        <f>IFERROR(VLOOKUP($C754,Datensammler!$B:$AA,9,0),)</f>
        <v/>
      </c>
      <c r="E754" s="170" t="str">
        <f>IFERROR(VLOOKUP($C754,Datensammler!$B:$AA,10,0),)</f>
        <v/>
      </c>
      <c r="F754" s="170" t="str">
        <f>IFERROR(VLOOKUP($C754,Datensammler!$B:$AA,11,0),)</f>
        <v/>
      </c>
      <c r="G754" s="170" t="str">
        <f>IFERROR(VLOOKUP($C754,Datensammler!$B:$AA,12,0),)</f>
        <v/>
      </c>
      <c r="H754" s="170" t="str">
        <f>IFERROR(VLOOKUP($C754,Datensammler!$B:$AA,13,0),)</f>
        <v/>
      </c>
      <c r="I754" s="170" t="str">
        <f>IFERROR(VLOOKUP($C754,Datensammler!$B:$AA,14,0),)</f>
        <v/>
      </c>
      <c r="J754" s="169">
        <f t="shared" si="249"/>
        <v>0</v>
      </c>
      <c r="N754" s="176"/>
      <c r="T754" s="177" t="str">
        <f t="array" ref="T754">INDIRECT("Spieler!AD"&amp;B752+5)</f>
        <v/>
      </c>
    </row>
    <row r="755" ht="21.0" customHeight="1">
      <c r="A755" s="212"/>
      <c r="B755" s="167"/>
      <c r="C755" s="178" t="str">
        <f>VLOOKUP(C754,'Mitglieder BBU'!A:K,8,0)</f>
        <v>#N/A</v>
      </c>
      <c r="D755" s="179" t="str">
        <f>IFERROR(VLOOKUP($C754,Datensammler!$B:$AA,15,0),)</f>
        <v/>
      </c>
      <c r="E755" s="179" t="str">
        <f>IFERROR(VLOOKUP($C754,Datensammler!$B:$AA,16,0),)</f>
        <v/>
      </c>
      <c r="F755" s="179" t="str">
        <f>IFERROR(VLOOKUP($C754,Datensammler!$B:$AA,17,0),)</f>
        <v/>
      </c>
      <c r="G755" s="179" t="str">
        <f>IFERROR(VLOOKUP($C754,Datensammler!$B:$AA,18,0),)</f>
        <v/>
      </c>
      <c r="H755" s="179" t="str">
        <f>IFERROR(VLOOKUP($C754,Datensammler!$B:$AA,19,0),)</f>
        <v/>
      </c>
      <c r="I755" s="179" t="str">
        <f>IFERROR(VLOOKUP($C754,Datensammler!$B:$AA,20,0),)</f>
        <v/>
      </c>
      <c r="J755" s="180">
        <f t="shared" si="249"/>
        <v>0</v>
      </c>
      <c r="K755" s="181"/>
      <c r="L755" s="181"/>
      <c r="M755" s="181"/>
      <c r="N755" s="182"/>
      <c r="T755" s="172"/>
    </row>
    <row r="756" ht="21.0" customHeight="1">
      <c r="A756" s="212"/>
      <c r="B756" s="183"/>
      <c r="C756" s="184" t="str">
        <f>IF(VLOOKUP(T754,Spieler!A:F,6,0)="Nein","keine Bayerische Meisterschaft gewünscht","")</f>
        <v>#N/A</v>
      </c>
      <c r="D756" s="161"/>
      <c r="E756" s="170"/>
      <c r="F756" s="170"/>
      <c r="G756" s="185" t="s">
        <v>2562</v>
      </c>
      <c r="H756" s="186"/>
      <c r="I756" s="186"/>
      <c r="J756" s="186"/>
      <c r="K756" s="186"/>
      <c r="L756" s="187">
        <f t="shared" ref="L756:M756" si="250">SUM(L753:L755)</f>
        <v>0</v>
      </c>
      <c r="M756" s="110">
        <f t="shared" si="250"/>
        <v>0</v>
      </c>
      <c r="N756" s="188" t="str">
        <f>L756/M756</f>
        <v>#DIV/0!</v>
      </c>
      <c r="T756" s="189"/>
    </row>
    <row r="757" ht="21.0" customHeight="1">
      <c r="A757" s="212"/>
      <c r="B757" s="190"/>
      <c r="C757" s="178"/>
      <c r="D757" s="191"/>
      <c r="E757" s="191"/>
      <c r="F757" s="191"/>
      <c r="G757" s="191"/>
      <c r="H757" s="191"/>
      <c r="I757" s="191"/>
      <c r="J757" s="191"/>
      <c r="K757" s="110"/>
      <c r="L757" s="187"/>
      <c r="M757" s="110"/>
      <c r="N757" s="188"/>
      <c r="T757" s="194"/>
    </row>
    <row r="758" ht="21.0" customHeight="1">
      <c r="A758" s="212"/>
      <c r="B758" s="157">
        <f>B752+1</f>
        <v>126</v>
      </c>
      <c r="C758" s="158"/>
      <c r="D758" s="159" t="str">
        <f>VLOOKUP(C760,'Mitglieder BBU'!A:J,6,0)</f>
        <v>#N/A</v>
      </c>
      <c r="E758" s="60"/>
      <c r="F758" s="60"/>
      <c r="G758" s="60"/>
      <c r="H758" s="60"/>
      <c r="I758" s="61"/>
      <c r="J758" s="160"/>
      <c r="K758" s="161"/>
      <c r="L758" s="162"/>
      <c r="M758" s="163"/>
      <c r="N758" s="164"/>
      <c r="T758" s="165"/>
    </row>
    <row r="759" ht="21.0" customHeight="1">
      <c r="A759" s="212"/>
      <c r="B759" s="167"/>
      <c r="C759" s="168" t="str">
        <f>VLOOKUP(C760,'Mitglieder BBU'!A:J,6,0)</f>
        <v>#N/A</v>
      </c>
      <c r="D759" s="110" t="str">
        <f>IFERROR(VLOOKUP($C760,Datensammler!$B:$AA,3,0),)</f>
        <v/>
      </c>
      <c r="E759" s="110" t="str">
        <f>IFERROR(VLOOKUP($C760,Datensammler!$B:$AA,4,0),)</f>
        <v/>
      </c>
      <c r="F759" s="110" t="str">
        <f>IFERROR(VLOOKUP($C760,Datensammler!$B:$AA,5,0),)</f>
        <v/>
      </c>
      <c r="G759" s="110" t="str">
        <f>IFERROR(VLOOKUP($C760,Datensammler!$B:$AA,6,0),)</f>
        <v/>
      </c>
      <c r="H759" s="110" t="str">
        <f>IFERROR(VLOOKUP($C760,Datensammler!$B:$AA,7,0),)</f>
        <v/>
      </c>
      <c r="I759" s="110" t="str">
        <f>IFERROR(VLOOKUP($C760,Datensammler!$B:$AA,8,0),)</f>
        <v/>
      </c>
      <c r="J759" s="169">
        <f t="shared" ref="J759:J761" si="251">SUM(D759:I759)</f>
        <v>0</v>
      </c>
      <c r="K759" s="170" t="str">
        <f>IFERROR(VLOOKUP($C760,Datensammler!$B:$AA,23,0),)</f>
        <v/>
      </c>
      <c r="L759" s="161" t="str">
        <f>IFERROR(VLOOKUP($C760,Datensammler!$B:$AA,24,0),)</f>
        <v/>
      </c>
      <c r="M759" s="170" t="str">
        <f>IFERROR(VLOOKUP($C760,Datensammler!$B:$AA,25,0),)</f>
        <v/>
      </c>
      <c r="N759" s="171" t="str">
        <f>IF(C760=0,"",(VLOOKUP($C760,Datensammler!$B:$AA,26,0)))</f>
        <v>#N/A</v>
      </c>
      <c r="T759" s="172"/>
    </row>
    <row r="760" ht="21.0" customHeight="1">
      <c r="A760" s="212"/>
      <c r="B760" s="174"/>
      <c r="C760" s="175" t="str">
        <f>VLOOKUP(T760,Spieler!A:E,2,0)</f>
        <v>#N/A</v>
      </c>
      <c r="D760" s="170" t="str">
        <f>IFERROR(VLOOKUP($C760,Datensammler!$B:$AA,9,0),)</f>
        <v/>
      </c>
      <c r="E760" s="170" t="str">
        <f>IFERROR(VLOOKUP($C760,Datensammler!$B:$AA,10,0),)</f>
        <v/>
      </c>
      <c r="F760" s="170" t="str">
        <f>IFERROR(VLOOKUP($C760,Datensammler!$B:$AA,11,0),)</f>
        <v/>
      </c>
      <c r="G760" s="170" t="str">
        <f>IFERROR(VLOOKUP($C760,Datensammler!$B:$AA,12,0),)</f>
        <v/>
      </c>
      <c r="H760" s="170" t="str">
        <f>IFERROR(VLOOKUP($C760,Datensammler!$B:$AA,13,0),)</f>
        <v/>
      </c>
      <c r="I760" s="170" t="str">
        <f>IFERROR(VLOOKUP($C760,Datensammler!$B:$AA,14,0),)</f>
        <v/>
      </c>
      <c r="J760" s="169">
        <f t="shared" si="251"/>
        <v>0</v>
      </c>
      <c r="N760" s="176"/>
      <c r="T760" s="177" t="str">
        <f t="array" ref="T760">INDIRECT("Spieler!AD"&amp;B758+5)</f>
        <v/>
      </c>
    </row>
    <row r="761" ht="21.0" customHeight="1">
      <c r="A761" s="212"/>
      <c r="B761" s="167"/>
      <c r="C761" s="178" t="str">
        <f>VLOOKUP(C760,'Mitglieder BBU'!A:K,8,0)</f>
        <v>#N/A</v>
      </c>
      <c r="D761" s="179" t="str">
        <f>IFERROR(VLOOKUP($C760,Datensammler!$B:$AA,15,0),)</f>
        <v/>
      </c>
      <c r="E761" s="179" t="str">
        <f>IFERROR(VLOOKUP($C760,Datensammler!$B:$AA,16,0),)</f>
        <v/>
      </c>
      <c r="F761" s="179" t="str">
        <f>IFERROR(VLOOKUP($C760,Datensammler!$B:$AA,17,0),)</f>
        <v/>
      </c>
      <c r="G761" s="179" t="str">
        <f>IFERROR(VLOOKUP($C760,Datensammler!$B:$AA,18,0),)</f>
        <v/>
      </c>
      <c r="H761" s="179" t="str">
        <f>IFERROR(VLOOKUP($C760,Datensammler!$B:$AA,19,0),)</f>
        <v/>
      </c>
      <c r="I761" s="179" t="str">
        <f>IFERROR(VLOOKUP($C760,Datensammler!$B:$AA,20,0),)</f>
        <v/>
      </c>
      <c r="J761" s="180">
        <f t="shared" si="251"/>
        <v>0</v>
      </c>
      <c r="K761" s="181"/>
      <c r="L761" s="181"/>
      <c r="M761" s="181"/>
      <c r="N761" s="182"/>
      <c r="T761" s="172"/>
    </row>
    <row r="762" ht="21.0" customHeight="1">
      <c r="A762" s="212"/>
      <c r="B762" s="183"/>
      <c r="C762" s="184" t="str">
        <f>IF(VLOOKUP(T760,Spieler!A:F,6,0)="Nein","keine Bayerische Meisterschaft gewünscht","")</f>
        <v>#N/A</v>
      </c>
      <c r="D762" s="161"/>
      <c r="E762" s="170"/>
      <c r="F762" s="170"/>
      <c r="G762" s="185" t="s">
        <v>2562</v>
      </c>
      <c r="H762" s="186"/>
      <c r="I762" s="186"/>
      <c r="J762" s="186"/>
      <c r="K762" s="186"/>
      <c r="L762" s="187">
        <f t="shared" ref="L762:M762" si="252">SUM(L759:L761)</f>
        <v>0</v>
      </c>
      <c r="M762" s="110">
        <f t="shared" si="252"/>
        <v>0</v>
      </c>
      <c r="N762" s="188" t="str">
        <f>L762/M762</f>
        <v>#DIV/0!</v>
      </c>
      <c r="T762" s="189"/>
    </row>
    <row r="763" ht="21.0" customHeight="1">
      <c r="A763" s="212"/>
      <c r="B763" s="190"/>
      <c r="C763" s="178"/>
      <c r="D763" s="191"/>
      <c r="E763" s="191"/>
      <c r="F763" s="191"/>
      <c r="G763" s="191"/>
      <c r="H763" s="191"/>
      <c r="I763" s="191"/>
      <c r="J763" s="191"/>
      <c r="K763" s="191"/>
      <c r="L763" s="192"/>
      <c r="M763" s="191"/>
      <c r="N763" s="193"/>
      <c r="T763" s="194"/>
    </row>
    <row r="764" ht="21.0" customHeight="1">
      <c r="A764" s="212"/>
      <c r="B764" s="157">
        <f>B758+1</f>
        <v>127</v>
      </c>
      <c r="C764" s="158"/>
      <c r="D764" s="159" t="str">
        <f>VLOOKUP(C766,'Mitglieder BBU'!A:J,6,0)</f>
        <v>#N/A</v>
      </c>
      <c r="E764" s="60"/>
      <c r="F764" s="60"/>
      <c r="G764" s="60"/>
      <c r="H764" s="60"/>
      <c r="I764" s="61"/>
      <c r="J764" s="160"/>
      <c r="K764" s="161"/>
      <c r="L764" s="162"/>
      <c r="M764" s="163"/>
      <c r="N764" s="164"/>
      <c r="T764" s="165"/>
    </row>
    <row r="765" ht="21.0" customHeight="1">
      <c r="A765" s="212"/>
      <c r="B765" s="167"/>
      <c r="C765" s="168" t="str">
        <f>VLOOKUP(C766,'Mitglieder BBU'!A:J,6,0)</f>
        <v>#N/A</v>
      </c>
      <c r="D765" s="110" t="str">
        <f>IFERROR(VLOOKUP($C766,Datensammler!$B:$AA,3,0),)</f>
        <v/>
      </c>
      <c r="E765" s="110" t="str">
        <f>IFERROR(VLOOKUP($C766,Datensammler!$B:$AA,4,0),)</f>
        <v/>
      </c>
      <c r="F765" s="110" t="str">
        <f>IFERROR(VLOOKUP($C766,Datensammler!$B:$AA,5,0),)</f>
        <v/>
      </c>
      <c r="G765" s="110" t="str">
        <f>IFERROR(VLOOKUP($C766,Datensammler!$B:$AA,6,0),)</f>
        <v/>
      </c>
      <c r="H765" s="110" t="str">
        <f>IFERROR(VLOOKUP($C766,Datensammler!$B:$AA,7,0),)</f>
        <v/>
      </c>
      <c r="I765" s="110" t="str">
        <f>IFERROR(VLOOKUP($C766,Datensammler!$B:$AA,8,0),)</f>
        <v/>
      </c>
      <c r="J765" s="169">
        <f t="shared" ref="J765:J767" si="253">SUM(D765:I765)</f>
        <v>0</v>
      </c>
      <c r="K765" s="170" t="str">
        <f>IFERROR(VLOOKUP($C766,Datensammler!$B:$AA,23,0),)</f>
        <v/>
      </c>
      <c r="L765" s="161" t="str">
        <f>IFERROR(VLOOKUP($C766,Datensammler!$B:$AA,24,0),)</f>
        <v/>
      </c>
      <c r="M765" s="170" t="str">
        <f>IFERROR(VLOOKUP($C766,Datensammler!$B:$AA,25,0),)</f>
        <v/>
      </c>
      <c r="N765" s="171" t="str">
        <f>IF(C766=0,"",(VLOOKUP($C766,Datensammler!$B:$AA,26,0)))</f>
        <v>#N/A</v>
      </c>
      <c r="T765" s="172"/>
    </row>
    <row r="766" ht="21.0" customHeight="1">
      <c r="A766" s="212"/>
      <c r="B766" s="174"/>
      <c r="C766" s="175" t="str">
        <f>VLOOKUP(T766,Spieler!A:E,2,0)</f>
        <v>#N/A</v>
      </c>
      <c r="D766" s="170" t="str">
        <f>IFERROR(VLOOKUP($C766,Datensammler!$B:$AA,9,0),)</f>
        <v/>
      </c>
      <c r="E766" s="170" t="str">
        <f>IFERROR(VLOOKUP($C766,Datensammler!$B:$AA,10,0),)</f>
        <v/>
      </c>
      <c r="F766" s="170" t="str">
        <f>IFERROR(VLOOKUP($C766,Datensammler!$B:$AA,11,0),)</f>
        <v/>
      </c>
      <c r="G766" s="170" t="str">
        <f>IFERROR(VLOOKUP($C766,Datensammler!$B:$AA,12,0),)</f>
        <v/>
      </c>
      <c r="H766" s="170" t="str">
        <f>IFERROR(VLOOKUP($C766,Datensammler!$B:$AA,13,0),)</f>
        <v/>
      </c>
      <c r="I766" s="170" t="str">
        <f>IFERROR(VLOOKUP($C766,Datensammler!$B:$AA,14,0),)</f>
        <v/>
      </c>
      <c r="J766" s="169">
        <f t="shared" si="253"/>
        <v>0</v>
      </c>
      <c r="N766" s="176"/>
      <c r="T766" s="177" t="str">
        <f t="array" ref="T766">INDIRECT("Spieler!AD"&amp;B764+5)</f>
        <v/>
      </c>
    </row>
    <row r="767" ht="21.0" customHeight="1">
      <c r="A767" s="212"/>
      <c r="B767" s="167"/>
      <c r="C767" s="178" t="str">
        <f>VLOOKUP(C766,'Mitglieder BBU'!A:K,8,0)</f>
        <v>#N/A</v>
      </c>
      <c r="D767" s="179" t="str">
        <f>IFERROR(VLOOKUP($C766,Datensammler!$B:$AA,15,0),)</f>
        <v/>
      </c>
      <c r="E767" s="179" t="str">
        <f>IFERROR(VLOOKUP($C766,Datensammler!$B:$AA,16,0),)</f>
        <v/>
      </c>
      <c r="F767" s="179" t="str">
        <f>IFERROR(VLOOKUP($C766,Datensammler!$B:$AA,17,0),)</f>
        <v/>
      </c>
      <c r="G767" s="179" t="str">
        <f>IFERROR(VLOOKUP($C766,Datensammler!$B:$AA,18,0),)</f>
        <v/>
      </c>
      <c r="H767" s="179" t="str">
        <f>IFERROR(VLOOKUP($C766,Datensammler!$B:$AA,19,0),)</f>
        <v/>
      </c>
      <c r="I767" s="179" t="str">
        <f>IFERROR(VLOOKUP($C766,Datensammler!$B:$AA,20,0),)</f>
        <v/>
      </c>
      <c r="J767" s="180">
        <f t="shared" si="253"/>
        <v>0</v>
      </c>
      <c r="K767" s="181"/>
      <c r="L767" s="181"/>
      <c r="M767" s="181"/>
      <c r="N767" s="182"/>
      <c r="T767" s="172"/>
    </row>
    <row r="768" ht="21.0" customHeight="1">
      <c r="A768" s="212"/>
      <c r="B768" s="183"/>
      <c r="C768" s="184" t="str">
        <f>IF(VLOOKUP(T766,Spieler!A:F,6,0)="Nein","keine Bayerische Meisterschaft gewünscht","")</f>
        <v>#N/A</v>
      </c>
      <c r="D768" s="161"/>
      <c r="E768" s="170"/>
      <c r="F768" s="170"/>
      <c r="G768" s="185" t="s">
        <v>2562</v>
      </c>
      <c r="H768" s="186"/>
      <c r="I768" s="186"/>
      <c r="J768" s="186"/>
      <c r="K768" s="186"/>
      <c r="L768" s="187">
        <f t="shared" ref="L768:M768" si="254">SUM(L765:L767)</f>
        <v>0</v>
      </c>
      <c r="M768" s="110">
        <f t="shared" si="254"/>
        <v>0</v>
      </c>
      <c r="N768" s="188" t="str">
        <f>L768/M768</f>
        <v>#DIV/0!</v>
      </c>
      <c r="T768" s="189"/>
    </row>
    <row r="769" ht="17.25" customHeight="1">
      <c r="A769" s="212"/>
      <c r="B769" s="190"/>
      <c r="C769" s="178"/>
      <c r="D769" s="191"/>
      <c r="E769" s="191"/>
      <c r="F769" s="191"/>
      <c r="G769" s="191"/>
      <c r="H769" s="191"/>
      <c r="I769" s="191"/>
      <c r="J769" s="191"/>
      <c r="K769" s="191"/>
      <c r="L769" s="192"/>
      <c r="M769" s="191"/>
      <c r="N769" s="193"/>
      <c r="T769" s="194"/>
    </row>
    <row r="770" ht="17.25" customHeight="1">
      <c r="A770" s="212"/>
      <c r="B770" s="157">
        <f>B764+1</f>
        <v>128</v>
      </c>
      <c r="C770" s="158"/>
      <c r="D770" s="159" t="str">
        <f>VLOOKUP(C772,'Mitglieder BBU'!A:J,6,0)</f>
        <v>#N/A</v>
      </c>
      <c r="E770" s="60"/>
      <c r="F770" s="60"/>
      <c r="G770" s="60"/>
      <c r="H770" s="60"/>
      <c r="I770" s="61"/>
      <c r="J770" s="160"/>
      <c r="K770" s="161"/>
      <c r="L770" s="162"/>
      <c r="M770" s="163"/>
      <c r="N770" s="164"/>
      <c r="T770" s="165"/>
    </row>
    <row r="771" ht="17.25" customHeight="1">
      <c r="A771" s="212"/>
      <c r="B771" s="167"/>
      <c r="C771" s="168" t="str">
        <f>VLOOKUP(C772,'Mitglieder BBU'!A:J,6,0)</f>
        <v>#N/A</v>
      </c>
      <c r="D771" s="110" t="str">
        <f>IFERROR(VLOOKUP($C772,Datensammler!$B:$AA,3,0),)</f>
        <v/>
      </c>
      <c r="E771" s="110" t="str">
        <f>IFERROR(VLOOKUP($C772,Datensammler!$B:$AA,4,0),)</f>
        <v/>
      </c>
      <c r="F771" s="110" t="str">
        <f>IFERROR(VLOOKUP($C772,Datensammler!$B:$AA,5,0),)</f>
        <v/>
      </c>
      <c r="G771" s="110" t="str">
        <f>IFERROR(VLOOKUP($C772,Datensammler!$B:$AA,6,0),)</f>
        <v/>
      </c>
      <c r="H771" s="110" t="str">
        <f>IFERROR(VLOOKUP($C772,Datensammler!$B:$AA,7,0),)</f>
        <v/>
      </c>
      <c r="I771" s="110" t="str">
        <f>IFERROR(VLOOKUP($C772,Datensammler!$B:$AA,8,0),)</f>
        <v/>
      </c>
      <c r="J771" s="169">
        <f t="shared" ref="J771:J773" si="255">SUM(D771:I771)</f>
        <v>0</v>
      </c>
      <c r="K771" s="170" t="str">
        <f>IFERROR(VLOOKUP($C772,Datensammler!$B:$AA,23,0),)</f>
        <v/>
      </c>
      <c r="L771" s="161" t="str">
        <f>IFERROR(VLOOKUP($C772,Datensammler!$B:$AA,24,0),)</f>
        <v/>
      </c>
      <c r="M771" s="170" t="str">
        <f>IFERROR(VLOOKUP($C772,Datensammler!$B:$AA,25,0),)</f>
        <v/>
      </c>
      <c r="N771" s="171" t="str">
        <f>IF(C772=0,"",(VLOOKUP($C772,Datensammler!$B:$AA,26,0)))</f>
        <v>#N/A</v>
      </c>
      <c r="T771" s="172"/>
    </row>
    <row r="772" ht="17.25" customHeight="1">
      <c r="A772" s="212"/>
      <c r="B772" s="174"/>
      <c r="C772" s="175" t="str">
        <f>VLOOKUP(T772,Spieler!A:E,2,0)</f>
        <v>#N/A</v>
      </c>
      <c r="D772" s="170" t="str">
        <f>IFERROR(VLOOKUP($C772,Datensammler!$B:$AA,9,0),)</f>
        <v/>
      </c>
      <c r="E772" s="170" t="str">
        <f>IFERROR(VLOOKUP($C772,Datensammler!$B:$AA,10,0),)</f>
        <v/>
      </c>
      <c r="F772" s="170" t="str">
        <f>IFERROR(VLOOKUP($C772,Datensammler!$B:$AA,11,0),)</f>
        <v/>
      </c>
      <c r="G772" s="170" t="str">
        <f>IFERROR(VLOOKUP($C772,Datensammler!$B:$AA,12,0),)</f>
        <v/>
      </c>
      <c r="H772" s="170" t="str">
        <f>IFERROR(VLOOKUP($C772,Datensammler!$B:$AA,13,0),)</f>
        <v/>
      </c>
      <c r="I772" s="170" t="str">
        <f>IFERROR(VLOOKUP($C772,Datensammler!$B:$AA,14,0),)</f>
        <v/>
      </c>
      <c r="J772" s="169">
        <f t="shared" si="255"/>
        <v>0</v>
      </c>
      <c r="N772" s="176"/>
      <c r="T772" s="177" t="str">
        <f t="array" ref="T772">INDIRECT("Spieler!AD"&amp;B770+5)</f>
        <v/>
      </c>
    </row>
    <row r="773" ht="17.25" customHeight="1">
      <c r="A773" s="212"/>
      <c r="B773" s="167"/>
      <c r="C773" s="178" t="str">
        <f>VLOOKUP(C772,'Mitglieder BBU'!A:K,8,0)</f>
        <v>#N/A</v>
      </c>
      <c r="D773" s="179" t="str">
        <f>IFERROR(VLOOKUP($C772,Datensammler!$B:$AA,15,0),)</f>
        <v/>
      </c>
      <c r="E773" s="179" t="str">
        <f>IFERROR(VLOOKUP($C772,Datensammler!$B:$AA,16,0),)</f>
        <v/>
      </c>
      <c r="F773" s="179" t="str">
        <f>IFERROR(VLOOKUP($C772,Datensammler!$B:$AA,17,0),)</f>
        <v/>
      </c>
      <c r="G773" s="179" t="str">
        <f>IFERROR(VLOOKUP($C772,Datensammler!$B:$AA,18,0),)</f>
        <v/>
      </c>
      <c r="H773" s="179" t="str">
        <f>IFERROR(VLOOKUP($C772,Datensammler!$B:$AA,19,0),)</f>
        <v/>
      </c>
      <c r="I773" s="179" t="str">
        <f>IFERROR(VLOOKUP($C772,Datensammler!$B:$AA,20,0),)</f>
        <v/>
      </c>
      <c r="J773" s="180">
        <f t="shared" si="255"/>
        <v>0</v>
      </c>
      <c r="K773" s="181"/>
      <c r="L773" s="181"/>
      <c r="M773" s="181"/>
      <c r="N773" s="182"/>
      <c r="T773" s="172"/>
    </row>
    <row r="774" ht="17.25" customHeight="1">
      <c r="A774" s="212"/>
      <c r="B774" s="183"/>
      <c r="C774" s="184" t="str">
        <f>IF(VLOOKUP(T772,Spieler!A:F,6,0)="Nein","keine Bayerische Meisterschaft gewünscht","")</f>
        <v>#N/A</v>
      </c>
      <c r="D774" s="161"/>
      <c r="E774" s="170"/>
      <c r="F774" s="170"/>
      <c r="G774" s="185" t="s">
        <v>2562</v>
      </c>
      <c r="H774" s="186"/>
      <c r="I774" s="186"/>
      <c r="J774" s="186"/>
      <c r="K774" s="186"/>
      <c r="L774" s="187">
        <f t="shared" ref="L774:M774" si="256">SUM(L771:L773)</f>
        <v>0</v>
      </c>
      <c r="M774" s="110">
        <f t="shared" si="256"/>
        <v>0</v>
      </c>
      <c r="N774" s="188" t="str">
        <f>L774/M774</f>
        <v>#DIV/0!</v>
      </c>
      <c r="T774" s="189"/>
    </row>
    <row r="775" ht="17.25" customHeight="1">
      <c r="A775" s="212"/>
      <c r="B775" s="190"/>
      <c r="C775" s="178"/>
      <c r="D775" s="191"/>
      <c r="E775" s="191"/>
      <c r="F775" s="191"/>
      <c r="G775" s="191"/>
      <c r="H775" s="191"/>
      <c r="I775" s="191"/>
      <c r="J775" s="191"/>
      <c r="K775" s="191"/>
      <c r="L775" s="192"/>
      <c r="M775" s="191"/>
      <c r="N775" s="193"/>
      <c r="T775" s="194"/>
    </row>
    <row r="776" ht="17.25" customHeight="1">
      <c r="A776" s="212"/>
      <c r="B776" s="157">
        <f>B770+1</f>
        <v>129</v>
      </c>
      <c r="C776" s="158"/>
      <c r="D776" s="159" t="str">
        <f>VLOOKUP(C778,'Mitglieder BBU'!A:J,6,0)</f>
        <v>#N/A</v>
      </c>
      <c r="E776" s="60"/>
      <c r="F776" s="60"/>
      <c r="G776" s="60"/>
      <c r="H776" s="60"/>
      <c r="I776" s="61"/>
      <c r="J776" s="160"/>
      <c r="K776" s="161"/>
      <c r="L776" s="162"/>
      <c r="M776" s="163"/>
      <c r="N776" s="164"/>
      <c r="T776" s="165"/>
    </row>
    <row r="777" ht="17.25" customHeight="1">
      <c r="A777" s="212"/>
      <c r="B777" s="167"/>
      <c r="C777" s="168" t="str">
        <f>VLOOKUP(C778,'Mitglieder BBU'!A:J,6,0)</f>
        <v>#N/A</v>
      </c>
      <c r="D777" s="110" t="str">
        <f>IFERROR(VLOOKUP($C778,Datensammler!$B:$AA,3,0),)</f>
        <v/>
      </c>
      <c r="E777" s="110" t="str">
        <f>IFERROR(VLOOKUP($C778,Datensammler!$B:$AA,4,0),)</f>
        <v/>
      </c>
      <c r="F777" s="110" t="str">
        <f>IFERROR(VLOOKUP($C778,Datensammler!$B:$AA,5,0),)</f>
        <v/>
      </c>
      <c r="G777" s="110" t="str">
        <f>IFERROR(VLOOKUP($C778,Datensammler!$B:$AA,6,0),)</f>
        <v/>
      </c>
      <c r="H777" s="110" t="str">
        <f>IFERROR(VLOOKUP($C778,Datensammler!$B:$AA,7,0),)</f>
        <v/>
      </c>
      <c r="I777" s="110" t="str">
        <f>IFERROR(VLOOKUP($C778,Datensammler!$B:$AA,8,0),)</f>
        <v/>
      </c>
      <c r="J777" s="169">
        <f t="shared" ref="J777:J779" si="257">SUM(D777:I777)</f>
        <v>0</v>
      </c>
      <c r="K777" s="170" t="str">
        <f>IFERROR(VLOOKUP($C778,Datensammler!$B:$AA,23,0),)</f>
        <v/>
      </c>
      <c r="L777" s="161" t="str">
        <f>IFERROR(VLOOKUP($C778,Datensammler!$B:$AA,24,0),)</f>
        <v/>
      </c>
      <c r="M777" s="170" t="str">
        <f>IFERROR(VLOOKUP($C778,Datensammler!$B:$AA,25,0),)</f>
        <v/>
      </c>
      <c r="N777" s="171" t="str">
        <f>IF(C778=0,"",(VLOOKUP($C778,Datensammler!$B:$AA,26,0)))</f>
        <v>#N/A</v>
      </c>
      <c r="T777" s="172"/>
    </row>
    <row r="778" ht="17.25" customHeight="1">
      <c r="A778" s="212"/>
      <c r="B778" s="174"/>
      <c r="C778" s="175" t="str">
        <f>VLOOKUP(T778,Spieler!A:E,2,0)</f>
        <v>#N/A</v>
      </c>
      <c r="D778" s="170" t="str">
        <f>IFERROR(VLOOKUP($C778,Datensammler!$B:$AA,9,0),)</f>
        <v/>
      </c>
      <c r="E778" s="170" t="str">
        <f>IFERROR(VLOOKUP($C778,Datensammler!$B:$AA,10,0),)</f>
        <v/>
      </c>
      <c r="F778" s="170" t="str">
        <f>IFERROR(VLOOKUP($C778,Datensammler!$B:$AA,11,0),)</f>
        <v/>
      </c>
      <c r="G778" s="170" t="str">
        <f>IFERROR(VLOOKUP($C778,Datensammler!$B:$AA,12,0),)</f>
        <v/>
      </c>
      <c r="H778" s="170" t="str">
        <f>IFERROR(VLOOKUP($C778,Datensammler!$B:$AA,13,0),)</f>
        <v/>
      </c>
      <c r="I778" s="170" t="str">
        <f>IFERROR(VLOOKUP($C778,Datensammler!$B:$AA,14,0),)</f>
        <v/>
      </c>
      <c r="J778" s="169">
        <f t="shared" si="257"/>
        <v>0</v>
      </c>
      <c r="N778" s="176"/>
      <c r="T778" s="177" t="str">
        <f t="array" ref="T778">INDIRECT("Spieler!AD"&amp;B776+5)</f>
        <v/>
      </c>
    </row>
    <row r="779" ht="17.25" customHeight="1">
      <c r="A779" s="212"/>
      <c r="B779" s="167"/>
      <c r="C779" s="178" t="str">
        <f>VLOOKUP(C778,'Mitglieder BBU'!A:K,8,0)</f>
        <v>#N/A</v>
      </c>
      <c r="D779" s="179" t="str">
        <f>IFERROR(VLOOKUP($C778,Datensammler!$B:$AA,15,0),)</f>
        <v/>
      </c>
      <c r="E779" s="179" t="str">
        <f>IFERROR(VLOOKUP($C778,Datensammler!$B:$AA,16,0),)</f>
        <v/>
      </c>
      <c r="F779" s="179" t="str">
        <f>IFERROR(VLOOKUP($C778,Datensammler!$B:$AA,17,0),)</f>
        <v/>
      </c>
      <c r="G779" s="179" t="str">
        <f>IFERROR(VLOOKUP($C778,Datensammler!$B:$AA,18,0),)</f>
        <v/>
      </c>
      <c r="H779" s="179" t="str">
        <f>IFERROR(VLOOKUP($C778,Datensammler!$B:$AA,19,0),)</f>
        <v/>
      </c>
      <c r="I779" s="179" t="str">
        <f>IFERROR(VLOOKUP($C778,Datensammler!$B:$AA,20,0),)</f>
        <v/>
      </c>
      <c r="J779" s="180">
        <f t="shared" si="257"/>
        <v>0</v>
      </c>
      <c r="K779" s="181"/>
      <c r="L779" s="181"/>
      <c r="M779" s="181"/>
      <c r="N779" s="182"/>
      <c r="T779" s="172"/>
    </row>
    <row r="780" ht="17.25" customHeight="1">
      <c r="A780" s="212"/>
      <c r="B780" s="183"/>
      <c r="C780" s="184" t="str">
        <f>IF(VLOOKUP(T778,Spieler!A:F,6,0)="Nein","keine Bayerische Meisterschaft gewünscht","")</f>
        <v>#N/A</v>
      </c>
      <c r="D780" s="161"/>
      <c r="E780" s="170"/>
      <c r="F780" s="170"/>
      <c r="G780" s="185" t="s">
        <v>2562</v>
      </c>
      <c r="H780" s="186"/>
      <c r="I780" s="186"/>
      <c r="J780" s="186"/>
      <c r="K780" s="186"/>
      <c r="L780" s="187">
        <f t="shared" ref="L780:M780" si="258">SUM(L777:L779)</f>
        <v>0</v>
      </c>
      <c r="M780" s="110">
        <f t="shared" si="258"/>
        <v>0</v>
      </c>
      <c r="N780" s="188" t="str">
        <f>L780/M780</f>
        <v>#DIV/0!</v>
      </c>
      <c r="T780" s="189"/>
    </row>
    <row r="781" ht="17.25" customHeight="1">
      <c r="A781" s="212"/>
      <c r="B781" s="190"/>
      <c r="C781" s="178"/>
      <c r="D781" s="191"/>
      <c r="E781" s="191"/>
      <c r="F781" s="191"/>
      <c r="G781" s="191"/>
      <c r="H781" s="191"/>
      <c r="I781" s="191"/>
      <c r="J781" s="191"/>
      <c r="K781" s="191"/>
      <c r="L781" s="192"/>
      <c r="M781" s="191"/>
      <c r="N781" s="193"/>
      <c r="T781" s="194"/>
    </row>
    <row r="782" ht="17.25" customHeight="1">
      <c r="A782" s="212"/>
      <c r="B782" s="157">
        <f>B776+1</f>
        <v>130</v>
      </c>
      <c r="C782" s="158"/>
      <c r="D782" s="159" t="str">
        <f>VLOOKUP(C784,'Mitglieder BBU'!A:J,6,0)</f>
        <v>#N/A</v>
      </c>
      <c r="E782" s="60"/>
      <c r="F782" s="60"/>
      <c r="G782" s="60"/>
      <c r="H782" s="60"/>
      <c r="I782" s="61"/>
      <c r="J782" s="160"/>
      <c r="K782" s="161"/>
      <c r="L782" s="162"/>
      <c r="M782" s="163"/>
      <c r="N782" s="164"/>
      <c r="T782" s="165"/>
    </row>
    <row r="783" ht="17.25" customHeight="1">
      <c r="A783" s="212"/>
      <c r="B783" s="167"/>
      <c r="C783" s="168" t="str">
        <f>VLOOKUP(C784,'Mitglieder BBU'!A:J,6,0)</f>
        <v>#N/A</v>
      </c>
      <c r="D783" s="110" t="str">
        <f>IFERROR(VLOOKUP($C784,Datensammler!$B:$AA,3,0),)</f>
        <v/>
      </c>
      <c r="E783" s="110" t="str">
        <f>IFERROR(VLOOKUP($C784,Datensammler!$B:$AA,4,0),)</f>
        <v/>
      </c>
      <c r="F783" s="110" t="str">
        <f>IFERROR(VLOOKUP($C784,Datensammler!$B:$AA,5,0),)</f>
        <v/>
      </c>
      <c r="G783" s="110" t="str">
        <f>IFERROR(VLOOKUP($C784,Datensammler!$B:$AA,6,0),)</f>
        <v/>
      </c>
      <c r="H783" s="110" t="str">
        <f>IFERROR(VLOOKUP($C784,Datensammler!$B:$AA,7,0),)</f>
        <v/>
      </c>
      <c r="I783" s="110" t="str">
        <f>IFERROR(VLOOKUP($C784,Datensammler!$B:$AA,8,0),)</f>
        <v/>
      </c>
      <c r="J783" s="169">
        <f t="shared" ref="J783:J785" si="259">SUM(D783:I783)</f>
        <v>0</v>
      </c>
      <c r="K783" s="170" t="str">
        <f>IFERROR(VLOOKUP($C784,Datensammler!$B:$AA,23,0),)</f>
        <v/>
      </c>
      <c r="L783" s="161" t="str">
        <f>IFERROR(VLOOKUP($C784,Datensammler!$B:$AA,24,0),)</f>
        <v/>
      </c>
      <c r="M783" s="170" t="str">
        <f>IFERROR(VLOOKUP($C784,Datensammler!$B:$AA,25,0),)</f>
        <v/>
      </c>
      <c r="N783" s="171" t="str">
        <f>IF(C784=0,"",(VLOOKUP($C784,Datensammler!$B:$AA,26,0)))</f>
        <v>#N/A</v>
      </c>
      <c r="T783" s="172"/>
    </row>
    <row r="784" ht="17.25" customHeight="1">
      <c r="A784" s="212"/>
      <c r="B784" s="174"/>
      <c r="C784" s="175" t="str">
        <f>VLOOKUP(T784,Spieler!A:E,2,0)</f>
        <v>#N/A</v>
      </c>
      <c r="D784" s="170" t="str">
        <f>IFERROR(VLOOKUP($C784,Datensammler!$B:$AA,9,0),)</f>
        <v/>
      </c>
      <c r="E784" s="170" t="str">
        <f>IFERROR(VLOOKUP($C784,Datensammler!$B:$AA,10,0),)</f>
        <v/>
      </c>
      <c r="F784" s="170" t="str">
        <f>IFERROR(VLOOKUP($C784,Datensammler!$B:$AA,11,0),)</f>
        <v/>
      </c>
      <c r="G784" s="170" t="str">
        <f>IFERROR(VLOOKUP($C784,Datensammler!$B:$AA,12,0),)</f>
        <v/>
      </c>
      <c r="H784" s="170" t="str">
        <f>IFERROR(VLOOKUP($C784,Datensammler!$B:$AA,13,0),)</f>
        <v/>
      </c>
      <c r="I784" s="170" t="str">
        <f>IFERROR(VLOOKUP($C784,Datensammler!$B:$AA,14,0),)</f>
        <v/>
      </c>
      <c r="J784" s="169">
        <f t="shared" si="259"/>
        <v>0</v>
      </c>
      <c r="N784" s="176"/>
      <c r="T784" s="177" t="str">
        <f t="array" ref="T784">INDIRECT("Spieler!AD"&amp;B782+5)</f>
        <v/>
      </c>
    </row>
    <row r="785" ht="17.25" customHeight="1">
      <c r="A785" s="212"/>
      <c r="B785" s="167"/>
      <c r="C785" s="178" t="str">
        <f>VLOOKUP(C784,'Mitglieder BBU'!A:K,8,0)</f>
        <v>#N/A</v>
      </c>
      <c r="D785" s="179" t="str">
        <f>IFERROR(VLOOKUP($C784,Datensammler!$B:$AA,15,0),)</f>
        <v/>
      </c>
      <c r="E785" s="179" t="str">
        <f>IFERROR(VLOOKUP($C784,Datensammler!$B:$AA,16,0),)</f>
        <v/>
      </c>
      <c r="F785" s="179" t="str">
        <f>IFERROR(VLOOKUP($C784,Datensammler!$B:$AA,17,0),)</f>
        <v/>
      </c>
      <c r="G785" s="179" t="str">
        <f>IFERROR(VLOOKUP($C784,Datensammler!$B:$AA,18,0),)</f>
        <v/>
      </c>
      <c r="H785" s="179" t="str">
        <f>IFERROR(VLOOKUP($C784,Datensammler!$B:$AA,19,0),)</f>
        <v/>
      </c>
      <c r="I785" s="179" t="str">
        <f>IFERROR(VLOOKUP($C784,Datensammler!$B:$AA,20,0),)</f>
        <v/>
      </c>
      <c r="J785" s="180">
        <f t="shared" si="259"/>
        <v>0</v>
      </c>
      <c r="K785" s="181"/>
      <c r="L785" s="181"/>
      <c r="M785" s="181"/>
      <c r="N785" s="182"/>
      <c r="T785" s="172"/>
    </row>
    <row r="786" ht="17.25" customHeight="1">
      <c r="A786" s="212"/>
      <c r="B786" s="183"/>
      <c r="C786" s="184" t="str">
        <f>IF(VLOOKUP(T784,Spieler!A:F,6,0)="Nein","keine Bayerische Meisterschaft gewünscht","")</f>
        <v>#N/A</v>
      </c>
      <c r="D786" s="161"/>
      <c r="E786" s="170"/>
      <c r="F786" s="170"/>
      <c r="G786" s="185" t="s">
        <v>2562</v>
      </c>
      <c r="H786" s="186"/>
      <c r="I786" s="186"/>
      <c r="J786" s="186"/>
      <c r="K786" s="186"/>
      <c r="L786" s="187">
        <f t="shared" ref="L786:M786" si="260">SUM(L783:L785)</f>
        <v>0</v>
      </c>
      <c r="M786" s="110">
        <f t="shared" si="260"/>
        <v>0</v>
      </c>
      <c r="N786" s="188" t="str">
        <f>L786/M786</f>
        <v>#DIV/0!</v>
      </c>
      <c r="T786" s="189"/>
    </row>
    <row r="787" ht="17.25" customHeight="1">
      <c r="A787" s="212"/>
      <c r="B787" s="190"/>
      <c r="C787" s="178"/>
      <c r="D787" s="191"/>
      <c r="E787" s="191"/>
      <c r="F787" s="191"/>
      <c r="G787" s="191"/>
      <c r="H787" s="191"/>
      <c r="I787" s="191"/>
      <c r="J787" s="191"/>
      <c r="K787" s="110"/>
      <c r="L787" s="187"/>
      <c r="M787" s="110"/>
      <c r="N787" s="188"/>
      <c r="T787" s="194"/>
    </row>
    <row r="788" ht="17.25" customHeight="1">
      <c r="A788" s="212"/>
      <c r="B788" s="157">
        <f>B782+1</f>
        <v>131</v>
      </c>
      <c r="C788" s="158"/>
      <c r="D788" s="159" t="str">
        <f>VLOOKUP(C790,'Mitglieder BBU'!A:J,6,0)</f>
        <v>#N/A</v>
      </c>
      <c r="E788" s="60"/>
      <c r="F788" s="60"/>
      <c r="G788" s="60"/>
      <c r="H788" s="60"/>
      <c r="I788" s="61"/>
      <c r="J788" s="160"/>
      <c r="K788" s="161"/>
      <c r="L788" s="162"/>
      <c r="M788" s="163"/>
      <c r="N788" s="164"/>
      <c r="T788" s="165"/>
    </row>
    <row r="789" ht="21.0" customHeight="1">
      <c r="A789" s="212"/>
      <c r="B789" s="167"/>
      <c r="C789" s="168" t="str">
        <f>VLOOKUP(C790,'Mitglieder BBU'!A:J,6,0)</f>
        <v>#N/A</v>
      </c>
      <c r="D789" s="110" t="str">
        <f>IFERROR(VLOOKUP($C790,Datensammler!$B:$AA,3,0),)</f>
        <v/>
      </c>
      <c r="E789" s="110" t="str">
        <f>IFERROR(VLOOKUP($C790,Datensammler!$B:$AA,4,0),)</f>
        <v/>
      </c>
      <c r="F789" s="110" t="str">
        <f>IFERROR(VLOOKUP($C790,Datensammler!$B:$AA,5,0),)</f>
        <v/>
      </c>
      <c r="G789" s="110" t="str">
        <f>IFERROR(VLOOKUP($C790,Datensammler!$B:$AA,6,0),)</f>
        <v/>
      </c>
      <c r="H789" s="110" t="str">
        <f>IFERROR(VLOOKUP($C790,Datensammler!$B:$AA,7,0),)</f>
        <v/>
      </c>
      <c r="I789" s="110" t="str">
        <f>IFERROR(VLOOKUP($C790,Datensammler!$B:$AA,8,0),)</f>
        <v/>
      </c>
      <c r="J789" s="169">
        <f t="shared" ref="J789:J791" si="261">SUM(D789:I789)</f>
        <v>0</v>
      </c>
      <c r="K789" s="170" t="str">
        <f>IFERROR(VLOOKUP($C790,Datensammler!$B:$AA,23,0),)</f>
        <v/>
      </c>
      <c r="L789" s="161" t="str">
        <f>IFERROR(VLOOKUP($C790,Datensammler!$B:$AA,24,0),)</f>
        <v/>
      </c>
      <c r="M789" s="170" t="str">
        <f>IFERROR(VLOOKUP($C790,Datensammler!$B:$AA,25,0),)</f>
        <v/>
      </c>
      <c r="N789" s="171" t="str">
        <f>IF(C790=0,"",(VLOOKUP($C790,Datensammler!$B:$AA,26,0)))</f>
        <v>#N/A</v>
      </c>
      <c r="T789" s="172"/>
    </row>
    <row r="790" ht="21.0" customHeight="1">
      <c r="A790" s="212"/>
      <c r="B790" s="174"/>
      <c r="C790" s="175" t="str">
        <f>VLOOKUP(T790,Spieler!A:E,2,0)</f>
        <v>#N/A</v>
      </c>
      <c r="D790" s="170" t="str">
        <f>IFERROR(VLOOKUP($C790,Datensammler!$B:$AA,9,0),)</f>
        <v/>
      </c>
      <c r="E790" s="170" t="str">
        <f>IFERROR(VLOOKUP($C790,Datensammler!$B:$AA,10,0),)</f>
        <v/>
      </c>
      <c r="F790" s="170" t="str">
        <f>IFERROR(VLOOKUP($C790,Datensammler!$B:$AA,11,0),)</f>
        <v/>
      </c>
      <c r="G790" s="170" t="str">
        <f>IFERROR(VLOOKUP($C790,Datensammler!$B:$AA,12,0),)</f>
        <v/>
      </c>
      <c r="H790" s="170" t="str">
        <f>IFERROR(VLOOKUP($C790,Datensammler!$B:$AA,13,0),)</f>
        <v/>
      </c>
      <c r="I790" s="170" t="str">
        <f>IFERROR(VLOOKUP($C790,Datensammler!$B:$AA,14,0),)</f>
        <v/>
      </c>
      <c r="J790" s="169">
        <f t="shared" si="261"/>
        <v>0</v>
      </c>
      <c r="N790" s="176"/>
      <c r="T790" s="177" t="str">
        <f t="array" ref="T790">INDIRECT("Spieler!AD"&amp;B788+5)</f>
        <v/>
      </c>
    </row>
    <row r="791" ht="21.0" customHeight="1">
      <c r="A791" s="212"/>
      <c r="B791" s="167"/>
      <c r="C791" s="178" t="str">
        <f>VLOOKUP(C790,'Mitglieder BBU'!A:K,8,0)</f>
        <v>#N/A</v>
      </c>
      <c r="D791" s="179" t="str">
        <f>IFERROR(VLOOKUP($C790,Datensammler!$B:$AA,15,0),)</f>
        <v/>
      </c>
      <c r="E791" s="179" t="str">
        <f>IFERROR(VLOOKUP($C790,Datensammler!$B:$AA,16,0),)</f>
        <v/>
      </c>
      <c r="F791" s="179" t="str">
        <f>IFERROR(VLOOKUP($C790,Datensammler!$B:$AA,17,0),)</f>
        <v/>
      </c>
      <c r="G791" s="179" t="str">
        <f>IFERROR(VLOOKUP($C790,Datensammler!$B:$AA,18,0),)</f>
        <v/>
      </c>
      <c r="H791" s="179" t="str">
        <f>IFERROR(VLOOKUP($C790,Datensammler!$B:$AA,19,0),)</f>
        <v/>
      </c>
      <c r="I791" s="179" t="str">
        <f>IFERROR(VLOOKUP($C790,Datensammler!$B:$AA,20,0),)</f>
        <v/>
      </c>
      <c r="J791" s="180">
        <f t="shared" si="261"/>
        <v>0</v>
      </c>
      <c r="K791" s="181"/>
      <c r="L791" s="181"/>
      <c r="M791" s="181"/>
      <c r="N791" s="182"/>
      <c r="T791" s="172"/>
    </row>
    <row r="792" ht="21.0" customHeight="1">
      <c r="A792" s="212"/>
      <c r="B792" s="183"/>
      <c r="C792" s="184" t="str">
        <f>IF(VLOOKUP(T790,Spieler!A:F,6,0)="Nein","keine Bayerische Meisterschaft gewünscht","")</f>
        <v>#N/A</v>
      </c>
      <c r="D792" s="161"/>
      <c r="E792" s="170"/>
      <c r="F792" s="170"/>
      <c r="G792" s="185" t="s">
        <v>2562</v>
      </c>
      <c r="H792" s="186"/>
      <c r="I792" s="186"/>
      <c r="J792" s="186"/>
      <c r="K792" s="186"/>
      <c r="L792" s="187">
        <f t="shared" ref="L792:M792" si="262">SUM(L789:L791)</f>
        <v>0</v>
      </c>
      <c r="M792" s="110">
        <f t="shared" si="262"/>
        <v>0</v>
      </c>
      <c r="N792" s="188" t="str">
        <f>L792/M792</f>
        <v>#DIV/0!</v>
      </c>
      <c r="T792" s="189"/>
    </row>
    <row r="793" ht="21.0" customHeight="1">
      <c r="A793" s="212"/>
      <c r="B793" s="190"/>
      <c r="C793" s="178"/>
      <c r="D793" s="191"/>
      <c r="E793" s="191"/>
      <c r="F793" s="191"/>
      <c r="G793" s="191"/>
      <c r="H793" s="191"/>
      <c r="I793" s="191"/>
      <c r="J793" s="191"/>
      <c r="K793" s="191"/>
      <c r="L793" s="192"/>
      <c r="M793" s="191"/>
      <c r="N793" s="193"/>
      <c r="T793" s="194"/>
    </row>
    <row r="794" ht="21.0" customHeight="1">
      <c r="A794" s="212"/>
      <c r="B794" s="157">
        <f>B788+1</f>
        <v>132</v>
      </c>
      <c r="C794" s="158"/>
      <c r="D794" s="159" t="str">
        <f>VLOOKUP(C796,'Mitglieder BBU'!A:J,6,0)</f>
        <v>#N/A</v>
      </c>
      <c r="E794" s="60"/>
      <c r="F794" s="60"/>
      <c r="G794" s="60"/>
      <c r="H794" s="60"/>
      <c r="I794" s="61"/>
      <c r="J794" s="160"/>
      <c r="K794" s="161"/>
      <c r="L794" s="162"/>
      <c r="M794" s="163"/>
      <c r="N794" s="164"/>
      <c r="T794" s="165"/>
    </row>
    <row r="795" ht="21.0" customHeight="1">
      <c r="A795" s="212"/>
      <c r="B795" s="167"/>
      <c r="C795" s="168" t="str">
        <f>VLOOKUP(C796,'Mitglieder BBU'!A:J,6,0)</f>
        <v>#N/A</v>
      </c>
      <c r="D795" s="110" t="str">
        <f>IFERROR(VLOOKUP($C796,Datensammler!$B:$AA,3,0),)</f>
        <v/>
      </c>
      <c r="E795" s="110" t="str">
        <f>IFERROR(VLOOKUP($C796,Datensammler!$B:$AA,4,0),)</f>
        <v/>
      </c>
      <c r="F795" s="110" t="str">
        <f>IFERROR(VLOOKUP($C796,Datensammler!$B:$AA,5,0),)</f>
        <v/>
      </c>
      <c r="G795" s="110" t="str">
        <f>IFERROR(VLOOKUP($C796,Datensammler!$B:$AA,6,0),)</f>
        <v/>
      </c>
      <c r="H795" s="110" t="str">
        <f>IFERROR(VLOOKUP($C796,Datensammler!$B:$AA,7,0),)</f>
        <v/>
      </c>
      <c r="I795" s="110" t="str">
        <f>IFERROR(VLOOKUP($C796,Datensammler!$B:$AA,8,0),)</f>
        <v/>
      </c>
      <c r="J795" s="169">
        <f t="shared" ref="J795:J797" si="263">SUM(D795:I795)</f>
        <v>0</v>
      </c>
      <c r="K795" s="170" t="str">
        <f>IFERROR(VLOOKUP($C796,Datensammler!$B:$AA,23,0),)</f>
        <v/>
      </c>
      <c r="L795" s="161" t="str">
        <f>IFERROR(VLOOKUP($C796,Datensammler!$B:$AA,24,0),)</f>
        <v/>
      </c>
      <c r="M795" s="170" t="str">
        <f>IFERROR(VLOOKUP($C796,Datensammler!$B:$AA,25,0),)</f>
        <v/>
      </c>
      <c r="N795" s="171" t="str">
        <f>IF(C796=0,"",(VLOOKUP($C796,Datensammler!$B:$AA,26,0)))</f>
        <v>#N/A</v>
      </c>
      <c r="T795" s="172"/>
    </row>
    <row r="796" ht="21.0" customHeight="1">
      <c r="A796" s="212"/>
      <c r="B796" s="174"/>
      <c r="C796" s="175" t="str">
        <f>VLOOKUP(T796,Spieler!A:E,2,0)</f>
        <v>#N/A</v>
      </c>
      <c r="D796" s="170" t="str">
        <f>IFERROR(VLOOKUP($C796,Datensammler!$B:$AA,9,0),)</f>
        <v/>
      </c>
      <c r="E796" s="170" t="str">
        <f>IFERROR(VLOOKUP($C796,Datensammler!$B:$AA,10,0),)</f>
        <v/>
      </c>
      <c r="F796" s="170" t="str">
        <f>IFERROR(VLOOKUP($C796,Datensammler!$B:$AA,11,0),)</f>
        <v/>
      </c>
      <c r="G796" s="170" t="str">
        <f>IFERROR(VLOOKUP($C796,Datensammler!$B:$AA,12,0),)</f>
        <v/>
      </c>
      <c r="H796" s="170" t="str">
        <f>IFERROR(VLOOKUP($C796,Datensammler!$B:$AA,13,0),)</f>
        <v/>
      </c>
      <c r="I796" s="170" t="str">
        <f>IFERROR(VLOOKUP($C796,Datensammler!$B:$AA,14,0),)</f>
        <v/>
      </c>
      <c r="J796" s="169">
        <f t="shared" si="263"/>
        <v>0</v>
      </c>
      <c r="N796" s="176"/>
      <c r="T796" s="177" t="str">
        <f t="array" ref="T796">INDIRECT("Spieler!AD"&amp;B794+5)</f>
        <v/>
      </c>
    </row>
    <row r="797" ht="21.0" customHeight="1">
      <c r="A797" s="212"/>
      <c r="B797" s="167"/>
      <c r="C797" s="178" t="str">
        <f>VLOOKUP(C796,'Mitglieder BBU'!A:K,8,0)</f>
        <v>#N/A</v>
      </c>
      <c r="D797" s="179" t="str">
        <f>IFERROR(VLOOKUP($C796,Datensammler!$B:$AA,15,0),)</f>
        <v/>
      </c>
      <c r="E797" s="179" t="str">
        <f>IFERROR(VLOOKUP($C796,Datensammler!$B:$AA,16,0),)</f>
        <v/>
      </c>
      <c r="F797" s="179" t="str">
        <f>IFERROR(VLOOKUP($C796,Datensammler!$B:$AA,17,0),)</f>
        <v/>
      </c>
      <c r="G797" s="179" t="str">
        <f>IFERROR(VLOOKUP($C796,Datensammler!$B:$AA,18,0),)</f>
        <v/>
      </c>
      <c r="H797" s="179" t="str">
        <f>IFERROR(VLOOKUP($C796,Datensammler!$B:$AA,19,0),)</f>
        <v/>
      </c>
      <c r="I797" s="179" t="str">
        <f>IFERROR(VLOOKUP($C796,Datensammler!$B:$AA,20,0),)</f>
        <v/>
      </c>
      <c r="J797" s="180">
        <f t="shared" si="263"/>
        <v>0</v>
      </c>
      <c r="K797" s="181"/>
      <c r="L797" s="181"/>
      <c r="M797" s="181"/>
      <c r="N797" s="182"/>
      <c r="T797" s="172"/>
    </row>
    <row r="798" ht="21.0" customHeight="1">
      <c r="A798" s="212"/>
      <c r="B798" s="183"/>
      <c r="C798" s="184" t="str">
        <f>IF(VLOOKUP(T796,Spieler!A:F,6,0)="Nein","keine Bayerische Meisterschaft gewünscht","")</f>
        <v>#N/A</v>
      </c>
      <c r="D798" s="161"/>
      <c r="E798" s="170"/>
      <c r="F798" s="170"/>
      <c r="G798" s="185" t="s">
        <v>2562</v>
      </c>
      <c r="H798" s="186"/>
      <c r="I798" s="186"/>
      <c r="J798" s="186"/>
      <c r="K798" s="186"/>
      <c r="L798" s="187">
        <f t="shared" ref="L798:M798" si="264">SUM(L795:L797)</f>
        <v>0</v>
      </c>
      <c r="M798" s="110">
        <f t="shared" si="264"/>
        <v>0</v>
      </c>
      <c r="N798" s="188" t="str">
        <f>L798/M798</f>
        <v>#DIV/0!</v>
      </c>
      <c r="T798" s="189"/>
    </row>
    <row r="799" ht="21.0" customHeight="1">
      <c r="A799" s="212"/>
      <c r="B799" s="190"/>
      <c r="C799" s="178"/>
      <c r="D799" s="191"/>
      <c r="E799" s="191"/>
      <c r="F799" s="191"/>
      <c r="G799" s="191"/>
      <c r="H799" s="191"/>
      <c r="I799" s="191"/>
      <c r="J799" s="191"/>
      <c r="K799" s="191"/>
      <c r="L799" s="192"/>
      <c r="M799" s="191"/>
      <c r="N799" s="193"/>
      <c r="T799" s="194"/>
    </row>
    <row r="800" ht="21.0" customHeight="1">
      <c r="A800" s="212"/>
      <c r="B800" s="157">
        <f>B794+1</f>
        <v>133</v>
      </c>
      <c r="C800" s="158"/>
      <c r="D800" s="159" t="str">
        <f>VLOOKUP(C802,'Mitglieder BBU'!A:J,6,0)</f>
        <v>#N/A</v>
      </c>
      <c r="E800" s="60"/>
      <c r="F800" s="60"/>
      <c r="G800" s="60"/>
      <c r="H800" s="60"/>
      <c r="I800" s="61"/>
      <c r="J800" s="160"/>
      <c r="K800" s="161"/>
      <c r="L800" s="162"/>
      <c r="M800" s="163"/>
      <c r="N800" s="164"/>
      <c r="T800" s="165"/>
    </row>
    <row r="801" ht="21.0" customHeight="1">
      <c r="A801" s="212"/>
      <c r="B801" s="167"/>
      <c r="C801" s="168" t="str">
        <f>VLOOKUP(C802,'Mitglieder BBU'!A:J,6,0)</f>
        <v>#N/A</v>
      </c>
      <c r="D801" s="110" t="str">
        <f>IFERROR(VLOOKUP($C802,Datensammler!$B:$AA,3,0),)</f>
        <v/>
      </c>
      <c r="E801" s="110" t="str">
        <f>IFERROR(VLOOKUP($C802,Datensammler!$B:$AA,4,0),)</f>
        <v/>
      </c>
      <c r="F801" s="110" t="str">
        <f>IFERROR(VLOOKUP($C802,Datensammler!$B:$AA,5,0),)</f>
        <v/>
      </c>
      <c r="G801" s="110" t="str">
        <f>IFERROR(VLOOKUP($C802,Datensammler!$B:$AA,6,0),)</f>
        <v/>
      </c>
      <c r="H801" s="110" t="str">
        <f>IFERROR(VLOOKUP($C802,Datensammler!$B:$AA,7,0),)</f>
        <v/>
      </c>
      <c r="I801" s="110" t="str">
        <f>IFERROR(VLOOKUP($C802,Datensammler!$B:$AA,8,0),)</f>
        <v/>
      </c>
      <c r="J801" s="169">
        <f t="shared" ref="J801:J803" si="265">SUM(D801:I801)</f>
        <v>0</v>
      </c>
      <c r="K801" s="170" t="str">
        <f>IFERROR(VLOOKUP($C802,Datensammler!$B:$AA,23,0),)</f>
        <v/>
      </c>
      <c r="L801" s="161" t="str">
        <f>IFERROR(VLOOKUP($C802,Datensammler!$B:$AA,24,0),)</f>
        <v/>
      </c>
      <c r="M801" s="170" t="str">
        <f>IFERROR(VLOOKUP($C802,Datensammler!$B:$AA,25,0),)</f>
        <v/>
      </c>
      <c r="N801" s="171" t="str">
        <f>IF(C802=0,"",(VLOOKUP($C802,Datensammler!$B:$AA,26,0)))</f>
        <v>#N/A</v>
      </c>
      <c r="T801" s="172"/>
    </row>
    <row r="802" ht="21.0" customHeight="1">
      <c r="A802" s="212"/>
      <c r="B802" s="174"/>
      <c r="C802" s="175" t="str">
        <f>VLOOKUP(T802,Spieler!A:E,2,0)</f>
        <v>#N/A</v>
      </c>
      <c r="D802" s="170" t="str">
        <f>IFERROR(VLOOKUP($C802,Datensammler!$B:$AA,9,0),)</f>
        <v/>
      </c>
      <c r="E802" s="170" t="str">
        <f>IFERROR(VLOOKUP($C802,Datensammler!$B:$AA,10,0),)</f>
        <v/>
      </c>
      <c r="F802" s="170" t="str">
        <f>IFERROR(VLOOKUP($C802,Datensammler!$B:$AA,11,0),)</f>
        <v/>
      </c>
      <c r="G802" s="170" t="str">
        <f>IFERROR(VLOOKUP($C802,Datensammler!$B:$AA,12,0),)</f>
        <v/>
      </c>
      <c r="H802" s="170" t="str">
        <f>IFERROR(VLOOKUP($C802,Datensammler!$B:$AA,13,0),)</f>
        <v/>
      </c>
      <c r="I802" s="170" t="str">
        <f>IFERROR(VLOOKUP($C802,Datensammler!$B:$AA,14,0),)</f>
        <v/>
      </c>
      <c r="J802" s="169">
        <f t="shared" si="265"/>
        <v>0</v>
      </c>
      <c r="N802" s="176"/>
      <c r="T802" s="177" t="str">
        <f t="array" ref="T802">INDIRECT("Spieler!AD"&amp;B800+5)</f>
        <v/>
      </c>
    </row>
    <row r="803" ht="21.0" customHeight="1">
      <c r="A803" s="212"/>
      <c r="B803" s="167"/>
      <c r="C803" s="178" t="str">
        <f>VLOOKUP(C802,'Mitglieder BBU'!A:K,8,0)</f>
        <v>#N/A</v>
      </c>
      <c r="D803" s="179" t="str">
        <f>IFERROR(VLOOKUP($C802,Datensammler!$B:$AA,15,0),)</f>
        <v/>
      </c>
      <c r="E803" s="179" t="str">
        <f>IFERROR(VLOOKUP($C802,Datensammler!$B:$AA,16,0),)</f>
        <v/>
      </c>
      <c r="F803" s="179" t="str">
        <f>IFERROR(VLOOKUP($C802,Datensammler!$B:$AA,17,0),)</f>
        <v/>
      </c>
      <c r="G803" s="179" t="str">
        <f>IFERROR(VLOOKUP($C802,Datensammler!$B:$AA,18,0),)</f>
        <v/>
      </c>
      <c r="H803" s="179" t="str">
        <f>IFERROR(VLOOKUP($C802,Datensammler!$B:$AA,19,0),)</f>
        <v/>
      </c>
      <c r="I803" s="179" t="str">
        <f>IFERROR(VLOOKUP($C802,Datensammler!$B:$AA,20,0),)</f>
        <v/>
      </c>
      <c r="J803" s="180">
        <f t="shared" si="265"/>
        <v>0</v>
      </c>
      <c r="K803" s="181"/>
      <c r="L803" s="181"/>
      <c r="M803" s="181"/>
      <c r="N803" s="182"/>
      <c r="T803" s="172"/>
    </row>
    <row r="804" ht="21.0" customHeight="1">
      <c r="A804" s="212"/>
      <c r="B804" s="183"/>
      <c r="C804" s="184" t="str">
        <f>IF(VLOOKUP(T802,Spieler!A:F,6,0)="Nein","keine Bayerische Meisterschaft gewünscht","")</f>
        <v>#N/A</v>
      </c>
      <c r="D804" s="161"/>
      <c r="E804" s="170"/>
      <c r="F804" s="170"/>
      <c r="G804" s="185" t="s">
        <v>2562</v>
      </c>
      <c r="H804" s="186"/>
      <c r="I804" s="186"/>
      <c r="J804" s="186"/>
      <c r="K804" s="186"/>
      <c r="L804" s="187">
        <f t="shared" ref="L804:M804" si="266">SUM(L801:L803)</f>
        <v>0</v>
      </c>
      <c r="M804" s="110">
        <f t="shared" si="266"/>
        <v>0</v>
      </c>
      <c r="N804" s="188" t="str">
        <f>L804/M804</f>
        <v>#DIV/0!</v>
      </c>
      <c r="T804" s="189"/>
    </row>
    <row r="805" ht="17.25" customHeight="1">
      <c r="A805" s="212"/>
      <c r="B805" s="190"/>
      <c r="C805" s="178"/>
      <c r="D805" s="191"/>
      <c r="E805" s="191"/>
      <c r="F805" s="191"/>
      <c r="G805" s="191"/>
      <c r="H805" s="191"/>
      <c r="I805" s="191"/>
      <c r="J805" s="191"/>
      <c r="K805" s="191"/>
      <c r="L805" s="192"/>
      <c r="M805" s="191"/>
      <c r="N805" s="193"/>
      <c r="T805" s="194"/>
    </row>
    <row r="806" ht="17.25" customHeight="1">
      <c r="A806" s="212"/>
      <c r="B806" s="157">
        <f>B800+1</f>
        <v>134</v>
      </c>
      <c r="C806" s="158"/>
      <c r="D806" s="159" t="str">
        <f>VLOOKUP(C808,'Mitglieder BBU'!A:J,6,0)</f>
        <v>#N/A</v>
      </c>
      <c r="E806" s="60"/>
      <c r="F806" s="60"/>
      <c r="G806" s="60"/>
      <c r="H806" s="60"/>
      <c r="I806" s="61"/>
      <c r="J806" s="160"/>
      <c r="K806" s="161"/>
      <c r="L806" s="162"/>
      <c r="M806" s="163"/>
      <c r="N806" s="164"/>
      <c r="T806" s="165"/>
    </row>
    <row r="807" ht="17.25" customHeight="1">
      <c r="A807" s="212"/>
      <c r="B807" s="167"/>
      <c r="C807" s="168" t="str">
        <f>VLOOKUP(C808,'Mitglieder BBU'!A:J,6,0)</f>
        <v>#N/A</v>
      </c>
      <c r="D807" s="110" t="str">
        <f>IFERROR(VLOOKUP($C808,Datensammler!$B:$AA,3,0),)</f>
        <v/>
      </c>
      <c r="E807" s="110" t="str">
        <f>IFERROR(VLOOKUP($C808,Datensammler!$B:$AA,4,0),)</f>
        <v/>
      </c>
      <c r="F807" s="110" t="str">
        <f>IFERROR(VLOOKUP($C808,Datensammler!$B:$AA,5,0),)</f>
        <v/>
      </c>
      <c r="G807" s="110" t="str">
        <f>IFERROR(VLOOKUP($C808,Datensammler!$B:$AA,6,0),)</f>
        <v/>
      </c>
      <c r="H807" s="110" t="str">
        <f>IFERROR(VLOOKUP($C808,Datensammler!$B:$AA,7,0),)</f>
        <v/>
      </c>
      <c r="I807" s="110" t="str">
        <f>IFERROR(VLOOKUP($C808,Datensammler!$B:$AA,8,0),)</f>
        <v/>
      </c>
      <c r="J807" s="169">
        <f t="shared" ref="J807:J809" si="267">SUM(D807:I807)</f>
        <v>0</v>
      </c>
      <c r="K807" s="170" t="str">
        <f>IFERROR(VLOOKUP($C808,Datensammler!$B:$AA,23,0),)</f>
        <v/>
      </c>
      <c r="L807" s="161" t="str">
        <f>IFERROR(VLOOKUP($C808,Datensammler!$B:$AA,24,0),)</f>
        <v/>
      </c>
      <c r="M807" s="170" t="str">
        <f>IFERROR(VLOOKUP($C808,Datensammler!$B:$AA,25,0),)</f>
        <v/>
      </c>
      <c r="N807" s="171" t="str">
        <f>IF(C808=0,"",(VLOOKUP($C808,Datensammler!$B:$AA,26,0)))</f>
        <v>#N/A</v>
      </c>
      <c r="T807" s="172"/>
    </row>
    <row r="808" ht="17.25" customHeight="1">
      <c r="A808" s="212"/>
      <c r="B808" s="174"/>
      <c r="C808" s="175" t="str">
        <f>VLOOKUP(T808,Spieler!A:E,2,0)</f>
        <v>#N/A</v>
      </c>
      <c r="D808" s="170" t="str">
        <f>IFERROR(VLOOKUP($C808,Datensammler!$B:$AA,9,0),)</f>
        <v/>
      </c>
      <c r="E808" s="170" t="str">
        <f>IFERROR(VLOOKUP($C808,Datensammler!$B:$AA,10,0),)</f>
        <v/>
      </c>
      <c r="F808" s="170" t="str">
        <f>IFERROR(VLOOKUP($C808,Datensammler!$B:$AA,11,0),)</f>
        <v/>
      </c>
      <c r="G808" s="170" t="str">
        <f>IFERROR(VLOOKUP($C808,Datensammler!$B:$AA,12,0),)</f>
        <v/>
      </c>
      <c r="H808" s="170" t="str">
        <f>IFERROR(VLOOKUP($C808,Datensammler!$B:$AA,13,0),)</f>
        <v/>
      </c>
      <c r="I808" s="170" t="str">
        <f>IFERROR(VLOOKUP($C808,Datensammler!$B:$AA,14,0),)</f>
        <v/>
      </c>
      <c r="J808" s="169">
        <f t="shared" si="267"/>
        <v>0</v>
      </c>
      <c r="N808" s="176"/>
      <c r="T808" s="177" t="str">
        <f t="array" ref="T808">INDIRECT("Spieler!AD"&amp;B806+5)</f>
        <v/>
      </c>
    </row>
    <row r="809" ht="17.25" customHeight="1">
      <c r="A809" s="212"/>
      <c r="B809" s="167"/>
      <c r="C809" s="178" t="str">
        <f>VLOOKUP(C808,'Mitglieder BBU'!A:K,8,0)</f>
        <v>#N/A</v>
      </c>
      <c r="D809" s="179" t="str">
        <f>IFERROR(VLOOKUP($C808,Datensammler!$B:$AA,15,0),)</f>
        <v/>
      </c>
      <c r="E809" s="179" t="str">
        <f>IFERROR(VLOOKUP($C808,Datensammler!$B:$AA,16,0),)</f>
        <v/>
      </c>
      <c r="F809" s="179" t="str">
        <f>IFERROR(VLOOKUP($C808,Datensammler!$B:$AA,17,0),)</f>
        <v/>
      </c>
      <c r="G809" s="179" t="str">
        <f>IFERROR(VLOOKUP($C808,Datensammler!$B:$AA,18,0),)</f>
        <v/>
      </c>
      <c r="H809" s="179" t="str">
        <f>IFERROR(VLOOKUP($C808,Datensammler!$B:$AA,19,0),)</f>
        <v/>
      </c>
      <c r="I809" s="179" t="str">
        <f>IFERROR(VLOOKUP($C808,Datensammler!$B:$AA,20,0),)</f>
        <v/>
      </c>
      <c r="J809" s="180">
        <f t="shared" si="267"/>
        <v>0</v>
      </c>
      <c r="K809" s="181"/>
      <c r="L809" s="181"/>
      <c r="M809" s="181"/>
      <c r="N809" s="182"/>
      <c r="T809" s="172"/>
    </row>
    <row r="810" ht="17.25" customHeight="1">
      <c r="A810" s="212"/>
      <c r="B810" s="183"/>
      <c r="C810" s="184" t="str">
        <f>IF(VLOOKUP(T808,Spieler!A:F,6,0)="Nein","keine Bayerische Meisterschaft gewünscht","")</f>
        <v>#N/A</v>
      </c>
      <c r="D810" s="161"/>
      <c r="E810" s="170"/>
      <c r="F810" s="170"/>
      <c r="G810" s="185" t="s">
        <v>2562</v>
      </c>
      <c r="H810" s="186"/>
      <c r="I810" s="186"/>
      <c r="J810" s="186"/>
      <c r="K810" s="186"/>
      <c r="L810" s="187">
        <f t="shared" ref="L810:M810" si="268">SUM(L807:L809)</f>
        <v>0</v>
      </c>
      <c r="M810" s="110">
        <f t="shared" si="268"/>
        <v>0</v>
      </c>
      <c r="N810" s="188" t="str">
        <f>L810/M810</f>
        <v>#DIV/0!</v>
      </c>
      <c r="T810" s="189"/>
    </row>
    <row r="811" ht="17.25" customHeight="1">
      <c r="A811" s="212"/>
      <c r="B811" s="190"/>
      <c r="C811" s="178"/>
      <c r="D811" s="191"/>
      <c r="E811" s="191"/>
      <c r="F811" s="191"/>
      <c r="G811" s="191"/>
      <c r="H811" s="191"/>
      <c r="I811" s="191"/>
      <c r="J811" s="191"/>
      <c r="K811" s="191"/>
      <c r="L811" s="192"/>
      <c r="M811" s="191"/>
      <c r="N811" s="193"/>
      <c r="T811" s="194"/>
    </row>
    <row r="812" ht="17.25" customHeight="1">
      <c r="A812" s="212"/>
      <c r="B812" s="157">
        <f>B806+1</f>
        <v>135</v>
      </c>
      <c r="C812" s="158"/>
      <c r="D812" s="159" t="str">
        <f>VLOOKUP(C814,'Mitglieder BBU'!A:J,6,0)</f>
        <v>#N/A</v>
      </c>
      <c r="E812" s="60"/>
      <c r="F812" s="60"/>
      <c r="G812" s="60"/>
      <c r="H812" s="60"/>
      <c r="I812" s="61"/>
      <c r="J812" s="160"/>
      <c r="K812" s="161"/>
      <c r="L812" s="162"/>
      <c r="M812" s="163"/>
      <c r="N812" s="164"/>
      <c r="T812" s="165"/>
    </row>
    <row r="813" ht="17.25" customHeight="1">
      <c r="A813" s="212"/>
      <c r="B813" s="167"/>
      <c r="C813" s="168" t="str">
        <f>VLOOKUP(C814,'Mitglieder BBU'!A:J,6,0)</f>
        <v>#N/A</v>
      </c>
      <c r="D813" s="110" t="str">
        <f>IFERROR(VLOOKUP($C814,Datensammler!$B:$AA,3,0),)</f>
        <v/>
      </c>
      <c r="E813" s="110" t="str">
        <f>IFERROR(VLOOKUP($C814,Datensammler!$B:$AA,4,0),)</f>
        <v/>
      </c>
      <c r="F813" s="110" t="str">
        <f>IFERROR(VLOOKUP($C814,Datensammler!$B:$AA,5,0),)</f>
        <v/>
      </c>
      <c r="G813" s="110" t="str">
        <f>IFERROR(VLOOKUP($C814,Datensammler!$B:$AA,6,0),)</f>
        <v/>
      </c>
      <c r="H813" s="110" t="str">
        <f>IFERROR(VLOOKUP($C814,Datensammler!$B:$AA,7,0),)</f>
        <v/>
      </c>
      <c r="I813" s="110" t="str">
        <f>IFERROR(VLOOKUP($C814,Datensammler!$B:$AA,8,0),)</f>
        <v/>
      </c>
      <c r="J813" s="169">
        <f t="shared" ref="J813:J815" si="269">SUM(D813:I813)</f>
        <v>0</v>
      </c>
      <c r="K813" s="170" t="str">
        <f>IFERROR(VLOOKUP($C814,Datensammler!$B:$AA,23,0),)</f>
        <v/>
      </c>
      <c r="L813" s="161" t="str">
        <f>IFERROR(VLOOKUP($C814,Datensammler!$B:$AA,24,0),)</f>
        <v/>
      </c>
      <c r="M813" s="170" t="str">
        <f>IFERROR(VLOOKUP($C814,Datensammler!$B:$AA,25,0),)</f>
        <v/>
      </c>
      <c r="N813" s="171" t="str">
        <f>IF(C814=0,"",(VLOOKUP($C814,Datensammler!$B:$AA,26,0)))</f>
        <v>#N/A</v>
      </c>
      <c r="T813" s="172"/>
    </row>
    <row r="814" ht="17.25" customHeight="1">
      <c r="A814" s="212"/>
      <c r="B814" s="174"/>
      <c r="C814" s="175" t="str">
        <f>VLOOKUP(T814,Spieler!A:E,2,0)</f>
        <v>#N/A</v>
      </c>
      <c r="D814" s="170" t="str">
        <f>IFERROR(VLOOKUP($C814,Datensammler!$B:$AA,9,0),)</f>
        <v/>
      </c>
      <c r="E814" s="170" t="str">
        <f>IFERROR(VLOOKUP($C814,Datensammler!$B:$AA,10,0),)</f>
        <v/>
      </c>
      <c r="F814" s="170" t="str">
        <f>IFERROR(VLOOKUP($C814,Datensammler!$B:$AA,11,0),)</f>
        <v/>
      </c>
      <c r="G814" s="170" t="str">
        <f>IFERROR(VLOOKUP($C814,Datensammler!$B:$AA,12,0),)</f>
        <v/>
      </c>
      <c r="H814" s="170" t="str">
        <f>IFERROR(VLOOKUP($C814,Datensammler!$B:$AA,13,0),)</f>
        <v/>
      </c>
      <c r="I814" s="170" t="str">
        <f>IFERROR(VLOOKUP($C814,Datensammler!$B:$AA,14,0),)</f>
        <v/>
      </c>
      <c r="J814" s="169">
        <f t="shared" si="269"/>
        <v>0</v>
      </c>
      <c r="N814" s="176"/>
      <c r="T814" s="177" t="str">
        <f t="array" ref="T814">INDIRECT("Spieler!AD"&amp;B812+5)</f>
        <v/>
      </c>
    </row>
    <row r="815" ht="17.25" customHeight="1">
      <c r="A815" s="212"/>
      <c r="B815" s="167"/>
      <c r="C815" s="178" t="str">
        <f>VLOOKUP(C814,'Mitglieder BBU'!A:K,8,0)</f>
        <v>#N/A</v>
      </c>
      <c r="D815" s="179" t="str">
        <f>IFERROR(VLOOKUP($C814,Datensammler!$B:$AA,15,0),)</f>
        <v/>
      </c>
      <c r="E815" s="179" t="str">
        <f>IFERROR(VLOOKUP($C814,Datensammler!$B:$AA,16,0),)</f>
        <v/>
      </c>
      <c r="F815" s="179" t="str">
        <f>IFERROR(VLOOKUP($C814,Datensammler!$B:$AA,17,0),)</f>
        <v/>
      </c>
      <c r="G815" s="179" t="str">
        <f>IFERROR(VLOOKUP($C814,Datensammler!$B:$AA,18,0),)</f>
        <v/>
      </c>
      <c r="H815" s="179" t="str">
        <f>IFERROR(VLOOKUP($C814,Datensammler!$B:$AA,19,0),)</f>
        <v/>
      </c>
      <c r="I815" s="179" t="str">
        <f>IFERROR(VLOOKUP($C814,Datensammler!$B:$AA,20,0),)</f>
        <v/>
      </c>
      <c r="J815" s="180">
        <f t="shared" si="269"/>
        <v>0</v>
      </c>
      <c r="K815" s="181"/>
      <c r="L815" s="181"/>
      <c r="M815" s="181"/>
      <c r="N815" s="182"/>
      <c r="T815" s="172"/>
    </row>
    <row r="816" ht="17.25" customHeight="1">
      <c r="A816" s="212"/>
      <c r="B816" s="183"/>
      <c r="C816" s="184" t="str">
        <f>IF(VLOOKUP(T814,Spieler!A:F,6,0)="Nein","keine Bayerische Meisterschaft gewünscht","")</f>
        <v>#N/A</v>
      </c>
      <c r="D816" s="161"/>
      <c r="E816" s="170"/>
      <c r="F816" s="170"/>
      <c r="G816" s="185" t="s">
        <v>2562</v>
      </c>
      <c r="H816" s="186"/>
      <c r="I816" s="186"/>
      <c r="J816" s="186"/>
      <c r="K816" s="186"/>
      <c r="L816" s="187">
        <f t="shared" ref="L816:M816" si="270">SUM(L813:L815)</f>
        <v>0</v>
      </c>
      <c r="M816" s="110">
        <f t="shared" si="270"/>
        <v>0</v>
      </c>
      <c r="N816" s="188" t="str">
        <f>L816/M816</f>
        <v>#DIV/0!</v>
      </c>
      <c r="T816" s="189"/>
    </row>
    <row r="817" ht="17.25" customHeight="1">
      <c r="A817" s="212"/>
      <c r="B817" s="190"/>
      <c r="C817" s="178"/>
      <c r="D817" s="191"/>
      <c r="E817" s="191"/>
      <c r="F817" s="191"/>
      <c r="G817" s="191"/>
      <c r="H817" s="191"/>
      <c r="I817" s="191"/>
      <c r="J817" s="191"/>
      <c r="K817" s="110"/>
      <c r="L817" s="187"/>
      <c r="M817" s="110"/>
      <c r="N817" s="188"/>
      <c r="T817" s="194"/>
    </row>
    <row r="818" ht="17.25" customHeight="1">
      <c r="A818" s="212"/>
      <c r="B818" s="157">
        <f>B812+1</f>
        <v>136</v>
      </c>
      <c r="C818" s="158"/>
      <c r="D818" s="159" t="str">
        <f>VLOOKUP(C820,'Mitglieder BBU'!A:J,6,0)</f>
        <v>#N/A</v>
      </c>
      <c r="E818" s="60"/>
      <c r="F818" s="60"/>
      <c r="G818" s="60"/>
      <c r="H818" s="60"/>
      <c r="I818" s="61"/>
      <c r="J818" s="160"/>
      <c r="K818" s="161"/>
      <c r="L818" s="162"/>
      <c r="M818" s="163"/>
      <c r="N818" s="164"/>
      <c r="T818" s="165"/>
    </row>
    <row r="819" ht="17.25" customHeight="1">
      <c r="A819" s="212"/>
      <c r="B819" s="167"/>
      <c r="C819" s="168" t="str">
        <f>VLOOKUP(C820,'Mitglieder BBU'!A:J,6,0)</f>
        <v>#N/A</v>
      </c>
      <c r="D819" s="110" t="str">
        <f>IFERROR(VLOOKUP($C820,Datensammler!$B:$AA,3,0),)</f>
        <v/>
      </c>
      <c r="E819" s="110" t="str">
        <f>IFERROR(VLOOKUP($C820,Datensammler!$B:$AA,4,0),)</f>
        <v/>
      </c>
      <c r="F819" s="110" t="str">
        <f>IFERROR(VLOOKUP($C820,Datensammler!$B:$AA,5,0),)</f>
        <v/>
      </c>
      <c r="G819" s="110" t="str">
        <f>IFERROR(VLOOKUP($C820,Datensammler!$B:$AA,6,0),)</f>
        <v/>
      </c>
      <c r="H819" s="110" t="str">
        <f>IFERROR(VLOOKUP($C820,Datensammler!$B:$AA,7,0),)</f>
        <v/>
      </c>
      <c r="I819" s="110" t="str">
        <f>IFERROR(VLOOKUP($C820,Datensammler!$B:$AA,8,0),)</f>
        <v/>
      </c>
      <c r="J819" s="169">
        <f t="shared" ref="J819:J821" si="271">SUM(D819:I819)</f>
        <v>0</v>
      </c>
      <c r="K819" s="170" t="str">
        <f>IFERROR(VLOOKUP($C820,Datensammler!$B:$AA,23,0),)</f>
        <v/>
      </c>
      <c r="L819" s="161" t="str">
        <f>IFERROR(VLOOKUP($C820,Datensammler!$B:$AA,24,0),)</f>
        <v/>
      </c>
      <c r="M819" s="170" t="str">
        <f>IFERROR(VLOOKUP($C820,Datensammler!$B:$AA,25,0),)</f>
        <v/>
      </c>
      <c r="N819" s="171" t="str">
        <f>IF(C820=0,"",(VLOOKUP($C820,Datensammler!$B:$AA,26,0)))</f>
        <v>#N/A</v>
      </c>
      <c r="T819" s="172"/>
    </row>
    <row r="820" ht="17.25" customHeight="1">
      <c r="A820" s="212"/>
      <c r="B820" s="174"/>
      <c r="C820" s="175" t="str">
        <f>VLOOKUP(T820,Spieler!A:E,2,0)</f>
        <v>#N/A</v>
      </c>
      <c r="D820" s="170" t="str">
        <f>IFERROR(VLOOKUP($C820,Datensammler!$B:$AA,9,0),)</f>
        <v/>
      </c>
      <c r="E820" s="170" t="str">
        <f>IFERROR(VLOOKUP($C820,Datensammler!$B:$AA,10,0),)</f>
        <v/>
      </c>
      <c r="F820" s="170" t="str">
        <f>IFERROR(VLOOKUP($C820,Datensammler!$B:$AA,11,0),)</f>
        <v/>
      </c>
      <c r="G820" s="170" t="str">
        <f>IFERROR(VLOOKUP($C820,Datensammler!$B:$AA,12,0),)</f>
        <v/>
      </c>
      <c r="H820" s="170" t="str">
        <f>IFERROR(VLOOKUP($C820,Datensammler!$B:$AA,13,0),)</f>
        <v/>
      </c>
      <c r="I820" s="170" t="str">
        <f>IFERROR(VLOOKUP($C820,Datensammler!$B:$AA,14,0),)</f>
        <v/>
      </c>
      <c r="J820" s="169">
        <f t="shared" si="271"/>
        <v>0</v>
      </c>
      <c r="N820" s="176"/>
      <c r="T820" s="177" t="str">
        <f t="array" ref="T820">INDIRECT("Spieler!AD"&amp;B818+5)</f>
        <v/>
      </c>
    </row>
    <row r="821" ht="17.25" customHeight="1">
      <c r="A821" s="212"/>
      <c r="B821" s="167"/>
      <c r="C821" s="178" t="str">
        <f>VLOOKUP(C820,'Mitglieder BBU'!A:K,8,0)</f>
        <v>#N/A</v>
      </c>
      <c r="D821" s="179" t="str">
        <f>IFERROR(VLOOKUP($C820,Datensammler!$B:$AA,15,0),)</f>
        <v/>
      </c>
      <c r="E821" s="179" t="str">
        <f>IFERROR(VLOOKUP($C820,Datensammler!$B:$AA,16,0),)</f>
        <v/>
      </c>
      <c r="F821" s="179" t="str">
        <f>IFERROR(VLOOKUP($C820,Datensammler!$B:$AA,17,0),)</f>
        <v/>
      </c>
      <c r="G821" s="179" t="str">
        <f>IFERROR(VLOOKUP($C820,Datensammler!$B:$AA,18,0),)</f>
        <v/>
      </c>
      <c r="H821" s="179" t="str">
        <f>IFERROR(VLOOKUP($C820,Datensammler!$B:$AA,19,0),)</f>
        <v/>
      </c>
      <c r="I821" s="179" t="str">
        <f>IFERROR(VLOOKUP($C820,Datensammler!$B:$AA,20,0),)</f>
        <v/>
      </c>
      <c r="J821" s="180">
        <f t="shared" si="271"/>
        <v>0</v>
      </c>
      <c r="K821" s="181"/>
      <c r="L821" s="181"/>
      <c r="M821" s="181"/>
      <c r="N821" s="182"/>
      <c r="T821" s="172"/>
    </row>
    <row r="822" ht="17.25" customHeight="1">
      <c r="A822" s="212"/>
      <c r="B822" s="183"/>
      <c r="C822" s="184" t="str">
        <f>IF(VLOOKUP(T820,Spieler!A:F,6,0)="Nein","keine Bayerische Meisterschaft gewünscht","")</f>
        <v>#N/A</v>
      </c>
      <c r="D822" s="161"/>
      <c r="E822" s="170"/>
      <c r="F822" s="170"/>
      <c r="G822" s="185" t="s">
        <v>2562</v>
      </c>
      <c r="H822" s="186"/>
      <c r="I822" s="186"/>
      <c r="J822" s="186"/>
      <c r="K822" s="186"/>
      <c r="L822" s="187">
        <f t="shared" ref="L822:M822" si="272">SUM(L819:L821)</f>
        <v>0</v>
      </c>
      <c r="M822" s="110">
        <f t="shared" si="272"/>
        <v>0</v>
      </c>
      <c r="N822" s="188" t="str">
        <f>L822/M822</f>
        <v>#DIV/0!</v>
      </c>
      <c r="T822" s="189"/>
    </row>
    <row r="823" ht="17.25" customHeight="1">
      <c r="A823" s="212"/>
      <c r="B823" s="190"/>
      <c r="C823" s="178"/>
      <c r="D823" s="191"/>
      <c r="E823" s="191"/>
      <c r="F823" s="191"/>
      <c r="G823" s="191"/>
      <c r="H823" s="191"/>
      <c r="I823" s="191"/>
      <c r="J823" s="191"/>
      <c r="K823" s="191"/>
      <c r="L823" s="192"/>
      <c r="M823" s="191"/>
      <c r="N823" s="193"/>
      <c r="T823" s="194"/>
    </row>
    <row r="824" ht="17.25" customHeight="1">
      <c r="A824" s="212"/>
      <c r="B824" s="157">
        <f>B818+1</f>
        <v>137</v>
      </c>
      <c r="C824" s="158"/>
      <c r="D824" s="159" t="str">
        <f>VLOOKUP(C826,'Mitglieder BBU'!A:J,6,0)</f>
        <v>#N/A</v>
      </c>
      <c r="E824" s="60"/>
      <c r="F824" s="60"/>
      <c r="G824" s="60"/>
      <c r="H824" s="60"/>
      <c r="I824" s="61"/>
      <c r="J824" s="160"/>
      <c r="K824" s="161"/>
      <c r="L824" s="162"/>
      <c r="M824" s="163"/>
      <c r="N824" s="164"/>
      <c r="T824" s="165"/>
    </row>
    <row r="825" ht="21.0" customHeight="1">
      <c r="A825" s="212"/>
      <c r="B825" s="167"/>
      <c r="C825" s="168" t="str">
        <f>VLOOKUP(C826,'Mitglieder BBU'!A:J,6,0)</f>
        <v>#N/A</v>
      </c>
      <c r="D825" s="110" t="str">
        <f>IFERROR(VLOOKUP($C826,Datensammler!$B:$AA,3,0),)</f>
        <v/>
      </c>
      <c r="E825" s="110" t="str">
        <f>IFERROR(VLOOKUP($C826,Datensammler!$B:$AA,4,0),)</f>
        <v/>
      </c>
      <c r="F825" s="110" t="str">
        <f>IFERROR(VLOOKUP($C826,Datensammler!$B:$AA,5,0),)</f>
        <v/>
      </c>
      <c r="G825" s="110" t="str">
        <f>IFERROR(VLOOKUP($C826,Datensammler!$B:$AA,6,0),)</f>
        <v/>
      </c>
      <c r="H825" s="110" t="str">
        <f>IFERROR(VLOOKUP($C826,Datensammler!$B:$AA,7,0),)</f>
        <v/>
      </c>
      <c r="I825" s="110" t="str">
        <f>IFERROR(VLOOKUP($C826,Datensammler!$B:$AA,8,0),)</f>
        <v/>
      </c>
      <c r="J825" s="169">
        <f t="shared" ref="J825:J827" si="273">SUM(D825:I825)</f>
        <v>0</v>
      </c>
      <c r="K825" s="170" t="str">
        <f>IFERROR(VLOOKUP($C826,Datensammler!$B:$AA,23,0),)</f>
        <v/>
      </c>
      <c r="L825" s="161" t="str">
        <f>IFERROR(VLOOKUP($C826,Datensammler!$B:$AA,24,0),)</f>
        <v/>
      </c>
      <c r="M825" s="170" t="str">
        <f>IFERROR(VLOOKUP($C826,Datensammler!$B:$AA,25,0),)</f>
        <v/>
      </c>
      <c r="N825" s="171" t="str">
        <f>IF(C826=0,"",(VLOOKUP($C826,Datensammler!$B:$AA,26,0)))</f>
        <v>#N/A</v>
      </c>
      <c r="T825" s="172"/>
    </row>
    <row r="826" ht="21.0" customHeight="1">
      <c r="A826" s="212"/>
      <c r="B826" s="174"/>
      <c r="C826" s="175" t="str">
        <f>VLOOKUP(T826,Spieler!A:E,2,0)</f>
        <v>#N/A</v>
      </c>
      <c r="D826" s="170" t="str">
        <f>IFERROR(VLOOKUP($C826,Datensammler!$B:$AA,9,0),)</f>
        <v/>
      </c>
      <c r="E826" s="170" t="str">
        <f>IFERROR(VLOOKUP($C826,Datensammler!$B:$AA,10,0),)</f>
        <v/>
      </c>
      <c r="F826" s="170" t="str">
        <f>IFERROR(VLOOKUP($C826,Datensammler!$B:$AA,11,0),)</f>
        <v/>
      </c>
      <c r="G826" s="170" t="str">
        <f>IFERROR(VLOOKUP($C826,Datensammler!$B:$AA,12,0),)</f>
        <v/>
      </c>
      <c r="H826" s="170" t="str">
        <f>IFERROR(VLOOKUP($C826,Datensammler!$B:$AA,13,0),)</f>
        <v/>
      </c>
      <c r="I826" s="170" t="str">
        <f>IFERROR(VLOOKUP($C826,Datensammler!$B:$AA,14,0),)</f>
        <v/>
      </c>
      <c r="J826" s="169">
        <f t="shared" si="273"/>
        <v>0</v>
      </c>
      <c r="N826" s="176"/>
      <c r="T826" s="177" t="str">
        <f t="array" ref="T826">INDIRECT("Spieler!AD"&amp;B824+5)</f>
        <v/>
      </c>
    </row>
    <row r="827" ht="21.0" customHeight="1">
      <c r="A827" s="212"/>
      <c r="B827" s="167"/>
      <c r="C827" s="178" t="str">
        <f>VLOOKUP(C826,'Mitglieder BBU'!A:K,8,0)</f>
        <v>#N/A</v>
      </c>
      <c r="D827" s="179" t="str">
        <f>IFERROR(VLOOKUP($C826,Datensammler!$B:$AA,15,0),)</f>
        <v/>
      </c>
      <c r="E827" s="179" t="str">
        <f>IFERROR(VLOOKUP($C826,Datensammler!$B:$AA,16,0),)</f>
        <v/>
      </c>
      <c r="F827" s="179" t="str">
        <f>IFERROR(VLOOKUP($C826,Datensammler!$B:$AA,17,0),)</f>
        <v/>
      </c>
      <c r="G827" s="179" t="str">
        <f>IFERROR(VLOOKUP($C826,Datensammler!$B:$AA,18,0),)</f>
        <v/>
      </c>
      <c r="H827" s="179" t="str">
        <f>IFERROR(VLOOKUP($C826,Datensammler!$B:$AA,19,0),)</f>
        <v/>
      </c>
      <c r="I827" s="179" t="str">
        <f>IFERROR(VLOOKUP($C826,Datensammler!$B:$AA,20,0),)</f>
        <v/>
      </c>
      <c r="J827" s="180">
        <f t="shared" si="273"/>
        <v>0</v>
      </c>
      <c r="K827" s="181"/>
      <c r="L827" s="181"/>
      <c r="M827" s="181"/>
      <c r="N827" s="182"/>
      <c r="T827" s="172"/>
    </row>
    <row r="828" ht="21.0" customHeight="1">
      <c r="A828" s="212"/>
      <c r="B828" s="183"/>
      <c r="C828" s="184" t="str">
        <f>IF(VLOOKUP(T826,Spieler!A:F,6,0)="Nein","keine Bayerische Meisterschaft gewünscht","")</f>
        <v>#N/A</v>
      </c>
      <c r="D828" s="161"/>
      <c r="E828" s="170"/>
      <c r="F828" s="170"/>
      <c r="G828" s="185" t="s">
        <v>2562</v>
      </c>
      <c r="H828" s="186"/>
      <c r="I828" s="186"/>
      <c r="J828" s="186"/>
      <c r="K828" s="186"/>
      <c r="L828" s="187">
        <f t="shared" ref="L828:M828" si="274">SUM(L825:L827)</f>
        <v>0</v>
      </c>
      <c r="M828" s="110">
        <f t="shared" si="274"/>
        <v>0</v>
      </c>
      <c r="N828" s="188" t="str">
        <f>L828/M828</f>
        <v>#DIV/0!</v>
      </c>
      <c r="T828" s="189"/>
    </row>
    <row r="829" ht="21.0" customHeight="1">
      <c r="A829" s="212"/>
      <c r="B829" s="190"/>
      <c r="C829" s="178"/>
      <c r="D829" s="191"/>
      <c r="E829" s="191"/>
      <c r="F829" s="191"/>
      <c r="G829" s="191"/>
      <c r="H829" s="191"/>
      <c r="I829" s="191"/>
      <c r="J829" s="191"/>
      <c r="K829" s="191"/>
      <c r="L829" s="192"/>
      <c r="M829" s="191"/>
      <c r="N829" s="193"/>
      <c r="T829" s="194"/>
    </row>
    <row r="830" ht="21.0" customHeight="1">
      <c r="A830" s="212"/>
      <c r="B830" s="157">
        <f>B824+1</f>
        <v>138</v>
      </c>
      <c r="C830" s="158"/>
      <c r="D830" s="159" t="str">
        <f>VLOOKUP(C832,'Mitglieder BBU'!A:J,6,0)</f>
        <v>#N/A</v>
      </c>
      <c r="E830" s="60"/>
      <c r="F830" s="60"/>
      <c r="G830" s="60"/>
      <c r="H830" s="60"/>
      <c r="I830" s="61"/>
      <c r="J830" s="160"/>
      <c r="K830" s="161"/>
      <c r="L830" s="162"/>
      <c r="M830" s="163"/>
      <c r="N830" s="164"/>
      <c r="T830" s="165"/>
    </row>
    <row r="831" ht="21.0" customHeight="1">
      <c r="A831" s="212"/>
      <c r="B831" s="167"/>
      <c r="C831" s="168" t="str">
        <f>VLOOKUP(C832,'Mitglieder BBU'!A:J,6,0)</f>
        <v>#N/A</v>
      </c>
      <c r="D831" s="110" t="str">
        <f>IFERROR(VLOOKUP($C832,Datensammler!$B:$AA,3,0),)</f>
        <v/>
      </c>
      <c r="E831" s="110" t="str">
        <f>IFERROR(VLOOKUP($C832,Datensammler!$B:$AA,4,0),)</f>
        <v/>
      </c>
      <c r="F831" s="110" t="str">
        <f>IFERROR(VLOOKUP($C832,Datensammler!$B:$AA,5,0),)</f>
        <v/>
      </c>
      <c r="G831" s="110" t="str">
        <f>IFERROR(VLOOKUP($C832,Datensammler!$B:$AA,6,0),)</f>
        <v/>
      </c>
      <c r="H831" s="110" t="str">
        <f>IFERROR(VLOOKUP($C832,Datensammler!$B:$AA,7,0),)</f>
        <v/>
      </c>
      <c r="I831" s="110" t="str">
        <f>IFERROR(VLOOKUP($C832,Datensammler!$B:$AA,8,0),)</f>
        <v/>
      </c>
      <c r="J831" s="169">
        <f t="shared" ref="J831:J833" si="275">SUM(D831:I831)</f>
        <v>0</v>
      </c>
      <c r="K831" s="170" t="str">
        <f>IFERROR(VLOOKUP($C832,Datensammler!$B:$AA,23,0),)</f>
        <v/>
      </c>
      <c r="L831" s="161" t="str">
        <f>IFERROR(VLOOKUP($C832,Datensammler!$B:$AA,24,0),)</f>
        <v/>
      </c>
      <c r="M831" s="170" t="str">
        <f>IFERROR(VLOOKUP($C832,Datensammler!$B:$AA,25,0),)</f>
        <v/>
      </c>
      <c r="N831" s="171" t="str">
        <f>IF(C832=0,"",(VLOOKUP($C832,Datensammler!$B:$AA,26,0)))</f>
        <v>#N/A</v>
      </c>
      <c r="T831" s="172"/>
    </row>
    <row r="832" ht="21.0" customHeight="1">
      <c r="A832" s="212"/>
      <c r="B832" s="174"/>
      <c r="C832" s="175" t="str">
        <f>VLOOKUP(T832,Spieler!A:E,2,0)</f>
        <v>#N/A</v>
      </c>
      <c r="D832" s="170" t="str">
        <f>IFERROR(VLOOKUP($C832,Datensammler!$B:$AA,9,0),)</f>
        <v/>
      </c>
      <c r="E832" s="170" t="str">
        <f>IFERROR(VLOOKUP($C832,Datensammler!$B:$AA,10,0),)</f>
        <v/>
      </c>
      <c r="F832" s="170" t="str">
        <f>IFERROR(VLOOKUP($C832,Datensammler!$B:$AA,11,0),)</f>
        <v/>
      </c>
      <c r="G832" s="170" t="str">
        <f>IFERROR(VLOOKUP($C832,Datensammler!$B:$AA,12,0),)</f>
        <v/>
      </c>
      <c r="H832" s="170" t="str">
        <f>IFERROR(VLOOKUP($C832,Datensammler!$B:$AA,13,0),)</f>
        <v/>
      </c>
      <c r="I832" s="170" t="str">
        <f>IFERROR(VLOOKUP($C832,Datensammler!$B:$AA,14,0),)</f>
        <v/>
      </c>
      <c r="J832" s="169">
        <f t="shared" si="275"/>
        <v>0</v>
      </c>
      <c r="N832" s="176"/>
      <c r="T832" s="177" t="str">
        <f t="array" ref="T832">INDIRECT("Spieler!AD"&amp;B830+5)</f>
        <v/>
      </c>
    </row>
    <row r="833" ht="21.0" customHeight="1">
      <c r="A833" s="212"/>
      <c r="B833" s="167"/>
      <c r="C833" s="178" t="str">
        <f>VLOOKUP(C832,'Mitglieder BBU'!A:K,8,0)</f>
        <v>#N/A</v>
      </c>
      <c r="D833" s="179" t="str">
        <f>IFERROR(VLOOKUP($C832,Datensammler!$B:$AA,15,0),)</f>
        <v/>
      </c>
      <c r="E833" s="179" t="str">
        <f>IFERROR(VLOOKUP($C832,Datensammler!$B:$AA,16,0),)</f>
        <v/>
      </c>
      <c r="F833" s="179" t="str">
        <f>IFERROR(VLOOKUP($C832,Datensammler!$B:$AA,17,0),)</f>
        <v/>
      </c>
      <c r="G833" s="179" t="str">
        <f>IFERROR(VLOOKUP($C832,Datensammler!$B:$AA,18,0),)</f>
        <v/>
      </c>
      <c r="H833" s="179" t="str">
        <f>IFERROR(VLOOKUP($C832,Datensammler!$B:$AA,19,0),)</f>
        <v/>
      </c>
      <c r="I833" s="179" t="str">
        <f>IFERROR(VLOOKUP($C832,Datensammler!$B:$AA,20,0),)</f>
        <v/>
      </c>
      <c r="J833" s="180">
        <f t="shared" si="275"/>
        <v>0</v>
      </c>
      <c r="K833" s="181"/>
      <c r="L833" s="181"/>
      <c r="M833" s="181"/>
      <c r="N833" s="182"/>
      <c r="T833" s="172"/>
    </row>
    <row r="834" ht="21.0" customHeight="1">
      <c r="A834" s="212"/>
      <c r="B834" s="183"/>
      <c r="C834" s="184" t="str">
        <f>IF(VLOOKUP(T832,Spieler!A:F,6,0)="Nein","keine Bayerische Meisterschaft gewünscht","")</f>
        <v>#N/A</v>
      </c>
      <c r="D834" s="161"/>
      <c r="E834" s="170"/>
      <c r="F834" s="170"/>
      <c r="G834" s="185" t="s">
        <v>2562</v>
      </c>
      <c r="H834" s="186"/>
      <c r="I834" s="186"/>
      <c r="J834" s="186"/>
      <c r="K834" s="186"/>
      <c r="L834" s="187">
        <f t="shared" ref="L834:M834" si="276">SUM(L831:L833)</f>
        <v>0</v>
      </c>
      <c r="M834" s="110">
        <f t="shared" si="276"/>
        <v>0</v>
      </c>
      <c r="N834" s="188" t="str">
        <f>L834/M834</f>
        <v>#DIV/0!</v>
      </c>
      <c r="T834" s="189"/>
    </row>
    <row r="835" ht="21.0" customHeight="1">
      <c r="A835" s="212"/>
      <c r="B835" s="190"/>
      <c r="C835" s="178"/>
      <c r="D835" s="191"/>
      <c r="E835" s="191"/>
      <c r="F835" s="191"/>
      <c r="G835" s="191"/>
      <c r="H835" s="191"/>
      <c r="I835" s="191"/>
      <c r="J835" s="191"/>
      <c r="K835" s="191"/>
      <c r="L835" s="192"/>
      <c r="M835" s="191"/>
      <c r="N835" s="193"/>
      <c r="T835" s="194"/>
    </row>
    <row r="836" ht="21.0" customHeight="1">
      <c r="A836" s="212"/>
      <c r="B836" s="157">
        <f>B830+1</f>
        <v>139</v>
      </c>
      <c r="C836" s="158"/>
      <c r="D836" s="159" t="str">
        <f>VLOOKUP(C838,'Mitglieder BBU'!A:J,6,0)</f>
        <v>#N/A</v>
      </c>
      <c r="E836" s="60"/>
      <c r="F836" s="60"/>
      <c r="G836" s="60"/>
      <c r="H836" s="60"/>
      <c r="I836" s="61"/>
      <c r="J836" s="160"/>
      <c r="K836" s="161"/>
      <c r="L836" s="162"/>
      <c r="M836" s="163"/>
      <c r="N836" s="164"/>
      <c r="T836" s="165"/>
    </row>
    <row r="837" ht="21.0" customHeight="1">
      <c r="A837" s="212"/>
      <c r="B837" s="167"/>
      <c r="C837" s="168" t="str">
        <f>VLOOKUP(C838,'Mitglieder BBU'!A:J,6,0)</f>
        <v>#N/A</v>
      </c>
      <c r="D837" s="110" t="str">
        <f>IFERROR(VLOOKUP($C838,Datensammler!$B:$AA,3,0),)</f>
        <v/>
      </c>
      <c r="E837" s="110" t="str">
        <f>IFERROR(VLOOKUP($C838,Datensammler!$B:$AA,4,0),)</f>
        <v/>
      </c>
      <c r="F837" s="110" t="str">
        <f>IFERROR(VLOOKUP($C838,Datensammler!$B:$AA,5,0),)</f>
        <v/>
      </c>
      <c r="G837" s="110" t="str">
        <f>IFERROR(VLOOKUP($C838,Datensammler!$B:$AA,6,0),)</f>
        <v/>
      </c>
      <c r="H837" s="110" t="str">
        <f>IFERROR(VLOOKUP($C838,Datensammler!$B:$AA,7,0),)</f>
        <v/>
      </c>
      <c r="I837" s="110" t="str">
        <f>IFERROR(VLOOKUP($C838,Datensammler!$B:$AA,8,0),)</f>
        <v/>
      </c>
      <c r="J837" s="169">
        <f t="shared" ref="J837:J839" si="277">SUM(D837:I837)</f>
        <v>0</v>
      </c>
      <c r="K837" s="170" t="str">
        <f>IFERROR(VLOOKUP($C838,Datensammler!$B:$AA,23,0),)</f>
        <v/>
      </c>
      <c r="L837" s="161" t="str">
        <f>IFERROR(VLOOKUP($C838,Datensammler!$B:$AA,24,0),)</f>
        <v/>
      </c>
      <c r="M837" s="170" t="str">
        <f>IFERROR(VLOOKUP($C838,Datensammler!$B:$AA,25,0),)</f>
        <v/>
      </c>
      <c r="N837" s="171" t="str">
        <f>IF(C838=0,"",(VLOOKUP($C838,Datensammler!$B:$AA,26,0)))</f>
        <v>#N/A</v>
      </c>
      <c r="T837" s="172"/>
    </row>
    <row r="838" ht="21.0" customHeight="1">
      <c r="A838" s="212"/>
      <c r="B838" s="174"/>
      <c r="C838" s="175" t="str">
        <f>VLOOKUP(T838,Spieler!A:E,2,0)</f>
        <v>#N/A</v>
      </c>
      <c r="D838" s="170" t="str">
        <f>IFERROR(VLOOKUP($C838,Datensammler!$B:$AA,9,0),)</f>
        <v/>
      </c>
      <c r="E838" s="170" t="str">
        <f>IFERROR(VLOOKUP($C838,Datensammler!$B:$AA,10,0),)</f>
        <v/>
      </c>
      <c r="F838" s="170" t="str">
        <f>IFERROR(VLOOKUP($C838,Datensammler!$B:$AA,11,0),)</f>
        <v/>
      </c>
      <c r="G838" s="170" t="str">
        <f>IFERROR(VLOOKUP($C838,Datensammler!$B:$AA,12,0),)</f>
        <v/>
      </c>
      <c r="H838" s="170" t="str">
        <f>IFERROR(VLOOKUP($C838,Datensammler!$B:$AA,13,0),)</f>
        <v/>
      </c>
      <c r="I838" s="170" t="str">
        <f>IFERROR(VLOOKUP($C838,Datensammler!$B:$AA,14,0),)</f>
        <v/>
      </c>
      <c r="J838" s="169">
        <f t="shared" si="277"/>
        <v>0</v>
      </c>
      <c r="N838" s="176"/>
      <c r="T838" s="177" t="str">
        <f t="array" ref="T838">INDIRECT("Spieler!AD"&amp;B836+5)</f>
        <v/>
      </c>
    </row>
    <row r="839" ht="21.0" customHeight="1">
      <c r="A839" s="212"/>
      <c r="B839" s="167"/>
      <c r="C839" s="178" t="str">
        <f>VLOOKUP(C838,'Mitglieder BBU'!A:K,8,0)</f>
        <v>#N/A</v>
      </c>
      <c r="D839" s="179" t="str">
        <f>IFERROR(VLOOKUP($C838,Datensammler!$B:$AA,15,0),)</f>
        <v/>
      </c>
      <c r="E839" s="179" t="str">
        <f>IFERROR(VLOOKUP($C838,Datensammler!$B:$AA,16,0),)</f>
        <v/>
      </c>
      <c r="F839" s="179" t="str">
        <f>IFERROR(VLOOKUP($C838,Datensammler!$B:$AA,17,0),)</f>
        <v/>
      </c>
      <c r="G839" s="179" t="str">
        <f>IFERROR(VLOOKUP($C838,Datensammler!$B:$AA,18,0),)</f>
        <v/>
      </c>
      <c r="H839" s="179" t="str">
        <f>IFERROR(VLOOKUP($C838,Datensammler!$B:$AA,19,0),)</f>
        <v/>
      </c>
      <c r="I839" s="179" t="str">
        <f>IFERROR(VLOOKUP($C838,Datensammler!$B:$AA,20,0),)</f>
        <v/>
      </c>
      <c r="J839" s="180">
        <f t="shared" si="277"/>
        <v>0</v>
      </c>
      <c r="K839" s="181"/>
      <c r="L839" s="181"/>
      <c r="M839" s="181"/>
      <c r="N839" s="182"/>
      <c r="T839" s="172"/>
    </row>
    <row r="840" ht="21.0" customHeight="1">
      <c r="A840" s="212"/>
      <c r="B840" s="183"/>
      <c r="C840" s="184" t="str">
        <f>IF(VLOOKUP(T838,Spieler!A:F,6,0)="Nein","keine Bayerische Meisterschaft gewünscht","")</f>
        <v>#N/A</v>
      </c>
      <c r="D840" s="161"/>
      <c r="E840" s="170"/>
      <c r="F840" s="170"/>
      <c r="G840" s="185" t="s">
        <v>2562</v>
      </c>
      <c r="H840" s="186"/>
      <c r="I840" s="186"/>
      <c r="J840" s="186"/>
      <c r="K840" s="186"/>
      <c r="L840" s="187">
        <f t="shared" ref="L840:M840" si="278">SUM(L837:L839)</f>
        <v>0</v>
      </c>
      <c r="M840" s="110">
        <f t="shared" si="278"/>
        <v>0</v>
      </c>
      <c r="N840" s="188" t="str">
        <f>L840/M840</f>
        <v>#DIV/0!</v>
      </c>
      <c r="T840" s="189"/>
    </row>
    <row r="841" ht="21.0" customHeight="1">
      <c r="A841" s="212"/>
      <c r="B841" s="190"/>
      <c r="C841" s="178"/>
      <c r="D841" s="191"/>
      <c r="E841" s="191"/>
      <c r="F841" s="191"/>
      <c r="G841" s="191"/>
      <c r="H841" s="191"/>
      <c r="I841" s="191"/>
      <c r="J841" s="191"/>
      <c r="K841" s="191"/>
      <c r="L841" s="192"/>
      <c r="M841" s="191"/>
      <c r="N841" s="193"/>
      <c r="T841" s="194"/>
    </row>
    <row r="842" ht="21.0" customHeight="1">
      <c r="A842" s="212"/>
      <c r="B842" s="157">
        <f>B836+1</f>
        <v>140</v>
      </c>
      <c r="C842" s="158"/>
      <c r="D842" s="159" t="str">
        <f>VLOOKUP(C844,'Mitglieder BBU'!A:J,6,0)</f>
        <v>#N/A</v>
      </c>
      <c r="E842" s="60"/>
      <c r="F842" s="60"/>
      <c r="G842" s="60"/>
      <c r="H842" s="60"/>
      <c r="I842" s="61"/>
      <c r="J842" s="160"/>
      <c r="K842" s="161"/>
      <c r="L842" s="162"/>
      <c r="M842" s="163"/>
      <c r="N842" s="164"/>
      <c r="T842" s="165"/>
    </row>
    <row r="843" ht="21.0" customHeight="1">
      <c r="A843" s="212"/>
      <c r="B843" s="167"/>
      <c r="C843" s="168" t="str">
        <f>VLOOKUP(C844,'Mitglieder BBU'!A:J,6,0)</f>
        <v>#N/A</v>
      </c>
      <c r="D843" s="110" t="str">
        <f>IFERROR(VLOOKUP($C844,Datensammler!$B:$AA,3,0),)</f>
        <v/>
      </c>
      <c r="E843" s="110" t="str">
        <f>IFERROR(VLOOKUP($C844,Datensammler!$B:$AA,4,0),)</f>
        <v/>
      </c>
      <c r="F843" s="110" t="str">
        <f>IFERROR(VLOOKUP($C844,Datensammler!$B:$AA,5,0),)</f>
        <v/>
      </c>
      <c r="G843" s="110" t="str">
        <f>IFERROR(VLOOKUP($C844,Datensammler!$B:$AA,6,0),)</f>
        <v/>
      </c>
      <c r="H843" s="110" t="str">
        <f>IFERROR(VLOOKUP($C844,Datensammler!$B:$AA,7,0),)</f>
        <v/>
      </c>
      <c r="I843" s="110" t="str">
        <f>IFERROR(VLOOKUP($C844,Datensammler!$B:$AA,8,0),)</f>
        <v/>
      </c>
      <c r="J843" s="169">
        <f t="shared" ref="J843:J845" si="279">SUM(D843:I843)</f>
        <v>0</v>
      </c>
      <c r="K843" s="170" t="str">
        <f>IFERROR(VLOOKUP($C844,Datensammler!$B:$AA,23,0),)</f>
        <v/>
      </c>
      <c r="L843" s="161" t="str">
        <f>IFERROR(VLOOKUP($C844,Datensammler!$B:$AA,24,0),)</f>
        <v/>
      </c>
      <c r="M843" s="170" t="str">
        <f>IFERROR(VLOOKUP($C844,Datensammler!$B:$AA,25,0),)</f>
        <v/>
      </c>
      <c r="N843" s="171" t="str">
        <f>IF(C844=0,"",(VLOOKUP($C844,Datensammler!$B:$AA,26,0)))</f>
        <v>#N/A</v>
      </c>
      <c r="T843" s="172"/>
    </row>
    <row r="844" ht="21.0" customHeight="1">
      <c r="A844" s="212"/>
      <c r="B844" s="174"/>
      <c r="C844" s="175" t="str">
        <f>VLOOKUP(T844,Spieler!A:E,2,0)</f>
        <v>#N/A</v>
      </c>
      <c r="D844" s="170" t="str">
        <f>IFERROR(VLOOKUP($C844,Datensammler!$B:$AA,9,0),)</f>
        <v/>
      </c>
      <c r="E844" s="170" t="str">
        <f>IFERROR(VLOOKUP($C844,Datensammler!$B:$AA,10,0),)</f>
        <v/>
      </c>
      <c r="F844" s="170" t="str">
        <f>IFERROR(VLOOKUP($C844,Datensammler!$B:$AA,11,0),)</f>
        <v/>
      </c>
      <c r="G844" s="170" t="str">
        <f>IFERROR(VLOOKUP($C844,Datensammler!$B:$AA,12,0),)</f>
        <v/>
      </c>
      <c r="H844" s="170" t="str">
        <f>IFERROR(VLOOKUP($C844,Datensammler!$B:$AA,13,0),)</f>
        <v/>
      </c>
      <c r="I844" s="170" t="str">
        <f>IFERROR(VLOOKUP($C844,Datensammler!$B:$AA,14,0),)</f>
        <v/>
      </c>
      <c r="J844" s="169">
        <f t="shared" si="279"/>
        <v>0</v>
      </c>
      <c r="N844" s="176"/>
      <c r="T844" s="177" t="str">
        <f t="array" ref="T844">INDIRECT("Spieler!AD"&amp;B842+5)</f>
        <v/>
      </c>
    </row>
    <row r="845" ht="21.0" customHeight="1">
      <c r="A845" s="212"/>
      <c r="B845" s="167"/>
      <c r="C845" s="178" t="str">
        <f>VLOOKUP(C844,'Mitglieder BBU'!A:K,8,0)</f>
        <v>#N/A</v>
      </c>
      <c r="D845" s="179" t="str">
        <f>IFERROR(VLOOKUP($C844,Datensammler!$B:$AA,15,0),)</f>
        <v/>
      </c>
      <c r="E845" s="179" t="str">
        <f>IFERROR(VLOOKUP($C844,Datensammler!$B:$AA,16,0),)</f>
        <v/>
      </c>
      <c r="F845" s="179" t="str">
        <f>IFERROR(VLOOKUP($C844,Datensammler!$B:$AA,17,0),)</f>
        <v/>
      </c>
      <c r="G845" s="179" t="str">
        <f>IFERROR(VLOOKUP($C844,Datensammler!$B:$AA,18,0),)</f>
        <v/>
      </c>
      <c r="H845" s="179" t="str">
        <f>IFERROR(VLOOKUP($C844,Datensammler!$B:$AA,19,0),)</f>
        <v/>
      </c>
      <c r="I845" s="179" t="str">
        <f>IFERROR(VLOOKUP($C844,Datensammler!$B:$AA,20,0),)</f>
        <v/>
      </c>
      <c r="J845" s="180">
        <f t="shared" si="279"/>
        <v>0</v>
      </c>
      <c r="K845" s="181"/>
      <c r="L845" s="181"/>
      <c r="M845" s="181"/>
      <c r="N845" s="182"/>
      <c r="T845" s="172"/>
    </row>
    <row r="846" ht="21.0" customHeight="1">
      <c r="A846" s="212"/>
      <c r="B846" s="183"/>
      <c r="C846" s="184" t="str">
        <f>IF(VLOOKUP(T844,Spieler!A:F,6,0)="Nein","keine Bayerische Meisterschaft gewünscht","")</f>
        <v>#N/A</v>
      </c>
      <c r="D846" s="161"/>
      <c r="E846" s="170"/>
      <c r="F846" s="170"/>
      <c r="G846" s="185" t="s">
        <v>2562</v>
      </c>
      <c r="H846" s="186"/>
      <c r="I846" s="186"/>
      <c r="J846" s="186"/>
      <c r="K846" s="186"/>
      <c r="L846" s="187">
        <f t="shared" ref="L846:M846" si="280">SUM(L843:L845)</f>
        <v>0</v>
      </c>
      <c r="M846" s="110">
        <f t="shared" si="280"/>
        <v>0</v>
      </c>
      <c r="N846" s="188" t="str">
        <f>L846/M846</f>
        <v>#DIV/0!</v>
      </c>
      <c r="T846" s="189"/>
    </row>
    <row r="847" ht="21.0" customHeight="1">
      <c r="A847" s="212"/>
      <c r="B847" s="190"/>
      <c r="C847" s="178"/>
      <c r="D847" s="191"/>
      <c r="E847" s="191"/>
      <c r="F847" s="191"/>
      <c r="G847" s="191"/>
      <c r="H847" s="191"/>
      <c r="I847" s="191"/>
      <c r="J847" s="191"/>
      <c r="K847" s="191"/>
      <c r="L847" s="192"/>
      <c r="M847" s="191"/>
      <c r="N847" s="193"/>
      <c r="T847" s="194"/>
    </row>
    <row r="848" ht="21.0" customHeight="1">
      <c r="A848" s="212"/>
      <c r="C848" s="133"/>
      <c r="D848" s="4"/>
      <c r="E848" s="4"/>
      <c r="F848" s="4"/>
      <c r="G848" s="4"/>
      <c r="H848" s="4"/>
      <c r="I848" s="4"/>
      <c r="J848" s="134"/>
      <c r="K848" s="134"/>
      <c r="L848" s="135"/>
      <c r="T848" s="136"/>
    </row>
    <row r="849" ht="21.0" customHeight="1">
      <c r="A849" s="212"/>
      <c r="C849" s="133"/>
      <c r="D849" s="4"/>
      <c r="E849" s="4"/>
      <c r="F849" s="4"/>
      <c r="G849" s="4"/>
      <c r="H849" s="4"/>
      <c r="I849" s="4"/>
      <c r="J849" s="134"/>
      <c r="K849" s="134"/>
      <c r="L849" s="135"/>
      <c r="T849" s="136"/>
    </row>
    <row r="850" ht="21.0" customHeight="1">
      <c r="A850" s="212"/>
      <c r="C850" s="133"/>
      <c r="D850" s="4"/>
      <c r="E850" s="4"/>
      <c r="F850" s="4"/>
      <c r="G850" s="4"/>
      <c r="H850" s="4"/>
      <c r="I850" s="4"/>
      <c r="J850" s="134"/>
      <c r="K850" s="134"/>
      <c r="L850" s="135"/>
      <c r="T850" s="136"/>
    </row>
    <row r="851" ht="21.0" customHeight="1">
      <c r="A851" s="212"/>
      <c r="C851" s="133"/>
      <c r="D851" s="4"/>
      <c r="E851" s="4"/>
      <c r="F851" s="4"/>
      <c r="G851" s="4"/>
      <c r="H851" s="4"/>
      <c r="I851" s="4"/>
      <c r="J851" s="134"/>
      <c r="K851" s="134"/>
      <c r="L851" s="135"/>
      <c r="T851" s="136"/>
    </row>
    <row r="852" ht="21.0" customHeight="1">
      <c r="A852" s="212"/>
      <c r="C852" s="133"/>
      <c r="D852" s="4"/>
      <c r="E852" s="4"/>
      <c r="F852" s="4"/>
      <c r="G852" s="4"/>
      <c r="H852" s="4"/>
      <c r="I852" s="4"/>
      <c r="J852" s="134"/>
      <c r="K852" s="134"/>
      <c r="L852" s="135"/>
      <c r="T852" s="136"/>
    </row>
    <row r="853" ht="21.0" customHeight="1">
      <c r="A853" s="212"/>
      <c r="C853" s="133"/>
      <c r="D853" s="4"/>
      <c r="E853" s="4"/>
      <c r="F853" s="4"/>
      <c r="G853" s="4"/>
      <c r="H853" s="4"/>
      <c r="I853" s="4"/>
      <c r="J853" s="134"/>
      <c r="K853" s="134"/>
      <c r="L853" s="135"/>
      <c r="T853" s="136"/>
    </row>
    <row r="854" ht="21.0" customHeight="1">
      <c r="A854" s="212"/>
      <c r="C854" s="133"/>
      <c r="D854" s="4"/>
      <c r="E854" s="4"/>
      <c r="F854" s="4"/>
      <c r="G854" s="4"/>
      <c r="H854" s="4"/>
      <c r="I854" s="4"/>
      <c r="J854" s="134"/>
      <c r="K854" s="134"/>
      <c r="L854" s="135"/>
      <c r="T854" s="136"/>
    </row>
    <row r="855" ht="21.0" customHeight="1">
      <c r="A855" s="212"/>
      <c r="C855" s="133"/>
      <c r="D855" s="4"/>
      <c r="E855" s="4"/>
      <c r="F855" s="4"/>
      <c r="G855" s="4"/>
      <c r="H855" s="4"/>
      <c r="I855" s="4"/>
      <c r="J855" s="134"/>
      <c r="K855" s="134"/>
      <c r="L855" s="135"/>
      <c r="T855" s="136"/>
    </row>
    <row r="856" ht="21.0" customHeight="1">
      <c r="A856" s="212"/>
      <c r="C856" s="133"/>
      <c r="D856" s="4"/>
      <c r="E856" s="4"/>
      <c r="F856" s="4"/>
      <c r="G856" s="4"/>
      <c r="H856" s="4"/>
      <c r="I856" s="4"/>
      <c r="J856" s="134"/>
      <c r="K856" s="134"/>
      <c r="L856" s="135"/>
      <c r="T856" s="136"/>
    </row>
    <row r="857" ht="21.0" customHeight="1">
      <c r="A857" s="212"/>
      <c r="C857" s="133"/>
      <c r="D857" s="4"/>
      <c r="E857" s="4"/>
      <c r="F857" s="4"/>
      <c r="G857" s="4"/>
      <c r="H857" s="4"/>
      <c r="I857" s="4"/>
      <c r="J857" s="134"/>
      <c r="K857" s="134"/>
      <c r="L857" s="135"/>
      <c r="T857" s="136"/>
    </row>
    <row r="858" ht="21.0" customHeight="1">
      <c r="A858" s="212"/>
      <c r="C858" s="133"/>
      <c r="D858" s="4"/>
      <c r="E858" s="4"/>
      <c r="F858" s="4"/>
      <c r="G858" s="4"/>
      <c r="H858" s="4"/>
      <c r="I858" s="4"/>
      <c r="J858" s="134"/>
      <c r="K858" s="134"/>
      <c r="L858" s="135"/>
      <c r="T858" s="136"/>
    </row>
    <row r="859" ht="21.0" customHeight="1">
      <c r="A859" s="212"/>
      <c r="C859" s="133"/>
      <c r="D859" s="4"/>
      <c r="E859" s="4"/>
      <c r="F859" s="4"/>
      <c r="G859" s="4"/>
      <c r="H859" s="4"/>
      <c r="I859" s="4"/>
      <c r="J859" s="134"/>
      <c r="K859" s="134"/>
      <c r="L859" s="135"/>
      <c r="T859" s="136"/>
    </row>
    <row r="860" ht="21.0" customHeight="1">
      <c r="A860" s="212"/>
      <c r="C860" s="133"/>
      <c r="D860" s="4"/>
      <c r="E860" s="4"/>
      <c r="F860" s="4"/>
      <c r="G860" s="4"/>
      <c r="H860" s="4"/>
      <c r="I860" s="4"/>
      <c r="J860" s="134"/>
      <c r="K860" s="134"/>
      <c r="L860" s="135"/>
      <c r="T860" s="136"/>
    </row>
    <row r="861" ht="21.0" customHeight="1">
      <c r="A861" s="212"/>
      <c r="C861" s="133"/>
      <c r="D861" s="4"/>
      <c r="E861" s="4"/>
      <c r="F861" s="4"/>
      <c r="G861" s="4"/>
      <c r="H861" s="4"/>
      <c r="I861" s="4"/>
      <c r="J861" s="134"/>
      <c r="K861" s="134"/>
      <c r="L861" s="135"/>
      <c r="T861" s="136"/>
    </row>
    <row r="862" ht="21.0" customHeight="1">
      <c r="A862" s="212"/>
      <c r="C862" s="133"/>
      <c r="D862" s="4"/>
      <c r="E862" s="4"/>
      <c r="F862" s="4"/>
      <c r="G862" s="4"/>
      <c r="H862" s="4"/>
      <c r="I862" s="4"/>
      <c r="J862" s="134"/>
      <c r="K862" s="134"/>
      <c r="L862" s="135"/>
      <c r="T862" s="136"/>
    </row>
    <row r="863" ht="21.0" customHeight="1">
      <c r="A863" s="212"/>
      <c r="C863" s="133"/>
      <c r="D863" s="4"/>
      <c r="E863" s="4"/>
      <c r="F863" s="4"/>
      <c r="G863" s="4"/>
      <c r="H863" s="4"/>
      <c r="I863" s="4"/>
      <c r="J863" s="134"/>
      <c r="K863" s="134"/>
      <c r="L863" s="135"/>
      <c r="T863" s="136"/>
    </row>
    <row r="864" ht="21.0" customHeight="1">
      <c r="A864" s="212"/>
      <c r="C864" s="133"/>
      <c r="D864" s="4"/>
      <c r="E864" s="4"/>
      <c r="F864" s="4"/>
      <c r="G864" s="4"/>
      <c r="H864" s="4"/>
      <c r="I864" s="4"/>
      <c r="J864" s="134"/>
      <c r="K864" s="134"/>
      <c r="L864" s="135"/>
      <c r="T864" s="136"/>
    </row>
    <row r="865" ht="21.0" customHeight="1">
      <c r="A865" s="212"/>
      <c r="C865" s="133"/>
      <c r="D865" s="4"/>
      <c r="E865" s="4"/>
      <c r="F865" s="4"/>
      <c r="G865" s="4"/>
      <c r="H865" s="4"/>
      <c r="I865" s="4"/>
      <c r="J865" s="134"/>
      <c r="K865" s="134"/>
      <c r="L865" s="135"/>
      <c r="T865" s="136"/>
    </row>
    <row r="866" ht="21.0" customHeight="1">
      <c r="A866" s="212"/>
      <c r="C866" s="133"/>
      <c r="D866" s="4"/>
      <c r="E866" s="4"/>
      <c r="F866" s="4"/>
      <c r="G866" s="4"/>
      <c r="H866" s="4"/>
      <c r="I866" s="4"/>
      <c r="J866" s="134"/>
      <c r="K866" s="134"/>
      <c r="L866" s="135"/>
      <c r="T866" s="136"/>
    </row>
    <row r="867" ht="21.0" customHeight="1">
      <c r="A867" s="212"/>
      <c r="C867" s="133"/>
      <c r="D867" s="4"/>
      <c r="E867" s="4"/>
      <c r="F867" s="4"/>
      <c r="G867" s="4"/>
      <c r="H867" s="4"/>
      <c r="I867" s="4"/>
      <c r="J867" s="134"/>
      <c r="K867" s="134"/>
      <c r="L867" s="135"/>
      <c r="T867" s="136"/>
    </row>
    <row r="868" ht="21.0" customHeight="1">
      <c r="A868" s="212"/>
      <c r="C868" s="133"/>
      <c r="D868" s="4"/>
      <c r="E868" s="4"/>
      <c r="F868" s="4"/>
      <c r="G868" s="4"/>
      <c r="H868" s="4"/>
      <c r="I868" s="4"/>
      <c r="J868" s="134"/>
      <c r="K868" s="134"/>
      <c r="L868" s="135"/>
      <c r="T868" s="136"/>
    </row>
    <row r="869" ht="21.0" customHeight="1">
      <c r="A869" s="212"/>
      <c r="C869" s="133"/>
      <c r="D869" s="4"/>
      <c r="E869" s="4"/>
      <c r="F869" s="4"/>
      <c r="G869" s="4"/>
      <c r="H869" s="4"/>
      <c r="I869" s="4"/>
      <c r="J869" s="134"/>
      <c r="K869" s="134"/>
      <c r="L869" s="135"/>
      <c r="T869" s="136"/>
    </row>
    <row r="870" ht="21.0" customHeight="1">
      <c r="A870" s="212"/>
      <c r="C870" s="133"/>
      <c r="D870" s="4"/>
      <c r="E870" s="4"/>
      <c r="F870" s="4"/>
      <c r="G870" s="4"/>
      <c r="H870" s="4"/>
      <c r="I870" s="4"/>
      <c r="J870" s="134"/>
      <c r="K870" s="134"/>
      <c r="L870" s="135"/>
      <c r="T870" s="136"/>
    </row>
    <row r="871" ht="21.0" customHeight="1">
      <c r="A871" s="212"/>
      <c r="C871" s="133"/>
      <c r="D871" s="4"/>
      <c r="E871" s="4"/>
      <c r="F871" s="4"/>
      <c r="G871" s="4"/>
      <c r="H871" s="4"/>
      <c r="I871" s="4"/>
      <c r="J871" s="134"/>
      <c r="K871" s="134"/>
      <c r="L871" s="135"/>
      <c r="T871" s="136"/>
    </row>
    <row r="872" ht="21.0" customHeight="1">
      <c r="A872" s="212"/>
      <c r="C872" s="133"/>
      <c r="D872" s="4"/>
      <c r="E872" s="4"/>
      <c r="F872" s="4"/>
      <c r="G872" s="4"/>
      <c r="H872" s="4"/>
      <c r="I872" s="4"/>
      <c r="J872" s="134"/>
      <c r="K872" s="134"/>
      <c r="L872" s="135"/>
      <c r="T872" s="136"/>
    </row>
    <row r="873" ht="21.0" customHeight="1">
      <c r="A873" s="212"/>
      <c r="C873" s="133"/>
      <c r="D873" s="4"/>
      <c r="E873" s="4"/>
      <c r="F873" s="4"/>
      <c r="G873" s="4"/>
      <c r="H873" s="4"/>
      <c r="I873" s="4"/>
      <c r="J873" s="134"/>
      <c r="K873" s="134"/>
      <c r="L873" s="135"/>
      <c r="T873" s="136"/>
    </row>
    <row r="874" ht="21.0" customHeight="1">
      <c r="A874" s="212"/>
      <c r="C874" s="133"/>
      <c r="D874" s="4"/>
      <c r="E874" s="4"/>
      <c r="F874" s="4"/>
      <c r="G874" s="4"/>
      <c r="H874" s="4"/>
      <c r="I874" s="4"/>
      <c r="J874" s="134"/>
      <c r="K874" s="134"/>
      <c r="L874" s="135"/>
      <c r="T874" s="136"/>
    </row>
    <row r="875" ht="21.0" customHeight="1">
      <c r="A875" s="212"/>
      <c r="C875" s="133"/>
      <c r="D875" s="4"/>
      <c r="E875" s="4"/>
      <c r="F875" s="4"/>
      <c r="G875" s="4"/>
      <c r="H875" s="4"/>
      <c r="I875" s="4"/>
      <c r="J875" s="134"/>
      <c r="K875" s="134"/>
      <c r="L875" s="135"/>
      <c r="T875" s="136"/>
    </row>
    <row r="876" ht="21.0" customHeight="1">
      <c r="A876" s="212"/>
      <c r="C876" s="133"/>
      <c r="D876" s="4"/>
      <c r="E876" s="4"/>
      <c r="F876" s="4"/>
      <c r="G876" s="4"/>
      <c r="H876" s="4"/>
      <c r="I876" s="4"/>
      <c r="J876" s="134"/>
      <c r="K876" s="134"/>
      <c r="L876" s="135"/>
      <c r="T876" s="136"/>
    </row>
    <row r="877" ht="21.0" customHeight="1">
      <c r="A877" s="212"/>
      <c r="C877" s="133"/>
      <c r="D877" s="4"/>
      <c r="E877" s="4"/>
      <c r="F877" s="4"/>
      <c r="G877" s="4"/>
      <c r="H877" s="4"/>
      <c r="I877" s="4"/>
      <c r="J877" s="134"/>
      <c r="K877" s="134"/>
      <c r="L877" s="135"/>
      <c r="T877" s="136"/>
    </row>
    <row r="878" ht="21.0" customHeight="1">
      <c r="A878" s="212"/>
      <c r="C878" s="133"/>
      <c r="D878" s="4"/>
      <c r="E878" s="4"/>
      <c r="F878" s="4"/>
      <c r="G878" s="4"/>
      <c r="H878" s="4"/>
      <c r="I878" s="4"/>
      <c r="J878" s="134"/>
      <c r="K878" s="134"/>
      <c r="L878" s="135"/>
      <c r="T878" s="136"/>
    </row>
    <row r="879" ht="21.0" customHeight="1">
      <c r="A879" s="212"/>
      <c r="C879" s="133"/>
      <c r="D879" s="4"/>
      <c r="E879" s="4"/>
      <c r="F879" s="4"/>
      <c r="G879" s="4"/>
      <c r="H879" s="4"/>
      <c r="I879" s="4"/>
      <c r="J879" s="134"/>
      <c r="K879" s="134"/>
      <c r="L879" s="135"/>
      <c r="T879" s="136"/>
    </row>
    <row r="880" ht="21.0" customHeight="1">
      <c r="A880" s="212"/>
      <c r="C880" s="133"/>
      <c r="D880" s="4"/>
      <c r="E880" s="4"/>
      <c r="F880" s="4"/>
      <c r="G880" s="4"/>
      <c r="H880" s="4"/>
      <c r="I880" s="4"/>
      <c r="J880" s="134"/>
      <c r="K880" s="134"/>
      <c r="L880" s="135"/>
      <c r="T880" s="136"/>
    </row>
    <row r="881" ht="21.0" customHeight="1">
      <c r="A881" s="212"/>
      <c r="C881" s="133"/>
      <c r="D881" s="4"/>
      <c r="E881" s="4"/>
      <c r="F881" s="4"/>
      <c r="G881" s="4"/>
      <c r="H881" s="4"/>
      <c r="I881" s="4"/>
      <c r="J881" s="134"/>
      <c r="K881" s="134"/>
      <c r="L881" s="135"/>
      <c r="T881" s="136"/>
    </row>
    <row r="882" ht="21.0" customHeight="1">
      <c r="A882" s="212"/>
      <c r="C882" s="133"/>
      <c r="D882" s="4"/>
      <c r="E882" s="4"/>
      <c r="F882" s="4"/>
      <c r="G882" s="4"/>
      <c r="H882" s="4"/>
      <c r="I882" s="4"/>
      <c r="J882" s="134"/>
      <c r="K882" s="134"/>
      <c r="L882" s="135"/>
      <c r="T882" s="136"/>
    </row>
    <row r="883" ht="21.0" customHeight="1">
      <c r="A883" s="212"/>
      <c r="C883" s="133"/>
      <c r="D883" s="4"/>
      <c r="E883" s="4"/>
      <c r="F883" s="4"/>
      <c r="G883" s="4"/>
      <c r="H883" s="4"/>
      <c r="I883" s="4"/>
      <c r="J883" s="134"/>
      <c r="K883" s="134"/>
      <c r="L883" s="135"/>
      <c r="T883" s="136"/>
    </row>
    <row r="884" ht="21.0" customHeight="1">
      <c r="A884" s="212"/>
      <c r="C884" s="133"/>
      <c r="D884" s="4"/>
      <c r="E884" s="4"/>
      <c r="F884" s="4"/>
      <c r="G884" s="4"/>
      <c r="H884" s="4"/>
      <c r="I884" s="4"/>
      <c r="J884" s="134"/>
      <c r="K884" s="134"/>
      <c r="L884" s="135"/>
      <c r="T884" s="136"/>
    </row>
    <row r="885" ht="21.0" customHeight="1">
      <c r="A885" s="212"/>
      <c r="C885" s="133"/>
      <c r="D885" s="4"/>
      <c r="E885" s="4"/>
      <c r="F885" s="4"/>
      <c r="G885" s="4"/>
      <c r="H885" s="4"/>
      <c r="I885" s="4"/>
      <c r="J885" s="134"/>
      <c r="K885" s="134"/>
      <c r="L885" s="135"/>
      <c r="T885" s="136"/>
    </row>
    <row r="886" ht="21.0" customHeight="1">
      <c r="A886" s="212"/>
      <c r="C886" s="133"/>
      <c r="D886" s="4"/>
      <c r="E886" s="4"/>
      <c r="F886" s="4"/>
      <c r="G886" s="4"/>
      <c r="H886" s="4"/>
      <c r="I886" s="4"/>
      <c r="J886" s="134"/>
      <c r="K886" s="134"/>
      <c r="L886" s="135"/>
      <c r="T886" s="136"/>
    </row>
    <row r="887" ht="21.0" customHeight="1">
      <c r="A887" s="212"/>
      <c r="C887" s="133"/>
      <c r="D887" s="4"/>
      <c r="E887" s="4"/>
      <c r="F887" s="4"/>
      <c r="G887" s="4"/>
      <c r="H887" s="4"/>
      <c r="I887" s="4"/>
      <c r="J887" s="134"/>
      <c r="K887" s="134"/>
      <c r="L887" s="135"/>
      <c r="T887" s="136"/>
    </row>
    <row r="888" ht="21.0" customHeight="1">
      <c r="A888" s="212"/>
      <c r="C888" s="133"/>
      <c r="D888" s="4"/>
      <c r="E888" s="4"/>
      <c r="F888" s="4"/>
      <c r="G888" s="4"/>
      <c r="H888" s="4"/>
      <c r="I888" s="4"/>
      <c r="J888" s="134"/>
      <c r="K888" s="134"/>
      <c r="L888" s="135"/>
      <c r="T888" s="136"/>
    </row>
    <row r="889" ht="21.0" customHeight="1">
      <c r="A889" s="212"/>
      <c r="C889" s="133"/>
      <c r="D889" s="4"/>
      <c r="E889" s="4"/>
      <c r="F889" s="4"/>
      <c r="G889" s="4"/>
      <c r="H889" s="4"/>
      <c r="I889" s="4"/>
      <c r="J889" s="134"/>
      <c r="K889" s="134"/>
      <c r="L889" s="135"/>
      <c r="T889" s="136"/>
    </row>
    <row r="890" ht="21.0" customHeight="1">
      <c r="A890" s="212"/>
      <c r="C890" s="133"/>
      <c r="D890" s="4"/>
      <c r="E890" s="4"/>
      <c r="F890" s="4"/>
      <c r="G890" s="4"/>
      <c r="H890" s="4"/>
      <c r="I890" s="4"/>
      <c r="J890" s="134"/>
      <c r="K890" s="134"/>
      <c r="L890" s="135"/>
      <c r="T890" s="136"/>
    </row>
    <row r="891" ht="21.0" customHeight="1">
      <c r="A891" s="212"/>
      <c r="C891" s="133"/>
      <c r="D891" s="4"/>
      <c r="E891" s="4"/>
      <c r="F891" s="4"/>
      <c r="G891" s="4"/>
      <c r="H891" s="4"/>
      <c r="I891" s="4"/>
      <c r="J891" s="134"/>
      <c r="K891" s="134"/>
      <c r="L891" s="135"/>
      <c r="T891" s="136"/>
    </row>
    <row r="892" ht="21.0" customHeight="1">
      <c r="A892" s="212"/>
      <c r="C892" s="133"/>
      <c r="D892" s="4"/>
      <c r="E892" s="4"/>
      <c r="F892" s="4"/>
      <c r="G892" s="4"/>
      <c r="H892" s="4"/>
      <c r="I892" s="4"/>
      <c r="J892" s="134"/>
      <c r="K892" s="134"/>
      <c r="L892" s="135"/>
      <c r="T892" s="136"/>
    </row>
    <row r="893" ht="21.0" customHeight="1">
      <c r="A893" s="212"/>
      <c r="C893" s="133"/>
      <c r="D893" s="4"/>
      <c r="E893" s="4"/>
      <c r="F893" s="4"/>
      <c r="G893" s="4"/>
      <c r="H893" s="4"/>
      <c r="I893" s="4"/>
      <c r="J893" s="134"/>
      <c r="K893" s="134"/>
      <c r="L893" s="135"/>
      <c r="T893" s="136"/>
    </row>
    <row r="894" ht="21.0" customHeight="1">
      <c r="A894" s="212"/>
      <c r="C894" s="133"/>
      <c r="D894" s="4"/>
      <c r="E894" s="4"/>
      <c r="F894" s="4"/>
      <c r="G894" s="4"/>
      <c r="H894" s="4"/>
      <c r="I894" s="4"/>
      <c r="J894" s="134"/>
      <c r="K894" s="134"/>
      <c r="L894" s="135"/>
      <c r="T894" s="136"/>
    </row>
    <row r="895" ht="21.0" customHeight="1">
      <c r="A895" s="212"/>
      <c r="C895" s="133"/>
      <c r="D895" s="4"/>
      <c r="E895" s="4"/>
      <c r="F895" s="4"/>
      <c r="G895" s="4"/>
      <c r="H895" s="4"/>
      <c r="I895" s="4"/>
      <c r="J895" s="134"/>
      <c r="K895" s="134"/>
      <c r="L895" s="135"/>
      <c r="T895" s="136"/>
    </row>
    <row r="896" ht="21.0" customHeight="1">
      <c r="A896" s="212"/>
      <c r="C896" s="133"/>
      <c r="D896" s="4"/>
      <c r="E896" s="4"/>
      <c r="F896" s="4"/>
      <c r="G896" s="4"/>
      <c r="H896" s="4"/>
      <c r="I896" s="4"/>
      <c r="J896" s="134"/>
      <c r="K896" s="134"/>
      <c r="L896" s="135"/>
      <c r="T896" s="136"/>
    </row>
    <row r="897" ht="21.0" customHeight="1">
      <c r="A897" s="212"/>
      <c r="C897" s="133"/>
      <c r="D897" s="4"/>
      <c r="E897" s="4"/>
      <c r="F897" s="4"/>
      <c r="G897" s="4"/>
      <c r="H897" s="4"/>
      <c r="I897" s="4"/>
      <c r="J897" s="134"/>
      <c r="K897" s="134"/>
      <c r="L897" s="135"/>
      <c r="T897" s="136"/>
    </row>
    <row r="898" ht="21.0" customHeight="1">
      <c r="A898" s="212"/>
      <c r="C898" s="133"/>
      <c r="D898" s="4"/>
      <c r="E898" s="4"/>
      <c r="F898" s="4"/>
      <c r="G898" s="4"/>
      <c r="H898" s="4"/>
      <c r="I898" s="4"/>
      <c r="J898" s="134"/>
      <c r="K898" s="134"/>
      <c r="L898" s="135"/>
      <c r="T898" s="136"/>
    </row>
    <row r="899" ht="21.0" customHeight="1">
      <c r="A899" s="212"/>
      <c r="C899" s="133"/>
      <c r="D899" s="4"/>
      <c r="E899" s="4"/>
      <c r="F899" s="4"/>
      <c r="G899" s="4"/>
      <c r="H899" s="4"/>
      <c r="I899" s="4"/>
      <c r="J899" s="134"/>
      <c r="K899" s="134"/>
      <c r="L899" s="135"/>
      <c r="T899" s="136"/>
    </row>
    <row r="900" ht="21.0" customHeight="1">
      <c r="A900" s="212"/>
      <c r="C900" s="133"/>
      <c r="D900" s="4"/>
      <c r="E900" s="4"/>
      <c r="F900" s="4"/>
      <c r="G900" s="4"/>
      <c r="H900" s="4"/>
      <c r="I900" s="4"/>
      <c r="J900" s="134"/>
      <c r="K900" s="134"/>
      <c r="L900" s="135"/>
      <c r="T900" s="136"/>
    </row>
    <row r="901" ht="21.0" customHeight="1">
      <c r="A901" s="212"/>
      <c r="C901" s="133"/>
      <c r="D901" s="4"/>
      <c r="E901" s="4"/>
      <c r="F901" s="4"/>
      <c r="G901" s="4"/>
      <c r="H901" s="4"/>
      <c r="I901" s="4"/>
      <c r="J901" s="134"/>
      <c r="K901" s="134"/>
      <c r="L901" s="135"/>
      <c r="T901" s="136"/>
    </row>
    <row r="902" ht="21.0" customHeight="1">
      <c r="A902" s="212"/>
      <c r="C902" s="133"/>
      <c r="D902" s="4"/>
      <c r="E902" s="4"/>
      <c r="F902" s="4"/>
      <c r="G902" s="4"/>
      <c r="H902" s="4"/>
      <c r="I902" s="4"/>
      <c r="J902" s="134"/>
      <c r="K902" s="134"/>
      <c r="L902" s="135"/>
      <c r="T902" s="136"/>
    </row>
    <row r="903" ht="21.0" customHeight="1">
      <c r="A903" s="212"/>
      <c r="C903" s="133"/>
      <c r="D903" s="4"/>
      <c r="E903" s="4"/>
      <c r="F903" s="4"/>
      <c r="G903" s="4"/>
      <c r="H903" s="4"/>
      <c r="I903" s="4"/>
      <c r="J903" s="134"/>
      <c r="K903" s="134"/>
      <c r="L903" s="135"/>
      <c r="T903" s="136"/>
    </row>
    <row r="904" ht="21.0" customHeight="1">
      <c r="A904" s="212"/>
      <c r="C904" s="133"/>
      <c r="D904" s="4"/>
      <c r="E904" s="4"/>
      <c r="F904" s="4"/>
      <c r="G904" s="4"/>
      <c r="H904" s="4"/>
      <c r="I904" s="4"/>
      <c r="J904" s="134"/>
      <c r="K904" s="134"/>
      <c r="L904" s="135"/>
      <c r="T904" s="136"/>
    </row>
    <row r="905" ht="21.0" customHeight="1">
      <c r="A905" s="212"/>
      <c r="C905" s="133"/>
      <c r="D905" s="4"/>
      <c r="E905" s="4"/>
      <c r="F905" s="4"/>
      <c r="G905" s="4"/>
      <c r="H905" s="4"/>
      <c r="I905" s="4"/>
      <c r="J905" s="134"/>
      <c r="K905" s="134"/>
      <c r="L905" s="135"/>
      <c r="T905" s="136"/>
    </row>
    <row r="906" ht="21.0" customHeight="1">
      <c r="A906" s="212"/>
      <c r="C906" s="133"/>
      <c r="D906" s="4"/>
      <c r="E906" s="4"/>
      <c r="F906" s="4"/>
      <c r="G906" s="4"/>
      <c r="H906" s="4"/>
      <c r="I906" s="4"/>
      <c r="J906" s="134"/>
      <c r="K906" s="134"/>
      <c r="L906" s="135"/>
      <c r="T906" s="136"/>
    </row>
    <row r="907" ht="21.0" customHeight="1">
      <c r="A907" s="212"/>
      <c r="C907" s="133"/>
      <c r="D907" s="4"/>
      <c r="E907" s="4"/>
      <c r="F907" s="4"/>
      <c r="G907" s="4"/>
      <c r="H907" s="4"/>
      <c r="I907" s="4"/>
      <c r="J907" s="134"/>
      <c r="K907" s="134"/>
      <c r="L907" s="135"/>
      <c r="T907" s="136"/>
    </row>
    <row r="908" ht="21.0" customHeight="1">
      <c r="A908" s="212"/>
      <c r="C908" s="133"/>
      <c r="D908" s="4"/>
      <c r="E908" s="4"/>
      <c r="F908" s="4"/>
      <c r="G908" s="4"/>
      <c r="H908" s="4"/>
      <c r="I908" s="4"/>
      <c r="J908" s="134"/>
      <c r="K908" s="134"/>
      <c r="L908" s="135"/>
      <c r="T908" s="136"/>
    </row>
    <row r="909" ht="21.0" customHeight="1">
      <c r="A909" s="212"/>
      <c r="C909" s="133"/>
      <c r="D909" s="4"/>
      <c r="E909" s="4"/>
      <c r="F909" s="4"/>
      <c r="G909" s="4"/>
      <c r="H909" s="4"/>
      <c r="I909" s="4"/>
      <c r="J909" s="134"/>
      <c r="K909" s="134"/>
      <c r="L909" s="135"/>
      <c r="T909" s="136"/>
    </row>
    <row r="910" ht="21.0" customHeight="1">
      <c r="A910" s="212"/>
      <c r="C910" s="133"/>
      <c r="D910" s="4"/>
      <c r="E910" s="4"/>
      <c r="F910" s="4"/>
      <c r="G910" s="4"/>
      <c r="H910" s="4"/>
      <c r="I910" s="4"/>
      <c r="J910" s="134"/>
      <c r="K910" s="134"/>
      <c r="L910" s="135"/>
      <c r="T910" s="136"/>
    </row>
    <row r="911" ht="21.0" customHeight="1">
      <c r="A911" s="212"/>
      <c r="C911" s="133"/>
      <c r="D911" s="4"/>
      <c r="E911" s="4"/>
      <c r="F911" s="4"/>
      <c r="G911" s="4"/>
      <c r="H911" s="4"/>
      <c r="I911" s="4"/>
      <c r="J911" s="134"/>
      <c r="K911" s="134"/>
      <c r="L911" s="135"/>
      <c r="T911" s="136"/>
    </row>
    <row r="912" ht="21.0" customHeight="1">
      <c r="A912" s="212"/>
      <c r="C912" s="133"/>
      <c r="D912" s="4"/>
      <c r="E912" s="4"/>
      <c r="F912" s="4"/>
      <c r="G912" s="4"/>
      <c r="H912" s="4"/>
      <c r="I912" s="4"/>
      <c r="J912" s="134"/>
      <c r="K912" s="134"/>
      <c r="L912" s="135"/>
      <c r="T912" s="136"/>
    </row>
    <row r="913" ht="21.0" customHeight="1">
      <c r="A913" s="212"/>
      <c r="C913" s="133"/>
      <c r="D913" s="4"/>
      <c r="E913" s="4"/>
      <c r="F913" s="4"/>
      <c r="G913" s="4"/>
      <c r="H913" s="4"/>
      <c r="I913" s="4"/>
      <c r="J913" s="134"/>
      <c r="K913" s="134"/>
      <c r="L913" s="135"/>
      <c r="T913" s="136"/>
    </row>
    <row r="914" ht="21.0" customHeight="1">
      <c r="A914" s="212"/>
      <c r="C914" s="133"/>
      <c r="D914" s="4"/>
      <c r="E914" s="4"/>
      <c r="F914" s="4"/>
      <c r="G914" s="4"/>
      <c r="H914" s="4"/>
      <c r="I914" s="4"/>
      <c r="J914" s="134"/>
      <c r="K914" s="134"/>
      <c r="L914" s="135"/>
      <c r="T914" s="136"/>
    </row>
    <row r="915" ht="21.0" customHeight="1">
      <c r="A915" s="212"/>
      <c r="C915" s="133"/>
      <c r="D915" s="4"/>
      <c r="E915" s="4"/>
      <c r="F915" s="4"/>
      <c r="G915" s="4"/>
      <c r="H915" s="4"/>
      <c r="I915" s="4"/>
      <c r="J915" s="134"/>
      <c r="K915" s="134"/>
      <c r="L915" s="135"/>
      <c r="T915" s="136"/>
    </row>
    <row r="916" ht="21.0" customHeight="1">
      <c r="A916" s="212"/>
      <c r="C916" s="133"/>
      <c r="D916" s="4"/>
      <c r="E916" s="4"/>
      <c r="F916" s="4"/>
      <c r="G916" s="4"/>
      <c r="H916" s="4"/>
      <c r="I916" s="4"/>
      <c r="J916" s="134"/>
      <c r="K916" s="134"/>
      <c r="L916" s="135"/>
      <c r="T916" s="136"/>
    </row>
    <row r="917" ht="21.0" customHeight="1">
      <c r="A917" s="212"/>
      <c r="C917" s="133"/>
      <c r="D917" s="4"/>
      <c r="E917" s="4"/>
      <c r="F917" s="4"/>
      <c r="G917" s="4"/>
      <c r="H917" s="4"/>
      <c r="I917" s="4"/>
      <c r="J917" s="134"/>
      <c r="K917" s="134"/>
      <c r="L917" s="135"/>
      <c r="T917" s="136"/>
    </row>
    <row r="918" ht="21.0" customHeight="1">
      <c r="A918" s="212"/>
      <c r="C918" s="133"/>
      <c r="D918" s="4"/>
      <c r="E918" s="4"/>
      <c r="F918" s="4"/>
      <c r="G918" s="4"/>
      <c r="H918" s="4"/>
      <c r="I918" s="4"/>
      <c r="J918" s="134"/>
      <c r="K918" s="134"/>
      <c r="L918" s="135"/>
      <c r="T918" s="136"/>
    </row>
    <row r="919" ht="21.0" customHeight="1">
      <c r="A919" s="212"/>
      <c r="C919" s="133"/>
      <c r="D919" s="4"/>
      <c r="E919" s="4"/>
      <c r="F919" s="4"/>
      <c r="G919" s="4"/>
      <c r="H919" s="4"/>
      <c r="I919" s="4"/>
      <c r="J919" s="134"/>
      <c r="K919" s="134"/>
      <c r="L919" s="135"/>
      <c r="T919" s="136"/>
    </row>
    <row r="920" ht="21.0" customHeight="1">
      <c r="A920" s="212"/>
      <c r="C920" s="133"/>
      <c r="D920" s="4"/>
      <c r="E920" s="4"/>
      <c r="F920" s="4"/>
      <c r="G920" s="4"/>
      <c r="H920" s="4"/>
      <c r="I920" s="4"/>
      <c r="J920" s="134"/>
      <c r="K920" s="134"/>
      <c r="L920" s="135"/>
      <c r="T920" s="136"/>
    </row>
    <row r="921" ht="21.0" customHeight="1">
      <c r="A921" s="212"/>
      <c r="C921" s="133"/>
      <c r="D921" s="4"/>
      <c r="E921" s="4"/>
      <c r="F921" s="4"/>
      <c r="G921" s="4"/>
      <c r="H921" s="4"/>
      <c r="I921" s="4"/>
      <c r="J921" s="134"/>
      <c r="K921" s="134"/>
      <c r="L921" s="135"/>
      <c r="T921" s="136"/>
    </row>
    <row r="922" ht="21.0" customHeight="1">
      <c r="A922" s="212"/>
      <c r="C922" s="133"/>
      <c r="D922" s="4"/>
      <c r="E922" s="4"/>
      <c r="F922" s="4"/>
      <c r="G922" s="4"/>
      <c r="H922" s="4"/>
      <c r="I922" s="4"/>
      <c r="J922" s="134"/>
      <c r="K922" s="134"/>
      <c r="L922" s="135"/>
      <c r="T922" s="136"/>
    </row>
    <row r="923" ht="21.0" customHeight="1">
      <c r="A923" s="212"/>
      <c r="C923" s="133"/>
      <c r="D923" s="4"/>
      <c r="E923" s="4"/>
      <c r="F923" s="4"/>
      <c r="G923" s="4"/>
      <c r="H923" s="4"/>
      <c r="I923" s="4"/>
      <c r="J923" s="134"/>
      <c r="K923" s="134"/>
      <c r="L923" s="135"/>
      <c r="T923" s="136"/>
    </row>
    <row r="924" ht="21.0" customHeight="1">
      <c r="A924" s="212"/>
      <c r="C924" s="133"/>
      <c r="D924" s="4"/>
      <c r="E924" s="4"/>
      <c r="F924" s="4"/>
      <c r="G924" s="4"/>
      <c r="H924" s="4"/>
      <c r="I924" s="4"/>
      <c r="J924" s="134"/>
      <c r="K924" s="134"/>
      <c r="L924" s="135"/>
      <c r="T924" s="136"/>
    </row>
    <row r="925" ht="21.0" customHeight="1">
      <c r="A925" s="212"/>
      <c r="C925" s="133"/>
      <c r="D925" s="4"/>
      <c r="E925" s="4"/>
      <c r="F925" s="4"/>
      <c r="G925" s="4"/>
      <c r="H925" s="4"/>
      <c r="I925" s="4"/>
      <c r="J925" s="134"/>
      <c r="K925" s="134"/>
      <c r="L925" s="135"/>
      <c r="T925" s="136"/>
    </row>
    <row r="926" ht="21.0" customHeight="1">
      <c r="A926" s="212"/>
      <c r="C926" s="133"/>
      <c r="D926" s="4"/>
      <c r="E926" s="4"/>
      <c r="F926" s="4"/>
      <c r="G926" s="4"/>
      <c r="H926" s="4"/>
      <c r="I926" s="4"/>
      <c r="J926" s="134"/>
      <c r="K926" s="134"/>
      <c r="L926" s="135"/>
      <c r="T926" s="136"/>
    </row>
    <row r="927" ht="21.0" customHeight="1">
      <c r="A927" s="212"/>
      <c r="C927" s="133"/>
      <c r="D927" s="4"/>
      <c r="E927" s="4"/>
      <c r="F927" s="4"/>
      <c r="G927" s="4"/>
      <c r="H927" s="4"/>
      <c r="I927" s="4"/>
      <c r="J927" s="134"/>
      <c r="K927" s="134"/>
      <c r="L927" s="135"/>
      <c r="T927" s="136"/>
    </row>
    <row r="928" ht="21.0" customHeight="1">
      <c r="A928" s="212"/>
      <c r="C928" s="133"/>
      <c r="D928" s="4"/>
      <c r="E928" s="4"/>
      <c r="F928" s="4"/>
      <c r="G928" s="4"/>
      <c r="H928" s="4"/>
      <c r="I928" s="4"/>
      <c r="J928" s="134"/>
      <c r="K928" s="134"/>
      <c r="L928" s="135"/>
      <c r="T928" s="136"/>
    </row>
    <row r="929" ht="21.0" customHeight="1">
      <c r="A929" s="212"/>
      <c r="C929" s="133"/>
      <c r="D929" s="4"/>
      <c r="E929" s="4"/>
      <c r="F929" s="4"/>
      <c r="G929" s="4"/>
      <c r="H929" s="4"/>
      <c r="I929" s="4"/>
      <c r="J929" s="134"/>
      <c r="K929" s="134"/>
      <c r="L929" s="135"/>
      <c r="T929" s="136"/>
    </row>
    <row r="930" ht="21.0" customHeight="1">
      <c r="A930" s="212"/>
      <c r="C930" s="133"/>
      <c r="D930" s="4"/>
      <c r="E930" s="4"/>
      <c r="F930" s="4"/>
      <c r="G930" s="4"/>
      <c r="H930" s="4"/>
      <c r="I930" s="4"/>
      <c r="J930" s="134"/>
      <c r="K930" s="134"/>
      <c r="L930" s="135"/>
      <c r="T930" s="136"/>
    </row>
    <row r="931" ht="21.0" customHeight="1">
      <c r="A931" s="212"/>
      <c r="C931" s="133"/>
      <c r="D931" s="4"/>
      <c r="E931" s="4"/>
      <c r="F931" s="4"/>
      <c r="G931" s="4"/>
      <c r="H931" s="4"/>
      <c r="I931" s="4"/>
      <c r="J931" s="134"/>
      <c r="K931" s="134"/>
      <c r="L931" s="135"/>
      <c r="T931" s="136"/>
    </row>
    <row r="932" ht="21.0" customHeight="1">
      <c r="A932" s="212"/>
      <c r="C932" s="133"/>
      <c r="D932" s="4"/>
      <c r="E932" s="4"/>
      <c r="F932" s="4"/>
      <c r="G932" s="4"/>
      <c r="H932" s="4"/>
      <c r="I932" s="4"/>
      <c r="J932" s="134"/>
      <c r="K932" s="134"/>
      <c r="L932" s="135"/>
      <c r="T932" s="136"/>
    </row>
    <row r="933" ht="21.0" customHeight="1">
      <c r="A933" s="212"/>
      <c r="C933" s="133"/>
      <c r="D933" s="4"/>
      <c r="E933" s="4"/>
      <c r="F933" s="4"/>
      <c r="G933" s="4"/>
      <c r="H933" s="4"/>
      <c r="I933" s="4"/>
      <c r="J933" s="134"/>
      <c r="K933" s="134"/>
      <c r="L933" s="135"/>
      <c r="T933" s="136"/>
    </row>
    <row r="934" ht="21.0" customHeight="1">
      <c r="A934" s="212"/>
      <c r="C934" s="133"/>
      <c r="D934" s="4"/>
      <c r="E934" s="4"/>
      <c r="F934" s="4"/>
      <c r="G934" s="4"/>
      <c r="H934" s="4"/>
      <c r="I934" s="4"/>
      <c r="J934" s="134"/>
      <c r="K934" s="134"/>
      <c r="L934" s="135"/>
      <c r="T934" s="136"/>
    </row>
    <row r="935" ht="21.0" customHeight="1">
      <c r="A935" s="212"/>
      <c r="C935" s="133"/>
      <c r="D935" s="4"/>
      <c r="E935" s="4"/>
      <c r="F935" s="4"/>
      <c r="G935" s="4"/>
      <c r="H935" s="4"/>
      <c r="I935" s="4"/>
      <c r="J935" s="134"/>
      <c r="K935" s="134"/>
      <c r="L935" s="135"/>
      <c r="T935" s="136"/>
    </row>
    <row r="936" ht="21.0" customHeight="1">
      <c r="A936" s="212"/>
      <c r="C936" s="133"/>
      <c r="D936" s="4"/>
      <c r="E936" s="4"/>
      <c r="F936" s="4"/>
      <c r="G936" s="4"/>
      <c r="H936" s="4"/>
      <c r="I936" s="4"/>
      <c r="J936" s="134"/>
      <c r="K936" s="134"/>
      <c r="L936" s="135"/>
      <c r="T936" s="136"/>
    </row>
    <row r="937" ht="21.0" customHeight="1">
      <c r="A937" s="212"/>
      <c r="C937" s="133"/>
      <c r="D937" s="4"/>
      <c r="E937" s="4"/>
      <c r="F937" s="4"/>
      <c r="G937" s="4"/>
      <c r="H937" s="4"/>
      <c r="I937" s="4"/>
      <c r="J937" s="134"/>
      <c r="K937" s="134"/>
      <c r="L937" s="135"/>
      <c r="T937" s="136"/>
    </row>
    <row r="938" ht="21.0" customHeight="1">
      <c r="A938" s="212"/>
      <c r="C938" s="133"/>
      <c r="D938" s="4"/>
      <c r="E938" s="4"/>
      <c r="F938" s="4"/>
      <c r="G938" s="4"/>
      <c r="H938" s="4"/>
      <c r="I938" s="4"/>
      <c r="J938" s="134"/>
      <c r="K938" s="134"/>
      <c r="L938" s="135"/>
      <c r="T938" s="136"/>
    </row>
    <row r="939" ht="21.0" customHeight="1">
      <c r="A939" s="212"/>
      <c r="C939" s="133"/>
      <c r="D939" s="4"/>
      <c r="E939" s="4"/>
      <c r="F939" s="4"/>
      <c r="G939" s="4"/>
      <c r="H939" s="4"/>
      <c r="I939" s="4"/>
      <c r="J939" s="134"/>
      <c r="K939" s="134"/>
      <c r="L939" s="135"/>
      <c r="T939" s="136"/>
    </row>
    <row r="940" ht="21.0" customHeight="1">
      <c r="A940" s="212"/>
      <c r="C940" s="133"/>
      <c r="D940" s="4"/>
      <c r="E940" s="4"/>
      <c r="F940" s="4"/>
      <c r="G940" s="4"/>
      <c r="H940" s="4"/>
      <c r="I940" s="4"/>
      <c r="J940" s="134"/>
      <c r="K940" s="134"/>
      <c r="L940" s="135"/>
      <c r="T940" s="136"/>
    </row>
    <row r="941" ht="21.0" customHeight="1">
      <c r="A941" s="212"/>
      <c r="C941" s="133"/>
      <c r="D941" s="4"/>
      <c r="E941" s="4"/>
      <c r="F941" s="4"/>
      <c r="G941" s="4"/>
      <c r="H941" s="4"/>
      <c r="I941" s="4"/>
      <c r="J941" s="134"/>
      <c r="K941" s="134"/>
      <c r="L941" s="135"/>
      <c r="T941" s="136"/>
    </row>
    <row r="942" ht="21.0" customHeight="1">
      <c r="A942" s="212"/>
      <c r="C942" s="133"/>
      <c r="D942" s="4"/>
      <c r="E942" s="4"/>
      <c r="F942" s="4"/>
      <c r="G942" s="4"/>
      <c r="H942" s="4"/>
      <c r="I942" s="4"/>
      <c r="J942" s="134"/>
      <c r="K942" s="134"/>
      <c r="L942" s="135"/>
      <c r="T942" s="136"/>
    </row>
    <row r="943" ht="21.0" customHeight="1">
      <c r="A943" s="212"/>
      <c r="C943" s="133"/>
      <c r="D943" s="4"/>
      <c r="E943" s="4"/>
      <c r="F943" s="4"/>
      <c r="G943" s="4"/>
      <c r="H943" s="4"/>
      <c r="I943" s="4"/>
      <c r="J943" s="134"/>
      <c r="K943" s="134"/>
      <c r="L943" s="135"/>
      <c r="T943" s="136"/>
    </row>
    <row r="944" ht="21.0" customHeight="1">
      <c r="A944" s="212"/>
      <c r="C944" s="133"/>
      <c r="D944" s="4"/>
      <c r="E944" s="4"/>
      <c r="F944" s="4"/>
      <c r="G944" s="4"/>
      <c r="H944" s="4"/>
      <c r="I944" s="4"/>
      <c r="J944" s="134"/>
      <c r="K944" s="134"/>
      <c r="L944" s="135"/>
      <c r="T944" s="136"/>
    </row>
    <row r="945" ht="21.0" customHeight="1">
      <c r="A945" s="212"/>
      <c r="C945" s="133"/>
      <c r="D945" s="4"/>
      <c r="E945" s="4"/>
      <c r="F945" s="4"/>
      <c r="G945" s="4"/>
      <c r="H945" s="4"/>
      <c r="I945" s="4"/>
      <c r="J945" s="134"/>
      <c r="K945" s="134"/>
      <c r="L945" s="135"/>
      <c r="T945" s="136"/>
    </row>
    <row r="946" ht="21.0" customHeight="1">
      <c r="A946" s="212"/>
      <c r="C946" s="133"/>
      <c r="D946" s="4"/>
      <c r="E946" s="4"/>
      <c r="F946" s="4"/>
      <c r="G946" s="4"/>
      <c r="H946" s="4"/>
      <c r="I946" s="4"/>
      <c r="J946" s="134"/>
      <c r="K946" s="134"/>
      <c r="L946" s="135"/>
      <c r="T946" s="136"/>
    </row>
    <row r="947" ht="21.0" customHeight="1">
      <c r="A947" s="212"/>
      <c r="C947" s="133"/>
      <c r="D947" s="4"/>
      <c r="E947" s="4"/>
      <c r="F947" s="4"/>
      <c r="G947" s="4"/>
      <c r="H947" s="4"/>
      <c r="I947" s="4"/>
      <c r="J947" s="134"/>
      <c r="K947" s="134"/>
      <c r="L947" s="135"/>
      <c r="T947" s="136"/>
    </row>
    <row r="948" ht="21.0" customHeight="1">
      <c r="A948" s="212"/>
      <c r="C948" s="133"/>
      <c r="D948" s="4"/>
      <c r="E948" s="4"/>
      <c r="F948" s="4"/>
      <c r="G948" s="4"/>
      <c r="H948" s="4"/>
      <c r="I948" s="4"/>
      <c r="J948" s="134"/>
      <c r="K948" s="134"/>
      <c r="L948" s="135"/>
      <c r="T948" s="136"/>
    </row>
    <row r="949" ht="21.0" customHeight="1">
      <c r="A949" s="212"/>
      <c r="C949" s="133"/>
      <c r="D949" s="4"/>
      <c r="E949" s="4"/>
      <c r="F949" s="4"/>
      <c r="G949" s="4"/>
      <c r="H949" s="4"/>
      <c r="I949" s="4"/>
      <c r="J949" s="134"/>
      <c r="K949" s="134"/>
      <c r="L949" s="135"/>
      <c r="T949" s="136"/>
    </row>
    <row r="950" ht="21.0" customHeight="1">
      <c r="A950" s="212"/>
      <c r="C950" s="133"/>
      <c r="D950" s="4"/>
      <c r="E950" s="4"/>
      <c r="F950" s="4"/>
      <c r="G950" s="4"/>
      <c r="H950" s="4"/>
      <c r="I950" s="4"/>
      <c r="J950" s="134"/>
      <c r="K950" s="134"/>
      <c r="L950" s="135"/>
      <c r="T950" s="136"/>
    </row>
    <row r="951" ht="21.0" customHeight="1">
      <c r="A951" s="212"/>
      <c r="C951" s="133"/>
      <c r="D951" s="4"/>
      <c r="E951" s="4"/>
      <c r="F951" s="4"/>
      <c r="G951" s="4"/>
      <c r="H951" s="4"/>
      <c r="I951" s="4"/>
      <c r="J951" s="134"/>
      <c r="K951" s="134"/>
      <c r="L951" s="135"/>
      <c r="T951" s="136"/>
    </row>
    <row r="952" ht="21.0" customHeight="1">
      <c r="A952" s="212"/>
      <c r="C952" s="133"/>
      <c r="D952" s="4"/>
      <c r="E952" s="4"/>
      <c r="F952" s="4"/>
      <c r="G952" s="4"/>
      <c r="H952" s="4"/>
      <c r="I952" s="4"/>
      <c r="J952" s="134"/>
      <c r="K952" s="134"/>
      <c r="L952" s="135"/>
      <c r="T952" s="136"/>
    </row>
    <row r="953" ht="21.0" customHeight="1">
      <c r="A953" s="212"/>
      <c r="C953" s="133"/>
      <c r="D953" s="4"/>
      <c r="E953" s="4"/>
      <c r="F953" s="4"/>
      <c r="G953" s="4"/>
      <c r="H953" s="4"/>
      <c r="I953" s="4"/>
      <c r="J953" s="134"/>
      <c r="K953" s="134"/>
      <c r="L953" s="135"/>
      <c r="T953" s="136"/>
    </row>
    <row r="954" ht="21.0" customHeight="1">
      <c r="A954" s="212"/>
      <c r="C954" s="133"/>
      <c r="D954" s="4"/>
      <c r="E954" s="4"/>
      <c r="F954" s="4"/>
      <c r="G954" s="4"/>
      <c r="H954" s="4"/>
      <c r="I954" s="4"/>
      <c r="J954" s="134"/>
      <c r="K954" s="134"/>
      <c r="L954" s="135"/>
      <c r="T954" s="136"/>
    </row>
    <row r="955" ht="21.0" customHeight="1">
      <c r="A955" s="212"/>
      <c r="C955" s="133"/>
      <c r="D955" s="4"/>
      <c r="E955" s="4"/>
      <c r="F955" s="4"/>
      <c r="G955" s="4"/>
      <c r="H955" s="4"/>
      <c r="I955" s="4"/>
      <c r="J955" s="134"/>
      <c r="K955" s="134"/>
      <c r="L955" s="135"/>
      <c r="T955" s="136"/>
    </row>
    <row r="956" ht="21.0" customHeight="1">
      <c r="A956" s="212"/>
      <c r="C956" s="133"/>
      <c r="D956" s="4"/>
      <c r="E956" s="4"/>
      <c r="F956" s="4"/>
      <c r="G956" s="4"/>
      <c r="H956" s="4"/>
      <c r="I956" s="4"/>
      <c r="J956" s="134"/>
      <c r="K956" s="134"/>
      <c r="L956" s="135"/>
      <c r="T956" s="136"/>
    </row>
    <row r="957" ht="21.0" customHeight="1">
      <c r="A957" s="212"/>
      <c r="C957" s="133"/>
      <c r="D957" s="4"/>
      <c r="E957" s="4"/>
      <c r="F957" s="4"/>
      <c r="G957" s="4"/>
      <c r="H957" s="4"/>
      <c r="I957" s="4"/>
      <c r="J957" s="134"/>
      <c r="K957" s="134"/>
      <c r="L957" s="135"/>
      <c r="T957" s="136"/>
    </row>
    <row r="958" ht="21.0" customHeight="1">
      <c r="A958" s="212"/>
      <c r="C958" s="133"/>
      <c r="D958" s="4"/>
      <c r="E958" s="4"/>
      <c r="F958" s="4"/>
      <c r="G958" s="4"/>
      <c r="H958" s="4"/>
      <c r="I958" s="4"/>
      <c r="J958" s="134"/>
      <c r="K958" s="134"/>
      <c r="L958" s="135"/>
      <c r="T958" s="136"/>
    </row>
    <row r="959" ht="21.0" customHeight="1">
      <c r="A959" s="212"/>
      <c r="C959" s="133"/>
      <c r="D959" s="4"/>
      <c r="E959" s="4"/>
      <c r="F959" s="4"/>
      <c r="G959" s="4"/>
      <c r="H959" s="4"/>
      <c r="I959" s="4"/>
      <c r="J959" s="134"/>
      <c r="K959" s="134"/>
      <c r="L959" s="135"/>
      <c r="T959" s="136"/>
    </row>
    <row r="960" ht="21.0" customHeight="1">
      <c r="A960" s="212"/>
      <c r="C960" s="133"/>
      <c r="D960" s="4"/>
      <c r="E960" s="4"/>
      <c r="F960" s="4"/>
      <c r="G960" s="4"/>
      <c r="H960" s="4"/>
      <c r="I960" s="4"/>
      <c r="J960" s="134"/>
      <c r="K960" s="134"/>
      <c r="L960" s="135"/>
      <c r="T960" s="136"/>
    </row>
    <row r="961" ht="21.0" customHeight="1">
      <c r="A961" s="212"/>
      <c r="C961" s="133"/>
      <c r="D961" s="4"/>
      <c r="E961" s="4"/>
      <c r="F961" s="4"/>
      <c r="G961" s="4"/>
      <c r="H961" s="4"/>
      <c r="I961" s="4"/>
      <c r="J961" s="134"/>
      <c r="K961" s="134"/>
      <c r="L961" s="135"/>
      <c r="T961" s="136"/>
    </row>
    <row r="962" ht="21.0" customHeight="1">
      <c r="A962" s="212"/>
      <c r="C962" s="133"/>
      <c r="D962" s="4"/>
      <c r="E962" s="4"/>
      <c r="F962" s="4"/>
      <c r="G962" s="4"/>
      <c r="H962" s="4"/>
      <c r="I962" s="4"/>
      <c r="J962" s="134"/>
      <c r="K962" s="134"/>
      <c r="L962" s="135"/>
      <c r="T962" s="136"/>
    </row>
    <row r="963" ht="21.0" customHeight="1">
      <c r="A963" s="212"/>
      <c r="C963" s="133"/>
      <c r="D963" s="4"/>
      <c r="E963" s="4"/>
      <c r="F963" s="4"/>
      <c r="G963" s="4"/>
      <c r="H963" s="4"/>
      <c r="I963" s="4"/>
      <c r="J963" s="134"/>
      <c r="K963" s="134"/>
      <c r="L963" s="135"/>
      <c r="T963" s="136"/>
    </row>
    <row r="964" ht="21.0" customHeight="1">
      <c r="A964" s="212"/>
      <c r="C964" s="133"/>
      <c r="D964" s="4"/>
      <c r="E964" s="4"/>
      <c r="F964" s="4"/>
      <c r="G964" s="4"/>
      <c r="H964" s="4"/>
      <c r="I964" s="4"/>
      <c r="J964" s="134"/>
      <c r="K964" s="134"/>
      <c r="L964" s="135"/>
      <c r="T964" s="136"/>
    </row>
    <row r="965" ht="21.0" customHeight="1">
      <c r="A965" s="212"/>
      <c r="C965" s="133"/>
      <c r="D965" s="4"/>
      <c r="E965" s="4"/>
      <c r="F965" s="4"/>
      <c r="G965" s="4"/>
      <c r="H965" s="4"/>
      <c r="I965" s="4"/>
      <c r="J965" s="134"/>
      <c r="K965" s="134"/>
      <c r="L965" s="135"/>
      <c r="T965" s="136"/>
    </row>
    <row r="966" ht="21.0" customHeight="1">
      <c r="A966" s="212"/>
      <c r="C966" s="133"/>
      <c r="D966" s="4"/>
      <c r="E966" s="4"/>
      <c r="F966" s="4"/>
      <c r="G966" s="4"/>
      <c r="H966" s="4"/>
      <c r="I966" s="4"/>
      <c r="J966" s="134"/>
      <c r="K966" s="134"/>
      <c r="L966" s="135"/>
      <c r="T966" s="136"/>
    </row>
    <row r="967" ht="21.0" customHeight="1">
      <c r="A967" s="212"/>
      <c r="C967" s="133"/>
      <c r="D967" s="4"/>
      <c r="E967" s="4"/>
      <c r="F967" s="4"/>
      <c r="G967" s="4"/>
      <c r="H967" s="4"/>
      <c r="I967" s="4"/>
      <c r="J967" s="134"/>
      <c r="K967" s="134"/>
      <c r="L967" s="135"/>
      <c r="T967" s="136"/>
    </row>
    <row r="968" ht="21.0" customHeight="1">
      <c r="A968" s="212"/>
      <c r="C968" s="133"/>
      <c r="D968" s="4"/>
      <c r="E968" s="4"/>
      <c r="F968" s="4"/>
      <c r="G968" s="4"/>
      <c r="H968" s="4"/>
      <c r="I968" s="4"/>
      <c r="J968" s="134"/>
      <c r="K968" s="134"/>
      <c r="L968" s="135"/>
      <c r="T968" s="136"/>
    </row>
    <row r="969" ht="21.0" customHeight="1">
      <c r="A969" s="212"/>
      <c r="C969" s="133"/>
      <c r="D969" s="4"/>
      <c r="E969" s="4"/>
      <c r="F969" s="4"/>
      <c r="G969" s="4"/>
      <c r="H969" s="4"/>
      <c r="I969" s="4"/>
      <c r="J969" s="134"/>
      <c r="K969" s="134"/>
      <c r="L969" s="135"/>
      <c r="T969" s="136"/>
    </row>
    <row r="970" ht="21.0" customHeight="1">
      <c r="A970" s="212"/>
      <c r="C970" s="133"/>
      <c r="D970" s="4"/>
      <c r="E970" s="4"/>
      <c r="F970" s="4"/>
      <c r="G970" s="4"/>
      <c r="H970" s="4"/>
      <c r="I970" s="4"/>
      <c r="J970" s="134"/>
      <c r="K970" s="134"/>
      <c r="L970" s="135"/>
      <c r="T970" s="136"/>
    </row>
    <row r="971" ht="21.0" customHeight="1">
      <c r="A971" s="212"/>
      <c r="C971" s="133"/>
      <c r="D971" s="4"/>
      <c r="E971" s="4"/>
      <c r="F971" s="4"/>
      <c r="G971" s="4"/>
      <c r="H971" s="4"/>
      <c r="I971" s="4"/>
      <c r="J971" s="134"/>
      <c r="K971" s="134"/>
      <c r="L971" s="135"/>
      <c r="T971" s="136"/>
    </row>
    <row r="972" ht="21.0" customHeight="1">
      <c r="A972" s="212"/>
      <c r="C972" s="133"/>
      <c r="D972" s="4"/>
      <c r="E972" s="4"/>
      <c r="F972" s="4"/>
      <c r="G972" s="4"/>
      <c r="H972" s="4"/>
      <c r="I972" s="4"/>
      <c r="J972" s="134"/>
      <c r="K972" s="134"/>
      <c r="L972" s="135"/>
      <c r="T972" s="136"/>
    </row>
    <row r="973" ht="21.0" customHeight="1">
      <c r="A973" s="212"/>
      <c r="C973" s="133"/>
      <c r="D973" s="4"/>
      <c r="E973" s="4"/>
      <c r="F973" s="4"/>
      <c r="G973" s="4"/>
      <c r="H973" s="4"/>
      <c r="I973" s="4"/>
      <c r="J973" s="134"/>
      <c r="K973" s="134"/>
      <c r="L973" s="135"/>
      <c r="T973" s="136"/>
    </row>
    <row r="974" ht="21.0" customHeight="1">
      <c r="A974" s="212"/>
      <c r="C974" s="133"/>
      <c r="D974" s="4"/>
      <c r="E974" s="4"/>
      <c r="F974" s="4"/>
      <c r="G974" s="4"/>
      <c r="H974" s="4"/>
      <c r="I974" s="4"/>
      <c r="J974" s="134"/>
      <c r="K974" s="134"/>
      <c r="L974" s="135"/>
      <c r="T974" s="136"/>
    </row>
    <row r="975" ht="21.0" customHeight="1">
      <c r="A975" s="212"/>
      <c r="C975" s="133"/>
      <c r="D975" s="4"/>
      <c r="E975" s="4"/>
      <c r="F975" s="4"/>
      <c r="G975" s="4"/>
      <c r="H975" s="4"/>
      <c r="I975" s="4"/>
      <c r="J975" s="134"/>
      <c r="K975" s="134"/>
      <c r="L975" s="135"/>
      <c r="T975" s="136"/>
    </row>
    <row r="976" ht="21.0" customHeight="1">
      <c r="A976" s="212"/>
      <c r="C976" s="133"/>
      <c r="D976" s="4"/>
      <c r="E976" s="4"/>
      <c r="F976" s="4"/>
      <c r="G976" s="4"/>
      <c r="H976" s="4"/>
      <c r="I976" s="4"/>
      <c r="J976" s="134"/>
      <c r="K976" s="134"/>
      <c r="L976" s="135"/>
      <c r="T976" s="136"/>
    </row>
    <row r="977" ht="21.0" customHeight="1">
      <c r="A977" s="212"/>
      <c r="C977" s="133"/>
      <c r="D977" s="4"/>
      <c r="E977" s="4"/>
      <c r="F977" s="4"/>
      <c r="G977" s="4"/>
      <c r="H977" s="4"/>
      <c r="I977" s="4"/>
      <c r="J977" s="134"/>
      <c r="K977" s="134"/>
      <c r="L977" s="135"/>
      <c r="T977" s="136"/>
    </row>
    <row r="978" ht="21.0" customHeight="1">
      <c r="A978" s="212"/>
      <c r="C978" s="133"/>
      <c r="D978" s="4"/>
      <c r="E978" s="4"/>
      <c r="F978" s="4"/>
      <c r="G978" s="4"/>
      <c r="H978" s="4"/>
      <c r="I978" s="4"/>
      <c r="J978" s="134"/>
      <c r="K978" s="134"/>
      <c r="L978" s="135"/>
      <c r="T978" s="136"/>
    </row>
    <row r="979" ht="21.0" customHeight="1">
      <c r="A979" s="212"/>
      <c r="C979" s="133"/>
      <c r="D979" s="4"/>
      <c r="E979" s="4"/>
      <c r="F979" s="4"/>
      <c r="G979" s="4"/>
      <c r="H979" s="4"/>
      <c r="I979" s="4"/>
      <c r="J979" s="134"/>
      <c r="K979" s="134"/>
      <c r="L979" s="135"/>
      <c r="T979" s="136"/>
    </row>
    <row r="980" ht="21.0" customHeight="1">
      <c r="A980" s="212"/>
      <c r="C980" s="133"/>
      <c r="D980" s="4"/>
      <c r="E980" s="4"/>
      <c r="F980" s="4"/>
      <c r="G980" s="4"/>
      <c r="H980" s="4"/>
      <c r="I980" s="4"/>
      <c r="J980" s="134"/>
      <c r="K980" s="134"/>
      <c r="L980" s="135"/>
      <c r="T980" s="136"/>
    </row>
    <row r="981" ht="21.0" customHeight="1">
      <c r="A981" s="212"/>
      <c r="C981" s="133"/>
      <c r="D981" s="4"/>
      <c r="E981" s="4"/>
      <c r="F981" s="4"/>
      <c r="G981" s="4"/>
      <c r="H981" s="4"/>
      <c r="I981" s="4"/>
      <c r="J981" s="134"/>
      <c r="K981" s="134"/>
      <c r="L981" s="135"/>
      <c r="T981" s="136"/>
    </row>
    <row r="982" ht="21.0" customHeight="1">
      <c r="A982" s="212"/>
      <c r="C982" s="133"/>
      <c r="D982" s="4"/>
      <c r="E982" s="4"/>
      <c r="F982" s="4"/>
      <c r="G982" s="4"/>
      <c r="H982" s="4"/>
      <c r="I982" s="4"/>
      <c r="J982" s="134"/>
      <c r="K982" s="134"/>
      <c r="L982" s="135"/>
      <c r="T982" s="136"/>
    </row>
    <row r="983" ht="21.0" customHeight="1">
      <c r="A983" s="212"/>
      <c r="C983" s="133"/>
      <c r="D983" s="4"/>
      <c r="E983" s="4"/>
      <c r="F983" s="4"/>
      <c r="G983" s="4"/>
      <c r="H983" s="4"/>
      <c r="I983" s="4"/>
      <c r="J983" s="134"/>
      <c r="K983" s="134"/>
      <c r="L983" s="135"/>
      <c r="T983" s="136"/>
    </row>
    <row r="984" ht="21.0" customHeight="1">
      <c r="A984" s="212"/>
      <c r="C984" s="133"/>
      <c r="D984" s="4"/>
      <c r="E984" s="4"/>
      <c r="F984" s="4"/>
      <c r="G984" s="4"/>
      <c r="H984" s="4"/>
      <c r="I984" s="4"/>
      <c r="J984" s="134"/>
      <c r="K984" s="134"/>
      <c r="L984" s="135"/>
      <c r="T984" s="136"/>
    </row>
    <row r="985" ht="21.0" customHeight="1">
      <c r="A985" s="212"/>
      <c r="C985" s="133"/>
      <c r="D985" s="4"/>
      <c r="E985" s="4"/>
      <c r="F985" s="4"/>
      <c r="G985" s="4"/>
      <c r="H985" s="4"/>
      <c r="I985" s="4"/>
      <c r="J985" s="134"/>
      <c r="K985" s="134"/>
      <c r="L985" s="135"/>
      <c r="T985" s="136"/>
    </row>
    <row r="986" ht="21.0" customHeight="1">
      <c r="A986" s="212"/>
      <c r="C986" s="133"/>
      <c r="D986" s="4"/>
      <c r="E986" s="4"/>
      <c r="F986" s="4"/>
      <c r="G986" s="4"/>
      <c r="H986" s="4"/>
      <c r="I986" s="4"/>
      <c r="J986" s="134"/>
      <c r="K986" s="134"/>
      <c r="L986" s="135"/>
      <c r="T986" s="136"/>
    </row>
    <row r="987" ht="21.0" customHeight="1">
      <c r="A987" s="212"/>
      <c r="C987" s="133"/>
      <c r="D987" s="4"/>
      <c r="E987" s="4"/>
      <c r="F987" s="4"/>
      <c r="G987" s="4"/>
      <c r="H987" s="4"/>
      <c r="I987" s="4"/>
      <c r="J987" s="134"/>
      <c r="K987" s="134"/>
      <c r="L987" s="135"/>
      <c r="T987" s="136"/>
    </row>
    <row r="988" ht="21.0" customHeight="1">
      <c r="A988" s="212"/>
      <c r="C988" s="133"/>
      <c r="D988" s="4"/>
      <c r="E988" s="4"/>
      <c r="F988" s="4"/>
      <c r="G988" s="4"/>
      <c r="H988" s="4"/>
      <c r="I988" s="4"/>
      <c r="J988" s="134"/>
      <c r="K988" s="134"/>
      <c r="L988" s="135"/>
      <c r="T988" s="136"/>
    </row>
    <row r="989" ht="21.0" customHeight="1">
      <c r="A989" s="212"/>
      <c r="C989" s="133"/>
      <c r="D989" s="4"/>
      <c r="E989" s="4"/>
      <c r="F989" s="4"/>
      <c r="G989" s="4"/>
      <c r="H989" s="4"/>
      <c r="I989" s="4"/>
      <c r="J989" s="134"/>
      <c r="K989" s="134"/>
      <c r="L989" s="135"/>
      <c r="T989" s="136"/>
    </row>
    <row r="990" ht="21.0" customHeight="1">
      <c r="A990" s="212"/>
      <c r="C990" s="133"/>
      <c r="D990" s="4"/>
      <c r="E990" s="4"/>
      <c r="F990" s="4"/>
      <c r="G990" s="4"/>
      <c r="H990" s="4"/>
      <c r="I990" s="4"/>
      <c r="J990" s="134"/>
      <c r="K990" s="134"/>
      <c r="L990" s="135"/>
      <c r="T990" s="136"/>
    </row>
    <row r="991" ht="21.0" customHeight="1">
      <c r="A991" s="212"/>
      <c r="C991" s="133"/>
      <c r="D991" s="4"/>
      <c r="E991" s="4"/>
      <c r="F991" s="4"/>
      <c r="G991" s="4"/>
      <c r="H991" s="4"/>
      <c r="I991" s="4"/>
      <c r="J991" s="134"/>
      <c r="K991" s="134"/>
      <c r="L991" s="135"/>
      <c r="T991" s="136"/>
    </row>
    <row r="992" ht="21.0" customHeight="1">
      <c r="A992" s="212"/>
      <c r="C992" s="133"/>
      <c r="D992" s="4"/>
      <c r="E992" s="4"/>
      <c r="F992" s="4"/>
      <c r="G992" s="4"/>
      <c r="H992" s="4"/>
      <c r="I992" s="4"/>
      <c r="J992" s="134"/>
      <c r="K992" s="134"/>
      <c r="L992" s="135"/>
      <c r="T992" s="136"/>
    </row>
    <row r="993" ht="21.0" customHeight="1">
      <c r="A993" s="212"/>
      <c r="C993" s="133"/>
      <c r="D993" s="4"/>
      <c r="E993" s="4"/>
      <c r="F993" s="4"/>
      <c r="G993" s="4"/>
      <c r="H993" s="4"/>
      <c r="I993" s="4"/>
      <c r="J993" s="134"/>
      <c r="K993" s="134"/>
      <c r="L993" s="135"/>
      <c r="T993" s="136"/>
    </row>
    <row r="994" ht="21.0" customHeight="1">
      <c r="A994" s="212"/>
      <c r="C994" s="133"/>
      <c r="D994" s="4"/>
      <c r="E994" s="4"/>
      <c r="F994" s="4"/>
      <c r="G994" s="4"/>
      <c r="H994" s="4"/>
      <c r="I994" s="4"/>
      <c r="J994" s="134"/>
      <c r="K994" s="134"/>
      <c r="L994" s="135"/>
      <c r="T994" s="136"/>
    </row>
    <row r="995" ht="21.0" customHeight="1">
      <c r="A995" s="212"/>
      <c r="C995" s="133"/>
      <c r="D995" s="4"/>
      <c r="E995" s="4"/>
      <c r="F995" s="4"/>
      <c r="G995" s="4"/>
      <c r="H995" s="4"/>
      <c r="I995" s="4"/>
      <c r="J995" s="134"/>
      <c r="K995" s="134"/>
      <c r="L995" s="135"/>
      <c r="T995" s="136"/>
    </row>
    <row r="996" ht="21.0" customHeight="1">
      <c r="A996" s="212"/>
      <c r="C996" s="133"/>
      <c r="D996" s="4"/>
      <c r="E996" s="4"/>
      <c r="F996" s="4"/>
      <c r="G996" s="4"/>
      <c r="H996" s="4"/>
      <c r="I996" s="4"/>
      <c r="J996" s="134"/>
      <c r="K996" s="134"/>
      <c r="L996" s="135"/>
      <c r="T996" s="136"/>
    </row>
    <row r="997" ht="21.0" customHeight="1">
      <c r="A997" s="212"/>
      <c r="C997" s="133"/>
      <c r="D997" s="4"/>
      <c r="E997" s="4"/>
      <c r="F997" s="4"/>
      <c r="G997" s="4"/>
      <c r="H997" s="4"/>
      <c r="I997" s="4"/>
      <c r="J997" s="134"/>
      <c r="K997" s="134"/>
      <c r="L997" s="135"/>
      <c r="T997" s="136"/>
    </row>
    <row r="998" ht="21.0" customHeight="1">
      <c r="A998" s="212"/>
      <c r="C998" s="133"/>
      <c r="D998" s="4"/>
      <c r="E998" s="4"/>
      <c r="F998" s="4"/>
      <c r="G998" s="4"/>
      <c r="H998" s="4"/>
      <c r="I998" s="4"/>
      <c r="J998" s="134"/>
      <c r="K998" s="134"/>
      <c r="L998" s="135"/>
      <c r="T998" s="136"/>
    </row>
    <row r="999" ht="21.0" customHeight="1">
      <c r="A999" s="212"/>
      <c r="C999" s="133"/>
      <c r="D999" s="4"/>
      <c r="E999" s="4"/>
      <c r="F999" s="4"/>
      <c r="G999" s="4"/>
      <c r="H999" s="4"/>
      <c r="I999" s="4"/>
      <c r="J999" s="134"/>
      <c r="K999" s="134"/>
      <c r="L999" s="135"/>
      <c r="T999" s="136"/>
    </row>
    <row r="1000" ht="21.0" customHeight="1">
      <c r="A1000" s="212"/>
      <c r="C1000" s="133"/>
      <c r="D1000" s="4"/>
      <c r="E1000" s="4"/>
      <c r="F1000" s="4"/>
      <c r="G1000" s="4"/>
      <c r="H1000" s="4"/>
      <c r="I1000" s="4"/>
      <c r="J1000" s="134"/>
      <c r="K1000" s="134"/>
      <c r="L1000" s="135"/>
      <c r="T1000" s="136"/>
    </row>
    <row r="1001" ht="21.0" customHeight="1">
      <c r="A1001" s="212"/>
      <c r="C1001" s="133"/>
      <c r="D1001" s="4"/>
      <c r="E1001" s="4"/>
      <c r="F1001" s="4"/>
      <c r="G1001" s="4"/>
      <c r="H1001" s="4"/>
      <c r="I1001" s="4"/>
      <c r="J1001" s="134"/>
      <c r="K1001" s="134"/>
      <c r="L1001" s="135"/>
      <c r="T1001" s="136"/>
    </row>
    <row r="1002" ht="21.0" customHeight="1">
      <c r="A1002" s="212"/>
      <c r="C1002" s="133"/>
      <c r="D1002" s="4"/>
      <c r="E1002" s="4"/>
      <c r="F1002" s="4"/>
      <c r="G1002" s="4"/>
      <c r="H1002" s="4"/>
      <c r="I1002" s="4"/>
      <c r="J1002" s="134"/>
      <c r="K1002" s="134"/>
      <c r="L1002" s="135"/>
      <c r="T1002" s="136"/>
    </row>
    <row r="1003" ht="21.0" customHeight="1">
      <c r="A1003" s="212"/>
      <c r="C1003" s="133"/>
      <c r="D1003" s="4"/>
      <c r="E1003" s="4"/>
      <c r="F1003" s="4"/>
      <c r="G1003" s="4"/>
      <c r="H1003" s="4"/>
      <c r="I1003" s="4"/>
      <c r="J1003" s="134"/>
      <c r="K1003" s="134"/>
      <c r="L1003" s="135"/>
      <c r="T1003" s="136"/>
    </row>
    <row r="1004" ht="21.0" customHeight="1">
      <c r="A1004" s="212"/>
      <c r="C1004" s="133"/>
      <c r="D1004" s="4"/>
      <c r="E1004" s="4"/>
      <c r="F1004" s="4"/>
      <c r="G1004" s="4"/>
      <c r="H1004" s="4"/>
      <c r="I1004" s="4"/>
      <c r="J1004" s="134"/>
      <c r="K1004" s="134"/>
      <c r="L1004" s="135"/>
      <c r="T1004" s="136"/>
    </row>
    <row r="1005" ht="21.0" customHeight="1">
      <c r="A1005" s="212"/>
      <c r="C1005" s="133"/>
      <c r="D1005" s="4"/>
      <c r="E1005" s="4"/>
      <c r="F1005" s="4"/>
      <c r="G1005" s="4"/>
      <c r="H1005" s="4"/>
      <c r="I1005" s="4"/>
      <c r="J1005" s="134"/>
      <c r="K1005" s="134"/>
      <c r="L1005" s="135"/>
      <c r="T1005" s="136"/>
    </row>
    <row r="1006" ht="21.0" customHeight="1">
      <c r="A1006" s="212"/>
      <c r="C1006" s="133"/>
      <c r="D1006" s="4"/>
      <c r="E1006" s="4"/>
      <c r="F1006" s="4"/>
      <c r="G1006" s="4"/>
      <c r="H1006" s="4"/>
      <c r="I1006" s="4"/>
      <c r="J1006" s="134"/>
      <c r="K1006" s="134"/>
      <c r="L1006" s="135"/>
      <c r="T1006" s="136"/>
    </row>
    <row r="1007" ht="21.0" customHeight="1">
      <c r="A1007" s="212"/>
      <c r="C1007" s="133"/>
      <c r="D1007" s="4"/>
      <c r="E1007" s="4"/>
      <c r="F1007" s="4"/>
      <c r="G1007" s="4"/>
      <c r="H1007" s="4"/>
      <c r="I1007" s="4"/>
      <c r="J1007" s="134"/>
      <c r="K1007" s="134"/>
      <c r="L1007" s="135"/>
      <c r="T1007" s="136"/>
    </row>
    <row r="1008" ht="21.0" customHeight="1">
      <c r="A1008" s="212"/>
      <c r="C1008" s="133"/>
      <c r="D1008" s="4"/>
      <c r="E1008" s="4"/>
      <c r="F1008" s="4"/>
      <c r="G1008" s="4"/>
      <c r="H1008" s="4"/>
      <c r="I1008" s="4"/>
      <c r="J1008" s="134"/>
      <c r="K1008" s="134"/>
      <c r="L1008" s="135"/>
      <c r="T1008" s="136"/>
    </row>
    <row r="1009" ht="21.0" customHeight="1">
      <c r="A1009" s="212"/>
      <c r="C1009" s="133"/>
      <c r="D1009" s="4"/>
      <c r="E1009" s="4"/>
      <c r="F1009" s="4"/>
      <c r="G1009" s="4"/>
      <c r="H1009" s="4"/>
      <c r="I1009" s="4"/>
      <c r="J1009" s="134"/>
      <c r="K1009" s="134"/>
      <c r="L1009" s="135"/>
      <c r="T1009" s="136"/>
    </row>
    <row r="1010" ht="21.0" customHeight="1">
      <c r="A1010" s="212"/>
      <c r="C1010" s="133"/>
      <c r="D1010" s="4"/>
      <c r="E1010" s="4"/>
      <c r="F1010" s="4"/>
      <c r="G1010" s="4"/>
      <c r="H1010" s="4"/>
      <c r="I1010" s="4"/>
      <c r="J1010" s="134"/>
      <c r="K1010" s="134"/>
      <c r="L1010" s="135"/>
      <c r="T1010" s="136"/>
    </row>
    <row r="1011" ht="21.0" customHeight="1">
      <c r="A1011" s="212"/>
      <c r="C1011" s="133"/>
      <c r="D1011" s="4"/>
      <c r="E1011" s="4"/>
      <c r="F1011" s="4"/>
      <c r="G1011" s="4"/>
      <c r="H1011" s="4"/>
      <c r="I1011" s="4"/>
      <c r="J1011" s="134"/>
      <c r="K1011" s="134"/>
      <c r="L1011" s="135"/>
      <c r="T1011" s="136"/>
    </row>
    <row r="1012" ht="21.0" customHeight="1">
      <c r="A1012" s="212"/>
      <c r="C1012" s="133"/>
      <c r="D1012" s="4"/>
      <c r="E1012" s="4"/>
      <c r="F1012" s="4"/>
      <c r="G1012" s="4"/>
      <c r="H1012" s="4"/>
      <c r="I1012" s="4"/>
      <c r="J1012" s="134"/>
      <c r="K1012" s="134"/>
      <c r="L1012" s="135"/>
      <c r="T1012" s="136"/>
    </row>
    <row r="1013" ht="21.0" customHeight="1">
      <c r="A1013" s="212"/>
      <c r="C1013" s="133"/>
      <c r="D1013" s="4"/>
      <c r="E1013" s="4"/>
      <c r="F1013" s="4"/>
      <c r="G1013" s="4"/>
      <c r="H1013" s="4"/>
      <c r="I1013" s="4"/>
      <c r="J1013" s="134"/>
      <c r="K1013" s="134"/>
      <c r="L1013" s="135"/>
      <c r="T1013" s="136"/>
    </row>
    <row r="1014" ht="21.0" customHeight="1">
      <c r="A1014" s="212"/>
      <c r="C1014" s="133"/>
      <c r="D1014" s="4"/>
      <c r="E1014" s="4"/>
      <c r="F1014" s="4"/>
      <c r="G1014" s="4"/>
      <c r="H1014" s="4"/>
      <c r="I1014" s="4"/>
      <c r="J1014" s="134"/>
      <c r="K1014" s="134"/>
      <c r="L1014" s="135"/>
      <c r="T1014" s="136"/>
    </row>
    <row r="1015" ht="21.0" customHeight="1">
      <c r="A1015" s="212"/>
      <c r="C1015" s="133"/>
      <c r="D1015" s="4"/>
      <c r="E1015" s="4"/>
      <c r="F1015" s="4"/>
      <c r="G1015" s="4"/>
      <c r="H1015" s="4"/>
      <c r="I1015" s="4"/>
      <c r="J1015" s="134"/>
      <c r="K1015" s="134"/>
      <c r="L1015" s="135"/>
      <c r="T1015" s="136"/>
    </row>
    <row r="1016" ht="21.0" customHeight="1">
      <c r="A1016" s="212"/>
      <c r="C1016" s="133"/>
      <c r="D1016" s="4"/>
      <c r="E1016" s="4"/>
      <c r="F1016" s="4"/>
      <c r="G1016" s="4"/>
      <c r="H1016" s="4"/>
      <c r="I1016" s="4"/>
      <c r="J1016" s="134"/>
      <c r="K1016" s="134"/>
      <c r="L1016" s="135"/>
      <c r="T1016" s="136"/>
    </row>
    <row r="1017" ht="21.0" customHeight="1">
      <c r="A1017" s="212"/>
      <c r="C1017" s="133"/>
      <c r="D1017" s="4"/>
      <c r="E1017" s="4"/>
      <c r="F1017" s="4"/>
      <c r="G1017" s="4"/>
      <c r="H1017" s="4"/>
      <c r="I1017" s="4"/>
      <c r="J1017" s="134"/>
      <c r="K1017" s="134"/>
      <c r="L1017" s="135"/>
      <c r="T1017" s="136"/>
    </row>
  </sheetData>
  <mergeCells count="843">
    <mergeCell ref="K633:K635"/>
    <mergeCell ref="K639:K641"/>
    <mergeCell ref="L639:L641"/>
    <mergeCell ref="M639:M641"/>
    <mergeCell ref="N639:N641"/>
    <mergeCell ref="G630:K630"/>
    <mergeCell ref="D632:I632"/>
    <mergeCell ref="L633:L635"/>
    <mergeCell ref="M633:M635"/>
    <mergeCell ref="N633:N635"/>
    <mergeCell ref="G636:K636"/>
    <mergeCell ref="D638:I638"/>
    <mergeCell ref="K645:K647"/>
    <mergeCell ref="K651:K653"/>
    <mergeCell ref="L651:L653"/>
    <mergeCell ref="M651:M653"/>
    <mergeCell ref="N651:N653"/>
    <mergeCell ref="G642:K642"/>
    <mergeCell ref="D644:I644"/>
    <mergeCell ref="L645:L647"/>
    <mergeCell ref="M645:M647"/>
    <mergeCell ref="N645:N647"/>
    <mergeCell ref="G648:K648"/>
    <mergeCell ref="D650:I650"/>
    <mergeCell ref="K657:K659"/>
    <mergeCell ref="K663:K665"/>
    <mergeCell ref="L663:L665"/>
    <mergeCell ref="M663:M665"/>
    <mergeCell ref="N663:N665"/>
    <mergeCell ref="G654:K654"/>
    <mergeCell ref="D656:I656"/>
    <mergeCell ref="L657:L659"/>
    <mergeCell ref="M657:M659"/>
    <mergeCell ref="N657:N659"/>
    <mergeCell ref="G660:K660"/>
    <mergeCell ref="D662:I662"/>
    <mergeCell ref="K669:K671"/>
    <mergeCell ref="K675:K677"/>
    <mergeCell ref="L675:L677"/>
    <mergeCell ref="M675:M677"/>
    <mergeCell ref="N675:N677"/>
    <mergeCell ref="G666:K666"/>
    <mergeCell ref="D668:I668"/>
    <mergeCell ref="L669:L671"/>
    <mergeCell ref="M669:M671"/>
    <mergeCell ref="N669:N671"/>
    <mergeCell ref="G672:K672"/>
    <mergeCell ref="D674:I674"/>
    <mergeCell ref="K681:K683"/>
    <mergeCell ref="K687:K689"/>
    <mergeCell ref="L687:L689"/>
    <mergeCell ref="M687:M689"/>
    <mergeCell ref="N687:N689"/>
    <mergeCell ref="G678:K678"/>
    <mergeCell ref="D680:I680"/>
    <mergeCell ref="L681:L683"/>
    <mergeCell ref="M681:M683"/>
    <mergeCell ref="N681:N683"/>
    <mergeCell ref="G684:K684"/>
    <mergeCell ref="D686:I686"/>
    <mergeCell ref="K693:K695"/>
    <mergeCell ref="K699:K701"/>
    <mergeCell ref="L699:L701"/>
    <mergeCell ref="M699:M701"/>
    <mergeCell ref="N699:N701"/>
    <mergeCell ref="G690:K690"/>
    <mergeCell ref="D692:I692"/>
    <mergeCell ref="L693:L695"/>
    <mergeCell ref="M693:M695"/>
    <mergeCell ref="N693:N695"/>
    <mergeCell ref="G696:K696"/>
    <mergeCell ref="D698:I698"/>
    <mergeCell ref="K705:K707"/>
    <mergeCell ref="K711:K713"/>
    <mergeCell ref="L711:L713"/>
    <mergeCell ref="M711:M713"/>
    <mergeCell ref="N711:N713"/>
    <mergeCell ref="G702:K702"/>
    <mergeCell ref="D704:I704"/>
    <mergeCell ref="L705:L707"/>
    <mergeCell ref="M705:M707"/>
    <mergeCell ref="N705:N707"/>
    <mergeCell ref="G708:K708"/>
    <mergeCell ref="D710:I710"/>
    <mergeCell ref="K801:K803"/>
    <mergeCell ref="K807:K809"/>
    <mergeCell ref="L807:L809"/>
    <mergeCell ref="M807:M809"/>
    <mergeCell ref="N807:N809"/>
    <mergeCell ref="G798:K798"/>
    <mergeCell ref="D800:I800"/>
    <mergeCell ref="L801:L803"/>
    <mergeCell ref="M801:M803"/>
    <mergeCell ref="N801:N803"/>
    <mergeCell ref="G804:K804"/>
    <mergeCell ref="D806:I806"/>
    <mergeCell ref="K813:K815"/>
    <mergeCell ref="K819:K821"/>
    <mergeCell ref="L819:L821"/>
    <mergeCell ref="M819:M821"/>
    <mergeCell ref="N819:N821"/>
    <mergeCell ref="G810:K810"/>
    <mergeCell ref="D812:I812"/>
    <mergeCell ref="L813:L815"/>
    <mergeCell ref="M813:M815"/>
    <mergeCell ref="N813:N815"/>
    <mergeCell ref="G816:K816"/>
    <mergeCell ref="D818:I818"/>
    <mergeCell ref="K825:K827"/>
    <mergeCell ref="K831:K833"/>
    <mergeCell ref="L831:L833"/>
    <mergeCell ref="M831:M833"/>
    <mergeCell ref="N831:N833"/>
    <mergeCell ref="G822:K822"/>
    <mergeCell ref="D824:I824"/>
    <mergeCell ref="L825:L827"/>
    <mergeCell ref="M825:M827"/>
    <mergeCell ref="N825:N827"/>
    <mergeCell ref="G828:K828"/>
    <mergeCell ref="D830:I830"/>
    <mergeCell ref="B1:N1"/>
    <mergeCell ref="B3:N3"/>
    <mergeCell ref="B5:C5"/>
    <mergeCell ref="D8:I8"/>
    <mergeCell ref="L9:L11"/>
    <mergeCell ref="M9:M11"/>
    <mergeCell ref="N9:N11"/>
    <mergeCell ref="K9:K11"/>
    <mergeCell ref="G12:K12"/>
    <mergeCell ref="D14:I14"/>
    <mergeCell ref="K15:K17"/>
    <mergeCell ref="L15:L17"/>
    <mergeCell ref="M15:M17"/>
    <mergeCell ref="N15:N17"/>
    <mergeCell ref="K21:K23"/>
    <mergeCell ref="K27:K29"/>
    <mergeCell ref="L27:L29"/>
    <mergeCell ref="M27:M29"/>
    <mergeCell ref="N27:N29"/>
    <mergeCell ref="G18:K18"/>
    <mergeCell ref="D20:I20"/>
    <mergeCell ref="L21:L23"/>
    <mergeCell ref="M21:M23"/>
    <mergeCell ref="N21:N23"/>
    <mergeCell ref="G24:K24"/>
    <mergeCell ref="D26:I26"/>
    <mergeCell ref="K33:K35"/>
    <mergeCell ref="K39:K41"/>
    <mergeCell ref="L39:L41"/>
    <mergeCell ref="M39:M41"/>
    <mergeCell ref="N39:N41"/>
    <mergeCell ref="G30:K30"/>
    <mergeCell ref="D32:I32"/>
    <mergeCell ref="L33:L35"/>
    <mergeCell ref="M33:M35"/>
    <mergeCell ref="N33:N35"/>
    <mergeCell ref="G36:K36"/>
    <mergeCell ref="D38:I38"/>
    <mergeCell ref="K837:K839"/>
    <mergeCell ref="K843:K845"/>
    <mergeCell ref="L843:L845"/>
    <mergeCell ref="M843:M845"/>
    <mergeCell ref="N843:N845"/>
    <mergeCell ref="G834:K834"/>
    <mergeCell ref="D836:I836"/>
    <mergeCell ref="L837:L839"/>
    <mergeCell ref="M837:M839"/>
    <mergeCell ref="N837:N839"/>
    <mergeCell ref="G840:K840"/>
    <mergeCell ref="D842:I842"/>
    <mergeCell ref="G846:K846"/>
    <mergeCell ref="K717:K719"/>
    <mergeCell ref="K723:K725"/>
    <mergeCell ref="L723:L725"/>
    <mergeCell ref="M723:M725"/>
    <mergeCell ref="N723:N725"/>
    <mergeCell ref="G714:K714"/>
    <mergeCell ref="D716:I716"/>
    <mergeCell ref="L717:L719"/>
    <mergeCell ref="M717:M719"/>
    <mergeCell ref="N717:N719"/>
    <mergeCell ref="G720:K720"/>
    <mergeCell ref="D722:I722"/>
    <mergeCell ref="K729:K731"/>
    <mergeCell ref="K735:K737"/>
    <mergeCell ref="L735:L737"/>
    <mergeCell ref="M735:M737"/>
    <mergeCell ref="N735:N737"/>
    <mergeCell ref="G726:K726"/>
    <mergeCell ref="D728:I728"/>
    <mergeCell ref="L729:L731"/>
    <mergeCell ref="M729:M731"/>
    <mergeCell ref="N729:N731"/>
    <mergeCell ref="G732:K732"/>
    <mergeCell ref="D734:I734"/>
    <mergeCell ref="K741:K743"/>
    <mergeCell ref="K747:K749"/>
    <mergeCell ref="L747:L749"/>
    <mergeCell ref="M747:M749"/>
    <mergeCell ref="N747:N749"/>
    <mergeCell ref="G738:K738"/>
    <mergeCell ref="D740:I740"/>
    <mergeCell ref="L741:L743"/>
    <mergeCell ref="M741:M743"/>
    <mergeCell ref="N741:N743"/>
    <mergeCell ref="G744:K744"/>
    <mergeCell ref="D746:I746"/>
    <mergeCell ref="K753:K755"/>
    <mergeCell ref="K759:K761"/>
    <mergeCell ref="L759:L761"/>
    <mergeCell ref="M759:M761"/>
    <mergeCell ref="N759:N761"/>
    <mergeCell ref="G750:K750"/>
    <mergeCell ref="D752:I752"/>
    <mergeCell ref="L753:L755"/>
    <mergeCell ref="M753:M755"/>
    <mergeCell ref="N753:N755"/>
    <mergeCell ref="G756:K756"/>
    <mergeCell ref="D758:I758"/>
    <mergeCell ref="K765:K767"/>
    <mergeCell ref="K771:K773"/>
    <mergeCell ref="L771:L773"/>
    <mergeCell ref="M771:M773"/>
    <mergeCell ref="N771:N773"/>
    <mergeCell ref="G762:K762"/>
    <mergeCell ref="D764:I764"/>
    <mergeCell ref="L765:L767"/>
    <mergeCell ref="M765:M767"/>
    <mergeCell ref="N765:N767"/>
    <mergeCell ref="G768:K768"/>
    <mergeCell ref="D770:I770"/>
    <mergeCell ref="K777:K779"/>
    <mergeCell ref="K783:K785"/>
    <mergeCell ref="L783:L785"/>
    <mergeCell ref="M783:M785"/>
    <mergeCell ref="N783:N785"/>
    <mergeCell ref="G774:K774"/>
    <mergeCell ref="D776:I776"/>
    <mergeCell ref="L777:L779"/>
    <mergeCell ref="M777:M779"/>
    <mergeCell ref="N777:N779"/>
    <mergeCell ref="G780:K780"/>
    <mergeCell ref="D782:I782"/>
    <mergeCell ref="K789:K791"/>
    <mergeCell ref="K795:K797"/>
    <mergeCell ref="L795:L797"/>
    <mergeCell ref="M795:M797"/>
    <mergeCell ref="N795:N797"/>
    <mergeCell ref="G786:K786"/>
    <mergeCell ref="D788:I788"/>
    <mergeCell ref="L789:L791"/>
    <mergeCell ref="M789:M791"/>
    <mergeCell ref="N789:N791"/>
    <mergeCell ref="G792:K792"/>
    <mergeCell ref="D794:I794"/>
    <mergeCell ref="K45:K47"/>
    <mergeCell ref="K51:K53"/>
    <mergeCell ref="L51:L53"/>
    <mergeCell ref="M51:M53"/>
    <mergeCell ref="N51:N53"/>
    <mergeCell ref="G42:K42"/>
    <mergeCell ref="D44:I44"/>
    <mergeCell ref="L45:L47"/>
    <mergeCell ref="M45:M47"/>
    <mergeCell ref="N45:N47"/>
    <mergeCell ref="G48:K48"/>
    <mergeCell ref="D50:I50"/>
    <mergeCell ref="K57:K59"/>
    <mergeCell ref="K63:K65"/>
    <mergeCell ref="L63:L65"/>
    <mergeCell ref="M63:M65"/>
    <mergeCell ref="N63:N65"/>
    <mergeCell ref="G54:K54"/>
    <mergeCell ref="D56:I56"/>
    <mergeCell ref="L57:L59"/>
    <mergeCell ref="M57:M59"/>
    <mergeCell ref="N57:N59"/>
    <mergeCell ref="G60:K60"/>
    <mergeCell ref="D62:I62"/>
    <mergeCell ref="K69:K71"/>
    <mergeCell ref="K75:K77"/>
    <mergeCell ref="L75:L77"/>
    <mergeCell ref="M75:M77"/>
    <mergeCell ref="N75:N77"/>
    <mergeCell ref="G66:K66"/>
    <mergeCell ref="D68:I68"/>
    <mergeCell ref="L69:L71"/>
    <mergeCell ref="M69:M71"/>
    <mergeCell ref="N69:N71"/>
    <mergeCell ref="G72:K72"/>
    <mergeCell ref="D74:I74"/>
    <mergeCell ref="K81:K83"/>
    <mergeCell ref="K87:K89"/>
    <mergeCell ref="L87:L89"/>
    <mergeCell ref="M87:M89"/>
    <mergeCell ref="N87:N89"/>
    <mergeCell ref="G78:K78"/>
    <mergeCell ref="D80:I80"/>
    <mergeCell ref="L81:L83"/>
    <mergeCell ref="M81:M83"/>
    <mergeCell ref="N81:N83"/>
    <mergeCell ref="G84:K84"/>
    <mergeCell ref="D86:I86"/>
    <mergeCell ref="K93:K95"/>
    <mergeCell ref="K99:K101"/>
    <mergeCell ref="L99:L101"/>
    <mergeCell ref="M99:M101"/>
    <mergeCell ref="N99:N101"/>
    <mergeCell ref="G90:K90"/>
    <mergeCell ref="D92:I92"/>
    <mergeCell ref="L93:L95"/>
    <mergeCell ref="M93:M95"/>
    <mergeCell ref="N93:N95"/>
    <mergeCell ref="G96:K96"/>
    <mergeCell ref="D98:I98"/>
    <mergeCell ref="K105:K107"/>
    <mergeCell ref="K111:K113"/>
    <mergeCell ref="L111:L113"/>
    <mergeCell ref="M111:M113"/>
    <mergeCell ref="N111:N113"/>
    <mergeCell ref="G102:K102"/>
    <mergeCell ref="D104:I104"/>
    <mergeCell ref="L105:L107"/>
    <mergeCell ref="M105:M107"/>
    <mergeCell ref="N105:N107"/>
    <mergeCell ref="G108:K108"/>
    <mergeCell ref="D110:I110"/>
    <mergeCell ref="K117:K119"/>
    <mergeCell ref="K123:K125"/>
    <mergeCell ref="L123:L125"/>
    <mergeCell ref="M123:M125"/>
    <mergeCell ref="N123:N125"/>
    <mergeCell ref="G114:K114"/>
    <mergeCell ref="D116:I116"/>
    <mergeCell ref="L117:L119"/>
    <mergeCell ref="M117:M119"/>
    <mergeCell ref="N117:N119"/>
    <mergeCell ref="G120:K120"/>
    <mergeCell ref="D122:I122"/>
    <mergeCell ref="K129:K131"/>
    <mergeCell ref="K135:K137"/>
    <mergeCell ref="L135:L137"/>
    <mergeCell ref="M135:M137"/>
    <mergeCell ref="N135:N137"/>
    <mergeCell ref="G126:K126"/>
    <mergeCell ref="D128:I128"/>
    <mergeCell ref="L129:L131"/>
    <mergeCell ref="M129:M131"/>
    <mergeCell ref="N129:N131"/>
    <mergeCell ref="G132:K132"/>
    <mergeCell ref="D134:I134"/>
    <mergeCell ref="K141:K143"/>
    <mergeCell ref="K147:K149"/>
    <mergeCell ref="L147:L149"/>
    <mergeCell ref="M147:M149"/>
    <mergeCell ref="N147:N149"/>
    <mergeCell ref="G138:K138"/>
    <mergeCell ref="D140:I140"/>
    <mergeCell ref="L141:L143"/>
    <mergeCell ref="M141:M143"/>
    <mergeCell ref="N141:N143"/>
    <mergeCell ref="G144:K144"/>
    <mergeCell ref="D146:I146"/>
    <mergeCell ref="K153:K155"/>
    <mergeCell ref="K159:K161"/>
    <mergeCell ref="L159:L161"/>
    <mergeCell ref="M159:M161"/>
    <mergeCell ref="N159:N161"/>
    <mergeCell ref="G150:K150"/>
    <mergeCell ref="D152:I152"/>
    <mergeCell ref="L153:L155"/>
    <mergeCell ref="M153:M155"/>
    <mergeCell ref="N153:N155"/>
    <mergeCell ref="G156:K156"/>
    <mergeCell ref="D158:I158"/>
    <mergeCell ref="K165:K167"/>
    <mergeCell ref="K171:K173"/>
    <mergeCell ref="L171:L173"/>
    <mergeCell ref="M171:M173"/>
    <mergeCell ref="N171:N173"/>
    <mergeCell ref="G162:K162"/>
    <mergeCell ref="D164:I164"/>
    <mergeCell ref="L165:L167"/>
    <mergeCell ref="M165:M167"/>
    <mergeCell ref="N165:N167"/>
    <mergeCell ref="G168:K168"/>
    <mergeCell ref="D170:I170"/>
    <mergeCell ref="K177:K179"/>
    <mergeCell ref="K183:K185"/>
    <mergeCell ref="L183:L185"/>
    <mergeCell ref="M183:M185"/>
    <mergeCell ref="N183:N185"/>
    <mergeCell ref="G174:K174"/>
    <mergeCell ref="D176:I176"/>
    <mergeCell ref="L177:L179"/>
    <mergeCell ref="M177:M179"/>
    <mergeCell ref="N177:N179"/>
    <mergeCell ref="G180:K180"/>
    <mergeCell ref="D182:I182"/>
    <mergeCell ref="K189:K191"/>
    <mergeCell ref="K195:K197"/>
    <mergeCell ref="L195:L197"/>
    <mergeCell ref="M195:M197"/>
    <mergeCell ref="N195:N197"/>
    <mergeCell ref="G186:K186"/>
    <mergeCell ref="D188:I188"/>
    <mergeCell ref="L189:L191"/>
    <mergeCell ref="M189:M191"/>
    <mergeCell ref="N189:N191"/>
    <mergeCell ref="G192:K192"/>
    <mergeCell ref="D194:I194"/>
    <mergeCell ref="K201:K203"/>
    <mergeCell ref="K207:K209"/>
    <mergeCell ref="L207:L209"/>
    <mergeCell ref="M207:M209"/>
    <mergeCell ref="N207:N209"/>
    <mergeCell ref="G198:K198"/>
    <mergeCell ref="D200:I200"/>
    <mergeCell ref="L201:L203"/>
    <mergeCell ref="M201:M203"/>
    <mergeCell ref="N201:N203"/>
    <mergeCell ref="G204:K204"/>
    <mergeCell ref="D206:I206"/>
    <mergeCell ref="K213:K215"/>
    <mergeCell ref="K219:K221"/>
    <mergeCell ref="L219:L221"/>
    <mergeCell ref="M219:M221"/>
    <mergeCell ref="N219:N221"/>
    <mergeCell ref="G210:K210"/>
    <mergeCell ref="D212:I212"/>
    <mergeCell ref="L213:L215"/>
    <mergeCell ref="M213:M215"/>
    <mergeCell ref="N213:N215"/>
    <mergeCell ref="G216:K216"/>
    <mergeCell ref="D218:I218"/>
    <mergeCell ref="K225:K227"/>
    <mergeCell ref="K231:K233"/>
    <mergeCell ref="L231:L233"/>
    <mergeCell ref="M231:M233"/>
    <mergeCell ref="N231:N233"/>
    <mergeCell ref="G222:K222"/>
    <mergeCell ref="D224:I224"/>
    <mergeCell ref="L225:L227"/>
    <mergeCell ref="M225:M227"/>
    <mergeCell ref="N225:N227"/>
    <mergeCell ref="G228:K228"/>
    <mergeCell ref="D230:I230"/>
    <mergeCell ref="K237:K239"/>
    <mergeCell ref="K243:K245"/>
    <mergeCell ref="L243:L245"/>
    <mergeCell ref="M243:M245"/>
    <mergeCell ref="N243:N245"/>
    <mergeCell ref="G234:K234"/>
    <mergeCell ref="D236:I236"/>
    <mergeCell ref="L237:L239"/>
    <mergeCell ref="M237:M239"/>
    <mergeCell ref="N237:N239"/>
    <mergeCell ref="G240:K240"/>
    <mergeCell ref="D242:I242"/>
    <mergeCell ref="K249:K251"/>
    <mergeCell ref="K255:K257"/>
    <mergeCell ref="L255:L257"/>
    <mergeCell ref="M255:M257"/>
    <mergeCell ref="N255:N257"/>
    <mergeCell ref="G246:K246"/>
    <mergeCell ref="D248:I248"/>
    <mergeCell ref="L249:L251"/>
    <mergeCell ref="M249:M251"/>
    <mergeCell ref="N249:N251"/>
    <mergeCell ref="G252:K252"/>
    <mergeCell ref="D254:I254"/>
    <mergeCell ref="K261:K263"/>
    <mergeCell ref="K267:K269"/>
    <mergeCell ref="L267:L269"/>
    <mergeCell ref="M267:M269"/>
    <mergeCell ref="N267:N269"/>
    <mergeCell ref="G258:K258"/>
    <mergeCell ref="D260:I260"/>
    <mergeCell ref="L261:L263"/>
    <mergeCell ref="M261:M263"/>
    <mergeCell ref="N261:N263"/>
    <mergeCell ref="G264:K264"/>
    <mergeCell ref="D266:I266"/>
    <mergeCell ref="K273:K275"/>
    <mergeCell ref="K279:K281"/>
    <mergeCell ref="L279:L281"/>
    <mergeCell ref="M279:M281"/>
    <mergeCell ref="N279:N281"/>
    <mergeCell ref="G270:K270"/>
    <mergeCell ref="D272:I272"/>
    <mergeCell ref="L273:L275"/>
    <mergeCell ref="M273:M275"/>
    <mergeCell ref="N273:N275"/>
    <mergeCell ref="G276:K276"/>
    <mergeCell ref="D278:I278"/>
    <mergeCell ref="K285:K287"/>
    <mergeCell ref="K291:K293"/>
    <mergeCell ref="L291:L293"/>
    <mergeCell ref="M291:M293"/>
    <mergeCell ref="N291:N293"/>
    <mergeCell ref="G282:K282"/>
    <mergeCell ref="D284:I284"/>
    <mergeCell ref="L285:L287"/>
    <mergeCell ref="M285:M287"/>
    <mergeCell ref="N285:N287"/>
    <mergeCell ref="G288:K288"/>
    <mergeCell ref="D290:I290"/>
    <mergeCell ref="K297:K299"/>
    <mergeCell ref="K303:K305"/>
    <mergeCell ref="L303:L305"/>
    <mergeCell ref="M303:M305"/>
    <mergeCell ref="N303:N305"/>
    <mergeCell ref="G294:K294"/>
    <mergeCell ref="D296:I296"/>
    <mergeCell ref="L297:L299"/>
    <mergeCell ref="M297:M299"/>
    <mergeCell ref="N297:N299"/>
    <mergeCell ref="G300:K300"/>
    <mergeCell ref="D302:I302"/>
    <mergeCell ref="K309:K311"/>
    <mergeCell ref="K315:K317"/>
    <mergeCell ref="L315:L317"/>
    <mergeCell ref="M315:M317"/>
    <mergeCell ref="N315:N317"/>
    <mergeCell ref="G306:K306"/>
    <mergeCell ref="D308:I308"/>
    <mergeCell ref="L309:L311"/>
    <mergeCell ref="M309:M311"/>
    <mergeCell ref="N309:N311"/>
    <mergeCell ref="G312:K312"/>
    <mergeCell ref="D314:I314"/>
    <mergeCell ref="K321:K323"/>
    <mergeCell ref="K327:K329"/>
    <mergeCell ref="L327:L329"/>
    <mergeCell ref="M327:M329"/>
    <mergeCell ref="N327:N329"/>
    <mergeCell ref="G318:K318"/>
    <mergeCell ref="D320:I320"/>
    <mergeCell ref="L321:L323"/>
    <mergeCell ref="M321:M323"/>
    <mergeCell ref="N321:N323"/>
    <mergeCell ref="G324:K324"/>
    <mergeCell ref="D326:I326"/>
    <mergeCell ref="K333:K335"/>
    <mergeCell ref="K339:K341"/>
    <mergeCell ref="L339:L341"/>
    <mergeCell ref="M339:M341"/>
    <mergeCell ref="N339:N341"/>
    <mergeCell ref="G330:K330"/>
    <mergeCell ref="D332:I332"/>
    <mergeCell ref="L333:L335"/>
    <mergeCell ref="M333:M335"/>
    <mergeCell ref="N333:N335"/>
    <mergeCell ref="G336:K336"/>
    <mergeCell ref="D338:I338"/>
    <mergeCell ref="K345:K347"/>
    <mergeCell ref="K351:K353"/>
    <mergeCell ref="L351:L353"/>
    <mergeCell ref="M351:M353"/>
    <mergeCell ref="N351:N353"/>
    <mergeCell ref="G342:K342"/>
    <mergeCell ref="D344:I344"/>
    <mergeCell ref="L345:L347"/>
    <mergeCell ref="M345:M347"/>
    <mergeCell ref="N345:N347"/>
    <mergeCell ref="G348:K348"/>
    <mergeCell ref="D350:I350"/>
    <mergeCell ref="K357:K359"/>
    <mergeCell ref="K363:K365"/>
    <mergeCell ref="L363:L365"/>
    <mergeCell ref="M363:M365"/>
    <mergeCell ref="N363:N365"/>
    <mergeCell ref="G354:K354"/>
    <mergeCell ref="D356:I356"/>
    <mergeCell ref="L357:L359"/>
    <mergeCell ref="M357:M359"/>
    <mergeCell ref="N357:N359"/>
    <mergeCell ref="G360:K360"/>
    <mergeCell ref="D362:I362"/>
    <mergeCell ref="K369:K371"/>
    <mergeCell ref="K375:K377"/>
    <mergeCell ref="L375:L377"/>
    <mergeCell ref="M375:M377"/>
    <mergeCell ref="N375:N377"/>
    <mergeCell ref="G366:K366"/>
    <mergeCell ref="D368:I368"/>
    <mergeCell ref="L369:L371"/>
    <mergeCell ref="M369:M371"/>
    <mergeCell ref="N369:N371"/>
    <mergeCell ref="G372:K372"/>
    <mergeCell ref="D374:I374"/>
    <mergeCell ref="K381:K383"/>
    <mergeCell ref="K387:K389"/>
    <mergeCell ref="L387:L389"/>
    <mergeCell ref="M387:M389"/>
    <mergeCell ref="N387:N389"/>
    <mergeCell ref="G378:K378"/>
    <mergeCell ref="D380:I380"/>
    <mergeCell ref="L381:L383"/>
    <mergeCell ref="M381:M383"/>
    <mergeCell ref="N381:N383"/>
    <mergeCell ref="G384:K384"/>
    <mergeCell ref="D386:I386"/>
    <mergeCell ref="K393:K395"/>
    <mergeCell ref="K399:K401"/>
    <mergeCell ref="L399:L401"/>
    <mergeCell ref="M399:M401"/>
    <mergeCell ref="N399:N401"/>
    <mergeCell ref="G390:K390"/>
    <mergeCell ref="D392:I392"/>
    <mergeCell ref="L393:L395"/>
    <mergeCell ref="M393:M395"/>
    <mergeCell ref="N393:N395"/>
    <mergeCell ref="G396:K396"/>
    <mergeCell ref="D398:I398"/>
    <mergeCell ref="K405:K407"/>
    <mergeCell ref="K411:K413"/>
    <mergeCell ref="L411:L413"/>
    <mergeCell ref="M411:M413"/>
    <mergeCell ref="N411:N413"/>
    <mergeCell ref="G402:K402"/>
    <mergeCell ref="D404:I404"/>
    <mergeCell ref="L405:L407"/>
    <mergeCell ref="M405:M407"/>
    <mergeCell ref="N405:N407"/>
    <mergeCell ref="G408:K408"/>
    <mergeCell ref="D410:I410"/>
    <mergeCell ref="K417:K419"/>
    <mergeCell ref="K423:K425"/>
    <mergeCell ref="L423:L425"/>
    <mergeCell ref="M423:M425"/>
    <mergeCell ref="N423:N425"/>
    <mergeCell ref="G414:K414"/>
    <mergeCell ref="D416:I416"/>
    <mergeCell ref="L417:L419"/>
    <mergeCell ref="M417:M419"/>
    <mergeCell ref="N417:N419"/>
    <mergeCell ref="G420:K420"/>
    <mergeCell ref="D422:I422"/>
    <mergeCell ref="K429:K431"/>
    <mergeCell ref="K435:K437"/>
    <mergeCell ref="L435:L437"/>
    <mergeCell ref="M435:M437"/>
    <mergeCell ref="N435:N437"/>
    <mergeCell ref="G426:K426"/>
    <mergeCell ref="D428:I428"/>
    <mergeCell ref="L429:L431"/>
    <mergeCell ref="M429:M431"/>
    <mergeCell ref="N429:N431"/>
    <mergeCell ref="G432:K432"/>
    <mergeCell ref="D434:I434"/>
    <mergeCell ref="K441:K443"/>
    <mergeCell ref="K447:K449"/>
    <mergeCell ref="L447:L449"/>
    <mergeCell ref="M447:M449"/>
    <mergeCell ref="N447:N449"/>
    <mergeCell ref="G438:K438"/>
    <mergeCell ref="D440:I440"/>
    <mergeCell ref="L441:L443"/>
    <mergeCell ref="M441:M443"/>
    <mergeCell ref="N441:N443"/>
    <mergeCell ref="G444:K444"/>
    <mergeCell ref="D446:I446"/>
    <mergeCell ref="K453:K455"/>
    <mergeCell ref="K459:K461"/>
    <mergeCell ref="L459:L461"/>
    <mergeCell ref="M459:M461"/>
    <mergeCell ref="N459:N461"/>
    <mergeCell ref="G450:K450"/>
    <mergeCell ref="D452:I452"/>
    <mergeCell ref="L453:L455"/>
    <mergeCell ref="M453:M455"/>
    <mergeCell ref="N453:N455"/>
    <mergeCell ref="G456:K456"/>
    <mergeCell ref="D458:I458"/>
    <mergeCell ref="K465:K467"/>
    <mergeCell ref="K471:K473"/>
    <mergeCell ref="L471:L473"/>
    <mergeCell ref="M471:M473"/>
    <mergeCell ref="N471:N473"/>
    <mergeCell ref="G462:K462"/>
    <mergeCell ref="D464:I464"/>
    <mergeCell ref="L465:L467"/>
    <mergeCell ref="M465:M467"/>
    <mergeCell ref="N465:N467"/>
    <mergeCell ref="G468:K468"/>
    <mergeCell ref="D470:I470"/>
    <mergeCell ref="K477:K479"/>
    <mergeCell ref="K483:K485"/>
    <mergeCell ref="L483:L485"/>
    <mergeCell ref="M483:M485"/>
    <mergeCell ref="N483:N485"/>
    <mergeCell ref="G474:K474"/>
    <mergeCell ref="D476:I476"/>
    <mergeCell ref="L477:L479"/>
    <mergeCell ref="M477:M479"/>
    <mergeCell ref="N477:N479"/>
    <mergeCell ref="G480:K480"/>
    <mergeCell ref="D482:I482"/>
    <mergeCell ref="K489:K491"/>
    <mergeCell ref="K495:K497"/>
    <mergeCell ref="L495:L497"/>
    <mergeCell ref="M495:M497"/>
    <mergeCell ref="N495:N497"/>
    <mergeCell ref="G486:K486"/>
    <mergeCell ref="D488:I488"/>
    <mergeCell ref="L489:L491"/>
    <mergeCell ref="M489:M491"/>
    <mergeCell ref="N489:N491"/>
    <mergeCell ref="G492:K492"/>
    <mergeCell ref="D494:I494"/>
    <mergeCell ref="K501:K503"/>
    <mergeCell ref="K507:K509"/>
    <mergeCell ref="L507:L509"/>
    <mergeCell ref="M507:M509"/>
    <mergeCell ref="N507:N509"/>
    <mergeCell ref="G498:K498"/>
    <mergeCell ref="D500:I500"/>
    <mergeCell ref="L501:L503"/>
    <mergeCell ref="M501:M503"/>
    <mergeCell ref="N501:N503"/>
    <mergeCell ref="G504:K504"/>
    <mergeCell ref="D506:I506"/>
    <mergeCell ref="K513:K515"/>
    <mergeCell ref="K519:K521"/>
    <mergeCell ref="L519:L521"/>
    <mergeCell ref="M519:M521"/>
    <mergeCell ref="N519:N521"/>
    <mergeCell ref="G510:K510"/>
    <mergeCell ref="D512:I512"/>
    <mergeCell ref="L513:L515"/>
    <mergeCell ref="M513:M515"/>
    <mergeCell ref="N513:N515"/>
    <mergeCell ref="G516:K516"/>
    <mergeCell ref="D518:I518"/>
    <mergeCell ref="K525:K527"/>
    <mergeCell ref="K531:K533"/>
    <mergeCell ref="L531:L533"/>
    <mergeCell ref="M531:M533"/>
    <mergeCell ref="N531:N533"/>
    <mergeCell ref="G522:K522"/>
    <mergeCell ref="D524:I524"/>
    <mergeCell ref="L525:L527"/>
    <mergeCell ref="M525:M527"/>
    <mergeCell ref="N525:N527"/>
    <mergeCell ref="G528:K528"/>
    <mergeCell ref="D530:I530"/>
    <mergeCell ref="K537:K539"/>
    <mergeCell ref="K543:K545"/>
    <mergeCell ref="L543:L545"/>
    <mergeCell ref="M543:M545"/>
    <mergeCell ref="N543:N545"/>
    <mergeCell ref="G534:K534"/>
    <mergeCell ref="D536:I536"/>
    <mergeCell ref="L537:L539"/>
    <mergeCell ref="M537:M539"/>
    <mergeCell ref="N537:N539"/>
    <mergeCell ref="G540:K540"/>
    <mergeCell ref="D542:I542"/>
    <mergeCell ref="K549:K551"/>
    <mergeCell ref="K555:K557"/>
    <mergeCell ref="L555:L557"/>
    <mergeCell ref="M555:M557"/>
    <mergeCell ref="N555:N557"/>
    <mergeCell ref="G546:K546"/>
    <mergeCell ref="D548:I548"/>
    <mergeCell ref="L549:L551"/>
    <mergeCell ref="M549:M551"/>
    <mergeCell ref="N549:N551"/>
    <mergeCell ref="G552:K552"/>
    <mergeCell ref="D554:I554"/>
    <mergeCell ref="K561:K563"/>
    <mergeCell ref="K567:K569"/>
    <mergeCell ref="L567:L569"/>
    <mergeCell ref="M567:M569"/>
    <mergeCell ref="N567:N569"/>
    <mergeCell ref="G558:K558"/>
    <mergeCell ref="D560:I560"/>
    <mergeCell ref="L561:L563"/>
    <mergeCell ref="M561:M563"/>
    <mergeCell ref="N561:N563"/>
    <mergeCell ref="G564:K564"/>
    <mergeCell ref="D566:I566"/>
    <mergeCell ref="K573:K575"/>
    <mergeCell ref="K579:K581"/>
    <mergeCell ref="L579:L581"/>
    <mergeCell ref="M579:M581"/>
    <mergeCell ref="N579:N581"/>
    <mergeCell ref="G570:K570"/>
    <mergeCell ref="D572:I572"/>
    <mergeCell ref="L573:L575"/>
    <mergeCell ref="M573:M575"/>
    <mergeCell ref="N573:N575"/>
    <mergeCell ref="G576:K576"/>
    <mergeCell ref="D578:I578"/>
    <mergeCell ref="K585:K587"/>
    <mergeCell ref="K591:K593"/>
    <mergeCell ref="L591:L593"/>
    <mergeCell ref="M591:M593"/>
    <mergeCell ref="N591:N593"/>
    <mergeCell ref="G582:K582"/>
    <mergeCell ref="D584:I584"/>
    <mergeCell ref="L585:L587"/>
    <mergeCell ref="M585:M587"/>
    <mergeCell ref="N585:N587"/>
    <mergeCell ref="G588:K588"/>
    <mergeCell ref="D590:I590"/>
    <mergeCell ref="K597:K599"/>
    <mergeCell ref="K603:K605"/>
    <mergeCell ref="L603:L605"/>
    <mergeCell ref="M603:M605"/>
    <mergeCell ref="N603:N605"/>
    <mergeCell ref="G594:K594"/>
    <mergeCell ref="D596:I596"/>
    <mergeCell ref="L597:L599"/>
    <mergeCell ref="M597:M599"/>
    <mergeCell ref="N597:N599"/>
    <mergeCell ref="G600:K600"/>
    <mergeCell ref="D602:I602"/>
    <mergeCell ref="K609:K611"/>
    <mergeCell ref="K615:K617"/>
    <mergeCell ref="L615:L617"/>
    <mergeCell ref="M615:M617"/>
    <mergeCell ref="N615:N617"/>
    <mergeCell ref="G606:K606"/>
    <mergeCell ref="D608:I608"/>
    <mergeCell ref="L609:L611"/>
    <mergeCell ref="M609:M611"/>
    <mergeCell ref="N609:N611"/>
    <mergeCell ref="G612:K612"/>
    <mergeCell ref="D614:I614"/>
    <mergeCell ref="K621:K623"/>
    <mergeCell ref="K627:K629"/>
    <mergeCell ref="L627:L629"/>
    <mergeCell ref="M627:M629"/>
    <mergeCell ref="N627:N629"/>
    <mergeCell ref="G618:K618"/>
    <mergeCell ref="D620:I620"/>
    <mergeCell ref="L621:L623"/>
    <mergeCell ref="M621:M623"/>
    <mergeCell ref="N621:N623"/>
    <mergeCell ref="G624:K624"/>
    <mergeCell ref="D626:I626"/>
  </mergeCells>
  <conditionalFormatting sqref="B8 T8 C9:C11 D9:I13 J9:J11 K9:M9 N9:N13 B10 R10 T10 B13:C13 T13 C15:C17 D15:I19 J15:J17 K15:M15 N15:N19 C19 C21:C23 D21:I25 J21:J23 K21:M21 N21:N25 C25 C27:C29 D27:I31 J27:J29 K27:M27 N27:N31 C31 C33:C35 D33:I37 J33:J35 K33:M33 N33:N37 C37 C39:C41 D39:I43 J39:J41 K39:M39 N39:N43 C43 C45:C47 D45:I49 J45:J47 K45:M45 N45:N49 C49 C51:C53 D51:I55 J51:J53 K51:M51 N51:N55 C55 C57:C59 D57:I61 J57:J59 K57:M57 N57:N61 C61 C63:C65 D63:I67 J63:J65 K63:M63 N63:N67 C67 C69:C71 D69:I73 J69:J71 K69:M69 N69:N73 C73 C75:C77 D75:I79 J75:J77 K75:M75 N75:N79 C79 C81:C83 D81:I85 J81:J83 K81:M81 N81:N85 C85 C87:C89 D87:I91 J87:J89 K87:M87 N87:N91 C91 C93:C95 D93:I97 J93:J95 K93:M93 N93:N97 C97 C99:C101 D99:I103 J99:J101 K99:M99 N99:N103 C103 C105:C107 D105:I109 J105:J107 K105:M105 N105:N109 C109 C111:C113 D111:I115 J111:J113 K111:M111 N111:N115 C115 C117:C119 D117:I121 J117:J119 K117:M117 N117:N121 C121 C123:C125 D123:I127 J123:J125 K123:M123 N123:N127 C127 C129:C131 D129:I133 J129:J131 K129:M129 N129:N133 C133 C135:C137 D135:I139 J135:J137 K135:M135 N135:N139 C139 C141:C143 D141:I145 J141:J143 K141:M141 N141:N145 C145 C147:C149 D147:I151 J147:J149 K147:M147 N147:N151 C151 C153:C155 D153:I157 J153:J155 K153:M153 N153:N157 C157 C159:C161 D159:I163 J159:J161 K159:M159 N159:N163 C163 C165:C167 D165:I169 J165:J167 K165:M165 N165:N169 C169 C171:C173 D171:I175 J171:J173 K171:M171 N171:N175 C175 C177:C179 D177:I181 J177:J179 K177:M177 N177:N181 C181 C183:C185 D183:I187 J183:J185 K183:M183 N183:N187 C187 C189:C191 D189:I193 J189:J191 K189:M189 N189:N193 C193 C195:C197 D195:I199 J195:J197 K195:M195 N195:N199 C199 C201:C203 D201:I205 J201:J203 K201:M201 N201:N205 C205 C207:C209 D207:I211 J207:J209 K207:M207 N207:N211 C211 C213:C215 D213:I217 J213:J215 K213:M213 N213:N217 C217 C219:C221 D219:I223 J219:J221 K219:M219 N219:N223 C223 C225:C227 D225:I229 J225:J227 K225:M225 N225:N229 C229 C231:C233 D231:I235 J231:J233 K231:M231 N231:N235 C235 C237:C239 D237:I241 J237:J239 K237:M237 N237:N241 C241 C243:C245 D243:I247 J243:J245 K243:M243 N243:N247 C247 C249:C251 D249:I253 J249:J251 K249:M249 N249:N253 C253 C255:C257 D255:I259 J255:J257 K255:M255 N255:N259 C259 C261:C263 D261:I265 J261:J263 K261:M261 N261:N265 C265 C267:C269 D267:I271 J267:J269 K267:M267 N267:N271 C271 C273:C275 D273:I277 J273:J275 K273:M273 N273:N277 C277 C279:C281 D279:I841 J279:J281 K279:M279 N279:N841 C283:C287 J284:J287 K284:M285 C289:C293 J290:J293 K290:M291 C295:C299 J296:J299 K296:M297 C301:C305 J302:J305 K302:M303 C307:C311 J308:J311 K308:M309 C313:C317 J314:J317 K314:M315 C319:C323 J320:J323 K320:M321 C325:C329 J326:J329 K326:M327 C331:C335 J332:J335 K332:M333 C337:C341 J338:J341 K338:M339 C343:C347 J344:J347 K344:M345 C349:C353 J350:J353 K350:M351 C355:C359 J356:J359 K356:M357 C361:C365 J362:J365 K362:M363 C367:C371 J368:J371 K368:M369 C373:C377 J374:J377 K374:M375 C379:C383 J380:J383 K380:M381 C385:C389 J386:J389 K386:M387 C391:C395 J392:J395 K392:M393 C397:C401 J398:J401 K398:M399 C403:C407 J404:J407 K404:M405 C409:C413 J410:J413 K410:M411 C415:C419 J416:J419 K416:M417 C421:C425 J422:J425 K422:M423 C427:C431 J428:J431 K428:M429 C433:C437 J434:J437 K434:M435 C439:C443 J440:J443 K440:M441 C445:C449 J446:J449 K446:M447 C451:C455 J452:J455 K452:M453 C457:C461 J458:J461 K458:M459 C463:C467 J464:J467 K464:M465 C469:C473 J470:J473 K470:M471 C475:C479 J476:J479 K476:M477 C481:C485 J482:J485 K482:M483 C487:C491 J488:J491 K488:M489 C493:C497 J494:J497 K494:M495 C499:C503 J500:J503 K500:M501 C505:C509 J506:J509 K506:M507 C511:C515 J512:J515 K512:M513 C517:C521 J518:J521 K518:M519 C523:C527 J524:J527 K524:M525 C529:C533 J530:J533 K530:M531 C535:C539 J536:J539 K536:M537 C541:C545 J542:J545 K542:M543 C547:C551 J548:J551 K548:M549 C553:C557 J554:J557 K554:M555 C559:C563 J560:J563 K560:M561 C565:C569 J566:J569 K566:M567 C571:C575 J572:J575 K572:M573 C577:C581 J578:J581 K578:M579 C583:C587 J584:J587 K584:M585 C589:C593 J590:J593 K590:M591 C595:C599 J596:J599 K596:M597 C601:C605 J602:J605 K602:M603 C607:C611 J608:J611 K608:M609 C613:C617 J614:J617 K614:M615 C619:C623 J620:J623 K620:M621 C625:C629 J626:J629 K626:M627 C631:C635 J632:J635 K632:M633 C637:C641 J638:J641 K638:M639 C643:C647 J644:J647 K644:M645 C649:C653 J650:J653 K650:M651 C655:C659 J656:J659 K656:M657 C661:C665 J662:J665 K662:M663 C667:C671 J668:J671 K668:M669 C673:C677 J674:J677 K674:M675 C679:C683 J680:J683 K680:M681 C685:C689 J686:J689 K686:M687 C691:C695 J692:J695 K692:M693 C697:C701 J698:J701 K698:M699 C703:C707 J704:J707 K704:M705 C709:C713 J710:J713 K710:M711 C715:C719 J716:J719 K716:M717 C721:C725 J722:J725 K722:M723 C727:C731 J728:J731 K728:M729 C733:C737 J734:J737 K734:M735 C739:C743 J740:J743 K740:M741 C745:C749 J746:J749 K746:M747 C751:C755 J752:J755 K752:M753 C757:C761 J758:J761 K758:M759 C763:C767 J764:J767 K764:M765 C769:C773 J770:J773 K770:M771 C775:C779 J776:J779 K776:M777 C781:C785 J782:J785 K782:M783 C787:C791 J788:J791 K788:M789 C793:C797 J794:J797 K794:M795 C799:C803 J800:J803 K800:M801 C805:C809 J806:J809 K806:M807 C811:C815 J812:J815 K812:M813 C817:C821 J818:J821 K818:M819 C823:C827 J824:J827 K824:M825 C829:C833 J830:J833 K830:M831 C835:C839 J836:J839 K836:M837 C841 C843:C845 D843:I847 J843:J845 K843:M843 N843:N847 C847">
    <cfRule type="cellIs" dxfId="5" priority="1"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5:D296 D301:D302 D307:D308 D313:D314 D319:D320 D325:D326 D332 D337:D338 D343:D344 D349:D350 D355:D356 D361:D362 D367:D368 D373:D374 D379:D380 D385:D386 D391:D392 D397:D398 D403:D404 D409:D410 D415:D416 D421:D422 D427:D428 D433:D434 D439:D440 D445:D446 D451:D452 D457:D458 D463:D464 D469:D470 D475:D476 D481:D482 D488 D494 D500 D505:D506 D511:D512 D517:D518 D523:D524 D529:D530 D535:D536 D541:D542 D547:D548 D553:D554 D559:D560 D565:D566 D571:D572 D577:D578 D583:D584 D589:D590 D595:D596 D601:D602 D607:D608 D613:D614 D619:D620 D625:D626 D631:D632 D637:D638 D643:D644 D649:D650 D655:D656 D661:D662 D667:D668 D673:D674 D679:D680 D685:D686 D691:D692 D697:D698 D703:D704 D709:D710 D715:D716 D721:D722 D727:D728 D733:D734 D739:D740 D745:D746 D751:D752 D757:D758 D763:D764 D769:D770 D775:D776 D781:D782 D787:D788 D793:D794 D799:D800 D805:D806 D811:D812 D817:D818 D823:D824 D829:D830 D835:D836 D842">
    <cfRule type="cellIs" dxfId="5" priority="2" operator="equal">
      <formula>0</formula>
    </cfRule>
  </conditionalFormatting>
  <conditionalFormatting sqref="B8 C9:C11 D9:I13 J9:M9 N9:N13 C13 B14 T14 C15:C17 D15:I19 J15:M15 N15:N19 B16 T16 B19:B20 C19 T19 C21:C23 D21:I25 J21:M21 N21:N25 C25 B26 C27:C29 D27:I31 J27:M27 N27:N31 C31 B32 C33:C35 D33:I37 J33:M33 N33:N37 C37 B38 C39:C41 D39:I43 J39:M39 N39:N43 C43 B44 C45:C47 D45:I49 J45:M45 N45:N49 B46 B49:B50 C49 C51:C53 D51:I55 J51:M51 N51:N55 C55 B56 C57:C59 D57:I61 J57:M57 N57:N61 C61 B62 C63:C65 D63:I67 J63:M63 N63:N67 C67 B68 C69:C71 D69:I73 J69:M69 N69:N73 C73 B74 C75:C77 D75:I79 J75:M75 N75:N79 B76 B79:B80 C79 C81:C83 D81:I85 J81:M81 N81:N85 C85 B86 C87:C89 D87:I91 J87:M87 N87:N91 C91 B92 C93:C95 D93:I97 J93:M93 N93:N97 C97 B98 C99:C101 D99:I103 J99:M99 N99:N103 C103 B104 C105:C107 D105:I109 J105:M105 N105:N109 B106 B109:B110 C109 C111:C113 D111:I115 J111:M111 N111:N115 C115 B116 C117:C119 D117:I121 J117:M117 N117:N121 C121 B122 C123:C125 D123:I127 J123:M123 N123:N127 C127 B128 C129:C131 D129:I133 J129:M129 N129:N133 C133 B134 C135:C137 D135:I139 J135:M135 N135:N139 B136 B139:B140 C139 C141:C143 D141:I145 J141:M141 N141:N145 C145 B146 C147:C149 D147:I151 J147:M147 N147:N151 C151 B152 C153:C155 D153:I157 J153:M153 N153:N157 C157 B158 C159:C161 D159:I163 J159:M159 N159:N163 C163 B164 C165:C167 D165:I169 J165:M165 N165:N169 B166 B169:B170 C169 C171:C173 D171:I175 J171:M171 N171:N175 C175 B176 C177:C179 D177:I181 J177:M177 N177:N181 C181 B182 C183:C185 D183:I187 J183:M183 N183:N187 C187 B188 C189:C191 D189:I193 J189:M189 N189:N193 C193 B194 C195:C197 D195:I199 J195:M195 N195:N199 B196 B199:B200 C199 C201:C203 D201:I205 J201:M201 N201:N205 C205 B206 C207:C209 D207:I211 J207:M207 N207:N211 C211 B212 C213:C215 D213:I217 J213:M213 N213:N217 C217 B218 C219:C221 D219:I223 J219:M219 N219:N223 C223 B224 C225:C227 D225:I229 J225:M225 N225:N229 C229 B230 C231:C233 D231:I235 J231:M231 N231:N235 C235 B236 C237:C239 D237:I241 J237:M237 N237:N241 C241 B242 C243:C245 D243:I247 J243:M243 N243:N247 C247 B248 C249:C251 D249:I253 J249:M249 N249:N253 C253 B254 C255:C257 D255:I259 J255:M255 N255:N259 B256 B259:B260 C259 C261:C263 D261:I265 J261:M261 N261:N265 C265 B266 C267:C269 D267:I271 J267:M267 N267:N271 C271 B272 C273:C275 D273:I277 J273:M273 N273:N277 C277 B278 C279:C281 D279:I295 J279:M279 N279:N295 B283:B284 C283:C287 J284:M285 B286 B289:B290 C289:C293 J290:M291 B295:B296 C295:C299 J296:J297 D297:I343 K297:M297 N297:N343 B301:B302 C301:C305 J302:M303 B307:B308 C307:C311 J308:M309 B313:B316 C313:C317 J314:M315 B318:B320 C319:C323 J320:M321 B325:B326 C325:C329 J326:M327 B331:B332 C331:C335 J332:M333 B337:B338 C337:C341 J338:M339 B343:B344 C343:C347 J344:J345 D345:I643 K345:M345 N345:N643 B346 B349:B350 C349:C353 J350:M351 B355:B356 C355:C359 J356:M357 B361:B362 C361:C365 J362:M363 B367:B368 C367:C371 J368:M369 B373:B376 C373:C377 J374:M375 B378:B380 C379:C383 J380:M381 B385:B386 C385:C389 J386:M387 B391:B392 C391:C395 J392:M393 B397:B398 C397:C401 J398:M399 B403:B404 C403:C407 J404:M405 B406 B409:B410 C409:C413 J410:M411 B415:B416 C415:C419 J416:M417 B421:B422 C421:C425 J422:M423 B427:B428 C427:C431 J428:M429 B433:B436 C433:C437 J434:M435 B438:B440 C439:C443 J440:M441 B445:B446 C445:C449 J446:M447 B451:B452 C451:C455 J452:M453 B457:B458 C457:C461 J458:M459 B463:B464 C463:C467 J464:M465 B466 B469:B470 C469:C473 J470:M471 B475:B476 C475:C479 J476:M477 B481:B482 C481:C485 J482:M483 B487:B488 C487:C491 J488:M489 B493:B496 C493:C497 J494:M495 B498:B500 C499:C503 J500:M501 B505:B506 C505:C509 J506:M507 B511:B512 C511:C515 J512:M513 B517:B519 C517:C521 J518:M519 B522:B524 C523:C527 J524:M525 B526 B529:B530 C529:C533 J530:M531 B535:B536 C535:C539 J536:M537 B541:B543 C541:C545 J542:M543 B546:B548 C547:C551 J548:M549 B553:B556 C553:C557 J554:M555 B558:B560 C559:C563 J560:M561 B565:B567 C565:C569 J566:M567 B570:B572 C571:C575 J572:M573 B577:B578 C577:C581 J578:M579 B583:B584 C583:C587 J584:M585 B586 B589:B591 C589:C593 J590:M591 B594:B596 C595:C599 J596:M597 B601:B602 C601:C605 J602:M603 B607:B608 C607:C611 J608:M609 B613:B616 C613:C617 J614:M615 B618:B620 C619:C623 J620:M621 B625:B626 C625:C629 J626:M627 B631:B632 C631:C635 J632:M633 B637:B638 C637:C641 J638:M639 B643:B644 C643:C647 J644:J645 D645:I841 K645:M645 N645:N841 B646 B649:B650 C649:C653 J650:M651 B655:B656 C655:C659 J656:M657 B661:B662 C661:C665 J662:M663 B667:B668 C667:C671 J668:M669 B673:B676 C673:C677 J674:M675 B678:B680 C679:C683 J680:M681 B685:B686 C685:C689 J686:M687 B691:B692 C691:C695 J692:M693 B697:B698 C697:C701 J698:M699 B703:B704 C703:C707 J704:M705 B706 B709:B711 C709:C713 J710:M711 B714:B716 C715:C719 J716:M717 B721:B722 C721:C725 J722:M723 B727:B728 C727:C731 J728:M729 B733:B734 C733:C737 J734:M735 B736 B739:B740 C739:C743 J740:M741 B745:B747 C745:C749 J746:M747 B750:B752 C751:C755 J752:M753 B757:B758 C757:C761 J758:M759 B763:B764 C763:C767 J764:M765 B766 B769:B770 C769:C773 J770:M771 B775:B776 C775:C779 J776:M777 B781:B783 C781:C785 J782:M783 B786:B788 C787:C791 J788:M789 B793:B794 C793:C797 J794:M795 B796 B799:B800 C799:C803 J800:M801 B805:B806 C805:C809 J806:M807 B811:B812 C811:C815 J812:M813 B817:B819 C817:C821 J818:M819 B822:B824 C823:C827 J824:M825 B826 B829:B830 C829:C833 J830:M831 B835:B836 C835:C839 J836:M837 C841 B842 C843:C845 D843:I847 J843:M843 N843:N847 C847">
    <cfRule type="cellIs" dxfId="5" priority="3"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6 D301:D302 D307:D308 D313:D314 D319:D320 D325:D326 D332 D337:D338 D344 D349:D350 D355:D356 D361:D362 D367:D368 D373:D374 D379:D380 D385:D386 D391:D392 D397:D398 D403:D404 D409:D410 D415:D416 D421:D422 D427:D428 D433:D434 D439:D440 D445:D446 D451:D452 D457:D458 D463:D464 D469:D470 D475:D476 D481:D482 D488 D494 D500 D505:D506 D511:D512 D517:D518 D523:D524 D529:D530 D535:D536 D541:D542 D547:D548 D553:D554 D559:D560 D565:D566 D571:D572 D577:D578 D583:D584 D589:D590 D595:D596 D601:D602 D607:D608 D613:D614 D619:D620 D625:D626 D631:D632 D637:D638 D644 D649:D650 D655:D656 D661:D662 D667:D668 D673:D674 D679:D680 D685:D686 D691:D692 D697:D698 D703:D704 D709:D710 D715:D716 D721:D722 D727:D728 D733:D734 D739:D740 D745:D746 D751:D752 D757:D758 D763:D764 D769:D770 D775:D776 D781:D782 D787:D788 D793:D794 D799:D800 D805:D806 D811:D812 D817:D818 D823:D824 D829:D830 D835:D836 D842">
    <cfRule type="cellIs" dxfId="5" priority="4" operator="equal">
      <formula>0</formula>
    </cfRule>
  </conditionalFormatting>
  <conditionalFormatting sqref="B10 R10 T10 C15:C17 D15:I19 J15:M15 N15:N19 B16 T16 C19 B20 T20 C21:C23 D21:I25 J21:M21 N21:N25 B22 T22 B25:C25 T25 C33:C35 D33:I37 J33:M33 N33:N37 C37 C39:C41 D39:I43 J39:M39 N39:N43 C43 C45:C47 D45:I49 J45:M45 N45:N49 B46 C49 B50 C51:C53 D51:I55 J51:M51 N51:N55 B52 B55:C55 C57:C59 D57:I61 J57:M57 N57:N61 C61 C63:C65 D63:I67 J63:M63 N63:N67 C67 C69:C71 D69:I73 J69:M69 N69:N73 C73 C75:C77 D75:I79 J75:M75 N75:N79 B76 C79 B80 C81:C83 D81:I85 J81:M81 N81:N85 B82 B85:C85 C87:C89 D87:I91 J87:M87 N87:N91 C91 C93:C95 D93:I97 J93:M93 N93:N97 C97 C105:C107 D105:I109 J105:M105 N105:N109 B106 C109 B110 C111:C113 D111:I115 J111:M111 N111:N115 B112 B115:C115 C117:C119 D117:I121 J117:M117 N117:N121 C121 C123:C125 D123:I127 J123:M123 N123:N127 C127 C129:C131 D129:I133 J129:M129 N129:N133 C133 C135:C137 D135:I139 J135:M135 N135:N139 B136 C139 B140 C141:C143 D141:I145 J141:M141 N141:N145 B142 B145:C145 C147:C149 D147:I151 J147:M147 N147:N151 C151 C153:C155 D153:I157 J153:M153 N153:N157 C157 C165:C167 D165:I169 J165:M165 N165:N169 B166 C169 B170 C171:C173 D171:I175 J171:M171 N171:N175 B172 B175:C175 C183:C185 D183:I187 J183:M183 N183:N187 C187 C195:C197 D195:I199 J195:M195 N195:N199 B196 C199 B200 C201:C203 D201:I205 J201:M201 N201:N205 B202 B205:C205 C213:C215 D213:I217 J213:M213 N213:N217 C217 C219:C221 D219:I223 J219:M219 N219:N223 C223 C225:C227 D225:I229 J225:M225 N225:N229 C229 C231:C233 D231:I235 J231:M231 N231:N235 C235 C237:C239 D237:I241 J237:M237 N237:N241 C241 C243:C245 D243:I246 J243:M243 N243:N246 C255:C257 D255:I259 J255:M255 N255:N259 B256 C259 B260 C261:C263 D261:I265 J261:M261 N261:N265 B262 B265:C265 C273:C275 D273:I277 J273:M273 N273:N277 C277 C279:C281 D279:I282 J279:M279 N279:N282 C285:C287 D285:I295 J285:M285 N285:N295 B286 C289:C293 B290 J290:M291 B292 B295:C295 C297:C299 D297:I301 J297:M297 N297:N301 C301 C303:C305 D303:I313 J303:M303 N303:N313 C307:C311 J308:M309 C313 B315:B316 C315:C317 D315:I319 J315:M315 N315:N319 B319:B322 C319 C321:C323 D321:I330 J321:M321 N321:N330 B324:B325 C325:C328 J326:M326 C333:C335 D333:I337 J333:M333 N333:N337 C337 C344:C347 D344:I349 J344:M345 N344:N349 B346 C349 B350 C351:C353 D351:I360 J351:M351 N351:N360 B352 B355 C355:C358 J356:M356 C363:C365 D363:I372 J363:M363 N363:N372 C367:C370 J368:M368 C374:C377 D374:I379 J374:M375 N374:N379 B375:B376 B379:B382 C379 C381:C383 D381:I390 J381:M381 N381:N390 B384:B385 C385:C388 J386:M386 C393:C395 D393:I397 J393:M393 N393:N397 C397 C404:C407 D404:I409 J404:M405 N404:N409 B406 C409 B410 C411:C413 D411:I420 J411:M411 N411:N420 B412 B415 C415:C418 J416:M416 C423:C425 D423:I432 J423:M423 N423:N432 C427:C430 J428:M428 C434:C437 D434:I439 J434:M435 N434:N439 B435:B436 B439:B442 C439 C441:C443 D441:I450 J441:M441 N441:N450 B444:B445 C445:C448 J446:M446 C453:C455 D453:I457 J453:M453 N453:N457 C457 C464:C467 D464:I469 J464:M465 N464:N469 B466 C469 B470 C471:C473 D471:I480 J471:M471 N471:N480 B472 B475 C475:C478 J476:M476 C483:C485 D483:I486 J483:M483 N483:N492 C488:C490 D488:I499 J488:M488 C493:C497 J494:M495 N494:N499 B495:B496 B499:B502 C499 C501:C503 D501:I510 J501:M501 N501:N510 B504:B505 C505:C508 J506:M506 C513:C515 D513:I522 J513:M513 N513:N522 C517:C520 J518:M518 B519 B523 C524:C527 D524:I529 J524:M525 N524:N529 B525:B526 B528 C529 B530 C531:C533 D531:I540 J531:M531 N531:N540 B532 B535 C535:C538 J536:M536 C542:C545 D542:I552 J542:M543 N542:N552 B543 B547 C547:C550 J548:M548 B549 B552 C554:C557 D554:I559 J554:M555 N554:N559 B555:B556 B559:B562 C559 C561:C563 D561:I570 J561:M561 N561:N570 B564:B565 C565:C568 J566:M566 B567 B571 B573 C573:C575 D573:I577 J573:M573 N573:N577 B576 C577 C584:C587 D584:I600 J584:M585 N584:N600 B586 C589:C593 B590:B592 J590:M591 B595 C595:C598 J596:M596 B597 B600 C603:C605 D603:I612 J603:M603 N603:N612 C607:C610 J608:M608 C614:C617 D614:I619 J614:M615 N614:N619 B615:B616 B619:B622 C619 C621:C623 D621:I630 J621:M621 N621:N630 B624:B625 C625:C628 J626:M626 C633:C635 D633:I637 J633:M633 N633:N637 C637 C644:C647 D644:I649 J644:M645 N644:N649 B646 C649 B650 C651:C653 D651:I660 J651:M651 N651:N660 B652 B655 C655:C658 J656:M656 C663:C665 D663:I672 J663:M663 N663:N672 C667:C670 J668:M668 C674:C677 D674:I679 J674:M675 N674:N679 B675:B676 B679:B682 C679 C681:C683 D681:I690 J681:M681 N681:N690 B684:B685 C685:C688 J686:M686 C693:C695 D693:I697 J693:M693 N693:N697 C697 C704:C707 D704:I715 J704:M705 N704:N715 B706 C709:C713 B710:B712 J710:M711 B715:C715 B717 B720 C722:C725 D722:I727 J722:M723 N722:N727 C727 C735:C737 D735:I750 J735:M735 N735:N750 B736 C739:C743 B740 J740:M741 B742 B745 C745:C748 J746:M746 B747 B751 B753 C753:C755 D753:I762 J753:M753 N753:N762 B756 C757:C760 J758:M758 C765:C767 D765:I769 J765:M765 N765:N769 B766 C769 B770 C771:C773 D771:I780 J771:M771 N771:N780 B772 B775 C775:C778 J776:M776 C782:C785 D782:I787 J782:M783 N782:N787 B783 B787:C787 B789 B792 C794:C797 D794:I799 J794:M795 N794:N799 B796 C799 B800 C801:C803 D801:I805 J801:M801 N801:N805 B802 B805:C805 C812:C815 D812:I822 J812:M813 N812:N822 C817:C820 J818:M818 B819 B823 B825:B826 C825:C827 D825:I835 J825:M825 N825:N835 B828 C829:C833 B830 J830:M831 B832 B835:C835 C843:C845 D843:I847 J843:M843 N843:N847 C847">
    <cfRule type="cellIs" dxfId="5" priority="5"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6 D301:D302 D307:D308 D314 D319:D320 D325:D326 D332 D337:D338 D343:D344 D350 D355:D356 D362 D367:D368 D373:D374 D380 D385:D386 D392 D398 D403:D404 D410 D415:D416 D422 D427:D428 D433:D434 D440 D445:D446 D452 D458 D463:D464 D470 D475:D476 D482 D488 D494 D500 D505:D506 D512 D517:D518 D523:D524 D530 D535:D536 D541:D542 D547:D548 D553:D554 D560 D565:D566 D572 D578 D583:D584 D589:D590 D595:D596 D602 D607:D608 D613:D614 D620 D625:D626 D632 D638 D643:D644 D650 D655:D656 D662 D667:D668 D673:D674 D680 D685:D686 D692 D698 D703:D704 D709:D710 D716 D721:D722 D728 D734 D739:D740 D745:D746 D752 D757:D758 D764 D770 D775:D776 D781:D782 D788 D793:D794 D800 D806 D811:D812 D817:D818 D824 D829:D830 D836 D842">
    <cfRule type="cellIs" dxfId="5" priority="6" operator="equal">
      <formula>0</formula>
    </cfRule>
  </conditionalFormatting>
  <conditionalFormatting sqref="J9 B10 R10 T10 J15 B16 T16 J21 B22 T22 B26 T26 C27:C29 D27:I31 J27:M27 N27:N31 B28 T28 B31:C31 T31 J33 J39 J45 B46 J51 B52 B56 C57:C59 D57:I61 J57:M57 N57:N61 B58 B61:C61 J63 J69 C75:C77 D75:I79 J75:M75 N75:N79 B76 C79 J81 B82 B86 C87:C89 D87:I91 J87:M87 N87:N91 B88 B91:C91 J93 D99:I103 J99:K99 J105 B106 J111 B112 B116 C117:C119 D117:I121 J117:M117 N117:N121 B118 B121:C121 C123:C125 D123:I127 J123:M123 N123:N127 C127 D129:I133 J129:K129 J135 B136 J141 B142 B146 C147:C149 D147:I151 J147:M147 N147:N151 B148 B151:C151 J153 J159 J165 B166 C171:C173 D171:I175 J171:M171 N171:N175 B172 C175 B176 C177:C179 D177:I181 J177:M177 N177:N181 B178 B181:C181 J183 J189 J195 B196 D201:I205 J201:K201 B202 B206 C207:C209 D207:I211 J207:M207 N207:N211 B208 B211:C211 J213 C219:C221 D219:I223 J219:M219 N219:N222 D225:I229 J225:K225 D231:I235 J231:K231 D237:I241 J237:K237 D243:I246 J243:K243 B256 B262 B266 C267:C269 D267:I270 J267:M267 N267:N271 B268 B271 B278 C279:C281 D279:I283 J279:M279 N279:N283 B280 B283:C283 B286 B290 C291:C293 D291:I295 J291:M291 N291:N295 B292 B295:B296 C295 C297:C299 D297:I301 J297:M297 N297:N301 B298 B301:B302 C301 C303:C305 D303:I307 J303:M303 N303:N307 B304 B307:C307 C314:C316 D314:I318 J314:M314 N314:N318 B315:B316 J320 B321:B322 B325:B328 J326:J327 C327:C329 D327:I330 K327:M327 N327:N331 B330:B331 J332 J338 J344 B346 J350 B352 B356 J356:J357 C357:C359 D357:I366 K357:M357 N357:N366 B358 B361 C361:C364 J362:M362 J368 C374:C376 D374:I378 J374:M374 N374:N378 B375:B376 J380 B381:B382 B385:B388 J386:J387 C387:C389 D387:I391 K387:M387 N387:N391 B390:B391 C391 J392 J398 J404 B406 J410 B412 B416 J416:J417 C417:C419 D417:I421 K417:M417 N417:N421 B418 B421:C421 J422 J428 C434:C436 D434:I438 J434:M434 N434:N438 B435:B436 J440 B441:B442 B445:B448 J446:J447 C447:C449 D447:I451 K447:M447 N447:N451 B450:B451 C451 J452 J458 J464 B466 J470 B472 B476 J476:J477 C477:C479 D477:I481 K477:M477 N477:N481 B478 B481:C481 J482 J488 C494:C496 D494:I498 J494:M494 N494:N498 B495:B496 J500 B501:B502 B505:B508 J506:J507 C507:C509 D507:I511 K507:M507 N507:N511 B510:B511 C511 J512 J518 B519 J524 B525:B526 J530 B532 B536 J536:J537 C537:C539 D537:I541 K537:M537 N537:N541 B538 B541:C541 J542 B543 J548 B549 C554:C556 D554:I558 J554:M554 N554:N558 B555:B556 J560 B561:B562 B565:B568 J566:J567 C567:C569 D567:I571 K567:M567 N567:N571 B570:B571 C571 J572 B573 J578 J584 B586 J590 B591:B592 B596:B598 J596:J597 C597:C599 D597:I601 K597:M597 N597:N601 B601:C601 J602 J608 C614:C616 D614:I618 J614:M614 N614:N618 B615:B616 J620 B621:B622 B625:B628 J626:J627 C627:C629 D627:I631 K627:M627 N627:N631 B630:B631 C631 J632 J638 J644 B646 J650 B652 B656 J656:J657 C657:C659 D657:I661 K657:M657 N657:N661 B658 B661:C661 J662 J668 C674:C676 D674:I678 J674:M674 N674:N678 B675:B676 J680 B681:B682 B685:B688 J686:J687 C687:C689 D687:I691 K687:M687 N687:N691 B690:B691 C691 J692 J698 J704 B706 C710:C712 D710:I714 J710:M710 N710:N714 B711:B712 B716:B718 J716:J717 C717:C719 D717:I721 K717:M717 N717:N721 B721:C721 J722 B723 B726 J728 J734 B736 J740 B742 B746:B748 C746:C749 D746:I751 J746:M747 N746:N751 B751:C751 J752 B753 B757 J758 B759 B762 J764 B766 J770 B772 B776 J776:J777 C777:C779 D777:I786 K777:M777 N777:N786 B778 B781 C781:C784 J782:M782 B783 J788 B789 B793 J794 B795:B796 B798 J800 B802 B806 J806:J807 C807:C809 D807:I811 K807:M807 N807:N811 B808 B811:C811 J812 C818:C820 D818:I822 J818:M818 N818:N822 B819 J824 B825:B826 B829 J830 B831:B832 B834 B836 J836:J837 C837:C839 D837:I841 K837:M837 N837:N841 B838 B841:C841">
    <cfRule type="cellIs" dxfId="5" priority="7"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6 D301:D302 D307:D308 D313:D314 D319:D320 D325:D326 D332 D337:D338 D344 D350 D356 D361:D362 D368 D373:D374 D380 D386 D392 D398 D404 D410 D416 D422 D428 D433:D434 D440 D446 D452 D458 D464 D470 D476 D482 D488 D494 D500 D506 D512 D518 D524 D530 D536 D542 D548 D553:D554 D560 D566 D572 D578 D584 D590 D596 D602 D608 D613:D614 D620 D626 D632 D638 D644 D650 D656 D662 D668 D673:D674 D680 D686 D692 D698 D704 D709:D710 D716 D722 D728 D734 D740 D745:D746 D752 D758 D764 D770 D776 D781:D782 D788 D794 D800 D806 D812 D817:D818 D824 D830 D836 D842">
    <cfRule type="cellIs" dxfId="5" priority="8" operator="equal">
      <formula>0</formula>
    </cfRule>
  </conditionalFormatting>
  <conditionalFormatting sqref="J9 J15 J21 J27 B32 T32 C33:C35 D33:I37 J33:M33 N33:N37 B34 T34 B37:C37 T37 J39 J45 J51 J57 B62 C63:C65 D63:I67 J63:M63 N63:N67 B64 B67:C67 J69 J75 C81:C83 D81:I85 J81:M81 N81:N85 C85 J87 B92 C93:C95 D93:I97 J93:M93 N93:N97 B94 B97:C97 J99 D105:I109 J105:K105 J111 J117 B122 C123:C125 D123:I127 J123:M123 N123:N127 B124 B127:C127 C129:C131 D129:I133 J129:M129 N129:N133 C133 D135:I137 J135:K135 J141 J147 B152 C153:C155 D153:I157 J153:M153 N153:N157 B154 B157:C157 J159 J165 J171 C177:C179 D177:I181 J177:M177 N177:N181 C181 B182 C183:C185 D183:I187 J183:M183 N183:N187 B184 B187:C187 J189 J195 J201 D207:I209 J207:K207 B212 C213:C215 D213:I217 J213:M213 N213:N217 B214 B217:B218 C217 C219:C221 D219:I223 J219:M219 N219:N223 B220 B223:B224 C223 C225:C227 D225:I229 J225:M225 N225:N229 B226 B229:B230 C229 C231:C233 D231:I235 J231:M231 N231:N235 B232 B235:B236 C235 C237:C239 D237:I241 J237:M237 N237:N241 B238 B241:B242 C241 C243:C245 D243:I246 J243:M243 N243:N246 B244 J249 J255 J261 J267 B272 C273:C275 D273:I277 J273:M273 N273:N277 B274 B277:C277 J279 B284 J284:J285 C285:C287 D285:I289 K285:M285 N285:N289 B286 B289:C289 J290:J291 B296 J296:J297 C297:C299 D297:I301 K297:M297 N297:N301 B298 B301:B302 C301 J302:J303 C303:C305 D303:I307 K303:M303 N303:N307 B304 B307:B308 C307 J308:J309 C309:C311 D309:I313 K309:M309 N309:N313 B310 B313:C313 J314:J315 C320:C322 D320:I324 J320:J321 K320:M320 N320:N324 J326:J327 B331:B334 J332:J333 C333:C335 D333:I337 K333:M333 N333:N337 B336:B337 C337 J338:J339 J344:J345 J350:J351 J356:J357 B362 J362:J363 C363:C365 D363:I372 K363:M363 N363:N372 B364 B367 C367:C370 J368:J369 K368:M368 J374:J375 C380:C382 D380:I384 J380:J381 K380:M380 N380:N384 J386:J387 B391:B394 J392:J393 C393:C395 D393:I402 K393:M393 N393:N402 B396:B397 C397:C400 J398:J399 K398:M398 J404:J405 J410:J411 J416:J417 B422 J422:J423 C423:C425 D423:I432 K423:M423 N423:N432 B424 B427 C427:C430 J428:J429 K428:M428 J434:J435 C440:C442 D440:I444 J440:J441 K440:M440 N440:N444 J446:J447 B451:B454 J452:J453 C453:C455 D453:I462 K453:M453 N453:N462 B456:B457 C457:C460 J458:J459 K458:M458 J464:J465 J470:J471 J476:J477 B482 J482:J483 C483:C485 D483:I486 K483:M483 N483:N492 B484 B487 C488:C490 D488:I492 J488:J489 K488:M488 J494:J495 C499:C502 D499:I504 J500:J501 K500:M500 N500:N504 J506:J507 B511:B514 C512:C515 D512:I522 J512:M513 N512:N522 B516:B517 C517:C520 J518:J519 K518:M518 J524:J525 J530:J531 C536:C538 D536:I540 J536:J537 K536:M536 N536:N540 B542 J542:J543 C543:C545 D543:I552 K543:M543 N543:N552 B544 B547 C547:C550 J548:J549 K548:M548 J554:J555 C560:C562 D560:I564 J560:J561 K560:M560 N560:N564 J566:J567 B571:B574 J572:J573 C573:C575 D573:I582 K573:M573 N573:N582 B576:B577 C577:C580 J578:J579 K578:M578 C584:C586 D584:I588 J584:J585 K584:M584 N584:N588 J590:J591 J596:J597 B602 J602:J603 C603:C605 D603:I612 K603:M603 N603:N612 B604 B607 C607:C610 J608:J609 K608:M608 J614:J615 C620:C622 D620:I624 J620:J621 K620:M620 N620:N624 J626:J627 B631:B634 J632:J633 C633:C635 D633:I637 K633:M633 N633:N637 B636:B637 C637 J638:J639 J644:J645 J650:J651 J656:J657 B662 J662:J663 C663:C665 D663:I672 K663:M663 N663:N672 B664 B667 C667:C670 J668:J669 K668:M668 J674:J675 C680:C682 D680:I684 J680:J681 K680:M680 N680:N684 J686:J687 B691:B694 J692:J693 C693:C695 D693:I697 K693:M693 N693:N697 B696:B697 C697 J698:J699 C704:C706 D704:I708 J704:J705 K704:M704 N704:N708 J710:J711 C716:C718 D716:I720 J716:J717 K716:M716 N716:N720 B722 J722:J723 C723:C725 D723:I727 K723:M723 N723:N727 B724 B727:C727 J728:J729 B729 B732 J734:J735 C740:C742 D740:I744 J740:J741 K740:M740 N740:N744 J746:J747 B752 C752:C755 D752:I757 J752:M753 N752:N757 B754 B757:C757 J758:J759 B763 J764:J765 B765 B768 J770:J771 C776:C778 D776:I780 J776:J777 K776:M776 N776:N780 B782 J782:J783 C783:C785 D783:I792 K783:M783 N783:N792 B784 B787 C787:C790 J788:J789 K788:M788 J794:J795 B799 J800:J801 B801 B804 J806:J807 B812 C812:C815 D812:I817 J812:M813 N812:N817 B814 B817:C817 J818:J819 C824:C826 D824:I828 J824:J825 K824:M824 N824:N828 J830:J831 B835 J836:J837 B837 B840 B842 C843:C845 D843:I847 J843:M843 N843:N847 B844 B847:C847">
    <cfRule type="cellIs" dxfId="5" priority="9" operator="equal">
      <formula>0</formula>
    </cfRule>
  </conditionalFormatting>
  <conditionalFormatting sqref="D32 D62 D80 D92 D104 D122 D128 D134 D152 D176 D182 D206 D212 D218 D224 D230 D236 D242 D272 D284 D296 D302 D308 D319 D332 D362 D367 D379 D392 D397 D422 D427 D439 D452 D457 D482 D511:D512 D517 D535 D542 D547 D559 D572 D577 D583 D602 D607 D619 D632 D662 D667 D679 D692 D703 D715 D722 D739 D751:D752 D775 D782 D787 D811:D812 D823 D842">
    <cfRule type="cellIs" dxfId="5" priority="10" operator="equal">
      <formula>0</formula>
    </cfRule>
  </conditionalFormatting>
  <conditionalFormatting sqref="B38 T38 C39:C41 D39:I43 J39:M39 N39:N43 B40 T40 B43:C43 T43 C87:C89 D87:I91 J87:M87 N87:N91 C91 B98 B100 B103 D111:I115 J111:K111 C135:C137 D135:I139 J135:M135 N135:N139 C139 B158 B160 B163 C183:C185 D183:I187 J183:M183 N183:N187 C187 B218 B220 B223 C231:C233 D231:I235 J231:M231 N231:N235 C235 B278 C279:C281 D279:I282 J279:M279 N279:N282 B280 C326:C328 D326:I330 J326:M326 N326:N330 B337 B339 B342 C374:C376 D374:I378 J374:M374 N374:N378 C386:C388 D386:I390 J386:M386 N386:N390 B397 B399 B402 C404:C406 D404:I408 J404:M404 N404:N408 C434:C436 D434:I438 J434:M434 N434:N438 C446:C448 D446:I450 J446:M446 N446:N450 B457 B459 B462 C464:C466 D464:I468 J464:M464 N464:N468 C494:C496 D494:I498 J494:M494 N494:N498 C506:C508 D506:I510 J506:M506 N506:N510 B517 C518:C520 D518:I522 J518:M518 N518:N522 B519 B522 C524:C526 D524:I528 J524:M524 N524:N528 C542:C544 D542:I546 J542:M542 N542:N546 C554:C556 D554:I558 J554:M554 N554:N558 C566:C568 D566:I570 J566:M566 N566:N570 B577 B579 B582 C584:C586 D584:I588 J584:M584 N584:N588 C590:C592 D590:I594 J590:M590 N590:N594 C614:C616 D614:I618 J614:M614 N614:N618 C626:C628 D626:I630 J626:M626 N626:N630 B637 B639 B642 C674:C676 D674:I678 J674:M674 N674:N678 C686:C688 D686:I690 J686:M686 N686:N690 C710:C712 D710:I714 J710:M710 N710:N714 C722:C724 D722:I726 J722:M722 N722:N726 C746:C748 D746:I750 J746:M746 N746:N750 C758:C760 D758:I762 J758:M758 N758:N762 C782:C784 D782:I786 J782:M782 N782:N786 C794:C796 D794:I798 J794:M794 N794:N798 C818:C820 D818:I822 J818:M818 N818:N822 C830:C832 D830:I834 J830:M830 N830:N834">
    <cfRule type="cellIs" dxfId="5" priority="11" operator="equal">
      <formula>0</formula>
    </cfRule>
  </conditionalFormatting>
  <conditionalFormatting sqref="D38 D86 D110 D134 D182 D230 D278 D325 D373 D385 D403 D433 D445 D463 D505 D517 D523 D541 D553 D565 D583 D589 D613 D625 D673 D685 D709 D721 D745 D757 D781 D793 D817 D829">
    <cfRule type="cellIs" dxfId="5" priority="12" operator="equal">
      <formula>0</formula>
    </cfRule>
  </conditionalFormatting>
  <conditionalFormatting sqref="B44 T44 C45:C47 D45:I49 J45:M45 N45:N49 B46 T46 B49:C49 T49 C93:C95 D93:I97 J93:M93 N93:N97 C97 B104 B106 B109 D117:I121 J117:K117 C141:C143 D141:I145 J141:M141 N141:N145 C145 B164 B166 B169 C189:C191 D189:I193 J189:M189 N189:N193 C193 B224 B226 B229 C237:C239 D237:I241 J237:M237 N237:N241 C241 C243:C245 D243:I246 J243:M243 N243:N246 B283 C284:C286 D284:I288 J284:M284 N284:N288 B285 B288 C332:C334 D332:I336 J332:M332 N332:N336 B343 B345 B348 C380:C382 D380:I384 J380:M380 N380:N384 C392:C394 D392:I396 J392:M392 N392:N396 B403 B405 B408 C410:C412 D410:I414 J410:M410 N410:N414 D416 C440:C442 D440:I444 J440:M440 N440:N444 C452:C454 D452:I456 J452:M452 N452:N456 B463 B465 B468 C470:C472 D470:I474 J470:M470 N470:N474 C500:C502 D500:I504 J500:M500 N500:N504 C512:C514 D512:I516 J512:M512 N512:N516 B523 C524:C526 D524:I528 J524:M524 N524:N528 B525 B528 C530:C532 D530:I534 J530:M530 N530:N534 C548:C550 D548:I552 J548:M548 N548:N552 C560:C562 D560:I564 J560:M560 N560:N564 C572:C574 D572:I576 J572:M572 N572:N576 B583 B585 B588 C590:C592 D590:I594 J590:M590 N590:N594 C596:C598 D596:I600 J596:M596 N596:N600 C620:C622 D620:I624 J620:M620 N620:N624 C632:C634 D632:I636 J632:M632 N632:N636 B643 B645 B648 C680:C682 D680:I684 J680:M680 N680:N684 C692:C694 D692:I696 J692:M692 N692:N696 C716:C718 D716:I720 J716:M716 N716:N720 C728:C730 D728:I732 J728:M728 N728:N732 C752:C754 D752:I756 J752:M752 N752:N756 C764:C766 D764:I768 J764:M764 N764:N768 C788:C790 D788:I792 J788:M788 N788:N792 C800:C802 D800:I804 J800:M800 N800:N804 C824:C826 D824:I828 J824:M824 N824:N828 C836:C838 D836:I840 J836:M836 N836:N840">
    <cfRule type="cellIs" dxfId="5" priority="13"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6 D301:D302 D307:D308 D314 D319:D320 D325:D326 D332 D337:D338 D344 D350 D356 D362 D368 D374 D379:D380 D386 D391:D392 D398 D404 D409:D410 D416 D422 D428 D434 D439:D440 D446 D451:D452 D458 D464 D469:D470 D476 D482 D488 D494 D500 D506 D511:D512 D518 D523:D524 D529:D530 D536 D542 D547:D548 D554 D559:D560 D566 D571:D572 D578 D584 D589:D590 D595:D596 D602 D608 D614 D619:D620 D626 D631:D632 D638 D644 D650 D656 D662 D668 D674 D679:D680 D686 D691:D692 D698 D704 D710 D715:D716 D722 D727:D728 D734 D740 D746 D751:D752 D758 D763:D764 D770 D776 D782 D787:D788 D794 D799:D800 D806 D812 D818 D823:D824 D830 D835:D836 D842">
    <cfRule type="cellIs" dxfId="5" priority="14" operator="equal">
      <formula>0</formula>
    </cfRule>
  </conditionalFormatting>
  <conditionalFormatting sqref="B50 T50 C51:C53 D51:I55 J51:M51 N51:N55 B52 T52 B55:C55 T55 C99:C101 D99:I102 J99:M99 N99:N102 B110 B112 B115 D123:I127 J123:K123 C147:C149 D147:I151 J147:M147 N147:N151 C151 B170 B172 B175 C195:C197 D195:I199 J195:M195 N195:N199 C199 B230 B232 B235 C243:C245 D243:I246 J243:M243 N243:N247 B289 C290:C292 D290:I294 J290:M290 N290:N294 B291 B294 C331:I331 C338:C340 D338:I342 J338:M338 N338:N342 B349 B351 B354 C386:C388 D386:I390 J386:M386 N386:N390 C392:C394 D392:I396 J392:M392 N392:N396 C398:C400 D398:I402 J398:M398 N398:N402 B409 B411 B414 C416:C418 D416:I420 J416:M416 N416:N420 C422:C424 D422:I426 J422:M422 N422:N426 C446:C448 D446:I450 J446:M446 N446:N450 C452:C454 D452:I456 J452:M452 N452:N456 C458:C460 D458:I462 J458:M458 N458:N462 B469 B471 B474 C476:C478 D476:I480 J476:M476 N476:N480 C482:C484 D482:I486 J482:M482 N482:N486 C488:C490 D488:I492 J488:M488 N488:N492 C494:C496 D494:I504 J494:M494 N494:N498 C499:C502 J500:M500 N500:N504 C506:C508 D506:I510 J506:M506 N506:N510 C512:C514 D512:I516 J512:M512 N512:N516 C518:C520 D518:I522 J518:M518 N518:N522 C524:C526 D524:I528 J524:M524 N524:N528 B529 C530:C532 D530:I534 J530:M530 N530:N534 B531 B534 C536:C538 D536:I540 J536:M536 N536:N540 C542:C544 D542:I546 J542:M542 N542:N546 C548:C550 D548:I552 J548:M548 N548:N552 C554:C556 D554:I558 J554:M554 N554:N558 C560:C562 D560:I564 J560:M560 N560:N564 C566:C568 D566:I570 J566:M566 N566:N570 C572:C574 D572:I576 J572:M572 N572:N576 C578:C580 D578:I582 J578:M578 N578:N582 C584:C586 D584:I588 J584:M584 N584:N588 B589 C590:C592 D590:I594 J590:M590 N590:N594 B591 B594 C596:C598 D596:I600 J596:M596 N596:N600 C602:C604 D602:I606 J602:M602 N602:N606 C608:C610 D608:I612 J608:M608 N608:N612 C614:C616 D614:I618 J614:M614 N614:N618 C620:C622 D620:I624 J620:M620 N620:N624 C638:C640 D638:I642 J638:M638 N638:N642 B649 B651 B654 C662:C664 D662:I666 J662:M662 N662:N666 C668:C670 D668:I672 J668:M668 N668:N672 C674:C676 D674:I678 J674:M674 N674:N678 C680:C682 D680:I684 J680:M680 N680:N684 C698:C700 D698:I702 J698:M698 N698:N702 C704:C706 D704:I708 J704:M704 N704:N708 C710:C712 D710:I714 J710:M710 N710:N714 C716:C718 D716:I720 J716:M716 N716:N720 C734:C736 D734:I738 J734:M734 N734:N738 C740:C742 D740:I744 J740:M740 N740:N744 C746:C748 D746:I750 J746:M746 N746:N750 C752:C754 D752:I756 J752:M752 N752:N756 C770:C772 D770:I774 J770:M770 N770:N774 C776:C778 D776:I780 J776:M776 N776:N780 C782:C784 D782:I786 J782:M782 N782:N786 C788:C790 D788:I792 J788:M788 N788:N792 C806:C808 D806:I810 J806:M806 N806:N810 C812:C814 D812:I816 J812:M812 N812:N816 C818:C820 D818:I822 J818:M818 N818:N822 C824:C826 D824:I828 J824:M824 N824:N828">
    <cfRule type="cellIs" dxfId="5" priority="15" operator="equal">
      <formula>0</formula>
    </cfRule>
  </conditionalFormatting>
  <conditionalFormatting sqref="D50 D98 D122 D146 D194 D242 D289 D337 D385 D391 D397 D415 D421 D445 D451 D457 D475 D481 D505 D511 D517 D523 D529 D535 D541 D547 D553 D559 D565 D571 D577 D583 D589 D595 D601 D607 D613 D619 D637 D661 D667 D673 D679 D697 D703 D709 D715 D733 D739 D745 D751 D769 D775 D781 D787 D805 D811 D817 D823">
    <cfRule type="cellIs" dxfId="5" priority="16" operator="equal">
      <formula>0</formula>
    </cfRule>
  </conditionalFormatting>
  <conditionalFormatting sqref="B56 T56 C57:C59 D57:I61 J57:M57 N57:N61 B58 T58 B61:C61 T61 B116 B118 B121 D129:I133 J129:K129 B176 B178 B181 D201:I205 J201:K201 B236 B238 B241:B242 B244 B295 B297 B300 B355 B357 B360 B415 B417 B420 B475 B477 B480:B481 B483 B486:B487 B489 B492:B493 B495 B498:B499 B501 B504:B505 B507 B510:B511 B513 B516:B517 B519 B522:B523 B525 B528:B529 B531 B534:B535 B537 B540:B541 B543 B546:B547 B549 B552:B553 B555 B558:B559 B561 B564:B565 B567 B570:B571 B573 B576:B577 B579 B582:B583 B585 B588:B589 B591 B594:B595 B597 B600:B601 B603 B606:B607 B609 B612:B613 B615 B618:B619 B621 B624 B655 B657 B660:B661 B663 B666:B667 B669 B672:B673 B675 B678:B679 B681 B684 B697 B699 B702:B703 B705 B708:B709 B711 B714:B715 B717 B720 B733 B735 B738:B739 B741 B744:B745 B747 B750:B751 B753 B756 B769 B771 B774:B775 B777 B780:B781 B783 B786:B787 B789 B792 B805 B807 B810:B811 B813 B816:B817 B819 B822:B823 B825 B828">
    <cfRule type="cellIs" dxfId="5" priority="17" operator="equal">
      <formula>0</formula>
    </cfRule>
  </conditionalFormatting>
  <conditionalFormatting sqref="D56 D128 D200">
    <cfRule type="cellIs" dxfId="5" priority="18" operator="equal">
      <formula>0</formula>
    </cfRule>
  </conditionalFormatting>
  <conditionalFormatting sqref="B62 T62 C63:C65 D63:I67 J63:M63 N63:N67 B64 T64 B67:C67 T67 B122 B124 B127 D135:I139 J135:K135 B182 B184 B187 D207:I211 J207:K207 B242 B244 B247 B301 B303 B306 B361 B363 B366 B421 B423 B426 B481 B483 B486 B505 B507 B510 B529 B531 B534 B541 B543 B546 B553 B555 B558 B577 B579 B582 B601 B603 B606 B661 B663 B666 B697 B699 B702 B733 B735 B738 B769 B771 B774 B805 B807 B810">
    <cfRule type="cellIs" dxfId="5" priority="19" operator="equal">
      <formula>0</formula>
    </cfRule>
  </conditionalFormatting>
  <conditionalFormatting sqref="D62 D134 D206">
    <cfRule type="cellIs" dxfId="5" priority="20" operator="equal">
      <formula>0</formula>
    </cfRule>
  </conditionalFormatting>
  <conditionalFormatting sqref="B8 B10 B13:B14 B16 B19:B20 B22 B25:B26 B28 B31:B32 B34 B37:B38 B40 B43:B44 B46 B49:B50 B52 B55:B56 B58 B61:B62 B64 B67:B68 T68 C69:C71 D69:I73 J69:M69 N69:N73 B70 T70 B73:B74 C73 T73 B76 B79:B80 B82 B85:B86 B88 B91:B92 B94 B97:B98 B100 B103:B104 B106 B109:B110 B112 B115:B116 B118 B121:B122 B124 B127:B128 B130 B133:B134 B136 B139:B140 D141:I145 J141:K141 B142 B145:B146 B148 B151:B152 B154 B157:B158 B160 B163:B164 B166 B169:B170 B172 B175:B176 B178 B181:B182 B184 B187:B188 B190 B193:B194 B196 B199:B200 B202 B205:B206 B208 B211:B212 D213:I217 J213:K213 B214 B217:B218 D219:I223 J219:K219 B220 B223:B224 D225:I229 J225:K225 B226 B229:B230 D231:I235 J231:K231 B232 B235:B236 D237:I241 J237:K237 B238 B241:B242 D243:I246 J243:K243 B244 B248 B250 B253:B254 B256 B259:B260 B262 B265:B266 B268 B271:B272 B274 B277:B278 B280 B283:B284 B286 B289:B290 B292 B295:B296 B298 B301:B302 B304 B307:B310 B312:B314 B316 B319:B320 B322 B325:B326 B328 B331:B332 B334 B337:B338 B340 B343:B344 B346 B349:B350 B352 B355:B356 B358 B361:B362 B364 B367:B370 B372:B374 B376 B379:B380 B382 B385:B386 B388 B391:B392 B394 B397:B398 B400 B403:B404 B406 B409:B410 B412 B415:B416 B418 B421:B422 B424 B427:B430 B432:B434 B436 B439:B440 B442 B445:B446 B448 B451:B452 B454 B457:B458 B460 B463:B464 B466 B469:B470 B472 B475:B476 B478 B481:B482 B484 B487:B490 B492:B494 B496 B499:B500 B502 B505:B506 B508 B511:B514 B516:B518 B520 B523:B524 B526 B529:B530 B532 B535:B538 B540:B542 B544 B547:B550 B552:B554 B556 B559:B562 B564:B566 B568 B571:B572 B574 B577:B578 B580 B583:B586 B588:B590 B592 B595:B596 B598 B601:B602 B604 B607:B610 B612:B614 B616 B619:B620 B622 B625:B626 B628 B631:B632 B634 B637:B638 B640 B643:B644 B646 B649:B650 B652 B655:B656 B658 B661:B662 B664 B667:B670 B672:B674 B676 B679:B680 B682 B685:B686 B688 B691:B692 B694 B697:B698 B700 B703:B706 B708:B710 B712 B715:B716 B718 B721:B722 B724 B727:B728 B730 B733:B734 B736 B739:B742 B744:B746 B748 B751:B752 B754 B757:B758 B760 B763:B764 B766 B769:B770 B772 B775:B778 B780:B782 B784 B787:B788 B790 B793:B794 B796 B799:B800 B802 B805:B806 B808 B811:B814 B816:B818 B820 B823:B824 B826 B829:B830 B832 B835:B836 B838 B841:B842 B844 B847">
    <cfRule type="cellIs" dxfId="5" priority="21" operator="equal">
      <formula>0</formula>
    </cfRule>
  </conditionalFormatting>
  <conditionalFormatting sqref="D68 D140 D212 D218 D224 D230 D236 D242">
    <cfRule type="cellIs" dxfId="5" priority="22" operator="equal">
      <formula>0</formula>
    </cfRule>
  </conditionalFormatting>
  <conditionalFormatting sqref="B74 T74 C75:C77 D75:I79 J75:M75 N75:N79 B76 T76 B79:C79 T79 D147:I151 J147:K147 D219:I223 J219:K219 D225:I229 J225:K225 D231:I235 J231:K231 D237:I241 J237:K237 D243:I246 J243:K243">
    <cfRule type="cellIs" dxfId="5" priority="23"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6 D301:D302 D307:D308 D314 D319:D320 D325:D326 D332 D337:D338 D344 D350 D356 D362 D368 D374 D380 D386 D392 D398 D404 D410 D416 D422 D428 D434 D440 D446 D452 D458 D464 D470 D476 D482 D488 D494 D500 D506 D512 D518 D524 D530 D536 D542 D548 D554 D560 D566 D572 D578 D584 D590 D596 D602 D608 D614 D620 D626 D632 D638 D644 D650 D656 D662 D668 D674 D680 D686 D692 D698 D704 D710 D716 D722 D728 D734 D740 D746 D752 D758 D764 D770 D776 D782 D788 D794 D800 D806 D812 D818 D824 D830 D836 D842">
    <cfRule type="cellIs" dxfId="5" priority="24" operator="equal">
      <formula>0</formula>
    </cfRule>
  </conditionalFormatting>
  <conditionalFormatting sqref="B80 T80 C81:C83 D81:I85 J81:M81 N81:N85 B82 T82 B85:C85 T85">
    <cfRule type="cellIs" dxfId="5" priority="25" operator="equal">
      <formula>0</formula>
    </cfRule>
  </conditionalFormatting>
  <conditionalFormatting sqref="D80">
    <cfRule type="cellIs" dxfId="5" priority="26" operator="equal">
      <formula>0</formula>
    </cfRule>
  </conditionalFormatting>
  <conditionalFormatting sqref="B86 T86 C87:C89 D87:I91 J87:M87 N87:N91 B88 T88 B91:C91 T91">
    <cfRule type="cellIs" dxfId="5" priority="27" operator="equal">
      <formula>0</formula>
    </cfRule>
  </conditionalFormatting>
  <conditionalFormatting sqref="D86">
    <cfRule type="cellIs" dxfId="5" priority="28" operator="equal">
      <formula>0</formula>
    </cfRule>
  </conditionalFormatting>
  <conditionalFormatting sqref="B92 T92 C93:C95 D93:I97 J93:M93 N93:N97 B94 T94 B97:C97 T97">
    <cfRule type="cellIs" dxfId="5" priority="29" operator="equal">
      <formula>0</formula>
    </cfRule>
  </conditionalFormatting>
  <conditionalFormatting sqref="D92">
    <cfRule type="cellIs" dxfId="5" priority="30" operator="equal">
      <formula>0</formula>
    </cfRule>
  </conditionalFormatting>
  <conditionalFormatting sqref="B98 T98 C99:C101 D99:I103 J99:M99 N99:N103 B100 T100 B103:C103 T103 B115:I115 N115">
    <cfRule type="cellIs" dxfId="5" priority="31" operator="equal">
      <formula>0</formula>
    </cfRule>
  </conditionalFormatting>
  <conditionalFormatting sqref="D98">
    <cfRule type="cellIs" dxfId="5" priority="32" operator="equal">
      <formula>0</formula>
    </cfRule>
  </conditionalFormatting>
  <conditionalFormatting sqref="B104 T104 C105:C107 D105:I109 J105:M105 N105:N109 B106 T106 B109:C109 T109">
    <cfRule type="cellIs" dxfId="5" priority="33" operator="equal">
      <formula>0</formula>
    </cfRule>
  </conditionalFormatting>
  <conditionalFormatting sqref="D104">
    <cfRule type="cellIs" dxfId="5" priority="34" operator="equal">
      <formula>0</formula>
    </cfRule>
  </conditionalFormatting>
  <conditionalFormatting sqref="B110 T110 C111:C113 D111:I115 J111:M111 N111:N115 B112 T112 B115:C115 T115">
    <cfRule type="cellIs" dxfId="5" priority="35" operator="equal">
      <formula>0</formula>
    </cfRule>
  </conditionalFormatting>
  <conditionalFormatting sqref="D110">
    <cfRule type="cellIs" dxfId="5" priority="36" operator="equal">
      <formula>0</formula>
    </cfRule>
  </conditionalFormatting>
  <conditionalFormatting sqref="B116 T116 C117:C119 D117:I121 J117:M117 N117:N121 B118 T118 B121:C121 T121">
    <cfRule type="cellIs" dxfId="5" priority="37" operator="equal">
      <formula>0</formula>
    </cfRule>
  </conditionalFormatting>
  <conditionalFormatting sqref="D116">
    <cfRule type="cellIs" dxfId="5" priority="38" operator="equal">
      <formula>0</formula>
    </cfRule>
  </conditionalFormatting>
  <conditionalFormatting sqref="B122 T122 C123:C125 D123:I127 J123:M123 N123:N127 B124 T124 B127:C127 T127">
    <cfRule type="cellIs" dxfId="5" priority="39" operator="equal">
      <formula>0</formula>
    </cfRule>
  </conditionalFormatting>
  <conditionalFormatting sqref="D122">
    <cfRule type="cellIs" dxfId="5" priority="40" operator="equal">
      <formula>0</formula>
    </cfRule>
  </conditionalFormatting>
  <conditionalFormatting sqref="B128 T128 C129:C131 D129:I133 J129:M129 N129:N133 B130 T130 B133:C133 T133">
    <cfRule type="cellIs" dxfId="5" priority="41" operator="equal">
      <formula>0</formula>
    </cfRule>
  </conditionalFormatting>
  <conditionalFormatting sqref="D128">
    <cfRule type="cellIs" dxfId="5" priority="42" operator="equal">
      <formula>0</formula>
    </cfRule>
  </conditionalFormatting>
  <conditionalFormatting sqref="B134 T134 C135:C137 D135:I139 J135:M135 N135:N139 B136 T136 B139:C139 T139">
    <cfRule type="cellIs" dxfId="5" priority="43" operator="equal">
      <formula>0</formula>
    </cfRule>
  </conditionalFormatting>
  <conditionalFormatting sqref="D134">
    <cfRule type="cellIs" dxfId="5" priority="44" operator="equal">
      <formula>0</formula>
    </cfRule>
  </conditionalFormatting>
  <conditionalFormatting sqref="B140 T140 C141:C143 D141:I145 J141:M141 N141:N145 B142 T142 B145:C145 T145">
    <cfRule type="cellIs" dxfId="5" priority="45" operator="equal">
      <formula>0</formula>
    </cfRule>
  </conditionalFormatting>
  <conditionalFormatting sqref="D140">
    <cfRule type="cellIs" dxfId="5" priority="46" operator="equal">
      <formula>0</formula>
    </cfRule>
  </conditionalFormatting>
  <conditionalFormatting sqref="B146 T146 C147:C149 D147:I151 J147:M147 N147:N151 B148 T148 B151:C151 T151">
    <cfRule type="cellIs" dxfId="5" priority="47" operator="equal">
      <formula>0</formula>
    </cfRule>
  </conditionalFormatting>
  <conditionalFormatting sqref="D146">
    <cfRule type="cellIs" dxfId="5" priority="48" operator="equal">
      <formula>0</formula>
    </cfRule>
  </conditionalFormatting>
  <conditionalFormatting sqref="B152 T152 C153:C155 D153:I157 J153:M153 N153:N157 B154 T154 B157:C157 T157">
    <cfRule type="cellIs" dxfId="5" priority="49" operator="equal">
      <formula>0</formula>
    </cfRule>
  </conditionalFormatting>
  <conditionalFormatting sqref="D152">
    <cfRule type="cellIs" dxfId="5" priority="50" operator="equal">
      <formula>0</formula>
    </cfRule>
  </conditionalFormatting>
  <conditionalFormatting sqref="B158 T158 C159:C161 D159:I163 J159:M159 N159:N163 B160 T160 B163:C163 T163">
    <cfRule type="cellIs" dxfId="5" priority="51" operator="equal">
      <formula>0</formula>
    </cfRule>
  </conditionalFormatting>
  <conditionalFormatting sqref="D158">
    <cfRule type="cellIs" dxfId="5" priority="52" operator="equal">
      <formula>0</formula>
    </cfRule>
  </conditionalFormatting>
  <conditionalFormatting sqref="B164 T164 C165:C167 D165:I169 J165:M165 N165:N169 B166 T166 B169:C169 T169">
    <cfRule type="cellIs" dxfId="5" priority="53" operator="equal">
      <formula>0</formula>
    </cfRule>
  </conditionalFormatting>
  <conditionalFormatting sqref="D164">
    <cfRule type="cellIs" dxfId="5" priority="54" operator="equal">
      <formula>0</formula>
    </cfRule>
  </conditionalFormatting>
  <conditionalFormatting sqref="B170 T170 C171:C173 D171:I175 J171:M171 N171:N175 B172 T172 B175:C175 T175">
    <cfRule type="cellIs" dxfId="5" priority="55" operator="equal">
      <formula>0</formula>
    </cfRule>
  </conditionalFormatting>
  <conditionalFormatting sqref="D170">
    <cfRule type="cellIs" dxfId="5" priority="56" operator="equal">
      <formula>0</formula>
    </cfRule>
  </conditionalFormatting>
  <conditionalFormatting sqref="B176 T176 C177:C179 D177:I181 J177:M177 N177:N181 B178 T178 B181:C181 T181">
    <cfRule type="cellIs" dxfId="5" priority="57" operator="equal">
      <formula>0</formula>
    </cfRule>
  </conditionalFormatting>
  <conditionalFormatting sqref="D176">
    <cfRule type="cellIs" dxfId="5" priority="58" operator="equal">
      <formula>0</formula>
    </cfRule>
  </conditionalFormatting>
  <conditionalFormatting sqref="B182 T182 C183:C185 D183:I187 J183:M183 N183:N187 B184 T184 B187:C187 T187">
    <cfRule type="cellIs" dxfId="5" priority="59" operator="equal">
      <formula>0</formula>
    </cfRule>
  </conditionalFormatting>
  <conditionalFormatting sqref="D182">
    <cfRule type="cellIs" dxfId="5" priority="60" operator="equal">
      <formula>0</formula>
    </cfRule>
  </conditionalFormatting>
  <conditionalFormatting sqref="B188 T188 C189:C191 D189:I193 J189:M189 N189:N193 B190 T190 B193:C193 T193">
    <cfRule type="cellIs" dxfId="5" priority="61" operator="equal">
      <formula>0</formula>
    </cfRule>
  </conditionalFormatting>
  <conditionalFormatting sqref="D188">
    <cfRule type="cellIs" dxfId="5" priority="62" operator="equal">
      <formula>0</formula>
    </cfRule>
  </conditionalFormatting>
  <conditionalFormatting sqref="B194 T194 C195:C197 D195:I199 J195:M195 N195:N199 B196 T196 B199:C199 T199">
    <cfRule type="cellIs" dxfId="5" priority="63" operator="equal">
      <formula>0</formula>
    </cfRule>
  </conditionalFormatting>
  <conditionalFormatting sqref="D194">
    <cfRule type="cellIs" dxfId="5" priority="64" operator="equal">
      <formula>0</formula>
    </cfRule>
  </conditionalFormatting>
  <conditionalFormatting sqref="B200 T200 C201:C203 D201:I205 J201:M201 N201:N205 B202 T202 B205:C205 T205">
    <cfRule type="cellIs" dxfId="5" priority="65" operator="equal">
      <formula>0</formula>
    </cfRule>
  </conditionalFormatting>
  <conditionalFormatting sqref="D200">
    <cfRule type="cellIs" dxfId="5" priority="66" operator="equal">
      <formula>0</formula>
    </cfRule>
  </conditionalFormatting>
  <conditionalFormatting sqref="B206 T206 C207:C209 D207:I211 J207:M207 N207:N211 B208 T208 B211:C211 T211">
    <cfRule type="cellIs" dxfId="5" priority="67" operator="equal">
      <formula>0</formula>
    </cfRule>
  </conditionalFormatting>
  <conditionalFormatting sqref="D206">
    <cfRule type="cellIs" dxfId="5" priority="68" operator="equal">
      <formula>0</formula>
    </cfRule>
  </conditionalFormatting>
  <conditionalFormatting sqref="B212 T212 C213:C215 D213:I217 J213:M213 N213:N217 B214 T214 B217:B218 C217 T217:T218 C219:C221 D219:I223 J219:M219 N219:N223 B220 T220 B223:B224 C223 T223:T224 C225:C227 D225:I229 J225:M225 N225:N229 B226 T226 B229:B230 C229 T229:T230 C231:C233 D231:I235 J231:M231 N231:N235 B232 T232 B235:B236 C235 T235:T236 C237:C239 D237:I241 J237:M237 N237:N241 B238 T238 B241:B242 C241 T241:T242 C243:C245 D243:I246 J243:M243 N243:N246 B244 T244">
    <cfRule type="cellIs" dxfId="5" priority="69" operator="equal">
      <formula>0</formula>
    </cfRule>
  </conditionalFormatting>
  <conditionalFormatting sqref="D212 D218 D224 D230 D236 D242">
    <cfRule type="cellIs" dxfId="5" priority="70" operator="equal">
      <formula>0</formula>
    </cfRule>
  </conditionalFormatting>
  <conditionalFormatting sqref="B218 T218 C219:C221 D219:I223 J219:M219 N219:N223 B220 T220 B223:C223 T223 D225:I229 J225:K225 D231:I235 J231:K231 D237:I241 J237:K237 D243:I246 J243:K243">
    <cfRule type="cellIs" dxfId="5" priority="71"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6 D301:D302 D307:D308 D314 D319:D320 D325:D326 D332 D337:D338 D344 D350 D356 D362 D368 D374 D380 D386 D392 D398 D404 D410 D416 D422 D428 D434 D440 D446 D452 D458 D464 D470 D476 D482 D488 D494 D500 D506 D512 D518 D524 D530 D536 D542 D548 D554 D560 D566 D572 D578 D584 D590 D596 D602 D608 D614 D620 D626 D632 D638 D644 D650 D656 D662 D668 D674 D680 D686 D692 D698 D704 D710 D716 D722 D728 D734 D740 D746 D752 D758 D764 D770 D776 D782 D788 D794 D800 D806 D812 D818 D824 D830 D836 D842">
    <cfRule type="cellIs" dxfId="5" priority="72" operator="equal">
      <formula>0</formula>
    </cfRule>
  </conditionalFormatting>
  <conditionalFormatting sqref="B224 T224 C225:C227 D225:I229 J225:M225 N225:N229 B226 T226 B229:C229 T229">
    <cfRule type="cellIs" dxfId="5" priority="73" operator="equal">
      <formula>0</formula>
    </cfRule>
  </conditionalFormatting>
  <conditionalFormatting sqref="D224">
    <cfRule type="cellIs" dxfId="5" priority="74" operator="equal">
      <formula>0</formula>
    </cfRule>
  </conditionalFormatting>
  <conditionalFormatting sqref="B230 T230 C231:C233 D231:I235 J231:M231 N231:N235 B232 T232 B235:C235 T235">
    <cfRule type="cellIs" dxfId="5" priority="75" operator="equal">
      <formula>0</formula>
    </cfRule>
  </conditionalFormatting>
  <conditionalFormatting sqref="D230">
    <cfRule type="cellIs" dxfId="5" priority="76" operator="equal">
      <formula>0</formula>
    </cfRule>
  </conditionalFormatting>
  <conditionalFormatting sqref="B236 T236 C237:C239 D237:I241 J237:M237 N237:N241 B238 T238 B241:B242 C241 T241:T242 C243:C245 D243:I246 J243:M243 N243:N246 B244 T244">
    <cfRule type="cellIs" dxfId="5" priority="77"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6 D301:D302 D307:D308 D314 D319:D320 D325:D326 D332 D337:D338 D344 D350 D356 D362 D368 D374 D380 D386 D392 D398 D404 D410 D416 D422 D428 D434 D440 D446 D452 D458 D464 D470 D476 D482 D488 D494 D500 D506 D512 D518 D524 D530 D536 D542 D548 D554 D560 D566 D572 D578 D584 D590 D596 D602 D608 D614 D620 D626 D632 D638 D644 D650 D656 D662 D668 D674 D680 D686 D692 D698 D704 D710 D716 D722 D728 D734 D740 D746 D752 D758 D764 D770 D776 D782 D788 D794 D800 D806 D812 D818 D824 D830 D836 D842">
    <cfRule type="cellIs" dxfId="5" priority="78" operator="equal">
      <formula>0</formula>
    </cfRule>
  </conditionalFormatting>
  <conditionalFormatting sqref="B242 T242 C243:C245 D243:I246 J243:M243 N243:N247 B244 T244 B247 T247 C331:I331 C499:I499">
    <cfRule type="cellIs" dxfId="5" priority="79" operator="equal">
      <formula>0</formula>
    </cfRule>
  </conditionalFormatting>
  <conditionalFormatting sqref="D242">
    <cfRule type="cellIs" dxfId="5" priority="80" operator="equal">
      <formula>0</formula>
    </cfRule>
  </conditionalFormatting>
  <conditionalFormatting sqref="B8 T8 C9:C11 D9:I13 J9:M9 N9:N13 B10 T10 B13:B14 C13 T13:T14 C15:C17 D15:I19 J15:M15 N15:N19 B16 T16 B19:B20 C19 T19:T20 C21:C23 D21:I25 J21:M21 N21:N25 B22 T22 B25:B26 C25 T25:T26 C27:C29 D27:I31 J27:M27 N27:N31 B28 T28 B31:B32 C31 T31:T32 C33:C35 D33:I37 J33:M33 N33:N37 B34 T34 B37:B38 C37 T37:T38 C39:C41 D39:I43 J39:M39 N39:N43 B40 T40 B43:B44 C43 T43:T44 C45:C47 D45:I49 J45:M45 N45:N49 B46 T46 B49:B50 C49 T49:T50 C51:C53 D51:I55 J51:M51 N51:N55 B52 T52 B55:B56 C55 T55:T56 C57:C59 D57:I61 J57:M57 N57:N61 B58 T58 B61:B62 C61 T61:T62 C63:C65 D63:I67 J63:M63 N63:N67 B64 T64 B67:B68 C67 T67:T68 C69:C71 D69:I73 J69:M69 N69:N73 B70 T70 B73:B74 C73 T73:T74 C75:C77 D75:I79 J75:M75 N75:N79 B76 T76 B79:B80 C79 T79:T80 C81:C83 D81:I85 J81:M81 N81:N85 B82 T82 B85:B86 C85 T85:T86 C87:C89 D87:I91 J87:M87 N87:N91 B88 T88 B91:B92 C91 T91:T92 C93:C95 D93:I97 J93:M93 N93:N97 B94 T94 B97:B98 C97 T97:T98 C99:C101 D99:I103 J99:M99 N99:N103 B100 T100 B103:B104 C103 T103:T104 C105:C107 D105:I109 J105:M105 N105:N109 B106 T106 B109:B110 C109 T109:T110 C111:C113 D111:I115 J111:M111 N111:N115 B112 T112 B115:B116 C115 T115:T116 C117:C119 D117:I121 J117:M117 N117:N121 B118 T118 B121:B122 C121 T121:T122 C123:C125 D123:I127 J123:M123 N123:N127 B124 T124 B127:B128 C127 T127:T128 C129:C131 D129:I133 J129:M129 N129:N133 B130 T130 B133:B134 C133 T133:T134 C135:C137 D135:I139 J135:M135 N135:N139 B136 T136 B139:B140 C139 T139:T140 C141:C143 D141:I145 J141:M141 N141:N145 B142 T142 B145:B146 C145 T145:T146 C147:C149 D147:I151 J147:M147 N147:N151 B148 T148 B151:B152 C151 T151:T152 C153:C155 D153:I157 J153:M153 N153:N157 B154 T154 B157:B158 C157 T157:T158 C159:C161 D159:I163 J159:M159 N159:N163 B160 T160 B163:B164 C163 T163:T164 C165:C167 D165:I169 J165:M165 N165:N169 B166 T166 B169:B170 C169 T169:T170 C171:C173 D171:I175 J171:M171 N171:N175 B172 T172 B175:B176 C175 T175:T176 C177:C179 D177:I181 J177:M177 N177:N181 B178 T178 B181:B182 C181 T181:T182 C183:C185 D183:I187 J183:M183 N183:N187 B184 T184 B187:B188 C187 T187:T188 C189:C191 D189:I193 J189:M189 N189:N193 B190 T190 B193:B194 C193 T193:T194 C195:C197 D195:I199 J195:M195 N195:N199 B196 T196 B199:B200 C199 T199:T200 C201:C203 D201:I205 J201:M201 N201:N205 B202 T202 B205:B206 C205 T205:T206 C207:C209 D207:I211 J207:M207 N207:N211 B208 T208 B211:B212 C211 T211:T212 C213:C215 D213:I217 J213:M213 N213:N217 B214 T214 B217:B218 C217 T217:T218 C219:C221 D219:I223 J219:M219 N219:N223 B220 T220 B223:B224 C223 T223:T224 C225:C227 D225:I229 J225:M225 N225:N229 B226 T226 B229:B230 C229 T229:T230 C231:C233 D231:I235 J231:M231 N231:N235 B232 T232 B235:B236 C235 T235:T236 C237:C239 D237:I241 J237:M237 N237:N241 B238 T238 B241:B242 C241 T241:T242 C243:C245 D243:I246 J243:M243 N243:N246 B244 T244 B248 T248 C249:C251 D249:I253 J249:M249 N249:N253 B250 T250 B253:B254 C253 T253:T254 C255:C257 D255:I259 J255:M255 N255:N259 B256 T256 B259:B260 C259 T259:T260 C261:C263 D261:I265 J261:M261 N261:N265 B262 T262 B265:B266 C265 T265:T266 C267:C269 D267:I270 J267:M267 N267:N271 B268 T268 B271:B272 T271:T272 C273:C275 D273:I277 J273:M273 N273:N277 B274 T274 B277:B278 C277 T277:T278 C279:C281 D279:I283 J279:M279 N279:N283 B280 T280 B283:B284 C283 T283:T284 C285:C287 D285:I289 J285:M285 N285:N289 B286 T286 B289:B290 C289 T289:T290 C291:C293 D291:I295 J291:M291 N291:N295 B292 T292 B295:B296 C295 T295:T296 C297:C299 D297:I301 J297:M297 N297:N301 B298 T298 B301:B302 C301 T301:T302 C303:C305 D303:I307 J303:M303 N303:N307 B304 T304 B307:B308 C307 T307:T308 C309:C311 D309:I313 J309:M309 N309:N313 B310 T310 B313:B314 C313 T313:T314 C315:C317 D315:I319 J315:M315 N315:N319 B316 T316 B319:B320 C319 T319:T320 C321:C323 D321:I325 J321:M321 N321:N325 B322 T322 B325:B326 C325 T325:T326 C327:C329 D327:I330 J327:M327 N327:N331 B328 T328 B331:B332 T331:T332 C333:C335 D333:I337 J333:M333 N333:N337 B334 T334 B337:B338 C337 T337:T338 C339:C341 D339:I343 J339:M339 N339:N343 B340 T340 B343:B344 C343 T343:T344 C345:C347 D345:I349 J345:M345 N345:N349 B346 T346 B349:B350 C349 T349:T350 C351:C353 D351:I355 J351:M351 N351:N355 B352 T352 B355:B356 C355 T355:T356 C357:C359 D357:I361 J357:M357 N357:N361 B358 T358 B361:B362 C361 T361:T362 C363:C365 D363:I367 J363:M363 N363:N367 B364 T364 B367:B368 C367 T367:T368 C369:C371 D369:I373 J369:M369 N369:N373 B370 T370 B373:B374 C373 T373:T374 C375:C377 D375:I379 J375:M375 N375:N379 B376 T376 B379:B380 C379 T379:T380 C381:C383 D381:I385 J381:M381 N381:N385 B382 T382 B385:B386 C385 T385:T386 C387:C389 D387:I391 J387:M387 N387:N391 B388 T388 B391:B392 C391 T391:T392 C393:C395 D393:I397 J393:M393 N393:N397 B394 T394 B397:B398 C397 T397:T398 C399:C401 D399:I403 J399:M399 N399:N403 B400 T400 B403:B404 C403 T403:T404 C405:C407 D405:I409 J405:M405 N405:N409 B406 T406 B409:B410 C409 T409:T410 C411:C413 D411:I415 J411:M411 N411:N415 B412 T412 B415:B416 C415 T415:T416 C417:C419 D417:I421 J417:M417 N417:N421 B418 T418 B421:B422 C421 T421:T422 C423:C425 D423:I427 J423:M423 N423:N427 B424 T424 B427:B428 C427 T427:T428 C429:C431 D429:I433 J429:M429 N429:N433 B430 T430 B433:B434 C433 T433:T434 C435:C437 D435:I439 J435:M435 N435:N439 B436 T436 B439:B440 C439 T439:T440 C441:C443 D441:I445 J441:M441 N441:N445 B442 T442 B445:B446 C445 T445:T446 C447:C449 D447:I451 J447:M447 N447:N451 B448 T448 B451:B452 C451 T451:T452 C453:C455 D453:I457 J453:M453 N453:N457 B454 T454 B457:B458 C457 T457:T458 C459:C461 D459:I463 J459:M459 N459:N463 B460 T460 B463:B464 C463 T463:T464 C465:C467 D465:I469 J465:M465 N465:N469 B466 T466 B469:B470 C469 T469:T470 C471:C473 D471:I475 J471:M471 N471:N475 B472 T472 B475:B476 C475 T475:T476 C477:C479 D477:I481 J477:M477 N477:N481 B478 T478 B481:B482 C481 T481:T482 C483:C485 D483:I487 J483:M483 N483:N487 B484 T484 B487:B488 C487 T487:T488 C489:C491 D489:I493 J489:M489 N489:N493 B490 T490 B493:B494 C493 T493:T494 C495:C497 D495:I499 J495:M495 N495:N499 B496 T496 B499:B500 C499 T499:T500 C501:C503 D501:I505 J501:M501 N501:N505 B502 T502 B505:B506 C505 T505:T506 C507:C509 D507:I511 J507:M507 N507:N511 B508 T508 B511:B512 C511 T511:T512 C513:C515 D513:I517 J513:M513 N513:N517 B514 T514 B517:B518 C517 T517:T518 C519:C521 D519:I523 J519:M519 N519:N523 B520 T520 B523:B524 C523 T523:T524 C525:C527 D525:I529 J525:M525 N525:N529 B526 T526 B529:B530 C529 T529:T530 C531:C533 D531:I535 J531:M531 N531:N535 B532 T532 B535:B536 C535 T535:T536 C537:C539 D537:I541 J537:M537 N537:N541 B538 T538 B541:B542 C541 T541:T542 C543:C545 D543:I547 J543:M543 N543:N547 B544 T544 B547:B548 C547 T547:T548 C549:C551 D549:I553 J549:M549 N549:N553 B550 T550 B553:B554 C553 T553:T554 C555:C557 D555:I559 J555:M555 N555:N559 B556 T556 B559:B560 C559 T559:T560 C561:C563 D561:I565 J561:M561 N561:N565 B562 T562 B565:B566 C565 T565:T566 C567:C569 D567:I571 J567:M567 N567:N571 B568 T568 B571:B572 C571 T571:T572 C573:C575 D573:I577 J573:M573 N573:N577 B574 T574 B577:B578 C577 T577:T578 C579:C581 D579:I583 J579:M579 N579:N583 B580 T580 B583:B584 C583 T583:T584 C585:C587 D585:I589 J585:M585 N585:N589 B586 T586 B589:B590 C589 T589:T590 C591:C593 D591:I595 J591:M591 N591:N595 B592 T592 B595:B596 C595 T595:T596 C597:C599 D597:I601 J597:M597 N597:N601 B598 T598 B601:B602 C601 T601:T602 C603:C605 D603:I607 J603:M603 N603:N607 B604 T604 B607:B608 C607 T607:T608 C609:C611 D609:I613 J609:M609 N609:N613 B610 T610 B613:B614 C613 T613:T614 C615:C617 D615:I619 J615:M615 N615:N619 B616 T616 B619:B620 C619 T619:T620 C621:C623 D621:I625 J621:M621 N621:N625 B622 T622 B625:B626 C625 T625:T626 C627:C629 D627:I631 J627:M627 N627:N631 B628 T628 B631:B632 C631 T631:T632 C633:C635 D633:I637 J633:M633 N633:N637 B634 T634 B637:B638 C637 T637:T638 C639:C641 D639:I643 J639:M639 N639:N643 B640 T640 B643:B644 C643 T643:T644 C645:C647 D645:I649 J645:M645 N645:N649 B646 T646 B649:B650 C649 T649:T650 C651:C653 D651:I655 J651:M651 N651:N655 B652 T652 B655:B656 C655 T655:T656 C657:C659 D657:I661 J657:M657 N657:N661 B658 T658 B661:B662 C661 T661:T662 C663:C665 D663:I667 J663:M663 N663:N667 B664 T664 B667:B668 C667 T667:T668 C669:C671 D669:I673 J669:M669 N669:N673 B670 T670 B673:B674 C673 T673:T674 C675:C677 D675:I679 J675:M675 N675:N679 B676 T676 B679:B680 C679 T679:T680 C681:C683 D681:I685 J681:M681 N681:N685 B682 T682 B685:B686 C685 T685:T686 C687:C689 D687:I691 J687:M687 N687:N691 B688 T688 B691:B692 C691 T691:T692 C693:C695 D693:I697 J693:M693 N693:N697 B694 T694 B697:B698 C697 T697:T698 C699:C701 D699:I703 J699:M699 N699:N703 B700 T700 B703:B704 C703 T703:T704 C705:C707 D705:I709 J705:M705 N705:N709 B706 T706 B709:B710 C709 T709:T710 C711:C713 D711:I715 J711:M711 N711:N715 B712 T712 B715:B716 C715 T715:T716 C717:C719 D717:I721 J717:M717 N717:N721 B718 T718 B721:B722 C721 T721:T722 C723:C725 D723:I727 J723:M723 N723:N727 B724 T724 B727:B728 C727 T727:T728 C729:C731 D729:I733 J729:M729 N729:N733 B730 T730 B733:B734 C733 T733:T734 C735:C737 D735:I739 J735:M735 N735:N739 B736 T736 B739:B740 C739 T739:T740 C741:C743 D741:I745 J741:M741 N741:N745 B742 T742 B745:B746 C745 T745:T746 C747:C749 D747:I751 J747:M747 N747:N751 B748 T748 B751:B752 C751 T751:T752 C753:C755 D753:I757 J753:M753 N753:N757 B754 T754 B757:B758 C757 T757:T758 C759:C761 D759:I763 J759:M759 N759:N763 B760 T760 B763:B764 C763 T763:T764 C765:C767 D765:I769 J765:M765 N765:N769 B766 T766 B769:B770 C769 T769:T770 C771:C773 D771:I775 J771:M771 N771:N775 B772 T772 B775:B776 C775 T775:T776 C777:C779 D777:I781 J777:M777 N777:N781 B778 T778 B781:B782 C781 T781:T782 C783:C785 D783:I787 J783:M783 N783:N787 B784 T784 B787:B788 C787 T787:T788 C789:C791 D789:I793 J789:M789 N789:N793 B790 T790 B793:B794 C793 T793:T794 C795:C797 D795:I799 J795:M795 N795:N799 B796 T796 B799:B800 C799 T799:T800 C801:C803 D801:I805 J801:M801 N801:N805 B802 T802 B805:B806 C805 T805:T806 C807:C809 D807:I811 J807:M807 N807:N811 B808 T808 B811:B812 C811 T811:T812 C813:C815 D813:I817 J813:M813 N813:N817 B814 T814 B817:B818 C817 T817:T818 C819:C821 D819:I823 J819:M819 N819:N823 B820 T820 B823:B824 C823 T823:T824 C825:C827 D825:I829 J825:M825 N825:N829 B826 T826 B829:B830 C829 T829:T830 C831:C833 D831:I835 J831:M831 N831:N835 B832 T832 B835:B836 C835 T835:T836 C837:C839 D837:I841 J837:M837 N837:N841 B838 T838 B841:B842 C841 T841:T842 C843:C845 D843:I847 J843:M843 N843:N847 B844 T844 B847:C847 T847">
    <cfRule type="cellIs" dxfId="5" priority="81"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4 D290 D296 D302 D308 D314 D320 D326 D332 D338 D344 D350 D356 D362 D368 D374 D380 D386 D392 D398 D404 D410 D416 D422 D428 D434 D440 D446 D452 D458 D464 D470 D476 D482 D488 D494 D500 D506 D512 D518 D524 D530 D536 D542 D548 D554 D560 D566 D572 D578 D584 D590 D596 D602 D608 D614 D620 D626 D632 D638 D644 D650 D656 D662 D668 D674 D680 D686 D692 D698 D704 D710 D716 D722 D728 D734 D740 D746 D752 D758 D764 D770 D776 D782 D788 D794 D800 D806 D812 D818 D824 D830 D836 D842">
    <cfRule type="cellIs" dxfId="5" priority="82" operator="equal">
      <formula>0</formula>
    </cfRule>
  </conditionalFormatting>
  <conditionalFormatting sqref="B14 T14 C15:C17 D15:I19 J15:M15 N15:N19 B16 T16 B19:C19 T19 B44 T44 C45:C47 D45:I49 J45:M45 N45:N49 B46 T46 B49:C49 T49 B74 T74 C75:C77 D75:I79 J75:M75 N75:N79 B76 T76 B79:C79 T79 B104 T104 C105:C107 D105:I109 J105:M105 N105:N109 B106 T106 B109:C109 T109 B134 T134 C135:C137 D135:I139 J135:M135 N135:N139 B136 T136 B139:C139 T139 B164 T164 C165:C167 D165:I169 J165:M165 N165:N169 B166 T166 B169:C169 T169 B194 T194 C195:C197 D195:I199 J195:M195 N195:N199 B196 T196 B199:C199 T199 B254 T254 C255:C257 D255:I259 J255:M255 N255:N259 B256 T256 B259:C259 T259 B284 T284 C285:C287 D285:I289 J285:M285 N285:N289 B286 T286 B289:C289 T289 B314 T314 C315:C317 D315:I319 J315:M315 N315:N319 B316 T316 B319:C319 T319 B344 T344 C345:C347 D345:I349 J345:M345 N345:N349 B346 T346 B349:C349 T349 B374 T374 C375:C377 D375:I379 J375:M375 N375:N379 B376 T376 B379:C379 T379 B404 T404 C405:C407 D405:I409 J405:M405 N405:N409 B406 T406 B409:C409 T409 B434 T434 C435:C437 D435:I439 J435:M435 N435:N439 B436 T436 B439:C439 T439 B464 T464 C465:C467 D465:I469 J465:M465 N465:N469 B466 T466 B469:C469 T469 B494 T494 C495:C497 D495:I498 J495:M495 N495:N499 B496 T496 B499 T499 B524 T524 C525:C527 D525:I529 J525:M525 N525:N529 B526 T526 B529:C529 T529 B554 T554 C555:C557 D555:I559 J555:M555 N555:N559 B556 T556 B559:C559 T559 B584 T584 C585:C587 D585:I589 J585:M585 N585:N589 B586 T586 B589:C589 T589 B614 T614 C615:C617 D615:I619 J615:M615 N615:N619 B616 T616 B619:C619 T619 B644 T644 C645:C647 D645:I649 J645:M645 N645:N649 B646 T646 B649:C649 T649 B674 T674 C675:C677 D675:I679 J675:M675 N675:N679 B676 T676 B679:C679 T679 B704 T704 C705:C707 D705:I709 J705:M705 N705:N709 B706 T706 B709:C709 T709 B734 T734 C735:C737 D735:I739 J735:M735 N735:N739 B736 T736 B739:C739 T739 B764 T764 C765:C767 D765:I769 J765:M765 N765:N769 B766 T766 B769:C769 T769 B794 T794 C795:C797 D795:I799 J795:M795 N795:N799 B796 T796 B799:C799 T799 B824 T824 C825:C827 D825:I829 J825:M825 N825:N829 B826 T826 B829:C829 T829">
    <cfRule type="cellIs" dxfId="5" priority="83" operator="equal">
      <formula>0</formula>
    </cfRule>
  </conditionalFormatting>
  <conditionalFormatting sqref="D14 D44 D74 D104 D134 D164 D194 D254 D284 D314 D344 D374 D404 D434 D464 D494 D524 D554 D584 D614 D644 D674 D704 D734 D764 D794 D824">
    <cfRule type="cellIs" dxfId="5" priority="84" operator="equal">
      <formula>0</formula>
    </cfRule>
  </conditionalFormatting>
  <conditionalFormatting sqref="B20 T20 C21:C23 D21:I25 J21:M21 N21:N25 B22 T22 B25:C25 T25 B50 T50 C51:C53 D51:I55 J51:M51 N51:N55 B52 T52 B55:C55 T55 B80 T80 C81:C83 D81:I85 J81:M81 N81:N85 B82 T82 B85:C85 T85 B110 T110 C111:C113 D111:I115 J111:M111 N111:N115 B112 T112 B115:C115 T115 B140 T140 C141:C143 D141:I145 J141:M141 N141:N145 B142 T142 B145:C145 T145 B170 T170 C171:C173 D171:I175 J171:M171 N171:N175 B172 T172 B175:C175 T175 B200 T200 C201:C203 D201:I205 J201:M201 N201:N205 B202 T202 B205:C205 T205 B260 T260 C261:C263 D261:I265 J261:M261 N261:N265 B262 T262 B265:C265 T265 B290 T290 C291:C293 D291:I295 J291:M291 N291:N295 B292 T292 B295:C295 T295 B320 T320 C321:C323 D321:I325 J321:M321 N321:N325 B322 T322 B325:C325 T325 B350 T350 C351:C353 D351:I355 J351:M351 N351:N355 B352 T352 B355:C355 T355 B380 T380 C381:C383 D381:I385 J381:M381 N381:N385 B382 T382 B385:C385 T385 B410 T410 C411:C413 D411:I415 J411:M411 N411:N415 B412 T412 B415:C415 T415 B440 T440 C441:C443 D441:I445 J441:M441 N441:N445 B442 T442 B445:C445 T445 B470 T470 C471:C473 D471:I475 J471:M471 N471:N475 B472 T472 B475:C475 T475 B500 T500 C501:C503 D501:I505 J501:M501 N501:N505 B502 T502 B505:C505 T505 B530 T530 C531:C533 D531:I535 J531:M531 N531:N535 B532 T532 B535:C535 T535 B560 T560 C561:C563 D561:I565 J561:M561 N561:N565 B562 T562 B565:C565 T565 B590 T590 C591:C593 D591:I595 J591:M591 N591:N595 B592 T592 B595:C595 T595 B620 T620 C621:C623 D621:I625 J621:M621 N621:N625 B622 T622 B625:C625 T625 B650 T650 C651:C653 D651:I655 J651:M651 N651:N655 B652 T652 B655:C655 T655 B680 T680 C681:C683 D681:I685 J681:M681 N681:N685 B682 T682 B685:C685 T685 B710 T710 C711:C713 D711:I715 J711:M711 N711:N715 B712 T712 B715:C715 T715 B740 T740 C741:C743 D741:I745 J741:M741 N741:N745 B742 T742 B745:C745 T745 B770 T770 C771:C773 D771:I775 J771:M771 N771:N775 B772 T772 B775:C775 T775 B800 T800 C801:C803 D801:I805 J801:M801 N801:N805 B802 T802 B805:C805 T805 B830 T830 C831:C833 D831:I835 J831:M831 N831:N835 B832 T832 B835:C835 T835">
    <cfRule type="cellIs" dxfId="5" priority="85" operator="equal">
      <formula>0</formula>
    </cfRule>
  </conditionalFormatting>
  <conditionalFormatting sqref="D20 D50 D80 D110 D140 D170 D200 D260 D290 D320 D350 D380 D410 D416 D440 D470 D500 D530 D560 D590 D620 D650 D680 D710 D740 D770 D800 D830">
    <cfRule type="cellIs" dxfId="5" priority="86" operator="equal">
      <formula>0</formula>
    </cfRule>
  </conditionalFormatting>
  <conditionalFormatting sqref="B26 T26 C27:C29 D27:I31 J27:M27 N27:N31 B28 T28 B31:C31 T31 B56 T56 C57:C59 D57:I61 J57:M57 N57:N61 B58 T58 B61:C61 T61 B86 T86 C87:C89 D87:I91 J87:M87 N87:N91 B88 T88 B91:C91 T91 B116 T116 C117:C119 D117:I121 J117:M117 N117:N121 B118 T118 B121:C121 T121 B146 T146 C147:C149 D147:I151 J147:M147 N147:N151 B148 T148 B151:C151 T151 B176 T176 C177:C179 D177:I181 J177:M177 N177:N181 B178 T178 B181:C181 T181 B206 T206 C207:C209 D207:I211 J207:M207 N207:N211 B208 T208 B211:C211 T211 B266 T266 C267:C269 D267:I270 J267:M267 N267:N271 B268 T268 B271 T271 B278 C279:C281 D279:I283 J279:M279 N279:N283 B280 B283:C283 B290 C291:C293 D291:I295 J291:M291 N291:N295 B292 B295:B296 C295 T296 C297:C299 D297:I301 J297:M297 N297:N301 B298 T298 B301:B302 C301 T301 C303:C305 D303:I307 J303:M303 N303:N307 B304 B307:C307 B326 T326 C327:C329 D327:I330 J327:M327 N327:N331 B328 T328 B331 T331 B356 T356 C357:C359 D357:I361 J357:M357 N357:N361 B358 T358 B361:C361 T361 B386 T386 C387:C389 D387:I391 J387:M387 N387:N391 B388 T388 B391:C391 T391 B416 T416 C417:C419 D417:I421 J417:M417 N417:N421 B418 T418 B421:C421 T421 B446 T446 C447:C449 D447:I451 J447:M447 N447:N451 B448 T448 B451:C451 T451 B476 T476 C477:C479 D477:I481 J477:M477 N477:N481 B478 T478 B481:C481 T481 B506 T506 C507:C509 D507:I511 J507:M507 N507:N511 B508 T508 B511:C511 T511 B536 T536 C537:C539 D537:I541 J537:M537 N537:N541 B538 T538 B541:C541 T541 B566 T566 C567:C569 D567:I571 J567:M567 N567:N571 B568 T568 B571:C571 T571 B596 T596 C597:C599 D597:I601 J597:M597 N597:N601 B598 T598 B601:C601 T601 B626 T626 C627:C629 D627:I631 J627:M627 N627:N631 B628 T628 B631:C631 T631 B656 T656 C657:C659 D657:I661 J657:M657 N657:N661 B658 T658 B661:C661 T661 B686 T686 C687:C689 D687:I691 J687:M687 N687:N691 B688 T688 B691:C691 T691 B716 T716 C717:C719 D717:I721 J717:M717 N717:N721 B718 T718 B721:C721 T721 B746 T746 C747:C749 D747:I751 J747:M747 N747:N751 B748 T748 B751:C751 T751 B776 T776 C777:C779 D777:I781 J777:M777 N777:N781 B778 T778 B781:C781 T781 B806 T806 C807:C809 D807:I811 J807:M807 N807:N811 B808 T808 B811:C811 T811 B836 T836 C837:C839 D837:I841 J837:M837 N837:N841 B838 T838 B841:C841 T841">
    <cfRule type="cellIs" dxfId="5" priority="87" operator="equal">
      <formula>0</formula>
    </cfRule>
  </conditionalFormatting>
  <conditionalFormatting sqref="D26 D56 D86 D116 D146 D176 D206 D266 D278 D290 D296 D302 D326 D356 D386 D416 D446 D476 D506 D536 D566 D596 D626 D656 D686 D716 D746 D776 D806 D836">
    <cfRule type="cellIs" dxfId="5" priority="88" operator="equal">
      <formula>0</formula>
    </cfRule>
  </conditionalFormatting>
  <conditionalFormatting sqref="B32 T32 C33:C35 D33:I37 J33:M33 N33:N37 B34 T34 B37:C37 T37 B62 T62 C63:C65 D63:I67 J63:M63 N63:N67 B64 T64 B67:C67 T67 B92 T92 C93:C95 D93:I97 J93:M93 N93:N97 B94 T94 B97:C97 T97 B122 T122 C123:C125 D123:I127 J123:M123 N123:N127 B124 T124 B127:C127 T127 B152 T152 C153:C155 D153:I157 J153:M153 N153:N157 B154 T154 B157:C157 T157 B182 T182 C183:C185 D183:I187 J183:M183 N183:N187 B184 T184 B187:C187 T187 B212 T212 C213:C215 D213:I217 J213:M213 N213:N217 B214 T214 B217:B218 C217 T217:T218 C219:C221 D219:I223 J219:M219 N219:N223 B220 T220 B223:B224 C223 T223:T224 C225:C227 D225:I229 J225:M225 N225:N229 B226 T226 B229:B230 C229 T229:T230 C231:C233 D231:I235 J231:M231 N231:N235 B232 T232 B235:B236 C235 T235:T236 C237:C239 D237:I241 J237:M237 N237:N241 B238 T238 B241:B242 C241 T241:T242 C243:C245 D243:I246 J243:M243 N243:N246 B244 T244 B272 T272 C273:C275 D273:I277 J273:M273 N273:N277 B274 T274 B277:C277 T277 B284 C285:C287 D285:I289 J285:M285 N285:N289 B286 B289:C289 B296 C297:C299 D297:I301 J297:M297 N297:N301 B298 B301:B302 C301 T302 C303:C305 D303:I307 J303:M303 N303:N307 B304 T304 B307:B308 C307 T307 C309:C311 D309:I313 J309:M309 N309:N313 B310 B313:C313 B332 T332 C333:C335 D333:I337 J333:M333 N333:N337 B334 T334 B337:C337 T337 B362 T362 C363:C365 D363:I367 J363:M363 N363:N367 B364 T364 B367:C367 T367 B392 T392 C393:C395 D393:I397 J393:M393 N393:N397 B394 T394 B397:C397 T397 B422 T422 C423:C425 D423:I427 J423:M423 N423:N427 B424 T424 B427:C427 T427 B452 T452 C453:C455 D453:I457 J453:M453 N453:N457 B454 T454 B457:C457 T457 B482 T482 C483:C485 D483:I486 J483:M483 N483:N487 B484 T484 B487 T487 C499:I499 B512 T512 C513:C515 D513:I517 J513:M513 N513:N517 B514 T514 B517:C517 T517 B542 T542 C543:C545 D543:I547 J543:M543 N543:N547 B544 T544 B547:C547 T547 B572 T572 C573:C575 D573:I577 J573:M573 N573:N577 B574 T574 B577:C577 T577 B602 T602 C603:C605 D603:I607 J603:M603 N603:N607 B604 T604 B607:C607 T607 B632 T632 C633:C635 D633:I637 J633:M633 N633:N637 B634 T634 B637:C637 T637 B662 T662 C663:C665 D663:I667 J663:M663 N663:N667 B664 T664 B667:C667 T667 B692 T692 C693:C695 D693:I697 J693:M693 N693:N697 B694 T694 B697:C697 T697 B722 T722 C723:C725 D723:I727 J723:M723 N723:N727 B724 T724 B727:C727 T727 B752 T752 C753:C755 D753:I757 J753:M753 N753:N757 B754 T754 B757:C757 T757 B782 T782 C783:C785 D783:I787 J783:M783 N783:N787 B784 T784 B787:C787 T787 B812 T812 C813:C815 D813:I817 J813:M813 N813:N817 B814 T814 B817:C817 T817 B842 T842 C843:C845 D843:I847 J843:M843 N843:N847 B844 T844 B847:C847 T847">
    <cfRule type="cellIs" dxfId="5" priority="89" operator="equal">
      <formula>0</formula>
    </cfRule>
  </conditionalFormatting>
  <conditionalFormatting sqref="D32 D62 D92 D122 D152 D182 D212 D218 D224 D230 D236 D242 D272 D284 D296 D302 D308 D332 D362 D392 D422 D452 D482 D512 D542 D572 D602 D632 D662 D692 D722 D752 D782 D812 D842">
    <cfRule type="cellIs" dxfId="5" priority="90" operator="equal">
      <formula>0</formula>
    </cfRule>
  </conditionalFormatting>
  <conditionalFormatting sqref="B278 T278 C279:C281 D279:I282 J279:M279 N279:N282 B280 T280">
    <cfRule type="cellIs" dxfId="5" priority="91" operator="equal">
      <formula>0</formula>
    </cfRule>
  </conditionalFormatting>
  <conditionalFormatting sqref="D278">
    <cfRule type="cellIs" dxfId="5" priority="92" operator="equal">
      <formula>0</formula>
    </cfRule>
  </conditionalFormatting>
  <conditionalFormatting sqref="B283 T283 C284:C286 D284:I288 J284:M284 N284:N288 B285 T285 B288 T288">
    <cfRule type="cellIs" dxfId="5" priority="93" operator="equal">
      <formula>0</formula>
    </cfRule>
  </conditionalFormatting>
  <conditionalFormatting sqref="D283">
    <cfRule type="cellIs" dxfId="5" priority="94" operator="equal">
      <formula>0</formula>
    </cfRule>
  </conditionalFormatting>
  <conditionalFormatting sqref="B289 T289 C290:C292 D290:I294 J290:M290 N290:N294 B291 T291 B294 T294">
    <cfRule type="cellIs" dxfId="5" priority="95" operator="equal">
      <formula>0</formula>
    </cfRule>
  </conditionalFormatting>
  <conditionalFormatting sqref="D289">
    <cfRule type="cellIs" dxfId="5" priority="96" operator="equal">
      <formula>0</formula>
    </cfRule>
  </conditionalFormatting>
  <conditionalFormatting sqref="B295 T295 C296:C298 D296:I300 J296:M296 N296:N300 B297 T297 B300 T300">
    <cfRule type="cellIs" dxfId="5" priority="97" operator="equal">
      <formula>0</formula>
    </cfRule>
  </conditionalFormatting>
  <conditionalFormatting sqref="D295">
    <cfRule type="cellIs" dxfId="5" priority="98" operator="equal">
      <formula>0</formula>
    </cfRule>
  </conditionalFormatting>
  <conditionalFormatting sqref="B301 T301 C302:C304 D302:I306 J302:M302 N302:N306 B303 T303 B306 T306 B361 T361 C362:C364 D362:I366 J362:M362 N362:N366 B363 T363 B366 T366 B421 T421 C422:C424 D422:I426 J422:M422 N422:N426 B423 T423 B426 T426 B481 T481 C482:C484 D482:I486 J482:M482 N482:N486 B483 T483 B486 T486 B541 T541 C542:C544 D542:I546 J542:M542 N542:N546 B543 T543 B546 T546 B601 T601 C602:C604 D602:I606 J602:M602 N602:N606 B603 T603 B606 T606 B661 T661 C662:C664 D662:I666 J662:M662 N662:N666 B663 T663 B666 T666 B697 T697 C698:C700 D698:I702 J698:M698 N698:N702 B699 T699 B702 T702 B733 T733 C734:C736 D734:I738 J734:M734 N734:N738 B735 T735 B738 T738 B769 T769 C770:C772 D770:I774 J770:M770 N770:N774 B771 T771 B774 T774 B805 T805 C806:C808 D806:I810 J806:M806 N806:N810 B807 T807 B810 T810">
    <cfRule type="cellIs" dxfId="5" priority="99" operator="equal">
      <formula>0</formula>
    </cfRule>
  </conditionalFormatting>
  <conditionalFormatting sqref="D301 D361 D421 D481 D541 D601 D661 D697 D733 D769 D805">
    <cfRule type="cellIs" dxfId="5" priority="100" operator="equal">
      <formula>0</formula>
    </cfRule>
  </conditionalFormatting>
  <conditionalFormatting sqref="B307 T307 C308:C310 D308:I312 J308:M308 N308:N312 B309 T309 B312 T312 B367 T367 C368:C370 D368:I372 J368:M368 N368:N372 B369 T369 B372 T372 B427 T427 C428:C430 D428:I432 J428:M428 N428:N432 B429 T429 B432 T432 B487 T487 C488:C490 D488:I492 J488:M488 N488:N492 B489 T489 B492 T492 B547 T547 C548:C550 D548:I552 J548:M548 N548:N552 B549 T549 B552 T552 B607 T607 C608:C610 D608:I612 J608:M608 N608:N612 B609 T609 B612 T612 B667 T667 C668:C670 D668:I672 J668:M668 N668:N672 B669 T669 B672 T672 B703 T703 C704:C706 D704:I708 J704:M704 N704:N708 B705 T705 B708 T708 B739 T739 C740:C742 D740:I744 J740:M740 N740:N744 B741 T741 B744 T744 B775 T775 C776:C778 D776:I780 J776:M776 N776:N780 B777 T777 B780 T780 B811 T811 C812:C814 D812:I816 J812:M812 N812:N816 B813 T813 B816 T816">
    <cfRule type="cellIs" dxfId="5" priority="101" operator="equal">
      <formula>0</formula>
    </cfRule>
  </conditionalFormatting>
  <conditionalFormatting sqref="D307 D367 D427 D547 D607 D667 D703 D739 D775 D811">
    <cfRule type="cellIs" dxfId="5" priority="102" operator="equal">
      <formula>0</formula>
    </cfRule>
  </conditionalFormatting>
  <conditionalFormatting sqref="J9 J15 J21 J27 J33 J39 J45 J51 J57 J63 J69 J75 J81 J87 J93 J99 J105 J111 J117 J123 J129 J135 J141 J147 J153 J159 J165 J171 J177 J183 J189 J195 J201 J207 J213 J219 J225 J231 J237 J243 B313 T313 C314:C316 D314:I318 J314:M314 N314:N318 B315 T315 B318 T318 J320 J326 J332 J338 J344 J350 J356 J362 J368 B373 T373 C374:C376 D374:I378 J374:M374 N374:N378 B375 T375 B378 T378 J380 J386 J392 J398 J404 J410 J416 J422 J428 B433 T433 C434:C436 D434:I438 J434:M434 N434:N438 B435 T435 B438 T438 J440 J446 J452 J458 J464 J470 J476 J482 J488 B493 T493 C494:C496 D494:I498 J494:M494 N494:N498 B495 T495 B498 T498 J500 J506 J512 J518 J524 J530 J536 J542 J548 B553 T553 C554:C556 D554:I558 J554:M554 N554:N558 B555 T555 B558 T558 J560 J566 J572 J578 J584 J590 J596 J602 J608 B613 T613 C614:C616 D614:I618 J614:M614 N614:N618 B615 T615 B618 T618 J620 J626 J632 J638 J644 J650 J656 J662 J668 B673 T673 C674:C676 D674:I678 J674:M674 N674:N678 B675 T675 B678 T678 J680 J686 J692 J698 J704 B709 T709 C710:C712 D710:I714 J710:M710 N710:N714 B711 T711 B714 T714 J716 J722 J728 J734 J740 B745 T745 C746:C748 D746:I750 J746:M746 N746:N750 B747 T747 B750 T750 J752 J758 J764 J770 J776 B781 T781 C782:C784 D782:I786 J782:M782 N782:N786 B783 T783 B786 T786 J788 J794 J800 J806 J812 B817 T817 C818:C820 D818:I822 J818:M818 N818:N822 B819 T819 B822 T822 J824 J830 J836">
    <cfRule type="cellIs" dxfId="5" priority="103" operator="equal">
      <formula>0</formula>
    </cfRule>
  </conditionalFormatting>
  <conditionalFormatting sqref="D313 D373 D433 D553 D613 D673 D709 D745 D781 D817">
    <cfRule type="cellIs" dxfId="5" priority="104" operator="equal">
      <formula>0</formula>
    </cfRule>
  </conditionalFormatting>
  <conditionalFormatting sqref="B319 T319 C320:C322 D320:I324 J320:M320 N320:N324 B321 T321 B324 T324 B379 T379 C380:C382 D380:I384 J380:M380 N380:N384 B381 T381 B384 T384 B439 T439 C440:C442 D440:I444 J440:M440 N440:N444 B441 T441 B444 T444 B499 T499 C500:C502 D500:I504 J500:M500 N500:N504 B501 T501 B504 T504 B559 T559 C560:C562 D560:I564 J560:M560 N560:N564 B561 T561 B564 T564 B619 T619 C620:C622 D620:I624 J620:M620 N620:N624 B621 T621 B624 T624 B679 T679 C680:C682 D680:I684 J680:M680 N680:N684 B681 T681 B684 T684 B715 T715 C716:C718 D716:I720 J716:M716 N716:N720 B717 T717 B720 T720 B751 T751 C752:C754 D752:I756 J752:M752 N752:N756 B753 T753 B756 T756 B787 T787 C788:C790 D788:I792 J788:M788 N788:N792 B789 T789 B792 T792 B823 T823 C824:C826 D824:I828 J824:M824 N824:N828 B825 T825 B828 T828">
    <cfRule type="cellIs" dxfId="5" priority="105" operator="equal">
      <formula>0</formula>
    </cfRule>
  </conditionalFormatting>
  <conditionalFormatting sqref="D319 D379 D439 D559 D619 D679 D715 D751 D787 D823">
    <cfRule type="cellIs" dxfId="5" priority="106" operator="equal">
      <formula>0</formula>
    </cfRule>
  </conditionalFormatting>
  <conditionalFormatting sqref="B325 T325 C326:C328 D326:I330 J326:M326 N326:N330 B327 T327 B330 T330 B385 T385 C386:C388 D386:I390 J386:M386 N386:N390 B387 T387 B390 T390 B445 T445 C446:C448 D446:I450 J446:M446 N446:N450 B447 T447 B450 T450 B505 T505 C506:C508 D506:I510 J506:M506 N506:N510 B507 T507 B510 T510 B565 T565 C566:C568 D566:I570 J566:M566 N566:N570 B567 T567 B570 T570 B625 T625 C626:C628 D626:I630 J626:M626 N626:N630 B627 T627 B630 T630 B685 T685 C686:C688 D686:I690 J686:M686 N686:N690 B687 T687 B690 T690 B721 T721 C722:C724 D722:I726 J722:M722 N722:N726 B723 T723 B726 T726 B757 T757 C758:C760 D758:I762 J758:M758 N758:N762 B759 T759 B762 T762 B793 T793 C794:C796 D794:I798 J794:M794 N794:N798 B795 T795 B798 T798 B829 T829 C830:C832 D830:I834 J830:M830 N830:N834 B831 T831 B834 T834">
    <cfRule type="cellIs" dxfId="5" priority="107" operator="equal">
      <formula>0</formula>
    </cfRule>
  </conditionalFormatting>
  <conditionalFormatting sqref="D325 D385 D445 D505 D565 D625 D685 D721 D757 D793 D829">
    <cfRule type="cellIs" dxfId="5" priority="108" operator="equal">
      <formula>0</formula>
    </cfRule>
  </conditionalFormatting>
  <conditionalFormatting sqref="B331 T331 C332:C334 D332:I336 J332:M332 N332:N336 B333 T333 B336 T336 B391 T391 C392:C394 D392:I396 J392:M392 N392:N396 B393 T393 B396 T396 B451 T451 C452:C454 D452:I456 J452:M452 N452:N456 B453 T453 B456 T456 B511 T511 C512:C514 D512:I516 J512:M512 N512:N516 B513 T513 B516 T516 B571 T571 C572:C574 D572:I576 J572:M572 N572:N576 B573 T573 B576 T576 B631 T631 C632:C634 D632:I636 J632:M632 N632:N636 B633 T633 B636 T636 B691 T691 C692:C694 D692:I696 J692:M692 N692:N696 B693 T693 B696 T696 B727 T727 C728:C730 D728:I732 J728:M728 N728:N732 B729 T729 B732 T732 B763 T763 C764:C766 D764:I768 J764:M764 N764:N768 B765 T765 B768 T768 B799 T799 C800:C802 D800:I804 J800:M800 N800:N804 B801 T801 B804 T804 B835 T835 C836:C838 D836:I840 J836:M836 N836:N840 B837 T837 B840 T840">
    <cfRule type="cellIs" dxfId="5" priority="109" operator="equal">
      <formula>0</formula>
    </cfRule>
  </conditionalFormatting>
  <conditionalFormatting sqref="D391 D451 D511 D571 D631 D691 D727 D763 D799 D835">
    <cfRule type="cellIs" dxfId="5" priority="110" operator="equal">
      <formula>0</formula>
    </cfRule>
  </conditionalFormatting>
  <conditionalFormatting sqref="B337 T337 C338:C340 D338:I342 J338:M338 N338:N342 B339 T339 B342 T342 B397 T397 C398:C400 D398:I402 J398:M398 N398:N402 B399 T399 B402 T402 B457 T457 C458:C460 D458:I462 J458:M458 N458:N462 B459 T459 B462 T462 B517 T517 C518:C520 D518:I522 J518:M518 N518:N522 B519 T519 B522 T522 B577 T577 C578:C580 D578:I582 J578:M578 N578:N582 B579 T579 B582 T582 B637 T637 C638:C640 D638:I642 J638:M638 N638:N642 B639 T639 B642 T642">
    <cfRule type="cellIs" dxfId="5" priority="111" operator="equal">
      <formula>0</formula>
    </cfRule>
  </conditionalFormatting>
  <conditionalFormatting sqref="D337 D397 D457 D517 D577 D637">
    <cfRule type="cellIs" dxfId="5" priority="112" operator="equal">
      <formula>0</formula>
    </cfRule>
  </conditionalFormatting>
  <conditionalFormatting sqref="B343 T343 C344:C346 D344:I348 J344:M344 N344:N348 B345 T345 B348 T348 B403 T403 C404:C406 D404:I408 J404:M404 N404:N408 B405 T405 B408 T408 B463 T463 C464:C466 D464:I468 J464:M464 N464:N468 B465 T465 B468 T468 B523 T523 C524:C526 D524:I528 J524:M524 N524:N528 B525 T525 B528 T528 B583 T583 C584:C586 D584:I588 J584:M584 N584:N588 B585 T585 B588 T588 B643 T643 C644:C646 D644:I648 J644:M644 N644:N648 B645 T645 B648 T648">
    <cfRule type="cellIs" dxfId="5" priority="113" operator="equal">
      <formula>0</formula>
    </cfRule>
  </conditionalFormatting>
  <conditionalFormatting sqref="D343 D403 D463 D523 D583 D643">
    <cfRule type="cellIs" dxfId="5" priority="114" operator="equal">
      <formula>0</formula>
    </cfRule>
  </conditionalFormatting>
  <conditionalFormatting sqref="B349 T349 C350:C352 D350:I354 J350:M350 N350:N354 B351 T351 B354 T354 B409 T409 C410:C412 D410:I414 J410:M410 N410:N414 B411 T411 B414 T414 D416 D440 B469 T469 C470:C472 D470:I474 J470:M470 N470:N474 B471 T471 B474 T474 B529 T529 C530:C532 D530:I534 J530:M530 N530:N534 B531 T531 B534 T534 B589 T589 C590:C592 D590:I594 J590:M590 N590:N594 B591 T591 B594 T594 B649 T649 C650:C652 D650:I654 J650:M650 N650:N654 B651 T651 B654 T654">
    <cfRule type="cellIs" dxfId="5" priority="115" operator="equal">
      <formula>0</formula>
    </cfRule>
  </conditionalFormatting>
  <conditionalFormatting sqref="D349 D409 D469 D529 D589 D649">
    <cfRule type="cellIs" dxfId="5" priority="116" operator="equal">
      <formula>0</formula>
    </cfRule>
  </conditionalFormatting>
  <conditionalFormatting sqref="B355 T355 C356:C358 D356:I360 J356:M356 N356:N360 B357 T357 B360 T360 B415 T415 C416:C418 D416:I420 J416:M416 N416:N420 B417 T417 B420 T420 B475 T475 C476:C478 D476:I480 J476:M476 N476:N480 B477 T477 B480 T480 B535 T535 C536:C538 D536:I540 J536:M536 N536:N540 B537 T537 B540 T540 B595 T595 C596:C598 D596:I600 J596:M596 N596:N600 B597 T597 B600 T600 B655 T655 C656:C658 D656:I660 J656:M656 N656:N660 B657 T657 B660 T660">
    <cfRule type="cellIs" dxfId="5" priority="117" operator="equal">
      <formula>0</formula>
    </cfRule>
  </conditionalFormatting>
  <conditionalFormatting sqref="D355 D415 D475 D535 D595 D655">
    <cfRule type="cellIs" dxfId="5" priority="118" operator="equal">
      <formula>0</formula>
    </cfRule>
  </conditionalFormatting>
  <conditionalFormatting sqref="B361 T361 C362:C364 D362:I366 J362:M362 N362:N366 B363 T363 B366 T366">
    <cfRule type="cellIs" dxfId="5" priority="119" operator="equal">
      <formula>0</formula>
    </cfRule>
  </conditionalFormatting>
  <conditionalFormatting sqref="D361">
    <cfRule type="cellIs" dxfId="5" priority="120" operator="equal">
      <formula>0</formula>
    </cfRule>
  </conditionalFormatting>
  <conditionalFormatting sqref="B367 T367 C368:C370 D368:I372 J368:M368 N368:N372 B369 T369 B372 T372 B397 C398:C400 D398:I402 J398:M398 N398:N402 B399 B402 B427 C428:C430 D428:I432 J428:M428 N428:N432 B429 B432 T432 B457 C458:C460 D458:I462 J458:M458 N458:N462 B459 B462 B487 C488:C490 D488:I492 J488:M488 N488:N492 B489 B492 T492 B511 C512:C514 D512:I516 J512:M512 N512:N516 B513 B516:B517 T516 C518:C520 D518:I522 J518:M518 N518:N522 B519 B522 B535 C536:C538 D536:I540 J536:M536 N536:N540 B537 B540 T540 B547 C548:C550 D548:I552 J548:M548 N548:N552 B549 B552 T552 B559 C560:C562 D560:I564 J560:M560 N560:N564 B561 B564 T564 B577 C578:C580 D578:I582 J578:M578 N578:N582 B579 B582:B583 C584:C586 D584:I588 J584:M584 N584:N588 B585 B588 T588 B607 C608:C610 D608:I612 J608:M608 N608:N612 B609 B612 T612 B667 C668:C670 D668:I672 J668:M668 N668:N672 B669 B672 T672 B703 C704:C706 D704:I708 J704:M704 N704:N708 B705 B708 T708 B739 C740:C742 D740:I744 J740:M740 N740:N744 B741 B744 T744 B775 C776:C778 D776:I780 J776:M776 N776:N780 B777 B780 T780 B811 C812:C814 D812:I816 J812:M812 N812:N816 B813 B816 T816">
    <cfRule type="cellIs" dxfId="5" priority="121" operator="equal">
      <formula>0</formula>
    </cfRule>
  </conditionalFormatting>
  <conditionalFormatting sqref="D367 D397 D427 D457 D511 D517 D535 D547 D559 D577 D583 D607 D667 D703 D739 D775 D811">
    <cfRule type="cellIs" dxfId="5" priority="122" operator="equal">
      <formula>0</formula>
    </cfRule>
  </conditionalFormatting>
  <conditionalFormatting sqref="B373 T373 C374:C376 D374:I378 J374:M374 N374:N378 B375 T375 B378 T378 B403 C404:C406 D404:I408 J404:M404 N404:N408 B405 B408 B433 T433 C434:C436 D434:I438 J434:M434 N434:N438 B435 T435 B438 T438 B463 C464:C466 D464:I468 J464:M464 N464:N468 B465 B468 B493 T493 C494:C496 D494:I498 J494:M494 N494:N498 B495 T495 B498 T498 B517 T517 C518:C520 D518:I522 J518:M518 N518:N522 B519 T519 B522:B523 T522 C524:C526 D524:I528 J524:M524 N524:N528 B525 B528 B541 T541 C542:C544 D542:I546 J542:M542 N542:N546 B543 T543 B546 T546 B553 T553 C554:C556 D554:I558 J554:M554 N554:N558 B555 T555 B558 T558 B565 T565 C566:C568 D566:I570 J566:M566 N566:N570 B567 T567 B570 T570 B583 C584:C586 D584:I588 J584:M584 N584:N588 B585 B588:B589 T589 C590:C592 D590:I594 J590:M590 N590:N594 B591 T591 B594 T594 B613 T613 C614:C616 D614:I618 J614:M614 N614:N618 B615 T615 B618 T618 B673 T673 C674:C676 D674:I678 J674:M674 N674:N678 B675 T675 B678 T678 B709 T709 C710:C712 D710:I714 J710:M710 N710:N714 B711 T711 B714 T714 B745 T745 C746:C748 D746:I750 J746:M746 N746:N750 B747 T747 B750 T750 B781 T781 C782:C784 D782:I786 J782:M782 N782:N786 B783 T783 B786 T786 B817 T817 C818:C820 D818:I822 J818:M818 N818:N822 B819 T819 B822 T822">
    <cfRule type="cellIs" dxfId="5" priority="123" operator="equal">
      <formula>0</formula>
    </cfRule>
  </conditionalFormatting>
  <conditionalFormatting sqref="D373 D403 D433 D463 D517 D523 D541 D553 D565 D583 D589 D613 D673 D709 D745 D781 D817">
    <cfRule type="cellIs" dxfId="5" priority="124" operator="equal">
      <formula>0</formula>
    </cfRule>
  </conditionalFormatting>
  <conditionalFormatting sqref="B379 T379 C380:C382 D380:I384 J380:M380 N380:N384 B381 T381 B384 T384 B409 C410:C412 D410:I414 J410:M410 N410:N414 B411 B414 D416 B439 T439 C440:C442 D440:I444 J440:M440 N440:N444 B441 T441 B444 T444 B469 C470:C472 D470:I474 J470:M470 N470:N474 B471 B474 B499 T499 C500:C502 D500:I504 J500:M500 N500:N504 B501 T501 B504 T504 B523 T523 C524:C526 D524:I528 J524:M524 N524:N528 B525 T525 B528:B529 T528 C530:C532 D530:I534 J530:M530 N530:N534 B531 B534 B547 T547 C548:C550 D548:I552 J548:M548 N548:N552 B549 T549 B552 T552 B559 T559 C560:C562 D560:I564 J560:M560 N560:N564 B561 T561 B564 T564 B571 T571 C572:C574 D572:I576 J572:M572 N572:N576 B573 T573 B576 T576 B589 C590:C592 D590:I594 J590:M590 N590:N594 B591 B594:B595 T595 C596:C598 D596:I600 J596:M596 N596:N600 B597 T597 B600 T600 B619 T619 C620:C622 D620:I624 J620:M620 N620:N624 B621 T621 B624 T624 B679 T679 C680:C682 D680:I684 J680:M680 N680:N684 B681 T681 B684 T684 B715 T715 C716:C718 D716:I720 J716:M716 N716:N720 B717 T717 B720 T720 B751 T751 C752:C754 D752:I756 J752:M752 N752:N756 B753 T753 B756 T756 B787 T787 C788:C790 D788:I792 J788:M788 N788:N792 B789 T789 B792 T792 B823 T823 C824:C826 D824:I828 J824:M824 N824:N828 B825 T825 B828 T828">
    <cfRule type="cellIs" dxfId="5" priority="125" operator="equal">
      <formula>0</formula>
    </cfRule>
  </conditionalFormatting>
  <conditionalFormatting sqref="D379 D409 D439 D469 D523 D529 D547 D559 D571 D589 D595 D619 D679 D715 D751 D787 D823">
    <cfRule type="cellIs" dxfId="5" priority="126" operator="equal">
      <formula>0</formula>
    </cfRule>
  </conditionalFormatting>
  <conditionalFormatting sqref="B385 T385 C386:C388 D386:I390 J386:M386 N386:N390 B387 T387 B390 T390 C392:C394 D392:I396 J392:M392 N392:N396 T394 T397 T404 T411 T414 B415 C416:C418 D416:I420 J416:M416 N416:N420 B417 T418 B420 T421 C422:C424 D422:I426 J422:M422 N422:N426 T428 B445 T445 C446:C448 D446:I450 J446:M446 N446:N450 B447 T447 B450 T450 C452:C454 D452:I456 J452:M452 N452:N456 T454:T455 T457 T462 T464 T469 T471 T474 B475 C476:C478 D476:I480 J476:M476 N476:N480 T476 B477 T478:T479 B480:B481 T481:T486 C482:C484 D482:I486 J482:M482 N482:N486 B483 B486:B487 C488:C490 D488:I492 J488:M488 N488:N492 T488 B489 T490:T491 B492:B493 T493:T494 C494:C496 D494:I498 J494:M494 N494:N498 B495 T496:T497 B498:B499 C500:C502 D500:I504 J500:M500 N500:N504 T500 B501 T502:T503 B504:B505 T505:T510 C506:C508 D506:I510 J506:M506 N506:N510 B507 B510:B511 C512:C514 D512:I516 J512:M512 N512:N516 T512 B513 T514:T515 B516:B517 T517:T518 C518:C520 D518:I522 J518:M518 N518:N522 B519 T520:T521 B522:B523 C524:C526 D524:I528 J524:M524 N524:N528 T524 B525 T526:T527 B528:B529 T529:T534 C530:C532 D530:I534 J530:M530 N530:N534 B531 B534:B535 C536:C538 D536:I540 J536:M536 N536:N540 T536 B537 T538:T539 B540:B541 T541:T542 C542:C544 D542:I546 J542:M542 N542:N546 B543 T544:T545 B546:B547 C548:C550 D548:I552 J548:M548 N548:N552 T548 B549 T550:T551 B552:B553 T553:T558 C554:C556 D554:I558 J554:M554 N554:N558 B555 B558:B559 C560:C562 D560:I564 J560:M560 N560:N564 T560 B561 T562:T563 B564:B565 T565:T570 C566:C568 D566:I570 J566:M566 N566:N570 B567 B570:B571 C572:C574 D572:I576 J572:M572 N572:N576 T572 B573 T574:T575 B576:B577 T577:T582 C578:C580 D578:I582 J578:M578 N578:N582 B579 B582:B583 C584:C586 D584:I588 J584:M584 N584:N588 T584 B585 T586:T587 B588:B589 T589:T594 C590:C592 D590:I594 J590:M590 N590:N594 B591 B594:B595 C596:C598 D596:I600 J596:M596 N596:N600 T596 B597 T598:T599 B600:B601 T601:T606 C602:C604 D602:I606 J602:M602 N602:N606 B603 B606:B607 C608:C610 D608:I612 J608:M608 N608:N612 T608 B609 T610:T611 B612:B613 T613:T614 C614:C616 D614:I618 J614:M614 N614:N618 B615 T616:T617 B618:B619 C620:C622 D620:I624 J620:M620 N620:N624 T620 B621 T622:T623 B624 T626 T638 T642 T650 T654 T658 B661 T661:T666 C662:C664 D662:I666 J662:M662 N662:N666 B663 B666:B667 C668:C670 D668:I672 J668:M668 N668:N672 T668 B669 T670:T671 B672:B673 T673:T674 C674:C676 D674:I678 J674:M674 N674:N678 B675 T676:T677 B678:B679 C680:C682 D680:I684 J680:M680 N680:N684 T680 B681 T682:T683 B684 T686 B697 T697:T702 C698:C700 D698:I702 J698:M698 N698:N702 B699 B702:B703 C704:C706 D704:I708 J704:M704 N704:N708 T704 B705 T706:T707 B708:B709 T709:T710 C710:C712 D710:I714 J710:M710 N710:N714 B711 T712:T713 B714:B715 C716:C718 D716:I720 J716:M716 N716:N720 T716 B717 T718:T719 B720 T722 B733 T733:T738 C734:C736 D734:I738 J734:M734 N734:N738 B735 B738:B739 C740:C742 D740:I744 J740:M740 N740:N744 T740 B741 T742:T743 B744:B745 T745:T746 C746:C748 D746:I750 J746:M746 N746:N750 B747 T748:T749 B750:B751 C752:C754 D752:I756 J752:M752 N752:N756 T752 B753 T754:T755 B756 T758 B769 T769:T774 C770:C772 D770:I774 J770:M770 N770:N774 B771 B774:B775 C776:C778 D776:I780 J776:M776 N776:N780 T776 B777 T778:T779 B780:B781 T781:T782 C782:C784 D782:I786 J782:M782 N782:N786 B783 T784:T785 B786:B787 C788:C790 D788:I792 J788:M788 N788:N792 T788 B789 T790:T791 B792 T794 B805 T805:T810 C806:C808 D806:I810 J806:M806 N806:N810 B807 B810:B811 C812:C814 D812:I816 J812:M812 N812:N816 T812 B813 T814:T815 B816:B817 T817:T818 C818:C820 D818:I822 J818:M818 N818:N822 B819 T820:T821 B822:B823 C824:C826 D824:I828 J824:M824 N824:N828 T824 B825 T826:T827 B828 T830">
    <cfRule type="cellIs" dxfId="5" priority="127" operator="equal">
      <formula>0</formula>
    </cfRule>
  </conditionalFormatting>
  <conditionalFormatting sqref="D385 D391 D415 D421 D445 D451 D475 D481 D505 D511 D517 D523 D529 D535 D541 D547 D553 D559 D565 D571 D577 D583 D589 D595 D601 D607 D613 D619 D661 D667 D673 D679 D697 D703 D709 D715 D733 D739 D745 D751 D769 D775 D781 D787 D805 D811 D817 D823">
    <cfRule type="cellIs" dxfId="5" priority="128" operator="equal">
      <formula>0</formula>
    </cfRule>
  </conditionalFormatting>
  <conditionalFormatting sqref="B391 T391 C392:C394 D392:I396 J392:M392 N392:N396 B393 T393 B396 T396 T398:T400 T405 T411:T412 T415 T417 T420 B421 C422:C424 D422:I426 J422:M422 N422:N426 T422:T424 B423 B426 T429 B451 T451 C452:C454 D452:I456 J452:M452 N452:N456 B453 T453 B456 T456 T458:T461 T465 T468 T471:T473 T475 T477 T480:T484 B481 C482:C484 D482:I486 J482:M482 N482:N486 B483 B486 T486:T487 T489 T492:T496 T498:T499 T501 T504:T508 B505 C506:C508 D506:I510 J506:M506 N506:N510 B507 B510:B511 T510:T511 C512:C514 D512:I516 J512:M512 N512:N516 B513 T513 B516 T516:T520 T522:T523 T525 T528:T532 B529 C530:C532 D530:I534 J530:M530 N530:N534 B531 B534 T534:T535 T537 T540:T544 B541 C542:C544 D542:I546 J542:M542 N542:N546 B543 B546 T546:T547 T549 T552:T559 B553 C554:C556 D554:I558 J554:M554 N554:N558 B555 B558 T561 T564:T571 B571 C572:C574 D572:I576 J572:M572 N572:N576 B573 T573 B576:B577 T576:T580 C578:C580 D578:I582 J578:M578 N578:N582 B579 B582 T582:T583 T585 T588:T592 T594:T595 T597 T600:T604 B601 C602:C604 D602:I606 J602:M602 N602:N606 B603 B606 T606:T609 T612:T616 T618:T619 T621 T623:T625 T638:T639 T641 T651 T653 T655 T657 B661 T661:T669 C662:C664 D662:I666 J662:M662 N662:N666 B663 B666 T671:T676 T678:T679 T681 T683:T685 B697 T697:T700 C698:C700 D698:I702 J698:M698 N698:N702 B699 B702 T702:T705 T708:T712 T714:T715 T717 T719:T721 B733 T733:T736 C734:C736 D734:I738 J734:M734 N734:N738 B735 B738 T738:T741 T744:T748 T750:T751 T753 T755:T757 B769 T769:T772 C770:C772 D770:I774 J770:M770 N770:N774 B771 B774 T774:T777 T780:T784 T786:T787 T789 T791:T793 B805 T805:T808 C806:C808 D806:I810 J806:M806 N806:N810 B807 B810 T810:T813 T816:T820 T822:T823 T825 T827:T829">
    <cfRule type="cellIs" dxfId="5" priority="129" operator="equal">
      <formula>0</formula>
    </cfRule>
  </conditionalFormatting>
  <conditionalFormatting sqref="D391 D421 D451 D481 D505 D511 D529 D541 D553 D571 D577 D601 D661 D697 D733 D769 D805">
    <cfRule type="cellIs" dxfId="5" priority="130" operator="equal">
      <formula>0</formula>
    </cfRule>
  </conditionalFormatting>
  <printOptions/>
  <pageMargins bottom="0.6524329995619889" footer="0.0" header="0.0" left="0.7" right="0.7" top="0.23530370476006157"/>
  <pageSetup fitToHeight="0"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1.22" defaultRowHeight="15.0"/>
  <cols>
    <col customWidth="1" min="1" max="1" width="12.11"/>
    <col customWidth="1" min="2" max="3" width="11.56"/>
    <col customWidth="1" min="4" max="25" width="8.33"/>
    <col customWidth="1" min="26" max="26" width="11.78"/>
    <col customWidth="1" min="27" max="30" width="8.33"/>
  </cols>
  <sheetData>
    <row r="1">
      <c r="B1" s="213">
        <v>1.0</v>
      </c>
      <c r="C1" s="213">
        <v>2.0</v>
      </c>
      <c r="D1" s="213">
        <v>3.0</v>
      </c>
      <c r="E1" s="213">
        <v>4.0</v>
      </c>
      <c r="F1" s="213">
        <v>5.0</v>
      </c>
      <c r="G1" s="213">
        <v>6.0</v>
      </c>
      <c r="H1" s="213">
        <v>7.0</v>
      </c>
      <c r="I1" s="213">
        <v>8.0</v>
      </c>
      <c r="J1" s="213">
        <v>9.0</v>
      </c>
      <c r="K1" s="213">
        <v>10.0</v>
      </c>
      <c r="L1" s="213">
        <v>11.0</v>
      </c>
      <c r="M1" s="213">
        <v>12.0</v>
      </c>
      <c r="N1" s="213">
        <v>13.0</v>
      </c>
      <c r="O1" s="213">
        <v>14.0</v>
      </c>
      <c r="P1" s="213">
        <v>15.0</v>
      </c>
      <c r="Q1" s="213">
        <v>16.0</v>
      </c>
      <c r="R1" s="213">
        <v>17.0</v>
      </c>
      <c r="S1" s="213">
        <v>18.0</v>
      </c>
      <c r="T1" s="213">
        <v>19.0</v>
      </c>
      <c r="U1" s="213">
        <v>20.0</v>
      </c>
      <c r="V1" s="213">
        <v>21.0</v>
      </c>
      <c r="W1" s="213">
        <v>22.0</v>
      </c>
      <c r="X1" s="213">
        <v>23.0</v>
      </c>
      <c r="Y1" s="213">
        <v>24.0</v>
      </c>
      <c r="Z1" s="213">
        <v>25.0</v>
      </c>
      <c r="AA1" s="213">
        <v>26.0</v>
      </c>
    </row>
    <row r="2">
      <c r="D2" s="214" t="s">
        <v>2564</v>
      </c>
      <c r="E2" s="60"/>
      <c r="F2" s="60"/>
      <c r="G2" s="60"/>
      <c r="H2" s="60"/>
      <c r="I2" s="61"/>
      <c r="J2" s="214" t="s">
        <v>2565</v>
      </c>
      <c r="K2" s="60"/>
      <c r="L2" s="60"/>
      <c r="M2" s="60"/>
      <c r="N2" s="60"/>
      <c r="O2" s="61"/>
      <c r="P2" s="214" t="s">
        <v>2559</v>
      </c>
      <c r="Q2" s="60"/>
      <c r="R2" s="60"/>
      <c r="S2" s="60"/>
      <c r="T2" s="60"/>
      <c r="U2" s="61"/>
      <c r="V2" s="214" t="s">
        <v>2566</v>
      </c>
      <c r="W2" s="60"/>
      <c r="X2" s="60"/>
      <c r="Y2" s="60"/>
      <c r="Z2" s="60"/>
      <c r="AA2" s="61"/>
      <c r="AC2" s="2" t="s">
        <v>2567</v>
      </c>
      <c r="AD2" s="2" t="s">
        <v>2568</v>
      </c>
    </row>
    <row r="3">
      <c r="B3" s="2" t="s">
        <v>2569</v>
      </c>
      <c r="C3" s="2" t="s">
        <v>2570</v>
      </c>
      <c r="D3" s="2" t="s">
        <v>2551</v>
      </c>
      <c r="E3" s="2" t="s">
        <v>2552</v>
      </c>
      <c r="F3" s="2" t="s">
        <v>2553</v>
      </c>
      <c r="G3" s="2" t="s">
        <v>2554</v>
      </c>
      <c r="H3" s="2" t="s">
        <v>2555</v>
      </c>
      <c r="I3" s="2" t="s">
        <v>2556</v>
      </c>
      <c r="J3" s="2" t="s">
        <v>2571</v>
      </c>
      <c r="K3" s="2" t="s">
        <v>2572</v>
      </c>
      <c r="L3" s="2" t="s">
        <v>2573</v>
      </c>
      <c r="M3" s="2" t="s">
        <v>2574</v>
      </c>
      <c r="N3" s="2" t="s">
        <v>2575</v>
      </c>
      <c r="O3" s="2" t="s">
        <v>2576</v>
      </c>
      <c r="P3" s="2" t="s">
        <v>2577</v>
      </c>
      <c r="Q3" s="2" t="s">
        <v>2578</v>
      </c>
      <c r="R3" s="2" t="s">
        <v>2579</v>
      </c>
      <c r="S3" s="2" t="s">
        <v>2580</v>
      </c>
      <c r="T3" s="2" t="s">
        <v>2581</v>
      </c>
      <c r="U3" s="2" t="s">
        <v>2582</v>
      </c>
      <c r="V3" s="2" t="s">
        <v>2562</v>
      </c>
      <c r="W3" s="101" t="s">
        <v>2583</v>
      </c>
      <c r="X3" s="101" t="s">
        <v>2584</v>
      </c>
      <c r="Y3" s="101" t="s">
        <v>2585</v>
      </c>
      <c r="Z3" s="2" t="s">
        <v>2459</v>
      </c>
      <c r="AA3" s="2" t="s">
        <v>2460</v>
      </c>
    </row>
    <row r="4">
      <c r="A4" s="2">
        <v>1.0</v>
      </c>
      <c r="B4" s="111">
        <f>Spieler!B6</f>
        <v>7709</v>
      </c>
      <c r="D4" s="2">
        <f>IFERROR(VLOOKUP($B4,Vorrunde!B:H,2,0),)</f>
        <v>131</v>
      </c>
      <c r="E4" s="2">
        <f>IFERROR(VLOOKUP($B4,Vorrunde!$B:$H,3,0),)</f>
        <v>156</v>
      </c>
      <c r="F4" s="2">
        <f>IFERROR(VLOOKUP($B4,Vorrunde!$B:$H,4,0),0)</f>
        <v>123</v>
      </c>
      <c r="G4" s="2">
        <f>IFERROR(VLOOKUP($B4,Vorrunde!$B:$H,5,0),)</f>
        <v>174</v>
      </c>
      <c r="H4" s="2">
        <f>IFERROR(VLOOKUP($B4,Vorrunde!$B:$H,6,0),)</f>
        <v>132</v>
      </c>
      <c r="I4" s="2">
        <f>IFERROR(VLOOKUP($B4,Vorrunde!$B:$H,7,0),)</f>
        <v>172</v>
      </c>
      <c r="J4" s="2">
        <f>IFERROR(VLOOKUP($B4,Zwischenlauf!$B:$H,2,0),)</f>
        <v>183</v>
      </c>
      <c r="K4" s="2">
        <f>IFERROR(VLOOKUP($B4,Zwischenlauf!$B:$H,3,0),)</f>
        <v>165</v>
      </c>
      <c r="L4" s="2">
        <f>IFERROR(VLOOKUP($B4,Zwischenlauf!$B:$H,4,0),)</f>
        <v>120</v>
      </c>
      <c r="M4" s="2">
        <f>IFERROR(VLOOKUP($B4,Zwischenlauf!$B:$H,5,0),)</f>
        <v>171</v>
      </c>
      <c r="N4" s="2">
        <f>IFERROR(VLOOKUP($B4,Zwischenlauf!$B:$H,6,0),)</f>
        <v>143</v>
      </c>
      <c r="O4" s="2">
        <f>IFERROR(VLOOKUP($B4,Zwischenlauf!$B:$H,7,0),)</f>
        <v>188</v>
      </c>
      <c r="P4" s="2" t="str">
        <f>IFERROR(VLOOKUP($B4,Finalrunde!$B:$H,2,0),)</f>
        <v/>
      </c>
      <c r="Q4" s="2" t="str">
        <f>IFERROR(VLOOKUP($B4,Finalrunde!$B:$H,3,0),)</f>
        <v/>
      </c>
      <c r="R4" s="2" t="str">
        <f>IFERROR(VLOOKUP($B4,Finalrunde!$B:$H,4,0),)</f>
        <v/>
      </c>
      <c r="S4" s="2" t="str">
        <f>IFERROR(VLOOKUP($B4,Finalrunde!$B:$H,5,0),)</f>
        <v/>
      </c>
      <c r="T4" s="2" t="str">
        <f>IFERROR(VLOOKUP($B4,Finalrunde!$B:$H,6,0),)</f>
        <v/>
      </c>
      <c r="U4" s="2" t="str">
        <f>IFERROR(VLOOKUP($B4,Finalrunde!$B:$H,7,0),)</f>
        <v/>
      </c>
      <c r="V4" s="2">
        <f t="shared" ref="V4:V203" si="1">SUM(D4:U4)</f>
        <v>1858</v>
      </c>
      <c r="W4" s="2">
        <f t="shared" ref="W4:W203" si="2">IFERROR(VLOOKUP(B4,#REF!,5,0),0)</f>
        <v>0</v>
      </c>
      <c r="X4" s="2">
        <f t="shared" ref="X4:X203" si="3">(COUNT(D4:U4)-COUNTIF(D4:U4,0))*W4</f>
        <v>0</v>
      </c>
      <c r="Y4" s="2">
        <f t="shared" ref="Y4:Y203" si="4">V4+X4</f>
        <v>1858</v>
      </c>
      <c r="Z4" s="2">
        <f t="shared" ref="Z4:Z203" si="5">COUNT(D4:U4)-COUNTIF(D4:U4,0)</f>
        <v>12</v>
      </c>
      <c r="AA4" s="2">
        <f t="shared" ref="AA4:AA203" si="6">IFERROR(ROUND(Y4/Z4,2),0)</f>
        <v>154.83</v>
      </c>
      <c r="AB4" s="2" t="str">
        <f>IFERROR(VLOOKUP(B4,'Mitglieder BBU'!A:K,12,0),"")</f>
        <v/>
      </c>
      <c r="AC4" s="2">
        <f t="shared" ref="AC4:AC203" si="7">IF(V4&gt;0, LARGE(D4:U4,1),0)</f>
        <v>188</v>
      </c>
      <c r="AD4" s="2">
        <f t="array" ref="AD4">MIN(IF(D4:U4&lt;&gt;0,D4:U4))</f>
        <v>120</v>
      </c>
    </row>
    <row r="5">
      <c r="A5" s="2">
        <v>2.0</v>
      </c>
      <c r="B5" s="111">
        <f>Spieler!B7</f>
        <v>25347</v>
      </c>
      <c r="D5" s="2">
        <f>IFERROR(VLOOKUP($B5,Vorrunde!B:H,2,0),)</f>
        <v>149</v>
      </c>
      <c r="E5" s="2">
        <f>IFERROR(VLOOKUP($B5,Vorrunde!$B:$H,3,0),)</f>
        <v>140</v>
      </c>
      <c r="F5" s="2">
        <f>IFERROR(VLOOKUP($B5,Vorrunde!$B:$H,4,0),0)</f>
        <v>127</v>
      </c>
      <c r="G5" s="2">
        <f>IFERROR(VLOOKUP($B5,Vorrunde!$B:$H,5,0),)</f>
        <v>163</v>
      </c>
      <c r="H5" s="2">
        <f>IFERROR(VLOOKUP($B5,Vorrunde!$B:$H,6,0),)</f>
        <v>121</v>
      </c>
      <c r="I5" s="2">
        <f>IFERROR(VLOOKUP($B5,Vorrunde!$B:$H,7,0),)</f>
        <v>116</v>
      </c>
      <c r="J5" s="2">
        <f>IFERROR(VLOOKUP($B5,Zwischenlauf!$B:$H,2,0),)</f>
        <v>133</v>
      </c>
      <c r="K5" s="2">
        <f>IFERROR(VLOOKUP($B5,Zwischenlauf!$B:$H,3,0),)</f>
        <v>132</v>
      </c>
      <c r="L5" s="2">
        <f>IFERROR(VLOOKUP($B5,Zwischenlauf!$B:$H,4,0),)</f>
        <v>120</v>
      </c>
      <c r="M5" s="2">
        <f>IFERROR(VLOOKUP($B5,Zwischenlauf!$B:$H,5,0),)</f>
        <v>151</v>
      </c>
      <c r="N5" s="2">
        <f>IFERROR(VLOOKUP($B5,Zwischenlauf!$B:$H,6,0),)</f>
        <v>153</v>
      </c>
      <c r="O5" s="2">
        <f>IFERROR(VLOOKUP($B5,Zwischenlauf!$B:$H,7,0),)</f>
        <v>145</v>
      </c>
      <c r="P5" s="2" t="str">
        <f>IFERROR(VLOOKUP($B5,Finalrunde!$B:$H,2,0),)</f>
        <v/>
      </c>
      <c r="Q5" s="2" t="str">
        <f>IFERROR(VLOOKUP($B5,Finalrunde!$B:$H,3,0),)</f>
        <v/>
      </c>
      <c r="R5" s="2" t="str">
        <f>IFERROR(VLOOKUP($B5,Finalrunde!$B:$H,4,0),)</f>
        <v/>
      </c>
      <c r="S5" s="2" t="str">
        <f>IFERROR(VLOOKUP($B5,Finalrunde!$B:$H,5,0),)</f>
        <v/>
      </c>
      <c r="T5" s="2" t="str">
        <f>IFERROR(VLOOKUP($B5,Finalrunde!$B:$H,6,0),)</f>
        <v/>
      </c>
      <c r="U5" s="2" t="str">
        <f>IFERROR(VLOOKUP($B5,Finalrunde!$B:$H,7,0),)</f>
        <v/>
      </c>
      <c r="V5" s="2">
        <f t="shared" si="1"/>
        <v>1650</v>
      </c>
      <c r="W5" s="2">
        <f t="shared" si="2"/>
        <v>0</v>
      </c>
      <c r="X5" s="2">
        <f t="shared" si="3"/>
        <v>0</v>
      </c>
      <c r="Y5" s="2">
        <f t="shared" si="4"/>
        <v>1650</v>
      </c>
      <c r="Z5" s="2">
        <f t="shared" si="5"/>
        <v>12</v>
      </c>
      <c r="AA5" s="2">
        <f t="shared" si="6"/>
        <v>137.5</v>
      </c>
      <c r="AB5" s="2" t="str">
        <f>IFERROR(VLOOKUP(B5,'Mitglieder BBU'!A:K,12,0),"")</f>
        <v/>
      </c>
      <c r="AC5" s="2">
        <f t="shared" si="7"/>
        <v>163</v>
      </c>
      <c r="AD5" s="2">
        <f t="array" ref="AD5">MIN(IF(D5:U5&lt;&gt;0,D5:U5))</f>
        <v>116</v>
      </c>
    </row>
    <row r="6">
      <c r="A6" s="2">
        <v>3.0</v>
      </c>
      <c r="B6" s="111">
        <f>Spieler!B8</f>
        <v>7974</v>
      </c>
      <c r="D6" s="2">
        <f>IFERROR(VLOOKUP($B6,Vorrunde!B:H,2,0),)</f>
        <v>142</v>
      </c>
      <c r="E6" s="2">
        <f>IFERROR(VLOOKUP($B6,Vorrunde!$B:$H,3,0),)</f>
        <v>104</v>
      </c>
      <c r="F6" s="2">
        <f>IFERROR(VLOOKUP($B6,Vorrunde!$B:$H,4,0),0)</f>
        <v>159</v>
      </c>
      <c r="G6" s="2">
        <f>IFERROR(VLOOKUP($B6,Vorrunde!$B:$H,5,0),)</f>
        <v>119</v>
      </c>
      <c r="H6" s="2">
        <f>IFERROR(VLOOKUP($B6,Vorrunde!$B:$H,6,0),)</f>
        <v>130</v>
      </c>
      <c r="I6" s="2">
        <f>IFERROR(VLOOKUP($B6,Vorrunde!$B:$H,7,0),)</f>
        <v>165</v>
      </c>
      <c r="J6" s="2">
        <f>IFERROR(VLOOKUP($B6,Zwischenlauf!$B:$H,2,0),)</f>
        <v>122</v>
      </c>
      <c r="K6" s="2">
        <f>IFERROR(VLOOKUP($B6,Zwischenlauf!$B:$H,3,0),)</f>
        <v>126</v>
      </c>
      <c r="L6" s="2">
        <f>IFERROR(VLOOKUP($B6,Zwischenlauf!$B:$H,4,0),)</f>
        <v>126</v>
      </c>
      <c r="M6" s="2">
        <f>IFERROR(VLOOKUP($B6,Zwischenlauf!$B:$H,5,0),)</f>
        <v>151</v>
      </c>
      <c r="N6" s="2">
        <f>IFERROR(VLOOKUP($B6,Zwischenlauf!$B:$H,6,0),)</f>
        <v>136</v>
      </c>
      <c r="O6" s="2">
        <f>IFERROR(VLOOKUP($B6,Zwischenlauf!$B:$H,7,0),)</f>
        <v>116</v>
      </c>
      <c r="P6" s="2" t="str">
        <f>IFERROR(VLOOKUP($B6,Finalrunde!$B:$H,2,0),)</f>
        <v/>
      </c>
      <c r="Q6" s="2" t="str">
        <f>IFERROR(VLOOKUP($B6,Finalrunde!$B:$H,3,0),)</f>
        <v/>
      </c>
      <c r="R6" s="2" t="str">
        <f>IFERROR(VLOOKUP($B6,Finalrunde!$B:$H,4,0),)</f>
        <v/>
      </c>
      <c r="S6" s="2" t="str">
        <f>IFERROR(VLOOKUP($B6,Finalrunde!$B:$H,5,0),)</f>
        <v/>
      </c>
      <c r="T6" s="2" t="str">
        <f>IFERROR(VLOOKUP($B6,Finalrunde!$B:$H,6,0),)</f>
        <v/>
      </c>
      <c r="U6" s="2" t="str">
        <f>IFERROR(VLOOKUP($B6,Finalrunde!$B:$H,7,0),)</f>
        <v/>
      </c>
      <c r="V6" s="2">
        <f t="shared" si="1"/>
        <v>1596</v>
      </c>
      <c r="W6" s="2">
        <f t="shared" si="2"/>
        <v>0</v>
      </c>
      <c r="X6" s="2">
        <f t="shared" si="3"/>
        <v>0</v>
      </c>
      <c r="Y6" s="2">
        <f t="shared" si="4"/>
        <v>1596</v>
      </c>
      <c r="Z6" s="2">
        <f t="shared" si="5"/>
        <v>12</v>
      </c>
      <c r="AA6" s="2">
        <f t="shared" si="6"/>
        <v>133</v>
      </c>
      <c r="AB6" s="2" t="str">
        <f>IFERROR(VLOOKUP(B6,'Mitglieder BBU'!A:K,12,0),"")</f>
        <v/>
      </c>
      <c r="AC6" s="2">
        <f t="shared" si="7"/>
        <v>165</v>
      </c>
      <c r="AD6" s="2">
        <f t="array" ref="AD6">MIN(IF(D6:U6&lt;&gt;0,D6:U6))</f>
        <v>104</v>
      </c>
    </row>
    <row r="7">
      <c r="A7" s="2">
        <v>4.0</v>
      </c>
      <c r="B7" s="111">
        <f>Spieler!B9</f>
        <v>25329</v>
      </c>
      <c r="D7" s="2">
        <f>IFERROR(VLOOKUP($B7,Vorrunde!B:H,2,0),)</f>
        <v>176</v>
      </c>
      <c r="E7" s="2">
        <f>IFERROR(VLOOKUP($B7,Vorrunde!$B:$H,3,0),)</f>
        <v>207</v>
      </c>
      <c r="F7" s="2">
        <f>IFERROR(VLOOKUP($B7,Vorrunde!$B:$H,4,0),0)</f>
        <v>158</v>
      </c>
      <c r="G7" s="2">
        <f>IFERROR(VLOOKUP($B7,Vorrunde!$B:$H,5,0),)</f>
        <v>152</v>
      </c>
      <c r="H7" s="2">
        <f>IFERROR(VLOOKUP($B7,Vorrunde!$B:$H,6,0),)</f>
        <v>186</v>
      </c>
      <c r="I7" s="2">
        <f>IFERROR(VLOOKUP($B7,Vorrunde!$B:$H,7,0),)</f>
        <v>149</v>
      </c>
      <c r="J7" s="2">
        <f>IFERROR(VLOOKUP($B7,Zwischenlauf!$B:$H,2,0),)</f>
        <v>149</v>
      </c>
      <c r="K7" s="2">
        <f>IFERROR(VLOOKUP($B7,Zwischenlauf!$B:$H,3,0),)</f>
        <v>155</v>
      </c>
      <c r="L7" s="2">
        <f>IFERROR(VLOOKUP($B7,Zwischenlauf!$B:$H,4,0),)</f>
        <v>140</v>
      </c>
      <c r="M7" s="2">
        <f>IFERROR(VLOOKUP($B7,Zwischenlauf!$B:$H,5,0),)</f>
        <v>169</v>
      </c>
      <c r="N7" s="2">
        <f>IFERROR(VLOOKUP($B7,Zwischenlauf!$B:$H,6,0),)</f>
        <v>159</v>
      </c>
      <c r="O7" s="2">
        <f>IFERROR(VLOOKUP($B7,Zwischenlauf!$B:$H,7,0),)</f>
        <v>183</v>
      </c>
      <c r="P7" s="2" t="str">
        <f>IFERROR(VLOOKUP($B7,Finalrunde!$B:$H,2,0),)</f>
        <v/>
      </c>
      <c r="Q7" s="2" t="str">
        <f>IFERROR(VLOOKUP($B7,Finalrunde!$B:$H,3,0),)</f>
        <v/>
      </c>
      <c r="R7" s="2" t="str">
        <f>IFERROR(VLOOKUP($B7,Finalrunde!$B:$H,4,0),)</f>
        <v/>
      </c>
      <c r="S7" s="2" t="str">
        <f>IFERROR(VLOOKUP($B7,Finalrunde!$B:$H,5,0),)</f>
        <v/>
      </c>
      <c r="T7" s="2" t="str">
        <f>IFERROR(VLOOKUP($B7,Finalrunde!$B:$H,6,0),)</f>
        <v/>
      </c>
      <c r="U7" s="2" t="str">
        <f>IFERROR(VLOOKUP($B7,Finalrunde!$B:$H,7,0),)</f>
        <v/>
      </c>
      <c r="V7" s="2">
        <f t="shared" si="1"/>
        <v>1983</v>
      </c>
      <c r="W7" s="2">
        <f t="shared" si="2"/>
        <v>0</v>
      </c>
      <c r="X7" s="2">
        <f t="shared" si="3"/>
        <v>0</v>
      </c>
      <c r="Y7" s="2">
        <f t="shared" si="4"/>
        <v>1983</v>
      </c>
      <c r="Z7" s="2">
        <f t="shared" si="5"/>
        <v>12</v>
      </c>
      <c r="AA7" s="2">
        <f t="shared" si="6"/>
        <v>165.25</v>
      </c>
      <c r="AB7" s="2" t="str">
        <f>IFERROR(VLOOKUP(B7,'Mitglieder BBU'!A:K,12,0),"")</f>
        <v/>
      </c>
      <c r="AC7" s="2">
        <f t="shared" si="7"/>
        <v>207</v>
      </c>
      <c r="AD7" s="2">
        <f t="array" ref="AD7">MIN(IF(D7:U7&lt;&gt;0,D7:U7))</f>
        <v>140</v>
      </c>
    </row>
    <row r="8">
      <c r="A8" s="2">
        <v>5.0</v>
      </c>
      <c r="B8" s="111">
        <f>Spieler!B10</f>
        <v>38934</v>
      </c>
      <c r="D8" s="2">
        <f>IFERROR(VLOOKUP($B8,Vorrunde!B:H,2,0),)</f>
        <v>134</v>
      </c>
      <c r="E8" s="2">
        <f>IFERROR(VLOOKUP($B8,Vorrunde!$B:$H,3,0),)</f>
        <v>132</v>
      </c>
      <c r="F8" s="2">
        <f>IFERROR(VLOOKUP($B8,Vorrunde!$B:$H,4,0),0)</f>
        <v>120</v>
      </c>
      <c r="G8" s="2">
        <f>IFERROR(VLOOKUP($B8,Vorrunde!$B:$H,5,0),)</f>
        <v>136</v>
      </c>
      <c r="H8" s="2">
        <f>IFERROR(VLOOKUP($B8,Vorrunde!$B:$H,6,0),)</f>
        <v>160</v>
      </c>
      <c r="I8" s="2">
        <f>IFERROR(VLOOKUP($B8,Vorrunde!$B:$H,7,0),)</f>
        <v>148</v>
      </c>
      <c r="J8" s="2">
        <f>IFERROR(VLOOKUP($B8,Zwischenlauf!$B:$H,2,0),)</f>
        <v>134</v>
      </c>
      <c r="K8" s="2">
        <f>IFERROR(VLOOKUP($B8,Zwischenlauf!$B:$H,3,0),)</f>
        <v>145</v>
      </c>
      <c r="L8" s="2">
        <f>IFERROR(VLOOKUP($B8,Zwischenlauf!$B:$H,4,0),)</f>
        <v>125</v>
      </c>
      <c r="M8" s="2">
        <f>IFERROR(VLOOKUP($B8,Zwischenlauf!$B:$H,5,0),)</f>
        <v>123</v>
      </c>
      <c r="N8" s="2">
        <f>IFERROR(VLOOKUP($B8,Zwischenlauf!$B:$H,6,0),)</f>
        <v>191</v>
      </c>
      <c r="O8" s="2">
        <f>IFERROR(VLOOKUP($B8,Zwischenlauf!$B:$H,7,0),)</f>
        <v>153</v>
      </c>
      <c r="P8" s="2" t="str">
        <f>IFERROR(VLOOKUP($B8,Finalrunde!$B:$H,2,0),)</f>
        <v/>
      </c>
      <c r="Q8" s="2" t="str">
        <f>IFERROR(VLOOKUP($B8,Finalrunde!$B:$H,3,0),)</f>
        <v/>
      </c>
      <c r="R8" s="2" t="str">
        <f>IFERROR(VLOOKUP($B8,Finalrunde!$B:$H,4,0),)</f>
        <v/>
      </c>
      <c r="S8" s="2" t="str">
        <f>IFERROR(VLOOKUP($B8,Finalrunde!$B:$H,5,0),)</f>
        <v/>
      </c>
      <c r="T8" s="2" t="str">
        <f>IFERROR(VLOOKUP($B8,Finalrunde!$B:$H,6,0),)</f>
        <v/>
      </c>
      <c r="U8" s="2" t="str">
        <f>IFERROR(VLOOKUP($B8,Finalrunde!$B:$H,7,0),)</f>
        <v/>
      </c>
      <c r="V8" s="2">
        <f t="shared" si="1"/>
        <v>1701</v>
      </c>
      <c r="W8" s="2">
        <f t="shared" si="2"/>
        <v>0</v>
      </c>
      <c r="X8" s="2">
        <f t="shared" si="3"/>
        <v>0</v>
      </c>
      <c r="Y8" s="2">
        <f t="shared" si="4"/>
        <v>1701</v>
      </c>
      <c r="Z8" s="2">
        <f t="shared" si="5"/>
        <v>12</v>
      </c>
      <c r="AA8" s="2">
        <f t="shared" si="6"/>
        <v>141.75</v>
      </c>
      <c r="AB8" s="2" t="str">
        <f>IFERROR(VLOOKUP(B8,'Mitglieder BBU'!A:K,12,0),"")</f>
        <v/>
      </c>
      <c r="AC8" s="2">
        <f t="shared" si="7"/>
        <v>191</v>
      </c>
      <c r="AD8" s="2">
        <f t="array" ref="AD8">MIN(IF(D8:U8&lt;&gt;0,D8:U8))</f>
        <v>120</v>
      </c>
    </row>
    <row r="9">
      <c r="A9" s="2">
        <v>6.0</v>
      </c>
      <c r="B9" s="111">
        <f>Spieler!B11</f>
        <v>16595</v>
      </c>
      <c r="D9" s="2">
        <f>IFERROR(VLOOKUP($B9,Vorrunde!B:H,2,0),)</f>
        <v>177</v>
      </c>
      <c r="E9" s="2">
        <f>IFERROR(VLOOKUP($B9,Vorrunde!$B:$H,3,0),)</f>
        <v>162</v>
      </c>
      <c r="F9" s="2">
        <f>IFERROR(VLOOKUP($B9,Vorrunde!$B:$H,4,0),0)</f>
        <v>196</v>
      </c>
      <c r="G9" s="2">
        <f>IFERROR(VLOOKUP($B9,Vorrunde!$B:$H,5,0),)</f>
        <v>136</v>
      </c>
      <c r="H9" s="2">
        <f>IFERROR(VLOOKUP($B9,Vorrunde!$B:$H,6,0),)</f>
        <v>165</v>
      </c>
      <c r="I9" s="2">
        <f>IFERROR(VLOOKUP($B9,Vorrunde!$B:$H,7,0),)</f>
        <v>153</v>
      </c>
      <c r="J9" s="2">
        <f>IFERROR(VLOOKUP($B9,Zwischenlauf!$B:$H,2,0),)</f>
        <v>141</v>
      </c>
      <c r="K9" s="2">
        <f>IFERROR(VLOOKUP($B9,Zwischenlauf!$B:$H,3,0),)</f>
        <v>166</v>
      </c>
      <c r="L9" s="2">
        <f>IFERROR(VLOOKUP($B9,Zwischenlauf!$B:$H,4,0),)</f>
        <v>164</v>
      </c>
      <c r="M9" s="2">
        <f>IFERROR(VLOOKUP($B9,Zwischenlauf!$B:$H,5,0),)</f>
        <v>194</v>
      </c>
      <c r="N9" s="2">
        <f>IFERROR(VLOOKUP($B9,Zwischenlauf!$B:$H,6,0),)</f>
        <v>191</v>
      </c>
      <c r="O9" s="2">
        <f>IFERROR(VLOOKUP($B9,Zwischenlauf!$B:$H,7,0),)</f>
        <v>152</v>
      </c>
      <c r="P9" s="2" t="str">
        <f>IFERROR(VLOOKUP($B9,Finalrunde!$B:$H,2,0),)</f>
        <v/>
      </c>
      <c r="Q9" s="2" t="str">
        <f>IFERROR(VLOOKUP($B9,Finalrunde!$B:$H,3,0),)</f>
        <v/>
      </c>
      <c r="R9" s="2" t="str">
        <f>IFERROR(VLOOKUP($B9,Finalrunde!$B:$H,4,0),)</f>
        <v/>
      </c>
      <c r="S9" s="2" t="str">
        <f>IFERROR(VLOOKUP($B9,Finalrunde!$B:$H,5,0),)</f>
        <v/>
      </c>
      <c r="T9" s="2" t="str">
        <f>IFERROR(VLOOKUP($B9,Finalrunde!$B:$H,6,0),)</f>
        <v/>
      </c>
      <c r="U9" s="2" t="str">
        <f>IFERROR(VLOOKUP($B9,Finalrunde!$B:$H,7,0),)</f>
        <v/>
      </c>
      <c r="V9" s="2">
        <f t="shared" si="1"/>
        <v>1997</v>
      </c>
      <c r="W9" s="2">
        <f t="shared" si="2"/>
        <v>0</v>
      </c>
      <c r="X9" s="2">
        <f t="shared" si="3"/>
        <v>0</v>
      </c>
      <c r="Y9" s="2">
        <f t="shared" si="4"/>
        <v>1997</v>
      </c>
      <c r="Z9" s="2">
        <f t="shared" si="5"/>
        <v>12</v>
      </c>
      <c r="AA9" s="2">
        <f t="shared" si="6"/>
        <v>166.42</v>
      </c>
      <c r="AB9" s="2" t="str">
        <f>IFERROR(VLOOKUP(B9,'Mitglieder BBU'!A:K,12,0),"")</f>
        <v/>
      </c>
      <c r="AC9" s="2">
        <f t="shared" si="7"/>
        <v>196</v>
      </c>
      <c r="AD9" s="2">
        <f t="array" ref="AD9">MIN(IF(D9:U9&lt;&gt;0,D9:U9))</f>
        <v>136</v>
      </c>
    </row>
    <row r="10">
      <c r="A10" s="2">
        <v>7.0</v>
      </c>
      <c r="B10" s="111">
        <f>Spieler!B12</f>
        <v>16594</v>
      </c>
      <c r="D10" s="2">
        <f>IFERROR(VLOOKUP($B10,Vorrunde!B:H,2,0),)</f>
        <v>200</v>
      </c>
      <c r="E10" s="2">
        <f>IFERROR(VLOOKUP($B10,Vorrunde!$B:$H,3,0),)</f>
        <v>152</v>
      </c>
      <c r="F10" s="2">
        <f>IFERROR(VLOOKUP($B10,Vorrunde!$B:$H,4,0),0)</f>
        <v>161</v>
      </c>
      <c r="G10" s="2">
        <f>IFERROR(VLOOKUP($B10,Vorrunde!$B:$H,5,0),)</f>
        <v>178</v>
      </c>
      <c r="H10" s="2">
        <f>IFERROR(VLOOKUP($B10,Vorrunde!$B:$H,6,0),)</f>
        <v>159</v>
      </c>
      <c r="I10" s="2">
        <f>IFERROR(VLOOKUP($B10,Vorrunde!$B:$H,7,0),)</f>
        <v>170</v>
      </c>
      <c r="J10" s="2">
        <f>IFERROR(VLOOKUP($B10,Zwischenlauf!$B:$H,2,0),)</f>
        <v>172</v>
      </c>
      <c r="K10" s="2">
        <f>IFERROR(VLOOKUP($B10,Zwischenlauf!$B:$H,3,0),)</f>
        <v>145</v>
      </c>
      <c r="L10" s="2">
        <f>IFERROR(VLOOKUP($B10,Zwischenlauf!$B:$H,4,0),)</f>
        <v>144</v>
      </c>
      <c r="M10" s="2">
        <f>IFERROR(VLOOKUP($B10,Zwischenlauf!$B:$H,5,0),)</f>
        <v>169</v>
      </c>
      <c r="N10" s="2">
        <f>IFERROR(VLOOKUP($B10,Zwischenlauf!$B:$H,6,0),)</f>
        <v>153</v>
      </c>
      <c r="O10" s="2">
        <f>IFERROR(VLOOKUP($B10,Zwischenlauf!$B:$H,7,0),)</f>
        <v>156</v>
      </c>
      <c r="P10" s="2" t="str">
        <f>IFERROR(VLOOKUP($B10,Finalrunde!$B:$H,2,0),)</f>
        <v/>
      </c>
      <c r="Q10" s="2" t="str">
        <f>IFERROR(VLOOKUP($B10,Finalrunde!$B:$H,3,0),)</f>
        <v/>
      </c>
      <c r="R10" s="2" t="str">
        <f>IFERROR(VLOOKUP($B10,Finalrunde!$B:$H,4,0),)</f>
        <v/>
      </c>
      <c r="S10" s="2" t="str">
        <f>IFERROR(VLOOKUP($B10,Finalrunde!$B:$H,5,0),)</f>
        <v/>
      </c>
      <c r="T10" s="2" t="str">
        <f>IFERROR(VLOOKUP($B10,Finalrunde!$B:$H,6,0),)</f>
        <v/>
      </c>
      <c r="U10" s="2" t="str">
        <f>IFERROR(VLOOKUP($B10,Finalrunde!$B:$H,7,0),)</f>
        <v/>
      </c>
      <c r="V10" s="2">
        <f t="shared" si="1"/>
        <v>1959</v>
      </c>
      <c r="W10" s="2">
        <f t="shared" si="2"/>
        <v>0</v>
      </c>
      <c r="X10" s="2">
        <f t="shared" si="3"/>
        <v>0</v>
      </c>
      <c r="Y10" s="2">
        <f t="shared" si="4"/>
        <v>1959</v>
      </c>
      <c r="Z10" s="2">
        <f t="shared" si="5"/>
        <v>12</v>
      </c>
      <c r="AA10" s="2">
        <f t="shared" si="6"/>
        <v>163.25</v>
      </c>
      <c r="AB10" s="2" t="str">
        <f>IFERROR(VLOOKUP(B10,'Mitglieder BBU'!A:K,12,0),"")</f>
        <v/>
      </c>
      <c r="AC10" s="2">
        <f t="shared" si="7"/>
        <v>200</v>
      </c>
      <c r="AD10" s="2">
        <f t="array" ref="AD10">MIN(IF(D10:U10&lt;&gt;0,D10:U10))</f>
        <v>144</v>
      </c>
    </row>
    <row r="11">
      <c r="A11" s="2">
        <v>8.0</v>
      </c>
      <c r="B11" s="111">
        <f>Spieler!B13</f>
        <v>38931</v>
      </c>
      <c r="D11" s="2">
        <f>IFERROR(VLOOKUP($B11,Vorrunde!B:H,2,0),)</f>
        <v>153</v>
      </c>
      <c r="E11" s="2">
        <f>IFERROR(VLOOKUP($B11,Vorrunde!$B:$H,3,0),)</f>
        <v>202</v>
      </c>
      <c r="F11" s="2">
        <f>IFERROR(VLOOKUP($B11,Vorrunde!$B:$H,4,0),0)</f>
        <v>141</v>
      </c>
      <c r="G11" s="2">
        <f>IFERROR(VLOOKUP($B11,Vorrunde!$B:$H,5,0),)</f>
        <v>141</v>
      </c>
      <c r="H11" s="2">
        <f>IFERROR(VLOOKUP($B11,Vorrunde!$B:$H,6,0),)</f>
        <v>148</v>
      </c>
      <c r="I11" s="2">
        <f>IFERROR(VLOOKUP($B11,Vorrunde!$B:$H,7,0),)</f>
        <v>186</v>
      </c>
      <c r="J11" s="2">
        <f>IFERROR(VLOOKUP($B11,Zwischenlauf!$B:$H,2,0),)</f>
        <v>142</v>
      </c>
      <c r="K11" s="2">
        <f>IFERROR(VLOOKUP($B11,Zwischenlauf!$B:$H,3,0),)</f>
        <v>185</v>
      </c>
      <c r="L11" s="2">
        <f>IFERROR(VLOOKUP($B11,Zwischenlauf!$B:$H,4,0),)</f>
        <v>149</v>
      </c>
      <c r="M11" s="2">
        <f>IFERROR(VLOOKUP($B11,Zwischenlauf!$B:$H,5,0),)</f>
        <v>179</v>
      </c>
      <c r="N11" s="2">
        <f>IFERROR(VLOOKUP($B11,Zwischenlauf!$B:$H,6,0),)</f>
        <v>160</v>
      </c>
      <c r="O11" s="2">
        <f>IFERROR(VLOOKUP($B11,Zwischenlauf!$B:$H,7,0),)</f>
        <v>169</v>
      </c>
      <c r="P11" s="2" t="str">
        <f>IFERROR(VLOOKUP($B11,Finalrunde!$B:$H,2,0),)</f>
        <v/>
      </c>
      <c r="Q11" s="2" t="str">
        <f>IFERROR(VLOOKUP($B11,Finalrunde!$B:$H,3,0),)</f>
        <v/>
      </c>
      <c r="R11" s="2" t="str">
        <f>IFERROR(VLOOKUP($B11,Finalrunde!$B:$H,4,0),)</f>
        <v/>
      </c>
      <c r="S11" s="2" t="str">
        <f>IFERROR(VLOOKUP($B11,Finalrunde!$B:$H,5,0),)</f>
        <v/>
      </c>
      <c r="T11" s="2" t="str">
        <f>IFERROR(VLOOKUP($B11,Finalrunde!$B:$H,6,0),)</f>
        <v/>
      </c>
      <c r="U11" s="2" t="str">
        <f>IFERROR(VLOOKUP($B11,Finalrunde!$B:$H,7,0),)</f>
        <v/>
      </c>
      <c r="V11" s="2">
        <f t="shared" si="1"/>
        <v>1955</v>
      </c>
      <c r="W11" s="2">
        <f t="shared" si="2"/>
        <v>0</v>
      </c>
      <c r="X11" s="2">
        <f t="shared" si="3"/>
        <v>0</v>
      </c>
      <c r="Y11" s="2">
        <f t="shared" si="4"/>
        <v>1955</v>
      </c>
      <c r="Z11" s="2">
        <f t="shared" si="5"/>
        <v>12</v>
      </c>
      <c r="AA11" s="2">
        <f t="shared" si="6"/>
        <v>162.92</v>
      </c>
      <c r="AB11" s="2" t="str">
        <f>IFERROR(VLOOKUP(B11,'Mitglieder BBU'!A:K,12,0),"")</f>
        <v/>
      </c>
      <c r="AC11" s="2">
        <f t="shared" si="7"/>
        <v>202</v>
      </c>
      <c r="AD11" s="2">
        <f t="array" ref="AD11">MIN(IF(D11:U11&lt;&gt;0,D11:U11))</f>
        <v>141</v>
      </c>
    </row>
    <row r="12">
      <c r="A12" s="2">
        <v>9.0</v>
      </c>
      <c r="B12" s="111">
        <f>Spieler!B14</f>
        <v>38045</v>
      </c>
      <c r="D12" s="2">
        <f>IFERROR(VLOOKUP($B12,Vorrunde!B:H,2,0),)</f>
        <v>201</v>
      </c>
      <c r="E12" s="2">
        <f>IFERROR(VLOOKUP($B12,Vorrunde!$B:$H,3,0),)</f>
        <v>223</v>
      </c>
      <c r="F12" s="2">
        <f>IFERROR(VLOOKUP($B12,Vorrunde!$B:$H,4,0),0)</f>
        <v>196</v>
      </c>
      <c r="G12" s="2">
        <f>IFERROR(VLOOKUP($B12,Vorrunde!$B:$H,5,0),)</f>
        <v>191</v>
      </c>
      <c r="H12" s="2">
        <f>IFERROR(VLOOKUP($B12,Vorrunde!$B:$H,6,0),)</f>
        <v>181</v>
      </c>
      <c r="I12" s="2">
        <f>IFERROR(VLOOKUP($B12,Vorrunde!$B:$H,7,0),)</f>
        <v>208</v>
      </c>
      <c r="J12" s="2">
        <f>IFERROR(VLOOKUP($B12,Zwischenlauf!$B:$H,2,0),)</f>
        <v>198</v>
      </c>
      <c r="K12" s="2">
        <f>IFERROR(VLOOKUP($B12,Zwischenlauf!$B:$H,3,0),)</f>
        <v>234</v>
      </c>
      <c r="L12" s="2">
        <f>IFERROR(VLOOKUP($B12,Zwischenlauf!$B:$H,4,0),)</f>
        <v>170</v>
      </c>
      <c r="M12" s="2">
        <f>IFERROR(VLOOKUP($B12,Zwischenlauf!$B:$H,5,0),)</f>
        <v>219</v>
      </c>
      <c r="N12" s="2">
        <f>IFERROR(VLOOKUP($B12,Zwischenlauf!$B:$H,6,0),)</f>
        <v>214</v>
      </c>
      <c r="O12" s="2">
        <f>IFERROR(VLOOKUP($B12,Zwischenlauf!$B:$H,7,0),)</f>
        <v>206</v>
      </c>
      <c r="P12" s="2" t="str">
        <f>IFERROR(VLOOKUP($B12,Finalrunde!$B:$H,2,0),)</f>
        <v/>
      </c>
      <c r="Q12" s="2" t="str">
        <f>IFERROR(VLOOKUP($B12,Finalrunde!$B:$H,3,0),)</f>
        <v/>
      </c>
      <c r="R12" s="2" t="str">
        <f>IFERROR(VLOOKUP($B12,Finalrunde!$B:$H,4,0),)</f>
        <v/>
      </c>
      <c r="S12" s="2" t="str">
        <f>IFERROR(VLOOKUP($B12,Finalrunde!$B:$H,5,0),)</f>
        <v/>
      </c>
      <c r="T12" s="2" t="str">
        <f>IFERROR(VLOOKUP($B12,Finalrunde!$B:$H,6,0),)</f>
        <v/>
      </c>
      <c r="U12" s="2" t="str">
        <f>IFERROR(VLOOKUP($B12,Finalrunde!$B:$H,7,0),)</f>
        <v/>
      </c>
      <c r="V12" s="2">
        <f t="shared" si="1"/>
        <v>2441</v>
      </c>
      <c r="W12" s="2">
        <f t="shared" si="2"/>
        <v>0</v>
      </c>
      <c r="X12" s="2">
        <f t="shared" si="3"/>
        <v>0</v>
      </c>
      <c r="Y12" s="2">
        <f t="shared" si="4"/>
        <v>2441</v>
      </c>
      <c r="Z12" s="2">
        <f t="shared" si="5"/>
        <v>12</v>
      </c>
      <c r="AA12" s="2">
        <f t="shared" si="6"/>
        <v>203.42</v>
      </c>
      <c r="AB12" s="2" t="str">
        <f>IFERROR(VLOOKUP(B12,'Mitglieder BBU'!A:K,12,0),"")</f>
        <v/>
      </c>
      <c r="AC12" s="2">
        <f t="shared" si="7"/>
        <v>234</v>
      </c>
      <c r="AD12" s="2">
        <f t="array" ref="AD12">MIN(IF(D12:U12&lt;&gt;0,D12:U12))</f>
        <v>170</v>
      </c>
    </row>
    <row r="13">
      <c r="A13" s="2">
        <v>10.0</v>
      </c>
      <c r="B13" s="111">
        <f>Spieler!B15</f>
        <v>38876</v>
      </c>
      <c r="D13" s="2">
        <f>IFERROR(VLOOKUP($B13,Vorrunde!B:H,2,0),)</f>
        <v>125</v>
      </c>
      <c r="E13" s="2">
        <f>IFERROR(VLOOKUP($B13,Vorrunde!$B:$H,3,0),)</f>
        <v>140</v>
      </c>
      <c r="F13" s="2">
        <f>IFERROR(VLOOKUP($B13,Vorrunde!$B:$H,4,0),0)</f>
        <v>157</v>
      </c>
      <c r="G13" s="2">
        <f>IFERROR(VLOOKUP($B13,Vorrunde!$B:$H,5,0),)</f>
        <v>211</v>
      </c>
      <c r="H13" s="2">
        <f>IFERROR(VLOOKUP($B13,Vorrunde!$B:$H,6,0),)</f>
        <v>175</v>
      </c>
      <c r="I13" s="2">
        <f>IFERROR(VLOOKUP($B13,Vorrunde!$B:$H,7,0),)</f>
        <v>116</v>
      </c>
      <c r="J13" s="2">
        <f>IFERROR(VLOOKUP($B13,Zwischenlauf!$B:$H,2,0),)</f>
        <v>146</v>
      </c>
      <c r="K13" s="2">
        <f>IFERROR(VLOOKUP($B13,Zwischenlauf!$B:$H,3,0),)</f>
        <v>157</v>
      </c>
      <c r="L13" s="2">
        <f>IFERROR(VLOOKUP($B13,Zwischenlauf!$B:$H,4,0),)</f>
        <v>138</v>
      </c>
      <c r="M13" s="2">
        <f>IFERROR(VLOOKUP($B13,Zwischenlauf!$B:$H,5,0),)</f>
        <v>157</v>
      </c>
      <c r="N13" s="2">
        <f>IFERROR(VLOOKUP($B13,Zwischenlauf!$B:$H,6,0),)</f>
        <v>144</v>
      </c>
      <c r="O13" s="2">
        <f>IFERROR(VLOOKUP($B13,Zwischenlauf!$B:$H,7,0),)</f>
        <v>157</v>
      </c>
      <c r="P13" s="2" t="str">
        <f>IFERROR(VLOOKUP($B13,Finalrunde!$B:$H,2,0),)</f>
        <v/>
      </c>
      <c r="Q13" s="2" t="str">
        <f>IFERROR(VLOOKUP($B13,Finalrunde!$B:$H,3,0),)</f>
        <v/>
      </c>
      <c r="R13" s="2" t="str">
        <f>IFERROR(VLOOKUP($B13,Finalrunde!$B:$H,4,0),)</f>
        <v/>
      </c>
      <c r="S13" s="2" t="str">
        <f>IFERROR(VLOOKUP($B13,Finalrunde!$B:$H,5,0),)</f>
        <v/>
      </c>
      <c r="T13" s="2" t="str">
        <f>IFERROR(VLOOKUP($B13,Finalrunde!$B:$H,6,0),)</f>
        <v/>
      </c>
      <c r="U13" s="2" t="str">
        <f>IFERROR(VLOOKUP($B13,Finalrunde!$B:$H,7,0),)</f>
        <v/>
      </c>
      <c r="V13" s="2">
        <f t="shared" si="1"/>
        <v>1823</v>
      </c>
      <c r="W13" s="2">
        <f t="shared" si="2"/>
        <v>0</v>
      </c>
      <c r="X13" s="2">
        <f t="shared" si="3"/>
        <v>0</v>
      </c>
      <c r="Y13" s="2">
        <f t="shared" si="4"/>
        <v>1823</v>
      </c>
      <c r="Z13" s="2">
        <f t="shared" si="5"/>
        <v>12</v>
      </c>
      <c r="AA13" s="2">
        <f t="shared" si="6"/>
        <v>151.92</v>
      </c>
      <c r="AB13" s="2" t="str">
        <f>IFERROR(VLOOKUP(B13,'Mitglieder BBU'!A:K,12,0),"")</f>
        <v/>
      </c>
      <c r="AC13" s="2">
        <f t="shared" si="7"/>
        <v>211</v>
      </c>
      <c r="AD13" s="2">
        <f t="array" ref="AD13">MIN(IF(D13:U13&lt;&gt;0,D13:U13))</f>
        <v>116</v>
      </c>
    </row>
    <row r="14">
      <c r="A14" s="2">
        <v>11.0</v>
      </c>
      <c r="B14" s="111">
        <f>Spieler!B16</f>
        <v>38780</v>
      </c>
      <c r="D14" s="2">
        <f>IFERROR(VLOOKUP($B14,Vorrunde!B:H,2,0),)</f>
        <v>140</v>
      </c>
      <c r="E14" s="2">
        <f>IFERROR(VLOOKUP($B14,Vorrunde!$B:$H,3,0),)</f>
        <v>165</v>
      </c>
      <c r="F14" s="2">
        <f>IFERROR(VLOOKUP($B14,Vorrunde!$B:$H,4,0),0)</f>
        <v>144</v>
      </c>
      <c r="G14" s="2">
        <f>IFERROR(VLOOKUP($B14,Vorrunde!$B:$H,5,0),)</f>
        <v>165</v>
      </c>
      <c r="H14" s="2">
        <f>IFERROR(VLOOKUP($B14,Vorrunde!$B:$H,6,0),)</f>
        <v>136</v>
      </c>
      <c r="I14" s="2">
        <f>IFERROR(VLOOKUP($B14,Vorrunde!$B:$H,7,0),)</f>
        <v>145</v>
      </c>
      <c r="J14" s="2">
        <f>IFERROR(VLOOKUP($B14,Zwischenlauf!$B:$H,2,0),)</f>
        <v>166</v>
      </c>
      <c r="K14" s="2">
        <f>IFERROR(VLOOKUP($B14,Zwischenlauf!$B:$H,3,0),)</f>
        <v>174</v>
      </c>
      <c r="L14" s="2">
        <f>IFERROR(VLOOKUP($B14,Zwischenlauf!$B:$H,4,0),)</f>
        <v>147</v>
      </c>
      <c r="M14" s="2">
        <f>IFERROR(VLOOKUP($B14,Zwischenlauf!$B:$H,5,0),)</f>
        <v>126</v>
      </c>
      <c r="N14" s="2">
        <f>IFERROR(VLOOKUP($B14,Zwischenlauf!$B:$H,6,0),)</f>
        <v>153</v>
      </c>
      <c r="O14" s="2">
        <f>IFERROR(VLOOKUP($B14,Zwischenlauf!$B:$H,7,0),)</f>
        <v>138</v>
      </c>
      <c r="P14" s="2" t="str">
        <f>IFERROR(VLOOKUP($B14,Finalrunde!$B:$H,2,0),)</f>
        <v/>
      </c>
      <c r="Q14" s="2" t="str">
        <f>IFERROR(VLOOKUP($B14,Finalrunde!$B:$H,3,0),)</f>
        <v/>
      </c>
      <c r="R14" s="2" t="str">
        <f>IFERROR(VLOOKUP($B14,Finalrunde!$B:$H,4,0),)</f>
        <v/>
      </c>
      <c r="S14" s="2" t="str">
        <f>IFERROR(VLOOKUP($B14,Finalrunde!$B:$H,5,0),)</f>
        <v/>
      </c>
      <c r="T14" s="2" t="str">
        <f>IFERROR(VLOOKUP($B14,Finalrunde!$B:$H,6,0),)</f>
        <v/>
      </c>
      <c r="U14" s="2" t="str">
        <f>IFERROR(VLOOKUP($B14,Finalrunde!$B:$H,7,0),)</f>
        <v/>
      </c>
      <c r="V14" s="2">
        <f t="shared" si="1"/>
        <v>1799</v>
      </c>
      <c r="W14" s="2">
        <f t="shared" si="2"/>
        <v>0</v>
      </c>
      <c r="X14" s="2">
        <f t="shared" si="3"/>
        <v>0</v>
      </c>
      <c r="Y14" s="2">
        <f t="shared" si="4"/>
        <v>1799</v>
      </c>
      <c r="Z14" s="2">
        <f t="shared" si="5"/>
        <v>12</v>
      </c>
      <c r="AA14" s="2">
        <f t="shared" si="6"/>
        <v>149.92</v>
      </c>
      <c r="AB14" s="2" t="str">
        <f>IFERROR(VLOOKUP(B14,'Mitglieder BBU'!A:K,12,0),"")</f>
        <v/>
      </c>
      <c r="AC14" s="2">
        <f t="shared" si="7"/>
        <v>174</v>
      </c>
      <c r="AD14" s="2">
        <f t="array" ref="AD14">MIN(IF(D14:U14&lt;&gt;0,D14:U14))</f>
        <v>126</v>
      </c>
    </row>
    <row r="15">
      <c r="A15" s="2">
        <v>12.0</v>
      </c>
      <c r="B15" s="111">
        <f>Spieler!B17</f>
        <v>38789</v>
      </c>
      <c r="D15" s="2">
        <f>IFERROR(VLOOKUP($B15,Vorrunde!B:H,2,0),)</f>
        <v>118</v>
      </c>
      <c r="E15" s="2">
        <f>IFERROR(VLOOKUP($B15,Vorrunde!$B:$H,3,0),)</f>
        <v>144</v>
      </c>
      <c r="F15" s="2">
        <f>IFERROR(VLOOKUP($B15,Vorrunde!$B:$H,4,0),0)</f>
        <v>128</v>
      </c>
      <c r="G15" s="2">
        <f>IFERROR(VLOOKUP($B15,Vorrunde!$B:$H,5,0),)</f>
        <v>102</v>
      </c>
      <c r="H15" s="2">
        <f>IFERROR(VLOOKUP($B15,Vorrunde!$B:$H,6,0),)</f>
        <v>112</v>
      </c>
      <c r="I15" s="2">
        <f>IFERROR(VLOOKUP($B15,Vorrunde!$B:$H,7,0),)</f>
        <v>172</v>
      </c>
      <c r="J15" s="2">
        <f>IFERROR(VLOOKUP($B15,Zwischenlauf!$B:$H,2,0),)</f>
        <v>135</v>
      </c>
      <c r="K15" s="2">
        <f>IFERROR(VLOOKUP($B15,Zwischenlauf!$B:$H,3,0),)</f>
        <v>141</v>
      </c>
      <c r="L15" s="2">
        <f>IFERROR(VLOOKUP($B15,Zwischenlauf!$B:$H,4,0),)</f>
        <v>118</v>
      </c>
      <c r="M15" s="2">
        <f>IFERROR(VLOOKUP($B15,Zwischenlauf!$B:$H,5,0),)</f>
        <v>119</v>
      </c>
      <c r="N15" s="2">
        <f>IFERROR(VLOOKUP($B15,Zwischenlauf!$B:$H,6,0),)</f>
        <v>158</v>
      </c>
      <c r="O15" s="2">
        <f>IFERROR(VLOOKUP($B15,Zwischenlauf!$B:$H,7,0),)</f>
        <v>127</v>
      </c>
      <c r="P15" s="2" t="str">
        <f>IFERROR(VLOOKUP($B15,Finalrunde!$B:$H,2,0),)</f>
        <v/>
      </c>
      <c r="Q15" s="2" t="str">
        <f>IFERROR(VLOOKUP($B15,Finalrunde!$B:$H,3,0),)</f>
        <v/>
      </c>
      <c r="R15" s="2" t="str">
        <f>IFERROR(VLOOKUP($B15,Finalrunde!$B:$H,4,0),)</f>
        <v/>
      </c>
      <c r="S15" s="2" t="str">
        <f>IFERROR(VLOOKUP($B15,Finalrunde!$B:$H,5,0),)</f>
        <v/>
      </c>
      <c r="T15" s="2" t="str">
        <f>IFERROR(VLOOKUP($B15,Finalrunde!$B:$H,6,0),)</f>
        <v/>
      </c>
      <c r="U15" s="2" t="str">
        <f>IFERROR(VLOOKUP($B15,Finalrunde!$B:$H,7,0),)</f>
        <v/>
      </c>
      <c r="V15" s="2">
        <f t="shared" si="1"/>
        <v>1574</v>
      </c>
      <c r="W15" s="2">
        <f t="shared" si="2"/>
        <v>0</v>
      </c>
      <c r="X15" s="2">
        <f t="shared" si="3"/>
        <v>0</v>
      </c>
      <c r="Y15" s="2">
        <f t="shared" si="4"/>
        <v>1574</v>
      </c>
      <c r="Z15" s="2">
        <f t="shared" si="5"/>
        <v>12</v>
      </c>
      <c r="AA15" s="2">
        <f t="shared" si="6"/>
        <v>131.17</v>
      </c>
      <c r="AB15" s="2" t="str">
        <f>IFERROR(VLOOKUP(B15,'Mitglieder BBU'!A:K,12,0),"")</f>
        <v/>
      </c>
      <c r="AC15" s="2">
        <f t="shared" si="7"/>
        <v>172</v>
      </c>
      <c r="AD15" s="2">
        <f t="array" ref="AD15">MIN(IF(D15:U15&lt;&gt;0,D15:U15))</f>
        <v>102</v>
      </c>
    </row>
    <row r="16">
      <c r="A16" s="2">
        <v>13.0</v>
      </c>
      <c r="B16" s="111">
        <f>Spieler!B18</f>
        <v>38173</v>
      </c>
      <c r="D16" s="2">
        <f>IFERROR(VLOOKUP($B16,Vorrunde!B:H,2,0),)</f>
        <v>175</v>
      </c>
      <c r="E16" s="2">
        <f>IFERROR(VLOOKUP($B16,Vorrunde!$B:$H,3,0),)</f>
        <v>147</v>
      </c>
      <c r="F16" s="2">
        <f>IFERROR(VLOOKUP($B16,Vorrunde!$B:$H,4,0),0)</f>
        <v>132</v>
      </c>
      <c r="G16" s="2">
        <f>IFERROR(VLOOKUP($B16,Vorrunde!$B:$H,5,0),)</f>
        <v>136</v>
      </c>
      <c r="H16" s="2">
        <f>IFERROR(VLOOKUP($B16,Vorrunde!$B:$H,6,0),)</f>
        <v>144</v>
      </c>
      <c r="I16" s="2">
        <f>IFERROR(VLOOKUP($B16,Vorrunde!$B:$H,7,0),)</f>
        <v>133</v>
      </c>
      <c r="J16" s="2">
        <f>IFERROR(VLOOKUP($B16,Zwischenlauf!$B:$H,2,0),)</f>
        <v>159</v>
      </c>
      <c r="K16" s="2">
        <f>IFERROR(VLOOKUP($B16,Zwischenlauf!$B:$H,3,0),)</f>
        <v>168</v>
      </c>
      <c r="L16" s="2">
        <f>IFERROR(VLOOKUP($B16,Zwischenlauf!$B:$H,4,0),)</f>
        <v>160</v>
      </c>
      <c r="M16" s="2">
        <f>IFERROR(VLOOKUP($B16,Zwischenlauf!$B:$H,5,0),)</f>
        <v>136</v>
      </c>
      <c r="N16" s="2">
        <f>IFERROR(VLOOKUP($B16,Zwischenlauf!$B:$H,6,0),)</f>
        <v>139</v>
      </c>
      <c r="O16" s="2">
        <f>IFERROR(VLOOKUP($B16,Zwischenlauf!$B:$H,7,0),)</f>
        <v>155</v>
      </c>
      <c r="P16" s="2" t="str">
        <f>IFERROR(VLOOKUP($B16,Finalrunde!$B:$H,2,0),)</f>
        <v/>
      </c>
      <c r="Q16" s="2" t="str">
        <f>IFERROR(VLOOKUP($B16,Finalrunde!$B:$H,3,0),)</f>
        <v/>
      </c>
      <c r="R16" s="2" t="str">
        <f>IFERROR(VLOOKUP($B16,Finalrunde!$B:$H,4,0),)</f>
        <v/>
      </c>
      <c r="S16" s="2" t="str">
        <f>IFERROR(VLOOKUP($B16,Finalrunde!$B:$H,5,0),)</f>
        <v/>
      </c>
      <c r="T16" s="2" t="str">
        <f>IFERROR(VLOOKUP($B16,Finalrunde!$B:$H,6,0),)</f>
        <v/>
      </c>
      <c r="U16" s="2" t="str">
        <f>IFERROR(VLOOKUP($B16,Finalrunde!$B:$H,7,0),)</f>
        <v/>
      </c>
      <c r="V16" s="2">
        <f t="shared" si="1"/>
        <v>1784</v>
      </c>
      <c r="W16" s="2">
        <f t="shared" si="2"/>
        <v>0</v>
      </c>
      <c r="X16" s="2">
        <f t="shared" si="3"/>
        <v>0</v>
      </c>
      <c r="Y16" s="2">
        <f t="shared" si="4"/>
        <v>1784</v>
      </c>
      <c r="Z16" s="2">
        <f t="shared" si="5"/>
        <v>12</v>
      </c>
      <c r="AA16" s="2">
        <f t="shared" si="6"/>
        <v>148.67</v>
      </c>
      <c r="AB16" s="2" t="str">
        <f>IFERROR(VLOOKUP(B16,'Mitglieder BBU'!A:K,12,0),"")</f>
        <v/>
      </c>
      <c r="AC16" s="2">
        <f t="shared" si="7"/>
        <v>175</v>
      </c>
      <c r="AD16" s="2">
        <f t="array" ref="AD16">MIN(IF(D16:U16&lt;&gt;0,D16:U16))</f>
        <v>132</v>
      </c>
    </row>
    <row r="17">
      <c r="A17" s="2">
        <v>14.0</v>
      </c>
      <c r="B17" s="111">
        <f>Spieler!B19</f>
        <v>36696</v>
      </c>
      <c r="D17" s="2">
        <f>IFERROR(VLOOKUP($B17,Vorrunde!B:H,2,0),)</f>
        <v>169</v>
      </c>
      <c r="E17" s="2">
        <f>IFERROR(VLOOKUP($B17,Vorrunde!$B:$H,3,0),)</f>
        <v>227</v>
      </c>
      <c r="F17" s="2">
        <f>IFERROR(VLOOKUP($B17,Vorrunde!$B:$H,4,0),0)</f>
        <v>202</v>
      </c>
      <c r="G17" s="2">
        <f>IFERROR(VLOOKUP($B17,Vorrunde!$B:$H,5,0),)</f>
        <v>245</v>
      </c>
      <c r="H17" s="2">
        <f>IFERROR(VLOOKUP($B17,Vorrunde!$B:$H,6,0),)</f>
        <v>255</v>
      </c>
      <c r="I17" s="2">
        <f>IFERROR(VLOOKUP($B17,Vorrunde!$B:$H,7,0),)</f>
        <v>178</v>
      </c>
      <c r="J17" s="2">
        <f>IFERROR(VLOOKUP($B17,Zwischenlauf!$B:$H,2,0),)</f>
        <v>182</v>
      </c>
      <c r="K17" s="2">
        <f>IFERROR(VLOOKUP($B17,Zwischenlauf!$B:$H,3,0),)</f>
        <v>164</v>
      </c>
      <c r="L17" s="2">
        <f>IFERROR(VLOOKUP($B17,Zwischenlauf!$B:$H,4,0),)</f>
        <v>191</v>
      </c>
      <c r="M17" s="2">
        <f>IFERROR(VLOOKUP($B17,Zwischenlauf!$B:$H,5,0),)</f>
        <v>170</v>
      </c>
      <c r="N17" s="2">
        <f>IFERROR(VLOOKUP($B17,Zwischenlauf!$B:$H,6,0),)</f>
        <v>198</v>
      </c>
      <c r="O17" s="2">
        <f>IFERROR(VLOOKUP($B17,Zwischenlauf!$B:$H,7,0),)</f>
        <v>165</v>
      </c>
      <c r="P17" s="2" t="str">
        <f>IFERROR(VLOOKUP($B17,Finalrunde!$B:$H,2,0),)</f>
        <v/>
      </c>
      <c r="Q17" s="2" t="str">
        <f>IFERROR(VLOOKUP($B17,Finalrunde!$B:$H,3,0),)</f>
        <v/>
      </c>
      <c r="R17" s="2" t="str">
        <f>IFERROR(VLOOKUP($B17,Finalrunde!$B:$H,4,0),)</f>
        <v/>
      </c>
      <c r="S17" s="2" t="str">
        <f>IFERROR(VLOOKUP($B17,Finalrunde!$B:$H,5,0),)</f>
        <v/>
      </c>
      <c r="T17" s="2" t="str">
        <f>IFERROR(VLOOKUP($B17,Finalrunde!$B:$H,6,0),)</f>
        <v/>
      </c>
      <c r="U17" s="2" t="str">
        <f>IFERROR(VLOOKUP($B17,Finalrunde!$B:$H,7,0),)</f>
        <v/>
      </c>
      <c r="V17" s="2">
        <f t="shared" si="1"/>
        <v>2346</v>
      </c>
      <c r="W17" s="2">
        <f t="shared" si="2"/>
        <v>0</v>
      </c>
      <c r="X17" s="2">
        <f t="shared" si="3"/>
        <v>0</v>
      </c>
      <c r="Y17" s="2">
        <f t="shared" si="4"/>
        <v>2346</v>
      </c>
      <c r="Z17" s="2">
        <f t="shared" si="5"/>
        <v>12</v>
      </c>
      <c r="AA17" s="2">
        <f t="shared" si="6"/>
        <v>195.5</v>
      </c>
      <c r="AB17" s="2" t="str">
        <f>IFERROR(VLOOKUP(B17,'Mitglieder BBU'!A:K,12,0),"")</f>
        <v/>
      </c>
      <c r="AC17" s="2">
        <f t="shared" si="7"/>
        <v>255</v>
      </c>
      <c r="AD17" s="2">
        <f t="array" ref="AD17">MIN(IF(D17:U17&lt;&gt;0,D17:U17))</f>
        <v>164</v>
      </c>
    </row>
    <row r="18">
      <c r="A18" s="2">
        <v>15.0</v>
      </c>
      <c r="B18" s="111">
        <f>Spieler!B20</f>
        <v>7083</v>
      </c>
      <c r="D18" s="2">
        <f>IFERROR(VLOOKUP($B18,Vorrunde!B:H,2,0),)</f>
        <v>215</v>
      </c>
      <c r="E18" s="2">
        <f>IFERROR(VLOOKUP($B18,Vorrunde!$B:$H,3,0),)</f>
        <v>134</v>
      </c>
      <c r="F18" s="2">
        <f>IFERROR(VLOOKUP($B18,Vorrunde!$B:$H,4,0),0)</f>
        <v>182</v>
      </c>
      <c r="G18" s="2">
        <f>IFERROR(VLOOKUP($B18,Vorrunde!$B:$H,5,0),)</f>
        <v>247</v>
      </c>
      <c r="H18" s="2">
        <f>IFERROR(VLOOKUP($B18,Vorrunde!$B:$H,6,0),)</f>
        <v>149</v>
      </c>
      <c r="I18" s="2">
        <f>IFERROR(VLOOKUP($B18,Vorrunde!$B:$H,7,0),)</f>
        <v>226</v>
      </c>
      <c r="J18" s="2">
        <f>IFERROR(VLOOKUP($B18,Zwischenlauf!$B:$H,2,0),)</f>
        <v>200</v>
      </c>
      <c r="K18" s="2">
        <f>IFERROR(VLOOKUP($B18,Zwischenlauf!$B:$H,3,0),)</f>
        <v>200</v>
      </c>
      <c r="L18" s="2">
        <f>IFERROR(VLOOKUP($B18,Zwischenlauf!$B:$H,4,0),)</f>
        <v>203</v>
      </c>
      <c r="M18" s="2">
        <f>IFERROR(VLOOKUP($B18,Zwischenlauf!$B:$H,5,0),)</f>
        <v>166</v>
      </c>
      <c r="N18" s="2">
        <f>IFERROR(VLOOKUP($B18,Zwischenlauf!$B:$H,6,0),)</f>
        <v>197</v>
      </c>
      <c r="O18" s="2">
        <f>IFERROR(VLOOKUP($B18,Zwischenlauf!$B:$H,7,0),)</f>
        <v>150</v>
      </c>
      <c r="P18" s="2" t="str">
        <f>IFERROR(VLOOKUP($B18,Finalrunde!$B:$H,2,0),)</f>
        <v/>
      </c>
      <c r="Q18" s="2" t="str">
        <f>IFERROR(VLOOKUP($B18,Finalrunde!$B:$H,3,0),)</f>
        <v/>
      </c>
      <c r="R18" s="2" t="str">
        <f>IFERROR(VLOOKUP($B18,Finalrunde!$B:$H,4,0),)</f>
        <v/>
      </c>
      <c r="S18" s="2" t="str">
        <f>IFERROR(VLOOKUP($B18,Finalrunde!$B:$H,5,0),)</f>
        <v/>
      </c>
      <c r="T18" s="2" t="str">
        <f>IFERROR(VLOOKUP($B18,Finalrunde!$B:$H,6,0),)</f>
        <v/>
      </c>
      <c r="U18" s="2" t="str">
        <f>IFERROR(VLOOKUP($B18,Finalrunde!$B:$H,7,0),)</f>
        <v/>
      </c>
      <c r="V18" s="2">
        <f t="shared" si="1"/>
        <v>2269</v>
      </c>
      <c r="W18" s="2">
        <f t="shared" si="2"/>
        <v>0</v>
      </c>
      <c r="X18" s="2">
        <f t="shared" si="3"/>
        <v>0</v>
      </c>
      <c r="Y18" s="2">
        <f t="shared" si="4"/>
        <v>2269</v>
      </c>
      <c r="Z18" s="2">
        <f t="shared" si="5"/>
        <v>12</v>
      </c>
      <c r="AA18" s="2">
        <f t="shared" si="6"/>
        <v>189.08</v>
      </c>
      <c r="AB18" s="2" t="str">
        <f>IFERROR(VLOOKUP(B18,'Mitglieder BBU'!A:K,12,0),"")</f>
        <v/>
      </c>
      <c r="AC18" s="2">
        <f t="shared" si="7"/>
        <v>247</v>
      </c>
      <c r="AD18" s="2">
        <f t="array" ref="AD18">MIN(IF(D18:U18&lt;&gt;0,D18:U18))</f>
        <v>134</v>
      </c>
    </row>
    <row r="19">
      <c r="A19" s="2">
        <v>16.0</v>
      </c>
      <c r="B19" s="111">
        <f>Spieler!B21</f>
        <v>38555</v>
      </c>
      <c r="D19" s="2">
        <f>IFERROR(VLOOKUP($B19,Vorrunde!B:H,2,0),)</f>
        <v>170</v>
      </c>
      <c r="E19" s="2">
        <f>IFERROR(VLOOKUP($B19,Vorrunde!$B:$H,3,0),)</f>
        <v>146</v>
      </c>
      <c r="F19" s="2">
        <f>IFERROR(VLOOKUP($B19,Vorrunde!$B:$H,4,0),0)</f>
        <v>151</v>
      </c>
      <c r="G19" s="2">
        <f>IFERROR(VLOOKUP($B19,Vorrunde!$B:$H,5,0),)</f>
        <v>139</v>
      </c>
      <c r="H19" s="2">
        <f>IFERROR(VLOOKUP($B19,Vorrunde!$B:$H,6,0),)</f>
        <v>132</v>
      </c>
      <c r="I19" s="2">
        <f>IFERROR(VLOOKUP($B19,Vorrunde!$B:$H,7,0),)</f>
        <v>125</v>
      </c>
      <c r="J19" s="2">
        <f>IFERROR(VLOOKUP($B19,Zwischenlauf!$B:$H,2,0),)</f>
        <v>160</v>
      </c>
      <c r="K19" s="2">
        <f>IFERROR(VLOOKUP($B19,Zwischenlauf!$B:$H,3,0),)</f>
        <v>178</v>
      </c>
      <c r="L19" s="2">
        <f>IFERROR(VLOOKUP($B19,Zwischenlauf!$B:$H,4,0),)</f>
        <v>145</v>
      </c>
      <c r="M19" s="2">
        <f>IFERROR(VLOOKUP($B19,Zwischenlauf!$B:$H,5,0),)</f>
        <v>170</v>
      </c>
      <c r="N19" s="2">
        <f>IFERROR(VLOOKUP($B19,Zwischenlauf!$B:$H,6,0),)</f>
        <v>166</v>
      </c>
      <c r="O19" s="2">
        <f>IFERROR(VLOOKUP($B19,Zwischenlauf!$B:$H,7,0),)</f>
        <v>168</v>
      </c>
      <c r="P19" s="2" t="str">
        <f>IFERROR(VLOOKUP($B19,Finalrunde!$B:$H,2,0),)</f>
        <v/>
      </c>
      <c r="Q19" s="2" t="str">
        <f>IFERROR(VLOOKUP($B19,Finalrunde!$B:$H,3,0),)</f>
        <v/>
      </c>
      <c r="R19" s="2" t="str">
        <f>IFERROR(VLOOKUP($B19,Finalrunde!$B:$H,4,0),)</f>
        <v/>
      </c>
      <c r="S19" s="2" t="str">
        <f>IFERROR(VLOOKUP($B19,Finalrunde!$B:$H,5,0),)</f>
        <v/>
      </c>
      <c r="T19" s="2" t="str">
        <f>IFERROR(VLOOKUP($B19,Finalrunde!$B:$H,6,0),)</f>
        <v/>
      </c>
      <c r="U19" s="2" t="str">
        <f>IFERROR(VLOOKUP($B19,Finalrunde!$B:$H,7,0),)</f>
        <v/>
      </c>
      <c r="V19" s="2">
        <f t="shared" si="1"/>
        <v>1850</v>
      </c>
      <c r="W19" s="2">
        <f t="shared" si="2"/>
        <v>0</v>
      </c>
      <c r="X19" s="2">
        <f t="shared" si="3"/>
        <v>0</v>
      </c>
      <c r="Y19" s="2">
        <f t="shared" si="4"/>
        <v>1850</v>
      </c>
      <c r="Z19" s="2">
        <f t="shared" si="5"/>
        <v>12</v>
      </c>
      <c r="AA19" s="2">
        <f t="shared" si="6"/>
        <v>154.17</v>
      </c>
      <c r="AB19" s="2" t="str">
        <f>IFERROR(VLOOKUP(B19,'Mitglieder BBU'!A:K,12,0),"")</f>
        <v/>
      </c>
      <c r="AC19" s="2">
        <f t="shared" si="7"/>
        <v>178</v>
      </c>
      <c r="AD19" s="2">
        <f t="array" ref="AD19">MIN(IF(D19:U19&lt;&gt;0,D19:U19))</f>
        <v>125</v>
      </c>
    </row>
    <row r="20">
      <c r="A20" s="2">
        <v>17.0</v>
      </c>
      <c r="B20" s="111">
        <f>Spieler!B22</f>
        <v>38355</v>
      </c>
      <c r="D20" s="2">
        <f>IFERROR(VLOOKUP($B20,Vorrunde!B:H,2,0),)</f>
        <v>151</v>
      </c>
      <c r="E20" s="2">
        <f>IFERROR(VLOOKUP($B20,Vorrunde!$B:$H,3,0),)</f>
        <v>135</v>
      </c>
      <c r="F20" s="2">
        <f>IFERROR(VLOOKUP($B20,Vorrunde!$B:$H,4,0),0)</f>
        <v>164</v>
      </c>
      <c r="G20" s="2">
        <f>IFERROR(VLOOKUP($B20,Vorrunde!$B:$H,5,0),)</f>
        <v>171</v>
      </c>
      <c r="H20" s="2">
        <f>IFERROR(VLOOKUP($B20,Vorrunde!$B:$H,6,0),)</f>
        <v>145</v>
      </c>
      <c r="I20" s="2">
        <f>IFERROR(VLOOKUP($B20,Vorrunde!$B:$H,7,0),)</f>
        <v>178</v>
      </c>
      <c r="J20" s="2">
        <f>IFERROR(VLOOKUP($B20,Zwischenlauf!$B:$H,2,0),)</f>
        <v>182</v>
      </c>
      <c r="K20" s="2">
        <f>IFERROR(VLOOKUP($B20,Zwischenlauf!$B:$H,3,0),)</f>
        <v>182</v>
      </c>
      <c r="L20" s="2">
        <f>IFERROR(VLOOKUP($B20,Zwischenlauf!$B:$H,4,0),)</f>
        <v>203</v>
      </c>
      <c r="M20" s="2">
        <f>IFERROR(VLOOKUP($B20,Zwischenlauf!$B:$H,5,0),)</f>
        <v>190</v>
      </c>
      <c r="N20" s="2">
        <f>IFERROR(VLOOKUP($B20,Zwischenlauf!$B:$H,6,0),)</f>
        <v>179</v>
      </c>
      <c r="O20" s="2">
        <f>IFERROR(VLOOKUP($B20,Zwischenlauf!$B:$H,7,0),)</f>
        <v>157</v>
      </c>
      <c r="P20" s="2" t="str">
        <f>IFERROR(VLOOKUP($B20,Finalrunde!$B:$H,2,0),)</f>
        <v/>
      </c>
      <c r="Q20" s="2" t="str">
        <f>IFERROR(VLOOKUP($B20,Finalrunde!$B:$H,3,0),)</f>
        <v/>
      </c>
      <c r="R20" s="2" t="str">
        <f>IFERROR(VLOOKUP($B20,Finalrunde!$B:$H,4,0),)</f>
        <v/>
      </c>
      <c r="S20" s="2" t="str">
        <f>IFERROR(VLOOKUP($B20,Finalrunde!$B:$H,5,0),)</f>
        <v/>
      </c>
      <c r="T20" s="2" t="str">
        <f>IFERROR(VLOOKUP($B20,Finalrunde!$B:$H,6,0),)</f>
        <v/>
      </c>
      <c r="U20" s="2" t="str">
        <f>IFERROR(VLOOKUP($B20,Finalrunde!$B:$H,7,0),)</f>
        <v/>
      </c>
      <c r="V20" s="2">
        <f t="shared" si="1"/>
        <v>2037</v>
      </c>
      <c r="W20" s="2">
        <f t="shared" si="2"/>
        <v>0</v>
      </c>
      <c r="X20" s="2">
        <f t="shared" si="3"/>
        <v>0</v>
      </c>
      <c r="Y20" s="2">
        <f t="shared" si="4"/>
        <v>2037</v>
      </c>
      <c r="Z20" s="2">
        <f t="shared" si="5"/>
        <v>12</v>
      </c>
      <c r="AA20" s="2">
        <f t="shared" si="6"/>
        <v>169.75</v>
      </c>
      <c r="AB20" s="2" t="str">
        <f>IFERROR(VLOOKUP(B20,'Mitglieder BBU'!A:K,12,0),"")</f>
        <v/>
      </c>
      <c r="AC20" s="2">
        <f t="shared" si="7"/>
        <v>203</v>
      </c>
      <c r="AD20" s="2">
        <f t="array" ref="AD20">MIN(IF(D20:U20&lt;&gt;0,D20:U20))</f>
        <v>135</v>
      </c>
    </row>
    <row r="21">
      <c r="A21" s="2">
        <v>18.0</v>
      </c>
      <c r="B21" s="111">
        <f>Spieler!B23</f>
        <v>25857</v>
      </c>
      <c r="D21" s="2">
        <f>IFERROR(VLOOKUP($B21,Vorrunde!B:H,2,0),)</f>
        <v>196</v>
      </c>
      <c r="E21" s="2">
        <f>IFERROR(VLOOKUP($B21,Vorrunde!$B:$H,3,0),)</f>
        <v>138</v>
      </c>
      <c r="F21" s="2">
        <f>IFERROR(VLOOKUP($B21,Vorrunde!$B:$H,4,0),0)</f>
        <v>194</v>
      </c>
      <c r="G21" s="2">
        <f>IFERROR(VLOOKUP($B21,Vorrunde!$B:$H,5,0),)</f>
        <v>190</v>
      </c>
      <c r="H21" s="2">
        <f>IFERROR(VLOOKUP($B21,Vorrunde!$B:$H,6,0),)</f>
        <v>225</v>
      </c>
      <c r="I21" s="2">
        <f>IFERROR(VLOOKUP($B21,Vorrunde!$B:$H,7,0),)</f>
        <v>161</v>
      </c>
      <c r="J21" s="2">
        <f>IFERROR(VLOOKUP($B21,Zwischenlauf!$B:$H,2,0),)</f>
        <v>180</v>
      </c>
      <c r="K21" s="2">
        <f>IFERROR(VLOOKUP($B21,Zwischenlauf!$B:$H,3,0),)</f>
        <v>174</v>
      </c>
      <c r="L21" s="2">
        <f>IFERROR(VLOOKUP($B21,Zwischenlauf!$B:$H,4,0),)</f>
        <v>200</v>
      </c>
      <c r="M21" s="2">
        <f>IFERROR(VLOOKUP($B21,Zwischenlauf!$B:$H,5,0),)</f>
        <v>156</v>
      </c>
      <c r="N21" s="2">
        <f>IFERROR(VLOOKUP($B21,Zwischenlauf!$B:$H,6,0),)</f>
        <v>151</v>
      </c>
      <c r="O21" s="2">
        <f>IFERROR(VLOOKUP($B21,Zwischenlauf!$B:$H,7,0),)</f>
        <v>235</v>
      </c>
      <c r="P21" s="2" t="str">
        <f>IFERROR(VLOOKUP($B21,Finalrunde!$B:$H,2,0),)</f>
        <v/>
      </c>
      <c r="Q21" s="2" t="str">
        <f>IFERROR(VLOOKUP($B21,Finalrunde!$B:$H,3,0),)</f>
        <v/>
      </c>
      <c r="R21" s="2" t="str">
        <f>IFERROR(VLOOKUP($B21,Finalrunde!$B:$H,4,0),)</f>
        <v/>
      </c>
      <c r="S21" s="2" t="str">
        <f>IFERROR(VLOOKUP($B21,Finalrunde!$B:$H,5,0),)</f>
        <v/>
      </c>
      <c r="T21" s="2" t="str">
        <f>IFERROR(VLOOKUP($B21,Finalrunde!$B:$H,6,0),)</f>
        <v/>
      </c>
      <c r="U21" s="2" t="str">
        <f>IFERROR(VLOOKUP($B21,Finalrunde!$B:$H,7,0),)</f>
        <v/>
      </c>
      <c r="V21" s="2">
        <f t="shared" si="1"/>
        <v>2200</v>
      </c>
      <c r="W21" s="2">
        <f t="shared" si="2"/>
        <v>0</v>
      </c>
      <c r="X21" s="2">
        <f t="shared" si="3"/>
        <v>0</v>
      </c>
      <c r="Y21" s="2">
        <f t="shared" si="4"/>
        <v>2200</v>
      </c>
      <c r="Z21" s="2">
        <f t="shared" si="5"/>
        <v>12</v>
      </c>
      <c r="AA21" s="2">
        <f t="shared" si="6"/>
        <v>183.33</v>
      </c>
      <c r="AB21" s="2" t="str">
        <f>IFERROR(VLOOKUP(B21,'Mitglieder BBU'!A:K,12,0),"")</f>
        <v/>
      </c>
      <c r="AC21" s="2">
        <f t="shared" si="7"/>
        <v>235</v>
      </c>
      <c r="AD21" s="2">
        <f t="array" ref="AD21">MIN(IF(D21:U21&lt;&gt;0,D21:U21))</f>
        <v>138</v>
      </c>
    </row>
    <row r="22">
      <c r="A22" s="2">
        <v>19.0</v>
      </c>
      <c r="B22" s="111">
        <f>Spieler!B24</f>
        <v>25630</v>
      </c>
      <c r="D22" s="2">
        <f>IFERROR(VLOOKUP($B22,Vorrunde!B:H,2,0),)</f>
        <v>155</v>
      </c>
      <c r="E22" s="2">
        <f>IFERROR(VLOOKUP($B22,Vorrunde!$B:$H,3,0),)</f>
        <v>202</v>
      </c>
      <c r="F22" s="2">
        <f>IFERROR(VLOOKUP($B22,Vorrunde!$B:$H,4,0),0)</f>
        <v>168</v>
      </c>
      <c r="G22" s="2">
        <f>IFERROR(VLOOKUP($B22,Vorrunde!$B:$H,5,0),)</f>
        <v>171</v>
      </c>
      <c r="H22" s="2">
        <f>IFERROR(VLOOKUP($B22,Vorrunde!$B:$H,6,0),)</f>
        <v>159</v>
      </c>
      <c r="I22" s="2">
        <f>IFERROR(VLOOKUP($B22,Vorrunde!$B:$H,7,0),)</f>
        <v>167</v>
      </c>
      <c r="J22" s="2">
        <f>IFERROR(VLOOKUP($B22,Zwischenlauf!$B:$H,2,0),)</f>
        <v>210</v>
      </c>
      <c r="K22" s="2">
        <f>IFERROR(VLOOKUP($B22,Zwischenlauf!$B:$H,3,0),)</f>
        <v>171</v>
      </c>
      <c r="L22" s="2">
        <f>IFERROR(VLOOKUP($B22,Zwischenlauf!$B:$H,4,0),)</f>
        <v>184</v>
      </c>
      <c r="M22" s="2">
        <f>IFERROR(VLOOKUP($B22,Zwischenlauf!$B:$H,5,0),)</f>
        <v>181</v>
      </c>
      <c r="N22" s="2">
        <f>IFERROR(VLOOKUP($B22,Zwischenlauf!$B:$H,6,0),)</f>
        <v>155</v>
      </c>
      <c r="O22" s="2">
        <f>IFERROR(VLOOKUP($B22,Zwischenlauf!$B:$H,7,0),)</f>
        <v>158</v>
      </c>
      <c r="P22" s="2" t="str">
        <f>IFERROR(VLOOKUP($B22,Finalrunde!$B:$H,2,0),)</f>
        <v/>
      </c>
      <c r="Q22" s="2" t="str">
        <f>IFERROR(VLOOKUP($B22,Finalrunde!$B:$H,3,0),)</f>
        <v/>
      </c>
      <c r="R22" s="2" t="str">
        <f>IFERROR(VLOOKUP($B22,Finalrunde!$B:$H,4,0),)</f>
        <v/>
      </c>
      <c r="S22" s="2" t="str">
        <f>IFERROR(VLOOKUP($B22,Finalrunde!$B:$H,5,0),)</f>
        <v/>
      </c>
      <c r="T22" s="2" t="str">
        <f>IFERROR(VLOOKUP($B22,Finalrunde!$B:$H,6,0),)</f>
        <v/>
      </c>
      <c r="U22" s="2" t="str">
        <f>IFERROR(VLOOKUP($B22,Finalrunde!$B:$H,7,0),)</f>
        <v/>
      </c>
      <c r="V22" s="2">
        <f t="shared" si="1"/>
        <v>2081</v>
      </c>
      <c r="W22" s="2">
        <f t="shared" si="2"/>
        <v>0</v>
      </c>
      <c r="X22" s="2">
        <f t="shared" si="3"/>
        <v>0</v>
      </c>
      <c r="Y22" s="2">
        <f t="shared" si="4"/>
        <v>2081</v>
      </c>
      <c r="Z22" s="2">
        <f t="shared" si="5"/>
        <v>12</v>
      </c>
      <c r="AA22" s="2">
        <f t="shared" si="6"/>
        <v>173.42</v>
      </c>
      <c r="AB22" s="2" t="str">
        <f>IFERROR(VLOOKUP(B22,'Mitglieder BBU'!A:K,12,0),"")</f>
        <v/>
      </c>
      <c r="AC22" s="2">
        <f t="shared" si="7"/>
        <v>210</v>
      </c>
      <c r="AD22" s="2">
        <f t="array" ref="AD22">MIN(IF(D22:U22&lt;&gt;0,D22:U22))</f>
        <v>155</v>
      </c>
    </row>
    <row r="23">
      <c r="A23" s="2">
        <v>20.0</v>
      </c>
      <c r="B23" s="111">
        <f>Spieler!B25</f>
        <v>16093</v>
      </c>
      <c r="D23" s="2">
        <f>IFERROR(VLOOKUP($B23,Vorrunde!B:H,2,0),)</f>
        <v>199</v>
      </c>
      <c r="E23" s="2">
        <f>IFERROR(VLOOKUP($B23,Vorrunde!$B:$H,3,0),)</f>
        <v>186</v>
      </c>
      <c r="F23" s="2">
        <f>IFERROR(VLOOKUP($B23,Vorrunde!$B:$H,4,0),0)</f>
        <v>207</v>
      </c>
      <c r="G23" s="2">
        <f>IFERROR(VLOOKUP($B23,Vorrunde!$B:$H,5,0),)</f>
        <v>187</v>
      </c>
      <c r="H23" s="2">
        <f>IFERROR(VLOOKUP($B23,Vorrunde!$B:$H,6,0),)</f>
        <v>170</v>
      </c>
      <c r="I23" s="2">
        <f>IFERROR(VLOOKUP($B23,Vorrunde!$B:$H,7,0),)</f>
        <v>171</v>
      </c>
      <c r="J23" s="2">
        <f>IFERROR(VLOOKUP($B23,Zwischenlauf!$B:$H,2,0),)</f>
        <v>178</v>
      </c>
      <c r="K23" s="2">
        <f>IFERROR(VLOOKUP($B23,Zwischenlauf!$B:$H,3,0),)</f>
        <v>185</v>
      </c>
      <c r="L23" s="2">
        <f>IFERROR(VLOOKUP($B23,Zwischenlauf!$B:$H,4,0),)</f>
        <v>165</v>
      </c>
      <c r="M23" s="2">
        <f>IFERROR(VLOOKUP($B23,Zwischenlauf!$B:$H,5,0),)</f>
        <v>188</v>
      </c>
      <c r="N23" s="2">
        <f>IFERROR(VLOOKUP($B23,Zwischenlauf!$B:$H,6,0),)</f>
        <v>153</v>
      </c>
      <c r="O23" s="2">
        <f>IFERROR(VLOOKUP($B23,Zwischenlauf!$B:$H,7,0),)</f>
        <v>168</v>
      </c>
      <c r="P23" s="2" t="str">
        <f>IFERROR(VLOOKUP($B23,Finalrunde!$B:$H,2,0),)</f>
        <v/>
      </c>
      <c r="Q23" s="2" t="str">
        <f>IFERROR(VLOOKUP($B23,Finalrunde!$B:$H,3,0),)</f>
        <v/>
      </c>
      <c r="R23" s="2" t="str">
        <f>IFERROR(VLOOKUP($B23,Finalrunde!$B:$H,4,0),)</f>
        <v/>
      </c>
      <c r="S23" s="2" t="str">
        <f>IFERROR(VLOOKUP($B23,Finalrunde!$B:$H,5,0),)</f>
        <v/>
      </c>
      <c r="T23" s="2" t="str">
        <f>IFERROR(VLOOKUP($B23,Finalrunde!$B:$H,6,0),)</f>
        <v/>
      </c>
      <c r="U23" s="2" t="str">
        <f>IFERROR(VLOOKUP($B23,Finalrunde!$B:$H,7,0),)</f>
        <v/>
      </c>
      <c r="V23" s="2">
        <f t="shared" si="1"/>
        <v>2157</v>
      </c>
      <c r="W23" s="2">
        <f t="shared" si="2"/>
        <v>0</v>
      </c>
      <c r="X23" s="2">
        <f t="shared" si="3"/>
        <v>0</v>
      </c>
      <c r="Y23" s="2">
        <f t="shared" si="4"/>
        <v>2157</v>
      </c>
      <c r="Z23" s="2">
        <f t="shared" si="5"/>
        <v>12</v>
      </c>
      <c r="AA23" s="2">
        <f t="shared" si="6"/>
        <v>179.75</v>
      </c>
      <c r="AB23" s="2" t="str">
        <f>IFERROR(VLOOKUP(B23,'Mitglieder BBU'!A:K,12,0),"")</f>
        <v/>
      </c>
      <c r="AC23" s="2">
        <f t="shared" si="7"/>
        <v>207</v>
      </c>
      <c r="AD23" s="2">
        <f t="array" ref="AD23">MIN(IF(D23:U23&lt;&gt;0,D23:U23))</f>
        <v>153</v>
      </c>
    </row>
    <row r="24">
      <c r="A24" s="2">
        <v>21.0</v>
      </c>
      <c r="B24" s="111">
        <f>Spieler!B26</f>
        <v>38980</v>
      </c>
      <c r="D24" s="2">
        <f>IFERROR(VLOOKUP($B24,Vorrunde!B:H,2,0),)</f>
        <v>166</v>
      </c>
      <c r="E24" s="2">
        <f>IFERROR(VLOOKUP($B24,Vorrunde!$B:$H,3,0),)</f>
        <v>116</v>
      </c>
      <c r="F24" s="2">
        <f>IFERROR(VLOOKUP($B24,Vorrunde!$B:$H,4,0),0)</f>
        <v>164</v>
      </c>
      <c r="G24" s="2">
        <f>IFERROR(VLOOKUP($B24,Vorrunde!$B:$H,5,0),)</f>
        <v>150</v>
      </c>
      <c r="H24" s="2">
        <f>IFERROR(VLOOKUP($B24,Vorrunde!$B:$H,6,0),)</f>
        <v>97</v>
      </c>
      <c r="I24" s="2">
        <f>IFERROR(VLOOKUP($B24,Vorrunde!$B:$H,7,0),)</f>
        <v>168</v>
      </c>
      <c r="J24" s="2">
        <f>IFERROR(VLOOKUP($B24,Zwischenlauf!$B:$H,2,0),)</f>
        <v>182</v>
      </c>
      <c r="K24" s="2">
        <f>IFERROR(VLOOKUP($B24,Zwischenlauf!$B:$H,3,0),)</f>
        <v>161</v>
      </c>
      <c r="L24" s="2">
        <f>IFERROR(VLOOKUP($B24,Zwischenlauf!$B:$H,4,0),)</f>
        <v>129</v>
      </c>
      <c r="M24" s="2">
        <f>IFERROR(VLOOKUP($B24,Zwischenlauf!$B:$H,5,0),)</f>
        <v>153</v>
      </c>
      <c r="N24" s="2">
        <f>IFERROR(VLOOKUP($B24,Zwischenlauf!$B:$H,6,0),)</f>
        <v>140</v>
      </c>
      <c r="O24" s="2">
        <f>IFERROR(VLOOKUP($B24,Zwischenlauf!$B:$H,7,0),)</f>
        <v>177</v>
      </c>
      <c r="P24" s="2" t="str">
        <f>IFERROR(VLOOKUP($B24,Finalrunde!$B:$H,2,0),)</f>
        <v/>
      </c>
      <c r="Q24" s="2" t="str">
        <f>IFERROR(VLOOKUP($B24,Finalrunde!$B:$H,3,0),)</f>
        <v/>
      </c>
      <c r="R24" s="2" t="str">
        <f>IFERROR(VLOOKUP($B24,Finalrunde!$B:$H,4,0),)</f>
        <v/>
      </c>
      <c r="S24" s="2" t="str">
        <f>IFERROR(VLOOKUP($B24,Finalrunde!$B:$H,5,0),)</f>
        <v/>
      </c>
      <c r="T24" s="2" t="str">
        <f>IFERROR(VLOOKUP($B24,Finalrunde!$B:$H,6,0),)</f>
        <v/>
      </c>
      <c r="U24" s="2" t="str">
        <f>IFERROR(VLOOKUP($B24,Finalrunde!$B:$H,7,0),)</f>
        <v/>
      </c>
      <c r="V24" s="2">
        <f t="shared" si="1"/>
        <v>1803</v>
      </c>
      <c r="W24" s="2">
        <f t="shared" si="2"/>
        <v>0</v>
      </c>
      <c r="X24" s="2">
        <f t="shared" si="3"/>
        <v>0</v>
      </c>
      <c r="Y24" s="2">
        <f t="shared" si="4"/>
        <v>1803</v>
      </c>
      <c r="Z24" s="2">
        <f t="shared" si="5"/>
        <v>12</v>
      </c>
      <c r="AA24" s="2">
        <f t="shared" si="6"/>
        <v>150.25</v>
      </c>
      <c r="AB24" s="2" t="str">
        <f>IFERROR(VLOOKUP(B24,'Mitglieder BBU'!A:K,12,0),"")</f>
        <v/>
      </c>
      <c r="AC24" s="2">
        <f t="shared" si="7"/>
        <v>182</v>
      </c>
      <c r="AD24" s="2">
        <f t="array" ref="AD24">MIN(IF(D24:U24&lt;&gt;0,D24:U24))</f>
        <v>97</v>
      </c>
    </row>
    <row r="25">
      <c r="A25" s="2">
        <v>22.0</v>
      </c>
      <c r="B25" s="111">
        <f>Spieler!B27</f>
        <v>7154</v>
      </c>
      <c r="D25" s="2">
        <f>IFERROR(VLOOKUP($B25,Vorrunde!B:H,2,0),)</f>
        <v>162</v>
      </c>
      <c r="E25" s="2">
        <f>IFERROR(VLOOKUP($B25,Vorrunde!$B:$H,3,0),)</f>
        <v>194</v>
      </c>
      <c r="F25" s="2">
        <f>IFERROR(VLOOKUP($B25,Vorrunde!$B:$H,4,0),0)</f>
        <v>187</v>
      </c>
      <c r="G25" s="2">
        <f>IFERROR(VLOOKUP($B25,Vorrunde!$B:$H,5,0),)</f>
        <v>146</v>
      </c>
      <c r="H25" s="2">
        <f>IFERROR(VLOOKUP($B25,Vorrunde!$B:$H,6,0),)</f>
        <v>188</v>
      </c>
      <c r="I25" s="2">
        <f>IFERROR(VLOOKUP($B25,Vorrunde!$B:$H,7,0),)</f>
        <v>170</v>
      </c>
      <c r="J25" s="2">
        <f>IFERROR(VLOOKUP($B25,Zwischenlauf!$B:$H,2,0),)</f>
        <v>151</v>
      </c>
      <c r="K25" s="2">
        <f>IFERROR(VLOOKUP($B25,Zwischenlauf!$B:$H,3,0),)</f>
        <v>171</v>
      </c>
      <c r="L25" s="2">
        <f>IFERROR(VLOOKUP($B25,Zwischenlauf!$B:$H,4,0),)</f>
        <v>173</v>
      </c>
      <c r="M25" s="2">
        <f>IFERROR(VLOOKUP($B25,Zwischenlauf!$B:$H,5,0),)</f>
        <v>166</v>
      </c>
      <c r="N25" s="2">
        <f>IFERROR(VLOOKUP($B25,Zwischenlauf!$B:$H,6,0),)</f>
        <v>157</v>
      </c>
      <c r="O25" s="2">
        <f>IFERROR(VLOOKUP($B25,Zwischenlauf!$B:$H,7,0),)</f>
        <v>214</v>
      </c>
      <c r="P25" s="2" t="str">
        <f>IFERROR(VLOOKUP($B25,Finalrunde!$B:$H,2,0),)</f>
        <v/>
      </c>
      <c r="Q25" s="2" t="str">
        <f>IFERROR(VLOOKUP($B25,Finalrunde!$B:$H,3,0),)</f>
        <v/>
      </c>
      <c r="R25" s="2" t="str">
        <f>IFERROR(VLOOKUP($B25,Finalrunde!$B:$H,4,0),)</f>
        <v/>
      </c>
      <c r="S25" s="2" t="str">
        <f>IFERROR(VLOOKUP($B25,Finalrunde!$B:$H,5,0),)</f>
        <v/>
      </c>
      <c r="T25" s="2" t="str">
        <f>IFERROR(VLOOKUP($B25,Finalrunde!$B:$H,6,0),)</f>
        <v/>
      </c>
      <c r="U25" s="2" t="str">
        <f>IFERROR(VLOOKUP($B25,Finalrunde!$B:$H,7,0),)</f>
        <v/>
      </c>
      <c r="V25" s="2">
        <f t="shared" si="1"/>
        <v>2079</v>
      </c>
      <c r="W25" s="2">
        <f t="shared" si="2"/>
        <v>0</v>
      </c>
      <c r="X25" s="2">
        <f t="shared" si="3"/>
        <v>0</v>
      </c>
      <c r="Y25" s="2">
        <f t="shared" si="4"/>
        <v>2079</v>
      </c>
      <c r="Z25" s="2">
        <f t="shared" si="5"/>
        <v>12</v>
      </c>
      <c r="AA25" s="2">
        <f t="shared" si="6"/>
        <v>173.25</v>
      </c>
      <c r="AB25" s="2" t="str">
        <f>IFERROR(VLOOKUP(B25,'Mitglieder BBU'!A:K,12,0),"")</f>
        <v/>
      </c>
      <c r="AC25" s="2">
        <f t="shared" si="7"/>
        <v>214</v>
      </c>
      <c r="AD25" s="2">
        <f t="array" ref="AD25">MIN(IF(D25:U25&lt;&gt;0,D25:U25))</f>
        <v>146</v>
      </c>
    </row>
    <row r="26">
      <c r="A26" s="2">
        <v>23.0</v>
      </c>
      <c r="B26" s="111" t="str">
        <f>Spieler!B28</f>
        <v/>
      </c>
      <c r="D26" s="2" t="str">
        <f>IFERROR(VLOOKUP($B26,Vorrunde!B:H,2,0),)</f>
        <v/>
      </c>
      <c r="E26" s="2" t="str">
        <f>IFERROR(VLOOKUP($B26,Vorrunde!$B:$H,3,0),)</f>
        <v/>
      </c>
      <c r="F26" s="2">
        <f>IFERROR(VLOOKUP($B26,Vorrunde!$B:$H,4,0),0)</f>
        <v>0</v>
      </c>
      <c r="G26" s="2" t="str">
        <f>IFERROR(VLOOKUP($B26,Vorrunde!$B:$H,5,0),)</f>
        <v/>
      </c>
      <c r="H26" s="2" t="str">
        <f>IFERROR(VLOOKUP($B26,Vorrunde!$B:$H,6,0),)</f>
        <v/>
      </c>
      <c r="I26" s="2" t="str">
        <f>IFERROR(VLOOKUP($B26,Vorrunde!$B:$H,7,0),)</f>
        <v/>
      </c>
      <c r="J26" s="2" t="str">
        <f>IFERROR(VLOOKUP($B26,Zwischenlauf!$B:$H,2,0),)</f>
        <v/>
      </c>
      <c r="K26" s="2" t="str">
        <f>IFERROR(VLOOKUP($B26,Zwischenlauf!$B:$H,3,0),)</f>
        <v/>
      </c>
      <c r="L26" s="2" t="str">
        <f>IFERROR(VLOOKUP($B26,Zwischenlauf!$B:$H,4,0),)</f>
        <v/>
      </c>
      <c r="M26" s="2" t="str">
        <f>IFERROR(VLOOKUP($B26,Zwischenlauf!$B:$H,5,0),)</f>
        <v/>
      </c>
      <c r="N26" s="2" t="str">
        <f>IFERROR(VLOOKUP($B26,Zwischenlauf!$B:$H,6,0),)</f>
        <v/>
      </c>
      <c r="O26" s="2" t="str">
        <f>IFERROR(VLOOKUP($B26,Zwischenlauf!$B:$H,7,0),)</f>
        <v/>
      </c>
      <c r="P26" s="2" t="str">
        <f>IFERROR(VLOOKUP($B26,Finalrunde!$B:$H,2,0),)</f>
        <v/>
      </c>
      <c r="Q26" s="2" t="str">
        <f>IFERROR(VLOOKUP($B26,Finalrunde!$B:$H,3,0),)</f>
        <v/>
      </c>
      <c r="R26" s="2" t="str">
        <f>IFERROR(VLOOKUP($B26,Finalrunde!$B:$H,4,0),)</f>
        <v/>
      </c>
      <c r="S26" s="2" t="str">
        <f>IFERROR(VLOOKUP($B26,Finalrunde!$B:$H,5,0),)</f>
        <v/>
      </c>
      <c r="T26" s="2" t="str">
        <f>IFERROR(VLOOKUP($B26,Finalrunde!$B:$H,6,0),)</f>
        <v/>
      </c>
      <c r="U26" s="2" t="str">
        <f>IFERROR(VLOOKUP($B26,Finalrunde!$B:$H,7,0),)</f>
        <v/>
      </c>
      <c r="V26" s="2">
        <f t="shared" si="1"/>
        <v>0</v>
      </c>
      <c r="W26" s="2">
        <f t="shared" si="2"/>
        <v>0</v>
      </c>
      <c r="X26" s="2">
        <f t="shared" si="3"/>
        <v>0</v>
      </c>
      <c r="Y26" s="2">
        <f t="shared" si="4"/>
        <v>0</v>
      </c>
      <c r="Z26" s="2">
        <f t="shared" si="5"/>
        <v>0</v>
      </c>
      <c r="AA26" s="2">
        <f t="shared" si="6"/>
        <v>0</v>
      </c>
      <c r="AB26" s="2" t="str">
        <f>IFERROR(VLOOKUP(B26,'Mitglieder BBU'!A:K,12,0),"")</f>
        <v/>
      </c>
      <c r="AC26" s="2">
        <f t="shared" si="7"/>
        <v>0</v>
      </c>
      <c r="AD26" s="2">
        <f t="array" ref="AD26">MIN(IF(D26:U26&lt;&gt;0,D26:U26))</f>
        <v>0</v>
      </c>
    </row>
    <row r="27">
      <c r="A27" s="2">
        <v>24.0</v>
      </c>
      <c r="B27" s="111" t="str">
        <f>Spieler!B29</f>
        <v/>
      </c>
      <c r="D27" s="2" t="str">
        <f>IFERROR(VLOOKUP($B27,Vorrunde!B:H,2,0),)</f>
        <v/>
      </c>
      <c r="E27" s="2" t="str">
        <f>IFERROR(VLOOKUP($B27,Vorrunde!$B:$H,3,0),)</f>
        <v/>
      </c>
      <c r="F27" s="2">
        <f>IFERROR(VLOOKUP($B27,Vorrunde!$B:$H,4,0),0)</f>
        <v>0</v>
      </c>
      <c r="G27" s="2" t="str">
        <f>IFERROR(VLOOKUP($B27,Vorrunde!$B:$H,5,0),)</f>
        <v/>
      </c>
      <c r="H27" s="2" t="str">
        <f>IFERROR(VLOOKUP($B27,Vorrunde!$B:$H,6,0),)</f>
        <v/>
      </c>
      <c r="I27" s="2" t="str">
        <f>IFERROR(VLOOKUP($B27,Vorrunde!$B:$H,7,0),)</f>
        <v/>
      </c>
      <c r="J27" s="2" t="str">
        <f>IFERROR(VLOOKUP($B27,Zwischenlauf!$B:$H,2,0),)</f>
        <v/>
      </c>
      <c r="K27" s="2" t="str">
        <f>IFERROR(VLOOKUP($B27,Zwischenlauf!$B:$H,3,0),)</f>
        <v/>
      </c>
      <c r="L27" s="2" t="str">
        <f>IFERROR(VLOOKUP($B27,Zwischenlauf!$B:$H,4,0),)</f>
        <v/>
      </c>
      <c r="M27" s="2" t="str">
        <f>IFERROR(VLOOKUP($B27,Zwischenlauf!$B:$H,5,0),)</f>
        <v/>
      </c>
      <c r="N27" s="2" t="str">
        <f>IFERROR(VLOOKUP($B27,Zwischenlauf!$B:$H,6,0),)</f>
        <v/>
      </c>
      <c r="O27" s="2" t="str">
        <f>IFERROR(VLOOKUP($B27,Zwischenlauf!$B:$H,7,0),)</f>
        <v/>
      </c>
      <c r="P27" s="2" t="str">
        <f>IFERROR(VLOOKUP($B27,Finalrunde!$B:$H,2,0),)</f>
        <v/>
      </c>
      <c r="Q27" s="2" t="str">
        <f>IFERROR(VLOOKUP($B27,Finalrunde!$B:$H,3,0),)</f>
        <v/>
      </c>
      <c r="R27" s="2" t="str">
        <f>IFERROR(VLOOKUP($B27,Finalrunde!$B:$H,4,0),)</f>
        <v/>
      </c>
      <c r="S27" s="2" t="str">
        <f>IFERROR(VLOOKUP($B27,Finalrunde!$B:$H,5,0),)</f>
        <v/>
      </c>
      <c r="T27" s="2" t="str">
        <f>IFERROR(VLOOKUP($B27,Finalrunde!$B:$H,6,0),)</f>
        <v/>
      </c>
      <c r="U27" s="2" t="str">
        <f>IFERROR(VLOOKUP($B27,Finalrunde!$B:$H,7,0),)</f>
        <v/>
      </c>
      <c r="V27" s="2">
        <f t="shared" si="1"/>
        <v>0</v>
      </c>
      <c r="W27" s="2">
        <f t="shared" si="2"/>
        <v>0</v>
      </c>
      <c r="X27" s="2">
        <f t="shared" si="3"/>
        <v>0</v>
      </c>
      <c r="Y27" s="2">
        <f t="shared" si="4"/>
        <v>0</v>
      </c>
      <c r="Z27" s="2">
        <f t="shared" si="5"/>
        <v>0</v>
      </c>
      <c r="AA27" s="2">
        <f t="shared" si="6"/>
        <v>0</v>
      </c>
      <c r="AB27" s="2" t="str">
        <f>IFERROR(VLOOKUP(B27,'Mitglieder BBU'!A:K,12,0),"")</f>
        <v/>
      </c>
      <c r="AC27" s="2">
        <f t="shared" si="7"/>
        <v>0</v>
      </c>
      <c r="AD27" s="2">
        <f t="array" ref="AD27">MIN(IF(D27:U27&lt;&gt;0,D27:U27))</f>
        <v>0</v>
      </c>
    </row>
    <row r="28">
      <c r="A28" s="2">
        <v>25.0</v>
      </c>
      <c r="B28" s="111" t="str">
        <f>Spieler!B30</f>
        <v/>
      </c>
      <c r="D28" s="2" t="str">
        <f>IFERROR(VLOOKUP($B28,Vorrunde!B:H,2,0),)</f>
        <v/>
      </c>
      <c r="E28" s="2" t="str">
        <f>IFERROR(VLOOKUP($B28,Vorrunde!$B:$H,3,0),)</f>
        <v/>
      </c>
      <c r="F28" s="2">
        <f>IFERROR(VLOOKUP($B28,Vorrunde!$B:$H,4,0),0)</f>
        <v>0</v>
      </c>
      <c r="G28" s="2" t="str">
        <f>IFERROR(VLOOKUP($B28,Vorrunde!$B:$H,5,0),)</f>
        <v/>
      </c>
      <c r="H28" s="2" t="str">
        <f>IFERROR(VLOOKUP($B28,Vorrunde!$B:$H,6,0),)</f>
        <v/>
      </c>
      <c r="I28" s="2" t="str">
        <f>IFERROR(VLOOKUP($B28,Vorrunde!$B:$H,7,0),)</f>
        <v/>
      </c>
      <c r="J28" s="2" t="str">
        <f>IFERROR(VLOOKUP($B28,Zwischenlauf!$B:$H,2,0),)</f>
        <v/>
      </c>
      <c r="K28" s="2" t="str">
        <f>IFERROR(VLOOKUP($B28,Zwischenlauf!$B:$H,3,0),)</f>
        <v/>
      </c>
      <c r="L28" s="2" t="str">
        <f>IFERROR(VLOOKUP($B28,Zwischenlauf!$B:$H,4,0),)</f>
        <v/>
      </c>
      <c r="M28" s="2" t="str">
        <f>IFERROR(VLOOKUP($B28,Zwischenlauf!$B:$H,5,0),)</f>
        <v/>
      </c>
      <c r="N28" s="2" t="str">
        <f>IFERROR(VLOOKUP($B28,Zwischenlauf!$B:$H,6,0),)</f>
        <v/>
      </c>
      <c r="O28" s="2" t="str">
        <f>IFERROR(VLOOKUP($B28,Zwischenlauf!$B:$H,7,0),)</f>
        <v/>
      </c>
      <c r="P28" s="2" t="str">
        <f>IFERROR(VLOOKUP($B28,Finalrunde!$B:$H,2,0),)</f>
        <v/>
      </c>
      <c r="Q28" s="2" t="str">
        <f>IFERROR(VLOOKUP($B28,Finalrunde!$B:$H,3,0),)</f>
        <v/>
      </c>
      <c r="R28" s="2" t="str">
        <f>IFERROR(VLOOKUP($B28,Finalrunde!$B:$H,4,0),)</f>
        <v/>
      </c>
      <c r="S28" s="2" t="str">
        <f>IFERROR(VLOOKUP($B28,Finalrunde!$B:$H,5,0),)</f>
        <v/>
      </c>
      <c r="T28" s="2" t="str">
        <f>IFERROR(VLOOKUP($B28,Finalrunde!$B:$H,6,0),)</f>
        <v/>
      </c>
      <c r="U28" s="2" t="str">
        <f>IFERROR(VLOOKUP($B28,Finalrunde!$B:$H,7,0),)</f>
        <v/>
      </c>
      <c r="V28" s="2">
        <f t="shared" si="1"/>
        <v>0</v>
      </c>
      <c r="W28" s="2">
        <f t="shared" si="2"/>
        <v>0</v>
      </c>
      <c r="X28" s="2">
        <f t="shared" si="3"/>
        <v>0</v>
      </c>
      <c r="Y28" s="2">
        <f t="shared" si="4"/>
        <v>0</v>
      </c>
      <c r="Z28" s="2">
        <f t="shared" si="5"/>
        <v>0</v>
      </c>
      <c r="AA28" s="2">
        <f t="shared" si="6"/>
        <v>0</v>
      </c>
      <c r="AB28" s="2" t="str">
        <f>IFERROR(VLOOKUP(B28,'Mitglieder BBU'!A:K,12,0),"")</f>
        <v/>
      </c>
      <c r="AC28" s="2">
        <f t="shared" si="7"/>
        <v>0</v>
      </c>
      <c r="AD28" s="2">
        <f t="array" ref="AD28">MIN(IF(D28:U28&lt;&gt;0,D28:U28))</f>
        <v>0</v>
      </c>
    </row>
    <row r="29">
      <c r="A29" s="2">
        <v>26.0</v>
      </c>
      <c r="B29" s="111" t="str">
        <f>Spieler!B31</f>
        <v/>
      </c>
      <c r="D29" s="2" t="str">
        <f>IFERROR(VLOOKUP($B29,Vorrunde!B:H,2,0),)</f>
        <v/>
      </c>
      <c r="E29" s="2" t="str">
        <f>IFERROR(VLOOKUP($B29,Vorrunde!$B:$H,3,0),)</f>
        <v/>
      </c>
      <c r="F29" s="2">
        <f>IFERROR(VLOOKUP($B29,Vorrunde!$B:$H,4,0),0)</f>
        <v>0</v>
      </c>
      <c r="G29" s="2" t="str">
        <f>IFERROR(VLOOKUP($B29,Vorrunde!$B:$H,5,0),)</f>
        <v/>
      </c>
      <c r="H29" s="2" t="str">
        <f>IFERROR(VLOOKUP($B29,Vorrunde!$B:$H,6,0),)</f>
        <v/>
      </c>
      <c r="I29" s="2" t="str">
        <f>IFERROR(VLOOKUP($B29,Vorrunde!$B:$H,7,0),)</f>
        <v/>
      </c>
      <c r="J29" s="2" t="str">
        <f>IFERROR(VLOOKUP($B29,Zwischenlauf!$B:$H,2,0),)</f>
        <v/>
      </c>
      <c r="K29" s="2" t="str">
        <f>IFERROR(VLOOKUP($B29,Zwischenlauf!$B:$H,3,0),)</f>
        <v/>
      </c>
      <c r="L29" s="2" t="str">
        <f>IFERROR(VLOOKUP($B29,Zwischenlauf!$B:$H,4,0),)</f>
        <v/>
      </c>
      <c r="M29" s="2" t="str">
        <f>IFERROR(VLOOKUP($B29,Zwischenlauf!$B:$H,5,0),)</f>
        <v/>
      </c>
      <c r="N29" s="2" t="str">
        <f>IFERROR(VLOOKUP($B29,Zwischenlauf!$B:$H,6,0),)</f>
        <v/>
      </c>
      <c r="O29" s="2" t="str">
        <f>IFERROR(VLOOKUP($B29,Zwischenlauf!$B:$H,7,0),)</f>
        <v/>
      </c>
      <c r="P29" s="2" t="str">
        <f>IFERROR(VLOOKUP($B29,Finalrunde!$B:$H,2,0),)</f>
        <v/>
      </c>
      <c r="Q29" s="2" t="str">
        <f>IFERROR(VLOOKUP($B29,Finalrunde!$B:$H,3,0),)</f>
        <v/>
      </c>
      <c r="R29" s="2" t="str">
        <f>IFERROR(VLOOKUP($B29,Finalrunde!$B:$H,4,0),)</f>
        <v/>
      </c>
      <c r="S29" s="2" t="str">
        <f>IFERROR(VLOOKUP($B29,Finalrunde!$B:$H,5,0),)</f>
        <v/>
      </c>
      <c r="T29" s="2" t="str">
        <f>IFERROR(VLOOKUP($B29,Finalrunde!$B:$H,6,0),)</f>
        <v/>
      </c>
      <c r="U29" s="2" t="str">
        <f>IFERROR(VLOOKUP($B29,Finalrunde!$B:$H,7,0),)</f>
        <v/>
      </c>
      <c r="V29" s="2">
        <f t="shared" si="1"/>
        <v>0</v>
      </c>
      <c r="W29" s="2">
        <f t="shared" si="2"/>
        <v>0</v>
      </c>
      <c r="X29" s="2">
        <f t="shared" si="3"/>
        <v>0</v>
      </c>
      <c r="Y29" s="2">
        <f t="shared" si="4"/>
        <v>0</v>
      </c>
      <c r="Z29" s="2">
        <f t="shared" si="5"/>
        <v>0</v>
      </c>
      <c r="AA29" s="2">
        <f t="shared" si="6"/>
        <v>0</v>
      </c>
      <c r="AB29" s="2" t="str">
        <f>IFERROR(VLOOKUP(B29,'Mitglieder BBU'!A:K,12,0),"")</f>
        <v/>
      </c>
      <c r="AC29" s="2">
        <f t="shared" si="7"/>
        <v>0</v>
      </c>
      <c r="AD29" s="2">
        <f t="array" ref="AD29">MIN(IF(D29:U29&lt;&gt;0,D29:U29))</f>
        <v>0</v>
      </c>
    </row>
    <row r="30">
      <c r="A30" s="2">
        <v>27.0</v>
      </c>
      <c r="B30" s="111" t="str">
        <f>Spieler!B32</f>
        <v/>
      </c>
      <c r="D30" s="2" t="str">
        <f>IFERROR(VLOOKUP($B30,Vorrunde!B:H,2,0),)</f>
        <v/>
      </c>
      <c r="E30" s="2" t="str">
        <f>IFERROR(VLOOKUP($B30,Vorrunde!$B:$H,3,0),)</f>
        <v/>
      </c>
      <c r="F30" s="2">
        <f>IFERROR(VLOOKUP($B30,Vorrunde!$B:$H,4,0),0)</f>
        <v>0</v>
      </c>
      <c r="G30" s="2" t="str">
        <f>IFERROR(VLOOKUP($B30,Vorrunde!$B:$H,5,0),)</f>
        <v/>
      </c>
      <c r="H30" s="2" t="str">
        <f>IFERROR(VLOOKUP($B30,Vorrunde!$B:$H,6,0),)</f>
        <v/>
      </c>
      <c r="I30" s="2" t="str">
        <f>IFERROR(VLOOKUP($B30,Vorrunde!$B:$H,7,0),)</f>
        <v/>
      </c>
      <c r="J30" s="2" t="str">
        <f>IFERROR(VLOOKUP($B30,Zwischenlauf!$B:$H,2,0),)</f>
        <v/>
      </c>
      <c r="K30" s="2" t="str">
        <f>IFERROR(VLOOKUP($B30,Zwischenlauf!$B:$H,3,0),)</f>
        <v/>
      </c>
      <c r="L30" s="2" t="str">
        <f>IFERROR(VLOOKUP($B30,Zwischenlauf!$B:$H,4,0),)</f>
        <v/>
      </c>
      <c r="M30" s="2" t="str">
        <f>IFERROR(VLOOKUP($B30,Zwischenlauf!$B:$H,5,0),)</f>
        <v/>
      </c>
      <c r="N30" s="2" t="str">
        <f>IFERROR(VLOOKUP($B30,Zwischenlauf!$B:$H,6,0),)</f>
        <v/>
      </c>
      <c r="O30" s="2" t="str">
        <f>IFERROR(VLOOKUP($B30,Zwischenlauf!$B:$H,7,0),)</f>
        <v/>
      </c>
      <c r="P30" s="2" t="str">
        <f>IFERROR(VLOOKUP($B30,Finalrunde!$B:$H,2,0),)</f>
        <v/>
      </c>
      <c r="Q30" s="2" t="str">
        <f>IFERROR(VLOOKUP($B30,Finalrunde!$B:$H,3,0),)</f>
        <v/>
      </c>
      <c r="R30" s="2" t="str">
        <f>IFERROR(VLOOKUP($B30,Finalrunde!$B:$H,4,0),)</f>
        <v/>
      </c>
      <c r="S30" s="2" t="str">
        <f>IFERROR(VLOOKUP($B30,Finalrunde!$B:$H,5,0),)</f>
        <v/>
      </c>
      <c r="T30" s="2" t="str">
        <f>IFERROR(VLOOKUP($B30,Finalrunde!$B:$H,6,0),)</f>
        <v/>
      </c>
      <c r="U30" s="2" t="str">
        <f>IFERROR(VLOOKUP($B30,Finalrunde!$B:$H,7,0),)</f>
        <v/>
      </c>
      <c r="V30" s="2">
        <f t="shared" si="1"/>
        <v>0</v>
      </c>
      <c r="W30" s="2">
        <f t="shared" si="2"/>
        <v>0</v>
      </c>
      <c r="X30" s="2">
        <f t="shared" si="3"/>
        <v>0</v>
      </c>
      <c r="Y30" s="2">
        <f t="shared" si="4"/>
        <v>0</v>
      </c>
      <c r="Z30" s="2">
        <f t="shared" si="5"/>
        <v>0</v>
      </c>
      <c r="AA30" s="2">
        <f t="shared" si="6"/>
        <v>0</v>
      </c>
      <c r="AB30" s="2" t="str">
        <f>IFERROR(VLOOKUP(B30,'Mitglieder BBU'!A:K,12,0),"")</f>
        <v/>
      </c>
      <c r="AC30" s="2">
        <f t="shared" si="7"/>
        <v>0</v>
      </c>
      <c r="AD30" s="2">
        <f t="array" ref="AD30">MIN(IF(D30:U30&lt;&gt;0,D30:U30))</f>
        <v>0</v>
      </c>
    </row>
    <row r="31">
      <c r="A31" s="2">
        <v>28.0</v>
      </c>
      <c r="B31" s="111" t="str">
        <f>Spieler!B33</f>
        <v/>
      </c>
      <c r="D31" s="2" t="str">
        <f>IFERROR(VLOOKUP($B31,Vorrunde!B:H,2,0),)</f>
        <v/>
      </c>
      <c r="E31" s="2" t="str">
        <f>IFERROR(VLOOKUP($B31,Vorrunde!$B:$H,3,0),)</f>
        <v/>
      </c>
      <c r="F31" s="2">
        <f>IFERROR(VLOOKUP($B31,Vorrunde!$B:$H,4,0),0)</f>
        <v>0</v>
      </c>
      <c r="G31" s="2" t="str">
        <f>IFERROR(VLOOKUP($B31,Vorrunde!$B:$H,5,0),)</f>
        <v/>
      </c>
      <c r="H31" s="2" t="str">
        <f>IFERROR(VLOOKUP($B31,Vorrunde!$B:$H,6,0),)</f>
        <v/>
      </c>
      <c r="I31" s="2" t="str">
        <f>IFERROR(VLOOKUP($B31,Vorrunde!$B:$H,7,0),)</f>
        <v/>
      </c>
      <c r="J31" s="2" t="str">
        <f>IFERROR(VLOOKUP($B31,Zwischenlauf!$B:$H,2,0),)</f>
        <v/>
      </c>
      <c r="K31" s="2" t="str">
        <f>IFERROR(VLOOKUP($B31,Zwischenlauf!$B:$H,3,0),)</f>
        <v/>
      </c>
      <c r="L31" s="2" t="str">
        <f>IFERROR(VLOOKUP($B31,Zwischenlauf!$B:$H,4,0),)</f>
        <v/>
      </c>
      <c r="M31" s="2" t="str">
        <f>IFERROR(VLOOKUP($B31,Zwischenlauf!$B:$H,5,0),)</f>
        <v/>
      </c>
      <c r="N31" s="2" t="str">
        <f>IFERROR(VLOOKUP($B31,Zwischenlauf!$B:$H,6,0),)</f>
        <v/>
      </c>
      <c r="O31" s="2" t="str">
        <f>IFERROR(VLOOKUP($B31,Zwischenlauf!$B:$H,7,0),)</f>
        <v/>
      </c>
      <c r="P31" s="2" t="str">
        <f>IFERROR(VLOOKUP($B31,Finalrunde!$B:$H,2,0),)</f>
        <v/>
      </c>
      <c r="Q31" s="2" t="str">
        <f>IFERROR(VLOOKUP($B31,Finalrunde!$B:$H,3,0),)</f>
        <v/>
      </c>
      <c r="R31" s="2" t="str">
        <f>IFERROR(VLOOKUP($B31,Finalrunde!$B:$H,4,0),)</f>
        <v/>
      </c>
      <c r="S31" s="2" t="str">
        <f>IFERROR(VLOOKUP($B31,Finalrunde!$B:$H,5,0),)</f>
        <v/>
      </c>
      <c r="T31" s="2" t="str">
        <f>IFERROR(VLOOKUP($B31,Finalrunde!$B:$H,6,0),)</f>
        <v/>
      </c>
      <c r="U31" s="2" t="str">
        <f>IFERROR(VLOOKUP($B31,Finalrunde!$B:$H,7,0),)</f>
        <v/>
      </c>
      <c r="V31" s="2">
        <f t="shared" si="1"/>
        <v>0</v>
      </c>
      <c r="W31" s="2">
        <f t="shared" si="2"/>
        <v>0</v>
      </c>
      <c r="X31" s="2">
        <f t="shared" si="3"/>
        <v>0</v>
      </c>
      <c r="Y31" s="2">
        <f t="shared" si="4"/>
        <v>0</v>
      </c>
      <c r="Z31" s="2">
        <f t="shared" si="5"/>
        <v>0</v>
      </c>
      <c r="AA31" s="2">
        <f t="shared" si="6"/>
        <v>0</v>
      </c>
      <c r="AB31" s="2" t="str">
        <f>IFERROR(VLOOKUP(B31,'Mitglieder BBU'!A:K,12,0),"")</f>
        <v/>
      </c>
      <c r="AC31" s="2">
        <f t="shared" si="7"/>
        <v>0</v>
      </c>
      <c r="AD31" s="2">
        <f t="array" ref="AD31">MIN(IF(D31:U31&lt;&gt;0,D31:U31))</f>
        <v>0</v>
      </c>
    </row>
    <row r="32">
      <c r="A32" s="2">
        <v>29.0</v>
      </c>
      <c r="B32" s="111" t="str">
        <f>Spieler!B34</f>
        <v/>
      </c>
      <c r="D32" s="2" t="str">
        <f>IFERROR(VLOOKUP($B32,Vorrunde!B:H,2,0),)</f>
        <v/>
      </c>
      <c r="E32" s="2" t="str">
        <f>IFERROR(VLOOKUP($B32,Vorrunde!$B:$H,3,0),)</f>
        <v/>
      </c>
      <c r="F32" s="2">
        <f>IFERROR(VLOOKUP($B32,Vorrunde!$B:$H,4,0),0)</f>
        <v>0</v>
      </c>
      <c r="G32" s="2" t="str">
        <f>IFERROR(VLOOKUP($B32,Vorrunde!$B:$H,5,0),)</f>
        <v/>
      </c>
      <c r="H32" s="2" t="str">
        <f>IFERROR(VLOOKUP($B32,Vorrunde!$B:$H,6,0),)</f>
        <v/>
      </c>
      <c r="I32" s="2" t="str">
        <f>IFERROR(VLOOKUP($B32,Vorrunde!$B:$H,7,0),)</f>
        <v/>
      </c>
      <c r="J32" s="2" t="str">
        <f>IFERROR(VLOOKUP($B32,Zwischenlauf!$B:$H,2,0),)</f>
        <v/>
      </c>
      <c r="K32" s="2" t="str">
        <f>IFERROR(VLOOKUP($B32,Zwischenlauf!$B:$H,3,0),)</f>
        <v/>
      </c>
      <c r="L32" s="2" t="str">
        <f>IFERROR(VLOOKUP($B32,Zwischenlauf!$B:$H,4,0),)</f>
        <v/>
      </c>
      <c r="M32" s="2" t="str">
        <f>IFERROR(VLOOKUP($B32,Zwischenlauf!$B:$H,5,0),)</f>
        <v/>
      </c>
      <c r="N32" s="2" t="str">
        <f>IFERROR(VLOOKUP($B32,Zwischenlauf!$B:$H,6,0),)</f>
        <v/>
      </c>
      <c r="O32" s="2" t="str">
        <f>IFERROR(VLOOKUP($B32,Zwischenlauf!$B:$H,7,0),)</f>
        <v/>
      </c>
      <c r="P32" s="2" t="str">
        <f>IFERROR(VLOOKUP($B32,Finalrunde!$B:$H,2,0),)</f>
        <v/>
      </c>
      <c r="Q32" s="2" t="str">
        <f>IFERROR(VLOOKUP($B32,Finalrunde!$B:$H,3,0),)</f>
        <v/>
      </c>
      <c r="R32" s="2" t="str">
        <f>IFERROR(VLOOKUP($B32,Finalrunde!$B:$H,4,0),)</f>
        <v/>
      </c>
      <c r="S32" s="2" t="str">
        <f>IFERROR(VLOOKUP($B32,Finalrunde!$B:$H,5,0),)</f>
        <v/>
      </c>
      <c r="T32" s="2" t="str">
        <f>IFERROR(VLOOKUP($B32,Finalrunde!$B:$H,6,0),)</f>
        <v/>
      </c>
      <c r="U32" s="2" t="str">
        <f>IFERROR(VLOOKUP($B32,Finalrunde!$B:$H,7,0),)</f>
        <v/>
      </c>
      <c r="V32" s="2">
        <f t="shared" si="1"/>
        <v>0</v>
      </c>
      <c r="W32" s="2">
        <f t="shared" si="2"/>
        <v>0</v>
      </c>
      <c r="X32" s="2">
        <f t="shared" si="3"/>
        <v>0</v>
      </c>
      <c r="Y32" s="2">
        <f t="shared" si="4"/>
        <v>0</v>
      </c>
      <c r="Z32" s="2">
        <f t="shared" si="5"/>
        <v>0</v>
      </c>
      <c r="AA32" s="2">
        <f t="shared" si="6"/>
        <v>0</v>
      </c>
      <c r="AB32" s="2" t="str">
        <f>IFERROR(VLOOKUP(B32,'Mitglieder BBU'!A:K,12,0),"")</f>
        <v/>
      </c>
      <c r="AC32" s="2">
        <f t="shared" si="7"/>
        <v>0</v>
      </c>
      <c r="AD32" s="2">
        <f t="array" ref="AD32">MIN(IF(D32:U32&lt;&gt;0,D32:U32))</f>
        <v>0</v>
      </c>
    </row>
    <row r="33">
      <c r="A33" s="2">
        <v>30.0</v>
      </c>
      <c r="B33" s="111" t="str">
        <f>Spieler!B35</f>
        <v/>
      </c>
      <c r="D33" s="2" t="str">
        <f>IFERROR(VLOOKUP($B33,Vorrunde!B:H,2,0),)</f>
        <v/>
      </c>
      <c r="E33" s="2" t="str">
        <f>IFERROR(VLOOKUP($B33,Vorrunde!$B:$H,3,0),)</f>
        <v/>
      </c>
      <c r="F33" s="2">
        <f>IFERROR(VLOOKUP($B33,Vorrunde!$B:$H,4,0),0)</f>
        <v>0</v>
      </c>
      <c r="G33" s="2" t="str">
        <f>IFERROR(VLOOKUP($B33,Vorrunde!$B:$H,5,0),)</f>
        <v/>
      </c>
      <c r="H33" s="2" t="str">
        <f>IFERROR(VLOOKUP($B33,Vorrunde!$B:$H,6,0),)</f>
        <v/>
      </c>
      <c r="I33" s="2" t="str">
        <f>IFERROR(VLOOKUP($B33,Vorrunde!$B:$H,7,0),)</f>
        <v/>
      </c>
      <c r="J33" s="2" t="str">
        <f>IFERROR(VLOOKUP($B33,Zwischenlauf!$B:$H,2,0),)</f>
        <v/>
      </c>
      <c r="K33" s="2" t="str">
        <f>IFERROR(VLOOKUP($B33,Zwischenlauf!$B:$H,3,0),)</f>
        <v/>
      </c>
      <c r="L33" s="2" t="str">
        <f>IFERROR(VLOOKUP($B33,Zwischenlauf!$B:$H,4,0),)</f>
        <v/>
      </c>
      <c r="M33" s="2" t="str">
        <f>IFERROR(VLOOKUP($B33,Zwischenlauf!$B:$H,5,0),)</f>
        <v/>
      </c>
      <c r="N33" s="2" t="str">
        <f>IFERROR(VLOOKUP($B33,Zwischenlauf!$B:$H,6,0),)</f>
        <v/>
      </c>
      <c r="O33" s="2" t="str">
        <f>IFERROR(VLOOKUP($B33,Zwischenlauf!$B:$H,7,0),)</f>
        <v/>
      </c>
      <c r="P33" s="2" t="str">
        <f>IFERROR(VLOOKUP($B33,Finalrunde!$B:$H,2,0),)</f>
        <v/>
      </c>
      <c r="Q33" s="2" t="str">
        <f>IFERROR(VLOOKUP($B33,Finalrunde!$B:$H,3,0),)</f>
        <v/>
      </c>
      <c r="R33" s="2" t="str">
        <f>IFERROR(VLOOKUP($B33,Finalrunde!$B:$H,4,0),)</f>
        <v/>
      </c>
      <c r="S33" s="2" t="str">
        <f>IFERROR(VLOOKUP($B33,Finalrunde!$B:$H,5,0),)</f>
        <v/>
      </c>
      <c r="T33" s="2" t="str">
        <f>IFERROR(VLOOKUP($B33,Finalrunde!$B:$H,6,0),)</f>
        <v/>
      </c>
      <c r="U33" s="2" t="str">
        <f>IFERROR(VLOOKUP($B33,Finalrunde!$B:$H,7,0),)</f>
        <v/>
      </c>
      <c r="V33" s="2">
        <f t="shared" si="1"/>
        <v>0</v>
      </c>
      <c r="W33" s="2">
        <f t="shared" si="2"/>
        <v>0</v>
      </c>
      <c r="X33" s="2">
        <f t="shared" si="3"/>
        <v>0</v>
      </c>
      <c r="Y33" s="2">
        <f t="shared" si="4"/>
        <v>0</v>
      </c>
      <c r="Z33" s="2">
        <f t="shared" si="5"/>
        <v>0</v>
      </c>
      <c r="AA33" s="2">
        <f t="shared" si="6"/>
        <v>0</v>
      </c>
      <c r="AB33" s="2" t="str">
        <f>IFERROR(VLOOKUP(B33,'Mitglieder BBU'!A:K,12,0),"")</f>
        <v/>
      </c>
      <c r="AC33" s="2">
        <f t="shared" si="7"/>
        <v>0</v>
      </c>
      <c r="AD33" s="2">
        <f t="array" ref="AD33">MIN(IF(D33:U33&lt;&gt;0,D33:U33))</f>
        <v>0</v>
      </c>
    </row>
    <row r="34">
      <c r="A34" s="2">
        <v>31.0</v>
      </c>
      <c r="B34" s="111" t="str">
        <f>Spieler!B36</f>
        <v/>
      </c>
      <c r="D34" s="2" t="str">
        <f>IFERROR(VLOOKUP($B34,Vorrunde!B:H,2,0),)</f>
        <v/>
      </c>
      <c r="E34" s="2" t="str">
        <f>IFERROR(VLOOKUP($B34,Vorrunde!$B:$H,3,0),)</f>
        <v/>
      </c>
      <c r="F34" s="2">
        <f>IFERROR(VLOOKUP($B34,Vorrunde!$B:$H,4,0),0)</f>
        <v>0</v>
      </c>
      <c r="G34" s="2" t="str">
        <f>IFERROR(VLOOKUP($B34,Vorrunde!$B:$H,5,0),)</f>
        <v/>
      </c>
      <c r="H34" s="2" t="str">
        <f>IFERROR(VLOOKUP($B34,Vorrunde!$B:$H,6,0),)</f>
        <v/>
      </c>
      <c r="I34" s="2" t="str">
        <f>IFERROR(VLOOKUP($B34,Vorrunde!$B:$H,7,0),)</f>
        <v/>
      </c>
      <c r="J34" s="2" t="str">
        <f>IFERROR(VLOOKUP($B34,Zwischenlauf!$B:$H,2,0),)</f>
        <v/>
      </c>
      <c r="K34" s="2" t="str">
        <f>IFERROR(VLOOKUP($B34,Zwischenlauf!$B:$H,3,0),)</f>
        <v/>
      </c>
      <c r="L34" s="2" t="str">
        <f>IFERROR(VLOOKUP($B34,Zwischenlauf!$B:$H,4,0),)</f>
        <v/>
      </c>
      <c r="M34" s="2" t="str">
        <f>IFERROR(VLOOKUP($B34,Zwischenlauf!$B:$H,5,0),)</f>
        <v/>
      </c>
      <c r="N34" s="2" t="str">
        <f>IFERROR(VLOOKUP($B34,Zwischenlauf!$B:$H,6,0),)</f>
        <v/>
      </c>
      <c r="O34" s="2" t="str">
        <f>IFERROR(VLOOKUP($B34,Zwischenlauf!$B:$H,7,0),)</f>
        <v/>
      </c>
      <c r="P34" s="2" t="str">
        <f>IFERROR(VLOOKUP($B34,Finalrunde!$B:$H,2,0),)</f>
        <v/>
      </c>
      <c r="Q34" s="2" t="str">
        <f>IFERROR(VLOOKUP($B34,Finalrunde!$B:$H,3,0),)</f>
        <v/>
      </c>
      <c r="R34" s="2" t="str">
        <f>IFERROR(VLOOKUP($B34,Finalrunde!$B:$H,4,0),)</f>
        <v/>
      </c>
      <c r="S34" s="2" t="str">
        <f>IFERROR(VLOOKUP($B34,Finalrunde!$B:$H,5,0),)</f>
        <v/>
      </c>
      <c r="T34" s="2" t="str">
        <f>IFERROR(VLOOKUP($B34,Finalrunde!$B:$H,6,0),)</f>
        <v/>
      </c>
      <c r="U34" s="2" t="str">
        <f>IFERROR(VLOOKUP($B34,Finalrunde!$B:$H,7,0),)</f>
        <v/>
      </c>
      <c r="V34" s="2">
        <f t="shared" si="1"/>
        <v>0</v>
      </c>
      <c r="W34" s="2">
        <f t="shared" si="2"/>
        <v>0</v>
      </c>
      <c r="X34" s="2">
        <f t="shared" si="3"/>
        <v>0</v>
      </c>
      <c r="Y34" s="2">
        <f t="shared" si="4"/>
        <v>0</v>
      </c>
      <c r="Z34" s="2">
        <f t="shared" si="5"/>
        <v>0</v>
      </c>
      <c r="AA34" s="2">
        <f t="shared" si="6"/>
        <v>0</v>
      </c>
      <c r="AB34" s="2" t="str">
        <f>IFERROR(VLOOKUP(B34,'Mitglieder BBU'!A:K,12,0),"")</f>
        <v/>
      </c>
      <c r="AC34" s="2">
        <f t="shared" si="7"/>
        <v>0</v>
      </c>
      <c r="AD34" s="2">
        <f t="array" ref="AD34">MIN(IF(D34:U34&lt;&gt;0,D34:U34))</f>
        <v>0</v>
      </c>
    </row>
    <row r="35">
      <c r="A35" s="2">
        <v>32.0</v>
      </c>
      <c r="B35" s="111" t="str">
        <f>Spieler!B37</f>
        <v/>
      </c>
      <c r="D35" s="2" t="str">
        <f>IFERROR(VLOOKUP($B35,Vorrunde!B:H,2,0),)</f>
        <v/>
      </c>
      <c r="E35" s="2" t="str">
        <f>IFERROR(VLOOKUP($B35,Vorrunde!$B:$H,3,0),)</f>
        <v/>
      </c>
      <c r="F35" s="2">
        <f>IFERROR(VLOOKUP($B35,Vorrunde!$B:$H,4,0),0)</f>
        <v>0</v>
      </c>
      <c r="G35" s="2" t="str">
        <f>IFERROR(VLOOKUP($B35,Vorrunde!$B:$H,5,0),)</f>
        <v/>
      </c>
      <c r="H35" s="2" t="str">
        <f>IFERROR(VLOOKUP($B35,Vorrunde!$B:$H,6,0),)</f>
        <v/>
      </c>
      <c r="I35" s="2" t="str">
        <f>IFERROR(VLOOKUP($B35,Vorrunde!$B:$H,7,0),)</f>
        <v/>
      </c>
      <c r="J35" s="2" t="str">
        <f>IFERROR(VLOOKUP($B35,Zwischenlauf!$B:$H,2,0),)</f>
        <v/>
      </c>
      <c r="K35" s="2" t="str">
        <f>IFERROR(VLOOKUP($B35,Zwischenlauf!$B:$H,3,0),)</f>
        <v/>
      </c>
      <c r="L35" s="2" t="str">
        <f>IFERROR(VLOOKUP($B35,Zwischenlauf!$B:$H,4,0),)</f>
        <v/>
      </c>
      <c r="M35" s="2" t="str">
        <f>IFERROR(VLOOKUP($B35,Zwischenlauf!$B:$H,5,0),)</f>
        <v/>
      </c>
      <c r="N35" s="2" t="str">
        <f>IFERROR(VLOOKUP($B35,Zwischenlauf!$B:$H,6,0),)</f>
        <v/>
      </c>
      <c r="O35" s="2" t="str">
        <f>IFERROR(VLOOKUP($B35,Zwischenlauf!$B:$H,7,0),)</f>
        <v/>
      </c>
      <c r="P35" s="2" t="str">
        <f>IFERROR(VLOOKUP($B35,Finalrunde!$B:$H,2,0),)</f>
        <v/>
      </c>
      <c r="Q35" s="2" t="str">
        <f>IFERROR(VLOOKUP($B35,Finalrunde!$B:$H,3,0),)</f>
        <v/>
      </c>
      <c r="R35" s="2" t="str">
        <f>IFERROR(VLOOKUP($B35,Finalrunde!$B:$H,4,0),)</f>
        <v/>
      </c>
      <c r="S35" s="2" t="str">
        <f>IFERROR(VLOOKUP($B35,Finalrunde!$B:$H,5,0),)</f>
        <v/>
      </c>
      <c r="T35" s="2" t="str">
        <f>IFERROR(VLOOKUP($B35,Finalrunde!$B:$H,6,0),)</f>
        <v/>
      </c>
      <c r="U35" s="2" t="str">
        <f>IFERROR(VLOOKUP($B35,Finalrunde!$B:$H,7,0),)</f>
        <v/>
      </c>
      <c r="V35" s="2">
        <f t="shared" si="1"/>
        <v>0</v>
      </c>
      <c r="W35" s="2">
        <f t="shared" si="2"/>
        <v>0</v>
      </c>
      <c r="X35" s="2">
        <f t="shared" si="3"/>
        <v>0</v>
      </c>
      <c r="Y35" s="2">
        <f t="shared" si="4"/>
        <v>0</v>
      </c>
      <c r="Z35" s="2">
        <f t="shared" si="5"/>
        <v>0</v>
      </c>
      <c r="AA35" s="2">
        <f t="shared" si="6"/>
        <v>0</v>
      </c>
      <c r="AB35" s="2" t="str">
        <f>IFERROR(VLOOKUP(B35,'Mitglieder BBU'!A:K,12,0),"")</f>
        <v/>
      </c>
      <c r="AC35" s="2">
        <f t="shared" si="7"/>
        <v>0</v>
      </c>
      <c r="AD35" s="2">
        <f t="array" ref="AD35">MIN(IF(D35:U35&lt;&gt;0,D35:U35))</f>
        <v>0</v>
      </c>
    </row>
    <row r="36">
      <c r="A36" s="2">
        <v>33.0</v>
      </c>
      <c r="B36" s="111" t="str">
        <f>Spieler!B38</f>
        <v/>
      </c>
      <c r="D36" s="2" t="str">
        <f>IFERROR(VLOOKUP($B36,Vorrunde!B:H,2,0),)</f>
        <v/>
      </c>
      <c r="E36" s="2" t="str">
        <f>IFERROR(VLOOKUP($B36,Vorrunde!$B:$H,3,0),)</f>
        <v/>
      </c>
      <c r="F36" s="2">
        <f>IFERROR(VLOOKUP($B36,Vorrunde!$B:$H,4,0),0)</f>
        <v>0</v>
      </c>
      <c r="G36" s="2" t="str">
        <f>IFERROR(VLOOKUP($B36,Vorrunde!$B:$H,5,0),)</f>
        <v/>
      </c>
      <c r="H36" s="2" t="str">
        <f>IFERROR(VLOOKUP($B36,Vorrunde!$B:$H,6,0),)</f>
        <v/>
      </c>
      <c r="I36" s="2" t="str">
        <f>IFERROR(VLOOKUP($B36,Vorrunde!$B:$H,7,0),)</f>
        <v/>
      </c>
      <c r="J36" s="2" t="str">
        <f>IFERROR(VLOOKUP($B36,Zwischenlauf!$B:$H,2,0),)</f>
        <v/>
      </c>
      <c r="K36" s="2" t="str">
        <f>IFERROR(VLOOKUP($B36,Zwischenlauf!$B:$H,3,0),)</f>
        <v/>
      </c>
      <c r="L36" s="2" t="str">
        <f>IFERROR(VLOOKUP($B36,Zwischenlauf!$B:$H,4,0),)</f>
        <v/>
      </c>
      <c r="M36" s="2" t="str">
        <f>IFERROR(VLOOKUP($B36,Zwischenlauf!$B:$H,5,0),)</f>
        <v/>
      </c>
      <c r="N36" s="2" t="str">
        <f>IFERROR(VLOOKUP($B36,Zwischenlauf!$B:$H,6,0),)</f>
        <v/>
      </c>
      <c r="O36" s="2" t="str">
        <f>IFERROR(VLOOKUP($B36,Zwischenlauf!$B:$H,7,0),)</f>
        <v/>
      </c>
      <c r="P36" s="2" t="str">
        <f>IFERROR(VLOOKUP($B36,Finalrunde!$B:$H,2,0),)</f>
        <v/>
      </c>
      <c r="Q36" s="2" t="str">
        <f>IFERROR(VLOOKUP($B36,Finalrunde!$B:$H,3,0),)</f>
        <v/>
      </c>
      <c r="R36" s="2" t="str">
        <f>IFERROR(VLOOKUP($B36,Finalrunde!$B:$H,4,0),)</f>
        <v/>
      </c>
      <c r="S36" s="2" t="str">
        <f>IFERROR(VLOOKUP($B36,Finalrunde!$B:$H,5,0),)</f>
        <v/>
      </c>
      <c r="T36" s="2" t="str">
        <f>IFERROR(VLOOKUP($B36,Finalrunde!$B:$H,6,0),)</f>
        <v/>
      </c>
      <c r="U36" s="2" t="str">
        <f>IFERROR(VLOOKUP($B36,Finalrunde!$B:$H,7,0),)</f>
        <v/>
      </c>
      <c r="V36" s="2">
        <f t="shared" si="1"/>
        <v>0</v>
      </c>
      <c r="W36" s="2">
        <f t="shared" si="2"/>
        <v>0</v>
      </c>
      <c r="X36" s="2">
        <f t="shared" si="3"/>
        <v>0</v>
      </c>
      <c r="Y36" s="2">
        <f t="shared" si="4"/>
        <v>0</v>
      </c>
      <c r="Z36" s="2">
        <f t="shared" si="5"/>
        <v>0</v>
      </c>
      <c r="AA36" s="2">
        <f t="shared" si="6"/>
        <v>0</v>
      </c>
      <c r="AB36" s="2" t="str">
        <f>IFERROR(VLOOKUP(B36,'Mitglieder BBU'!A:K,12,0),"")</f>
        <v/>
      </c>
      <c r="AC36" s="2">
        <f t="shared" si="7"/>
        <v>0</v>
      </c>
      <c r="AD36" s="2">
        <f t="array" ref="AD36">MIN(IF(D36:U36&lt;&gt;0,D36:U36))</f>
        <v>0</v>
      </c>
    </row>
    <row r="37">
      <c r="A37" s="2">
        <v>34.0</v>
      </c>
      <c r="B37" s="111" t="str">
        <f>Spieler!B39</f>
        <v/>
      </c>
      <c r="D37" s="2" t="str">
        <f>IFERROR(VLOOKUP($B37,Vorrunde!B:H,2,0),)</f>
        <v/>
      </c>
      <c r="E37" s="2" t="str">
        <f>IFERROR(VLOOKUP($B37,Vorrunde!$B:$H,3,0),)</f>
        <v/>
      </c>
      <c r="F37" s="2">
        <f>IFERROR(VLOOKUP($B37,Vorrunde!$B:$H,4,0),0)</f>
        <v>0</v>
      </c>
      <c r="G37" s="2" t="str">
        <f>IFERROR(VLOOKUP($B37,Vorrunde!$B:$H,5,0),)</f>
        <v/>
      </c>
      <c r="H37" s="2" t="str">
        <f>IFERROR(VLOOKUP($B37,Vorrunde!$B:$H,6,0),)</f>
        <v/>
      </c>
      <c r="I37" s="2" t="str">
        <f>IFERROR(VLOOKUP($B37,Vorrunde!$B:$H,7,0),)</f>
        <v/>
      </c>
      <c r="J37" s="2" t="str">
        <f>IFERROR(VLOOKUP($B37,Zwischenlauf!$B:$H,2,0),)</f>
        <v/>
      </c>
      <c r="K37" s="2" t="str">
        <f>IFERROR(VLOOKUP($B37,Zwischenlauf!$B:$H,3,0),)</f>
        <v/>
      </c>
      <c r="L37" s="2" t="str">
        <f>IFERROR(VLOOKUP($B37,Zwischenlauf!$B:$H,4,0),)</f>
        <v/>
      </c>
      <c r="M37" s="2" t="str">
        <f>IFERROR(VLOOKUP($B37,Zwischenlauf!$B:$H,5,0),)</f>
        <v/>
      </c>
      <c r="N37" s="2" t="str">
        <f>IFERROR(VLOOKUP($B37,Zwischenlauf!$B:$H,6,0),)</f>
        <v/>
      </c>
      <c r="O37" s="2" t="str">
        <f>IFERROR(VLOOKUP($B37,Zwischenlauf!$B:$H,7,0),)</f>
        <v/>
      </c>
      <c r="P37" s="2" t="str">
        <f>IFERROR(VLOOKUP($B37,Finalrunde!$B:$H,2,0),)</f>
        <v/>
      </c>
      <c r="Q37" s="2" t="str">
        <f>IFERROR(VLOOKUP($B37,Finalrunde!$B:$H,3,0),)</f>
        <v/>
      </c>
      <c r="R37" s="2" t="str">
        <f>IFERROR(VLOOKUP($B37,Finalrunde!$B:$H,4,0),)</f>
        <v/>
      </c>
      <c r="S37" s="2" t="str">
        <f>IFERROR(VLOOKUP($B37,Finalrunde!$B:$H,5,0),)</f>
        <v/>
      </c>
      <c r="T37" s="2" t="str">
        <f>IFERROR(VLOOKUP($B37,Finalrunde!$B:$H,6,0),)</f>
        <v/>
      </c>
      <c r="U37" s="2" t="str">
        <f>IFERROR(VLOOKUP($B37,Finalrunde!$B:$H,7,0),)</f>
        <v/>
      </c>
      <c r="V37" s="2">
        <f t="shared" si="1"/>
        <v>0</v>
      </c>
      <c r="W37" s="2">
        <f t="shared" si="2"/>
        <v>0</v>
      </c>
      <c r="X37" s="2">
        <f t="shared" si="3"/>
        <v>0</v>
      </c>
      <c r="Y37" s="2">
        <f t="shared" si="4"/>
        <v>0</v>
      </c>
      <c r="Z37" s="2">
        <f t="shared" si="5"/>
        <v>0</v>
      </c>
      <c r="AA37" s="2">
        <f t="shared" si="6"/>
        <v>0</v>
      </c>
      <c r="AB37" s="2" t="str">
        <f>IFERROR(VLOOKUP(B37,'Mitglieder BBU'!A:K,12,0),"")</f>
        <v/>
      </c>
      <c r="AC37" s="2">
        <f t="shared" si="7"/>
        <v>0</v>
      </c>
      <c r="AD37" s="2">
        <f t="array" ref="AD37">MIN(IF(D37:U37&lt;&gt;0,D37:U37))</f>
        <v>0</v>
      </c>
    </row>
    <row r="38">
      <c r="A38" s="2">
        <v>35.0</v>
      </c>
      <c r="B38" s="111" t="str">
        <f>Spieler!B40</f>
        <v/>
      </c>
      <c r="D38" s="2" t="str">
        <f>IFERROR(VLOOKUP($B38,Vorrunde!B:H,2,0),)</f>
        <v/>
      </c>
      <c r="E38" s="2" t="str">
        <f>IFERROR(VLOOKUP($B38,Vorrunde!$B:$H,3,0),)</f>
        <v/>
      </c>
      <c r="F38" s="2">
        <f>IFERROR(VLOOKUP($B38,Vorrunde!$B:$H,4,0),0)</f>
        <v>0</v>
      </c>
      <c r="G38" s="2" t="str">
        <f>IFERROR(VLOOKUP($B38,Vorrunde!$B:$H,5,0),)</f>
        <v/>
      </c>
      <c r="H38" s="2" t="str">
        <f>IFERROR(VLOOKUP($B38,Vorrunde!$B:$H,6,0),)</f>
        <v/>
      </c>
      <c r="I38" s="2" t="str">
        <f>IFERROR(VLOOKUP($B38,Vorrunde!$B:$H,7,0),)</f>
        <v/>
      </c>
      <c r="J38" s="2" t="str">
        <f>IFERROR(VLOOKUP($B38,Zwischenlauf!$B:$H,2,0),)</f>
        <v/>
      </c>
      <c r="K38" s="2" t="str">
        <f>IFERROR(VLOOKUP($B38,Zwischenlauf!$B:$H,3,0),)</f>
        <v/>
      </c>
      <c r="L38" s="2" t="str">
        <f>IFERROR(VLOOKUP($B38,Zwischenlauf!$B:$H,4,0),)</f>
        <v/>
      </c>
      <c r="M38" s="2" t="str">
        <f>IFERROR(VLOOKUP($B38,Zwischenlauf!$B:$H,5,0),)</f>
        <v/>
      </c>
      <c r="N38" s="2" t="str">
        <f>IFERROR(VLOOKUP($B38,Zwischenlauf!$B:$H,6,0),)</f>
        <v/>
      </c>
      <c r="O38" s="2" t="str">
        <f>IFERROR(VLOOKUP($B38,Zwischenlauf!$B:$H,7,0),)</f>
        <v/>
      </c>
      <c r="P38" s="2" t="str">
        <f>IFERROR(VLOOKUP($B38,Finalrunde!$B:$H,2,0),)</f>
        <v/>
      </c>
      <c r="Q38" s="2" t="str">
        <f>IFERROR(VLOOKUP($B38,Finalrunde!$B:$H,3,0),)</f>
        <v/>
      </c>
      <c r="R38" s="2" t="str">
        <f>IFERROR(VLOOKUP($B38,Finalrunde!$B:$H,4,0),)</f>
        <v/>
      </c>
      <c r="S38" s="2" t="str">
        <f>IFERROR(VLOOKUP($B38,Finalrunde!$B:$H,5,0),)</f>
        <v/>
      </c>
      <c r="T38" s="2" t="str">
        <f>IFERROR(VLOOKUP($B38,Finalrunde!$B:$H,6,0),)</f>
        <v/>
      </c>
      <c r="U38" s="2" t="str">
        <f>IFERROR(VLOOKUP($B38,Finalrunde!$B:$H,7,0),)</f>
        <v/>
      </c>
      <c r="V38" s="2">
        <f t="shared" si="1"/>
        <v>0</v>
      </c>
      <c r="W38" s="2">
        <f t="shared" si="2"/>
        <v>0</v>
      </c>
      <c r="X38" s="2">
        <f t="shared" si="3"/>
        <v>0</v>
      </c>
      <c r="Y38" s="2">
        <f t="shared" si="4"/>
        <v>0</v>
      </c>
      <c r="Z38" s="2">
        <f t="shared" si="5"/>
        <v>0</v>
      </c>
      <c r="AA38" s="2">
        <f t="shared" si="6"/>
        <v>0</v>
      </c>
      <c r="AB38" s="2" t="str">
        <f>IFERROR(VLOOKUP(B38,'Mitglieder BBU'!A:K,12,0),"")</f>
        <v/>
      </c>
      <c r="AC38" s="2">
        <f t="shared" si="7"/>
        <v>0</v>
      </c>
      <c r="AD38" s="2">
        <f t="array" ref="AD38">MIN(IF(D38:U38&lt;&gt;0,D38:U38))</f>
        <v>0</v>
      </c>
    </row>
    <row r="39">
      <c r="A39" s="2">
        <v>36.0</v>
      </c>
      <c r="B39" s="111" t="str">
        <f>Spieler!B41</f>
        <v/>
      </c>
      <c r="D39" s="2" t="str">
        <f>IFERROR(VLOOKUP($B39,Vorrunde!B:H,2,0),)</f>
        <v/>
      </c>
      <c r="E39" s="2" t="str">
        <f>IFERROR(VLOOKUP($B39,Vorrunde!$B:$H,3,0),)</f>
        <v/>
      </c>
      <c r="F39" s="2">
        <f>IFERROR(VLOOKUP($B39,Vorrunde!$B:$H,4,0),0)</f>
        <v>0</v>
      </c>
      <c r="G39" s="2" t="str">
        <f>IFERROR(VLOOKUP($B39,Vorrunde!$B:$H,5,0),)</f>
        <v/>
      </c>
      <c r="H39" s="2" t="str">
        <f>IFERROR(VLOOKUP($B39,Vorrunde!$B:$H,6,0),)</f>
        <v/>
      </c>
      <c r="I39" s="2" t="str">
        <f>IFERROR(VLOOKUP($B39,Vorrunde!$B:$H,7,0),)</f>
        <v/>
      </c>
      <c r="J39" s="2" t="str">
        <f>IFERROR(VLOOKUP($B39,Zwischenlauf!$B:$H,2,0),)</f>
        <v/>
      </c>
      <c r="K39" s="2" t="str">
        <f>IFERROR(VLOOKUP($B39,Zwischenlauf!$B:$H,3,0),)</f>
        <v/>
      </c>
      <c r="L39" s="2" t="str">
        <f>IFERROR(VLOOKUP($B39,Zwischenlauf!$B:$H,4,0),)</f>
        <v/>
      </c>
      <c r="M39" s="2" t="str">
        <f>IFERROR(VLOOKUP($B39,Zwischenlauf!$B:$H,5,0),)</f>
        <v/>
      </c>
      <c r="N39" s="2" t="str">
        <f>IFERROR(VLOOKUP($B39,Zwischenlauf!$B:$H,6,0),)</f>
        <v/>
      </c>
      <c r="O39" s="2" t="str">
        <f>IFERROR(VLOOKUP($B39,Zwischenlauf!$B:$H,7,0),)</f>
        <v/>
      </c>
      <c r="P39" s="2" t="str">
        <f>IFERROR(VLOOKUP($B39,Finalrunde!$B:$H,2,0),)</f>
        <v/>
      </c>
      <c r="Q39" s="2" t="str">
        <f>IFERROR(VLOOKUP($B39,Finalrunde!$B:$H,3,0),)</f>
        <v/>
      </c>
      <c r="R39" s="2" t="str">
        <f>IFERROR(VLOOKUP($B39,Finalrunde!$B:$H,4,0),)</f>
        <v/>
      </c>
      <c r="S39" s="2" t="str">
        <f>IFERROR(VLOOKUP($B39,Finalrunde!$B:$H,5,0),)</f>
        <v/>
      </c>
      <c r="T39" s="2" t="str">
        <f>IFERROR(VLOOKUP($B39,Finalrunde!$B:$H,6,0),)</f>
        <v/>
      </c>
      <c r="U39" s="2" t="str">
        <f>IFERROR(VLOOKUP($B39,Finalrunde!$B:$H,7,0),)</f>
        <v/>
      </c>
      <c r="V39" s="2">
        <f t="shared" si="1"/>
        <v>0</v>
      </c>
      <c r="W39" s="2">
        <f t="shared" si="2"/>
        <v>0</v>
      </c>
      <c r="X39" s="2">
        <f t="shared" si="3"/>
        <v>0</v>
      </c>
      <c r="Y39" s="2">
        <f t="shared" si="4"/>
        <v>0</v>
      </c>
      <c r="Z39" s="2">
        <f t="shared" si="5"/>
        <v>0</v>
      </c>
      <c r="AA39" s="2">
        <f t="shared" si="6"/>
        <v>0</v>
      </c>
      <c r="AB39" s="2" t="str">
        <f>IFERROR(VLOOKUP(B39,'Mitglieder BBU'!A:K,12,0),"")</f>
        <v/>
      </c>
      <c r="AC39" s="2">
        <f t="shared" si="7"/>
        <v>0</v>
      </c>
      <c r="AD39" s="2">
        <f t="array" ref="AD39">MIN(IF(D39:U39&lt;&gt;0,D39:U39))</f>
        <v>0</v>
      </c>
    </row>
    <row r="40">
      <c r="A40" s="2">
        <v>37.0</v>
      </c>
      <c r="B40" s="111" t="str">
        <f>Spieler!B42</f>
        <v/>
      </c>
      <c r="D40" s="2" t="str">
        <f>IFERROR(VLOOKUP($B40,Vorrunde!B:H,2,0),)</f>
        <v/>
      </c>
      <c r="E40" s="2" t="str">
        <f>IFERROR(VLOOKUP($B40,Vorrunde!$B:$H,3,0),)</f>
        <v/>
      </c>
      <c r="F40" s="2">
        <f>IFERROR(VLOOKUP($B40,Vorrunde!$B:$H,4,0),0)</f>
        <v>0</v>
      </c>
      <c r="G40" s="2" t="str">
        <f>IFERROR(VLOOKUP($B40,Vorrunde!$B:$H,5,0),)</f>
        <v/>
      </c>
      <c r="H40" s="2" t="str">
        <f>IFERROR(VLOOKUP($B40,Vorrunde!$B:$H,6,0),)</f>
        <v/>
      </c>
      <c r="I40" s="2" t="str">
        <f>IFERROR(VLOOKUP($B40,Vorrunde!$B:$H,7,0),)</f>
        <v/>
      </c>
      <c r="J40" s="2" t="str">
        <f>IFERROR(VLOOKUP($B40,Zwischenlauf!$B:$H,2,0),)</f>
        <v/>
      </c>
      <c r="K40" s="2" t="str">
        <f>IFERROR(VLOOKUP($B40,Zwischenlauf!$B:$H,3,0),)</f>
        <v/>
      </c>
      <c r="L40" s="2" t="str">
        <f>IFERROR(VLOOKUP($B40,Zwischenlauf!$B:$H,4,0),)</f>
        <v/>
      </c>
      <c r="M40" s="2" t="str">
        <f>IFERROR(VLOOKUP($B40,Zwischenlauf!$B:$H,5,0),)</f>
        <v/>
      </c>
      <c r="N40" s="2" t="str">
        <f>IFERROR(VLOOKUP($B40,Zwischenlauf!$B:$H,6,0),)</f>
        <v/>
      </c>
      <c r="O40" s="2" t="str">
        <f>IFERROR(VLOOKUP($B40,Zwischenlauf!$B:$H,7,0),)</f>
        <v/>
      </c>
      <c r="P40" s="2" t="str">
        <f>IFERROR(VLOOKUP($B40,Finalrunde!$B:$H,2,0),)</f>
        <v/>
      </c>
      <c r="Q40" s="2" t="str">
        <f>IFERROR(VLOOKUP($B40,Finalrunde!$B:$H,3,0),)</f>
        <v/>
      </c>
      <c r="R40" s="2" t="str">
        <f>IFERROR(VLOOKUP($B40,Finalrunde!$B:$H,4,0),)</f>
        <v/>
      </c>
      <c r="S40" s="2" t="str">
        <f>IFERROR(VLOOKUP($B40,Finalrunde!$B:$H,5,0),)</f>
        <v/>
      </c>
      <c r="T40" s="2" t="str">
        <f>IFERROR(VLOOKUP($B40,Finalrunde!$B:$H,6,0),)</f>
        <v/>
      </c>
      <c r="U40" s="2" t="str">
        <f>IFERROR(VLOOKUP($B40,Finalrunde!$B:$H,7,0),)</f>
        <v/>
      </c>
      <c r="V40" s="2">
        <f t="shared" si="1"/>
        <v>0</v>
      </c>
      <c r="W40" s="2">
        <f t="shared" si="2"/>
        <v>0</v>
      </c>
      <c r="X40" s="2">
        <f t="shared" si="3"/>
        <v>0</v>
      </c>
      <c r="Y40" s="2">
        <f t="shared" si="4"/>
        <v>0</v>
      </c>
      <c r="Z40" s="2">
        <f t="shared" si="5"/>
        <v>0</v>
      </c>
      <c r="AA40" s="2">
        <f t="shared" si="6"/>
        <v>0</v>
      </c>
      <c r="AB40" s="2" t="str">
        <f>IFERROR(VLOOKUP(B40,'Mitglieder BBU'!A:K,12,0),"")</f>
        <v/>
      </c>
      <c r="AC40" s="2">
        <f t="shared" si="7"/>
        <v>0</v>
      </c>
      <c r="AD40" s="2">
        <f t="array" ref="AD40">MIN(IF(D40:U40&lt;&gt;0,D40:U40))</f>
        <v>0</v>
      </c>
    </row>
    <row r="41">
      <c r="A41" s="2">
        <v>38.0</v>
      </c>
      <c r="B41" s="111" t="str">
        <f>Spieler!B43</f>
        <v/>
      </c>
      <c r="D41" s="2" t="str">
        <f>IFERROR(VLOOKUP($B41,Vorrunde!B:H,2,0),)</f>
        <v/>
      </c>
      <c r="E41" s="2" t="str">
        <f>IFERROR(VLOOKUP($B41,Vorrunde!$B:$H,3,0),)</f>
        <v/>
      </c>
      <c r="F41" s="2">
        <f>IFERROR(VLOOKUP($B41,Vorrunde!$B:$H,4,0),0)</f>
        <v>0</v>
      </c>
      <c r="G41" s="2" t="str">
        <f>IFERROR(VLOOKUP($B41,Vorrunde!$B:$H,5,0),)</f>
        <v/>
      </c>
      <c r="H41" s="2" t="str">
        <f>IFERROR(VLOOKUP($B41,Vorrunde!$B:$H,6,0),)</f>
        <v/>
      </c>
      <c r="I41" s="2" t="str">
        <f>IFERROR(VLOOKUP($B41,Vorrunde!$B:$H,7,0),)</f>
        <v/>
      </c>
      <c r="J41" s="2" t="str">
        <f>IFERROR(VLOOKUP($B41,Zwischenlauf!$B:$H,2,0),)</f>
        <v/>
      </c>
      <c r="K41" s="2" t="str">
        <f>IFERROR(VLOOKUP($B41,Zwischenlauf!$B:$H,3,0),)</f>
        <v/>
      </c>
      <c r="L41" s="2" t="str">
        <f>IFERROR(VLOOKUP($B41,Zwischenlauf!$B:$H,4,0),)</f>
        <v/>
      </c>
      <c r="M41" s="2" t="str">
        <f>IFERROR(VLOOKUP($B41,Zwischenlauf!$B:$H,5,0),)</f>
        <v/>
      </c>
      <c r="N41" s="2" t="str">
        <f>IFERROR(VLOOKUP($B41,Zwischenlauf!$B:$H,6,0),)</f>
        <v/>
      </c>
      <c r="O41" s="2" t="str">
        <f>IFERROR(VLOOKUP($B41,Zwischenlauf!$B:$H,7,0),)</f>
        <v/>
      </c>
      <c r="P41" s="2" t="str">
        <f>IFERROR(VLOOKUP($B41,Finalrunde!$B:$H,2,0),)</f>
        <v/>
      </c>
      <c r="Q41" s="2" t="str">
        <f>IFERROR(VLOOKUP($B41,Finalrunde!$B:$H,3,0),)</f>
        <v/>
      </c>
      <c r="R41" s="2" t="str">
        <f>IFERROR(VLOOKUP($B41,Finalrunde!$B:$H,4,0),)</f>
        <v/>
      </c>
      <c r="S41" s="2" t="str">
        <f>IFERROR(VLOOKUP($B41,Finalrunde!$B:$H,5,0),)</f>
        <v/>
      </c>
      <c r="T41" s="2" t="str">
        <f>IFERROR(VLOOKUP($B41,Finalrunde!$B:$H,6,0),)</f>
        <v/>
      </c>
      <c r="U41" s="2" t="str">
        <f>IFERROR(VLOOKUP($B41,Finalrunde!$B:$H,7,0),)</f>
        <v/>
      </c>
      <c r="V41" s="2">
        <f t="shared" si="1"/>
        <v>0</v>
      </c>
      <c r="W41" s="2">
        <f t="shared" si="2"/>
        <v>0</v>
      </c>
      <c r="X41" s="2">
        <f t="shared" si="3"/>
        <v>0</v>
      </c>
      <c r="Y41" s="2">
        <f t="shared" si="4"/>
        <v>0</v>
      </c>
      <c r="Z41" s="2">
        <f t="shared" si="5"/>
        <v>0</v>
      </c>
      <c r="AA41" s="2">
        <f t="shared" si="6"/>
        <v>0</v>
      </c>
      <c r="AB41" s="2" t="str">
        <f>IFERROR(VLOOKUP(B41,'Mitglieder BBU'!A:K,12,0),"")</f>
        <v/>
      </c>
      <c r="AC41" s="2">
        <f t="shared" si="7"/>
        <v>0</v>
      </c>
      <c r="AD41" s="2">
        <f t="array" ref="AD41">MIN(IF(D41:U41&lt;&gt;0,D41:U41))</f>
        <v>0</v>
      </c>
    </row>
    <row r="42">
      <c r="A42" s="2">
        <v>39.0</v>
      </c>
      <c r="B42" s="111" t="str">
        <f>Spieler!B44</f>
        <v/>
      </c>
      <c r="D42" s="2" t="str">
        <f>IFERROR(VLOOKUP($B42,Vorrunde!B:H,2,0),)</f>
        <v/>
      </c>
      <c r="E42" s="2" t="str">
        <f>IFERROR(VLOOKUP($B42,Vorrunde!$B:$H,3,0),)</f>
        <v/>
      </c>
      <c r="F42" s="2">
        <f>IFERROR(VLOOKUP($B42,Vorrunde!$B:$H,4,0),0)</f>
        <v>0</v>
      </c>
      <c r="G42" s="2" t="str">
        <f>IFERROR(VLOOKUP($B42,Vorrunde!$B:$H,5,0),)</f>
        <v/>
      </c>
      <c r="H42" s="2" t="str">
        <f>IFERROR(VLOOKUP($B42,Vorrunde!$B:$H,6,0),)</f>
        <v/>
      </c>
      <c r="I42" s="2" t="str">
        <f>IFERROR(VLOOKUP($B42,Vorrunde!$B:$H,7,0),)</f>
        <v/>
      </c>
      <c r="J42" s="2" t="str">
        <f>IFERROR(VLOOKUP($B42,Zwischenlauf!$B:$H,2,0),)</f>
        <v/>
      </c>
      <c r="K42" s="2" t="str">
        <f>IFERROR(VLOOKUP($B42,Zwischenlauf!$B:$H,3,0),)</f>
        <v/>
      </c>
      <c r="L42" s="2" t="str">
        <f>IFERROR(VLOOKUP($B42,Zwischenlauf!$B:$H,4,0),)</f>
        <v/>
      </c>
      <c r="M42" s="2" t="str">
        <f>IFERROR(VLOOKUP($B42,Zwischenlauf!$B:$H,5,0),)</f>
        <v/>
      </c>
      <c r="N42" s="2" t="str">
        <f>IFERROR(VLOOKUP($B42,Zwischenlauf!$B:$H,6,0),)</f>
        <v/>
      </c>
      <c r="O42" s="2" t="str">
        <f>IFERROR(VLOOKUP($B42,Zwischenlauf!$B:$H,7,0),)</f>
        <v/>
      </c>
      <c r="P42" s="2" t="str">
        <f>IFERROR(VLOOKUP($B42,Finalrunde!$B:$H,2,0),)</f>
        <v/>
      </c>
      <c r="Q42" s="2" t="str">
        <f>IFERROR(VLOOKUP($B42,Finalrunde!$B:$H,3,0),)</f>
        <v/>
      </c>
      <c r="R42" s="2" t="str">
        <f>IFERROR(VLOOKUP($B42,Finalrunde!$B:$H,4,0),)</f>
        <v/>
      </c>
      <c r="S42" s="2" t="str">
        <f>IFERROR(VLOOKUP($B42,Finalrunde!$B:$H,5,0),)</f>
        <v/>
      </c>
      <c r="T42" s="2" t="str">
        <f>IFERROR(VLOOKUP($B42,Finalrunde!$B:$H,6,0),)</f>
        <v/>
      </c>
      <c r="U42" s="2" t="str">
        <f>IFERROR(VLOOKUP($B42,Finalrunde!$B:$H,7,0),)</f>
        <v/>
      </c>
      <c r="V42" s="2">
        <f t="shared" si="1"/>
        <v>0</v>
      </c>
      <c r="W42" s="2">
        <f t="shared" si="2"/>
        <v>0</v>
      </c>
      <c r="X42" s="2">
        <f t="shared" si="3"/>
        <v>0</v>
      </c>
      <c r="Y42" s="2">
        <f t="shared" si="4"/>
        <v>0</v>
      </c>
      <c r="Z42" s="2">
        <f t="shared" si="5"/>
        <v>0</v>
      </c>
      <c r="AA42" s="2">
        <f t="shared" si="6"/>
        <v>0</v>
      </c>
      <c r="AB42" s="2" t="str">
        <f>IFERROR(VLOOKUP(B42,'Mitglieder BBU'!A:K,12,0),"")</f>
        <v/>
      </c>
      <c r="AC42" s="2">
        <f t="shared" si="7"/>
        <v>0</v>
      </c>
      <c r="AD42" s="2">
        <f t="array" ref="AD42">MIN(IF(D42:U42&lt;&gt;0,D42:U42))</f>
        <v>0</v>
      </c>
    </row>
    <row r="43">
      <c r="A43" s="2">
        <v>40.0</v>
      </c>
      <c r="B43" s="111" t="str">
        <f>Spieler!B45</f>
        <v/>
      </c>
      <c r="D43" s="2" t="str">
        <f>IFERROR(VLOOKUP($B43,Vorrunde!B:H,2,0),)</f>
        <v/>
      </c>
      <c r="E43" s="2" t="str">
        <f>IFERROR(VLOOKUP($B43,Vorrunde!$B:$H,3,0),)</f>
        <v/>
      </c>
      <c r="F43" s="2">
        <f>IFERROR(VLOOKUP($B43,Vorrunde!$B:$H,4,0),0)</f>
        <v>0</v>
      </c>
      <c r="G43" s="2" t="str">
        <f>IFERROR(VLOOKUP($B43,Vorrunde!$B:$H,5,0),)</f>
        <v/>
      </c>
      <c r="H43" s="2" t="str">
        <f>IFERROR(VLOOKUP($B43,Vorrunde!$B:$H,6,0),)</f>
        <v/>
      </c>
      <c r="I43" s="2" t="str">
        <f>IFERROR(VLOOKUP($B43,Vorrunde!$B:$H,7,0),)</f>
        <v/>
      </c>
      <c r="J43" s="2" t="str">
        <f>IFERROR(VLOOKUP($B43,Zwischenlauf!$B:$H,2,0),)</f>
        <v/>
      </c>
      <c r="K43" s="2" t="str">
        <f>IFERROR(VLOOKUP($B43,Zwischenlauf!$B:$H,3,0),)</f>
        <v/>
      </c>
      <c r="L43" s="2" t="str">
        <f>IFERROR(VLOOKUP($B43,Zwischenlauf!$B:$H,4,0),)</f>
        <v/>
      </c>
      <c r="M43" s="2" t="str">
        <f>IFERROR(VLOOKUP($B43,Zwischenlauf!$B:$H,5,0),)</f>
        <v/>
      </c>
      <c r="N43" s="2" t="str">
        <f>IFERROR(VLOOKUP($B43,Zwischenlauf!$B:$H,6,0),)</f>
        <v/>
      </c>
      <c r="O43" s="2" t="str">
        <f>IFERROR(VLOOKUP($B43,Zwischenlauf!$B:$H,7,0),)</f>
        <v/>
      </c>
      <c r="P43" s="2" t="str">
        <f>IFERROR(VLOOKUP($B43,Finalrunde!$B:$H,2,0),)</f>
        <v/>
      </c>
      <c r="Q43" s="2" t="str">
        <f>IFERROR(VLOOKUP($B43,Finalrunde!$B:$H,3,0),)</f>
        <v/>
      </c>
      <c r="R43" s="2" t="str">
        <f>IFERROR(VLOOKUP($B43,Finalrunde!$B:$H,4,0),)</f>
        <v/>
      </c>
      <c r="S43" s="2" t="str">
        <f>IFERROR(VLOOKUP($B43,Finalrunde!$B:$H,5,0),)</f>
        <v/>
      </c>
      <c r="T43" s="2" t="str">
        <f>IFERROR(VLOOKUP($B43,Finalrunde!$B:$H,6,0),)</f>
        <v/>
      </c>
      <c r="U43" s="2" t="str">
        <f>IFERROR(VLOOKUP($B43,Finalrunde!$B:$H,7,0),)</f>
        <v/>
      </c>
      <c r="V43" s="2">
        <f t="shared" si="1"/>
        <v>0</v>
      </c>
      <c r="W43" s="2">
        <f t="shared" si="2"/>
        <v>0</v>
      </c>
      <c r="X43" s="2">
        <f t="shared" si="3"/>
        <v>0</v>
      </c>
      <c r="Y43" s="2">
        <f t="shared" si="4"/>
        <v>0</v>
      </c>
      <c r="Z43" s="2">
        <f t="shared" si="5"/>
        <v>0</v>
      </c>
      <c r="AA43" s="2">
        <f t="shared" si="6"/>
        <v>0</v>
      </c>
      <c r="AB43" s="2" t="str">
        <f>IFERROR(VLOOKUP(B43,'Mitglieder BBU'!A:K,12,0),"")</f>
        <v/>
      </c>
      <c r="AC43" s="2">
        <f t="shared" si="7"/>
        <v>0</v>
      </c>
      <c r="AD43" s="2">
        <f t="array" ref="AD43">MIN(IF(D43:U43&lt;&gt;0,D43:U43))</f>
        <v>0</v>
      </c>
    </row>
    <row r="44">
      <c r="A44" s="2">
        <v>41.0</v>
      </c>
      <c r="B44" s="111" t="str">
        <f>Spieler!B46</f>
        <v/>
      </c>
      <c r="D44" s="2" t="str">
        <f>IFERROR(VLOOKUP($B44,Vorrunde!B:H,2,0),)</f>
        <v/>
      </c>
      <c r="E44" s="2" t="str">
        <f>IFERROR(VLOOKUP($B44,Vorrunde!$B:$H,3,0),)</f>
        <v/>
      </c>
      <c r="F44" s="2">
        <f>IFERROR(VLOOKUP($B44,Vorrunde!$B:$H,4,0),0)</f>
        <v>0</v>
      </c>
      <c r="G44" s="2" t="str">
        <f>IFERROR(VLOOKUP($B44,Vorrunde!$B:$H,5,0),)</f>
        <v/>
      </c>
      <c r="H44" s="2" t="str">
        <f>IFERROR(VLOOKUP($B44,Vorrunde!$B:$H,6,0),)</f>
        <v/>
      </c>
      <c r="I44" s="2" t="str">
        <f>IFERROR(VLOOKUP($B44,Vorrunde!$B:$H,7,0),)</f>
        <v/>
      </c>
      <c r="J44" s="2" t="str">
        <f>IFERROR(VLOOKUP($B44,Zwischenlauf!$B:$H,2,0),)</f>
        <v/>
      </c>
      <c r="K44" s="2" t="str">
        <f>IFERROR(VLOOKUP($B44,Zwischenlauf!$B:$H,3,0),)</f>
        <v/>
      </c>
      <c r="L44" s="2" t="str">
        <f>IFERROR(VLOOKUP($B44,Zwischenlauf!$B:$H,4,0),)</f>
        <v/>
      </c>
      <c r="M44" s="2" t="str">
        <f>IFERROR(VLOOKUP($B44,Zwischenlauf!$B:$H,5,0),)</f>
        <v/>
      </c>
      <c r="N44" s="2" t="str">
        <f>IFERROR(VLOOKUP($B44,Zwischenlauf!$B:$H,6,0),)</f>
        <v/>
      </c>
      <c r="O44" s="2" t="str">
        <f>IFERROR(VLOOKUP($B44,Zwischenlauf!$B:$H,7,0),)</f>
        <v/>
      </c>
      <c r="P44" s="2" t="str">
        <f>IFERROR(VLOOKUP($B44,Finalrunde!$B:$H,2,0),)</f>
        <v/>
      </c>
      <c r="Q44" s="2" t="str">
        <f>IFERROR(VLOOKUP($B44,Finalrunde!$B:$H,3,0),)</f>
        <v/>
      </c>
      <c r="R44" s="2" t="str">
        <f>IFERROR(VLOOKUP($B44,Finalrunde!$B:$H,4,0),)</f>
        <v/>
      </c>
      <c r="S44" s="2" t="str">
        <f>IFERROR(VLOOKUP($B44,Finalrunde!$B:$H,5,0),)</f>
        <v/>
      </c>
      <c r="T44" s="2" t="str">
        <f>IFERROR(VLOOKUP($B44,Finalrunde!$B:$H,6,0),)</f>
        <v/>
      </c>
      <c r="U44" s="2" t="str">
        <f>IFERROR(VLOOKUP($B44,Finalrunde!$B:$H,7,0),)</f>
        <v/>
      </c>
      <c r="V44" s="2">
        <f t="shared" si="1"/>
        <v>0</v>
      </c>
      <c r="W44" s="2">
        <f t="shared" si="2"/>
        <v>0</v>
      </c>
      <c r="X44" s="2">
        <f t="shared" si="3"/>
        <v>0</v>
      </c>
      <c r="Y44" s="2">
        <f t="shared" si="4"/>
        <v>0</v>
      </c>
      <c r="Z44" s="2">
        <f t="shared" si="5"/>
        <v>0</v>
      </c>
      <c r="AA44" s="2">
        <f t="shared" si="6"/>
        <v>0</v>
      </c>
      <c r="AB44" s="2" t="str">
        <f>IFERROR(VLOOKUP(B44,'Mitglieder BBU'!A:K,12,0),"")</f>
        <v/>
      </c>
      <c r="AC44" s="2">
        <f t="shared" si="7"/>
        <v>0</v>
      </c>
      <c r="AD44" s="2">
        <f t="array" ref="AD44">MIN(IF(D44:U44&lt;&gt;0,D44:U44))</f>
        <v>0</v>
      </c>
    </row>
    <row r="45">
      <c r="A45" s="2">
        <v>42.0</v>
      </c>
      <c r="B45" s="111" t="str">
        <f>Spieler!B47</f>
        <v/>
      </c>
      <c r="D45" s="2" t="str">
        <f>IFERROR(VLOOKUP($B45,Vorrunde!B:H,2,0),)</f>
        <v/>
      </c>
      <c r="E45" s="2" t="str">
        <f>IFERROR(VLOOKUP($B45,Vorrunde!$B:$H,3,0),)</f>
        <v/>
      </c>
      <c r="F45" s="2">
        <f>IFERROR(VLOOKUP($B45,Vorrunde!$B:$H,4,0),0)</f>
        <v>0</v>
      </c>
      <c r="G45" s="2" t="str">
        <f>IFERROR(VLOOKUP($B45,Vorrunde!$B:$H,5,0),)</f>
        <v/>
      </c>
      <c r="H45" s="2" t="str">
        <f>IFERROR(VLOOKUP($B45,Vorrunde!$B:$H,6,0),)</f>
        <v/>
      </c>
      <c r="I45" s="2" t="str">
        <f>IFERROR(VLOOKUP($B45,Vorrunde!$B:$H,7,0),)</f>
        <v/>
      </c>
      <c r="J45" s="2" t="str">
        <f>IFERROR(VLOOKUP($B45,Zwischenlauf!$B:$H,2,0),)</f>
        <v/>
      </c>
      <c r="K45" s="2" t="str">
        <f>IFERROR(VLOOKUP($B45,Zwischenlauf!$B:$H,3,0),)</f>
        <v/>
      </c>
      <c r="L45" s="2" t="str">
        <f>IFERROR(VLOOKUP($B45,Zwischenlauf!$B:$H,4,0),)</f>
        <v/>
      </c>
      <c r="M45" s="2" t="str">
        <f>IFERROR(VLOOKUP($B45,Zwischenlauf!$B:$H,5,0),)</f>
        <v/>
      </c>
      <c r="N45" s="2" t="str">
        <f>IFERROR(VLOOKUP($B45,Zwischenlauf!$B:$H,6,0),)</f>
        <v/>
      </c>
      <c r="O45" s="2" t="str">
        <f>IFERROR(VLOOKUP($B45,Zwischenlauf!$B:$H,7,0),)</f>
        <v/>
      </c>
      <c r="P45" s="2" t="str">
        <f>IFERROR(VLOOKUP($B45,Finalrunde!$B:$H,2,0),)</f>
        <v/>
      </c>
      <c r="Q45" s="2" t="str">
        <f>IFERROR(VLOOKUP($B45,Finalrunde!$B:$H,3,0),)</f>
        <v/>
      </c>
      <c r="R45" s="2" t="str">
        <f>IFERROR(VLOOKUP($B45,Finalrunde!$B:$H,4,0),)</f>
        <v/>
      </c>
      <c r="S45" s="2" t="str">
        <f>IFERROR(VLOOKUP($B45,Finalrunde!$B:$H,5,0),)</f>
        <v/>
      </c>
      <c r="T45" s="2" t="str">
        <f>IFERROR(VLOOKUP($B45,Finalrunde!$B:$H,6,0),)</f>
        <v/>
      </c>
      <c r="U45" s="2" t="str">
        <f>IFERROR(VLOOKUP($B45,Finalrunde!$B:$H,7,0),)</f>
        <v/>
      </c>
      <c r="V45" s="2">
        <f t="shared" si="1"/>
        <v>0</v>
      </c>
      <c r="W45" s="2">
        <f t="shared" si="2"/>
        <v>0</v>
      </c>
      <c r="X45" s="2">
        <f t="shared" si="3"/>
        <v>0</v>
      </c>
      <c r="Y45" s="2">
        <f t="shared" si="4"/>
        <v>0</v>
      </c>
      <c r="Z45" s="2">
        <f t="shared" si="5"/>
        <v>0</v>
      </c>
      <c r="AA45" s="2">
        <f t="shared" si="6"/>
        <v>0</v>
      </c>
      <c r="AB45" s="2" t="str">
        <f>IFERROR(VLOOKUP(B45,'Mitglieder BBU'!A:K,12,0),"")</f>
        <v/>
      </c>
      <c r="AC45" s="2">
        <f t="shared" si="7"/>
        <v>0</v>
      </c>
      <c r="AD45" s="2">
        <f t="array" ref="AD45">MIN(IF(D45:U45&lt;&gt;0,D45:U45))</f>
        <v>0</v>
      </c>
    </row>
    <row r="46">
      <c r="A46" s="2">
        <v>43.0</v>
      </c>
      <c r="B46" s="111" t="str">
        <f>Spieler!B48</f>
        <v/>
      </c>
      <c r="D46" s="2" t="str">
        <f>IFERROR(VLOOKUP($B46,Vorrunde!B:H,2,0),)</f>
        <v/>
      </c>
      <c r="E46" s="2" t="str">
        <f>IFERROR(VLOOKUP($B46,Vorrunde!$B:$H,3,0),)</f>
        <v/>
      </c>
      <c r="F46" s="2">
        <f>IFERROR(VLOOKUP($B46,Vorrunde!$B:$H,4,0),0)</f>
        <v>0</v>
      </c>
      <c r="G46" s="2" t="str">
        <f>IFERROR(VLOOKUP($B46,Vorrunde!$B:$H,5,0),)</f>
        <v/>
      </c>
      <c r="H46" s="2" t="str">
        <f>IFERROR(VLOOKUP($B46,Vorrunde!$B:$H,6,0),)</f>
        <v/>
      </c>
      <c r="I46" s="2" t="str">
        <f>IFERROR(VLOOKUP($B46,Vorrunde!$B:$H,7,0),)</f>
        <v/>
      </c>
      <c r="J46" s="2" t="str">
        <f>IFERROR(VLOOKUP($B46,Zwischenlauf!$B:$H,2,0),)</f>
        <v/>
      </c>
      <c r="K46" s="2" t="str">
        <f>IFERROR(VLOOKUP($B46,Zwischenlauf!$B:$H,3,0),)</f>
        <v/>
      </c>
      <c r="L46" s="2" t="str">
        <f>IFERROR(VLOOKUP($B46,Zwischenlauf!$B:$H,4,0),)</f>
        <v/>
      </c>
      <c r="M46" s="2" t="str">
        <f>IFERROR(VLOOKUP($B46,Zwischenlauf!$B:$H,5,0),)</f>
        <v/>
      </c>
      <c r="N46" s="2" t="str">
        <f>IFERROR(VLOOKUP($B46,Zwischenlauf!$B:$H,6,0),)</f>
        <v/>
      </c>
      <c r="O46" s="2" t="str">
        <f>IFERROR(VLOOKUP($B46,Zwischenlauf!$B:$H,7,0),)</f>
        <v/>
      </c>
      <c r="P46" s="2" t="str">
        <f>IFERROR(VLOOKUP($B46,Finalrunde!$B:$H,2,0),)</f>
        <v/>
      </c>
      <c r="Q46" s="2" t="str">
        <f>IFERROR(VLOOKUP($B46,Finalrunde!$B:$H,3,0),)</f>
        <v/>
      </c>
      <c r="R46" s="2" t="str">
        <f>IFERROR(VLOOKUP($B46,Finalrunde!$B:$H,4,0),)</f>
        <v/>
      </c>
      <c r="S46" s="2" t="str">
        <f>IFERROR(VLOOKUP($B46,Finalrunde!$B:$H,5,0),)</f>
        <v/>
      </c>
      <c r="T46" s="2" t="str">
        <f>IFERROR(VLOOKUP($B46,Finalrunde!$B:$H,6,0),)</f>
        <v/>
      </c>
      <c r="U46" s="2" t="str">
        <f>IFERROR(VLOOKUP($B46,Finalrunde!$B:$H,7,0),)</f>
        <v/>
      </c>
      <c r="V46" s="2">
        <f t="shared" si="1"/>
        <v>0</v>
      </c>
      <c r="W46" s="2">
        <f t="shared" si="2"/>
        <v>0</v>
      </c>
      <c r="X46" s="2">
        <f t="shared" si="3"/>
        <v>0</v>
      </c>
      <c r="Y46" s="2">
        <f t="shared" si="4"/>
        <v>0</v>
      </c>
      <c r="Z46" s="2">
        <f t="shared" si="5"/>
        <v>0</v>
      </c>
      <c r="AA46" s="2">
        <f t="shared" si="6"/>
        <v>0</v>
      </c>
      <c r="AB46" s="2" t="str">
        <f>IFERROR(VLOOKUP(B46,'Mitglieder BBU'!A:K,12,0),"")</f>
        <v/>
      </c>
      <c r="AC46" s="2">
        <f t="shared" si="7"/>
        <v>0</v>
      </c>
      <c r="AD46" s="2">
        <f t="array" ref="AD46">MIN(IF(D46:U46&lt;&gt;0,D46:U46))</f>
        <v>0</v>
      </c>
    </row>
    <row r="47">
      <c r="A47" s="2">
        <v>44.0</v>
      </c>
      <c r="B47" s="111" t="str">
        <f>Spieler!B49</f>
        <v/>
      </c>
      <c r="D47" s="2" t="str">
        <f>IFERROR(VLOOKUP($B47,Vorrunde!B:H,2,0),)</f>
        <v/>
      </c>
      <c r="E47" s="2" t="str">
        <f>IFERROR(VLOOKUP($B47,Vorrunde!$B:$H,3,0),)</f>
        <v/>
      </c>
      <c r="F47" s="2">
        <f>IFERROR(VLOOKUP($B47,Vorrunde!$B:$H,4,0),0)</f>
        <v>0</v>
      </c>
      <c r="G47" s="2" t="str">
        <f>IFERROR(VLOOKUP($B47,Vorrunde!$B:$H,5,0),)</f>
        <v/>
      </c>
      <c r="H47" s="2" t="str">
        <f>IFERROR(VLOOKUP($B47,Vorrunde!$B:$H,6,0),)</f>
        <v/>
      </c>
      <c r="I47" s="2" t="str">
        <f>IFERROR(VLOOKUP($B47,Vorrunde!$B:$H,7,0),)</f>
        <v/>
      </c>
      <c r="J47" s="2" t="str">
        <f>IFERROR(VLOOKUP($B47,Zwischenlauf!$B:$H,2,0),)</f>
        <v/>
      </c>
      <c r="K47" s="2" t="str">
        <f>IFERROR(VLOOKUP($B47,Zwischenlauf!$B:$H,3,0),)</f>
        <v/>
      </c>
      <c r="L47" s="2" t="str">
        <f>IFERROR(VLOOKUP($B47,Zwischenlauf!$B:$H,4,0),)</f>
        <v/>
      </c>
      <c r="M47" s="2" t="str">
        <f>IFERROR(VLOOKUP($B47,Zwischenlauf!$B:$H,5,0),)</f>
        <v/>
      </c>
      <c r="N47" s="2" t="str">
        <f>IFERROR(VLOOKUP($B47,Zwischenlauf!$B:$H,6,0),)</f>
        <v/>
      </c>
      <c r="O47" s="2" t="str">
        <f>IFERROR(VLOOKUP($B47,Zwischenlauf!$B:$H,7,0),)</f>
        <v/>
      </c>
      <c r="P47" s="2" t="str">
        <f>IFERROR(VLOOKUP($B47,Finalrunde!$B:$H,2,0),)</f>
        <v/>
      </c>
      <c r="Q47" s="2" t="str">
        <f>IFERROR(VLOOKUP($B47,Finalrunde!$B:$H,3,0),)</f>
        <v/>
      </c>
      <c r="R47" s="2" t="str">
        <f>IFERROR(VLOOKUP($B47,Finalrunde!$B:$H,4,0),)</f>
        <v/>
      </c>
      <c r="S47" s="2" t="str">
        <f>IFERROR(VLOOKUP($B47,Finalrunde!$B:$H,5,0),)</f>
        <v/>
      </c>
      <c r="T47" s="2" t="str">
        <f>IFERROR(VLOOKUP($B47,Finalrunde!$B:$H,6,0),)</f>
        <v/>
      </c>
      <c r="U47" s="2" t="str">
        <f>IFERROR(VLOOKUP($B47,Finalrunde!$B:$H,7,0),)</f>
        <v/>
      </c>
      <c r="V47" s="2">
        <f t="shared" si="1"/>
        <v>0</v>
      </c>
      <c r="W47" s="2">
        <f t="shared" si="2"/>
        <v>0</v>
      </c>
      <c r="X47" s="2">
        <f t="shared" si="3"/>
        <v>0</v>
      </c>
      <c r="Y47" s="2">
        <f t="shared" si="4"/>
        <v>0</v>
      </c>
      <c r="Z47" s="2">
        <f t="shared" si="5"/>
        <v>0</v>
      </c>
      <c r="AA47" s="2">
        <f t="shared" si="6"/>
        <v>0</v>
      </c>
      <c r="AB47" s="2" t="str">
        <f>IFERROR(VLOOKUP(B47,'Mitglieder BBU'!A:K,12,0),"")</f>
        <v/>
      </c>
      <c r="AC47" s="2">
        <f t="shared" si="7"/>
        <v>0</v>
      </c>
      <c r="AD47" s="2">
        <f t="array" ref="AD47">MIN(IF(D47:U47&lt;&gt;0,D47:U47))</f>
        <v>0</v>
      </c>
    </row>
    <row r="48">
      <c r="A48" s="2">
        <v>45.0</v>
      </c>
      <c r="B48" s="111" t="str">
        <f>Spieler!B50</f>
        <v/>
      </c>
      <c r="D48" s="2" t="str">
        <f>IFERROR(VLOOKUP($B48,Vorrunde!B:H,2,0),)</f>
        <v/>
      </c>
      <c r="E48" s="2" t="str">
        <f>IFERROR(VLOOKUP($B48,Vorrunde!$B:$H,3,0),)</f>
        <v/>
      </c>
      <c r="F48" s="2">
        <f>IFERROR(VLOOKUP($B48,Vorrunde!$B:$H,4,0),0)</f>
        <v>0</v>
      </c>
      <c r="G48" s="2" t="str">
        <f>IFERROR(VLOOKUP($B48,Vorrunde!$B:$H,5,0),)</f>
        <v/>
      </c>
      <c r="H48" s="2" t="str">
        <f>IFERROR(VLOOKUP($B48,Vorrunde!$B:$H,6,0),)</f>
        <v/>
      </c>
      <c r="I48" s="2" t="str">
        <f>IFERROR(VLOOKUP($B48,Vorrunde!$B:$H,7,0),)</f>
        <v/>
      </c>
      <c r="J48" s="2" t="str">
        <f>IFERROR(VLOOKUP($B48,Zwischenlauf!$B:$H,2,0),)</f>
        <v/>
      </c>
      <c r="K48" s="2" t="str">
        <f>IFERROR(VLOOKUP($B48,Zwischenlauf!$B:$H,3,0),)</f>
        <v/>
      </c>
      <c r="L48" s="2" t="str">
        <f>IFERROR(VLOOKUP($B48,Zwischenlauf!$B:$H,4,0),)</f>
        <v/>
      </c>
      <c r="M48" s="2" t="str">
        <f>IFERROR(VLOOKUP($B48,Zwischenlauf!$B:$H,5,0),)</f>
        <v/>
      </c>
      <c r="N48" s="2" t="str">
        <f>IFERROR(VLOOKUP($B48,Zwischenlauf!$B:$H,6,0),)</f>
        <v/>
      </c>
      <c r="O48" s="2" t="str">
        <f>IFERROR(VLOOKUP($B48,Zwischenlauf!$B:$H,7,0),)</f>
        <v/>
      </c>
      <c r="P48" s="2" t="str">
        <f>IFERROR(VLOOKUP($B48,Finalrunde!$B:$H,2,0),)</f>
        <v/>
      </c>
      <c r="Q48" s="2" t="str">
        <f>IFERROR(VLOOKUP($B48,Finalrunde!$B:$H,3,0),)</f>
        <v/>
      </c>
      <c r="R48" s="2" t="str">
        <f>IFERROR(VLOOKUP($B48,Finalrunde!$B:$H,4,0),)</f>
        <v/>
      </c>
      <c r="S48" s="2" t="str">
        <f>IFERROR(VLOOKUP($B48,Finalrunde!$B:$H,5,0),)</f>
        <v/>
      </c>
      <c r="T48" s="2" t="str">
        <f>IFERROR(VLOOKUP($B48,Finalrunde!$B:$H,6,0),)</f>
        <v/>
      </c>
      <c r="U48" s="2" t="str">
        <f>IFERROR(VLOOKUP($B48,Finalrunde!$B:$H,7,0),)</f>
        <v/>
      </c>
      <c r="V48" s="2">
        <f t="shared" si="1"/>
        <v>0</v>
      </c>
      <c r="W48" s="2">
        <f t="shared" si="2"/>
        <v>0</v>
      </c>
      <c r="X48" s="2">
        <f t="shared" si="3"/>
        <v>0</v>
      </c>
      <c r="Y48" s="2">
        <f t="shared" si="4"/>
        <v>0</v>
      </c>
      <c r="Z48" s="2">
        <f t="shared" si="5"/>
        <v>0</v>
      </c>
      <c r="AA48" s="2">
        <f t="shared" si="6"/>
        <v>0</v>
      </c>
      <c r="AB48" s="2" t="str">
        <f>IFERROR(VLOOKUP(B48,'Mitglieder BBU'!A:K,12,0),"")</f>
        <v/>
      </c>
      <c r="AC48" s="2">
        <f t="shared" si="7"/>
        <v>0</v>
      </c>
      <c r="AD48" s="2">
        <f t="array" ref="AD48">MIN(IF(D48:U48&lt;&gt;0,D48:U48))</f>
        <v>0</v>
      </c>
    </row>
    <row r="49">
      <c r="A49" s="2">
        <v>46.0</v>
      </c>
      <c r="B49" s="111" t="str">
        <f>Spieler!B51</f>
        <v/>
      </c>
      <c r="D49" s="2" t="str">
        <f>IFERROR(VLOOKUP($B49,Vorrunde!B:H,2,0),)</f>
        <v/>
      </c>
      <c r="E49" s="2" t="str">
        <f>IFERROR(VLOOKUP($B49,Vorrunde!$B:$H,3,0),)</f>
        <v/>
      </c>
      <c r="F49" s="2">
        <f>IFERROR(VLOOKUP($B49,Vorrunde!$B:$H,4,0),0)</f>
        <v>0</v>
      </c>
      <c r="G49" s="2" t="str">
        <f>IFERROR(VLOOKUP($B49,Vorrunde!$B:$H,5,0),)</f>
        <v/>
      </c>
      <c r="H49" s="2" t="str">
        <f>IFERROR(VLOOKUP($B49,Vorrunde!$B:$H,6,0),)</f>
        <v/>
      </c>
      <c r="I49" s="2" t="str">
        <f>IFERROR(VLOOKUP($B49,Vorrunde!$B:$H,7,0),)</f>
        <v/>
      </c>
      <c r="J49" s="2" t="str">
        <f>IFERROR(VLOOKUP($B49,Zwischenlauf!$B:$H,2,0),)</f>
        <v/>
      </c>
      <c r="K49" s="2" t="str">
        <f>IFERROR(VLOOKUP($B49,Zwischenlauf!$B:$H,3,0),)</f>
        <v/>
      </c>
      <c r="L49" s="2" t="str">
        <f>IFERROR(VLOOKUP($B49,Zwischenlauf!$B:$H,4,0),)</f>
        <v/>
      </c>
      <c r="M49" s="2" t="str">
        <f>IFERROR(VLOOKUP($B49,Zwischenlauf!$B:$H,5,0),)</f>
        <v/>
      </c>
      <c r="N49" s="2" t="str">
        <f>IFERROR(VLOOKUP($B49,Zwischenlauf!$B:$H,6,0),)</f>
        <v/>
      </c>
      <c r="O49" s="2" t="str">
        <f>IFERROR(VLOOKUP($B49,Zwischenlauf!$B:$H,7,0),)</f>
        <v/>
      </c>
      <c r="P49" s="2" t="str">
        <f>IFERROR(VLOOKUP($B49,Finalrunde!$B:$H,2,0),)</f>
        <v/>
      </c>
      <c r="Q49" s="2" t="str">
        <f>IFERROR(VLOOKUP($B49,Finalrunde!$B:$H,3,0),)</f>
        <v/>
      </c>
      <c r="R49" s="2" t="str">
        <f>IFERROR(VLOOKUP($B49,Finalrunde!$B:$H,4,0),)</f>
        <v/>
      </c>
      <c r="S49" s="2" t="str">
        <f>IFERROR(VLOOKUP($B49,Finalrunde!$B:$H,5,0),)</f>
        <v/>
      </c>
      <c r="T49" s="2" t="str">
        <f>IFERROR(VLOOKUP($B49,Finalrunde!$B:$H,6,0),)</f>
        <v/>
      </c>
      <c r="U49" s="2" t="str">
        <f>IFERROR(VLOOKUP($B49,Finalrunde!$B:$H,7,0),)</f>
        <v/>
      </c>
      <c r="V49" s="2">
        <f t="shared" si="1"/>
        <v>0</v>
      </c>
      <c r="W49" s="2">
        <f t="shared" si="2"/>
        <v>0</v>
      </c>
      <c r="X49" s="2">
        <f t="shared" si="3"/>
        <v>0</v>
      </c>
      <c r="Y49" s="2">
        <f t="shared" si="4"/>
        <v>0</v>
      </c>
      <c r="Z49" s="2">
        <f t="shared" si="5"/>
        <v>0</v>
      </c>
      <c r="AA49" s="2">
        <f t="shared" si="6"/>
        <v>0</v>
      </c>
      <c r="AB49" s="2" t="str">
        <f>IFERROR(VLOOKUP(B49,'Mitglieder BBU'!A:K,12,0),"")</f>
        <v/>
      </c>
      <c r="AC49" s="2">
        <f t="shared" si="7"/>
        <v>0</v>
      </c>
      <c r="AD49" s="2">
        <f t="array" ref="AD49">MIN(IF(D49:U49&lt;&gt;0,D49:U49))</f>
        <v>0</v>
      </c>
    </row>
    <row r="50">
      <c r="A50" s="2">
        <v>47.0</v>
      </c>
      <c r="B50" s="111" t="str">
        <f>Spieler!B52</f>
        <v/>
      </c>
      <c r="D50" s="2" t="str">
        <f>IFERROR(VLOOKUP($B50,Vorrunde!B:H,2,0),)</f>
        <v/>
      </c>
      <c r="E50" s="2" t="str">
        <f>IFERROR(VLOOKUP($B50,Vorrunde!$B:$H,3,0),)</f>
        <v/>
      </c>
      <c r="F50" s="2">
        <f>IFERROR(VLOOKUP($B50,Vorrunde!$B:$H,4,0),0)</f>
        <v>0</v>
      </c>
      <c r="G50" s="2" t="str">
        <f>IFERROR(VLOOKUP($B50,Vorrunde!$B:$H,5,0),)</f>
        <v/>
      </c>
      <c r="H50" s="2" t="str">
        <f>IFERROR(VLOOKUP($B50,Vorrunde!$B:$H,6,0),)</f>
        <v/>
      </c>
      <c r="I50" s="2" t="str">
        <f>IFERROR(VLOOKUP($B50,Vorrunde!$B:$H,7,0),)</f>
        <v/>
      </c>
      <c r="J50" s="2" t="str">
        <f>IFERROR(VLOOKUP($B50,Zwischenlauf!$B:$H,2,0),)</f>
        <v/>
      </c>
      <c r="K50" s="2" t="str">
        <f>IFERROR(VLOOKUP($B50,Zwischenlauf!$B:$H,3,0),)</f>
        <v/>
      </c>
      <c r="L50" s="2" t="str">
        <f>IFERROR(VLOOKUP($B50,Zwischenlauf!$B:$H,4,0),)</f>
        <v/>
      </c>
      <c r="M50" s="2" t="str">
        <f>IFERROR(VLOOKUP($B50,Zwischenlauf!$B:$H,5,0),)</f>
        <v/>
      </c>
      <c r="N50" s="2" t="str">
        <f>IFERROR(VLOOKUP($B50,Zwischenlauf!$B:$H,6,0),)</f>
        <v/>
      </c>
      <c r="O50" s="2" t="str">
        <f>IFERROR(VLOOKUP($B50,Zwischenlauf!$B:$H,7,0),)</f>
        <v/>
      </c>
      <c r="P50" s="2" t="str">
        <f>IFERROR(VLOOKUP($B50,Finalrunde!$B:$H,2,0),)</f>
        <v/>
      </c>
      <c r="Q50" s="2" t="str">
        <f>IFERROR(VLOOKUP($B50,Finalrunde!$B:$H,3,0),)</f>
        <v/>
      </c>
      <c r="R50" s="2" t="str">
        <f>IFERROR(VLOOKUP($B50,Finalrunde!$B:$H,4,0),)</f>
        <v/>
      </c>
      <c r="S50" s="2" t="str">
        <f>IFERROR(VLOOKUP($B50,Finalrunde!$B:$H,5,0),)</f>
        <v/>
      </c>
      <c r="T50" s="2" t="str">
        <f>IFERROR(VLOOKUP($B50,Finalrunde!$B:$H,6,0),)</f>
        <v/>
      </c>
      <c r="U50" s="2" t="str">
        <f>IFERROR(VLOOKUP($B50,Finalrunde!$B:$H,7,0),)</f>
        <v/>
      </c>
      <c r="V50" s="2">
        <f t="shared" si="1"/>
        <v>0</v>
      </c>
      <c r="W50" s="2">
        <f t="shared" si="2"/>
        <v>0</v>
      </c>
      <c r="X50" s="2">
        <f t="shared" si="3"/>
        <v>0</v>
      </c>
      <c r="Y50" s="2">
        <f t="shared" si="4"/>
        <v>0</v>
      </c>
      <c r="Z50" s="2">
        <f t="shared" si="5"/>
        <v>0</v>
      </c>
      <c r="AA50" s="2">
        <f t="shared" si="6"/>
        <v>0</v>
      </c>
      <c r="AB50" s="2" t="str">
        <f>IFERROR(VLOOKUP(B50,'Mitglieder BBU'!A:K,12,0),"")</f>
        <v/>
      </c>
      <c r="AC50" s="2">
        <f t="shared" si="7"/>
        <v>0</v>
      </c>
      <c r="AD50" s="2">
        <f t="array" ref="AD50">MIN(IF(D50:U50&lt;&gt;0,D50:U50))</f>
        <v>0</v>
      </c>
    </row>
    <row r="51">
      <c r="A51" s="2">
        <v>48.0</v>
      </c>
      <c r="B51" s="111" t="str">
        <f>Spieler!B53</f>
        <v/>
      </c>
      <c r="D51" s="2" t="str">
        <f>IFERROR(VLOOKUP($B51,Vorrunde!B:H,2,0),)</f>
        <v/>
      </c>
      <c r="E51" s="2" t="str">
        <f>IFERROR(VLOOKUP($B51,Vorrunde!$B:$H,3,0),)</f>
        <v/>
      </c>
      <c r="F51" s="2">
        <f>IFERROR(VLOOKUP($B51,Vorrunde!$B:$H,4,0),0)</f>
        <v>0</v>
      </c>
      <c r="G51" s="2" t="str">
        <f>IFERROR(VLOOKUP($B51,Vorrunde!$B:$H,5,0),)</f>
        <v/>
      </c>
      <c r="H51" s="2" t="str">
        <f>IFERROR(VLOOKUP($B51,Vorrunde!$B:$H,6,0),)</f>
        <v/>
      </c>
      <c r="I51" s="2" t="str">
        <f>IFERROR(VLOOKUP($B51,Vorrunde!$B:$H,7,0),)</f>
        <v/>
      </c>
      <c r="J51" s="2" t="str">
        <f>IFERROR(VLOOKUP($B51,Zwischenlauf!$B:$H,2,0),)</f>
        <v/>
      </c>
      <c r="K51" s="2" t="str">
        <f>IFERROR(VLOOKUP($B51,Zwischenlauf!$B:$H,3,0),)</f>
        <v/>
      </c>
      <c r="L51" s="2" t="str">
        <f>IFERROR(VLOOKUP($B51,Zwischenlauf!$B:$H,4,0),)</f>
        <v/>
      </c>
      <c r="M51" s="2" t="str">
        <f>IFERROR(VLOOKUP($B51,Zwischenlauf!$B:$H,5,0),)</f>
        <v/>
      </c>
      <c r="N51" s="2" t="str">
        <f>IFERROR(VLOOKUP($B51,Zwischenlauf!$B:$H,6,0),)</f>
        <v/>
      </c>
      <c r="O51" s="2" t="str">
        <f>IFERROR(VLOOKUP($B51,Zwischenlauf!$B:$H,7,0),)</f>
        <v/>
      </c>
      <c r="P51" s="2" t="str">
        <f>IFERROR(VLOOKUP($B51,Finalrunde!$B:$H,2,0),)</f>
        <v/>
      </c>
      <c r="Q51" s="2" t="str">
        <f>IFERROR(VLOOKUP($B51,Finalrunde!$B:$H,3,0),)</f>
        <v/>
      </c>
      <c r="R51" s="2" t="str">
        <f>IFERROR(VLOOKUP($B51,Finalrunde!$B:$H,4,0),)</f>
        <v/>
      </c>
      <c r="S51" s="2" t="str">
        <f>IFERROR(VLOOKUP($B51,Finalrunde!$B:$H,5,0),)</f>
        <v/>
      </c>
      <c r="T51" s="2" t="str">
        <f>IFERROR(VLOOKUP($B51,Finalrunde!$B:$H,6,0),)</f>
        <v/>
      </c>
      <c r="U51" s="2" t="str">
        <f>IFERROR(VLOOKUP($B51,Finalrunde!$B:$H,7,0),)</f>
        <v/>
      </c>
      <c r="V51" s="2">
        <f t="shared" si="1"/>
        <v>0</v>
      </c>
      <c r="W51" s="2">
        <f t="shared" si="2"/>
        <v>0</v>
      </c>
      <c r="X51" s="2">
        <f t="shared" si="3"/>
        <v>0</v>
      </c>
      <c r="Y51" s="2">
        <f t="shared" si="4"/>
        <v>0</v>
      </c>
      <c r="Z51" s="2">
        <f t="shared" si="5"/>
        <v>0</v>
      </c>
      <c r="AA51" s="2">
        <f t="shared" si="6"/>
        <v>0</v>
      </c>
      <c r="AB51" s="2" t="str">
        <f>IFERROR(VLOOKUP(B51,'Mitglieder BBU'!A:K,12,0),"")</f>
        <v/>
      </c>
      <c r="AC51" s="2">
        <f t="shared" si="7"/>
        <v>0</v>
      </c>
      <c r="AD51" s="2">
        <f t="array" ref="AD51">MIN(IF(D51:U51&lt;&gt;0,D51:U51))</f>
        <v>0</v>
      </c>
    </row>
    <row r="52">
      <c r="A52" s="2">
        <v>49.0</v>
      </c>
      <c r="B52" s="111" t="str">
        <f>Spieler!B54</f>
        <v/>
      </c>
      <c r="D52" s="2" t="str">
        <f>IFERROR(VLOOKUP($B52,Vorrunde!B:H,2,0),)</f>
        <v/>
      </c>
      <c r="E52" s="2" t="str">
        <f>IFERROR(VLOOKUP($B52,Vorrunde!$B:$H,3,0),)</f>
        <v/>
      </c>
      <c r="F52" s="2">
        <f>IFERROR(VLOOKUP($B52,Vorrunde!$B:$H,4,0),0)</f>
        <v>0</v>
      </c>
      <c r="G52" s="2" t="str">
        <f>IFERROR(VLOOKUP($B52,Vorrunde!$B:$H,5,0),)</f>
        <v/>
      </c>
      <c r="H52" s="2" t="str">
        <f>IFERROR(VLOOKUP($B52,Vorrunde!$B:$H,6,0),)</f>
        <v/>
      </c>
      <c r="I52" s="2" t="str">
        <f>IFERROR(VLOOKUP($B52,Vorrunde!$B:$H,7,0),)</f>
        <v/>
      </c>
      <c r="J52" s="2" t="str">
        <f>IFERROR(VLOOKUP($B52,Zwischenlauf!$B:$H,2,0),)</f>
        <v/>
      </c>
      <c r="K52" s="2" t="str">
        <f>IFERROR(VLOOKUP($B52,Zwischenlauf!$B:$H,3,0),)</f>
        <v/>
      </c>
      <c r="L52" s="2" t="str">
        <f>IFERROR(VLOOKUP($B52,Zwischenlauf!$B:$H,4,0),)</f>
        <v/>
      </c>
      <c r="M52" s="2" t="str">
        <f>IFERROR(VLOOKUP($B52,Zwischenlauf!$B:$H,5,0),)</f>
        <v/>
      </c>
      <c r="N52" s="2" t="str">
        <f>IFERROR(VLOOKUP($B52,Zwischenlauf!$B:$H,6,0),)</f>
        <v/>
      </c>
      <c r="O52" s="2" t="str">
        <f>IFERROR(VLOOKUP($B52,Zwischenlauf!$B:$H,7,0),)</f>
        <v/>
      </c>
      <c r="P52" s="2" t="str">
        <f>IFERROR(VLOOKUP($B52,Finalrunde!$B:$H,2,0),)</f>
        <v/>
      </c>
      <c r="Q52" s="2" t="str">
        <f>IFERROR(VLOOKUP($B52,Finalrunde!$B:$H,3,0),)</f>
        <v/>
      </c>
      <c r="R52" s="2" t="str">
        <f>IFERROR(VLOOKUP($B52,Finalrunde!$B:$H,4,0),)</f>
        <v/>
      </c>
      <c r="S52" s="2" t="str">
        <f>IFERROR(VLOOKUP($B52,Finalrunde!$B:$H,5,0),)</f>
        <v/>
      </c>
      <c r="T52" s="2" t="str">
        <f>IFERROR(VLOOKUP($B52,Finalrunde!$B:$H,6,0),)</f>
        <v/>
      </c>
      <c r="U52" s="2" t="str">
        <f>IFERROR(VLOOKUP($B52,Finalrunde!$B:$H,7,0),)</f>
        <v/>
      </c>
      <c r="V52" s="2">
        <f t="shared" si="1"/>
        <v>0</v>
      </c>
      <c r="W52" s="2">
        <f t="shared" si="2"/>
        <v>0</v>
      </c>
      <c r="X52" s="2">
        <f t="shared" si="3"/>
        <v>0</v>
      </c>
      <c r="Y52" s="2">
        <f t="shared" si="4"/>
        <v>0</v>
      </c>
      <c r="Z52" s="2">
        <f t="shared" si="5"/>
        <v>0</v>
      </c>
      <c r="AA52" s="2">
        <f t="shared" si="6"/>
        <v>0</v>
      </c>
      <c r="AB52" s="2" t="str">
        <f>IFERROR(VLOOKUP(B52,'Mitglieder BBU'!A:K,12,0),"")</f>
        <v/>
      </c>
      <c r="AC52" s="2">
        <f t="shared" si="7"/>
        <v>0</v>
      </c>
      <c r="AD52" s="2">
        <f t="array" ref="AD52">MIN(IF(D52:U52&lt;&gt;0,D52:U52))</f>
        <v>0</v>
      </c>
    </row>
    <row r="53">
      <c r="A53" s="2">
        <v>50.0</v>
      </c>
      <c r="B53" s="111" t="str">
        <f>Spieler!B55</f>
        <v/>
      </c>
      <c r="D53" s="2" t="str">
        <f>IFERROR(VLOOKUP($B53,Vorrunde!B:H,2,0),)</f>
        <v/>
      </c>
      <c r="E53" s="2" t="str">
        <f>IFERROR(VLOOKUP($B53,Vorrunde!$B:$H,3,0),)</f>
        <v/>
      </c>
      <c r="F53" s="2">
        <f>IFERROR(VLOOKUP($B53,Vorrunde!$B:$H,4,0),0)</f>
        <v>0</v>
      </c>
      <c r="G53" s="2" t="str">
        <f>IFERROR(VLOOKUP($B53,Vorrunde!$B:$H,5,0),)</f>
        <v/>
      </c>
      <c r="H53" s="2" t="str">
        <f>IFERROR(VLOOKUP($B53,Vorrunde!$B:$H,6,0),)</f>
        <v/>
      </c>
      <c r="I53" s="2" t="str">
        <f>IFERROR(VLOOKUP($B53,Vorrunde!$B:$H,7,0),)</f>
        <v/>
      </c>
      <c r="J53" s="2" t="str">
        <f>IFERROR(VLOOKUP($B53,Zwischenlauf!$B:$H,2,0),)</f>
        <v/>
      </c>
      <c r="K53" s="2" t="str">
        <f>IFERROR(VLOOKUP($B53,Zwischenlauf!$B:$H,3,0),)</f>
        <v/>
      </c>
      <c r="L53" s="2" t="str">
        <f>IFERROR(VLOOKUP($B53,Zwischenlauf!$B:$H,4,0),)</f>
        <v/>
      </c>
      <c r="M53" s="2" t="str">
        <f>IFERROR(VLOOKUP($B53,Zwischenlauf!$B:$H,5,0),)</f>
        <v/>
      </c>
      <c r="N53" s="2" t="str">
        <f>IFERROR(VLOOKUP($B53,Zwischenlauf!$B:$H,6,0),)</f>
        <v/>
      </c>
      <c r="O53" s="2" t="str">
        <f>IFERROR(VLOOKUP($B53,Zwischenlauf!$B:$H,7,0),)</f>
        <v/>
      </c>
      <c r="P53" s="2" t="str">
        <f>IFERROR(VLOOKUP($B53,Finalrunde!$B:$H,2,0),)</f>
        <v/>
      </c>
      <c r="Q53" s="2" t="str">
        <f>IFERROR(VLOOKUP($B53,Finalrunde!$B:$H,3,0),)</f>
        <v/>
      </c>
      <c r="R53" s="2" t="str">
        <f>IFERROR(VLOOKUP($B53,Finalrunde!$B:$H,4,0),)</f>
        <v/>
      </c>
      <c r="S53" s="2" t="str">
        <f>IFERROR(VLOOKUP($B53,Finalrunde!$B:$H,5,0),)</f>
        <v/>
      </c>
      <c r="T53" s="2" t="str">
        <f>IFERROR(VLOOKUP($B53,Finalrunde!$B:$H,6,0),)</f>
        <v/>
      </c>
      <c r="U53" s="2" t="str">
        <f>IFERROR(VLOOKUP($B53,Finalrunde!$B:$H,7,0),)</f>
        <v/>
      </c>
      <c r="V53" s="2">
        <f t="shared" si="1"/>
        <v>0</v>
      </c>
      <c r="W53" s="2">
        <f t="shared" si="2"/>
        <v>0</v>
      </c>
      <c r="X53" s="2">
        <f t="shared" si="3"/>
        <v>0</v>
      </c>
      <c r="Y53" s="2">
        <f t="shared" si="4"/>
        <v>0</v>
      </c>
      <c r="Z53" s="2">
        <f t="shared" si="5"/>
        <v>0</v>
      </c>
      <c r="AA53" s="2">
        <f t="shared" si="6"/>
        <v>0</v>
      </c>
      <c r="AB53" s="2" t="str">
        <f>IFERROR(VLOOKUP(B53,'Mitglieder BBU'!A:K,12,0),"")</f>
        <v/>
      </c>
      <c r="AC53" s="2">
        <f t="shared" si="7"/>
        <v>0</v>
      </c>
      <c r="AD53" s="2">
        <f t="array" ref="AD53">MIN(IF(D53:U53&lt;&gt;0,D53:U53))</f>
        <v>0</v>
      </c>
    </row>
    <row r="54">
      <c r="A54" s="2">
        <v>51.0</v>
      </c>
      <c r="B54" s="111" t="str">
        <f>Spieler!B56</f>
        <v/>
      </c>
      <c r="D54" s="2" t="str">
        <f>IFERROR(VLOOKUP($B54,Vorrunde!B:H,2,0),)</f>
        <v/>
      </c>
      <c r="E54" s="2" t="str">
        <f>IFERROR(VLOOKUP($B54,Vorrunde!$B:$H,3,0),)</f>
        <v/>
      </c>
      <c r="F54" s="2">
        <f>IFERROR(VLOOKUP($B54,Vorrunde!$B:$H,4,0),0)</f>
        <v>0</v>
      </c>
      <c r="G54" s="2" t="str">
        <f>IFERROR(VLOOKUP($B54,Vorrunde!$B:$H,5,0),)</f>
        <v/>
      </c>
      <c r="H54" s="2" t="str">
        <f>IFERROR(VLOOKUP($B54,Vorrunde!$B:$H,6,0),)</f>
        <v/>
      </c>
      <c r="I54" s="2" t="str">
        <f>IFERROR(VLOOKUP($B54,Vorrunde!$B:$H,7,0),)</f>
        <v/>
      </c>
      <c r="J54" s="2" t="str">
        <f>IFERROR(VLOOKUP($B54,Zwischenlauf!$B:$H,2,0),)</f>
        <v/>
      </c>
      <c r="K54" s="2" t="str">
        <f>IFERROR(VLOOKUP($B54,Zwischenlauf!$B:$H,3,0),)</f>
        <v/>
      </c>
      <c r="L54" s="2" t="str">
        <f>IFERROR(VLOOKUP($B54,Zwischenlauf!$B:$H,4,0),)</f>
        <v/>
      </c>
      <c r="M54" s="2" t="str">
        <f>IFERROR(VLOOKUP($B54,Zwischenlauf!$B:$H,5,0),)</f>
        <v/>
      </c>
      <c r="N54" s="2" t="str">
        <f>IFERROR(VLOOKUP($B54,Zwischenlauf!$B:$H,6,0),)</f>
        <v/>
      </c>
      <c r="O54" s="2" t="str">
        <f>IFERROR(VLOOKUP($B54,Zwischenlauf!$B:$H,7,0),)</f>
        <v/>
      </c>
      <c r="P54" s="2" t="str">
        <f>IFERROR(VLOOKUP($B54,Finalrunde!$B:$H,2,0),)</f>
        <v/>
      </c>
      <c r="Q54" s="2" t="str">
        <f>IFERROR(VLOOKUP($B54,Finalrunde!$B:$H,3,0),)</f>
        <v/>
      </c>
      <c r="R54" s="2" t="str">
        <f>IFERROR(VLOOKUP($B54,Finalrunde!$B:$H,4,0),)</f>
        <v/>
      </c>
      <c r="S54" s="2" t="str">
        <f>IFERROR(VLOOKUP($B54,Finalrunde!$B:$H,5,0),)</f>
        <v/>
      </c>
      <c r="T54" s="2" t="str">
        <f>IFERROR(VLOOKUP($B54,Finalrunde!$B:$H,6,0),)</f>
        <v/>
      </c>
      <c r="U54" s="2" t="str">
        <f>IFERROR(VLOOKUP($B54,Finalrunde!$B:$H,7,0),)</f>
        <v/>
      </c>
      <c r="V54" s="2">
        <f t="shared" si="1"/>
        <v>0</v>
      </c>
      <c r="W54" s="2">
        <f t="shared" si="2"/>
        <v>0</v>
      </c>
      <c r="X54" s="2">
        <f t="shared" si="3"/>
        <v>0</v>
      </c>
      <c r="Y54" s="2">
        <f t="shared" si="4"/>
        <v>0</v>
      </c>
      <c r="Z54" s="2">
        <f t="shared" si="5"/>
        <v>0</v>
      </c>
      <c r="AA54" s="2">
        <f t="shared" si="6"/>
        <v>0</v>
      </c>
      <c r="AB54" s="2" t="str">
        <f>IFERROR(VLOOKUP(B54,'Mitglieder BBU'!A:K,12,0),"")</f>
        <v/>
      </c>
      <c r="AC54" s="2">
        <f t="shared" si="7"/>
        <v>0</v>
      </c>
      <c r="AD54" s="2">
        <f t="array" ref="AD54">MIN(IF(D54:U54&lt;&gt;0,D54:U54))</f>
        <v>0</v>
      </c>
    </row>
    <row r="55">
      <c r="A55" s="2">
        <v>52.0</v>
      </c>
      <c r="B55" s="111" t="str">
        <f>Spieler!B57</f>
        <v/>
      </c>
      <c r="D55" s="2" t="str">
        <f>IFERROR(VLOOKUP($B55,Vorrunde!B:H,2,0),)</f>
        <v/>
      </c>
      <c r="E55" s="2" t="str">
        <f>IFERROR(VLOOKUP($B55,Vorrunde!$B:$H,3,0),)</f>
        <v/>
      </c>
      <c r="F55" s="2">
        <f>IFERROR(VLOOKUP($B55,Vorrunde!$B:$H,4,0),0)</f>
        <v>0</v>
      </c>
      <c r="G55" s="2" t="str">
        <f>IFERROR(VLOOKUP($B55,Vorrunde!$B:$H,5,0),)</f>
        <v/>
      </c>
      <c r="H55" s="2" t="str">
        <f>IFERROR(VLOOKUP($B55,Vorrunde!$B:$H,6,0),)</f>
        <v/>
      </c>
      <c r="I55" s="2" t="str">
        <f>IFERROR(VLOOKUP($B55,Vorrunde!$B:$H,7,0),)</f>
        <v/>
      </c>
      <c r="J55" s="2" t="str">
        <f>IFERROR(VLOOKUP($B55,Zwischenlauf!$B:$H,2,0),)</f>
        <v/>
      </c>
      <c r="K55" s="2" t="str">
        <f>IFERROR(VLOOKUP($B55,Zwischenlauf!$B:$H,3,0),)</f>
        <v/>
      </c>
      <c r="L55" s="2" t="str">
        <f>IFERROR(VLOOKUP($B55,Zwischenlauf!$B:$H,4,0),)</f>
        <v/>
      </c>
      <c r="M55" s="2" t="str">
        <f>IFERROR(VLOOKUP($B55,Zwischenlauf!$B:$H,5,0),)</f>
        <v/>
      </c>
      <c r="N55" s="2" t="str">
        <f>IFERROR(VLOOKUP($B55,Zwischenlauf!$B:$H,6,0),)</f>
        <v/>
      </c>
      <c r="O55" s="2" t="str">
        <f>IFERROR(VLOOKUP($B55,Zwischenlauf!$B:$H,7,0),)</f>
        <v/>
      </c>
      <c r="P55" s="2" t="str">
        <f>IFERROR(VLOOKUP($B55,Finalrunde!$B:$H,2,0),)</f>
        <v/>
      </c>
      <c r="Q55" s="2" t="str">
        <f>IFERROR(VLOOKUP($B55,Finalrunde!$B:$H,3,0),)</f>
        <v/>
      </c>
      <c r="R55" s="2" t="str">
        <f>IFERROR(VLOOKUP($B55,Finalrunde!$B:$H,4,0),)</f>
        <v/>
      </c>
      <c r="S55" s="2" t="str">
        <f>IFERROR(VLOOKUP($B55,Finalrunde!$B:$H,5,0),)</f>
        <v/>
      </c>
      <c r="T55" s="2" t="str">
        <f>IFERROR(VLOOKUP($B55,Finalrunde!$B:$H,6,0),)</f>
        <v/>
      </c>
      <c r="U55" s="2" t="str">
        <f>IFERROR(VLOOKUP($B55,Finalrunde!$B:$H,7,0),)</f>
        <v/>
      </c>
      <c r="V55" s="2">
        <f t="shared" si="1"/>
        <v>0</v>
      </c>
      <c r="W55" s="2">
        <f t="shared" si="2"/>
        <v>0</v>
      </c>
      <c r="X55" s="2">
        <f t="shared" si="3"/>
        <v>0</v>
      </c>
      <c r="Y55" s="2">
        <f t="shared" si="4"/>
        <v>0</v>
      </c>
      <c r="Z55" s="2">
        <f t="shared" si="5"/>
        <v>0</v>
      </c>
      <c r="AA55" s="2">
        <f t="shared" si="6"/>
        <v>0</v>
      </c>
      <c r="AB55" s="2" t="str">
        <f>IFERROR(VLOOKUP(B55,'Mitglieder BBU'!A:K,12,0),"")</f>
        <v/>
      </c>
      <c r="AC55" s="2">
        <f t="shared" si="7"/>
        <v>0</v>
      </c>
      <c r="AD55" s="2">
        <f t="array" ref="AD55">MIN(IF(D55:U55&lt;&gt;0,D55:U55))</f>
        <v>0</v>
      </c>
    </row>
    <row r="56">
      <c r="A56" s="2">
        <v>53.0</v>
      </c>
      <c r="B56" s="111" t="str">
        <f>Spieler!B58</f>
        <v/>
      </c>
      <c r="D56" s="2" t="str">
        <f>IFERROR(VLOOKUP($B56,Vorrunde!B:H,2,0),)</f>
        <v/>
      </c>
      <c r="E56" s="2" t="str">
        <f>IFERROR(VLOOKUP($B56,Vorrunde!$B:$H,3,0),)</f>
        <v/>
      </c>
      <c r="F56" s="2">
        <f>IFERROR(VLOOKUP($B56,Vorrunde!$B:$H,4,0),0)</f>
        <v>0</v>
      </c>
      <c r="G56" s="2" t="str">
        <f>IFERROR(VLOOKUP($B56,Vorrunde!$B:$H,5,0),)</f>
        <v/>
      </c>
      <c r="H56" s="2" t="str">
        <f>IFERROR(VLOOKUP($B56,Vorrunde!$B:$H,6,0),)</f>
        <v/>
      </c>
      <c r="I56" s="2" t="str">
        <f>IFERROR(VLOOKUP($B56,Vorrunde!$B:$H,7,0),)</f>
        <v/>
      </c>
      <c r="J56" s="2" t="str">
        <f>IFERROR(VLOOKUP($B56,Zwischenlauf!$B:$H,2,0),)</f>
        <v/>
      </c>
      <c r="K56" s="2" t="str">
        <f>IFERROR(VLOOKUP($B56,Zwischenlauf!$B:$H,3,0),)</f>
        <v/>
      </c>
      <c r="L56" s="2" t="str">
        <f>IFERROR(VLOOKUP($B56,Zwischenlauf!$B:$H,4,0),)</f>
        <v/>
      </c>
      <c r="M56" s="2" t="str">
        <f>IFERROR(VLOOKUP($B56,Zwischenlauf!$B:$H,5,0),)</f>
        <v/>
      </c>
      <c r="N56" s="2" t="str">
        <f>IFERROR(VLOOKUP($B56,Zwischenlauf!$B:$H,6,0),)</f>
        <v/>
      </c>
      <c r="O56" s="2" t="str">
        <f>IFERROR(VLOOKUP($B56,Zwischenlauf!$B:$H,7,0),)</f>
        <v/>
      </c>
      <c r="P56" s="2" t="str">
        <f>IFERROR(VLOOKUP($B56,Finalrunde!$B:$H,2,0),)</f>
        <v/>
      </c>
      <c r="Q56" s="2" t="str">
        <f>IFERROR(VLOOKUP($B56,Finalrunde!$B:$H,3,0),)</f>
        <v/>
      </c>
      <c r="R56" s="2" t="str">
        <f>IFERROR(VLOOKUP($B56,Finalrunde!$B:$H,4,0),)</f>
        <v/>
      </c>
      <c r="S56" s="2" t="str">
        <f>IFERROR(VLOOKUP($B56,Finalrunde!$B:$H,5,0),)</f>
        <v/>
      </c>
      <c r="T56" s="2" t="str">
        <f>IFERROR(VLOOKUP($B56,Finalrunde!$B:$H,6,0),)</f>
        <v/>
      </c>
      <c r="U56" s="2" t="str">
        <f>IFERROR(VLOOKUP($B56,Finalrunde!$B:$H,7,0),)</f>
        <v/>
      </c>
      <c r="V56" s="2">
        <f t="shared" si="1"/>
        <v>0</v>
      </c>
      <c r="W56" s="2">
        <f t="shared" si="2"/>
        <v>0</v>
      </c>
      <c r="X56" s="2">
        <f t="shared" si="3"/>
        <v>0</v>
      </c>
      <c r="Y56" s="2">
        <f t="shared" si="4"/>
        <v>0</v>
      </c>
      <c r="Z56" s="2">
        <f t="shared" si="5"/>
        <v>0</v>
      </c>
      <c r="AA56" s="2">
        <f t="shared" si="6"/>
        <v>0</v>
      </c>
      <c r="AB56" s="2" t="str">
        <f>IFERROR(VLOOKUP(B56,'Mitglieder BBU'!A:K,12,0),"")</f>
        <v/>
      </c>
      <c r="AC56" s="2">
        <f t="shared" si="7"/>
        <v>0</v>
      </c>
      <c r="AD56" s="2">
        <f t="array" ref="AD56">MIN(IF(D56:U56&lt;&gt;0,D56:U56))</f>
        <v>0</v>
      </c>
    </row>
    <row r="57">
      <c r="A57" s="2">
        <v>54.0</v>
      </c>
      <c r="B57" s="111" t="str">
        <f>Spieler!B59</f>
        <v/>
      </c>
      <c r="D57" s="2" t="str">
        <f>IFERROR(VLOOKUP($B57,Vorrunde!B:H,2,0),)</f>
        <v/>
      </c>
      <c r="E57" s="2" t="str">
        <f>IFERROR(VLOOKUP($B57,Vorrunde!$B:$H,3,0),)</f>
        <v/>
      </c>
      <c r="F57" s="2">
        <f>IFERROR(VLOOKUP($B57,Vorrunde!$B:$H,4,0),0)</f>
        <v>0</v>
      </c>
      <c r="G57" s="2" t="str">
        <f>IFERROR(VLOOKUP($B57,Vorrunde!$B:$H,5,0),)</f>
        <v/>
      </c>
      <c r="H57" s="2" t="str">
        <f>IFERROR(VLOOKUP($B57,Vorrunde!$B:$H,6,0),)</f>
        <v/>
      </c>
      <c r="I57" s="2" t="str">
        <f>IFERROR(VLOOKUP($B57,Vorrunde!$B:$H,7,0),)</f>
        <v/>
      </c>
      <c r="J57" s="2" t="str">
        <f>IFERROR(VLOOKUP($B57,Zwischenlauf!$B:$H,2,0),)</f>
        <v/>
      </c>
      <c r="K57" s="2" t="str">
        <f>IFERROR(VLOOKUP($B57,Zwischenlauf!$B:$H,3,0),)</f>
        <v/>
      </c>
      <c r="L57" s="2" t="str">
        <f>IFERROR(VLOOKUP($B57,Zwischenlauf!$B:$H,4,0),)</f>
        <v/>
      </c>
      <c r="M57" s="2" t="str">
        <f>IFERROR(VLOOKUP($B57,Zwischenlauf!$B:$H,5,0),)</f>
        <v/>
      </c>
      <c r="N57" s="2" t="str">
        <f>IFERROR(VLOOKUP($B57,Zwischenlauf!$B:$H,6,0),)</f>
        <v/>
      </c>
      <c r="O57" s="2" t="str">
        <f>IFERROR(VLOOKUP($B57,Zwischenlauf!$B:$H,7,0),)</f>
        <v/>
      </c>
      <c r="P57" s="2" t="str">
        <f>IFERROR(VLOOKUP($B57,Finalrunde!$B:$H,2,0),)</f>
        <v/>
      </c>
      <c r="Q57" s="2" t="str">
        <f>IFERROR(VLOOKUP($B57,Finalrunde!$B:$H,3,0),)</f>
        <v/>
      </c>
      <c r="R57" s="2" t="str">
        <f>IFERROR(VLOOKUP($B57,Finalrunde!$B:$H,4,0),)</f>
        <v/>
      </c>
      <c r="S57" s="2" t="str">
        <f>IFERROR(VLOOKUP($B57,Finalrunde!$B:$H,5,0),)</f>
        <v/>
      </c>
      <c r="T57" s="2" t="str">
        <f>IFERROR(VLOOKUP($B57,Finalrunde!$B:$H,6,0),)</f>
        <v/>
      </c>
      <c r="U57" s="2" t="str">
        <f>IFERROR(VLOOKUP($B57,Finalrunde!$B:$H,7,0),)</f>
        <v/>
      </c>
      <c r="V57" s="2">
        <f t="shared" si="1"/>
        <v>0</v>
      </c>
      <c r="W57" s="2">
        <f t="shared" si="2"/>
        <v>0</v>
      </c>
      <c r="X57" s="2">
        <f t="shared" si="3"/>
        <v>0</v>
      </c>
      <c r="Y57" s="2">
        <f t="shared" si="4"/>
        <v>0</v>
      </c>
      <c r="Z57" s="2">
        <f t="shared" si="5"/>
        <v>0</v>
      </c>
      <c r="AA57" s="2">
        <f t="shared" si="6"/>
        <v>0</v>
      </c>
      <c r="AB57" s="2" t="str">
        <f>IFERROR(VLOOKUP(B57,'Mitglieder BBU'!A:K,12,0),"")</f>
        <v/>
      </c>
      <c r="AC57" s="2">
        <f t="shared" si="7"/>
        <v>0</v>
      </c>
      <c r="AD57" s="2">
        <f t="array" ref="AD57">MIN(IF(D57:U57&lt;&gt;0,D57:U57))</f>
        <v>0</v>
      </c>
    </row>
    <row r="58">
      <c r="A58" s="2">
        <v>55.0</v>
      </c>
      <c r="B58" s="111" t="str">
        <f>Spieler!B60</f>
        <v/>
      </c>
      <c r="D58" s="2" t="str">
        <f>IFERROR(VLOOKUP($B58,Vorrunde!B:H,2,0),)</f>
        <v/>
      </c>
      <c r="E58" s="2" t="str">
        <f>IFERROR(VLOOKUP($B58,Vorrunde!$B:$H,3,0),)</f>
        <v/>
      </c>
      <c r="F58" s="2">
        <f>IFERROR(VLOOKUP($B58,Vorrunde!$B:$H,4,0),0)</f>
        <v>0</v>
      </c>
      <c r="G58" s="2" t="str">
        <f>IFERROR(VLOOKUP($B58,Vorrunde!$B:$H,5,0),)</f>
        <v/>
      </c>
      <c r="H58" s="2" t="str">
        <f>IFERROR(VLOOKUP($B58,Vorrunde!$B:$H,6,0),)</f>
        <v/>
      </c>
      <c r="I58" s="2" t="str">
        <f>IFERROR(VLOOKUP($B58,Vorrunde!$B:$H,7,0),)</f>
        <v/>
      </c>
      <c r="J58" s="2" t="str">
        <f>IFERROR(VLOOKUP($B58,Zwischenlauf!$B:$H,2,0),)</f>
        <v/>
      </c>
      <c r="K58" s="2" t="str">
        <f>IFERROR(VLOOKUP($B58,Zwischenlauf!$B:$H,3,0),)</f>
        <v/>
      </c>
      <c r="L58" s="2" t="str">
        <f>IFERROR(VLOOKUP($B58,Zwischenlauf!$B:$H,4,0),)</f>
        <v/>
      </c>
      <c r="M58" s="2" t="str">
        <f>IFERROR(VLOOKUP($B58,Zwischenlauf!$B:$H,5,0),)</f>
        <v/>
      </c>
      <c r="N58" s="2" t="str">
        <f>IFERROR(VLOOKUP($B58,Zwischenlauf!$B:$H,6,0),)</f>
        <v/>
      </c>
      <c r="O58" s="2" t="str">
        <f>IFERROR(VLOOKUP($B58,Zwischenlauf!$B:$H,7,0),)</f>
        <v/>
      </c>
      <c r="P58" s="2" t="str">
        <f>IFERROR(VLOOKUP($B58,Finalrunde!$B:$H,2,0),)</f>
        <v/>
      </c>
      <c r="Q58" s="2" t="str">
        <f>IFERROR(VLOOKUP($B58,Finalrunde!$B:$H,3,0),)</f>
        <v/>
      </c>
      <c r="R58" s="2" t="str">
        <f>IFERROR(VLOOKUP($B58,Finalrunde!$B:$H,4,0),)</f>
        <v/>
      </c>
      <c r="S58" s="2" t="str">
        <f>IFERROR(VLOOKUP($B58,Finalrunde!$B:$H,5,0),)</f>
        <v/>
      </c>
      <c r="T58" s="2" t="str">
        <f>IFERROR(VLOOKUP($B58,Finalrunde!$B:$H,6,0),)</f>
        <v/>
      </c>
      <c r="U58" s="2" t="str">
        <f>IFERROR(VLOOKUP($B58,Finalrunde!$B:$H,7,0),)</f>
        <v/>
      </c>
      <c r="V58" s="2">
        <f t="shared" si="1"/>
        <v>0</v>
      </c>
      <c r="W58" s="2">
        <f t="shared" si="2"/>
        <v>0</v>
      </c>
      <c r="X58" s="2">
        <f t="shared" si="3"/>
        <v>0</v>
      </c>
      <c r="Y58" s="2">
        <f t="shared" si="4"/>
        <v>0</v>
      </c>
      <c r="Z58" s="2">
        <f t="shared" si="5"/>
        <v>0</v>
      </c>
      <c r="AA58" s="2">
        <f t="shared" si="6"/>
        <v>0</v>
      </c>
      <c r="AB58" s="2" t="str">
        <f>IFERROR(VLOOKUP(B58,'Mitglieder BBU'!A:K,12,0),"")</f>
        <v/>
      </c>
      <c r="AC58" s="2">
        <f t="shared" si="7"/>
        <v>0</v>
      </c>
      <c r="AD58" s="2">
        <f t="array" ref="AD58">MIN(IF(D58:U58&lt;&gt;0,D58:U58))</f>
        <v>0</v>
      </c>
    </row>
    <row r="59">
      <c r="A59" s="2">
        <v>56.0</v>
      </c>
      <c r="B59" s="111" t="str">
        <f>Spieler!B61</f>
        <v/>
      </c>
      <c r="D59" s="2" t="str">
        <f>IFERROR(VLOOKUP($B59,Vorrunde!B:H,2,0),)</f>
        <v/>
      </c>
      <c r="E59" s="2" t="str">
        <f>IFERROR(VLOOKUP($B59,Vorrunde!$B:$H,3,0),)</f>
        <v/>
      </c>
      <c r="F59" s="2">
        <f>IFERROR(VLOOKUP($B59,Vorrunde!$B:$H,4,0),0)</f>
        <v>0</v>
      </c>
      <c r="G59" s="2" t="str">
        <f>IFERROR(VLOOKUP($B59,Vorrunde!$B:$H,5,0),)</f>
        <v/>
      </c>
      <c r="H59" s="2" t="str">
        <f>IFERROR(VLOOKUP($B59,Vorrunde!$B:$H,6,0),)</f>
        <v/>
      </c>
      <c r="I59" s="2" t="str">
        <f>IFERROR(VLOOKUP($B59,Vorrunde!$B:$H,7,0),)</f>
        <v/>
      </c>
      <c r="J59" s="2" t="str">
        <f>IFERROR(VLOOKUP($B59,Zwischenlauf!$B:$H,2,0),)</f>
        <v/>
      </c>
      <c r="K59" s="2" t="str">
        <f>IFERROR(VLOOKUP($B59,Zwischenlauf!$B:$H,3,0),)</f>
        <v/>
      </c>
      <c r="L59" s="2" t="str">
        <f>IFERROR(VLOOKUP($B59,Zwischenlauf!$B:$H,4,0),)</f>
        <v/>
      </c>
      <c r="M59" s="2" t="str">
        <f>IFERROR(VLOOKUP($B59,Zwischenlauf!$B:$H,5,0),)</f>
        <v/>
      </c>
      <c r="N59" s="2" t="str">
        <f>IFERROR(VLOOKUP($B59,Zwischenlauf!$B:$H,6,0),)</f>
        <v/>
      </c>
      <c r="O59" s="2" t="str">
        <f>IFERROR(VLOOKUP($B59,Zwischenlauf!$B:$H,7,0),)</f>
        <v/>
      </c>
      <c r="P59" s="2" t="str">
        <f>IFERROR(VLOOKUP($B59,Finalrunde!$B:$H,2,0),)</f>
        <v/>
      </c>
      <c r="Q59" s="2" t="str">
        <f>IFERROR(VLOOKUP($B59,Finalrunde!$B:$H,3,0),)</f>
        <v/>
      </c>
      <c r="R59" s="2" t="str">
        <f>IFERROR(VLOOKUP($B59,Finalrunde!$B:$H,4,0),)</f>
        <v/>
      </c>
      <c r="S59" s="2" t="str">
        <f>IFERROR(VLOOKUP($B59,Finalrunde!$B:$H,5,0),)</f>
        <v/>
      </c>
      <c r="T59" s="2" t="str">
        <f>IFERROR(VLOOKUP($B59,Finalrunde!$B:$H,6,0),)</f>
        <v/>
      </c>
      <c r="U59" s="2" t="str">
        <f>IFERROR(VLOOKUP($B59,Finalrunde!$B:$H,7,0),)</f>
        <v/>
      </c>
      <c r="V59" s="2">
        <f t="shared" si="1"/>
        <v>0</v>
      </c>
      <c r="W59" s="2">
        <f t="shared" si="2"/>
        <v>0</v>
      </c>
      <c r="X59" s="2">
        <f t="shared" si="3"/>
        <v>0</v>
      </c>
      <c r="Y59" s="2">
        <f t="shared" si="4"/>
        <v>0</v>
      </c>
      <c r="Z59" s="2">
        <f t="shared" si="5"/>
        <v>0</v>
      </c>
      <c r="AA59" s="2">
        <f t="shared" si="6"/>
        <v>0</v>
      </c>
      <c r="AB59" s="2" t="str">
        <f>IFERROR(VLOOKUP(B59,'Mitglieder BBU'!A:K,12,0),"")</f>
        <v/>
      </c>
      <c r="AC59" s="2">
        <f t="shared" si="7"/>
        <v>0</v>
      </c>
      <c r="AD59" s="2">
        <f t="array" ref="AD59">MIN(IF(D59:U59&lt;&gt;0,D59:U59))</f>
        <v>0</v>
      </c>
    </row>
    <row r="60">
      <c r="A60" s="2">
        <v>57.0</v>
      </c>
      <c r="B60" s="111" t="str">
        <f>Spieler!B62</f>
        <v/>
      </c>
      <c r="D60" s="2" t="str">
        <f>IFERROR(VLOOKUP($B60,Vorrunde!B:H,2,0),)</f>
        <v/>
      </c>
      <c r="E60" s="2" t="str">
        <f>IFERROR(VLOOKUP($B60,Vorrunde!$B:$H,3,0),)</f>
        <v/>
      </c>
      <c r="F60" s="2">
        <f>IFERROR(VLOOKUP($B60,Vorrunde!$B:$H,4,0),0)</f>
        <v>0</v>
      </c>
      <c r="G60" s="2" t="str">
        <f>IFERROR(VLOOKUP($B60,Vorrunde!$B:$H,5,0),)</f>
        <v/>
      </c>
      <c r="H60" s="2" t="str">
        <f>IFERROR(VLOOKUP($B60,Vorrunde!$B:$H,6,0),)</f>
        <v/>
      </c>
      <c r="I60" s="2" t="str">
        <f>IFERROR(VLOOKUP($B60,Vorrunde!$B:$H,7,0),)</f>
        <v/>
      </c>
      <c r="J60" s="2" t="str">
        <f>IFERROR(VLOOKUP($B60,Zwischenlauf!$B:$H,2,0),)</f>
        <v/>
      </c>
      <c r="K60" s="2" t="str">
        <f>IFERROR(VLOOKUP($B60,Zwischenlauf!$B:$H,3,0),)</f>
        <v/>
      </c>
      <c r="L60" s="2" t="str">
        <f>IFERROR(VLOOKUP($B60,Zwischenlauf!$B:$H,4,0),)</f>
        <v/>
      </c>
      <c r="M60" s="2" t="str">
        <f>IFERROR(VLOOKUP($B60,Zwischenlauf!$B:$H,5,0),)</f>
        <v/>
      </c>
      <c r="N60" s="2" t="str">
        <f>IFERROR(VLOOKUP($B60,Zwischenlauf!$B:$H,6,0),)</f>
        <v/>
      </c>
      <c r="O60" s="2" t="str">
        <f>IFERROR(VLOOKUP($B60,Zwischenlauf!$B:$H,7,0),)</f>
        <v/>
      </c>
      <c r="P60" s="2" t="str">
        <f>IFERROR(VLOOKUP($B60,Finalrunde!$B:$H,2,0),)</f>
        <v/>
      </c>
      <c r="Q60" s="2" t="str">
        <f>IFERROR(VLOOKUP($B60,Finalrunde!$B:$H,3,0),)</f>
        <v/>
      </c>
      <c r="R60" s="2" t="str">
        <f>IFERROR(VLOOKUP($B60,Finalrunde!$B:$H,4,0),)</f>
        <v/>
      </c>
      <c r="S60" s="2" t="str">
        <f>IFERROR(VLOOKUP($B60,Finalrunde!$B:$H,5,0),)</f>
        <v/>
      </c>
      <c r="T60" s="2" t="str">
        <f>IFERROR(VLOOKUP($B60,Finalrunde!$B:$H,6,0),)</f>
        <v/>
      </c>
      <c r="U60" s="2" t="str">
        <f>IFERROR(VLOOKUP($B60,Finalrunde!$B:$H,7,0),)</f>
        <v/>
      </c>
      <c r="V60" s="2">
        <f t="shared" si="1"/>
        <v>0</v>
      </c>
      <c r="W60" s="2">
        <f t="shared" si="2"/>
        <v>0</v>
      </c>
      <c r="X60" s="2">
        <f t="shared" si="3"/>
        <v>0</v>
      </c>
      <c r="Y60" s="2">
        <f t="shared" si="4"/>
        <v>0</v>
      </c>
      <c r="Z60" s="2">
        <f t="shared" si="5"/>
        <v>0</v>
      </c>
      <c r="AA60" s="2">
        <f t="shared" si="6"/>
        <v>0</v>
      </c>
      <c r="AB60" s="2" t="str">
        <f>IFERROR(VLOOKUP(B60,'Mitglieder BBU'!A:K,12,0),"")</f>
        <v/>
      </c>
      <c r="AC60" s="2">
        <f t="shared" si="7"/>
        <v>0</v>
      </c>
      <c r="AD60" s="2">
        <f t="array" ref="AD60">MIN(IF(D60:U60&lt;&gt;0,D60:U60))</f>
        <v>0</v>
      </c>
    </row>
    <row r="61">
      <c r="A61" s="2">
        <v>58.0</v>
      </c>
      <c r="B61" s="111" t="str">
        <f>Spieler!B63</f>
        <v/>
      </c>
      <c r="D61" s="2" t="str">
        <f>IFERROR(VLOOKUP($B61,Vorrunde!B:H,2,0),)</f>
        <v/>
      </c>
      <c r="E61" s="2" t="str">
        <f>IFERROR(VLOOKUP($B61,Vorrunde!$B:$H,3,0),)</f>
        <v/>
      </c>
      <c r="F61" s="2">
        <f>IFERROR(VLOOKUP($B61,Vorrunde!$B:$H,4,0),0)</f>
        <v>0</v>
      </c>
      <c r="G61" s="2" t="str">
        <f>IFERROR(VLOOKUP($B61,Vorrunde!$B:$H,5,0),)</f>
        <v/>
      </c>
      <c r="H61" s="2" t="str">
        <f>IFERROR(VLOOKUP($B61,Vorrunde!$B:$H,6,0),)</f>
        <v/>
      </c>
      <c r="I61" s="2" t="str">
        <f>IFERROR(VLOOKUP($B61,Vorrunde!$B:$H,7,0),)</f>
        <v/>
      </c>
      <c r="J61" s="2" t="str">
        <f>IFERROR(VLOOKUP($B61,Zwischenlauf!$B:$H,2,0),)</f>
        <v/>
      </c>
      <c r="K61" s="2" t="str">
        <f>IFERROR(VLOOKUP($B61,Zwischenlauf!$B:$H,3,0),)</f>
        <v/>
      </c>
      <c r="L61" s="2" t="str">
        <f>IFERROR(VLOOKUP($B61,Zwischenlauf!$B:$H,4,0),)</f>
        <v/>
      </c>
      <c r="M61" s="2" t="str">
        <f>IFERROR(VLOOKUP($B61,Zwischenlauf!$B:$H,5,0),)</f>
        <v/>
      </c>
      <c r="N61" s="2" t="str">
        <f>IFERROR(VLOOKUP($B61,Zwischenlauf!$B:$H,6,0),)</f>
        <v/>
      </c>
      <c r="O61" s="2" t="str">
        <f>IFERROR(VLOOKUP($B61,Zwischenlauf!$B:$H,7,0),)</f>
        <v/>
      </c>
      <c r="P61" s="2" t="str">
        <f>IFERROR(VLOOKUP($B61,Finalrunde!$B:$H,2,0),)</f>
        <v/>
      </c>
      <c r="Q61" s="2" t="str">
        <f>IFERROR(VLOOKUP($B61,Finalrunde!$B:$H,3,0),)</f>
        <v/>
      </c>
      <c r="R61" s="2" t="str">
        <f>IFERROR(VLOOKUP($B61,Finalrunde!$B:$H,4,0),)</f>
        <v/>
      </c>
      <c r="S61" s="2" t="str">
        <f>IFERROR(VLOOKUP($B61,Finalrunde!$B:$H,5,0),)</f>
        <v/>
      </c>
      <c r="T61" s="2" t="str">
        <f>IFERROR(VLOOKUP($B61,Finalrunde!$B:$H,6,0),)</f>
        <v/>
      </c>
      <c r="U61" s="2" t="str">
        <f>IFERROR(VLOOKUP($B61,Finalrunde!$B:$H,7,0),)</f>
        <v/>
      </c>
      <c r="V61" s="2">
        <f t="shared" si="1"/>
        <v>0</v>
      </c>
      <c r="W61" s="2">
        <f t="shared" si="2"/>
        <v>0</v>
      </c>
      <c r="X61" s="2">
        <f t="shared" si="3"/>
        <v>0</v>
      </c>
      <c r="Y61" s="2">
        <f t="shared" si="4"/>
        <v>0</v>
      </c>
      <c r="Z61" s="2">
        <f t="shared" si="5"/>
        <v>0</v>
      </c>
      <c r="AA61" s="2">
        <f t="shared" si="6"/>
        <v>0</v>
      </c>
      <c r="AB61" s="2" t="str">
        <f>IFERROR(VLOOKUP(B61,'Mitglieder BBU'!A:K,12,0),"")</f>
        <v/>
      </c>
      <c r="AC61" s="2">
        <f t="shared" si="7"/>
        <v>0</v>
      </c>
      <c r="AD61" s="2">
        <f t="array" ref="AD61">MIN(IF(D61:U61&lt;&gt;0,D61:U61))</f>
        <v>0</v>
      </c>
    </row>
    <row r="62">
      <c r="A62" s="2">
        <v>59.0</v>
      </c>
      <c r="B62" s="111" t="str">
        <f>Spieler!B64</f>
        <v/>
      </c>
      <c r="D62" s="2" t="str">
        <f>IFERROR(VLOOKUP($B62,Vorrunde!B:H,2,0),)</f>
        <v/>
      </c>
      <c r="E62" s="2" t="str">
        <f>IFERROR(VLOOKUP($B62,Vorrunde!$B:$H,3,0),)</f>
        <v/>
      </c>
      <c r="F62" s="2">
        <f>IFERROR(VLOOKUP($B62,Vorrunde!$B:$H,4,0),0)</f>
        <v>0</v>
      </c>
      <c r="G62" s="2" t="str">
        <f>IFERROR(VLOOKUP($B62,Vorrunde!$B:$H,5,0),)</f>
        <v/>
      </c>
      <c r="H62" s="2" t="str">
        <f>IFERROR(VLOOKUP($B62,Vorrunde!$B:$H,6,0),)</f>
        <v/>
      </c>
      <c r="I62" s="2" t="str">
        <f>IFERROR(VLOOKUP($B62,Vorrunde!$B:$H,7,0),)</f>
        <v/>
      </c>
      <c r="J62" s="2" t="str">
        <f>IFERROR(VLOOKUP($B62,Zwischenlauf!$B:$H,2,0),)</f>
        <v/>
      </c>
      <c r="K62" s="2" t="str">
        <f>IFERROR(VLOOKUP($B62,Zwischenlauf!$B:$H,3,0),)</f>
        <v/>
      </c>
      <c r="L62" s="2" t="str">
        <f>IFERROR(VLOOKUP($B62,Zwischenlauf!$B:$H,4,0),)</f>
        <v/>
      </c>
      <c r="M62" s="2" t="str">
        <f>IFERROR(VLOOKUP($B62,Zwischenlauf!$B:$H,5,0),)</f>
        <v/>
      </c>
      <c r="N62" s="2" t="str">
        <f>IFERROR(VLOOKUP($B62,Zwischenlauf!$B:$H,6,0),)</f>
        <v/>
      </c>
      <c r="O62" s="2" t="str">
        <f>IFERROR(VLOOKUP($B62,Zwischenlauf!$B:$H,7,0),)</f>
        <v/>
      </c>
      <c r="P62" s="2" t="str">
        <f>IFERROR(VLOOKUP($B62,Finalrunde!$B:$H,2,0),)</f>
        <v/>
      </c>
      <c r="Q62" s="2" t="str">
        <f>IFERROR(VLOOKUP($B62,Finalrunde!$B:$H,3,0),)</f>
        <v/>
      </c>
      <c r="R62" s="2" t="str">
        <f>IFERROR(VLOOKUP($B62,Finalrunde!$B:$H,4,0),)</f>
        <v/>
      </c>
      <c r="S62" s="2" t="str">
        <f>IFERROR(VLOOKUP($B62,Finalrunde!$B:$H,5,0),)</f>
        <v/>
      </c>
      <c r="T62" s="2" t="str">
        <f>IFERROR(VLOOKUP($B62,Finalrunde!$B:$H,6,0),)</f>
        <v/>
      </c>
      <c r="U62" s="2" t="str">
        <f>IFERROR(VLOOKUP($B62,Finalrunde!$B:$H,7,0),)</f>
        <v/>
      </c>
      <c r="V62" s="2">
        <f t="shared" si="1"/>
        <v>0</v>
      </c>
      <c r="W62" s="2">
        <f t="shared" si="2"/>
        <v>0</v>
      </c>
      <c r="X62" s="2">
        <f t="shared" si="3"/>
        <v>0</v>
      </c>
      <c r="Y62" s="2">
        <f t="shared" si="4"/>
        <v>0</v>
      </c>
      <c r="Z62" s="2">
        <f t="shared" si="5"/>
        <v>0</v>
      </c>
      <c r="AA62" s="2">
        <f t="shared" si="6"/>
        <v>0</v>
      </c>
      <c r="AB62" s="2" t="str">
        <f>IFERROR(VLOOKUP(B62,'Mitglieder BBU'!A:K,12,0),"")</f>
        <v/>
      </c>
      <c r="AC62" s="2">
        <f t="shared" si="7"/>
        <v>0</v>
      </c>
      <c r="AD62" s="2">
        <f t="array" ref="AD62">MIN(IF(D62:U62&lt;&gt;0,D62:U62))</f>
        <v>0</v>
      </c>
    </row>
    <row r="63">
      <c r="A63" s="2">
        <v>60.0</v>
      </c>
      <c r="B63" s="111" t="str">
        <f>Spieler!B65</f>
        <v/>
      </c>
      <c r="D63" s="2" t="str">
        <f>IFERROR(VLOOKUP($B63,Vorrunde!B:H,2,0),)</f>
        <v/>
      </c>
      <c r="E63" s="2" t="str">
        <f>IFERROR(VLOOKUP($B63,Vorrunde!$B:$H,3,0),)</f>
        <v/>
      </c>
      <c r="F63" s="2">
        <f>IFERROR(VLOOKUP($B63,Vorrunde!$B:$H,4,0),0)</f>
        <v>0</v>
      </c>
      <c r="G63" s="2" t="str">
        <f>IFERROR(VLOOKUP($B63,Vorrunde!$B:$H,5,0),)</f>
        <v/>
      </c>
      <c r="H63" s="2" t="str">
        <f>IFERROR(VLOOKUP($B63,Vorrunde!$B:$H,6,0),)</f>
        <v/>
      </c>
      <c r="I63" s="2" t="str">
        <f>IFERROR(VLOOKUP($B63,Vorrunde!$B:$H,7,0),)</f>
        <v/>
      </c>
      <c r="J63" s="2" t="str">
        <f>IFERROR(VLOOKUP($B63,Zwischenlauf!$B:$H,2,0),)</f>
        <v/>
      </c>
      <c r="K63" s="2" t="str">
        <f>IFERROR(VLOOKUP($B63,Zwischenlauf!$B:$H,3,0),)</f>
        <v/>
      </c>
      <c r="L63" s="2" t="str">
        <f>IFERROR(VLOOKUP($B63,Zwischenlauf!$B:$H,4,0),)</f>
        <v/>
      </c>
      <c r="M63" s="2" t="str">
        <f>IFERROR(VLOOKUP($B63,Zwischenlauf!$B:$H,5,0),)</f>
        <v/>
      </c>
      <c r="N63" s="2" t="str">
        <f>IFERROR(VLOOKUP($B63,Zwischenlauf!$B:$H,6,0),)</f>
        <v/>
      </c>
      <c r="O63" s="2" t="str">
        <f>IFERROR(VLOOKUP($B63,Zwischenlauf!$B:$H,7,0),)</f>
        <v/>
      </c>
      <c r="P63" s="2" t="str">
        <f>IFERROR(VLOOKUP($B63,Finalrunde!$B:$H,2,0),)</f>
        <v/>
      </c>
      <c r="Q63" s="2" t="str">
        <f>IFERROR(VLOOKUP($B63,Finalrunde!$B:$H,3,0),)</f>
        <v/>
      </c>
      <c r="R63" s="2" t="str">
        <f>IFERROR(VLOOKUP($B63,Finalrunde!$B:$H,4,0),)</f>
        <v/>
      </c>
      <c r="S63" s="2" t="str">
        <f>IFERROR(VLOOKUP($B63,Finalrunde!$B:$H,5,0),)</f>
        <v/>
      </c>
      <c r="T63" s="2" t="str">
        <f>IFERROR(VLOOKUP($B63,Finalrunde!$B:$H,6,0),)</f>
        <v/>
      </c>
      <c r="U63" s="2" t="str">
        <f>IFERROR(VLOOKUP($B63,Finalrunde!$B:$H,7,0),)</f>
        <v/>
      </c>
      <c r="V63" s="2">
        <f t="shared" si="1"/>
        <v>0</v>
      </c>
      <c r="W63" s="2">
        <f t="shared" si="2"/>
        <v>0</v>
      </c>
      <c r="X63" s="2">
        <f t="shared" si="3"/>
        <v>0</v>
      </c>
      <c r="Y63" s="2">
        <f t="shared" si="4"/>
        <v>0</v>
      </c>
      <c r="Z63" s="2">
        <f t="shared" si="5"/>
        <v>0</v>
      </c>
      <c r="AA63" s="2">
        <f t="shared" si="6"/>
        <v>0</v>
      </c>
      <c r="AB63" s="2" t="str">
        <f>IFERROR(VLOOKUP(B63,'Mitglieder BBU'!A:K,12,0),"")</f>
        <v/>
      </c>
      <c r="AC63" s="2">
        <f t="shared" si="7"/>
        <v>0</v>
      </c>
      <c r="AD63" s="2">
        <f t="array" ref="AD63">MIN(IF(D63:U63&lt;&gt;0,D63:U63))</f>
        <v>0</v>
      </c>
    </row>
    <row r="64">
      <c r="A64" s="2">
        <v>61.0</v>
      </c>
      <c r="B64" s="111" t="str">
        <f>Spieler!B66</f>
        <v/>
      </c>
      <c r="D64" s="2" t="str">
        <f>IFERROR(VLOOKUP($B64,Vorrunde!B:H,2,0),)</f>
        <v/>
      </c>
      <c r="E64" s="2" t="str">
        <f>IFERROR(VLOOKUP($B64,Vorrunde!$B:$H,3,0),)</f>
        <v/>
      </c>
      <c r="F64" s="2">
        <f>IFERROR(VLOOKUP($B64,Vorrunde!$B:$H,4,0),0)</f>
        <v>0</v>
      </c>
      <c r="G64" s="2" t="str">
        <f>IFERROR(VLOOKUP($B64,Vorrunde!$B:$H,5,0),)</f>
        <v/>
      </c>
      <c r="H64" s="2" t="str">
        <f>IFERROR(VLOOKUP($B64,Vorrunde!$B:$H,6,0),)</f>
        <v/>
      </c>
      <c r="I64" s="2" t="str">
        <f>IFERROR(VLOOKUP($B64,Vorrunde!$B:$H,7,0),)</f>
        <v/>
      </c>
      <c r="J64" s="2" t="str">
        <f>IFERROR(VLOOKUP($B64,Zwischenlauf!$B:$H,2,0),)</f>
        <v/>
      </c>
      <c r="K64" s="2" t="str">
        <f>IFERROR(VLOOKUP($B64,Zwischenlauf!$B:$H,3,0),)</f>
        <v/>
      </c>
      <c r="L64" s="2" t="str">
        <f>IFERROR(VLOOKUP($B64,Zwischenlauf!$B:$H,4,0),)</f>
        <v/>
      </c>
      <c r="M64" s="2" t="str">
        <f>IFERROR(VLOOKUP($B64,Zwischenlauf!$B:$H,5,0),)</f>
        <v/>
      </c>
      <c r="N64" s="2" t="str">
        <f>IFERROR(VLOOKUP($B64,Zwischenlauf!$B:$H,6,0),)</f>
        <v/>
      </c>
      <c r="O64" s="2" t="str">
        <f>IFERROR(VLOOKUP($B64,Zwischenlauf!$B:$H,7,0),)</f>
        <v/>
      </c>
      <c r="P64" s="2" t="str">
        <f>IFERROR(VLOOKUP($B64,Finalrunde!$B:$H,2,0),)</f>
        <v/>
      </c>
      <c r="Q64" s="2" t="str">
        <f>IFERROR(VLOOKUP($B64,Finalrunde!$B:$H,3,0),)</f>
        <v/>
      </c>
      <c r="R64" s="2" t="str">
        <f>IFERROR(VLOOKUP($B64,Finalrunde!$B:$H,4,0),)</f>
        <v/>
      </c>
      <c r="S64" s="2" t="str">
        <f>IFERROR(VLOOKUP($B64,Finalrunde!$B:$H,5,0),)</f>
        <v/>
      </c>
      <c r="T64" s="2" t="str">
        <f>IFERROR(VLOOKUP($B64,Finalrunde!$B:$H,6,0),)</f>
        <v/>
      </c>
      <c r="U64" s="2" t="str">
        <f>IFERROR(VLOOKUP($B64,Finalrunde!$B:$H,7,0),)</f>
        <v/>
      </c>
      <c r="V64" s="2">
        <f t="shared" si="1"/>
        <v>0</v>
      </c>
      <c r="W64" s="2">
        <f t="shared" si="2"/>
        <v>0</v>
      </c>
      <c r="X64" s="2">
        <f t="shared" si="3"/>
        <v>0</v>
      </c>
      <c r="Y64" s="2">
        <f t="shared" si="4"/>
        <v>0</v>
      </c>
      <c r="Z64" s="2">
        <f t="shared" si="5"/>
        <v>0</v>
      </c>
      <c r="AA64" s="2">
        <f t="shared" si="6"/>
        <v>0</v>
      </c>
      <c r="AB64" s="2" t="str">
        <f>IFERROR(VLOOKUP(B64,'Mitglieder BBU'!A:K,12,0),"")</f>
        <v/>
      </c>
      <c r="AC64" s="2">
        <f t="shared" si="7"/>
        <v>0</v>
      </c>
      <c r="AD64" s="2">
        <f t="array" ref="AD64">MIN(IF(D64:U64&lt;&gt;0,D64:U64))</f>
        <v>0</v>
      </c>
    </row>
    <row r="65">
      <c r="A65" s="2">
        <v>62.0</v>
      </c>
      <c r="B65" s="111" t="str">
        <f>Spieler!B67</f>
        <v/>
      </c>
      <c r="D65" s="2" t="str">
        <f>IFERROR(VLOOKUP($B65,Vorrunde!B:H,2,0),)</f>
        <v/>
      </c>
      <c r="E65" s="2" t="str">
        <f>IFERROR(VLOOKUP($B65,Vorrunde!$B:$H,3,0),)</f>
        <v/>
      </c>
      <c r="F65" s="2">
        <f>IFERROR(VLOOKUP($B65,Vorrunde!$B:$H,4,0),0)</f>
        <v>0</v>
      </c>
      <c r="G65" s="2" t="str">
        <f>IFERROR(VLOOKUP($B65,Vorrunde!$B:$H,5,0),)</f>
        <v/>
      </c>
      <c r="H65" s="2" t="str">
        <f>IFERROR(VLOOKUP($B65,Vorrunde!$B:$H,6,0),)</f>
        <v/>
      </c>
      <c r="I65" s="2" t="str">
        <f>IFERROR(VLOOKUP($B65,Vorrunde!$B:$H,7,0),)</f>
        <v/>
      </c>
      <c r="J65" s="2" t="str">
        <f>IFERROR(VLOOKUP($B65,Zwischenlauf!$B:$H,2,0),)</f>
        <v/>
      </c>
      <c r="K65" s="2" t="str">
        <f>IFERROR(VLOOKUP($B65,Zwischenlauf!$B:$H,3,0),)</f>
        <v/>
      </c>
      <c r="L65" s="2" t="str">
        <f>IFERROR(VLOOKUP($B65,Zwischenlauf!$B:$H,4,0),)</f>
        <v/>
      </c>
      <c r="M65" s="2" t="str">
        <f>IFERROR(VLOOKUP($B65,Zwischenlauf!$B:$H,5,0),)</f>
        <v/>
      </c>
      <c r="N65" s="2" t="str">
        <f>IFERROR(VLOOKUP($B65,Zwischenlauf!$B:$H,6,0),)</f>
        <v/>
      </c>
      <c r="O65" s="2" t="str">
        <f>IFERROR(VLOOKUP($B65,Zwischenlauf!$B:$H,7,0),)</f>
        <v/>
      </c>
      <c r="P65" s="2" t="str">
        <f>IFERROR(VLOOKUP($B65,Finalrunde!$B:$H,2,0),)</f>
        <v/>
      </c>
      <c r="Q65" s="2" t="str">
        <f>IFERROR(VLOOKUP($B65,Finalrunde!$B:$H,3,0),)</f>
        <v/>
      </c>
      <c r="R65" s="2" t="str">
        <f>IFERROR(VLOOKUP($B65,Finalrunde!$B:$H,4,0),)</f>
        <v/>
      </c>
      <c r="S65" s="2" t="str">
        <f>IFERROR(VLOOKUP($B65,Finalrunde!$B:$H,5,0),)</f>
        <v/>
      </c>
      <c r="T65" s="2" t="str">
        <f>IFERROR(VLOOKUP($B65,Finalrunde!$B:$H,6,0),)</f>
        <v/>
      </c>
      <c r="U65" s="2" t="str">
        <f>IFERROR(VLOOKUP($B65,Finalrunde!$B:$H,7,0),)</f>
        <v/>
      </c>
      <c r="V65" s="2">
        <f t="shared" si="1"/>
        <v>0</v>
      </c>
      <c r="W65" s="2">
        <f t="shared" si="2"/>
        <v>0</v>
      </c>
      <c r="X65" s="2">
        <f t="shared" si="3"/>
        <v>0</v>
      </c>
      <c r="Y65" s="2">
        <f t="shared" si="4"/>
        <v>0</v>
      </c>
      <c r="Z65" s="2">
        <f t="shared" si="5"/>
        <v>0</v>
      </c>
      <c r="AA65" s="2">
        <f t="shared" si="6"/>
        <v>0</v>
      </c>
      <c r="AB65" s="2" t="str">
        <f>IFERROR(VLOOKUP(B65,'Mitglieder BBU'!A:K,12,0),"")</f>
        <v/>
      </c>
      <c r="AC65" s="2">
        <f t="shared" si="7"/>
        <v>0</v>
      </c>
      <c r="AD65" s="2">
        <f t="array" ref="AD65">MIN(IF(D65:U65&lt;&gt;0,D65:U65))</f>
        <v>0</v>
      </c>
    </row>
    <row r="66">
      <c r="A66" s="2">
        <v>63.0</v>
      </c>
      <c r="B66" s="111" t="str">
        <f>Spieler!B68</f>
        <v/>
      </c>
      <c r="D66" s="2" t="str">
        <f>IFERROR(VLOOKUP($B66,Vorrunde!B:H,2,0),)</f>
        <v/>
      </c>
      <c r="E66" s="2" t="str">
        <f>IFERROR(VLOOKUP($B66,Vorrunde!$B:$H,3,0),)</f>
        <v/>
      </c>
      <c r="F66" s="2">
        <f>IFERROR(VLOOKUP($B66,Vorrunde!$B:$H,4,0),0)</f>
        <v>0</v>
      </c>
      <c r="G66" s="2" t="str">
        <f>IFERROR(VLOOKUP($B66,Vorrunde!$B:$H,5,0),)</f>
        <v/>
      </c>
      <c r="H66" s="2" t="str">
        <f>IFERROR(VLOOKUP($B66,Vorrunde!$B:$H,6,0),)</f>
        <v/>
      </c>
      <c r="I66" s="2" t="str">
        <f>IFERROR(VLOOKUP($B66,Vorrunde!$B:$H,7,0),)</f>
        <v/>
      </c>
      <c r="J66" s="2" t="str">
        <f>IFERROR(VLOOKUP($B66,Zwischenlauf!$B:$H,2,0),)</f>
        <v/>
      </c>
      <c r="K66" s="2" t="str">
        <f>IFERROR(VLOOKUP($B66,Zwischenlauf!$B:$H,3,0),)</f>
        <v/>
      </c>
      <c r="L66" s="2" t="str">
        <f>IFERROR(VLOOKUP($B66,Zwischenlauf!$B:$H,4,0),)</f>
        <v/>
      </c>
      <c r="M66" s="2" t="str">
        <f>IFERROR(VLOOKUP($B66,Zwischenlauf!$B:$H,5,0),)</f>
        <v/>
      </c>
      <c r="N66" s="2" t="str">
        <f>IFERROR(VLOOKUP($B66,Zwischenlauf!$B:$H,6,0),)</f>
        <v/>
      </c>
      <c r="O66" s="2" t="str">
        <f>IFERROR(VLOOKUP($B66,Zwischenlauf!$B:$H,7,0),)</f>
        <v/>
      </c>
      <c r="P66" s="2" t="str">
        <f>IFERROR(VLOOKUP($B66,Finalrunde!$B:$H,2,0),)</f>
        <v/>
      </c>
      <c r="Q66" s="2" t="str">
        <f>IFERROR(VLOOKUP($B66,Finalrunde!$B:$H,3,0),)</f>
        <v/>
      </c>
      <c r="R66" s="2" t="str">
        <f>IFERROR(VLOOKUP($B66,Finalrunde!$B:$H,4,0),)</f>
        <v/>
      </c>
      <c r="S66" s="2" t="str">
        <f>IFERROR(VLOOKUP($B66,Finalrunde!$B:$H,5,0),)</f>
        <v/>
      </c>
      <c r="T66" s="2" t="str">
        <f>IFERROR(VLOOKUP($B66,Finalrunde!$B:$H,6,0),)</f>
        <v/>
      </c>
      <c r="U66" s="2" t="str">
        <f>IFERROR(VLOOKUP($B66,Finalrunde!$B:$H,7,0),)</f>
        <v/>
      </c>
      <c r="V66" s="2">
        <f t="shared" si="1"/>
        <v>0</v>
      </c>
      <c r="W66" s="2">
        <f t="shared" si="2"/>
        <v>0</v>
      </c>
      <c r="X66" s="2">
        <f t="shared" si="3"/>
        <v>0</v>
      </c>
      <c r="Y66" s="2">
        <f t="shared" si="4"/>
        <v>0</v>
      </c>
      <c r="Z66" s="2">
        <f t="shared" si="5"/>
        <v>0</v>
      </c>
      <c r="AA66" s="2">
        <f t="shared" si="6"/>
        <v>0</v>
      </c>
      <c r="AB66" s="2" t="str">
        <f>IFERROR(VLOOKUP(B66,'Mitglieder BBU'!A:K,12,0),"")</f>
        <v/>
      </c>
      <c r="AC66" s="2">
        <f t="shared" si="7"/>
        <v>0</v>
      </c>
      <c r="AD66" s="2">
        <f t="array" ref="AD66">MIN(IF(D66:U66&lt;&gt;0,D66:U66))</f>
        <v>0</v>
      </c>
    </row>
    <row r="67">
      <c r="A67" s="2">
        <v>64.0</v>
      </c>
      <c r="B67" s="111" t="str">
        <f>Spieler!B69</f>
        <v/>
      </c>
      <c r="D67" s="2" t="str">
        <f>IFERROR(VLOOKUP($B67,Vorrunde!B:H,2,0),)</f>
        <v/>
      </c>
      <c r="E67" s="2" t="str">
        <f>IFERROR(VLOOKUP($B67,Vorrunde!$B:$H,3,0),)</f>
        <v/>
      </c>
      <c r="F67" s="2">
        <f>IFERROR(VLOOKUP($B67,Vorrunde!$B:$H,4,0),0)</f>
        <v>0</v>
      </c>
      <c r="G67" s="2" t="str">
        <f>IFERROR(VLOOKUP($B67,Vorrunde!$B:$H,5,0),)</f>
        <v/>
      </c>
      <c r="H67" s="2" t="str">
        <f>IFERROR(VLOOKUP($B67,Vorrunde!$B:$H,6,0),)</f>
        <v/>
      </c>
      <c r="I67" s="2" t="str">
        <f>IFERROR(VLOOKUP($B67,Vorrunde!$B:$H,7,0),)</f>
        <v/>
      </c>
      <c r="J67" s="2" t="str">
        <f>IFERROR(VLOOKUP($B67,Zwischenlauf!$B:$H,2,0),)</f>
        <v/>
      </c>
      <c r="K67" s="2" t="str">
        <f>IFERROR(VLOOKUP($B67,Zwischenlauf!$B:$H,3,0),)</f>
        <v/>
      </c>
      <c r="L67" s="2" t="str">
        <f>IFERROR(VLOOKUP($B67,Zwischenlauf!$B:$H,4,0),)</f>
        <v/>
      </c>
      <c r="M67" s="2" t="str">
        <f>IFERROR(VLOOKUP($B67,Zwischenlauf!$B:$H,5,0),)</f>
        <v/>
      </c>
      <c r="N67" s="2" t="str">
        <f>IFERROR(VLOOKUP($B67,Zwischenlauf!$B:$H,6,0),)</f>
        <v/>
      </c>
      <c r="O67" s="2" t="str">
        <f>IFERROR(VLOOKUP($B67,Zwischenlauf!$B:$H,7,0),)</f>
        <v/>
      </c>
      <c r="P67" s="2" t="str">
        <f>IFERROR(VLOOKUP($B67,Finalrunde!$B:$H,2,0),)</f>
        <v/>
      </c>
      <c r="Q67" s="2" t="str">
        <f>IFERROR(VLOOKUP($B67,Finalrunde!$B:$H,3,0),)</f>
        <v/>
      </c>
      <c r="R67" s="2" t="str">
        <f>IFERROR(VLOOKUP($B67,Finalrunde!$B:$H,4,0),)</f>
        <v/>
      </c>
      <c r="S67" s="2" t="str">
        <f>IFERROR(VLOOKUP($B67,Finalrunde!$B:$H,5,0),)</f>
        <v/>
      </c>
      <c r="T67" s="2" t="str">
        <f>IFERROR(VLOOKUP($B67,Finalrunde!$B:$H,6,0),)</f>
        <v/>
      </c>
      <c r="U67" s="2" t="str">
        <f>IFERROR(VLOOKUP($B67,Finalrunde!$B:$H,7,0),)</f>
        <v/>
      </c>
      <c r="V67" s="2">
        <f t="shared" si="1"/>
        <v>0</v>
      </c>
      <c r="W67" s="2">
        <f t="shared" si="2"/>
        <v>0</v>
      </c>
      <c r="X67" s="2">
        <f t="shared" si="3"/>
        <v>0</v>
      </c>
      <c r="Y67" s="2">
        <f t="shared" si="4"/>
        <v>0</v>
      </c>
      <c r="Z67" s="2">
        <f t="shared" si="5"/>
        <v>0</v>
      </c>
      <c r="AA67" s="2">
        <f t="shared" si="6"/>
        <v>0</v>
      </c>
      <c r="AB67" s="2" t="str">
        <f>IFERROR(VLOOKUP(B67,'Mitglieder BBU'!A:K,12,0),"")</f>
        <v/>
      </c>
      <c r="AC67" s="2">
        <f t="shared" si="7"/>
        <v>0</v>
      </c>
      <c r="AD67" s="2">
        <f t="array" ref="AD67">MIN(IF(D67:U67&lt;&gt;0,D67:U67))</f>
        <v>0</v>
      </c>
    </row>
    <row r="68">
      <c r="A68" s="2">
        <v>65.0</v>
      </c>
      <c r="B68" s="111" t="str">
        <f>Spieler!B70</f>
        <v/>
      </c>
      <c r="D68" s="2" t="str">
        <f>IFERROR(VLOOKUP($B68,Vorrunde!B:H,2,0),)</f>
        <v/>
      </c>
      <c r="E68" s="2" t="str">
        <f>IFERROR(VLOOKUP($B68,Vorrunde!$B:$H,3,0),)</f>
        <v/>
      </c>
      <c r="F68" s="2">
        <f>IFERROR(VLOOKUP($B68,Vorrunde!$B:$H,4,0),0)</f>
        <v>0</v>
      </c>
      <c r="G68" s="2" t="str">
        <f>IFERROR(VLOOKUP($B68,Vorrunde!$B:$H,5,0),)</f>
        <v/>
      </c>
      <c r="H68" s="2" t="str">
        <f>IFERROR(VLOOKUP($B68,Vorrunde!$B:$H,6,0),)</f>
        <v/>
      </c>
      <c r="I68" s="2" t="str">
        <f>IFERROR(VLOOKUP($B68,Vorrunde!$B:$H,7,0),)</f>
        <v/>
      </c>
      <c r="J68" s="2" t="str">
        <f>IFERROR(VLOOKUP($B68,Zwischenlauf!$B:$H,2,0),)</f>
        <v/>
      </c>
      <c r="K68" s="2" t="str">
        <f>IFERROR(VLOOKUP($B68,Zwischenlauf!$B:$H,3,0),)</f>
        <v/>
      </c>
      <c r="L68" s="2" t="str">
        <f>IFERROR(VLOOKUP($B68,Zwischenlauf!$B:$H,4,0),)</f>
        <v/>
      </c>
      <c r="M68" s="2" t="str">
        <f>IFERROR(VLOOKUP($B68,Zwischenlauf!$B:$H,5,0),)</f>
        <v/>
      </c>
      <c r="N68" s="2" t="str">
        <f>IFERROR(VLOOKUP($B68,Zwischenlauf!$B:$H,6,0),)</f>
        <v/>
      </c>
      <c r="O68" s="2" t="str">
        <f>IFERROR(VLOOKUP($B68,Zwischenlauf!$B:$H,7,0),)</f>
        <v/>
      </c>
      <c r="P68" s="2" t="str">
        <f>IFERROR(VLOOKUP($B68,Finalrunde!$B:$H,2,0),)</f>
        <v/>
      </c>
      <c r="Q68" s="2" t="str">
        <f>IFERROR(VLOOKUP($B68,Finalrunde!$B:$H,3,0),)</f>
        <v/>
      </c>
      <c r="R68" s="2" t="str">
        <f>IFERROR(VLOOKUP($B68,Finalrunde!$B:$H,4,0),)</f>
        <v/>
      </c>
      <c r="S68" s="2" t="str">
        <f>IFERROR(VLOOKUP($B68,Finalrunde!$B:$H,5,0),)</f>
        <v/>
      </c>
      <c r="T68" s="2" t="str">
        <f>IFERROR(VLOOKUP($B68,Finalrunde!$B:$H,6,0),)</f>
        <v/>
      </c>
      <c r="U68" s="2" t="str">
        <f>IFERROR(VLOOKUP($B68,Finalrunde!$B:$H,7,0),)</f>
        <v/>
      </c>
      <c r="V68" s="2">
        <f t="shared" si="1"/>
        <v>0</v>
      </c>
      <c r="W68" s="2">
        <f t="shared" si="2"/>
        <v>0</v>
      </c>
      <c r="X68" s="2">
        <f t="shared" si="3"/>
        <v>0</v>
      </c>
      <c r="Y68" s="2">
        <f t="shared" si="4"/>
        <v>0</v>
      </c>
      <c r="Z68" s="2">
        <f t="shared" si="5"/>
        <v>0</v>
      </c>
      <c r="AA68" s="2">
        <f t="shared" si="6"/>
        <v>0</v>
      </c>
      <c r="AB68" s="2" t="str">
        <f>IFERROR(VLOOKUP(B68,'Mitglieder BBU'!A:K,12,0),"")</f>
        <v/>
      </c>
      <c r="AC68" s="2">
        <f t="shared" si="7"/>
        <v>0</v>
      </c>
      <c r="AD68" s="2">
        <f t="array" ref="AD68">MIN(IF(D68:U68&lt;&gt;0,D68:U68))</f>
        <v>0</v>
      </c>
    </row>
    <row r="69">
      <c r="A69" s="2">
        <v>66.0</v>
      </c>
      <c r="B69" s="111" t="str">
        <f>Spieler!B71</f>
        <v/>
      </c>
      <c r="D69" s="2" t="str">
        <f>IFERROR(VLOOKUP($B69,Vorrunde!B:H,2,0),)</f>
        <v/>
      </c>
      <c r="E69" s="2" t="str">
        <f>IFERROR(VLOOKUP($B69,Vorrunde!$B:$H,3,0),)</f>
        <v/>
      </c>
      <c r="F69" s="2">
        <f>IFERROR(VLOOKUP($B69,Vorrunde!$B:$H,4,0),0)</f>
        <v>0</v>
      </c>
      <c r="G69" s="2" t="str">
        <f>IFERROR(VLOOKUP($B69,Vorrunde!$B:$H,5,0),)</f>
        <v/>
      </c>
      <c r="H69" s="2" t="str">
        <f>IFERROR(VLOOKUP($B69,Vorrunde!$B:$H,6,0),)</f>
        <v/>
      </c>
      <c r="I69" s="2" t="str">
        <f>IFERROR(VLOOKUP($B69,Vorrunde!$B:$H,7,0),)</f>
        <v/>
      </c>
      <c r="J69" s="2" t="str">
        <f>IFERROR(VLOOKUP($B69,Zwischenlauf!$B:$H,2,0),)</f>
        <v/>
      </c>
      <c r="K69" s="2" t="str">
        <f>IFERROR(VLOOKUP($B69,Zwischenlauf!$B:$H,3,0),)</f>
        <v/>
      </c>
      <c r="L69" s="2" t="str">
        <f>IFERROR(VLOOKUP($B69,Zwischenlauf!$B:$H,4,0),)</f>
        <v/>
      </c>
      <c r="M69" s="2" t="str">
        <f>IFERROR(VLOOKUP($B69,Zwischenlauf!$B:$H,5,0),)</f>
        <v/>
      </c>
      <c r="N69" s="2" t="str">
        <f>IFERROR(VLOOKUP($B69,Zwischenlauf!$B:$H,6,0),)</f>
        <v/>
      </c>
      <c r="O69" s="2" t="str">
        <f>IFERROR(VLOOKUP($B69,Zwischenlauf!$B:$H,7,0),)</f>
        <v/>
      </c>
      <c r="P69" s="2" t="str">
        <f>IFERROR(VLOOKUP($B69,Finalrunde!$B:$H,2,0),)</f>
        <v/>
      </c>
      <c r="Q69" s="2" t="str">
        <f>IFERROR(VLOOKUP($B69,Finalrunde!$B:$H,3,0),)</f>
        <v/>
      </c>
      <c r="R69" s="2" t="str">
        <f>IFERROR(VLOOKUP($B69,Finalrunde!$B:$H,4,0),)</f>
        <v/>
      </c>
      <c r="S69" s="2" t="str">
        <f>IFERROR(VLOOKUP($B69,Finalrunde!$B:$H,5,0),)</f>
        <v/>
      </c>
      <c r="T69" s="2" t="str">
        <f>IFERROR(VLOOKUP($B69,Finalrunde!$B:$H,6,0),)</f>
        <v/>
      </c>
      <c r="U69" s="2" t="str">
        <f>IFERROR(VLOOKUP($B69,Finalrunde!$B:$H,7,0),)</f>
        <v/>
      </c>
      <c r="V69" s="2">
        <f t="shared" si="1"/>
        <v>0</v>
      </c>
      <c r="W69" s="2">
        <f t="shared" si="2"/>
        <v>0</v>
      </c>
      <c r="X69" s="2">
        <f t="shared" si="3"/>
        <v>0</v>
      </c>
      <c r="Y69" s="2">
        <f t="shared" si="4"/>
        <v>0</v>
      </c>
      <c r="Z69" s="2">
        <f t="shared" si="5"/>
        <v>0</v>
      </c>
      <c r="AA69" s="2">
        <f t="shared" si="6"/>
        <v>0</v>
      </c>
      <c r="AB69" s="2" t="str">
        <f>IFERROR(VLOOKUP(B69,'Mitglieder BBU'!A:K,12,0),"")</f>
        <v/>
      </c>
      <c r="AC69" s="2">
        <f t="shared" si="7"/>
        <v>0</v>
      </c>
      <c r="AD69" s="2">
        <f t="array" ref="AD69">MIN(IF(D69:U69&lt;&gt;0,D69:U69))</f>
        <v>0</v>
      </c>
    </row>
    <row r="70">
      <c r="A70" s="2">
        <v>67.0</v>
      </c>
      <c r="B70" s="111" t="str">
        <f>Spieler!B72</f>
        <v/>
      </c>
      <c r="D70" s="2" t="str">
        <f>IFERROR(VLOOKUP($B70,Vorrunde!B:H,2,0),)</f>
        <v/>
      </c>
      <c r="E70" s="2" t="str">
        <f>IFERROR(VLOOKUP($B70,Vorrunde!$B:$H,3,0),)</f>
        <v/>
      </c>
      <c r="F70" s="2">
        <f>IFERROR(VLOOKUP($B70,Vorrunde!$B:$H,4,0),0)</f>
        <v>0</v>
      </c>
      <c r="G70" s="2" t="str">
        <f>IFERROR(VLOOKUP($B70,Vorrunde!$B:$H,5,0),)</f>
        <v/>
      </c>
      <c r="H70" s="2" t="str">
        <f>IFERROR(VLOOKUP($B70,Vorrunde!$B:$H,6,0),)</f>
        <v/>
      </c>
      <c r="I70" s="2" t="str">
        <f>IFERROR(VLOOKUP($B70,Vorrunde!$B:$H,7,0),)</f>
        <v/>
      </c>
      <c r="J70" s="2" t="str">
        <f>IFERROR(VLOOKUP($B70,Zwischenlauf!$B:$H,2,0),)</f>
        <v/>
      </c>
      <c r="K70" s="2" t="str">
        <f>IFERROR(VLOOKUP($B70,Zwischenlauf!$B:$H,3,0),)</f>
        <v/>
      </c>
      <c r="L70" s="2" t="str">
        <f>IFERROR(VLOOKUP($B70,Zwischenlauf!$B:$H,4,0),)</f>
        <v/>
      </c>
      <c r="M70" s="2" t="str">
        <f>IFERROR(VLOOKUP($B70,Zwischenlauf!$B:$H,5,0),)</f>
        <v/>
      </c>
      <c r="N70" s="2" t="str">
        <f>IFERROR(VLOOKUP($B70,Zwischenlauf!$B:$H,6,0),)</f>
        <v/>
      </c>
      <c r="O70" s="2" t="str">
        <f>IFERROR(VLOOKUP($B70,Zwischenlauf!$B:$H,7,0),)</f>
        <v/>
      </c>
      <c r="P70" s="2" t="str">
        <f>IFERROR(VLOOKUP($B70,Finalrunde!$B:$H,2,0),)</f>
        <v/>
      </c>
      <c r="Q70" s="2" t="str">
        <f>IFERROR(VLOOKUP($B70,Finalrunde!$B:$H,3,0),)</f>
        <v/>
      </c>
      <c r="R70" s="2" t="str">
        <f>IFERROR(VLOOKUP($B70,Finalrunde!$B:$H,4,0),)</f>
        <v/>
      </c>
      <c r="S70" s="2" t="str">
        <f>IFERROR(VLOOKUP($B70,Finalrunde!$B:$H,5,0),)</f>
        <v/>
      </c>
      <c r="T70" s="2" t="str">
        <f>IFERROR(VLOOKUP($B70,Finalrunde!$B:$H,6,0),)</f>
        <v/>
      </c>
      <c r="U70" s="2" t="str">
        <f>IFERROR(VLOOKUP($B70,Finalrunde!$B:$H,7,0),)</f>
        <v/>
      </c>
      <c r="V70" s="2">
        <f t="shared" si="1"/>
        <v>0</v>
      </c>
      <c r="W70" s="2">
        <f t="shared" si="2"/>
        <v>0</v>
      </c>
      <c r="X70" s="2">
        <f t="shared" si="3"/>
        <v>0</v>
      </c>
      <c r="Y70" s="2">
        <f t="shared" si="4"/>
        <v>0</v>
      </c>
      <c r="Z70" s="2">
        <f t="shared" si="5"/>
        <v>0</v>
      </c>
      <c r="AA70" s="2">
        <f t="shared" si="6"/>
        <v>0</v>
      </c>
      <c r="AB70" s="2" t="str">
        <f>IFERROR(VLOOKUP(B70,'Mitglieder BBU'!A:K,12,0),"")</f>
        <v/>
      </c>
      <c r="AC70" s="2">
        <f t="shared" si="7"/>
        <v>0</v>
      </c>
      <c r="AD70" s="2">
        <f t="array" ref="AD70">MIN(IF(D70:U70&lt;&gt;0,D70:U70))</f>
        <v>0</v>
      </c>
    </row>
    <row r="71">
      <c r="A71" s="2">
        <v>68.0</v>
      </c>
      <c r="B71" s="111" t="str">
        <f>Spieler!B73</f>
        <v/>
      </c>
      <c r="D71" s="2" t="str">
        <f>IFERROR(VLOOKUP($B71,Vorrunde!B:H,2,0),)</f>
        <v/>
      </c>
      <c r="E71" s="2" t="str">
        <f>IFERROR(VLOOKUP($B71,Vorrunde!$B:$H,3,0),)</f>
        <v/>
      </c>
      <c r="F71" s="2">
        <f>IFERROR(VLOOKUP($B71,Vorrunde!$B:$H,4,0),0)</f>
        <v>0</v>
      </c>
      <c r="G71" s="2" t="str">
        <f>IFERROR(VLOOKUP($B71,Vorrunde!$B:$H,5,0),)</f>
        <v/>
      </c>
      <c r="H71" s="2" t="str">
        <f>IFERROR(VLOOKUP($B71,Vorrunde!$B:$H,6,0),)</f>
        <v/>
      </c>
      <c r="I71" s="2" t="str">
        <f>IFERROR(VLOOKUP($B71,Vorrunde!$B:$H,7,0),)</f>
        <v/>
      </c>
      <c r="J71" s="2" t="str">
        <f>IFERROR(VLOOKUP($B71,Zwischenlauf!$B:$H,2,0),)</f>
        <v/>
      </c>
      <c r="K71" s="2" t="str">
        <f>IFERROR(VLOOKUP($B71,Zwischenlauf!$B:$H,3,0),)</f>
        <v/>
      </c>
      <c r="L71" s="2" t="str">
        <f>IFERROR(VLOOKUP($B71,Zwischenlauf!$B:$H,4,0),)</f>
        <v/>
      </c>
      <c r="M71" s="2" t="str">
        <f>IFERROR(VLOOKUP($B71,Zwischenlauf!$B:$H,5,0),)</f>
        <v/>
      </c>
      <c r="N71" s="2" t="str">
        <f>IFERROR(VLOOKUP($B71,Zwischenlauf!$B:$H,6,0),)</f>
        <v/>
      </c>
      <c r="O71" s="2" t="str">
        <f>IFERROR(VLOOKUP($B71,Zwischenlauf!$B:$H,7,0),)</f>
        <v/>
      </c>
      <c r="P71" s="2" t="str">
        <f>IFERROR(VLOOKUP($B71,Finalrunde!$B:$H,2,0),)</f>
        <v/>
      </c>
      <c r="Q71" s="2" t="str">
        <f>IFERROR(VLOOKUP($B71,Finalrunde!$B:$H,3,0),)</f>
        <v/>
      </c>
      <c r="R71" s="2" t="str">
        <f>IFERROR(VLOOKUP($B71,Finalrunde!$B:$H,4,0),)</f>
        <v/>
      </c>
      <c r="S71" s="2" t="str">
        <f>IFERROR(VLOOKUP($B71,Finalrunde!$B:$H,5,0),)</f>
        <v/>
      </c>
      <c r="T71" s="2" t="str">
        <f>IFERROR(VLOOKUP($B71,Finalrunde!$B:$H,6,0),)</f>
        <v/>
      </c>
      <c r="U71" s="2" t="str">
        <f>IFERROR(VLOOKUP($B71,Finalrunde!$B:$H,7,0),)</f>
        <v/>
      </c>
      <c r="V71" s="2">
        <f t="shared" si="1"/>
        <v>0</v>
      </c>
      <c r="W71" s="2">
        <f t="shared" si="2"/>
        <v>0</v>
      </c>
      <c r="X71" s="2">
        <f t="shared" si="3"/>
        <v>0</v>
      </c>
      <c r="Y71" s="2">
        <f t="shared" si="4"/>
        <v>0</v>
      </c>
      <c r="Z71" s="2">
        <f t="shared" si="5"/>
        <v>0</v>
      </c>
      <c r="AA71" s="2">
        <f t="shared" si="6"/>
        <v>0</v>
      </c>
      <c r="AB71" s="2" t="str">
        <f>IFERROR(VLOOKUP(B71,'Mitglieder BBU'!A:K,12,0),"")</f>
        <v/>
      </c>
      <c r="AC71" s="2">
        <f t="shared" si="7"/>
        <v>0</v>
      </c>
      <c r="AD71" s="2">
        <f t="array" ref="AD71">MIN(IF(D71:U71&lt;&gt;0,D71:U71))</f>
        <v>0</v>
      </c>
    </row>
    <row r="72">
      <c r="A72" s="2">
        <v>69.0</v>
      </c>
      <c r="B72" s="111" t="str">
        <f>Spieler!B74</f>
        <v/>
      </c>
      <c r="D72" s="2" t="str">
        <f>IFERROR(VLOOKUP($B72,Vorrunde!B:H,2,0),)</f>
        <v/>
      </c>
      <c r="E72" s="2" t="str">
        <f>IFERROR(VLOOKUP($B72,Vorrunde!$B:$H,3,0),)</f>
        <v/>
      </c>
      <c r="F72" s="2">
        <f>IFERROR(VLOOKUP($B72,Vorrunde!$B:$H,4,0),0)</f>
        <v>0</v>
      </c>
      <c r="G72" s="2" t="str">
        <f>IFERROR(VLOOKUP($B72,Vorrunde!$B:$H,5,0),)</f>
        <v/>
      </c>
      <c r="H72" s="2" t="str">
        <f>IFERROR(VLOOKUP($B72,Vorrunde!$B:$H,6,0),)</f>
        <v/>
      </c>
      <c r="I72" s="2" t="str">
        <f>IFERROR(VLOOKUP($B72,Vorrunde!$B:$H,7,0),)</f>
        <v/>
      </c>
      <c r="J72" s="2" t="str">
        <f>IFERROR(VLOOKUP($B72,Zwischenlauf!$B:$H,2,0),)</f>
        <v/>
      </c>
      <c r="K72" s="2" t="str">
        <f>IFERROR(VLOOKUP($B72,Zwischenlauf!$B:$H,3,0),)</f>
        <v/>
      </c>
      <c r="L72" s="2" t="str">
        <f>IFERROR(VLOOKUP($B72,Zwischenlauf!$B:$H,4,0),)</f>
        <v/>
      </c>
      <c r="M72" s="2" t="str">
        <f>IFERROR(VLOOKUP($B72,Zwischenlauf!$B:$H,5,0),)</f>
        <v/>
      </c>
      <c r="N72" s="2" t="str">
        <f>IFERROR(VLOOKUP($B72,Zwischenlauf!$B:$H,6,0),)</f>
        <v/>
      </c>
      <c r="O72" s="2" t="str">
        <f>IFERROR(VLOOKUP($B72,Zwischenlauf!$B:$H,7,0),)</f>
        <v/>
      </c>
      <c r="P72" s="2" t="str">
        <f>IFERROR(VLOOKUP($B72,Finalrunde!$B:$H,2,0),)</f>
        <v/>
      </c>
      <c r="Q72" s="2" t="str">
        <f>IFERROR(VLOOKUP($B72,Finalrunde!$B:$H,3,0),)</f>
        <v/>
      </c>
      <c r="R72" s="2" t="str">
        <f>IFERROR(VLOOKUP($B72,Finalrunde!$B:$H,4,0),)</f>
        <v/>
      </c>
      <c r="S72" s="2" t="str">
        <f>IFERROR(VLOOKUP($B72,Finalrunde!$B:$H,5,0),)</f>
        <v/>
      </c>
      <c r="T72" s="2" t="str">
        <f>IFERROR(VLOOKUP($B72,Finalrunde!$B:$H,6,0),)</f>
        <v/>
      </c>
      <c r="U72" s="2" t="str">
        <f>IFERROR(VLOOKUP($B72,Finalrunde!$B:$H,7,0),)</f>
        <v/>
      </c>
      <c r="V72" s="2">
        <f t="shared" si="1"/>
        <v>0</v>
      </c>
      <c r="W72" s="2">
        <f t="shared" si="2"/>
        <v>0</v>
      </c>
      <c r="X72" s="2">
        <f t="shared" si="3"/>
        <v>0</v>
      </c>
      <c r="Y72" s="2">
        <f t="shared" si="4"/>
        <v>0</v>
      </c>
      <c r="Z72" s="2">
        <f t="shared" si="5"/>
        <v>0</v>
      </c>
      <c r="AA72" s="2">
        <f t="shared" si="6"/>
        <v>0</v>
      </c>
      <c r="AB72" s="2" t="str">
        <f>IFERROR(VLOOKUP(B72,'Mitglieder BBU'!A:K,12,0),"")</f>
        <v/>
      </c>
      <c r="AC72" s="2">
        <f t="shared" si="7"/>
        <v>0</v>
      </c>
      <c r="AD72" s="2">
        <f t="array" ref="AD72">MIN(IF(D72:U72&lt;&gt;0,D72:U72))</f>
        <v>0</v>
      </c>
    </row>
    <row r="73">
      <c r="A73" s="2">
        <v>70.0</v>
      </c>
      <c r="B73" s="111" t="str">
        <f>Spieler!B75</f>
        <v/>
      </c>
      <c r="D73" s="2" t="str">
        <f>IFERROR(VLOOKUP($B73,Vorrunde!B:H,2,0),)</f>
        <v/>
      </c>
      <c r="E73" s="2" t="str">
        <f>IFERROR(VLOOKUP($B73,Vorrunde!$B:$H,3,0),)</f>
        <v/>
      </c>
      <c r="F73" s="2">
        <f>IFERROR(VLOOKUP($B73,Vorrunde!$B:$H,4,0),0)</f>
        <v>0</v>
      </c>
      <c r="G73" s="2" t="str">
        <f>IFERROR(VLOOKUP($B73,Vorrunde!$B:$H,5,0),)</f>
        <v/>
      </c>
      <c r="H73" s="2" t="str">
        <f>IFERROR(VLOOKUP($B73,Vorrunde!$B:$H,6,0),)</f>
        <v/>
      </c>
      <c r="I73" s="2" t="str">
        <f>IFERROR(VLOOKUP($B73,Vorrunde!$B:$H,7,0),)</f>
        <v/>
      </c>
      <c r="J73" s="2" t="str">
        <f>IFERROR(VLOOKUP($B73,Zwischenlauf!$B:$H,2,0),)</f>
        <v/>
      </c>
      <c r="K73" s="2" t="str">
        <f>IFERROR(VLOOKUP($B73,Zwischenlauf!$B:$H,3,0),)</f>
        <v/>
      </c>
      <c r="L73" s="2" t="str">
        <f>IFERROR(VLOOKUP($B73,Zwischenlauf!$B:$H,4,0),)</f>
        <v/>
      </c>
      <c r="M73" s="2" t="str">
        <f>IFERROR(VLOOKUP($B73,Zwischenlauf!$B:$H,5,0),)</f>
        <v/>
      </c>
      <c r="N73" s="2" t="str">
        <f>IFERROR(VLOOKUP($B73,Zwischenlauf!$B:$H,6,0),)</f>
        <v/>
      </c>
      <c r="O73" s="2" t="str">
        <f>IFERROR(VLOOKUP($B73,Zwischenlauf!$B:$H,7,0),)</f>
        <v/>
      </c>
      <c r="P73" s="2" t="str">
        <f>IFERROR(VLOOKUP($B73,Finalrunde!$B:$H,2,0),)</f>
        <v/>
      </c>
      <c r="Q73" s="2" t="str">
        <f>IFERROR(VLOOKUP($B73,Finalrunde!$B:$H,3,0),)</f>
        <v/>
      </c>
      <c r="R73" s="2" t="str">
        <f>IFERROR(VLOOKUP($B73,Finalrunde!$B:$H,4,0),)</f>
        <v/>
      </c>
      <c r="S73" s="2" t="str">
        <f>IFERROR(VLOOKUP($B73,Finalrunde!$B:$H,5,0),)</f>
        <v/>
      </c>
      <c r="T73" s="2" t="str">
        <f>IFERROR(VLOOKUP($B73,Finalrunde!$B:$H,6,0),)</f>
        <v/>
      </c>
      <c r="U73" s="2" t="str">
        <f>IFERROR(VLOOKUP($B73,Finalrunde!$B:$H,7,0),)</f>
        <v/>
      </c>
      <c r="V73" s="2">
        <f t="shared" si="1"/>
        <v>0</v>
      </c>
      <c r="W73" s="2">
        <f t="shared" si="2"/>
        <v>0</v>
      </c>
      <c r="X73" s="2">
        <f t="shared" si="3"/>
        <v>0</v>
      </c>
      <c r="Y73" s="2">
        <f t="shared" si="4"/>
        <v>0</v>
      </c>
      <c r="Z73" s="2">
        <f t="shared" si="5"/>
        <v>0</v>
      </c>
      <c r="AA73" s="2">
        <f t="shared" si="6"/>
        <v>0</v>
      </c>
      <c r="AB73" s="2" t="str">
        <f>IFERROR(VLOOKUP(B73,'Mitglieder BBU'!A:K,12,0),"")</f>
        <v/>
      </c>
      <c r="AC73" s="2">
        <f t="shared" si="7"/>
        <v>0</v>
      </c>
      <c r="AD73" s="2">
        <f t="array" ref="AD73">MIN(IF(D73:U73&lt;&gt;0,D73:U73))</f>
        <v>0</v>
      </c>
    </row>
    <row r="74">
      <c r="A74" s="2">
        <v>71.0</v>
      </c>
      <c r="B74" s="111" t="str">
        <f>Spieler!B76</f>
        <v/>
      </c>
      <c r="D74" s="2" t="str">
        <f>IFERROR(VLOOKUP($B74,Vorrunde!B:H,2,0),)</f>
        <v/>
      </c>
      <c r="E74" s="2" t="str">
        <f>IFERROR(VLOOKUP($B74,Vorrunde!$B:$H,3,0),)</f>
        <v/>
      </c>
      <c r="F74" s="2">
        <f>IFERROR(VLOOKUP($B74,Vorrunde!$B:$H,4,0),0)</f>
        <v>0</v>
      </c>
      <c r="G74" s="2" t="str">
        <f>IFERROR(VLOOKUP($B74,Vorrunde!$B:$H,5,0),)</f>
        <v/>
      </c>
      <c r="H74" s="2" t="str">
        <f>IFERROR(VLOOKUP($B74,Vorrunde!$B:$H,6,0),)</f>
        <v/>
      </c>
      <c r="I74" s="2" t="str">
        <f>IFERROR(VLOOKUP($B74,Vorrunde!$B:$H,7,0),)</f>
        <v/>
      </c>
      <c r="J74" s="2" t="str">
        <f>IFERROR(VLOOKUP($B74,Zwischenlauf!$B:$H,2,0),)</f>
        <v/>
      </c>
      <c r="K74" s="2" t="str">
        <f>IFERROR(VLOOKUP($B74,Zwischenlauf!$B:$H,3,0),)</f>
        <v/>
      </c>
      <c r="L74" s="2" t="str">
        <f>IFERROR(VLOOKUP($B74,Zwischenlauf!$B:$H,4,0),)</f>
        <v/>
      </c>
      <c r="M74" s="2" t="str">
        <f>IFERROR(VLOOKUP($B74,Zwischenlauf!$B:$H,5,0),)</f>
        <v/>
      </c>
      <c r="N74" s="2" t="str">
        <f>IFERROR(VLOOKUP($B74,Zwischenlauf!$B:$H,6,0),)</f>
        <v/>
      </c>
      <c r="O74" s="2" t="str">
        <f>IFERROR(VLOOKUP($B74,Zwischenlauf!$B:$H,7,0),)</f>
        <v/>
      </c>
      <c r="P74" s="2" t="str">
        <f>IFERROR(VLOOKUP($B74,Finalrunde!$B:$H,2,0),)</f>
        <v/>
      </c>
      <c r="Q74" s="2" t="str">
        <f>IFERROR(VLOOKUP($B74,Finalrunde!$B:$H,3,0),)</f>
        <v/>
      </c>
      <c r="R74" s="2" t="str">
        <f>IFERROR(VLOOKUP($B74,Finalrunde!$B:$H,4,0),)</f>
        <v/>
      </c>
      <c r="S74" s="2" t="str">
        <f>IFERROR(VLOOKUP($B74,Finalrunde!$B:$H,5,0),)</f>
        <v/>
      </c>
      <c r="T74" s="2" t="str">
        <f>IFERROR(VLOOKUP($B74,Finalrunde!$B:$H,6,0),)</f>
        <v/>
      </c>
      <c r="U74" s="2" t="str">
        <f>IFERROR(VLOOKUP($B74,Finalrunde!$B:$H,7,0),)</f>
        <v/>
      </c>
      <c r="V74" s="2">
        <f t="shared" si="1"/>
        <v>0</v>
      </c>
      <c r="W74" s="2">
        <f t="shared" si="2"/>
        <v>0</v>
      </c>
      <c r="X74" s="2">
        <f t="shared" si="3"/>
        <v>0</v>
      </c>
      <c r="Y74" s="2">
        <f t="shared" si="4"/>
        <v>0</v>
      </c>
      <c r="Z74" s="2">
        <f t="shared" si="5"/>
        <v>0</v>
      </c>
      <c r="AA74" s="2">
        <f t="shared" si="6"/>
        <v>0</v>
      </c>
      <c r="AB74" s="2" t="str">
        <f>IFERROR(VLOOKUP(B74,'Mitglieder BBU'!A:K,12,0),"")</f>
        <v/>
      </c>
      <c r="AC74" s="2">
        <f t="shared" si="7"/>
        <v>0</v>
      </c>
      <c r="AD74" s="2">
        <f t="array" ref="AD74">MIN(IF(D74:U74&lt;&gt;0,D74:U74))</f>
        <v>0</v>
      </c>
    </row>
    <row r="75">
      <c r="A75" s="2">
        <v>72.0</v>
      </c>
      <c r="B75" s="111" t="str">
        <f>Spieler!B77</f>
        <v/>
      </c>
      <c r="D75" s="2" t="str">
        <f>IFERROR(VLOOKUP($B75,Vorrunde!B:H,2,0),)</f>
        <v/>
      </c>
      <c r="E75" s="2" t="str">
        <f>IFERROR(VLOOKUP($B75,Vorrunde!$B:$H,3,0),)</f>
        <v/>
      </c>
      <c r="F75" s="2">
        <f>IFERROR(VLOOKUP($B75,Vorrunde!$B:$H,4,0),0)</f>
        <v>0</v>
      </c>
      <c r="G75" s="2" t="str">
        <f>IFERROR(VLOOKUP($B75,Vorrunde!$B:$H,5,0),)</f>
        <v/>
      </c>
      <c r="H75" s="2" t="str">
        <f>IFERROR(VLOOKUP($B75,Vorrunde!$B:$H,6,0),)</f>
        <v/>
      </c>
      <c r="I75" s="2" t="str">
        <f>IFERROR(VLOOKUP($B75,Vorrunde!$B:$H,7,0),)</f>
        <v/>
      </c>
      <c r="J75" s="2" t="str">
        <f>IFERROR(VLOOKUP($B75,Zwischenlauf!$B:$H,2,0),)</f>
        <v/>
      </c>
      <c r="K75" s="2" t="str">
        <f>IFERROR(VLOOKUP($B75,Zwischenlauf!$B:$H,3,0),)</f>
        <v/>
      </c>
      <c r="L75" s="2" t="str">
        <f>IFERROR(VLOOKUP($B75,Zwischenlauf!$B:$H,4,0),)</f>
        <v/>
      </c>
      <c r="M75" s="2" t="str">
        <f>IFERROR(VLOOKUP($B75,Zwischenlauf!$B:$H,5,0),)</f>
        <v/>
      </c>
      <c r="N75" s="2" t="str">
        <f>IFERROR(VLOOKUP($B75,Zwischenlauf!$B:$H,6,0),)</f>
        <v/>
      </c>
      <c r="O75" s="2" t="str">
        <f>IFERROR(VLOOKUP($B75,Zwischenlauf!$B:$H,7,0),)</f>
        <v/>
      </c>
      <c r="P75" s="2" t="str">
        <f>IFERROR(VLOOKUP($B75,Finalrunde!$B:$H,2,0),)</f>
        <v/>
      </c>
      <c r="Q75" s="2" t="str">
        <f>IFERROR(VLOOKUP($B75,Finalrunde!$B:$H,3,0),)</f>
        <v/>
      </c>
      <c r="R75" s="2" t="str">
        <f>IFERROR(VLOOKUP($B75,Finalrunde!$B:$H,4,0),)</f>
        <v/>
      </c>
      <c r="S75" s="2" t="str">
        <f>IFERROR(VLOOKUP($B75,Finalrunde!$B:$H,5,0),)</f>
        <v/>
      </c>
      <c r="T75" s="2" t="str">
        <f>IFERROR(VLOOKUP($B75,Finalrunde!$B:$H,6,0),)</f>
        <v/>
      </c>
      <c r="U75" s="2" t="str">
        <f>IFERROR(VLOOKUP($B75,Finalrunde!$B:$H,7,0),)</f>
        <v/>
      </c>
      <c r="V75" s="2">
        <f t="shared" si="1"/>
        <v>0</v>
      </c>
      <c r="W75" s="2">
        <f t="shared" si="2"/>
        <v>0</v>
      </c>
      <c r="X75" s="2">
        <f t="shared" si="3"/>
        <v>0</v>
      </c>
      <c r="Y75" s="2">
        <f t="shared" si="4"/>
        <v>0</v>
      </c>
      <c r="Z75" s="2">
        <f t="shared" si="5"/>
        <v>0</v>
      </c>
      <c r="AA75" s="2">
        <f t="shared" si="6"/>
        <v>0</v>
      </c>
      <c r="AB75" s="2" t="str">
        <f>IFERROR(VLOOKUP(B75,'Mitglieder BBU'!A:K,12,0),"")</f>
        <v/>
      </c>
      <c r="AC75" s="2">
        <f t="shared" si="7"/>
        <v>0</v>
      </c>
      <c r="AD75" s="2">
        <f t="array" ref="AD75">MIN(IF(D75:U75&lt;&gt;0,D75:U75))</f>
        <v>0</v>
      </c>
    </row>
    <row r="76">
      <c r="A76" s="2">
        <v>73.0</v>
      </c>
      <c r="B76" s="111" t="str">
        <f>Spieler!B78</f>
        <v/>
      </c>
      <c r="D76" s="2" t="str">
        <f>IFERROR(VLOOKUP($B76,Vorrunde!B:H,2,0),)</f>
        <v/>
      </c>
      <c r="E76" s="2" t="str">
        <f>IFERROR(VLOOKUP($B76,Vorrunde!$B:$H,3,0),)</f>
        <v/>
      </c>
      <c r="F76" s="2">
        <f>IFERROR(VLOOKUP($B76,Vorrunde!$B:$H,4,0),0)</f>
        <v>0</v>
      </c>
      <c r="G76" s="2" t="str">
        <f>IFERROR(VLOOKUP($B76,Vorrunde!$B:$H,5,0),)</f>
        <v/>
      </c>
      <c r="H76" s="2" t="str">
        <f>IFERROR(VLOOKUP($B76,Vorrunde!$B:$H,6,0),)</f>
        <v/>
      </c>
      <c r="I76" s="2" t="str">
        <f>IFERROR(VLOOKUP($B76,Vorrunde!$B:$H,7,0),)</f>
        <v/>
      </c>
      <c r="J76" s="2" t="str">
        <f>IFERROR(VLOOKUP($B76,Zwischenlauf!$B:$H,2,0),)</f>
        <v/>
      </c>
      <c r="K76" s="2" t="str">
        <f>IFERROR(VLOOKUP($B76,Zwischenlauf!$B:$H,3,0),)</f>
        <v/>
      </c>
      <c r="L76" s="2" t="str">
        <f>IFERROR(VLOOKUP($B76,Zwischenlauf!$B:$H,4,0),)</f>
        <v/>
      </c>
      <c r="M76" s="2" t="str">
        <f>IFERROR(VLOOKUP($B76,Zwischenlauf!$B:$H,5,0),)</f>
        <v/>
      </c>
      <c r="N76" s="2" t="str">
        <f>IFERROR(VLOOKUP($B76,Zwischenlauf!$B:$H,6,0),)</f>
        <v/>
      </c>
      <c r="O76" s="2" t="str">
        <f>IFERROR(VLOOKUP($B76,Zwischenlauf!$B:$H,7,0),)</f>
        <v/>
      </c>
      <c r="P76" s="2" t="str">
        <f>IFERROR(VLOOKUP($B76,Finalrunde!$B:$H,2,0),)</f>
        <v/>
      </c>
      <c r="Q76" s="2" t="str">
        <f>IFERROR(VLOOKUP($B76,Finalrunde!$B:$H,3,0),)</f>
        <v/>
      </c>
      <c r="R76" s="2" t="str">
        <f>IFERROR(VLOOKUP($B76,Finalrunde!$B:$H,4,0),)</f>
        <v/>
      </c>
      <c r="S76" s="2" t="str">
        <f>IFERROR(VLOOKUP($B76,Finalrunde!$B:$H,5,0),)</f>
        <v/>
      </c>
      <c r="T76" s="2" t="str">
        <f>IFERROR(VLOOKUP($B76,Finalrunde!$B:$H,6,0),)</f>
        <v/>
      </c>
      <c r="U76" s="2" t="str">
        <f>IFERROR(VLOOKUP($B76,Finalrunde!$B:$H,7,0),)</f>
        <v/>
      </c>
      <c r="V76" s="2">
        <f t="shared" si="1"/>
        <v>0</v>
      </c>
      <c r="W76" s="2">
        <f t="shared" si="2"/>
        <v>0</v>
      </c>
      <c r="X76" s="2">
        <f t="shared" si="3"/>
        <v>0</v>
      </c>
      <c r="Y76" s="2">
        <f t="shared" si="4"/>
        <v>0</v>
      </c>
      <c r="Z76" s="2">
        <f t="shared" si="5"/>
        <v>0</v>
      </c>
      <c r="AA76" s="2">
        <f t="shared" si="6"/>
        <v>0</v>
      </c>
      <c r="AB76" s="2" t="str">
        <f>IFERROR(VLOOKUP(B76,'Mitglieder BBU'!A:K,12,0),"")</f>
        <v/>
      </c>
      <c r="AC76" s="2">
        <f t="shared" si="7"/>
        <v>0</v>
      </c>
      <c r="AD76" s="2">
        <f t="array" ref="AD76">MIN(IF(D76:U76&lt;&gt;0,D76:U76))</f>
        <v>0</v>
      </c>
    </row>
    <row r="77">
      <c r="A77" s="2">
        <v>74.0</v>
      </c>
      <c r="B77" s="111" t="str">
        <f>Spieler!B79</f>
        <v/>
      </c>
      <c r="D77" s="2" t="str">
        <f>IFERROR(VLOOKUP($B77,Vorrunde!B:H,2,0),)</f>
        <v/>
      </c>
      <c r="E77" s="2" t="str">
        <f>IFERROR(VLOOKUP($B77,Vorrunde!$B:$H,3,0),)</f>
        <v/>
      </c>
      <c r="F77" s="2">
        <f>IFERROR(VLOOKUP($B77,Vorrunde!$B:$H,4,0),0)</f>
        <v>0</v>
      </c>
      <c r="G77" s="2" t="str">
        <f>IFERROR(VLOOKUP($B77,Vorrunde!$B:$H,5,0),)</f>
        <v/>
      </c>
      <c r="H77" s="2" t="str">
        <f>IFERROR(VLOOKUP($B77,Vorrunde!$B:$H,6,0),)</f>
        <v/>
      </c>
      <c r="I77" s="2" t="str">
        <f>IFERROR(VLOOKUP($B77,Vorrunde!$B:$H,7,0),)</f>
        <v/>
      </c>
      <c r="J77" s="2" t="str">
        <f>IFERROR(VLOOKUP($B77,Zwischenlauf!$B:$H,2,0),)</f>
        <v/>
      </c>
      <c r="K77" s="2" t="str">
        <f>IFERROR(VLOOKUP($B77,Zwischenlauf!$B:$H,3,0),)</f>
        <v/>
      </c>
      <c r="L77" s="2" t="str">
        <f>IFERROR(VLOOKUP($B77,Zwischenlauf!$B:$H,4,0),)</f>
        <v/>
      </c>
      <c r="M77" s="2" t="str">
        <f>IFERROR(VLOOKUP($B77,Zwischenlauf!$B:$H,5,0),)</f>
        <v/>
      </c>
      <c r="N77" s="2" t="str">
        <f>IFERROR(VLOOKUP($B77,Zwischenlauf!$B:$H,6,0),)</f>
        <v/>
      </c>
      <c r="O77" s="2" t="str">
        <f>IFERROR(VLOOKUP($B77,Zwischenlauf!$B:$H,7,0),)</f>
        <v/>
      </c>
      <c r="P77" s="2" t="str">
        <f>IFERROR(VLOOKUP($B77,Finalrunde!$B:$H,2,0),)</f>
        <v/>
      </c>
      <c r="Q77" s="2" t="str">
        <f>IFERROR(VLOOKUP($B77,Finalrunde!$B:$H,3,0),)</f>
        <v/>
      </c>
      <c r="R77" s="2" t="str">
        <f>IFERROR(VLOOKUP($B77,Finalrunde!$B:$H,4,0),)</f>
        <v/>
      </c>
      <c r="S77" s="2" t="str">
        <f>IFERROR(VLOOKUP($B77,Finalrunde!$B:$H,5,0),)</f>
        <v/>
      </c>
      <c r="T77" s="2" t="str">
        <f>IFERROR(VLOOKUP($B77,Finalrunde!$B:$H,6,0),)</f>
        <v/>
      </c>
      <c r="U77" s="2" t="str">
        <f>IFERROR(VLOOKUP($B77,Finalrunde!$B:$H,7,0),)</f>
        <v/>
      </c>
      <c r="V77" s="2">
        <f t="shared" si="1"/>
        <v>0</v>
      </c>
      <c r="W77" s="2">
        <f t="shared" si="2"/>
        <v>0</v>
      </c>
      <c r="X77" s="2">
        <f t="shared" si="3"/>
        <v>0</v>
      </c>
      <c r="Y77" s="2">
        <f t="shared" si="4"/>
        <v>0</v>
      </c>
      <c r="Z77" s="2">
        <f t="shared" si="5"/>
        <v>0</v>
      </c>
      <c r="AA77" s="2">
        <f t="shared" si="6"/>
        <v>0</v>
      </c>
      <c r="AB77" s="2" t="str">
        <f>IFERROR(VLOOKUP(B77,'Mitglieder BBU'!A:K,12,0),"")</f>
        <v/>
      </c>
      <c r="AC77" s="2">
        <f t="shared" si="7"/>
        <v>0</v>
      </c>
      <c r="AD77" s="2">
        <f t="array" ref="AD77">MIN(IF(D77:U77&lt;&gt;0,D77:U77))</f>
        <v>0</v>
      </c>
    </row>
    <row r="78">
      <c r="A78" s="2">
        <v>75.0</v>
      </c>
      <c r="B78" s="111" t="str">
        <f>Spieler!B80</f>
        <v/>
      </c>
      <c r="D78" s="2" t="str">
        <f>IFERROR(VLOOKUP($B78,Vorrunde!B:H,2,0),)</f>
        <v/>
      </c>
      <c r="E78" s="2" t="str">
        <f>IFERROR(VLOOKUP($B78,Vorrunde!$B:$H,3,0),)</f>
        <v/>
      </c>
      <c r="F78" s="2">
        <f>IFERROR(VLOOKUP($B78,Vorrunde!$B:$H,4,0),0)</f>
        <v>0</v>
      </c>
      <c r="G78" s="2" t="str">
        <f>IFERROR(VLOOKUP($B78,Vorrunde!$B:$H,5,0),)</f>
        <v/>
      </c>
      <c r="H78" s="2" t="str">
        <f>IFERROR(VLOOKUP($B78,Vorrunde!$B:$H,6,0),)</f>
        <v/>
      </c>
      <c r="I78" s="2" t="str">
        <f>IFERROR(VLOOKUP($B78,Vorrunde!$B:$H,7,0),)</f>
        <v/>
      </c>
      <c r="J78" s="2" t="str">
        <f>IFERROR(VLOOKUP($B78,Zwischenlauf!$B:$H,2,0),)</f>
        <v/>
      </c>
      <c r="K78" s="2" t="str">
        <f>IFERROR(VLOOKUP($B78,Zwischenlauf!$B:$H,3,0),)</f>
        <v/>
      </c>
      <c r="L78" s="2" t="str">
        <f>IFERROR(VLOOKUP($B78,Zwischenlauf!$B:$H,4,0),)</f>
        <v/>
      </c>
      <c r="M78" s="2" t="str">
        <f>IFERROR(VLOOKUP($B78,Zwischenlauf!$B:$H,5,0),)</f>
        <v/>
      </c>
      <c r="N78" s="2" t="str">
        <f>IFERROR(VLOOKUP($B78,Zwischenlauf!$B:$H,6,0),)</f>
        <v/>
      </c>
      <c r="O78" s="2" t="str">
        <f>IFERROR(VLOOKUP($B78,Zwischenlauf!$B:$H,7,0),)</f>
        <v/>
      </c>
      <c r="P78" s="2" t="str">
        <f>IFERROR(VLOOKUP($B78,Finalrunde!$B:$H,2,0),)</f>
        <v/>
      </c>
      <c r="Q78" s="2" t="str">
        <f>IFERROR(VLOOKUP($B78,Finalrunde!$B:$H,3,0),)</f>
        <v/>
      </c>
      <c r="R78" s="2" t="str">
        <f>IFERROR(VLOOKUP($B78,Finalrunde!$B:$H,4,0),)</f>
        <v/>
      </c>
      <c r="S78" s="2" t="str">
        <f>IFERROR(VLOOKUP($B78,Finalrunde!$B:$H,5,0),)</f>
        <v/>
      </c>
      <c r="T78" s="2" t="str">
        <f>IFERROR(VLOOKUP($B78,Finalrunde!$B:$H,6,0),)</f>
        <v/>
      </c>
      <c r="U78" s="2" t="str">
        <f>IFERROR(VLOOKUP($B78,Finalrunde!$B:$H,7,0),)</f>
        <v/>
      </c>
      <c r="V78" s="2">
        <f t="shared" si="1"/>
        <v>0</v>
      </c>
      <c r="W78" s="2">
        <f t="shared" si="2"/>
        <v>0</v>
      </c>
      <c r="X78" s="2">
        <f t="shared" si="3"/>
        <v>0</v>
      </c>
      <c r="Y78" s="2">
        <f t="shared" si="4"/>
        <v>0</v>
      </c>
      <c r="Z78" s="2">
        <f t="shared" si="5"/>
        <v>0</v>
      </c>
      <c r="AA78" s="2">
        <f t="shared" si="6"/>
        <v>0</v>
      </c>
      <c r="AB78" s="2" t="str">
        <f>IFERROR(VLOOKUP(B78,'Mitglieder BBU'!A:K,12,0),"")</f>
        <v/>
      </c>
      <c r="AC78" s="2">
        <f t="shared" si="7"/>
        <v>0</v>
      </c>
      <c r="AD78" s="2">
        <f t="array" ref="AD78">MIN(IF(D78:U78&lt;&gt;0,D78:U78))</f>
        <v>0</v>
      </c>
    </row>
    <row r="79">
      <c r="A79" s="2">
        <v>76.0</v>
      </c>
      <c r="B79" s="111" t="str">
        <f>Spieler!B81</f>
        <v/>
      </c>
      <c r="D79" s="2" t="str">
        <f>IFERROR(VLOOKUP($B79,Vorrunde!B:H,2,0),)</f>
        <v/>
      </c>
      <c r="E79" s="2" t="str">
        <f>IFERROR(VLOOKUP($B79,Vorrunde!$B:$H,3,0),)</f>
        <v/>
      </c>
      <c r="F79" s="2">
        <f>IFERROR(VLOOKUP($B79,Vorrunde!$B:$H,4,0),0)</f>
        <v>0</v>
      </c>
      <c r="G79" s="2" t="str">
        <f>IFERROR(VLOOKUP($B79,Vorrunde!$B:$H,5,0),)</f>
        <v/>
      </c>
      <c r="H79" s="2" t="str">
        <f>IFERROR(VLOOKUP($B79,Vorrunde!$B:$H,6,0),)</f>
        <v/>
      </c>
      <c r="I79" s="2" t="str">
        <f>IFERROR(VLOOKUP($B79,Vorrunde!$B:$H,7,0),)</f>
        <v/>
      </c>
      <c r="J79" s="2" t="str">
        <f>IFERROR(VLOOKUP($B79,Zwischenlauf!$B:$H,2,0),)</f>
        <v/>
      </c>
      <c r="K79" s="2" t="str">
        <f>IFERROR(VLOOKUP($B79,Zwischenlauf!$B:$H,3,0),)</f>
        <v/>
      </c>
      <c r="L79" s="2" t="str">
        <f>IFERROR(VLOOKUP($B79,Zwischenlauf!$B:$H,4,0),)</f>
        <v/>
      </c>
      <c r="M79" s="2" t="str">
        <f>IFERROR(VLOOKUP($B79,Zwischenlauf!$B:$H,5,0),)</f>
        <v/>
      </c>
      <c r="N79" s="2" t="str">
        <f>IFERROR(VLOOKUP($B79,Zwischenlauf!$B:$H,6,0),)</f>
        <v/>
      </c>
      <c r="O79" s="2" t="str">
        <f>IFERROR(VLOOKUP($B79,Zwischenlauf!$B:$H,7,0),)</f>
        <v/>
      </c>
      <c r="P79" s="2" t="str">
        <f>IFERROR(VLOOKUP($B79,Finalrunde!$B:$H,2,0),)</f>
        <v/>
      </c>
      <c r="Q79" s="2" t="str">
        <f>IFERROR(VLOOKUP($B79,Finalrunde!$B:$H,3,0),)</f>
        <v/>
      </c>
      <c r="R79" s="2" t="str">
        <f>IFERROR(VLOOKUP($B79,Finalrunde!$B:$H,4,0),)</f>
        <v/>
      </c>
      <c r="S79" s="2" t="str">
        <f>IFERROR(VLOOKUP($B79,Finalrunde!$B:$H,5,0),)</f>
        <v/>
      </c>
      <c r="T79" s="2" t="str">
        <f>IFERROR(VLOOKUP($B79,Finalrunde!$B:$H,6,0),)</f>
        <v/>
      </c>
      <c r="U79" s="2" t="str">
        <f>IFERROR(VLOOKUP($B79,Finalrunde!$B:$H,7,0),)</f>
        <v/>
      </c>
      <c r="V79" s="2">
        <f t="shared" si="1"/>
        <v>0</v>
      </c>
      <c r="W79" s="2">
        <f t="shared" si="2"/>
        <v>0</v>
      </c>
      <c r="X79" s="2">
        <f t="shared" si="3"/>
        <v>0</v>
      </c>
      <c r="Y79" s="2">
        <f t="shared" si="4"/>
        <v>0</v>
      </c>
      <c r="Z79" s="2">
        <f t="shared" si="5"/>
        <v>0</v>
      </c>
      <c r="AA79" s="2">
        <f t="shared" si="6"/>
        <v>0</v>
      </c>
      <c r="AB79" s="2" t="str">
        <f>IFERROR(VLOOKUP(B79,'Mitglieder BBU'!A:K,12,0),"")</f>
        <v/>
      </c>
      <c r="AC79" s="2">
        <f t="shared" si="7"/>
        <v>0</v>
      </c>
      <c r="AD79" s="2">
        <f t="array" ref="AD79">MIN(IF(D79:U79&lt;&gt;0,D79:U79))</f>
        <v>0</v>
      </c>
    </row>
    <row r="80">
      <c r="A80" s="2">
        <v>77.0</v>
      </c>
      <c r="B80" s="111" t="str">
        <f>Spieler!B82</f>
        <v/>
      </c>
      <c r="D80" s="2" t="str">
        <f>IFERROR(VLOOKUP($B80,Vorrunde!B:H,2,0),)</f>
        <v/>
      </c>
      <c r="E80" s="2" t="str">
        <f>IFERROR(VLOOKUP($B80,Vorrunde!$B:$H,3,0),)</f>
        <v/>
      </c>
      <c r="F80" s="2">
        <f>IFERROR(VLOOKUP($B80,Vorrunde!$B:$H,4,0),0)</f>
        <v>0</v>
      </c>
      <c r="G80" s="2" t="str">
        <f>IFERROR(VLOOKUP($B80,Vorrunde!$B:$H,5,0),)</f>
        <v/>
      </c>
      <c r="H80" s="2" t="str">
        <f>IFERROR(VLOOKUP($B80,Vorrunde!$B:$H,6,0),)</f>
        <v/>
      </c>
      <c r="I80" s="2" t="str">
        <f>IFERROR(VLOOKUP($B80,Vorrunde!$B:$H,7,0),)</f>
        <v/>
      </c>
      <c r="J80" s="2" t="str">
        <f>IFERROR(VLOOKUP($B80,Zwischenlauf!$B:$H,2,0),)</f>
        <v/>
      </c>
      <c r="K80" s="2" t="str">
        <f>IFERROR(VLOOKUP($B80,Zwischenlauf!$B:$H,3,0),)</f>
        <v/>
      </c>
      <c r="L80" s="2" t="str">
        <f>IFERROR(VLOOKUP($B80,Zwischenlauf!$B:$H,4,0),)</f>
        <v/>
      </c>
      <c r="M80" s="2" t="str">
        <f>IFERROR(VLOOKUP($B80,Zwischenlauf!$B:$H,5,0),)</f>
        <v/>
      </c>
      <c r="N80" s="2" t="str">
        <f>IFERROR(VLOOKUP($B80,Zwischenlauf!$B:$H,6,0),)</f>
        <v/>
      </c>
      <c r="O80" s="2" t="str">
        <f>IFERROR(VLOOKUP($B80,Zwischenlauf!$B:$H,7,0),)</f>
        <v/>
      </c>
      <c r="P80" s="2" t="str">
        <f>IFERROR(VLOOKUP($B80,Finalrunde!$B:$H,2,0),)</f>
        <v/>
      </c>
      <c r="Q80" s="2" t="str">
        <f>IFERROR(VLOOKUP($B80,Finalrunde!$B:$H,3,0),)</f>
        <v/>
      </c>
      <c r="R80" s="2" t="str">
        <f>IFERROR(VLOOKUP($B80,Finalrunde!$B:$H,4,0),)</f>
        <v/>
      </c>
      <c r="S80" s="2" t="str">
        <f>IFERROR(VLOOKUP($B80,Finalrunde!$B:$H,5,0),)</f>
        <v/>
      </c>
      <c r="T80" s="2" t="str">
        <f>IFERROR(VLOOKUP($B80,Finalrunde!$B:$H,6,0),)</f>
        <v/>
      </c>
      <c r="U80" s="2" t="str">
        <f>IFERROR(VLOOKUP($B80,Finalrunde!$B:$H,7,0),)</f>
        <v/>
      </c>
      <c r="V80" s="2">
        <f t="shared" si="1"/>
        <v>0</v>
      </c>
      <c r="W80" s="2">
        <f t="shared" si="2"/>
        <v>0</v>
      </c>
      <c r="X80" s="2">
        <f t="shared" si="3"/>
        <v>0</v>
      </c>
      <c r="Y80" s="2">
        <f t="shared" si="4"/>
        <v>0</v>
      </c>
      <c r="Z80" s="2">
        <f t="shared" si="5"/>
        <v>0</v>
      </c>
      <c r="AA80" s="2">
        <f t="shared" si="6"/>
        <v>0</v>
      </c>
      <c r="AB80" s="2" t="str">
        <f>IFERROR(VLOOKUP(B80,'Mitglieder BBU'!A:K,12,0),"")</f>
        <v/>
      </c>
      <c r="AC80" s="2">
        <f t="shared" si="7"/>
        <v>0</v>
      </c>
      <c r="AD80" s="2">
        <f t="array" ref="AD80">MIN(IF(D80:U80&lt;&gt;0,D80:U80))</f>
        <v>0</v>
      </c>
    </row>
    <row r="81">
      <c r="A81" s="2">
        <v>78.0</v>
      </c>
      <c r="B81" s="111" t="str">
        <f>Spieler!B83</f>
        <v/>
      </c>
      <c r="D81" s="2" t="str">
        <f>IFERROR(VLOOKUP($B81,Vorrunde!B:H,2,0),)</f>
        <v/>
      </c>
      <c r="E81" s="2" t="str">
        <f>IFERROR(VLOOKUP($B81,Vorrunde!$B:$H,3,0),)</f>
        <v/>
      </c>
      <c r="F81" s="2">
        <f>IFERROR(VLOOKUP($B81,Vorrunde!$B:$H,4,0),0)</f>
        <v>0</v>
      </c>
      <c r="G81" s="2" t="str">
        <f>IFERROR(VLOOKUP($B81,Vorrunde!$B:$H,5,0),)</f>
        <v/>
      </c>
      <c r="H81" s="2" t="str">
        <f>IFERROR(VLOOKUP($B81,Vorrunde!$B:$H,6,0),)</f>
        <v/>
      </c>
      <c r="I81" s="2" t="str">
        <f>IFERROR(VLOOKUP($B81,Vorrunde!$B:$H,7,0),)</f>
        <v/>
      </c>
      <c r="J81" s="2" t="str">
        <f>IFERROR(VLOOKUP($B81,Zwischenlauf!$B:$H,2,0),)</f>
        <v/>
      </c>
      <c r="K81" s="2" t="str">
        <f>IFERROR(VLOOKUP($B81,Zwischenlauf!$B:$H,3,0),)</f>
        <v/>
      </c>
      <c r="L81" s="2" t="str">
        <f>IFERROR(VLOOKUP($B81,Zwischenlauf!$B:$H,4,0),)</f>
        <v/>
      </c>
      <c r="M81" s="2" t="str">
        <f>IFERROR(VLOOKUP($B81,Zwischenlauf!$B:$H,5,0),)</f>
        <v/>
      </c>
      <c r="N81" s="2" t="str">
        <f>IFERROR(VLOOKUP($B81,Zwischenlauf!$B:$H,6,0),)</f>
        <v/>
      </c>
      <c r="O81" s="2" t="str">
        <f>IFERROR(VLOOKUP($B81,Zwischenlauf!$B:$H,7,0),)</f>
        <v/>
      </c>
      <c r="P81" s="2" t="str">
        <f>IFERROR(VLOOKUP($B81,Finalrunde!$B:$H,2,0),)</f>
        <v/>
      </c>
      <c r="Q81" s="2" t="str">
        <f>IFERROR(VLOOKUP($B81,Finalrunde!$B:$H,3,0),)</f>
        <v/>
      </c>
      <c r="R81" s="2" t="str">
        <f>IFERROR(VLOOKUP($B81,Finalrunde!$B:$H,4,0),)</f>
        <v/>
      </c>
      <c r="S81" s="2" t="str">
        <f>IFERROR(VLOOKUP($B81,Finalrunde!$B:$H,5,0),)</f>
        <v/>
      </c>
      <c r="T81" s="2" t="str">
        <f>IFERROR(VLOOKUP($B81,Finalrunde!$B:$H,6,0),)</f>
        <v/>
      </c>
      <c r="U81" s="2" t="str">
        <f>IFERROR(VLOOKUP($B81,Finalrunde!$B:$H,7,0),)</f>
        <v/>
      </c>
      <c r="V81" s="2">
        <f t="shared" si="1"/>
        <v>0</v>
      </c>
      <c r="W81" s="2">
        <f t="shared" si="2"/>
        <v>0</v>
      </c>
      <c r="X81" s="2">
        <f t="shared" si="3"/>
        <v>0</v>
      </c>
      <c r="Y81" s="2">
        <f t="shared" si="4"/>
        <v>0</v>
      </c>
      <c r="Z81" s="2">
        <f t="shared" si="5"/>
        <v>0</v>
      </c>
      <c r="AA81" s="2">
        <f t="shared" si="6"/>
        <v>0</v>
      </c>
      <c r="AB81" s="2" t="str">
        <f>IFERROR(VLOOKUP(B81,'Mitglieder BBU'!A:K,12,0),"")</f>
        <v/>
      </c>
      <c r="AC81" s="2">
        <f t="shared" si="7"/>
        <v>0</v>
      </c>
      <c r="AD81" s="2">
        <f t="array" ref="AD81">MIN(IF(D81:U81&lt;&gt;0,D81:U81))</f>
        <v>0</v>
      </c>
    </row>
    <row r="82">
      <c r="A82" s="2">
        <v>79.0</v>
      </c>
      <c r="B82" s="111" t="str">
        <f>Spieler!B84</f>
        <v/>
      </c>
      <c r="D82" s="2" t="str">
        <f>IFERROR(VLOOKUP($B82,Vorrunde!B:H,2,0),)</f>
        <v/>
      </c>
      <c r="E82" s="2" t="str">
        <f>IFERROR(VLOOKUP($B82,Vorrunde!$B:$H,3,0),)</f>
        <v/>
      </c>
      <c r="F82" s="2">
        <f>IFERROR(VLOOKUP($B82,Vorrunde!$B:$H,4,0),0)</f>
        <v>0</v>
      </c>
      <c r="G82" s="2" t="str">
        <f>IFERROR(VLOOKUP($B82,Vorrunde!$B:$H,5,0),)</f>
        <v/>
      </c>
      <c r="H82" s="2" t="str">
        <f>IFERROR(VLOOKUP($B82,Vorrunde!$B:$H,6,0),)</f>
        <v/>
      </c>
      <c r="I82" s="2" t="str">
        <f>IFERROR(VLOOKUP($B82,Vorrunde!$B:$H,7,0),)</f>
        <v/>
      </c>
      <c r="J82" s="2" t="str">
        <f>IFERROR(VLOOKUP($B82,Zwischenlauf!$B:$H,2,0),)</f>
        <v/>
      </c>
      <c r="K82" s="2" t="str">
        <f>IFERROR(VLOOKUP($B82,Zwischenlauf!$B:$H,3,0),)</f>
        <v/>
      </c>
      <c r="L82" s="2" t="str">
        <f>IFERROR(VLOOKUP($B82,Zwischenlauf!$B:$H,4,0),)</f>
        <v/>
      </c>
      <c r="M82" s="2" t="str">
        <f>IFERROR(VLOOKUP($B82,Zwischenlauf!$B:$H,5,0),)</f>
        <v/>
      </c>
      <c r="N82" s="2" t="str">
        <f>IFERROR(VLOOKUP($B82,Zwischenlauf!$B:$H,6,0),)</f>
        <v/>
      </c>
      <c r="O82" s="2" t="str">
        <f>IFERROR(VLOOKUP($B82,Zwischenlauf!$B:$H,7,0),)</f>
        <v/>
      </c>
      <c r="P82" s="2" t="str">
        <f>IFERROR(VLOOKUP($B82,Finalrunde!$B:$H,2,0),)</f>
        <v/>
      </c>
      <c r="Q82" s="2" t="str">
        <f>IFERROR(VLOOKUP($B82,Finalrunde!$B:$H,3,0),)</f>
        <v/>
      </c>
      <c r="R82" s="2" t="str">
        <f>IFERROR(VLOOKUP($B82,Finalrunde!$B:$H,4,0),)</f>
        <v/>
      </c>
      <c r="S82" s="2" t="str">
        <f>IFERROR(VLOOKUP($B82,Finalrunde!$B:$H,5,0),)</f>
        <v/>
      </c>
      <c r="T82" s="2" t="str">
        <f>IFERROR(VLOOKUP($B82,Finalrunde!$B:$H,6,0),)</f>
        <v/>
      </c>
      <c r="U82" s="2" t="str">
        <f>IFERROR(VLOOKUP($B82,Finalrunde!$B:$H,7,0),)</f>
        <v/>
      </c>
      <c r="V82" s="2">
        <f t="shared" si="1"/>
        <v>0</v>
      </c>
      <c r="W82" s="2">
        <f t="shared" si="2"/>
        <v>0</v>
      </c>
      <c r="X82" s="2">
        <f t="shared" si="3"/>
        <v>0</v>
      </c>
      <c r="Y82" s="2">
        <f t="shared" si="4"/>
        <v>0</v>
      </c>
      <c r="Z82" s="2">
        <f t="shared" si="5"/>
        <v>0</v>
      </c>
      <c r="AA82" s="2">
        <f t="shared" si="6"/>
        <v>0</v>
      </c>
      <c r="AB82" s="2" t="str">
        <f>IFERROR(VLOOKUP(B82,'Mitglieder BBU'!A:K,12,0),"")</f>
        <v/>
      </c>
      <c r="AC82" s="2">
        <f t="shared" si="7"/>
        <v>0</v>
      </c>
      <c r="AD82" s="2">
        <f t="array" ref="AD82">MIN(IF(D82:U82&lt;&gt;0,D82:U82))</f>
        <v>0</v>
      </c>
    </row>
    <row r="83">
      <c r="A83" s="2">
        <v>80.0</v>
      </c>
      <c r="B83" s="111" t="str">
        <f>Spieler!B85</f>
        <v/>
      </c>
      <c r="D83" s="2" t="str">
        <f>IFERROR(VLOOKUP($B83,Vorrunde!B:H,2,0),)</f>
        <v/>
      </c>
      <c r="E83" s="2" t="str">
        <f>IFERROR(VLOOKUP($B83,Vorrunde!$B:$H,3,0),)</f>
        <v/>
      </c>
      <c r="F83" s="2">
        <f>IFERROR(VLOOKUP($B83,Vorrunde!$B:$H,4,0),0)</f>
        <v>0</v>
      </c>
      <c r="G83" s="2" t="str">
        <f>IFERROR(VLOOKUP($B83,Vorrunde!$B:$H,5,0),)</f>
        <v/>
      </c>
      <c r="H83" s="2" t="str">
        <f>IFERROR(VLOOKUP($B83,Vorrunde!$B:$H,6,0),)</f>
        <v/>
      </c>
      <c r="I83" s="2" t="str">
        <f>IFERROR(VLOOKUP($B83,Vorrunde!$B:$H,7,0),)</f>
        <v/>
      </c>
      <c r="J83" s="2" t="str">
        <f>IFERROR(VLOOKUP($B83,Zwischenlauf!$B:$H,2,0),)</f>
        <v/>
      </c>
      <c r="K83" s="2" t="str">
        <f>IFERROR(VLOOKUP($B83,Zwischenlauf!$B:$H,3,0),)</f>
        <v/>
      </c>
      <c r="L83" s="2" t="str">
        <f>IFERROR(VLOOKUP($B83,Zwischenlauf!$B:$H,4,0),)</f>
        <v/>
      </c>
      <c r="M83" s="2" t="str">
        <f>IFERROR(VLOOKUP($B83,Zwischenlauf!$B:$H,5,0),)</f>
        <v/>
      </c>
      <c r="N83" s="2" t="str">
        <f>IFERROR(VLOOKUP($B83,Zwischenlauf!$B:$H,6,0),)</f>
        <v/>
      </c>
      <c r="O83" s="2" t="str">
        <f>IFERROR(VLOOKUP($B83,Zwischenlauf!$B:$H,7,0),)</f>
        <v/>
      </c>
      <c r="P83" s="2" t="str">
        <f>IFERROR(VLOOKUP($B83,Finalrunde!$B:$H,2,0),)</f>
        <v/>
      </c>
      <c r="Q83" s="2" t="str">
        <f>IFERROR(VLOOKUP($B83,Finalrunde!$B:$H,3,0),)</f>
        <v/>
      </c>
      <c r="R83" s="2" t="str">
        <f>IFERROR(VLOOKUP($B83,Finalrunde!$B:$H,4,0),)</f>
        <v/>
      </c>
      <c r="S83" s="2" t="str">
        <f>IFERROR(VLOOKUP($B83,Finalrunde!$B:$H,5,0),)</f>
        <v/>
      </c>
      <c r="T83" s="2" t="str">
        <f>IFERROR(VLOOKUP($B83,Finalrunde!$B:$H,6,0),)</f>
        <v/>
      </c>
      <c r="U83" s="2" t="str">
        <f>IFERROR(VLOOKUP($B83,Finalrunde!$B:$H,7,0),)</f>
        <v/>
      </c>
      <c r="V83" s="2">
        <f t="shared" si="1"/>
        <v>0</v>
      </c>
      <c r="W83" s="2">
        <f t="shared" si="2"/>
        <v>0</v>
      </c>
      <c r="X83" s="2">
        <f t="shared" si="3"/>
        <v>0</v>
      </c>
      <c r="Y83" s="2">
        <f t="shared" si="4"/>
        <v>0</v>
      </c>
      <c r="Z83" s="2">
        <f t="shared" si="5"/>
        <v>0</v>
      </c>
      <c r="AA83" s="2">
        <f t="shared" si="6"/>
        <v>0</v>
      </c>
      <c r="AB83" s="2" t="str">
        <f>IFERROR(VLOOKUP(B83,'Mitglieder BBU'!A:K,12,0),"")</f>
        <v/>
      </c>
      <c r="AC83" s="2">
        <f t="shared" si="7"/>
        <v>0</v>
      </c>
      <c r="AD83" s="2">
        <f t="array" ref="AD83">MIN(IF(D83:U83&lt;&gt;0,D83:U83))</f>
        <v>0</v>
      </c>
    </row>
    <row r="84">
      <c r="A84" s="2">
        <v>81.0</v>
      </c>
      <c r="B84" s="111" t="str">
        <f>Spieler!B86</f>
        <v/>
      </c>
      <c r="D84" s="2" t="str">
        <f>IFERROR(VLOOKUP($B84,Vorrunde!B:H,2,0),)</f>
        <v/>
      </c>
      <c r="E84" s="2" t="str">
        <f>IFERROR(VLOOKUP($B84,Vorrunde!$B:$H,3,0),)</f>
        <v/>
      </c>
      <c r="F84" s="2">
        <f>IFERROR(VLOOKUP($B84,Vorrunde!$B:$H,4,0),0)</f>
        <v>0</v>
      </c>
      <c r="G84" s="2" t="str">
        <f>IFERROR(VLOOKUP($B84,Vorrunde!$B:$H,5,0),)</f>
        <v/>
      </c>
      <c r="H84" s="2" t="str">
        <f>IFERROR(VLOOKUP($B84,Vorrunde!$B:$H,6,0),)</f>
        <v/>
      </c>
      <c r="I84" s="2" t="str">
        <f>IFERROR(VLOOKUP($B84,Vorrunde!$B:$H,7,0),)</f>
        <v/>
      </c>
      <c r="J84" s="2" t="str">
        <f>IFERROR(VLOOKUP($B84,Zwischenlauf!$B:$H,2,0),)</f>
        <v/>
      </c>
      <c r="K84" s="2" t="str">
        <f>IFERROR(VLOOKUP($B84,Zwischenlauf!$B:$H,3,0),)</f>
        <v/>
      </c>
      <c r="L84" s="2" t="str">
        <f>IFERROR(VLOOKUP($B84,Zwischenlauf!$B:$H,4,0),)</f>
        <v/>
      </c>
      <c r="M84" s="2" t="str">
        <f>IFERROR(VLOOKUP($B84,Zwischenlauf!$B:$H,5,0),)</f>
        <v/>
      </c>
      <c r="N84" s="2" t="str">
        <f>IFERROR(VLOOKUP($B84,Zwischenlauf!$B:$H,6,0),)</f>
        <v/>
      </c>
      <c r="O84" s="2" t="str">
        <f>IFERROR(VLOOKUP($B84,Zwischenlauf!$B:$H,7,0),)</f>
        <v/>
      </c>
      <c r="P84" s="2" t="str">
        <f>IFERROR(VLOOKUP($B84,Finalrunde!$B:$H,2,0),)</f>
        <v/>
      </c>
      <c r="Q84" s="2" t="str">
        <f>IFERROR(VLOOKUP($B84,Finalrunde!$B:$H,3,0),)</f>
        <v/>
      </c>
      <c r="R84" s="2" t="str">
        <f>IFERROR(VLOOKUP($B84,Finalrunde!$B:$H,4,0),)</f>
        <v/>
      </c>
      <c r="S84" s="2" t="str">
        <f>IFERROR(VLOOKUP($B84,Finalrunde!$B:$H,5,0),)</f>
        <v/>
      </c>
      <c r="T84" s="2" t="str">
        <f>IFERROR(VLOOKUP($B84,Finalrunde!$B:$H,6,0),)</f>
        <v/>
      </c>
      <c r="U84" s="2" t="str">
        <f>IFERROR(VLOOKUP($B84,Finalrunde!$B:$H,7,0),)</f>
        <v/>
      </c>
      <c r="V84" s="2">
        <f t="shared" si="1"/>
        <v>0</v>
      </c>
      <c r="W84" s="2">
        <f t="shared" si="2"/>
        <v>0</v>
      </c>
      <c r="X84" s="2">
        <f t="shared" si="3"/>
        <v>0</v>
      </c>
      <c r="Y84" s="2">
        <f t="shared" si="4"/>
        <v>0</v>
      </c>
      <c r="Z84" s="2">
        <f t="shared" si="5"/>
        <v>0</v>
      </c>
      <c r="AA84" s="2">
        <f t="shared" si="6"/>
        <v>0</v>
      </c>
      <c r="AB84" s="2" t="str">
        <f>IFERROR(VLOOKUP(B84,'Mitglieder BBU'!A:K,12,0),"")</f>
        <v/>
      </c>
      <c r="AC84" s="2">
        <f t="shared" si="7"/>
        <v>0</v>
      </c>
      <c r="AD84" s="2">
        <f t="array" ref="AD84">MIN(IF(D84:U84&lt;&gt;0,D84:U84))</f>
        <v>0</v>
      </c>
    </row>
    <row r="85">
      <c r="A85" s="2">
        <v>82.0</v>
      </c>
      <c r="B85" s="111" t="str">
        <f>Spieler!B87</f>
        <v/>
      </c>
      <c r="D85" s="2" t="str">
        <f>IFERROR(VLOOKUP($B85,Vorrunde!B:H,2,0),)</f>
        <v/>
      </c>
      <c r="E85" s="2" t="str">
        <f>IFERROR(VLOOKUP($B85,Vorrunde!$B:$H,3,0),)</f>
        <v/>
      </c>
      <c r="F85" s="2">
        <f>IFERROR(VLOOKUP($B85,Vorrunde!$B:$H,4,0),0)</f>
        <v>0</v>
      </c>
      <c r="G85" s="2" t="str">
        <f>IFERROR(VLOOKUP($B85,Vorrunde!$B:$H,5,0),)</f>
        <v/>
      </c>
      <c r="H85" s="2" t="str">
        <f>IFERROR(VLOOKUP($B85,Vorrunde!$B:$H,6,0),)</f>
        <v/>
      </c>
      <c r="I85" s="2" t="str">
        <f>IFERROR(VLOOKUP($B85,Vorrunde!$B:$H,7,0),)</f>
        <v/>
      </c>
      <c r="J85" s="2" t="str">
        <f>IFERROR(VLOOKUP($B85,Zwischenlauf!$B:$H,2,0),)</f>
        <v/>
      </c>
      <c r="K85" s="2" t="str">
        <f>IFERROR(VLOOKUP($B85,Zwischenlauf!$B:$H,3,0),)</f>
        <v/>
      </c>
      <c r="L85" s="2" t="str">
        <f>IFERROR(VLOOKUP($B85,Zwischenlauf!$B:$H,4,0),)</f>
        <v/>
      </c>
      <c r="M85" s="2" t="str">
        <f>IFERROR(VLOOKUP($B85,Zwischenlauf!$B:$H,5,0),)</f>
        <v/>
      </c>
      <c r="N85" s="2" t="str">
        <f>IFERROR(VLOOKUP($B85,Zwischenlauf!$B:$H,6,0),)</f>
        <v/>
      </c>
      <c r="O85" s="2" t="str">
        <f>IFERROR(VLOOKUP($B85,Zwischenlauf!$B:$H,7,0),)</f>
        <v/>
      </c>
      <c r="P85" s="2" t="str">
        <f>IFERROR(VLOOKUP($B85,Finalrunde!$B:$H,2,0),)</f>
        <v/>
      </c>
      <c r="Q85" s="2" t="str">
        <f>IFERROR(VLOOKUP($B85,Finalrunde!$B:$H,3,0),)</f>
        <v/>
      </c>
      <c r="R85" s="2" t="str">
        <f>IFERROR(VLOOKUP($B85,Finalrunde!$B:$H,4,0),)</f>
        <v/>
      </c>
      <c r="S85" s="2" t="str">
        <f>IFERROR(VLOOKUP($B85,Finalrunde!$B:$H,5,0),)</f>
        <v/>
      </c>
      <c r="T85" s="2" t="str">
        <f>IFERROR(VLOOKUP($B85,Finalrunde!$B:$H,6,0),)</f>
        <v/>
      </c>
      <c r="U85" s="2" t="str">
        <f>IFERROR(VLOOKUP($B85,Finalrunde!$B:$H,7,0),)</f>
        <v/>
      </c>
      <c r="V85" s="2">
        <f t="shared" si="1"/>
        <v>0</v>
      </c>
      <c r="W85" s="2">
        <f t="shared" si="2"/>
        <v>0</v>
      </c>
      <c r="X85" s="2">
        <f t="shared" si="3"/>
        <v>0</v>
      </c>
      <c r="Y85" s="2">
        <f t="shared" si="4"/>
        <v>0</v>
      </c>
      <c r="Z85" s="2">
        <f t="shared" si="5"/>
        <v>0</v>
      </c>
      <c r="AA85" s="2">
        <f t="shared" si="6"/>
        <v>0</v>
      </c>
      <c r="AB85" s="2" t="str">
        <f>IFERROR(VLOOKUP(B85,'Mitglieder BBU'!A:K,12,0),"")</f>
        <v/>
      </c>
      <c r="AC85" s="2">
        <f t="shared" si="7"/>
        <v>0</v>
      </c>
      <c r="AD85" s="2">
        <f t="array" ref="AD85">MIN(IF(D85:U85&lt;&gt;0,D85:U85))</f>
        <v>0</v>
      </c>
    </row>
    <row r="86">
      <c r="A86" s="2">
        <v>83.0</v>
      </c>
      <c r="B86" s="111" t="str">
        <f>Spieler!B88</f>
        <v/>
      </c>
      <c r="D86" s="2" t="str">
        <f>IFERROR(VLOOKUP($B86,Vorrunde!B:H,2,0),)</f>
        <v/>
      </c>
      <c r="E86" s="2" t="str">
        <f>IFERROR(VLOOKUP($B86,Vorrunde!$B:$H,3,0),)</f>
        <v/>
      </c>
      <c r="F86" s="2">
        <f>IFERROR(VLOOKUP($B86,Vorrunde!$B:$H,4,0),0)</f>
        <v>0</v>
      </c>
      <c r="G86" s="2" t="str">
        <f>IFERROR(VLOOKUP($B86,Vorrunde!$B:$H,5,0),)</f>
        <v/>
      </c>
      <c r="H86" s="2" t="str">
        <f>IFERROR(VLOOKUP($B86,Vorrunde!$B:$H,6,0),)</f>
        <v/>
      </c>
      <c r="I86" s="2" t="str">
        <f>IFERROR(VLOOKUP($B86,Vorrunde!$B:$H,7,0),)</f>
        <v/>
      </c>
      <c r="J86" s="2" t="str">
        <f>IFERROR(VLOOKUP($B86,Zwischenlauf!$B:$H,2,0),)</f>
        <v/>
      </c>
      <c r="K86" s="2" t="str">
        <f>IFERROR(VLOOKUP($B86,Zwischenlauf!$B:$H,3,0),)</f>
        <v/>
      </c>
      <c r="L86" s="2" t="str">
        <f>IFERROR(VLOOKUP($B86,Zwischenlauf!$B:$H,4,0),)</f>
        <v/>
      </c>
      <c r="M86" s="2" t="str">
        <f>IFERROR(VLOOKUP($B86,Zwischenlauf!$B:$H,5,0),)</f>
        <v/>
      </c>
      <c r="N86" s="2" t="str">
        <f>IFERROR(VLOOKUP($B86,Zwischenlauf!$B:$H,6,0),)</f>
        <v/>
      </c>
      <c r="O86" s="2" t="str">
        <f>IFERROR(VLOOKUP($B86,Zwischenlauf!$B:$H,7,0),)</f>
        <v/>
      </c>
      <c r="P86" s="2" t="str">
        <f>IFERROR(VLOOKUP($B86,Finalrunde!$B:$H,2,0),)</f>
        <v/>
      </c>
      <c r="Q86" s="2" t="str">
        <f>IFERROR(VLOOKUP($B86,Finalrunde!$B:$H,3,0),)</f>
        <v/>
      </c>
      <c r="R86" s="2" t="str">
        <f>IFERROR(VLOOKUP($B86,Finalrunde!$B:$H,4,0),)</f>
        <v/>
      </c>
      <c r="S86" s="2" t="str">
        <f>IFERROR(VLOOKUP($B86,Finalrunde!$B:$H,5,0),)</f>
        <v/>
      </c>
      <c r="T86" s="2" t="str">
        <f>IFERROR(VLOOKUP($B86,Finalrunde!$B:$H,6,0),)</f>
        <v/>
      </c>
      <c r="U86" s="2" t="str">
        <f>IFERROR(VLOOKUP($B86,Finalrunde!$B:$H,7,0),)</f>
        <v/>
      </c>
      <c r="V86" s="2">
        <f t="shared" si="1"/>
        <v>0</v>
      </c>
      <c r="W86" s="2">
        <f t="shared" si="2"/>
        <v>0</v>
      </c>
      <c r="X86" s="2">
        <f t="shared" si="3"/>
        <v>0</v>
      </c>
      <c r="Y86" s="2">
        <f t="shared" si="4"/>
        <v>0</v>
      </c>
      <c r="Z86" s="2">
        <f t="shared" si="5"/>
        <v>0</v>
      </c>
      <c r="AA86" s="2">
        <f t="shared" si="6"/>
        <v>0</v>
      </c>
      <c r="AB86" s="2" t="str">
        <f>IFERROR(VLOOKUP(B86,'Mitglieder BBU'!A:K,12,0),"")</f>
        <v/>
      </c>
      <c r="AC86" s="2">
        <f t="shared" si="7"/>
        <v>0</v>
      </c>
      <c r="AD86" s="2">
        <f t="array" ref="AD86">MIN(IF(D86:U86&lt;&gt;0,D86:U86))</f>
        <v>0</v>
      </c>
    </row>
    <row r="87">
      <c r="A87" s="2">
        <v>84.0</v>
      </c>
      <c r="B87" s="111" t="str">
        <f>Spieler!B89</f>
        <v/>
      </c>
      <c r="D87" s="2" t="str">
        <f>IFERROR(VLOOKUP($B87,Vorrunde!B:H,2,0),)</f>
        <v/>
      </c>
      <c r="E87" s="2" t="str">
        <f>IFERROR(VLOOKUP($B87,Vorrunde!$B:$H,3,0),)</f>
        <v/>
      </c>
      <c r="F87" s="2">
        <f>IFERROR(VLOOKUP($B87,Vorrunde!$B:$H,4,0),0)</f>
        <v>0</v>
      </c>
      <c r="G87" s="2" t="str">
        <f>IFERROR(VLOOKUP($B87,Vorrunde!$B:$H,5,0),)</f>
        <v/>
      </c>
      <c r="H87" s="2" t="str">
        <f>IFERROR(VLOOKUP($B87,Vorrunde!$B:$H,6,0),)</f>
        <v/>
      </c>
      <c r="I87" s="2" t="str">
        <f>IFERROR(VLOOKUP($B87,Vorrunde!$B:$H,7,0),)</f>
        <v/>
      </c>
      <c r="J87" s="2" t="str">
        <f>IFERROR(VLOOKUP($B87,Zwischenlauf!$B:$H,2,0),)</f>
        <v/>
      </c>
      <c r="K87" s="2" t="str">
        <f>IFERROR(VLOOKUP($B87,Zwischenlauf!$B:$H,3,0),)</f>
        <v/>
      </c>
      <c r="L87" s="2" t="str">
        <f>IFERROR(VLOOKUP($B87,Zwischenlauf!$B:$H,4,0),)</f>
        <v/>
      </c>
      <c r="M87" s="2" t="str">
        <f>IFERROR(VLOOKUP($B87,Zwischenlauf!$B:$H,5,0),)</f>
        <v/>
      </c>
      <c r="N87" s="2" t="str">
        <f>IFERROR(VLOOKUP($B87,Zwischenlauf!$B:$H,6,0),)</f>
        <v/>
      </c>
      <c r="O87" s="2" t="str">
        <f>IFERROR(VLOOKUP($B87,Zwischenlauf!$B:$H,7,0),)</f>
        <v/>
      </c>
      <c r="P87" s="2" t="str">
        <f>IFERROR(VLOOKUP($B87,Finalrunde!$B:$H,2,0),)</f>
        <v/>
      </c>
      <c r="Q87" s="2" t="str">
        <f>IFERROR(VLOOKUP($B87,Finalrunde!$B:$H,3,0),)</f>
        <v/>
      </c>
      <c r="R87" s="2" t="str">
        <f>IFERROR(VLOOKUP($B87,Finalrunde!$B:$H,4,0),)</f>
        <v/>
      </c>
      <c r="S87" s="2" t="str">
        <f>IFERROR(VLOOKUP($B87,Finalrunde!$B:$H,5,0),)</f>
        <v/>
      </c>
      <c r="T87" s="2" t="str">
        <f>IFERROR(VLOOKUP($B87,Finalrunde!$B:$H,6,0),)</f>
        <v/>
      </c>
      <c r="U87" s="2" t="str">
        <f>IFERROR(VLOOKUP($B87,Finalrunde!$B:$H,7,0),)</f>
        <v/>
      </c>
      <c r="V87" s="2">
        <f t="shared" si="1"/>
        <v>0</v>
      </c>
      <c r="W87" s="2">
        <f t="shared" si="2"/>
        <v>0</v>
      </c>
      <c r="X87" s="2">
        <f t="shared" si="3"/>
        <v>0</v>
      </c>
      <c r="Y87" s="2">
        <f t="shared" si="4"/>
        <v>0</v>
      </c>
      <c r="Z87" s="2">
        <f t="shared" si="5"/>
        <v>0</v>
      </c>
      <c r="AA87" s="2">
        <f t="shared" si="6"/>
        <v>0</v>
      </c>
      <c r="AB87" s="2" t="str">
        <f>IFERROR(VLOOKUP(B87,'Mitglieder BBU'!A:K,12,0),"")</f>
        <v/>
      </c>
      <c r="AC87" s="2">
        <f t="shared" si="7"/>
        <v>0</v>
      </c>
      <c r="AD87" s="2">
        <f t="array" ref="AD87">MIN(IF(D87:U87&lt;&gt;0,D87:U87))</f>
        <v>0</v>
      </c>
    </row>
    <row r="88">
      <c r="A88" s="2">
        <v>85.0</v>
      </c>
      <c r="B88" s="111" t="str">
        <f>Spieler!B90</f>
        <v/>
      </c>
      <c r="D88" s="2" t="str">
        <f>IFERROR(VLOOKUP($B88,Vorrunde!B:H,2,0),)</f>
        <v/>
      </c>
      <c r="E88" s="2" t="str">
        <f>IFERROR(VLOOKUP($B88,Vorrunde!$B:$H,3,0),)</f>
        <v/>
      </c>
      <c r="F88" s="2">
        <f>IFERROR(VLOOKUP($B88,Vorrunde!$B:$H,4,0),0)</f>
        <v>0</v>
      </c>
      <c r="G88" s="2" t="str">
        <f>IFERROR(VLOOKUP($B88,Vorrunde!$B:$H,5,0),)</f>
        <v/>
      </c>
      <c r="H88" s="2" t="str">
        <f>IFERROR(VLOOKUP($B88,Vorrunde!$B:$H,6,0),)</f>
        <v/>
      </c>
      <c r="I88" s="2" t="str">
        <f>IFERROR(VLOOKUP($B88,Vorrunde!$B:$H,7,0),)</f>
        <v/>
      </c>
      <c r="J88" s="2" t="str">
        <f>IFERROR(VLOOKUP($B88,Zwischenlauf!$B:$H,2,0),)</f>
        <v/>
      </c>
      <c r="K88" s="2" t="str">
        <f>IFERROR(VLOOKUP($B88,Zwischenlauf!$B:$H,3,0),)</f>
        <v/>
      </c>
      <c r="L88" s="2" t="str">
        <f>IFERROR(VLOOKUP($B88,Zwischenlauf!$B:$H,4,0),)</f>
        <v/>
      </c>
      <c r="M88" s="2" t="str">
        <f>IFERROR(VLOOKUP($B88,Zwischenlauf!$B:$H,5,0),)</f>
        <v/>
      </c>
      <c r="N88" s="2" t="str">
        <f>IFERROR(VLOOKUP($B88,Zwischenlauf!$B:$H,6,0),)</f>
        <v/>
      </c>
      <c r="O88" s="2" t="str">
        <f>IFERROR(VLOOKUP($B88,Zwischenlauf!$B:$H,7,0),)</f>
        <v/>
      </c>
      <c r="P88" s="2" t="str">
        <f>IFERROR(VLOOKUP($B88,Finalrunde!$B:$H,2,0),)</f>
        <v/>
      </c>
      <c r="Q88" s="2" t="str">
        <f>IFERROR(VLOOKUP($B88,Finalrunde!$B:$H,3,0),)</f>
        <v/>
      </c>
      <c r="R88" s="2" t="str">
        <f>IFERROR(VLOOKUP($B88,Finalrunde!$B:$H,4,0),)</f>
        <v/>
      </c>
      <c r="S88" s="2" t="str">
        <f>IFERROR(VLOOKUP($B88,Finalrunde!$B:$H,5,0),)</f>
        <v/>
      </c>
      <c r="T88" s="2" t="str">
        <f>IFERROR(VLOOKUP($B88,Finalrunde!$B:$H,6,0),)</f>
        <v/>
      </c>
      <c r="U88" s="2" t="str">
        <f>IFERROR(VLOOKUP($B88,Finalrunde!$B:$H,7,0),)</f>
        <v/>
      </c>
      <c r="V88" s="2">
        <f t="shared" si="1"/>
        <v>0</v>
      </c>
      <c r="W88" s="2">
        <f t="shared" si="2"/>
        <v>0</v>
      </c>
      <c r="X88" s="2">
        <f t="shared" si="3"/>
        <v>0</v>
      </c>
      <c r="Y88" s="2">
        <f t="shared" si="4"/>
        <v>0</v>
      </c>
      <c r="Z88" s="2">
        <f t="shared" si="5"/>
        <v>0</v>
      </c>
      <c r="AA88" s="2">
        <f t="shared" si="6"/>
        <v>0</v>
      </c>
      <c r="AB88" s="2" t="str">
        <f>IFERROR(VLOOKUP(B88,'Mitglieder BBU'!A:K,12,0),"")</f>
        <v/>
      </c>
      <c r="AC88" s="2">
        <f t="shared" si="7"/>
        <v>0</v>
      </c>
      <c r="AD88" s="2">
        <f t="array" ref="AD88">MIN(IF(D88:U88&lt;&gt;0,D88:U88))</f>
        <v>0</v>
      </c>
    </row>
    <row r="89">
      <c r="A89" s="2">
        <v>86.0</v>
      </c>
      <c r="B89" s="111" t="str">
        <f>Spieler!B91</f>
        <v/>
      </c>
      <c r="D89" s="2" t="str">
        <f>IFERROR(VLOOKUP($B89,Vorrunde!B:H,2,0),)</f>
        <v/>
      </c>
      <c r="E89" s="2" t="str">
        <f>IFERROR(VLOOKUP($B89,Vorrunde!$B:$H,3,0),)</f>
        <v/>
      </c>
      <c r="F89" s="2">
        <f>IFERROR(VLOOKUP($B89,Vorrunde!$B:$H,4,0),0)</f>
        <v>0</v>
      </c>
      <c r="G89" s="2" t="str">
        <f>IFERROR(VLOOKUP($B89,Vorrunde!$B:$H,5,0),)</f>
        <v/>
      </c>
      <c r="H89" s="2" t="str">
        <f>IFERROR(VLOOKUP($B89,Vorrunde!$B:$H,6,0),)</f>
        <v/>
      </c>
      <c r="I89" s="2" t="str">
        <f>IFERROR(VLOOKUP($B89,Vorrunde!$B:$H,7,0),)</f>
        <v/>
      </c>
      <c r="J89" s="2" t="str">
        <f>IFERROR(VLOOKUP($B89,Zwischenlauf!$B:$H,2,0),)</f>
        <v/>
      </c>
      <c r="K89" s="2" t="str">
        <f>IFERROR(VLOOKUP($B89,Zwischenlauf!$B:$H,3,0),)</f>
        <v/>
      </c>
      <c r="L89" s="2" t="str">
        <f>IFERROR(VLOOKUP($B89,Zwischenlauf!$B:$H,4,0),)</f>
        <v/>
      </c>
      <c r="M89" s="2" t="str">
        <f>IFERROR(VLOOKUP($B89,Zwischenlauf!$B:$H,5,0),)</f>
        <v/>
      </c>
      <c r="N89" s="2" t="str">
        <f>IFERROR(VLOOKUP($B89,Zwischenlauf!$B:$H,6,0),)</f>
        <v/>
      </c>
      <c r="O89" s="2" t="str">
        <f>IFERROR(VLOOKUP($B89,Zwischenlauf!$B:$H,7,0),)</f>
        <v/>
      </c>
      <c r="P89" s="2" t="str">
        <f>IFERROR(VLOOKUP($B89,Finalrunde!$B:$H,2,0),)</f>
        <v/>
      </c>
      <c r="Q89" s="2" t="str">
        <f>IFERROR(VLOOKUP($B89,Finalrunde!$B:$H,3,0),)</f>
        <v/>
      </c>
      <c r="R89" s="2" t="str">
        <f>IFERROR(VLOOKUP($B89,Finalrunde!$B:$H,4,0),)</f>
        <v/>
      </c>
      <c r="S89" s="2" t="str">
        <f>IFERROR(VLOOKUP($B89,Finalrunde!$B:$H,5,0),)</f>
        <v/>
      </c>
      <c r="T89" s="2" t="str">
        <f>IFERROR(VLOOKUP($B89,Finalrunde!$B:$H,6,0),)</f>
        <v/>
      </c>
      <c r="U89" s="2" t="str">
        <f>IFERROR(VLOOKUP($B89,Finalrunde!$B:$H,7,0),)</f>
        <v/>
      </c>
      <c r="V89" s="2">
        <f t="shared" si="1"/>
        <v>0</v>
      </c>
      <c r="W89" s="2">
        <f t="shared" si="2"/>
        <v>0</v>
      </c>
      <c r="X89" s="2">
        <f t="shared" si="3"/>
        <v>0</v>
      </c>
      <c r="Y89" s="2">
        <f t="shared" si="4"/>
        <v>0</v>
      </c>
      <c r="Z89" s="2">
        <f t="shared" si="5"/>
        <v>0</v>
      </c>
      <c r="AA89" s="2">
        <f t="shared" si="6"/>
        <v>0</v>
      </c>
      <c r="AB89" s="2" t="str">
        <f>IFERROR(VLOOKUP(B89,'Mitglieder BBU'!A:K,12,0),"")</f>
        <v/>
      </c>
      <c r="AC89" s="2">
        <f t="shared" si="7"/>
        <v>0</v>
      </c>
      <c r="AD89" s="2">
        <f t="array" ref="AD89">MIN(IF(D89:U89&lt;&gt;0,D89:U89))</f>
        <v>0</v>
      </c>
    </row>
    <row r="90">
      <c r="A90" s="2">
        <v>87.0</v>
      </c>
      <c r="B90" s="111" t="str">
        <f>Spieler!B92</f>
        <v/>
      </c>
      <c r="D90" s="2" t="str">
        <f>IFERROR(VLOOKUP($B90,Vorrunde!B:H,2,0),)</f>
        <v/>
      </c>
      <c r="E90" s="2" t="str">
        <f>IFERROR(VLOOKUP($B90,Vorrunde!$B:$H,3,0),)</f>
        <v/>
      </c>
      <c r="F90" s="2">
        <f>IFERROR(VLOOKUP($B90,Vorrunde!$B:$H,4,0),0)</f>
        <v>0</v>
      </c>
      <c r="G90" s="2" t="str">
        <f>IFERROR(VLOOKUP($B90,Vorrunde!$B:$H,5,0),)</f>
        <v/>
      </c>
      <c r="H90" s="2" t="str">
        <f>IFERROR(VLOOKUP($B90,Vorrunde!$B:$H,6,0),)</f>
        <v/>
      </c>
      <c r="I90" s="2" t="str">
        <f>IFERROR(VLOOKUP($B90,Vorrunde!$B:$H,7,0),)</f>
        <v/>
      </c>
      <c r="J90" s="2" t="str">
        <f>IFERROR(VLOOKUP($B90,Zwischenlauf!$B:$H,2,0),)</f>
        <v/>
      </c>
      <c r="K90" s="2" t="str">
        <f>IFERROR(VLOOKUP($B90,Zwischenlauf!$B:$H,3,0),)</f>
        <v/>
      </c>
      <c r="L90" s="2" t="str">
        <f>IFERROR(VLOOKUP($B90,Zwischenlauf!$B:$H,4,0),)</f>
        <v/>
      </c>
      <c r="M90" s="2" t="str">
        <f>IFERROR(VLOOKUP($B90,Zwischenlauf!$B:$H,5,0),)</f>
        <v/>
      </c>
      <c r="N90" s="2" t="str">
        <f>IFERROR(VLOOKUP($B90,Zwischenlauf!$B:$H,6,0),)</f>
        <v/>
      </c>
      <c r="O90" s="2" t="str">
        <f>IFERROR(VLOOKUP($B90,Zwischenlauf!$B:$H,7,0),)</f>
        <v/>
      </c>
      <c r="P90" s="2" t="str">
        <f>IFERROR(VLOOKUP($B90,Finalrunde!$B:$H,2,0),)</f>
        <v/>
      </c>
      <c r="Q90" s="2" t="str">
        <f>IFERROR(VLOOKUP($B90,Finalrunde!$B:$H,3,0),)</f>
        <v/>
      </c>
      <c r="R90" s="2" t="str">
        <f>IFERROR(VLOOKUP($B90,Finalrunde!$B:$H,4,0),)</f>
        <v/>
      </c>
      <c r="S90" s="2" t="str">
        <f>IFERROR(VLOOKUP($B90,Finalrunde!$B:$H,5,0),)</f>
        <v/>
      </c>
      <c r="T90" s="2" t="str">
        <f>IFERROR(VLOOKUP($B90,Finalrunde!$B:$H,6,0),)</f>
        <v/>
      </c>
      <c r="U90" s="2" t="str">
        <f>IFERROR(VLOOKUP($B90,Finalrunde!$B:$H,7,0),)</f>
        <v/>
      </c>
      <c r="V90" s="2">
        <f t="shared" si="1"/>
        <v>0</v>
      </c>
      <c r="W90" s="2">
        <f t="shared" si="2"/>
        <v>0</v>
      </c>
      <c r="X90" s="2">
        <f t="shared" si="3"/>
        <v>0</v>
      </c>
      <c r="Y90" s="2">
        <f t="shared" si="4"/>
        <v>0</v>
      </c>
      <c r="Z90" s="2">
        <f t="shared" si="5"/>
        <v>0</v>
      </c>
      <c r="AA90" s="2">
        <f t="shared" si="6"/>
        <v>0</v>
      </c>
      <c r="AB90" s="2" t="str">
        <f>IFERROR(VLOOKUP(B90,'Mitglieder BBU'!A:K,12,0),"")</f>
        <v/>
      </c>
      <c r="AC90" s="2">
        <f t="shared" si="7"/>
        <v>0</v>
      </c>
      <c r="AD90" s="2">
        <f t="array" ref="AD90">MIN(IF(D90:U90&lt;&gt;0,D90:U90))</f>
        <v>0</v>
      </c>
    </row>
    <row r="91">
      <c r="A91" s="2">
        <v>88.0</v>
      </c>
      <c r="B91" s="111" t="str">
        <f>Spieler!B93</f>
        <v/>
      </c>
      <c r="D91" s="2" t="str">
        <f>IFERROR(VLOOKUP($B91,Vorrunde!B:H,2,0),)</f>
        <v/>
      </c>
      <c r="E91" s="2" t="str">
        <f>IFERROR(VLOOKUP($B91,Vorrunde!$B:$H,3,0),)</f>
        <v/>
      </c>
      <c r="F91" s="2">
        <f>IFERROR(VLOOKUP($B91,Vorrunde!$B:$H,4,0),0)</f>
        <v>0</v>
      </c>
      <c r="G91" s="2" t="str">
        <f>IFERROR(VLOOKUP($B91,Vorrunde!$B:$H,5,0),)</f>
        <v/>
      </c>
      <c r="H91" s="2" t="str">
        <f>IFERROR(VLOOKUP($B91,Vorrunde!$B:$H,6,0),)</f>
        <v/>
      </c>
      <c r="I91" s="2" t="str">
        <f>IFERROR(VLOOKUP($B91,Vorrunde!$B:$H,7,0),)</f>
        <v/>
      </c>
      <c r="J91" s="2" t="str">
        <f>IFERROR(VLOOKUP($B91,Zwischenlauf!$B:$H,2,0),)</f>
        <v/>
      </c>
      <c r="K91" s="2" t="str">
        <f>IFERROR(VLOOKUP($B91,Zwischenlauf!$B:$H,3,0),)</f>
        <v/>
      </c>
      <c r="L91" s="2" t="str">
        <f>IFERROR(VLOOKUP($B91,Zwischenlauf!$B:$H,4,0),)</f>
        <v/>
      </c>
      <c r="M91" s="2" t="str">
        <f>IFERROR(VLOOKUP($B91,Zwischenlauf!$B:$H,5,0),)</f>
        <v/>
      </c>
      <c r="N91" s="2" t="str">
        <f>IFERROR(VLOOKUP($B91,Zwischenlauf!$B:$H,6,0),)</f>
        <v/>
      </c>
      <c r="O91" s="2" t="str">
        <f>IFERROR(VLOOKUP($B91,Zwischenlauf!$B:$H,7,0),)</f>
        <v/>
      </c>
      <c r="P91" s="2" t="str">
        <f>IFERROR(VLOOKUP($B91,Finalrunde!$B:$H,2,0),)</f>
        <v/>
      </c>
      <c r="Q91" s="2" t="str">
        <f>IFERROR(VLOOKUP($B91,Finalrunde!$B:$H,3,0),)</f>
        <v/>
      </c>
      <c r="R91" s="2" t="str">
        <f>IFERROR(VLOOKUP($B91,Finalrunde!$B:$H,4,0),)</f>
        <v/>
      </c>
      <c r="S91" s="2" t="str">
        <f>IFERROR(VLOOKUP($B91,Finalrunde!$B:$H,5,0),)</f>
        <v/>
      </c>
      <c r="T91" s="2" t="str">
        <f>IFERROR(VLOOKUP($B91,Finalrunde!$B:$H,6,0),)</f>
        <v/>
      </c>
      <c r="U91" s="2" t="str">
        <f>IFERROR(VLOOKUP($B91,Finalrunde!$B:$H,7,0),)</f>
        <v/>
      </c>
      <c r="V91" s="2">
        <f t="shared" si="1"/>
        <v>0</v>
      </c>
      <c r="W91" s="2">
        <f t="shared" si="2"/>
        <v>0</v>
      </c>
      <c r="X91" s="2">
        <f t="shared" si="3"/>
        <v>0</v>
      </c>
      <c r="Y91" s="2">
        <f t="shared" si="4"/>
        <v>0</v>
      </c>
      <c r="Z91" s="2">
        <f t="shared" si="5"/>
        <v>0</v>
      </c>
      <c r="AA91" s="2">
        <f t="shared" si="6"/>
        <v>0</v>
      </c>
      <c r="AB91" s="2" t="str">
        <f>IFERROR(VLOOKUP(B91,'Mitglieder BBU'!A:K,12,0),"")</f>
        <v/>
      </c>
      <c r="AC91" s="2">
        <f t="shared" si="7"/>
        <v>0</v>
      </c>
      <c r="AD91" s="2">
        <f t="array" ref="AD91">MIN(IF(D91:U91&lt;&gt;0,D91:U91))</f>
        <v>0</v>
      </c>
    </row>
    <row r="92">
      <c r="A92" s="2">
        <v>89.0</v>
      </c>
      <c r="B92" s="111" t="str">
        <f>Spieler!B94</f>
        <v/>
      </c>
      <c r="D92" s="2" t="str">
        <f>IFERROR(VLOOKUP($B92,Vorrunde!B:H,2,0),)</f>
        <v/>
      </c>
      <c r="E92" s="2" t="str">
        <f>IFERROR(VLOOKUP($B92,Vorrunde!$B:$H,3,0),)</f>
        <v/>
      </c>
      <c r="F92" s="2">
        <f>IFERROR(VLOOKUP($B92,Vorrunde!$B:$H,4,0),0)</f>
        <v>0</v>
      </c>
      <c r="G92" s="2" t="str">
        <f>IFERROR(VLOOKUP($B92,Vorrunde!$B:$H,5,0),)</f>
        <v/>
      </c>
      <c r="H92" s="2" t="str">
        <f>IFERROR(VLOOKUP($B92,Vorrunde!$B:$H,6,0),)</f>
        <v/>
      </c>
      <c r="I92" s="2" t="str">
        <f>IFERROR(VLOOKUP($B92,Vorrunde!$B:$H,7,0),)</f>
        <v/>
      </c>
      <c r="J92" s="2" t="str">
        <f>IFERROR(VLOOKUP($B92,Zwischenlauf!$B:$H,2,0),)</f>
        <v/>
      </c>
      <c r="K92" s="2" t="str">
        <f>IFERROR(VLOOKUP($B92,Zwischenlauf!$B:$H,3,0),)</f>
        <v/>
      </c>
      <c r="L92" s="2" t="str">
        <f>IFERROR(VLOOKUP($B92,Zwischenlauf!$B:$H,4,0),)</f>
        <v/>
      </c>
      <c r="M92" s="2" t="str">
        <f>IFERROR(VLOOKUP($B92,Zwischenlauf!$B:$H,5,0),)</f>
        <v/>
      </c>
      <c r="N92" s="2" t="str">
        <f>IFERROR(VLOOKUP($B92,Zwischenlauf!$B:$H,6,0),)</f>
        <v/>
      </c>
      <c r="O92" s="2" t="str">
        <f>IFERROR(VLOOKUP($B92,Zwischenlauf!$B:$H,7,0),)</f>
        <v/>
      </c>
      <c r="P92" s="2" t="str">
        <f>IFERROR(VLOOKUP($B92,Finalrunde!$B:$H,2,0),)</f>
        <v/>
      </c>
      <c r="Q92" s="2" t="str">
        <f>IFERROR(VLOOKUP($B92,Finalrunde!$B:$H,3,0),)</f>
        <v/>
      </c>
      <c r="R92" s="2" t="str">
        <f>IFERROR(VLOOKUP($B92,Finalrunde!$B:$H,4,0),)</f>
        <v/>
      </c>
      <c r="S92" s="2" t="str">
        <f>IFERROR(VLOOKUP($B92,Finalrunde!$B:$H,5,0),)</f>
        <v/>
      </c>
      <c r="T92" s="2" t="str">
        <f>IFERROR(VLOOKUP($B92,Finalrunde!$B:$H,6,0),)</f>
        <v/>
      </c>
      <c r="U92" s="2" t="str">
        <f>IFERROR(VLOOKUP($B92,Finalrunde!$B:$H,7,0),)</f>
        <v/>
      </c>
      <c r="V92" s="2">
        <f t="shared" si="1"/>
        <v>0</v>
      </c>
      <c r="W92" s="2">
        <f t="shared" si="2"/>
        <v>0</v>
      </c>
      <c r="X92" s="2">
        <f t="shared" si="3"/>
        <v>0</v>
      </c>
      <c r="Y92" s="2">
        <f t="shared" si="4"/>
        <v>0</v>
      </c>
      <c r="Z92" s="2">
        <f t="shared" si="5"/>
        <v>0</v>
      </c>
      <c r="AA92" s="2">
        <f t="shared" si="6"/>
        <v>0</v>
      </c>
      <c r="AB92" s="2" t="str">
        <f>IFERROR(VLOOKUP(B92,'Mitglieder BBU'!A:K,12,0),"")</f>
        <v/>
      </c>
      <c r="AC92" s="2">
        <f t="shared" si="7"/>
        <v>0</v>
      </c>
      <c r="AD92" s="2">
        <f t="array" ref="AD92">MIN(IF(D92:U92&lt;&gt;0,D92:U92))</f>
        <v>0</v>
      </c>
    </row>
    <row r="93">
      <c r="A93" s="2">
        <v>90.0</v>
      </c>
      <c r="B93" s="111" t="str">
        <f>Spieler!B95</f>
        <v/>
      </c>
      <c r="D93" s="2" t="str">
        <f>IFERROR(VLOOKUP($B93,Vorrunde!B:H,2,0),)</f>
        <v/>
      </c>
      <c r="E93" s="2" t="str">
        <f>IFERROR(VLOOKUP($B93,Vorrunde!$B:$H,3,0),)</f>
        <v/>
      </c>
      <c r="F93" s="2">
        <f>IFERROR(VLOOKUP($B93,Vorrunde!$B:$H,4,0),0)</f>
        <v>0</v>
      </c>
      <c r="G93" s="2" t="str">
        <f>IFERROR(VLOOKUP($B93,Vorrunde!$B:$H,5,0),)</f>
        <v/>
      </c>
      <c r="H93" s="2" t="str">
        <f>IFERROR(VLOOKUP($B93,Vorrunde!$B:$H,6,0),)</f>
        <v/>
      </c>
      <c r="I93" s="2" t="str">
        <f>IFERROR(VLOOKUP($B93,Vorrunde!$B:$H,7,0),)</f>
        <v/>
      </c>
      <c r="J93" s="2" t="str">
        <f>IFERROR(VLOOKUP($B93,Zwischenlauf!$B:$H,2,0),)</f>
        <v/>
      </c>
      <c r="K93" s="2" t="str">
        <f>IFERROR(VLOOKUP($B93,Zwischenlauf!$B:$H,3,0),)</f>
        <v/>
      </c>
      <c r="L93" s="2" t="str">
        <f>IFERROR(VLOOKUP($B93,Zwischenlauf!$B:$H,4,0),)</f>
        <v/>
      </c>
      <c r="M93" s="2" t="str">
        <f>IFERROR(VLOOKUP($B93,Zwischenlauf!$B:$H,5,0),)</f>
        <v/>
      </c>
      <c r="N93" s="2" t="str">
        <f>IFERROR(VLOOKUP($B93,Zwischenlauf!$B:$H,6,0),)</f>
        <v/>
      </c>
      <c r="O93" s="2" t="str">
        <f>IFERROR(VLOOKUP($B93,Zwischenlauf!$B:$H,7,0),)</f>
        <v/>
      </c>
      <c r="P93" s="2" t="str">
        <f>IFERROR(VLOOKUP($B93,Finalrunde!$B:$H,2,0),)</f>
        <v/>
      </c>
      <c r="Q93" s="2" t="str">
        <f>IFERROR(VLOOKUP($B93,Finalrunde!$B:$H,3,0),)</f>
        <v/>
      </c>
      <c r="R93" s="2" t="str">
        <f>IFERROR(VLOOKUP($B93,Finalrunde!$B:$H,4,0),)</f>
        <v/>
      </c>
      <c r="S93" s="2" t="str">
        <f>IFERROR(VLOOKUP($B93,Finalrunde!$B:$H,5,0),)</f>
        <v/>
      </c>
      <c r="T93" s="2" t="str">
        <f>IFERROR(VLOOKUP($B93,Finalrunde!$B:$H,6,0),)</f>
        <v/>
      </c>
      <c r="U93" s="2" t="str">
        <f>IFERROR(VLOOKUP($B93,Finalrunde!$B:$H,7,0),)</f>
        <v/>
      </c>
      <c r="V93" s="2">
        <f t="shared" si="1"/>
        <v>0</v>
      </c>
      <c r="W93" s="2">
        <f t="shared" si="2"/>
        <v>0</v>
      </c>
      <c r="X93" s="2">
        <f t="shared" si="3"/>
        <v>0</v>
      </c>
      <c r="Y93" s="2">
        <f t="shared" si="4"/>
        <v>0</v>
      </c>
      <c r="Z93" s="2">
        <f t="shared" si="5"/>
        <v>0</v>
      </c>
      <c r="AA93" s="2">
        <f t="shared" si="6"/>
        <v>0</v>
      </c>
      <c r="AB93" s="2" t="str">
        <f>IFERROR(VLOOKUP(B93,'Mitglieder BBU'!A:K,12,0),"")</f>
        <v/>
      </c>
      <c r="AC93" s="2">
        <f t="shared" si="7"/>
        <v>0</v>
      </c>
      <c r="AD93" s="2">
        <f t="array" ref="AD93">MIN(IF(D93:U93&lt;&gt;0,D93:U93))</f>
        <v>0</v>
      </c>
    </row>
    <row r="94">
      <c r="A94" s="2">
        <v>91.0</v>
      </c>
      <c r="B94" s="111" t="str">
        <f>Spieler!B96</f>
        <v/>
      </c>
      <c r="D94" s="2" t="str">
        <f>IFERROR(VLOOKUP($B94,Vorrunde!B:H,2,0),)</f>
        <v/>
      </c>
      <c r="E94" s="2" t="str">
        <f>IFERROR(VLOOKUP($B94,Vorrunde!$B:$H,3,0),)</f>
        <v/>
      </c>
      <c r="F94" s="2">
        <f>IFERROR(VLOOKUP($B94,Vorrunde!$B:$H,4,0),0)</f>
        <v>0</v>
      </c>
      <c r="G94" s="2" t="str">
        <f>IFERROR(VLOOKUP($B94,Vorrunde!$B:$H,5,0),)</f>
        <v/>
      </c>
      <c r="H94" s="2" t="str">
        <f>IFERROR(VLOOKUP($B94,Vorrunde!$B:$H,6,0),)</f>
        <v/>
      </c>
      <c r="I94" s="2" t="str">
        <f>IFERROR(VLOOKUP($B94,Vorrunde!$B:$H,7,0),)</f>
        <v/>
      </c>
      <c r="J94" s="2" t="str">
        <f>IFERROR(VLOOKUP($B94,Zwischenlauf!$B:$H,2,0),)</f>
        <v/>
      </c>
      <c r="K94" s="2" t="str">
        <f>IFERROR(VLOOKUP($B94,Zwischenlauf!$B:$H,3,0),)</f>
        <v/>
      </c>
      <c r="L94" s="2" t="str">
        <f>IFERROR(VLOOKUP($B94,Zwischenlauf!$B:$H,4,0),)</f>
        <v/>
      </c>
      <c r="M94" s="2" t="str">
        <f>IFERROR(VLOOKUP($B94,Zwischenlauf!$B:$H,5,0),)</f>
        <v/>
      </c>
      <c r="N94" s="2" t="str">
        <f>IFERROR(VLOOKUP($B94,Zwischenlauf!$B:$H,6,0),)</f>
        <v/>
      </c>
      <c r="O94" s="2" t="str">
        <f>IFERROR(VLOOKUP($B94,Zwischenlauf!$B:$H,7,0),)</f>
        <v/>
      </c>
      <c r="P94" s="2" t="str">
        <f>IFERROR(VLOOKUP($B94,Finalrunde!$B:$H,2,0),)</f>
        <v/>
      </c>
      <c r="Q94" s="2" t="str">
        <f>IFERROR(VLOOKUP($B94,Finalrunde!$B:$H,3,0),)</f>
        <v/>
      </c>
      <c r="R94" s="2" t="str">
        <f>IFERROR(VLOOKUP($B94,Finalrunde!$B:$H,4,0),)</f>
        <v/>
      </c>
      <c r="S94" s="2" t="str">
        <f>IFERROR(VLOOKUP($B94,Finalrunde!$B:$H,5,0),)</f>
        <v/>
      </c>
      <c r="T94" s="2" t="str">
        <f>IFERROR(VLOOKUP($B94,Finalrunde!$B:$H,6,0),)</f>
        <v/>
      </c>
      <c r="U94" s="2" t="str">
        <f>IFERROR(VLOOKUP($B94,Finalrunde!$B:$H,7,0),)</f>
        <v/>
      </c>
      <c r="V94" s="2">
        <f t="shared" si="1"/>
        <v>0</v>
      </c>
      <c r="W94" s="2">
        <f t="shared" si="2"/>
        <v>0</v>
      </c>
      <c r="X94" s="2">
        <f t="shared" si="3"/>
        <v>0</v>
      </c>
      <c r="Y94" s="2">
        <f t="shared" si="4"/>
        <v>0</v>
      </c>
      <c r="Z94" s="2">
        <f t="shared" si="5"/>
        <v>0</v>
      </c>
      <c r="AA94" s="2">
        <f t="shared" si="6"/>
        <v>0</v>
      </c>
      <c r="AB94" s="2" t="str">
        <f>IFERROR(VLOOKUP(B94,'Mitglieder BBU'!A:K,12,0),"")</f>
        <v/>
      </c>
      <c r="AC94" s="2">
        <f t="shared" si="7"/>
        <v>0</v>
      </c>
      <c r="AD94" s="2">
        <f t="array" ref="AD94">MIN(IF(D94:U94&lt;&gt;0,D94:U94))</f>
        <v>0</v>
      </c>
    </row>
    <row r="95">
      <c r="A95" s="2">
        <v>92.0</v>
      </c>
      <c r="B95" s="111" t="str">
        <f>Spieler!B97</f>
        <v/>
      </c>
      <c r="D95" s="2" t="str">
        <f>IFERROR(VLOOKUP($B95,Vorrunde!B:H,2,0),)</f>
        <v/>
      </c>
      <c r="E95" s="2" t="str">
        <f>IFERROR(VLOOKUP($B95,Vorrunde!$B:$H,3,0),)</f>
        <v/>
      </c>
      <c r="F95" s="2">
        <f>IFERROR(VLOOKUP($B95,Vorrunde!$B:$H,4,0),0)</f>
        <v>0</v>
      </c>
      <c r="G95" s="2" t="str">
        <f>IFERROR(VLOOKUP($B95,Vorrunde!$B:$H,5,0),)</f>
        <v/>
      </c>
      <c r="H95" s="2" t="str">
        <f>IFERROR(VLOOKUP($B95,Vorrunde!$B:$H,6,0),)</f>
        <v/>
      </c>
      <c r="I95" s="2" t="str">
        <f>IFERROR(VLOOKUP($B95,Vorrunde!$B:$H,7,0),)</f>
        <v/>
      </c>
      <c r="J95" s="2" t="str">
        <f>IFERROR(VLOOKUP($B95,Zwischenlauf!$B:$H,2,0),)</f>
        <v/>
      </c>
      <c r="K95" s="2" t="str">
        <f>IFERROR(VLOOKUP($B95,Zwischenlauf!$B:$H,3,0),)</f>
        <v/>
      </c>
      <c r="L95" s="2" t="str">
        <f>IFERROR(VLOOKUP($B95,Zwischenlauf!$B:$H,4,0),)</f>
        <v/>
      </c>
      <c r="M95" s="2" t="str">
        <f>IFERROR(VLOOKUP($B95,Zwischenlauf!$B:$H,5,0),)</f>
        <v/>
      </c>
      <c r="N95" s="2" t="str">
        <f>IFERROR(VLOOKUP($B95,Zwischenlauf!$B:$H,6,0),)</f>
        <v/>
      </c>
      <c r="O95" s="2" t="str">
        <f>IFERROR(VLOOKUP($B95,Zwischenlauf!$B:$H,7,0),)</f>
        <v/>
      </c>
      <c r="P95" s="2" t="str">
        <f>IFERROR(VLOOKUP($B95,Finalrunde!$B:$H,2,0),)</f>
        <v/>
      </c>
      <c r="Q95" s="2" t="str">
        <f>IFERROR(VLOOKUP($B95,Finalrunde!$B:$H,3,0),)</f>
        <v/>
      </c>
      <c r="R95" s="2" t="str">
        <f>IFERROR(VLOOKUP($B95,Finalrunde!$B:$H,4,0),)</f>
        <v/>
      </c>
      <c r="S95" s="2" t="str">
        <f>IFERROR(VLOOKUP($B95,Finalrunde!$B:$H,5,0),)</f>
        <v/>
      </c>
      <c r="T95" s="2" t="str">
        <f>IFERROR(VLOOKUP($B95,Finalrunde!$B:$H,6,0),)</f>
        <v/>
      </c>
      <c r="U95" s="2" t="str">
        <f>IFERROR(VLOOKUP($B95,Finalrunde!$B:$H,7,0),)</f>
        <v/>
      </c>
      <c r="V95" s="2">
        <f t="shared" si="1"/>
        <v>0</v>
      </c>
      <c r="W95" s="2">
        <f t="shared" si="2"/>
        <v>0</v>
      </c>
      <c r="X95" s="2">
        <f t="shared" si="3"/>
        <v>0</v>
      </c>
      <c r="Y95" s="2">
        <f t="shared" si="4"/>
        <v>0</v>
      </c>
      <c r="Z95" s="2">
        <f t="shared" si="5"/>
        <v>0</v>
      </c>
      <c r="AA95" s="2">
        <f t="shared" si="6"/>
        <v>0</v>
      </c>
      <c r="AB95" s="2" t="str">
        <f>IFERROR(VLOOKUP(B95,'Mitglieder BBU'!A:K,12,0),"")</f>
        <v/>
      </c>
      <c r="AC95" s="2">
        <f t="shared" si="7"/>
        <v>0</v>
      </c>
      <c r="AD95" s="2">
        <f t="array" ref="AD95">MIN(IF(D95:U95&lt;&gt;0,D95:U95))</f>
        <v>0</v>
      </c>
    </row>
    <row r="96">
      <c r="A96" s="2">
        <v>93.0</v>
      </c>
      <c r="B96" s="111" t="str">
        <f>Spieler!B98</f>
        <v/>
      </c>
      <c r="D96" s="2" t="str">
        <f>IFERROR(VLOOKUP($B96,Vorrunde!B:H,2,0),)</f>
        <v/>
      </c>
      <c r="E96" s="2" t="str">
        <f>IFERROR(VLOOKUP($B96,Vorrunde!$B:$H,3,0),)</f>
        <v/>
      </c>
      <c r="F96" s="2">
        <f>IFERROR(VLOOKUP($B96,Vorrunde!$B:$H,4,0),0)</f>
        <v>0</v>
      </c>
      <c r="G96" s="2" t="str">
        <f>IFERROR(VLOOKUP($B96,Vorrunde!$B:$H,5,0),)</f>
        <v/>
      </c>
      <c r="H96" s="2" t="str">
        <f>IFERROR(VLOOKUP($B96,Vorrunde!$B:$H,6,0),)</f>
        <v/>
      </c>
      <c r="I96" s="2" t="str">
        <f>IFERROR(VLOOKUP($B96,Vorrunde!$B:$H,7,0),)</f>
        <v/>
      </c>
      <c r="J96" s="2" t="str">
        <f>IFERROR(VLOOKUP($B96,Zwischenlauf!$B:$H,2,0),)</f>
        <v/>
      </c>
      <c r="K96" s="2" t="str">
        <f>IFERROR(VLOOKUP($B96,Zwischenlauf!$B:$H,3,0),)</f>
        <v/>
      </c>
      <c r="L96" s="2" t="str">
        <f>IFERROR(VLOOKUP($B96,Zwischenlauf!$B:$H,4,0),)</f>
        <v/>
      </c>
      <c r="M96" s="2" t="str">
        <f>IFERROR(VLOOKUP($B96,Zwischenlauf!$B:$H,5,0),)</f>
        <v/>
      </c>
      <c r="N96" s="2" t="str">
        <f>IFERROR(VLOOKUP($B96,Zwischenlauf!$B:$H,6,0),)</f>
        <v/>
      </c>
      <c r="O96" s="2" t="str">
        <f>IFERROR(VLOOKUP($B96,Zwischenlauf!$B:$H,7,0),)</f>
        <v/>
      </c>
      <c r="P96" s="2" t="str">
        <f>IFERROR(VLOOKUP($B96,Finalrunde!$B:$H,2,0),)</f>
        <v/>
      </c>
      <c r="Q96" s="2" t="str">
        <f>IFERROR(VLOOKUP($B96,Finalrunde!$B:$H,3,0),)</f>
        <v/>
      </c>
      <c r="R96" s="2" t="str">
        <f>IFERROR(VLOOKUP($B96,Finalrunde!$B:$H,4,0),)</f>
        <v/>
      </c>
      <c r="S96" s="2" t="str">
        <f>IFERROR(VLOOKUP($B96,Finalrunde!$B:$H,5,0),)</f>
        <v/>
      </c>
      <c r="T96" s="2" t="str">
        <f>IFERROR(VLOOKUP($B96,Finalrunde!$B:$H,6,0),)</f>
        <v/>
      </c>
      <c r="U96" s="2" t="str">
        <f>IFERROR(VLOOKUP($B96,Finalrunde!$B:$H,7,0),)</f>
        <v/>
      </c>
      <c r="V96" s="2">
        <f t="shared" si="1"/>
        <v>0</v>
      </c>
      <c r="W96" s="2">
        <f t="shared" si="2"/>
        <v>0</v>
      </c>
      <c r="X96" s="2">
        <f t="shared" si="3"/>
        <v>0</v>
      </c>
      <c r="Y96" s="2">
        <f t="shared" si="4"/>
        <v>0</v>
      </c>
      <c r="Z96" s="2">
        <f t="shared" si="5"/>
        <v>0</v>
      </c>
      <c r="AA96" s="2">
        <f t="shared" si="6"/>
        <v>0</v>
      </c>
      <c r="AB96" s="2" t="str">
        <f>IFERROR(VLOOKUP(B96,'Mitglieder BBU'!A:K,12,0),"")</f>
        <v/>
      </c>
      <c r="AC96" s="2">
        <f t="shared" si="7"/>
        <v>0</v>
      </c>
      <c r="AD96" s="2">
        <f t="array" ref="AD96">MIN(IF(D96:U96&lt;&gt;0,D96:U96))</f>
        <v>0</v>
      </c>
    </row>
    <row r="97">
      <c r="A97" s="2">
        <v>94.0</v>
      </c>
      <c r="B97" s="111" t="str">
        <f>Spieler!B99</f>
        <v/>
      </c>
      <c r="D97" s="2" t="str">
        <f>IFERROR(VLOOKUP($B97,Vorrunde!B:H,2,0),)</f>
        <v/>
      </c>
      <c r="E97" s="2" t="str">
        <f>IFERROR(VLOOKUP($B97,Vorrunde!$B:$H,3,0),)</f>
        <v/>
      </c>
      <c r="F97" s="2">
        <f>IFERROR(VLOOKUP($B97,Vorrunde!$B:$H,4,0),0)</f>
        <v>0</v>
      </c>
      <c r="G97" s="2" t="str">
        <f>IFERROR(VLOOKUP($B97,Vorrunde!$B:$H,5,0),)</f>
        <v/>
      </c>
      <c r="H97" s="2" t="str">
        <f>IFERROR(VLOOKUP($B97,Vorrunde!$B:$H,6,0),)</f>
        <v/>
      </c>
      <c r="I97" s="2" t="str">
        <f>IFERROR(VLOOKUP($B97,Vorrunde!$B:$H,7,0),)</f>
        <v/>
      </c>
      <c r="J97" s="2" t="str">
        <f>IFERROR(VLOOKUP($B97,Zwischenlauf!$B:$H,2,0),)</f>
        <v/>
      </c>
      <c r="K97" s="2" t="str">
        <f>IFERROR(VLOOKUP($B97,Zwischenlauf!$B:$H,3,0),)</f>
        <v/>
      </c>
      <c r="L97" s="2" t="str">
        <f>IFERROR(VLOOKUP($B97,Zwischenlauf!$B:$H,4,0),)</f>
        <v/>
      </c>
      <c r="M97" s="2" t="str">
        <f>IFERROR(VLOOKUP($B97,Zwischenlauf!$B:$H,5,0),)</f>
        <v/>
      </c>
      <c r="N97" s="2" t="str">
        <f>IFERROR(VLOOKUP($B97,Zwischenlauf!$B:$H,6,0),)</f>
        <v/>
      </c>
      <c r="O97" s="2" t="str">
        <f>IFERROR(VLOOKUP($B97,Zwischenlauf!$B:$H,7,0),)</f>
        <v/>
      </c>
      <c r="P97" s="2" t="str">
        <f>IFERROR(VLOOKUP($B97,Finalrunde!$B:$H,2,0),)</f>
        <v/>
      </c>
      <c r="Q97" s="2" t="str">
        <f>IFERROR(VLOOKUP($B97,Finalrunde!$B:$H,3,0),)</f>
        <v/>
      </c>
      <c r="R97" s="2" t="str">
        <f>IFERROR(VLOOKUP($B97,Finalrunde!$B:$H,4,0),)</f>
        <v/>
      </c>
      <c r="S97" s="2" t="str">
        <f>IFERROR(VLOOKUP($B97,Finalrunde!$B:$H,5,0),)</f>
        <v/>
      </c>
      <c r="T97" s="2" t="str">
        <f>IFERROR(VLOOKUP($B97,Finalrunde!$B:$H,6,0),)</f>
        <v/>
      </c>
      <c r="U97" s="2" t="str">
        <f>IFERROR(VLOOKUP($B97,Finalrunde!$B:$H,7,0),)</f>
        <v/>
      </c>
      <c r="V97" s="2">
        <f t="shared" si="1"/>
        <v>0</v>
      </c>
      <c r="W97" s="2">
        <f t="shared" si="2"/>
        <v>0</v>
      </c>
      <c r="X97" s="2">
        <f t="shared" si="3"/>
        <v>0</v>
      </c>
      <c r="Y97" s="2">
        <f t="shared" si="4"/>
        <v>0</v>
      </c>
      <c r="Z97" s="2">
        <f t="shared" si="5"/>
        <v>0</v>
      </c>
      <c r="AA97" s="2">
        <f t="shared" si="6"/>
        <v>0</v>
      </c>
      <c r="AB97" s="2" t="str">
        <f>IFERROR(VLOOKUP(B97,'Mitglieder BBU'!A:K,12,0),"")</f>
        <v/>
      </c>
      <c r="AC97" s="2">
        <f t="shared" si="7"/>
        <v>0</v>
      </c>
      <c r="AD97" s="2">
        <f t="array" ref="AD97">MIN(IF(D97:U97&lt;&gt;0,D97:U97))</f>
        <v>0</v>
      </c>
    </row>
    <row r="98">
      <c r="A98" s="2">
        <v>95.0</v>
      </c>
      <c r="B98" s="111" t="str">
        <f>Spieler!B100</f>
        <v/>
      </c>
      <c r="D98" s="2" t="str">
        <f>IFERROR(VLOOKUP($B98,Vorrunde!B:H,2,0),)</f>
        <v/>
      </c>
      <c r="E98" s="2" t="str">
        <f>IFERROR(VLOOKUP($B98,Vorrunde!$B:$H,3,0),)</f>
        <v/>
      </c>
      <c r="F98" s="2">
        <f>IFERROR(VLOOKUP($B98,Vorrunde!$B:$H,4,0),0)</f>
        <v>0</v>
      </c>
      <c r="G98" s="2" t="str">
        <f>IFERROR(VLOOKUP($B98,Vorrunde!$B:$H,5,0),)</f>
        <v/>
      </c>
      <c r="H98" s="2" t="str">
        <f>IFERROR(VLOOKUP($B98,Vorrunde!$B:$H,6,0),)</f>
        <v/>
      </c>
      <c r="I98" s="2" t="str">
        <f>IFERROR(VLOOKUP($B98,Vorrunde!$B:$H,7,0),)</f>
        <v/>
      </c>
      <c r="J98" s="2" t="str">
        <f>IFERROR(VLOOKUP($B98,Zwischenlauf!$B:$H,2,0),)</f>
        <v/>
      </c>
      <c r="K98" s="2" t="str">
        <f>IFERROR(VLOOKUP($B98,Zwischenlauf!$B:$H,3,0),)</f>
        <v/>
      </c>
      <c r="L98" s="2" t="str">
        <f>IFERROR(VLOOKUP($B98,Zwischenlauf!$B:$H,4,0),)</f>
        <v/>
      </c>
      <c r="M98" s="2" t="str">
        <f>IFERROR(VLOOKUP($B98,Zwischenlauf!$B:$H,5,0),)</f>
        <v/>
      </c>
      <c r="N98" s="2" t="str">
        <f>IFERROR(VLOOKUP($B98,Zwischenlauf!$B:$H,6,0),)</f>
        <v/>
      </c>
      <c r="O98" s="2" t="str">
        <f>IFERROR(VLOOKUP($B98,Zwischenlauf!$B:$H,7,0),)</f>
        <v/>
      </c>
      <c r="P98" s="2" t="str">
        <f>IFERROR(VLOOKUP($B98,Finalrunde!$B:$H,2,0),)</f>
        <v/>
      </c>
      <c r="Q98" s="2" t="str">
        <f>IFERROR(VLOOKUP($B98,Finalrunde!$B:$H,3,0),)</f>
        <v/>
      </c>
      <c r="R98" s="2" t="str">
        <f>IFERROR(VLOOKUP($B98,Finalrunde!$B:$H,4,0),)</f>
        <v/>
      </c>
      <c r="S98" s="2" t="str">
        <f>IFERROR(VLOOKUP($B98,Finalrunde!$B:$H,5,0),)</f>
        <v/>
      </c>
      <c r="T98" s="2" t="str">
        <f>IFERROR(VLOOKUP($B98,Finalrunde!$B:$H,6,0),)</f>
        <v/>
      </c>
      <c r="U98" s="2" t="str">
        <f>IFERROR(VLOOKUP($B98,Finalrunde!$B:$H,7,0),)</f>
        <v/>
      </c>
      <c r="V98" s="2">
        <f t="shared" si="1"/>
        <v>0</v>
      </c>
      <c r="W98" s="2">
        <f t="shared" si="2"/>
        <v>0</v>
      </c>
      <c r="X98" s="2">
        <f t="shared" si="3"/>
        <v>0</v>
      </c>
      <c r="Y98" s="2">
        <f t="shared" si="4"/>
        <v>0</v>
      </c>
      <c r="Z98" s="2">
        <f t="shared" si="5"/>
        <v>0</v>
      </c>
      <c r="AA98" s="2">
        <f t="shared" si="6"/>
        <v>0</v>
      </c>
      <c r="AB98" s="2" t="str">
        <f>IFERROR(VLOOKUP(B98,'Mitglieder BBU'!A:K,12,0),"")</f>
        <v/>
      </c>
      <c r="AC98" s="2">
        <f t="shared" si="7"/>
        <v>0</v>
      </c>
      <c r="AD98" s="2">
        <f t="array" ref="AD98">MIN(IF(D98:U98&lt;&gt;0,D98:U98))</f>
        <v>0</v>
      </c>
    </row>
    <row r="99">
      <c r="A99" s="2">
        <v>96.0</v>
      </c>
      <c r="B99" s="111" t="str">
        <f>Spieler!B101</f>
        <v/>
      </c>
      <c r="D99" s="2" t="str">
        <f>IFERROR(VLOOKUP($B99,Vorrunde!B:H,2,0),)</f>
        <v/>
      </c>
      <c r="E99" s="2" t="str">
        <f>IFERROR(VLOOKUP($B99,Vorrunde!$B:$H,3,0),)</f>
        <v/>
      </c>
      <c r="F99" s="2">
        <f>IFERROR(VLOOKUP($B99,Vorrunde!$B:$H,4,0),0)</f>
        <v>0</v>
      </c>
      <c r="G99" s="2" t="str">
        <f>IFERROR(VLOOKUP($B99,Vorrunde!$B:$H,5,0),)</f>
        <v/>
      </c>
      <c r="H99" s="2" t="str">
        <f>IFERROR(VLOOKUP($B99,Vorrunde!$B:$H,6,0),)</f>
        <v/>
      </c>
      <c r="I99" s="2" t="str">
        <f>IFERROR(VLOOKUP($B99,Vorrunde!$B:$H,7,0),)</f>
        <v/>
      </c>
      <c r="J99" s="2" t="str">
        <f>IFERROR(VLOOKUP($B99,Zwischenlauf!$B:$H,2,0),)</f>
        <v/>
      </c>
      <c r="K99" s="2" t="str">
        <f>IFERROR(VLOOKUP($B99,Zwischenlauf!$B:$H,3,0),)</f>
        <v/>
      </c>
      <c r="L99" s="2" t="str">
        <f>IFERROR(VLOOKUP($B99,Zwischenlauf!$B:$H,4,0),)</f>
        <v/>
      </c>
      <c r="M99" s="2" t="str">
        <f>IFERROR(VLOOKUP($B99,Zwischenlauf!$B:$H,5,0),)</f>
        <v/>
      </c>
      <c r="N99" s="2" t="str">
        <f>IFERROR(VLOOKUP($B99,Zwischenlauf!$B:$H,6,0),)</f>
        <v/>
      </c>
      <c r="O99" s="2" t="str">
        <f>IFERROR(VLOOKUP($B99,Zwischenlauf!$B:$H,7,0),)</f>
        <v/>
      </c>
      <c r="P99" s="2" t="str">
        <f>IFERROR(VLOOKUP($B99,Finalrunde!$B:$H,2,0),)</f>
        <v/>
      </c>
      <c r="Q99" s="2" t="str">
        <f>IFERROR(VLOOKUP($B99,Finalrunde!$B:$H,3,0),)</f>
        <v/>
      </c>
      <c r="R99" s="2" t="str">
        <f>IFERROR(VLOOKUP($B99,Finalrunde!$B:$H,4,0),)</f>
        <v/>
      </c>
      <c r="S99" s="2" t="str">
        <f>IFERROR(VLOOKUP($B99,Finalrunde!$B:$H,5,0),)</f>
        <v/>
      </c>
      <c r="T99" s="2" t="str">
        <f>IFERROR(VLOOKUP($B99,Finalrunde!$B:$H,6,0),)</f>
        <v/>
      </c>
      <c r="U99" s="2" t="str">
        <f>IFERROR(VLOOKUP($B99,Finalrunde!$B:$H,7,0),)</f>
        <v/>
      </c>
      <c r="V99" s="2">
        <f t="shared" si="1"/>
        <v>0</v>
      </c>
      <c r="W99" s="2">
        <f t="shared" si="2"/>
        <v>0</v>
      </c>
      <c r="X99" s="2">
        <f t="shared" si="3"/>
        <v>0</v>
      </c>
      <c r="Y99" s="2">
        <f t="shared" si="4"/>
        <v>0</v>
      </c>
      <c r="Z99" s="2">
        <f t="shared" si="5"/>
        <v>0</v>
      </c>
      <c r="AA99" s="2">
        <f t="shared" si="6"/>
        <v>0</v>
      </c>
      <c r="AB99" s="2" t="str">
        <f>IFERROR(VLOOKUP(B99,'Mitglieder BBU'!A:K,12,0),"")</f>
        <v/>
      </c>
      <c r="AC99" s="2">
        <f t="shared" si="7"/>
        <v>0</v>
      </c>
      <c r="AD99" s="2">
        <f t="array" ref="AD99">MIN(IF(D99:U99&lt;&gt;0,D99:U99))</f>
        <v>0</v>
      </c>
    </row>
    <row r="100">
      <c r="A100" s="2">
        <v>97.0</v>
      </c>
      <c r="B100" s="111" t="str">
        <f>Spieler!B102</f>
        <v/>
      </c>
      <c r="D100" s="2" t="str">
        <f>IFERROR(VLOOKUP($B100,Vorrunde!B:H,2,0),)</f>
        <v/>
      </c>
      <c r="E100" s="2" t="str">
        <f>IFERROR(VLOOKUP($B100,Vorrunde!$B:$H,3,0),)</f>
        <v/>
      </c>
      <c r="F100" s="2">
        <f>IFERROR(VLOOKUP($B100,Vorrunde!$B:$H,4,0),0)</f>
        <v>0</v>
      </c>
      <c r="G100" s="2" t="str">
        <f>IFERROR(VLOOKUP($B100,Vorrunde!$B:$H,5,0),)</f>
        <v/>
      </c>
      <c r="H100" s="2" t="str">
        <f>IFERROR(VLOOKUP($B100,Vorrunde!$B:$H,6,0),)</f>
        <v/>
      </c>
      <c r="I100" s="2" t="str">
        <f>IFERROR(VLOOKUP($B100,Vorrunde!$B:$H,7,0),)</f>
        <v/>
      </c>
      <c r="J100" s="2" t="str">
        <f>IFERROR(VLOOKUP($B100,Zwischenlauf!$B:$H,2,0),)</f>
        <v/>
      </c>
      <c r="K100" s="2" t="str">
        <f>IFERROR(VLOOKUP($B100,Zwischenlauf!$B:$H,3,0),)</f>
        <v/>
      </c>
      <c r="L100" s="2" t="str">
        <f>IFERROR(VLOOKUP($B100,Zwischenlauf!$B:$H,4,0),)</f>
        <v/>
      </c>
      <c r="M100" s="2" t="str">
        <f>IFERROR(VLOOKUP($B100,Zwischenlauf!$B:$H,5,0),)</f>
        <v/>
      </c>
      <c r="N100" s="2" t="str">
        <f>IFERROR(VLOOKUP($B100,Zwischenlauf!$B:$H,6,0),)</f>
        <v/>
      </c>
      <c r="O100" s="2" t="str">
        <f>IFERROR(VLOOKUP($B100,Zwischenlauf!$B:$H,7,0),)</f>
        <v/>
      </c>
      <c r="P100" s="2" t="str">
        <f>IFERROR(VLOOKUP($B100,Finalrunde!$B:$H,2,0),)</f>
        <v/>
      </c>
      <c r="Q100" s="2" t="str">
        <f>IFERROR(VLOOKUP($B100,Finalrunde!$B:$H,3,0),)</f>
        <v/>
      </c>
      <c r="R100" s="2" t="str">
        <f>IFERROR(VLOOKUP($B100,Finalrunde!$B:$H,4,0),)</f>
        <v/>
      </c>
      <c r="S100" s="2" t="str">
        <f>IFERROR(VLOOKUP($B100,Finalrunde!$B:$H,5,0),)</f>
        <v/>
      </c>
      <c r="T100" s="2" t="str">
        <f>IFERROR(VLOOKUP($B100,Finalrunde!$B:$H,6,0),)</f>
        <v/>
      </c>
      <c r="U100" s="2" t="str">
        <f>IFERROR(VLOOKUP($B100,Finalrunde!$B:$H,7,0),)</f>
        <v/>
      </c>
      <c r="V100" s="2">
        <f t="shared" si="1"/>
        <v>0</v>
      </c>
      <c r="W100" s="2">
        <f t="shared" si="2"/>
        <v>0</v>
      </c>
      <c r="X100" s="2">
        <f t="shared" si="3"/>
        <v>0</v>
      </c>
      <c r="Y100" s="2">
        <f t="shared" si="4"/>
        <v>0</v>
      </c>
      <c r="Z100" s="2">
        <f t="shared" si="5"/>
        <v>0</v>
      </c>
      <c r="AA100" s="2">
        <f t="shared" si="6"/>
        <v>0</v>
      </c>
      <c r="AB100" s="2" t="str">
        <f>IFERROR(VLOOKUP(B100,'Mitglieder BBU'!A:K,12,0),"")</f>
        <v/>
      </c>
      <c r="AC100" s="2">
        <f t="shared" si="7"/>
        <v>0</v>
      </c>
      <c r="AD100" s="2">
        <f t="array" ref="AD100">MIN(IF(D100:U100&lt;&gt;0,D100:U100))</f>
        <v>0</v>
      </c>
    </row>
    <row r="101">
      <c r="A101" s="2">
        <v>98.0</v>
      </c>
      <c r="B101" s="111" t="str">
        <f>Spieler!B103</f>
        <v/>
      </c>
      <c r="D101" s="2" t="str">
        <f>IFERROR(VLOOKUP($B101,Vorrunde!B:H,2,0),)</f>
        <v/>
      </c>
      <c r="E101" s="2" t="str">
        <f>IFERROR(VLOOKUP($B101,Vorrunde!$B:$H,3,0),)</f>
        <v/>
      </c>
      <c r="F101" s="2">
        <f>IFERROR(VLOOKUP($B101,Vorrunde!$B:$H,4,0),0)</f>
        <v>0</v>
      </c>
      <c r="G101" s="2" t="str">
        <f>IFERROR(VLOOKUP($B101,Vorrunde!$B:$H,5,0),)</f>
        <v/>
      </c>
      <c r="H101" s="2" t="str">
        <f>IFERROR(VLOOKUP($B101,Vorrunde!$B:$H,6,0),)</f>
        <v/>
      </c>
      <c r="I101" s="2" t="str">
        <f>IFERROR(VLOOKUP($B101,Vorrunde!$B:$H,7,0),)</f>
        <v/>
      </c>
      <c r="J101" s="2" t="str">
        <f>IFERROR(VLOOKUP($B101,Zwischenlauf!$B:$H,2,0),)</f>
        <v/>
      </c>
      <c r="K101" s="2" t="str">
        <f>IFERROR(VLOOKUP($B101,Zwischenlauf!$B:$H,3,0),)</f>
        <v/>
      </c>
      <c r="L101" s="2" t="str">
        <f>IFERROR(VLOOKUP($B101,Zwischenlauf!$B:$H,4,0),)</f>
        <v/>
      </c>
      <c r="M101" s="2" t="str">
        <f>IFERROR(VLOOKUP($B101,Zwischenlauf!$B:$H,5,0),)</f>
        <v/>
      </c>
      <c r="N101" s="2" t="str">
        <f>IFERROR(VLOOKUP($B101,Zwischenlauf!$B:$H,6,0),)</f>
        <v/>
      </c>
      <c r="O101" s="2" t="str">
        <f>IFERROR(VLOOKUP($B101,Zwischenlauf!$B:$H,7,0),)</f>
        <v/>
      </c>
      <c r="P101" s="2" t="str">
        <f>IFERROR(VLOOKUP($B101,Finalrunde!$B:$H,2,0),)</f>
        <v/>
      </c>
      <c r="Q101" s="2" t="str">
        <f>IFERROR(VLOOKUP($B101,Finalrunde!$B:$H,3,0),)</f>
        <v/>
      </c>
      <c r="R101" s="2" t="str">
        <f>IFERROR(VLOOKUP($B101,Finalrunde!$B:$H,4,0),)</f>
        <v/>
      </c>
      <c r="S101" s="2" t="str">
        <f>IFERROR(VLOOKUP($B101,Finalrunde!$B:$H,5,0),)</f>
        <v/>
      </c>
      <c r="T101" s="2" t="str">
        <f>IFERROR(VLOOKUP($B101,Finalrunde!$B:$H,6,0),)</f>
        <v/>
      </c>
      <c r="U101" s="2" t="str">
        <f>IFERROR(VLOOKUP($B101,Finalrunde!$B:$H,7,0),)</f>
        <v/>
      </c>
      <c r="V101" s="2">
        <f t="shared" si="1"/>
        <v>0</v>
      </c>
      <c r="W101" s="2">
        <f t="shared" si="2"/>
        <v>0</v>
      </c>
      <c r="X101" s="2">
        <f t="shared" si="3"/>
        <v>0</v>
      </c>
      <c r="Y101" s="2">
        <f t="shared" si="4"/>
        <v>0</v>
      </c>
      <c r="Z101" s="2">
        <f t="shared" si="5"/>
        <v>0</v>
      </c>
      <c r="AA101" s="2">
        <f t="shared" si="6"/>
        <v>0</v>
      </c>
      <c r="AB101" s="2" t="str">
        <f>IFERROR(VLOOKUP(B101,'Mitglieder BBU'!A:K,12,0),"")</f>
        <v/>
      </c>
      <c r="AC101" s="2">
        <f t="shared" si="7"/>
        <v>0</v>
      </c>
      <c r="AD101" s="2">
        <f t="array" ref="AD101">MIN(IF(D101:U101&lt;&gt;0,D101:U101))</f>
        <v>0</v>
      </c>
    </row>
    <row r="102">
      <c r="A102" s="2">
        <v>99.0</v>
      </c>
      <c r="B102" s="111" t="str">
        <f>Spieler!B104</f>
        <v/>
      </c>
      <c r="D102" s="2" t="str">
        <f>IFERROR(VLOOKUP($B102,Vorrunde!B:H,2,0),)</f>
        <v/>
      </c>
      <c r="E102" s="2" t="str">
        <f>IFERROR(VLOOKUP($B102,Vorrunde!$B:$H,3,0),)</f>
        <v/>
      </c>
      <c r="F102" s="2">
        <f>IFERROR(VLOOKUP($B102,Vorrunde!$B:$H,4,0),0)</f>
        <v>0</v>
      </c>
      <c r="G102" s="2" t="str">
        <f>IFERROR(VLOOKUP($B102,Vorrunde!$B:$H,5,0),)</f>
        <v/>
      </c>
      <c r="H102" s="2" t="str">
        <f>IFERROR(VLOOKUP($B102,Vorrunde!$B:$H,6,0),)</f>
        <v/>
      </c>
      <c r="I102" s="2" t="str">
        <f>IFERROR(VLOOKUP($B102,Vorrunde!$B:$H,7,0),)</f>
        <v/>
      </c>
      <c r="J102" s="2" t="str">
        <f>IFERROR(VLOOKUP($B102,Zwischenlauf!$B:$H,2,0),)</f>
        <v/>
      </c>
      <c r="K102" s="2" t="str">
        <f>IFERROR(VLOOKUP($B102,Zwischenlauf!$B:$H,3,0),)</f>
        <v/>
      </c>
      <c r="L102" s="2" t="str">
        <f>IFERROR(VLOOKUP($B102,Zwischenlauf!$B:$H,4,0),)</f>
        <v/>
      </c>
      <c r="M102" s="2" t="str">
        <f>IFERROR(VLOOKUP($B102,Zwischenlauf!$B:$H,5,0),)</f>
        <v/>
      </c>
      <c r="N102" s="2" t="str">
        <f>IFERROR(VLOOKUP($B102,Zwischenlauf!$B:$H,6,0),)</f>
        <v/>
      </c>
      <c r="O102" s="2" t="str">
        <f>IFERROR(VLOOKUP($B102,Zwischenlauf!$B:$H,7,0),)</f>
        <v/>
      </c>
      <c r="P102" s="2" t="str">
        <f>IFERROR(VLOOKUP($B102,Finalrunde!$B:$H,2,0),)</f>
        <v/>
      </c>
      <c r="Q102" s="2" t="str">
        <f>IFERROR(VLOOKUP($B102,Finalrunde!$B:$H,3,0),)</f>
        <v/>
      </c>
      <c r="R102" s="2" t="str">
        <f>IFERROR(VLOOKUP($B102,Finalrunde!$B:$H,4,0),)</f>
        <v/>
      </c>
      <c r="S102" s="2" t="str">
        <f>IFERROR(VLOOKUP($B102,Finalrunde!$B:$H,5,0),)</f>
        <v/>
      </c>
      <c r="T102" s="2" t="str">
        <f>IFERROR(VLOOKUP($B102,Finalrunde!$B:$H,6,0),)</f>
        <v/>
      </c>
      <c r="U102" s="2" t="str">
        <f>IFERROR(VLOOKUP($B102,Finalrunde!$B:$H,7,0),)</f>
        <v/>
      </c>
      <c r="V102" s="2">
        <f t="shared" si="1"/>
        <v>0</v>
      </c>
      <c r="W102" s="2">
        <f t="shared" si="2"/>
        <v>0</v>
      </c>
      <c r="X102" s="2">
        <f t="shared" si="3"/>
        <v>0</v>
      </c>
      <c r="Y102" s="2">
        <f t="shared" si="4"/>
        <v>0</v>
      </c>
      <c r="Z102" s="2">
        <f t="shared" si="5"/>
        <v>0</v>
      </c>
      <c r="AA102" s="2">
        <f t="shared" si="6"/>
        <v>0</v>
      </c>
      <c r="AB102" s="2" t="str">
        <f>IFERROR(VLOOKUP(B102,'Mitglieder BBU'!A:K,12,0),"")</f>
        <v/>
      </c>
      <c r="AC102" s="2">
        <f t="shared" si="7"/>
        <v>0</v>
      </c>
      <c r="AD102" s="2">
        <f t="array" ref="AD102">MIN(IF(D102:U102&lt;&gt;0,D102:U102))</f>
        <v>0</v>
      </c>
    </row>
    <row r="103">
      <c r="A103" s="2">
        <v>100.0</v>
      </c>
      <c r="B103" s="111" t="str">
        <f>Spieler!B105</f>
        <v/>
      </c>
      <c r="D103" s="2" t="str">
        <f>IFERROR(VLOOKUP($B103,Vorrunde!B:H,2,0),)</f>
        <v/>
      </c>
      <c r="E103" s="2" t="str">
        <f>IFERROR(VLOOKUP($B103,Vorrunde!$B:$H,3,0),)</f>
        <v/>
      </c>
      <c r="F103" s="2">
        <f>IFERROR(VLOOKUP($B103,Vorrunde!$B:$H,4,0),0)</f>
        <v>0</v>
      </c>
      <c r="G103" s="2" t="str">
        <f>IFERROR(VLOOKUP($B103,Vorrunde!$B:$H,5,0),)</f>
        <v/>
      </c>
      <c r="H103" s="2" t="str">
        <f>IFERROR(VLOOKUP($B103,Vorrunde!$B:$H,6,0),)</f>
        <v/>
      </c>
      <c r="I103" s="2" t="str">
        <f>IFERROR(VLOOKUP($B103,Vorrunde!$B:$H,7,0),)</f>
        <v/>
      </c>
      <c r="J103" s="2" t="str">
        <f>IFERROR(VLOOKUP($B103,Zwischenlauf!$B:$H,2,0),)</f>
        <v/>
      </c>
      <c r="K103" s="2" t="str">
        <f>IFERROR(VLOOKUP($B103,Zwischenlauf!$B:$H,3,0),)</f>
        <v/>
      </c>
      <c r="L103" s="2" t="str">
        <f>IFERROR(VLOOKUP($B103,Zwischenlauf!$B:$H,4,0),)</f>
        <v/>
      </c>
      <c r="M103" s="2" t="str">
        <f>IFERROR(VLOOKUP($B103,Zwischenlauf!$B:$H,5,0),)</f>
        <v/>
      </c>
      <c r="N103" s="2" t="str">
        <f>IFERROR(VLOOKUP($B103,Zwischenlauf!$B:$H,6,0),)</f>
        <v/>
      </c>
      <c r="O103" s="2" t="str">
        <f>IFERROR(VLOOKUP($B103,Zwischenlauf!$B:$H,7,0),)</f>
        <v/>
      </c>
      <c r="P103" s="2" t="str">
        <f>IFERROR(VLOOKUP($B103,Finalrunde!$B:$H,2,0),)</f>
        <v/>
      </c>
      <c r="Q103" s="2" t="str">
        <f>IFERROR(VLOOKUP($B103,Finalrunde!$B:$H,3,0),)</f>
        <v/>
      </c>
      <c r="R103" s="2" t="str">
        <f>IFERROR(VLOOKUP($B103,Finalrunde!$B:$H,4,0),)</f>
        <v/>
      </c>
      <c r="S103" s="2" t="str">
        <f>IFERROR(VLOOKUP($B103,Finalrunde!$B:$H,5,0),)</f>
        <v/>
      </c>
      <c r="T103" s="2" t="str">
        <f>IFERROR(VLOOKUP($B103,Finalrunde!$B:$H,6,0),)</f>
        <v/>
      </c>
      <c r="U103" s="2" t="str">
        <f>IFERROR(VLOOKUP($B103,Finalrunde!$B:$H,7,0),)</f>
        <v/>
      </c>
      <c r="V103" s="2">
        <f t="shared" si="1"/>
        <v>0</v>
      </c>
      <c r="W103" s="2">
        <f t="shared" si="2"/>
        <v>0</v>
      </c>
      <c r="X103" s="2">
        <f t="shared" si="3"/>
        <v>0</v>
      </c>
      <c r="Y103" s="2">
        <f t="shared" si="4"/>
        <v>0</v>
      </c>
      <c r="Z103" s="2">
        <f t="shared" si="5"/>
        <v>0</v>
      </c>
      <c r="AA103" s="2">
        <f t="shared" si="6"/>
        <v>0</v>
      </c>
      <c r="AB103" s="2" t="str">
        <f>IFERROR(VLOOKUP(B103,'Mitglieder BBU'!A:K,12,0),"")</f>
        <v/>
      </c>
      <c r="AC103" s="2">
        <f t="shared" si="7"/>
        <v>0</v>
      </c>
      <c r="AD103" s="2">
        <f t="array" ref="AD103">MIN(IF(D103:U103&lt;&gt;0,D103:U103))</f>
        <v>0</v>
      </c>
    </row>
    <row r="104">
      <c r="A104" s="2">
        <v>101.0</v>
      </c>
      <c r="B104" s="111" t="str">
        <f>Spieler!B106</f>
        <v/>
      </c>
      <c r="D104" s="2" t="str">
        <f>IFERROR(VLOOKUP($B104,Vorrunde!B:H,2,0),)</f>
        <v/>
      </c>
      <c r="E104" s="2" t="str">
        <f>IFERROR(VLOOKUP($B104,Vorrunde!$B:$H,3,0),)</f>
        <v/>
      </c>
      <c r="F104" s="2">
        <f>IFERROR(VLOOKUP($B104,Vorrunde!$B:$H,4,0),0)</f>
        <v>0</v>
      </c>
      <c r="G104" s="2" t="str">
        <f>IFERROR(VLOOKUP($B104,Vorrunde!$B:$H,5,0),)</f>
        <v/>
      </c>
      <c r="H104" s="2" t="str">
        <f>IFERROR(VLOOKUP($B104,Vorrunde!$B:$H,6,0),)</f>
        <v/>
      </c>
      <c r="I104" s="2" t="str">
        <f>IFERROR(VLOOKUP($B104,Vorrunde!$B:$H,7,0),)</f>
        <v/>
      </c>
      <c r="J104" s="2" t="str">
        <f>IFERROR(VLOOKUP($B104,Zwischenlauf!$B:$H,2,0),)</f>
        <v/>
      </c>
      <c r="K104" s="2" t="str">
        <f>IFERROR(VLOOKUP($B104,Zwischenlauf!$B:$H,3,0),)</f>
        <v/>
      </c>
      <c r="L104" s="2" t="str">
        <f>IFERROR(VLOOKUP($B104,Zwischenlauf!$B:$H,4,0),)</f>
        <v/>
      </c>
      <c r="M104" s="2" t="str">
        <f>IFERROR(VLOOKUP($B104,Zwischenlauf!$B:$H,5,0),)</f>
        <v/>
      </c>
      <c r="N104" s="2" t="str">
        <f>IFERROR(VLOOKUP($B104,Zwischenlauf!$B:$H,6,0),)</f>
        <v/>
      </c>
      <c r="O104" s="2" t="str">
        <f>IFERROR(VLOOKUP($B104,Zwischenlauf!$B:$H,7,0),)</f>
        <v/>
      </c>
      <c r="P104" s="2" t="str">
        <f>IFERROR(VLOOKUP($B104,Finalrunde!$B:$H,2,0),)</f>
        <v/>
      </c>
      <c r="Q104" s="2" t="str">
        <f>IFERROR(VLOOKUP($B104,Finalrunde!$B:$H,3,0),)</f>
        <v/>
      </c>
      <c r="R104" s="2" t="str">
        <f>IFERROR(VLOOKUP($B104,Finalrunde!$B:$H,4,0),)</f>
        <v/>
      </c>
      <c r="S104" s="2" t="str">
        <f>IFERROR(VLOOKUP($B104,Finalrunde!$B:$H,5,0),)</f>
        <v/>
      </c>
      <c r="T104" s="2" t="str">
        <f>IFERROR(VLOOKUP($B104,Finalrunde!$B:$H,6,0),)</f>
        <v/>
      </c>
      <c r="U104" s="2" t="str">
        <f>IFERROR(VLOOKUP($B104,Finalrunde!$B:$H,7,0),)</f>
        <v/>
      </c>
      <c r="V104" s="2">
        <f t="shared" si="1"/>
        <v>0</v>
      </c>
      <c r="W104" s="2">
        <f t="shared" si="2"/>
        <v>0</v>
      </c>
      <c r="X104" s="2">
        <f t="shared" si="3"/>
        <v>0</v>
      </c>
      <c r="Y104" s="2">
        <f t="shared" si="4"/>
        <v>0</v>
      </c>
      <c r="Z104" s="2">
        <f t="shared" si="5"/>
        <v>0</v>
      </c>
      <c r="AA104" s="2">
        <f t="shared" si="6"/>
        <v>0</v>
      </c>
      <c r="AB104" s="2" t="str">
        <f>IFERROR(VLOOKUP(B104,'Mitglieder BBU'!A:K,12,0),"")</f>
        <v/>
      </c>
      <c r="AC104" s="2">
        <f t="shared" si="7"/>
        <v>0</v>
      </c>
      <c r="AD104" s="2">
        <f t="array" ref="AD104">MIN(IF(D104:U104&lt;&gt;0,D104:U104))</f>
        <v>0</v>
      </c>
    </row>
    <row r="105">
      <c r="A105" s="2">
        <v>102.0</v>
      </c>
      <c r="B105" s="111" t="str">
        <f>Spieler!B107</f>
        <v/>
      </c>
      <c r="D105" s="2" t="str">
        <f>IFERROR(VLOOKUP($B105,Vorrunde!B:H,2,0),)</f>
        <v/>
      </c>
      <c r="E105" s="2" t="str">
        <f>IFERROR(VLOOKUP($B105,Vorrunde!$B:$H,3,0),)</f>
        <v/>
      </c>
      <c r="F105" s="2">
        <f>IFERROR(VLOOKUP($B105,Vorrunde!$B:$H,4,0),0)</f>
        <v>0</v>
      </c>
      <c r="G105" s="2" t="str">
        <f>IFERROR(VLOOKUP($B105,Vorrunde!$B:$H,5,0),)</f>
        <v/>
      </c>
      <c r="H105" s="2" t="str">
        <f>IFERROR(VLOOKUP($B105,Vorrunde!$B:$H,6,0),)</f>
        <v/>
      </c>
      <c r="I105" s="2" t="str">
        <f>IFERROR(VLOOKUP($B105,Vorrunde!$B:$H,7,0),)</f>
        <v/>
      </c>
      <c r="J105" s="2" t="str">
        <f>IFERROR(VLOOKUP($B105,Zwischenlauf!$B:$H,2,0),)</f>
        <v/>
      </c>
      <c r="K105" s="2" t="str">
        <f>IFERROR(VLOOKUP($B105,Zwischenlauf!$B:$H,3,0),)</f>
        <v/>
      </c>
      <c r="L105" s="2" t="str">
        <f>IFERROR(VLOOKUP($B105,Zwischenlauf!$B:$H,4,0),)</f>
        <v/>
      </c>
      <c r="M105" s="2" t="str">
        <f>IFERROR(VLOOKUP($B105,Zwischenlauf!$B:$H,5,0),)</f>
        <v/>
      </c>
      <c r="N105" s="2" t="str">
        <f>IFERROR(VLOOKUP($B105,Zwischenlauf!$B:$H,6,0),)</f>
        <v/>
      </c>
      <c r="O105" s="2" t="str">
        <f>IFERROR(VLOOKUP($B105,Zwischenlauf!$B:$H,7,0),)</f>
        <v/>
      </c>
      <c r="P105" s="2" t="str">
        <f>IFERROR(VLOOKUP($B105,Finalrunde!$B:$H,2,0),)</f>
        <v/>
      </c>
      <c r="Q105" s="2" t="str">
        <f>IFERROR(VLOOKUP($B105,Finalrunde!$B:$H,3,0),)</f>
        <v/>
      </c>
      <c r="R105" s="2" t="str">
        <f>IFERROR(VLOOKUP($B105,Finalrunde!$B:$H,4,0),)</f>
        <v/>
      </c>
      <c r="S105" s="2" t="str">
        <f>IFERROR(VLOOKUP($B105,Finalrunde!$B:$H,5,0),)</f>
        <v/>
      </c>
      <c r="T105" s="2" t="str">
        <f>IFERROR(VLOOKUP($B105,Finalrunde!$B:$H,6,0),)</f>
        <v/>
      </c>
      <c r="U105" s="2" t="str">
        <f>IFERROR(VLOOKUP($B105,Finalrunde!$B:$H,7,0),)</f>
        <v/>
      </c>
      <c r="V105" s="2">
        <f t="shared" si="1"/>
        <v>0</v>
      </c>
      <c r="W105" s="2">
        <f t="shared" si="2"/>
        <v>0</v>
      </c>
      <c r="X105" s="2">
        <f t="shared" si="3"/>
        <v>0</v>
      </c>
      <c r="Y105" s="2">
        <f t="shared" si="4"/>
        <v>0</v>
      </c>
      <c r="Z105" s="2">
        <f t="shared" si="5"/>
        <v>0</v>
      </c>
      <c r="AA105" s="2">
        <f t="shared" si="6"/>
        <v>0</v>
      </c>
      <c r="AB105" s="2" t="str">
        <f>IFERROR(VLOOKUP(B105,'Mitglieder BBU'!A:K,12,0),"")</f>
        <v/>
      </c>
      <c r="AC105" s="2">
        <f t="shared" si="7"/>
        <v>0</v>
      </c>
      <c r="AD105" s="2">
        <f t="array" ref="AD105">MIN(IF(D105:U105&lt;&gt;0,D105:U105))</f>
        <v>0</v>
      </c>
    </row>
    <row r="106">
      <c r="A106" s="2">
        <v>103.0</v>
      </c>
      <c r="B106" s="111" t="str">
        <f>Spieler!B108</f>
        <v/>
      </c>
      <c r="D106" s="2" t="str">
        <f>IFERROR(VLOOKUP($B106,Vorrunde!B:H,2,0),)</f>
        <v/>
      </c>
      <c r="E106" s="2" t="str">
        <f>IFERROR(VLOOKUP($B106,Vorrunde!$B:$H,3,0),)</f>
        <v/>
      </c>
      <c r="F106" s="2">
        <f>IFERROR(VLOOKUP($B106,Vorrunde!$B:$H,4,0),0)</f>
        <v>0</v>
      </c>
      <c r="G106" s="2" t="str">
        <f>IFERROR(VLOOKUP($B106,Vorrunde!$B:$H,5,0),)</f>
        <v/>
      </c>
      <c r="H106" s="2" t="str">
        <f>IFERROR(VLOOKUP($B106,Vorrunde!$B:$H,6,0),)</f>
        <v/>
      </c>
      <c r="I106" s="2" t="str">
        <f>IFERROR(VLOOKUP($B106,Vorrunde!$B:$H,7,0),)</f>
        <v/>
      </c>
      <c r="J106" s="2" t="str">
        <f>IFERROR(VLOOKUP($B106,Zwischenlauf!$B:$H,2,0),)</f>
        <v/>
      </c>
      <c r="K106" s="2" t="str">
        <f>IFERROR(VLOOKUP($B106,Zwischenlauf!$B:$H,3,0),)</f>
        <v/>
      </c>
      <c r="L106" s="2" t="str">
        <f>IFERROR(VLOOKUP($B106,Zwischenlauf!$B:$H,4,0),)</f>
        <v/>
      </c>
      <c r="M106" s="2" t="str">
        <f>IFERROR(VLOOKUP($B106,Zwischenlauf!$B:$H,5,0),)</f>
        <v/>
      </c>
      <c r="N106" s="2" t="str">
        <f>IFERROR(VLOOKUP($B106,Zwischenlauf!$B:$H,6,0),)</f>
        <v/>
      </c>
      <c r="O106" s="2" t="str">
        <f>IFERROR(VLOOKUP($B106,Zwischenlauf!$B:$H,7,0),)</f>
        <v/>
      </c>
      <c r="P106" s="2" t="str">
        <f>IFERROR(VLOOKUP($B106,Finalrunde!$B:$H,2,0),)</f>
        <v/>
      </c>
      <c r="Q106" s="2" t="str">
        <f>IFERROR(VLOOKUP($B106,Finalrunde!$B:$H,3,0),)</f>
        <v/>
      </c>
      <c r="R106" s="2" t="str">
        <f>IFERROR(VLOOKUP($B106,Finalrunde!$B:$H,4,0),)</f>
        <v/>
      </c>
      <c r="S106" s="2" t="str">
        <f>IFERROR(VLOOKUP($B106,Finalrunde!$B:$H,5,0),)</f>
        <v/>
      </c>
      <c r="T106" s="2" t="str">
        <f>IFERROR(VLOOKUP($B106,Finalrunde!$B:$H,6,0),)</f>
        <v/>
      </c>
      <c r="U106" s="2" t="str">
        <f>IFERROR(VLOOKUP($B106,Finalrunde!$B:$H,7,0),)</f>
        <v/>
      </c>
      <c r="V106" s="2">
        <f t="shared" si="1"/>
        <v>0</v>
      </c>
      <c r="W106" s="2">
        <f t="shared" si="2"/>
        <v>0</v>
      </c>
      <c r="X106" s="2">
        <f t="shared" si="3"/>
        <v>0</v>
      </c>
      <c r="Y106" s="2">
        <f t="shared" si="4"/>
        <v>0</v>
      </c>
      <c r="Z106" s="2">
        <f t="shared" si="5"/>
        <v>0</v>
      </c>
      <c r="AA106" s="2">
        <f t="shared" si="6"/>
        <v>0</v>
      </c>
      <c r="AB106" s="2" t="str">
        <f>IFERROR(VLOOKUP(B106,'Mitglieder BBU'!A:K,12,0),"")</f>
        <v/>
      </c>
      <c r="AC106" s="2">
        <f t="shared" si="7"/>
        <v>0</v>
      </c>
      <c r="AD106" s="2">
        <f t="array" ref="AD106">MIN(IF(D106:U106&lt;&gt;0,D106:U106))</f>
        <v>0</v>
      </c>
    </row>
    <row r="107">
      <c r="A107" s="2">
        <v>104.0</v>
      </c>
      <c r="B107" s="111" t="str">
        <f>Spieler!B109</f>
        <v/>
      </c>
      <c r="D107" s="2" t="str">
        <f>IFERROR(VLOOKUP($B107,Vorrunde!B:H,2,0),)</f>
        <v/>
      </c>
      <c r="E107" s="2" t="str">
        <f>IFERROR(VLOOKUP($B107,Vorrunde!$B:$H,3,0),)</f>
        <v/>
      </c>
      <c r="F107" s="2">
        <f>IFERROR(VLOOKUP($B107,Vorrunde!$B:$H,4,0),0)</f>
        <v>0</v>
      </c>
      <c r="G107" s="2" t="str">
        <f>IFERROR(VLOOKUP($B107,Vorrunde!$B:$H,5,0),)</f>
        <v/>
      </c>
      <c r="H107" s="2" t="str">
        <f>IFERROR(VLOOKUP($B107,Vorrunde!$B:$H,6,0),)</f>
        <v/>
      </c>
      <c r="I107" s="2" t="str">
        <f>IFERROR(VLOOKUP($B107,Vorrunde!$B:$H,7,0),)</f>
        <v/>
      </c>
      <c r="J107" s="2" t="str">
        <f>IFERROR(VLOOKUP($B107,Zwischenlauf!$B:$H,2,0),)</f>
        <v/>
      </c>
      <c r="K107" s="2" t="str">
        <f>IFERROR(VLOOKUP($B107,Zwischenlauf!$B:$H,3,0),)</f>
        <v/>
      </c>
      <c r="L107" s="2" t="str">
        <f>IFERROR(VLOOKUP($B107,Zwischenlauf!$B:$H,4,0),)</f>
        <v/>
      </c>
      <c r="M107" s="2" t="str">
        <f>IFERROR(VLOOKUP($B107,Zwischenlauf!$B:$H,5,0),)</f>
        <v/>
      </c>
      <c r="N107" s="2" t="str">
        <f>IFERROR(VLOOKUP($B107,Zwischenlauf!$B:$H,6,0),)</f>
        <v/>
      </c>
      <c r="O107" s="2" t="str">
        <f>IFERROR(VLOOKUP($B107,Zwischenlauf!$B:$H,7,0),)</f>
        <v/>
      </c>
      <c r="P107" s="2" t="str">
        <f>IFERROR(VLOOKUP($B107,Finalrunde!$B:$H,2,0),)</f>
        <v/>
      </c>
      <c r="Q107" s="2" t="str">
        <f>IFERROR(VLOOKUP($B107,Finalrunde!$B:$H,3,0),)</f>
        <v/>
      </c>
      <c r="R107" s="2" t="str">
        <f>IFERROR(VLOOKUP($B107,Finalrunde!$B:$H,4,0),)</f>
        <v/>
      </c>
      <c r="S107" s="2" t="str">
        <f>IFERROR(VLOOKUP($B107,Finalrunde!$B:$H,5,0),)</f>
        <v/>
      </c>
      <c r="T107" s="2" t="str">
        <f>IFERROR(VLOOKUP($B107,Finalrunde!$B:$H,6,0),)</f>
        <v/>
      </c>
      <c r="U107" s="2" t="str">
        <f>IFERROR(VLOOKUP($B107,Finalrunde!$B:$H,7,0),)</f>
        <v/>
      </c>
      <c r="V107" s="2">
        <f t="shared" si="1"/>
        <v>0</v>
      </c>
      <c r="W107" s="2">
        <f t="shared" si="2"/>
        <v>0</v>
      </c>
      <c r="X107" s="2">
        <f t="shared" si="3"/>
        <v>0</v>
      </c>
      <c r="Y107" s="2">
        <f t="shared" si="4"/>
        <v>0</v>
      </c>
      <c r="Z107" s="2">
        <f t="shared" si="5"/>
        <v>0</v>
      </c>
      <c r="AA107" s="2">
        <f t="shared" si="6"/>
        <v>0</v>
      </c>
      <c r="AB107" s="2" t="str">
        <f>IFERROR(VLOOKUP(B107,'Mitglieder BBU'!A:K,12,0),"")</f>
        <v/>
      </c>
      <c r="AC107" s="2">
        <f t="shared" si="7"/>
        <v>0</v>
      </c>
      <c r="AD107" s="2">
        <f t="array" ref="AD107">MIN(IF(D107:U107&lt;&gt;0,D107:U107))</f>
        <v>0</v>
      </c>
    </row>
    <row r="108">
      <c r="A108" s="2">
        <v>105.0</v>
      </c>
      <c r="B108" s="111" t="str">
        <f>Spieler!B110</f>
        <v/>
      </c>
      <c r="D108" s="2" t="str">
        <f>IFERROR(VLOOKUP($B108,Vorrunde!B:H,2,0),)</f>
        <v/>
      </c>
      <c r="E108" s="2" t="str">
        <f>IFERROR(VLOOKUP($B108,Vorrunde!$B:$H,3,0),)</f>
        <v/>
      </c>
      <c r="F108" s="2">
        <f>IFERROR(VLOOKUP($B108,Vorrunde!$B:$H,4,0),0)</f>
        <v>0</v>
      </c>
      <c r="G108" s="2" t="str">
        <f>IFERROR(VLOOKUP($B108,Vorrunde!$B:$H,5,0),)</f>
        <v/>
      </c>
      <c r="H108" s="2" t="str">
        <f>IFERROR(VLOOKUP($B108,Vorrunde!$B:$H,6,0),)</f>
        <v/>
      </c>
      <c r="I108" s="2" t="str">
        <f>IFERROR(VLOOKUP($B108,Vorrunde!$B:$H,7,0),)</f>
        <v/>
      </c>
      <c r="J108" s="2" t="str">
        <f>IFERROR(VLOOKUP($B108,Zwischenlauf!$B:$H,2,0),)</f>
        <v/>
      </c>
      <c r="K108" s="2" t="str">
        <f>IFERROR(VLOOKUP($B108,Zwischenlauf!$B:$H,3,0),)</f>
        <v/>
      </c>
      <c r="L108" s="2" t="str">
        <f>IFERROR(VLOOKUP($B108,Zwischenlauf!$B:$H,4,0),)</f>
        <v/>
      </c>
      <c r="M108" s="2" t="str">
        <f>IFERROR(VLOOKUP($B108,Zwischenlauf!$B:$H,5,0),)</f>
        <v/>
      </c>
      <c r="N108" s="2" t="str">
        <f>IFERROR(VLOOKUP($B108,Zwischenlauf!$B:$H,6,0),)</f>
        <v/>
      </c>
      <c r="O108" s="2" t="str">
        <f>IFERROR(VLOOKUP($B108,Zwischenlauf!$B:$H,7,0),)</f>
        <v/>
      </c>
      <c r="P108" s="2" t="str">
        <f>IFERROR(VLOOKUP($B108,Finalrunde!$B:$H,2,0),)</f>
        <v/>
      </c>
      <c r="Q108" s="2" t="str">
        <f>IFERROR(VLOOKUP($B108,Finalrunde!$B:$H,3,0),)</f>
        <v/>
      </c>
      <c r="R108" s="2" t="str">
        <f>IFERROR(VLOOKUP($B108,Finalrunde!$B:$H,4,0),)</f>
        <v/>
      </c>
      <c r="S108" s="2" t="str">
        <f>IFERROR(VLOOKUP($B108,Finalrunde!$B:$H,5,0),)</f>
        <v/>
      </c>
      <c r="T108" s="2" t="str">
        <f>IFERROR(VLOOKUP($B108,Finalrunde!$B:$H,6,0),)</f>
        <v/>
      </c>
      <c r="U108" s="2" t="str">
        <f>IFERROR(VLOOKUP($B108,Finalrunde!$B:$H,7,0),)</f>
        <v/>
      </c>
      <c r="V108" s="2">
        <f t="shared" si="1"/>
        <v>0</v>
      </c>
      <c r="W108" s="2">
        <f t="shared" si="2"/>
        <v>0</v>
      </c>
      <c r="X108" s="2">
        <f t="shared" si="3"/>
        <v>0</v>
      </c>
      <c r="Y108" s="2">
        <f t="shared" si="4"/>
        <v>0</v>
      </c>
      <c r="Z108" s="2">
        <f t="shared" si="5"/>
        <v>0</v>
      </c>
      <c r="AA108" s="2">
        <f t="shared" si="6"/>
        <v>0</v>
      </c>
      <c r="AB108" s="2" t="str">
        <f>IFERROR(VLOOKUP(B108,'Mitglieder BBU'!A:K,12,0),"")</f>
        <v/>
      </c>
      <c r="AC108" s="2">
        <f t="shared" si="7"/>
        <v>0</v>
      </c>
      <c r="AD108" s="2">
        <f t="array" ref="AD108">MIN(IF(D108:U108&lt;&gt;0,D108:U108))</f>
        <v>0</v>
      </c>
    </row>
    <row r="109">
      <c r="A109" s="2">
        <v>106.0</v>
      </c>
      <c r="B109" s="111" t="str">
        <f>Spieler!B111</f>
        <v/>
      </c>
      <c r="D109" s="2" t="str">
        <f>IFERROR(VLOOKUP($B109,Vorrunde!B:H,2,0),)</f>
        <v/>
      </c>
      <c r="E109" s="2" t="str">
        <f>IFERROR(VLOOKUP($B109,Vorrunde!$B:$H,3,0),)</f>
        <v/>
      </c>
      <c r="F109" s="2">
        <f>IFERROR(VLOOKUP($B109,Vorrunde!$B:$H,4,0),0)</f>
        <v>0</v>
      </c>
      <c r="G109" s="2" t="str">
        <f>IFERROR(VLOOKUP($B109,Vorrunde!$B:$H,5,0),)</f>
        <v/>
      </c>
      <c r="H109" s="2" t="str">
        <f>IFERROR(VLOOKUP($B109,Vorrunde!$B:$H,6,0),)</f>
        <v/>
      </c>
      <c r="I109" s="2" t="str">
        <f>IFERROR(VLOOKUP($B109,Vorrunde!$B:$H,7,0),)</f>
        <v/>
      </c>
      <c r="J109" s="2" t="str">
        <f>IFERROR(VLOOKUP($B109,Zwischenlauf!$B:$H,2,0),)</f>
        <v/>
      </c>
      <c r="K109" s="2" t="str">
        <f>IFERROR(VLOOKUP($B109,Zwischenlauf!$B:$H,3,0),)</f>
        <v/>
      </c>
      <c r="L109" s="2" t="str">
        <f>IFERROR(VLOOKUP($B109,Zwischenlauf!$B:$H,4,0),)</f>
        <v/>
      </c>
      <c r="M109" s="2" t="str">
        <f>IFERROR(VLOOKUP($B109,Zwischenlauf!$B:$H,5,0),)</f>
        <v/>
      </c>
      <c r="N109" s="2" t="str">
        <f>IFERROR(VLOOKUP($B109,Zwischenlauf!$B:$H,6,0),)</f>
        <v/>
      </c>
      <c r="O109" s="2" t="str">
        <f>IFERROR(VLOOKUP($B109,Zwischenlauf!$B:$H,7,0),)</f>
        <v/>
      </c>
      <c r="P109" s="2" t="str">
        <f>IFERROR(VLOOKUP($B109,Finalrunde!$B:$H,2,0),)</f>
        <v/>
      </c>
      <c r="Q109" s="2" t="str">
        <f>IFERROR(VLOOKUP($B109,Finalrunde!$B:$H,3,0),)</f>
        <v/>
      </c>
      <c r="R109" s="2" t="str">
        <f>IFERROR(VLOOKUP($B109,Finalrunde!$B:$H,4,0),)</f>
        <v/>
      </c>
      <c r="S109" s="2" t="str">
        <f>IFERROR(VLOOKUP($B109,Finalrunde!$B:$H,5,0),)</f>
        <v/>
      </c>
      <c r="T109" s="2" t="str">
        <f>IFERROR(VLOOKUP($B109,Finalrunde!$B:$H,6,0),)</f>
        <v/>
      </c>
      <c r="U109" s="2" t="str">
        <f>IFERROR(VLOOKUP($B109,Finalrunde!$B:$H,7,0),)</f>
        <v/>
      </c>
      <c r="V109" s="2">
        <f t="shared" si="1"/>
        <v>0</v>
      </c>
      <c r="W109" s="2">
        <f t="shared" si="2"/>
        <v>0</v>
      </c>
      <c r="X109" s="2">
        <f t="shared" si="3"/>
        <v>0</v>
      </c>
      <c r="Y109" s="2">
        <f t="shared" si="4"/>
        <v>0</v>
      </c>
      <c r="Z109" s="2">
        <f t="shared" si="5"/>
        <v>0</v>
      </c>
      <c r="AA109" s="2">
        <f t="shared" si="6"/>
        <v>0</v>
      </c>
      <c r="AB109" s="2" t="str">
        <f>IFERROR(VLOOKUP(B109,'Mitglieder BBU'!A:K,12,0),"")</f>
        <v/>
      </c>
      <c r="AC109" s="2">
        <f t="shared" si="7"/>
        <v>0</v>
      </c>
      <c r="AD109" s="2">
        <f t="array" ref="AD109">MIN(IF(D109:U109&lt;&gt;0,D109:U109))</f>
        <v>0</v>
      </c>
    </row>
    <row r="110">
      <c r="A110" s="2">
        <v>107.0</v>
      </c>
      <c r="B110" s="111" t="str">
        <f>Spieler!B112</f>
        <v/>
      </c>
      <c r="D110" s="2" t="str">
        <f>IFERROR(VLOOKUP($B110,Vorrunde!B:H,2,0),)</f>
        <v/>
      </c>
      <c r="E110" s="2" t="str">
        <f>IFERROR(VLOOKUP($B110,Vorrunde!$B:$H,3,0),)</f>
        <v/>
      </c>
      <c r="F110" s="2">
        <f>IFERROR(VLOOKUP($B110,Vorrunde!$B:$H,4,0),0)</f>
        <v>0</v>
      </c>
      <c r="G110" s="2" t="str">
        <f>IFERROR(VLOOKUP($B110,Vorrunde!$B:$H,5,0),)</f>
        <v/>
      </c>
      <c r="H110" s="2" t="str">
        <f>IFERROR(VLOOKUP($B110,Vorrunde!$B:$H,6,0),)</f>
        <v/>
      </c>
      <c r="I110" s="2" t="str">
        <f>IFERROR(VLOOKUP($B110,Vorrunde!$B:$H,7,0),)</f>
        <v/>
      </c>
      <c r="J110" s="2" t="str">
        <f>IFERROR(VLOOKUP($B110,Zwischenlauf!$B:$H,2,0),)</f>
        <v/>
      </c>
      <c r="K110" s="2" t="str">
        <f>IFERROR(VLOOKUP($B110,Zwischenlauf!$B:$H,3,0),)</f>
        <v/>
      </c>
      <c r="L110" s="2" t="str">
        <f>IFERROR(VLOOKUP($B110,Zwischenlauf!$B:$H,4,0),)</f>
        <v/>
      </c>
      <c r="M110" s="2" t="str">
        <f>IFERROR(VLOOKUP($B110,Zwischenlauf!$B:$H,5,0),)</f>
        <v/>
      </c>
      <c r="N110" s="2" t="str">
        <f>IFERROR(VLOOKUP($B110,Zwischenlauf!$B:$H,6,0),)</f>
        <v/>
      </c>
      <c r="O110" s="2" t="str">
        <f>IFERROR(VLOOKUP($B110,Zwischenlauf!$B:$H,7,0),)</f>
        <v/>
      </c>
      <c r="P110" s="2" t="str">
        <f>IFERROR(VLOOKUP($B110,Finalrunde!$B:$H,2,0),)</f>
        <v/>
      </c>
      <c r="Q110" s="2" t="str">
        <f>IFERROR(VLOOKUP($B110,Finalrunde!$B:$H,3,0),)</f>
        <v/>
      </c>
      <c r="R110" s="2" t="str">
        <f>IFERROR(VLOOKUP($B110,Finalrunde!$B:$H,4,0),)</f>
        <v/>
      </c>
      <c r="S110" s="2" t="str">
        <f>IFERROR(VLOOKUP($B110,Finalrunde!$B:$H,5,0),)</f>
        <v/>
      </c>
      <c r="T110" s="2" t="str">
        <f>IFERROR(VLOOKUP($B110,Finalrunde!$B:$H,6,0),)</f>
        <v/>
      </c>
      <c r="U110" s="2" t="str">
        <f>IFERROR(VLOOKUP($B110,Finalrunde!$B:$H,7,0),)</f>
        <v/>
      </c>
      <c r="V110" s="2">
        <f t="shared" si="1"/>
        <v>0</v>
      </c>
      <c r="W110" s="2">
        <f t="shared" si="2"/>
        <v>0</v>
      </c>
      <c r="X110" s="2">
        <f t="shared" si="3"/>
        <v>0</v>
      </c>
      <c r="Y110" s="2">
        <f t="shared" si="4"/>
        <v>0</v>
      </c>
      <c r="Z110" s="2">
        <f t="shared" si="5"/>
        <v>0</v>
      </c>
      <c r="AA110" s="2">
        <f t="shared" si="6"/>
        <v>0</v>
      </c>
      <c r="AB110" s="2" t="str">
        <f>IFERROR(VLOOKUP(B110,'Mitglieder BBU'!A:K,12,0),"")</f>
        <v/>
      </c>
      <c r="AC110" s="2">
        <f t="shared" si="7"/>
        <v>0</v>
      </c>
      <c r="AD110" s="2">
        <f t="array" ref="AD110">MIN(IF(D110:U110&lt;&gt;0,D110:U110))</f>
        <v>0</v>
      </c>
    </row>
    <row r="111">
      <c r="A111" s="2">
        <v>108.0</v>
      </c>
      <c r="B111" s="111" t="str">
        <f>Spieler!B113</f>
        <v/>
      </c>
      <c r="D111" s="2" t="str">
        <f>IFERROR(VLOOKUP($B111,Vorrunde!B:H,2,0),)</f>
        <v/>
      </c>
      <c r="E111" s="2" t="str">
        <f>IFERROR(VLOOKUP($B111,Vorrunde!$B:$H,3,0),)</f>
        <v/>
      </c>
      <c r="F111" s="2">
        <f>IFERROR(VLOOKUP($B111,Vorrunde!$B:$H,4,0),0)</f>
        <v>0</v>
      </c>
      <c r="G111" s="2" t="str">
        <f>IFERROR(VLOOKUP($B111,Vorrunde!$B:$H,5,0),)</f>
        <v/>
      </c>
      <c r="H111" s="2" t="str">
        <f>IFERROR(VLOOKUP($B111,Vorrunde!$B:$H,6,0),)</f>
        <v/>
      </c>
      <c r="I111" s="2" t="str">
        <f>IFERROR(VLOOKUP($B111,Vorrunde!$B:$H,7,0),)</f>
        <v/>
      </c>
      <c r="J111" s="2" t="str">
        <f>IFERROR(VLOOKUP($B111,Zwischenlauf!$B:$H,2,0),)</f>
        <v/>
      </c>
      <c r="K111" s="2" t="str">
        <f>IFERROR(VLOOKUP($B111,Zwischenlauf!$B:$H,3,0),)</f>
        <v/>
      </c>
      <c r="L111" s="2" t="str">
        <f>IFERROR(VLOOKUP($B111,Zwischenlauf!$B:$H,4,0),)</f>
        <v/>
      </c>
      <c r="M111" s="2" t="str">
        <f>IFERROR(VLOOKUP($B111,Zwischenlauf!$B:$H,5,0),)</f>
        <v/>
      </c>
      <c r="N111" s="2" t="str">
        <f>IFERROR(VLOOKUP($B111,Zwischenlauf!$B:$H,6,0),)</f>
        <v/>
      </c>
      <c r="O111" s="2" t="str">
        <f>IFERROR(VLOOKUP($B111,Zwischenlauf!$B:$H,7,0),)</f>
        <v/>
      </c>
      <c r="P111" s="2" t="str">
        <f>IFERROR(VLOOKUP($B111,Finalrunde!$B:$H,2,0),)</f>
        <v/>
      </c>
      <c r="Q111" s="2" t="str">
        <f>IFERROR(VLOOKUP($B111,Finalrunde!$B:$H,3,0),)</f>
        <v/>
      </c>
      <c r="R111" s="2" t="str">
        <f>IFERROR(VLOOKUP($B111,Finalrunde!$B:$H,4,0),)</f>
        <v/>
      </c>
      <c r="S111" s="2" t="str">
        <f>IFERROR(VLOOKUP($B111,Finalrunde!$B:$H,5,0),)</f>
        <v/>
      </c>
      <c r="T111" s="2" t="str">
        <f>IFERROR(VLOOKUP($B111,Finalrunde!$B:$H,6,0),)</f>
        <v/>
      </c>
      <c r="U111" s="2" t="str">
        <f>IFERROR(VLOOKUP($B111,Finalrunde!$B:$H,7,0),)</f>
        <v/>
      </c>
      <c r="V111" s="2">
        <f t="shared" si="1"/>
        <v>0</v>
      </c>
      <c r="W111" s="2">
        <f t="shared" si="2"/>
        <v>0</v>
      </c>
      <c r="X111" s="2">
        <f t="shared" si="3"/>
        <v>0</v>
      </c>
      <c r="Y111" s="2">
        <f t="shared" si="4"/>
        <v>0</v>
      </c>
      <c r="Z111" s="2">
        <f t="shared" si="5"/>
        <v>0</v>
      </c>
      <c r="AA111" s="2">
        <f t="shared" si="6"/>
        <v>0</v>
      </c>
      <c r="AB111" s="2" t="str">
        <f>IFERROR(VLOOKUP(B111,'Mitglieder BBU'!A:K,12,0),"")</f>
        <v/>
      </c>
      <c r="AC111" s="2">
        <f t="shared" si="7"/>
        <v>0</v>
      </c>
      <c r="AD111" s="2">
        <f t="array" ref="AD111">MIN(IF(D111:U111&lt;&gt;0,D111:U111))</f>
        <v>0</v>
      </c>
    </row>
    <row r="112">
      <c r="A112" s="2">
        <v>109.0</v>
      </c>
      <c r="B112" s="111" t="str">
        <f>Spieler!B114</f>
        <v/>
      </c>
      <c r="D112" s="2" t="str">
        <f>IFERROR(VLOOKUP($B112,Vorrunde!B:H,2,0),)</f>
        <v/>
      </c>
      <c r="E112" s="2" t="str">
        <f>IFERROR(VLOOKUP($B112,Vorrunde!$B:$H,3,0),)</f>
        <v/>
      </c>
      <c r="F112" s="2">
        <f>IFERROR(VLOOKUP($B112,Vorrunde!$B:$H,4,0),0)</f>
        <v>0</v>
      </c>
      <c r="G112" s="2" t="str">
        <f>IFERROR(VLOOKUP($B112,Vorrunde!$B:$H,5,0),)</f>
        <v/>
      </c>
      <c r="H112" s="2" t="str">
        <f>IFERROR(VLOOKUP($B112,Vorrunde!$B:$H,6,0),)</f>
        <v/>
      </c>
      <c r="I112" s="2" t="str">
        <f>IFERROR(VLOOKUP($B112,Vorrunde!$B:$H,7,0),)</f>
        <v/>
      </c>
      <c r="J112" s="2" t="str">
        <f>IFERROR(VLOOKUP($B112,Zwischenlauf!$B:$H,2,0),)</f>
        <v/>
      </c>
      <c r="K112" s="2" t="str">
        <f>IFERROR(VLOOKUP($B112,Zwischenlauf!$B:$H,3,0),)</f>
        <v/>
      </c>
      <c r="L112" s="2" t="str">
        <f>IFERROR(VLOOKUP($B112,Zwischenlauf!$B:$H,4,0),)</f>
        <v/>
      </c>
      <c r="M112" s="2" t="str">
        <f>IFERROR(VLOOKUP($B112,Zwischenlauf!$B:$H,5,0),)</f>
        <v/>
      </c>
      <c r="N112" s="2" t="str">
        <f>IFERROR(VLOOKUP($B112,Zwischenlauf!$B:$H,6,0),)</f>
        <v/>
      </c>
      <c r="O112" s="2" t="str">
        <f>IFERROR(VLOOKUP($B112,Zwischenlauf!$B:$H,7,0),)</f>
        <v/>
      </c>
      <c r="P112" s="2" t="str">
        <f>IFERROR(VLOOKUP($B112,Finalrunde!$B:$H,2,0),)</f>
        <v/>
      </c>
      <c r="Q112" s="2" t="str">
        <f>IFERROR(VLOOKUP($B112,Finalrunde!$B:$H,3,0),)</f>
        <v/>
      </c>
      <c r="R112" s="2" t="str">
        <f>IFERROR(VLOOKUP($B112,Finalrunde!$B:$H,4,0),)</f>
        <v/>
      </c>
      <c r="S112" s="2" t="str">
        <f>IFERROR(VLOOKUP($B112,Finalrunde!$B:$H,5,0),)</f>
        <v/>
      </c>
      <c r="T112" s="2" t="str">
        <f>IFERROR(VLOOKUP($B112,Finalrunde!$B:$H,6,0),)</f>
        <v/>
      </c>
      <c r="U112" s="2" t="str">
        <f>IFERROR(VLOOKUP($B112,Finalrunde!$B:$H,7,0),)</f>
        <v/>
      </c>
      <c r="V112" s="2">
        <f t="shared" si="1"/>
        <v>0</v>
      </c>
      <c r="W112" s="2">
        <f t="shared" si="2"/>
        <v>0</v>
      </c>
      <c r="X112" s="2">
        <f t="shared" si="3"/>
        <v>0</v>
      </c>
      <c r="Y112" s="2">
        <f t="shared" si="4"/>
        <v>0</v>
      </c>
      <c r="Z112" s="2">
        <f t="shared" si="5"/>
        <v>0</v>
      </c>
      <c r="AA112" s="2">
        <f t="shared" si="6"/>
        <v>0</v>
      </c>
      <c r="AB112" s="2" t="str">
        <f>IFERROR(VLOOKUP(B112,'Mitglieder BBU'!A:K,12,0),"")</f>
        <v/>
      </c>
      <c r="AC112" s="2">
        <f t="shared" si="7"/>
        <v>0</v>
      </c>
      <c r="AD112" s="2">
        <f t="array" ref="AD112">MIN(IF(D112:U112&lt;&gt;0,D112:U112))</f>
        <v>0</v>
      </c>
    </row>
    <row r="113">
      <c r="A113" s="2">
        <v>110.0</v>
      </c>
      <c r="B113" s="111" t="str">
        <f>Spieler!B115</f>
        <v/>
      </c>
      <c r="D113" s="2" t="str">
        <f>IFERROR(VLOOKUP($B113,Vorrunde!B:H,2,0),)</f>
        <v/>
      </c>
      <c r="E113" s="2" t="str">
        <f>IFERROR(VLOOKUP($B113,Vorrunde!$B:$H,3,0),)</f>
        <v/>
      </c>
      <c r="F113" s="2">
        <f>IFERROR(VLOOKUP($B113,Vorrunde!$B:$H,4,0),0)</f>
        <v>0</v>
      </c>
      <c r="G113" s="2" t="str">
        <f>IFERROR(VLOOKUP($B113,Vorrunde!$B:$H,5,0),)</f>
        <v/>
      </c>
      <c r="H113" s="2" t="str">
        <f>IFERROR(VLOOKUP($B113,Vorrunde!$B:$H,6,0),)</f>
        <v/>
      </c>
      <c r="I113" s="2" t="str">
        <f>IFERROR(VLOOKUP($B113,Vorrunde!$B:$H,7,0),)</f>
        <v/>
      </c>
      <c r="J113" s="2" t="str">
        <f>IFERROR(VLOOKUP($B113,Zwischenlauf!$B:$H,2,0),)</f>
        <v/>
      </c>
      <c r="K113" s="2" t="str">
        <f>IFERROR(VLOOKUP($B113,Zwischenlauf!$B:$H,3,0),)</f>
        <v/>
      </c>
      <c r="L113" s="2" t="str">
        <f>IFERROR(VLOOKUP($B113,Zwischenlauf!$B:$H,4,0),)</f>
        <v/>
      </c>
      <c r="M113" s="2" t="str">
        <f>IFERROR(VLOOKUP($B113,Zwischenlauf!$B:$H,5,0),)</f>
        <v/>
      </c>
      <c r="N113" s="2" t="str">
        <f>IFERROR(VLOOKUP($B113,Zwischenlauf!$B:$H,6,0),)</f>
        <v/>
      </c>
      <c r="O113" s="2" t="str">
        <f>IFERROR(VLOOKUP($B113,Zwischenlauf!$B:$H,7,0),)</f>
        <v/>
      </c>
      <c r="P113" s="2" t="str">
        <f>IFERROR(VLOOKUP($B113,Finalrunde!$B:$H,2,0),)</f>
        <v/>
      </c>
      <c r="Q113" s="2" t="str">
        <f>IFERROR(VLOOKUP($B113,Finalrunde!$B:$H,3,0),)</f>
        <v/>
      </c>
      <c r="R113" s="2" t="str">
        <f>IFERROR(VLOOKUP($B113,Finalrunde!$B:$H,4,0),)</f>
        <v/>
      </c>
      <c r="S113" s="2" t="str">
        <f>IFERROR(VLOOKUP($B113,Finalrunde!$B:$H,5,0),)</f>
        <v/>
      </c>
      <c r="T113" s="2" t="str">
        <f>IFERROR(VLOOKUP($B113,Finalrunde!$B:$H,6,0),)</f>
        <v/>
      </c>
      <c r="U113" s="2" t="str">
        <f>IFERROR(VLOOKUP($B113,Finalrunde!$B:$H,7,0),)</f>
        <v/>
      </c>
      <c r="V113" s="2">
        <f t="shared" si="1"/>
        <v>0</v>
      </c>
      <c r="W113" s="2">
        <f t="shared" si="2"/>
        <v>0</v>
      </c>
      <c r="X113" s="2">
        <f t="shared" si="3"/>
        <v>0</v>
      </c>
      <c r="Y113" s="2">
        <f t="shared" si="4"/>
        <v>0</v>
      </c>
      <c r="Z113" s="2">
        <f t="shared" si="5"/>
        <v>0</v>
      </c>
      <c r="AA113" s="2">
        <f t="shared" si="6"/>
        <v>0</v>
      </c>
      <c r="AB113" s="2" t="str">
        <f>IFERROR(VLOOKUP(B113,'Mitglieder BBU'!A:K,12,0),"")</f>
        <v/>
      </c>
      <c r="AC113" s="2">
        <f t="shared" si="7"/>
        <v>0</v>
      </c>
      <c r="AD113" s="2">
        <f t="array" ref="AD113">MIN(IF(D113:U113&lt;&gt;0,D113:U113))</f>
        <v>0</v>
      </c>
    </row>
    <row r="114">
      <c r="A114" s="2">
        <v>111.0</v>
      </c>
      <c r="B114" s="111" t="str">
        <f>Spieler!B116</f>
        <v/>
      </c>
      <c r="D114" s="2" t="str">
        <f>IFERROR(VLOOKUP($B114,Vorrunde!B:H,2,0),)</f>
        <v/>
      </c>
      <c r="E114" s="2" t="str">
        <f>IFERROR(VLOOKUP($B114,Vorrunde!$B:$H,3,0),)</f>
        <v/>
      </c>
      <c r="F114" s="2">
        <f>IFERROR(VLOOKUP($B114,Vorrunde!$B:$H,4,0),0)</f>
        <v>0</v>
      </c>
      <c r="G114" s="2" t="str">
        <f>IFERROR(VLOOKUP($B114,Vorrunde!$B:$H,5,0),)</f>
        <v/>
      </c>
      <c r="H114" s="2" t="str">
        <f>IFERROR(VLOOKUP($B114,Vorrunde!$B:$H,6,0),)</f>
        <v/>
      </c>
      <c r="I114" s="2" t="str">
        <f>IFERROR(VLOOKUP($B114,Vorrunde!$B:$H,7,0),)</f>
        <v/>
      </c>
      <c r="J114" s="2" t="str">
        <f>IFERROR(VLOOKUP($B114,Zwischenlauf!$B:$H,2,0),)</f>
        <v/>
      </c>
      <c r="K114" s="2" t="str">
        <f>IFERROR(VLOOKUP($B114,Zwischenlauf!$B:$H,3,0),)</f>
        <v/>
      </c>
      <c r="L114" s="2" t="str">
        <f>IFERROR(VLOOKUP($B114,Zwischenlauf!$B:$H,4,0),)</f>
        <v/>
      </c>
      <c r="M114" s="2" t="str">
        <f>IFERROR(VLOOKUP($B114,Zwischenlauf!$B:$H,5,0),)</f>
        <v/>
      </c>
      <c r="N114" s="2" t="str">
        <f>IFERROR(VLOOKUP($B114,Zwischenlauf!$B:$H,6,0),)</f>
        <v/>
      </c>
      <c r="O114" s="2" t="str">
        <f>IFERROR(VLOOKUP($B114,Zwischenlauf!$B:$H,7,0),)</f>
        <v/>
      </c>
      <c r="P114" s="2" t="str">
        <f>IFERROR(VLOOKUP($B114,Finalrunde!$B:$H,2,0),)</f>
        <v/>
      </c>
      <c r="Q114" s="2" t="str">
        <f>IFERROR(VLOOKUP($B114,Finalrunde!$B:$H,3,0),)</f>
        <v/>
      </c>
      <c r="R114" s="2" t="str">
        <f>IFERROR(VLOOKUP($B114,Finalrunde!$B:$H,4,0),)</f>
        <v/>
      </c>
      <c r="S114" s="2" t="str">
        <f>IFERROR(VLOOKUP($B114,Finalrunde!$B:$H,5,0),)</f>
        <v/>
      </c>
      <c r="T114" s="2" t="str">
        <f>IFERROR(VLOOKUP($B114,Finalrunde!$B:$H,6,0),)</f>
        <v/>
      </c>
      <c r="U114" s="2" t="str">
        <f>IFERROR(VLOOKUP($B114,Finalrunde!$B:$H,7,0),)</f>
        <v/>
      </c>
      <c r="V114" s="2">
        <f t="shared" si="1"/>
        <v>0</v>
      </c>
      <c r="W114" s="2">
        <f t="shared" si="2"/>
        <v>0</v>
      </c>
      <c r="X114" s="2">
        <f t="shared" si="3"/>
        <v>0</v>
      </c>
      <c r="Y114" s="2">
        <f t="shared" si="4"/>
        <v>0</v>
      </c>
      <c r="Z114" s="2">
        <f t="shared" si="5"/>
        <v>0</v>
      </c>
      <c r="AA114" s="2">
        <f t="shared" si="6"/>
        <v>0</v>
      </c>
      <c r="AB114" s="2" t="str">
        <f>IFERROR(VLOOKUP(B114,'Mitglieder BBU'!A:K,12,0),"")</f>
        <v/>
      </c>
      <c r="AC114" s="2">
        <f t="shared" si="7"/>
        <v>0</v>
      </c>
      <c r="AD114" s="2">
        <f t="array" ref="AD114">MIN(IF(D114:U114&lt;&gt;0,D114:U114))</f>
        <v>0</v>
      </c>
    </row>
    <row r="115">
      <c r="A115" s="2">
        <v>112.0</v>
      </c>
      <c r="B115" s="111" t="str">
        <f>Spieler!B117</f>
        <v/>
      </c>
      <c r="D115" s="2" t="str">
        <f>IFERROR(VLOOKUP($B115,Vorrunde!B:H,2,0),)</f>
        <v/>
      </c>
      <c r="E115" s="2" t="str">
        <f>IFERROR(VLOOKUP($B115,Vorrunde!$B:$H,3,0),)</f>
        <v/>
      </c>
      <c r="F115" s="2">
        <f>IFERROR(VLOOKUP($B115,Vorrunde!$B:$H,4,0),0)</f>
        <v>0</v>
      </c>
      <c r="G115" s="2" t="str">
        <f>IFERROR(VLOOKUP($B115,Vorrunde!$B:$H,5,0),)</f>
        <v/>
      </c>
      <c r="H115" s="2" t="str">
        <f>IFERROR(VLOOKUP($B115,Vorrunde!$B:$H,6,0),)</f>
        <v/>
      </c>
      <c r="I115" s="2" t="str">
        <f>IFERROR(VLOOKUP($B115,Vorrunde!$B:$H,7,0),)</f>
        <v/>
      </c>
      <c r="J115" s="2" t="str">
        <f>IFERROR(VLOOKUP($B115,Zwischenlauf!$B:$H,2,0),)</f>
        <v/>
      </c>
      <c r="K115" s="2" t="str">
        <f>IFERROR(VLOOKUP($B115,Zwischenlauf!$B:$H,3,0),)</f>
        <v/>
      </c>
      <c r="L115" s="2" t="str">
        <f>IFERROR(VLOOKUP($B115,Zwischenlauf!$B:$H,4,0),)</f>
        <v/>
      </c>
      <c r="M115" s="2" t="str">
        <f>IFERROR(VLOOKUP($B115,Zwischenlauf!$B:$H,5,0),)</f>
        <v/>
      </c>
      <c r="N115" s="2" t="str">
        <f>IFERROR(VLOOKUP($B115,Zwischenlauf!$B:$H,6,0),)</f>
        <v/>
      </c>
      <c r="O115" s="2" t="str">
        <f>IFERROR(VLOOKUP($B115,Zwischenlauf!$B:$H,7,0),)</f>
        <v/>
      </c>
      <c r="P115" s="2" t="str">
        <f>IFERROR(VLOOKUP($B115,Finalrunde!$B:$H,2,0),)</f>
        <v/>
      </c>
      <c r="Q115" s="2" t="str">
        <f>IFERROR(VLOOKUP($B115,Finalrunde!$B:$H,3,0),)</f>
        <v/>
      </c>
      <c r="R115" s="2" t="str">
        <f>IFERROR(VLOOKUP($B115,Finalrunde!$B:$H,4,0),)</f>
        <v/>
      </c>
      <c r="S115" s="2" t="str">
        <f>IFERROR(VLOOKUP($B115,Finalrunde!$B:$H,5,0),)</f>
        <v/>
      </c>
      <c r="T115" s="2" t="str">
        <f>IFERROR(VLOOKUP($B115,Finalrunde!$B:$H,6,0),)</f>
        <v/>
      </c>
      <c r="U115" s="2" t="str">
        <f>IFERROR(VLOOKUP($B115,Finalrunde!$B:$H,7,0),)</f>
        <v/>
      </c>
      <c r="V115" s="2">
        <f t="shared" si="1"/>
        <v>0</v>
      </c>
      <c r="W115" s="2">
        <f t="shared" si="2"/>
        <v>0</v>
      </c>
      <c r="X115" s="2">
        <f t="shared" si="3"/>
        <v>0</v>
      </c>
      <c r="Y115" s="2">
        <f t="shared" si="4"/>
        <v>0</v>
      </c>
      <c r="Z115" s="2">
        <f t="shared" si="5"/>
        <v>0</v>
      </c>
      <c r="AA115" s="2">
        <f t="shared" si="6"/>
        <v>0</v>
      </c>
      <c r="AB115" s="2" t="str">
        <f>IFERROR(VLOOKUP(B115,'Mitglieder BBU'!A:K,12,0),"")</f>
        <v/>
      </c>
      <c r="AC115" s="2">
        <f t="shared" si="7"/>
        <v>0</v>
      </c>
      <c r="AD115" s="2">
        <f t="array" ref="AD115">MIN(IF(D115:U115&lt;&gt;0,D115:U115))</f>
        <v>0</v>
      </c>
    </row>
    <row r="116">
      <c r="A116" s="2">
        <v>113.0</v>
      </c>
      <c r="B116" s="111" t="str">
        <f>Spieler!B118</f>
        <v/>
      </c>
      <c r="D116" s="2" t="str">
        <f>IFERROR(VLOOKUP($B116,Vorrunde!B:H,2,0),)</f>
        <v/>
      </c>
      <c r="E116" s="2" t="str">
        <f>IFERROR(VLOOKUP($B116,Vorrunde!$B:$H,3,0),)</f>
        <v/>
      </c>
      <c r="F116" s="2">
        <f>IFERROR(VLOOKUP($B116,Vorrunde!$B:$H,4,0),0)</f>
        <v>0</v>
      </c>
      <c r="G116" s="2" t="str">
        <f>IFERROR(VLOOKUP($B116,Vorrunde!$B:$H,5,0),)</f>
        <v/>
      </c>
      <c r="H116" s="2" t="str">
        <f>IFERROR(VLOOKUP($B116,Vorrunde!$B:$H,6,0),)</f>
        <v/>
      </c>
      <c r="I116" s="2" t="str">
        <f>IFERROR(VLOOKUP($B116,Vorrunde!$B:$H,7,0),)</f>
        <v/>
      </c>
      <c r="J116" s="2" t="str">
        <f>IFERROR(VLOOKUP($B116,Zwischenlauf!$B:$H,2,0),)</f>
        <v/>
      </c>
      <c r="K116" s="2" t="str">
        <f>IFERROR(VLOOKUP($B116,Zwischenlauf!$B:$H,3,0),)</f>
        <v/>
      </c>
      <c r="L116" s="2" t="str">
        <f>IFERROR(VLOOKUP($B116,Zwischenlauf!$B:$H,4,0),)</f>
        <v/>
      </c>
      <c r="M116" s="2" t="str">
        <f>IFERROR(VLOOKUP($B116,Zwischenlauf!$B:$H,5,0),)</f>
        <v/>
      </c>
      <c r="N116" s="2" t="str">
        <f>IFERROR(VLOOKUP($B116,Zwischenlauf!$B:$H,6,0),)</f>
        <v/>
      </c>
      <c r="O116" s="2" t="str">
        <f>IFERROR(VLOOKUP($B116,Zwischenlauf!$B:$H,7,0),)</f>
        <v/>
      </c>
      <c r="P116" s="2" t="str">
        <f>IFERROR(VLOOKUP($B116,Finalrunde!$B:$H,2,0),)</f>
        <v/>
      </c>
      <c r="Q116" s="2" t="str">
        <f>IFERROR(VLOOKUP($B116,Finalrunde!$B:$H,3,0),)</f>
        <v/>
      </c>
      <c r="R116" s="2" t="str">
        <f>IFERROR(VLOOKUP($B116,Finalrunde!$B:$H,4,0),)</f>
        <v/>
      </c>
      <c r="S116" s="2" t="str">
        <f>IFERROR(VLOOKUP($B116,Finalrunde!$B:$H,5,0),)</f>
        <v/>
      </c>
      <c r="T116" s="2" t="str">
        <f>IFERROR(VLOOKUP($B116,Finalrunde!$B:$H,6,0),)</f>
        <v/>
      </c>
      <c r="U116" s="2" t="str">
        <f>IFERROR(VLOOKUP($B116,Finalrunde!$B:$H,7,0),)</f>
        <v/>
      </c>
      <c r="V116" s="2">
        <f t="shared" si="1"/>
        <v>0</v>
      </c>
      <c r="W116" s="2">
        <f t="shared" si="2"/>
        <v>0</v>
      </c>
      <c r="X116" s="2">
        <f t="shared" si="3"/>
        <v>0</v>
      </c>
      <c r="Y116" s="2">
        <f t="shared" si="4"/>
        <v>0</v>
      </c>
      <c r="Z116" s="2">
        <f t="shared" si="5"/>
        <v>0</v>
      </c>
      <c r="AA116" s="2">
        <f t="shared" si="6"/>
        <v>0</v>
      </c>
      <c r="AB116" s="2" t="str">
        <f>IFERROR(VLOOKUP(B116,'Mitglieder BBU'!A:K,12,0),"")</f>
        <v/>
      </c>
      <c r="AC116" s="2">
        <f t="shared" si="7"/>
        <v>0</v>
      </c>
      <c r="AD116" s="2">
        <f t="array" ref="AD116">MIN(IF(D116:U116&lt;&gt;0,D116:U116))</f>
        <v>0</v>
      </c>
    </row>
    <row r="117">
      <c r="A117" s="2">
        <v>114.0</v>
      </c>
      <c r="B117" s="111" t="str">
        <f>Spieler!B119</f>
        <v/>
      </c>
      <c r="D117" s="2" t="str">
        <f>IFERROR(VLOOKUP($B117,Vorrunde!B:H,2,0),)</f>
        <v/>
      </c>
      <c r="E117" s="2" t="str">
        <f>IFERROR(VLOOKUP($B117,Vorrunde!$B:$H,3,0),)</f>
        <v/>
      </c>
      <c r="F117" s="2">
        <f>IFERROR(VLOOKUP($B117,Vorrunde!$B:$H,4,0),0)</f>
        <v>0</v>
      </c>
      <c r="G117" s="2" t="str">
        <f>IFERROR(VLOOKUP($B117,Vorrunde!$B:$H,5,0),)</f>
        <v/>
      </c>
      <c r="H117" s="2" t="str">
        <f>IFERROR(VLOOKUP($B117,Vorrunde!$B:$H,6,0),)</f>
        <v/>
      </c>
      <c r="I117" s="2" t="str">
        <f>IFERROR(VLOOKUP($B117,Vorrunde!$B:$H,7,0),)</f>
        <v/>
      </c>
      <c r="J117" s="2" t="str">
        <f>IFERROR(VLOOKUP($B117,Zwischenlauf!$B:$H,2,0),)</f>
        <v/>
      </c>
      <c r="K117" s="2" t="str">
        <f>IFERROR(VLOOKUP($B117,Zwischenlauf!$B:$H,3,0),)</f>
        <v/>
      </c>
      <c r="L117" s="2" t="str">
        <f>IFERROR(VLOOKUP($B117,Zwischenlauf!$B:$H,4,0),)</f>
        <v/>
      </c>
      <c r="M117" s="2" t="str">
        <f>IFERROR(VLOOKUP($B117,Zwischenlauf!$B:$H,5,0),)</f>
        <v/>
      </c>
      <c r="N117" s="2" t="str">
        <f>IFERROR(VLOOKUP($B117,Zwischenlauf!$B:$H,6,0),)</f>
        <v/>
      </c>
      <c r="O117" s="2" t="str">
        <f>IFERROR(VLOOKUP($B117,Zwischenlauf!$B:$H,7,0),)</f>
        <v/>
      </c>
      <c r="P117" s="2" t="str">
        <f>IFERROR(VLOOKUP($B117,Finalrunde!$B:$H,2,0),)</f>
        <v/>
      </c>
      <c r="Q117" s="2" t="str">
        <f>IFERROR(VLOOKUP($B117,Finalrunde!$B:$H,3,0),)</f>
        <v/>
      </c>
      <c r="R117" s="2" t="str">
        <f>IFERROR(VLOOKUP($B117,Finalrunde!$B:$H,4,0),)</f>
        <v/>
      </c>
      <c r="S117" s="2" t="str">
        <f>IFERROR(VLOOKUP($B117,Finalrunde!$B:$H,5,0),)</f>
        <v/>
      </c>
      <c r="T117" s="2" t="str">
        <f>IFERROR(VLOOKUP($B117,Finalrunde!$B:$H,6,0),)</f>
        <v/>
      </c>
      <c r="U117" s="2" t="str">
        <f>IFERROR(VLOOKUP($B117,Finalrunde!$B:$H,7,0),)</f>
        <v/>
      </c>
      <c r="V117" s="2">
        <f t="shared" si="1"/>
        <v>0</v>
      </c>
      <c r="W117" s="2">
        <f t="shared" si="2"/>
        <v>0</v>
      </c>
      <c r="X117" s="2">
        <f t="shared" si="3"/>
        <v>0</v>
      </c>
      <c r="Y117" s="2">
        <f t="shared" si="4"/>
        <v>0</v>
      </c>
      <c r="Z117" s="2">
        <f t="shared" si="5"/>
        <v>0</v>
      </c>
      <c r="AA117" s="2">
        <f t="shared" si="6"/>
        <v>0</v>
      </c>
      <c r="AB117" s="2" t="str">
        <f>IFERROR(VLOOKUP(B117,'Mitglieder BBU'!A:K,12,0),"")</f>
        <v/>
      </c>
      <c r="AC117" s="2">
        <f t="shared" si="7"/>
        <v>0</v>
      </c>
      <c r="AD117" s="2">
        <f t="array" ref="AD117">MIN(IF(D117:U117&lt;&gt;0,D117:U117))</f>
        <v>0</v>
      </c>
    </row>
    <row r="118">
      <c r="A118" s="2">
        <v>115.0</v>
      </c>
      <c r="B118" s="111" t="str">
        <f>Spieler!B120</f>
        <v/>
      </c>
      <c r="D118" s="2" t="str">
        <f>IFERROR(VLOOKUP($B118,Vorrunde!B:H,2,0),)</f>
        <v/>
      </c>
      <c r="E118" s="2" t="str">
        <f>IFERROR(VLOOKUP($B118,Vorrunde!$B:$H,3,0),)</f>
        <v/>
      </c>
      <c r="F118" s="2">
        <f>IFERROR(VLOOKUP($B118,Vorrunde!$B:$H,4,0),0)</f>
        <v>0</v>
      </c>
      <c r="G118" s="2" t="str">
        <f>IFERROR(VLOOKUP($B118,Vorrunde!$B:$H,5,0),)</f>
        <v/>
      </c>
      <c r="H118" s="2" t="str">
        <f>IFERROR(VLOOKUP($B118,Vorrunde!$B:$H,6,0),)</f>
        <v/>
      </c>
      <c r="I118" s="2" t="str">
        <f>IFERROR(VLOOKUP($B118,Vorrunde!$B:$H,7,0),)</f>
        <v/>
      </c>
      <c r="J118" s="2" t="str">
        <f>IFERROR(VLOOKUP($B118,Zwischenlauf!$B:$H,2,0),)</f>
        <v/>
      </c>
      <c r="K118" s="2" t="str">
        <f>IFERROR(VLOOKUP($B118,Zwischenlauf!$B:$H,3,0),)</f>
        <v/>
      </c>
      <c r="L118" s="2" t="str">
        <f>IFERROR(VLOOKUP($B118,Zwischenlauf!$B:$H,4,0),)</f>
        <v/>
      </c>
      <c r="M118" s="2" t="str">
        <f>IFERROR(VLOOKUP($B118,Zwischenlauf!$B:$H,5,0),)</f>
        <v/>
      </c>
      <c r="N118" s="2" t="str">
        <f>IFERROR(VLOOKUP($B118,Zwischenlauf!$B:$H,6,0),)</f>
        <v/>
      </c>
      <c r="O118" s="2" t="str">
        <f>IFERROR(VLOOKUP($B118,Zwischenlauf!$B:$H,7,0),)</f>
        <v/>
      </c>
      <c r="P118" s="2" t="str">
        <f>IFERROR(VLOOKUP($B118,Finalrunde!$B:$H,2,0),)</f>
        <v/>
      </c>
      <c r="Q118" s="2" t="str">
        <f>IFERROR(VLOOKUP($B118,Finalrunde!$B:$H,3,0),)</f>
        <v/>
      </c>
      <c r="R118" s="2" t="str">
        <f>IFERROR(VLOOKUP($B118,Finalrunde!$B:$H,4,0),)</f>
        <v/>
      </c>
      <c r="S118" s="2" t="str">
        <f>IFERROR(VLOOKUP($B118,Finalrunde!$B:$H,5,0),)</f>
        <v/>
      </c>
      <c r="T118" s="2" t="str">
        <f>IFERROR(VLOOKUP($B118,Finalrunde!$B:$H,6,0),)</f>
        <v/>
      </c>
      <c r="U118" s="2" t="str">
        <f>IFERROR(VLOOKUP($B118,Finalrunde!$B:$H,7,0),)</f>
        <v/>
      </c>
      <c r="V118" s="2">
        <f t="shared" si="1"/>
        <v>0</v>
      </c>
      <c r="W118" s="2">
        <f t="shared" si="2"/>
        <v>0</v>
      </c>
      <c r="X118" s="2">
        <f t="shared" si="3"/>
        <v>0</v>
      </c>
      <c r="Y118" s="2">
        <f t="shared" si="4"/>
        <v>0</v>
      </c>
      <c r="Z118" s="2">
        <f t="shared" si="5"/>
        <v>0</v>
      </c>
      <c r="AA118" s="2">
        <f t="shared" si="6"/>
        <v>0</v>
      </c>
      <c r="AB118" s="2" t="str">
        <f>IFERROR(VLOOKUP(B118,'Mitglieder BBU'!A:K,12,0),"")</f>
        <v/>
      </c>
      <c r="AC118" s="2">
        <f t="shared" si="7"/>
        <v>0</v>
      </c>
      <c r="AD118" s="2">
        <f t="array" ref="AD118">MIN(IF(D118:U118&lt;&gt;0,D118:U118))</f>
        <v>0</v>
      </c>
    </row>
    <row r="119">
      <c r="A119" s="2">
        <v>116.0</v>
      </c>
      <c r="B119" s="111" t="str">
        <f>Spieler!B121</f>
        <v/>
      </c>
      <c r="D119" s="2" t="str">
        <f>IFERROR(VLOOKUP($B119,Vorrunde!B:H,2,0),)</f>
        <v/>
      </c>
      <c r="E119" s="2" t="str">
        <f>IFERROR(VLOOKUP($B119,Vorrunde!$B:$H,3,0),)</f>
        <v/>
      </c>
      <c r="F119" s="2">
        <f>IFERROR(VLOOKUP($B119,Vorrunde!$B:$H,4,0),0)</f>
        <v>0</v>
      </c>
      <c r="G119" s="2" t="str">
        <f>IFERROR(VLOOKUP($B119,Vorrunde!$B:$H,5,0),)</f>
        <v/>
      </c>
      <c r="H119" s="2" t="str">
        <f>IFERROR(VLOOKUP($B119,Vorrunde!$B:$H,6,0),)</f>
        <v/>
      </c>
      <c r="I119" s="2" t="str">
        <f>IFERROR(VLOOKUP($B119,Vorrunde!$B:$H,7,0),)</f>
        <v/>
      </c>
      <c r="J119" s="2" t="str">
        <f>IFERROR(VLOOKUP($B119,Zwischenlauf!$B:$H,2,0),)</f>
        <v/>
      </c>
      <c r="K119" s="2" t="str">
        <f>IFERROR(VLOOKUP($B119,Zwischenlauf!$B:$H,3,0),)</f>
        <v/>
      </c>
      <c r="L119" s="2" t="str">
        <f>IFERROR(VLOOKUP($B119,Zwischenlauf!$B:$H,4,0),)</f>
        <v/>
      </c>
      <c r="M119" s="2" t="str">
        <f>IFERROR(VLOOKUP($B119,Zwischenlauf!$B:$H,5,0),)</f>
        <v/>
      </c>
      <c r="N119" s="2" t="str">
        <f>IFERROR(VLOOKUP($B119,Zwischenlauf!$B:$H,6,0),)</f>
        <v/>
      </c>
      <c r="O119" s="2" t="str">
        <f>IFERROR(VLOOKUP($B119,Zwischenlauf!$B:$H,7,0),)</f>
        <v/>
      </c>
      <c r="P119" s="2" t="str">
        <f>IFERROR(VLOOKUP($B119,Finalrunde!$B:$H,2,0),)</f>
        <v/>
      </c>
      <c r="Q119" s="2" t="str">
        <f>IFERROR(VLOOKUP($B119,Finalrunde!$B:$H,3,0),)</f>
        <v/>
      </c>
      <c r="R119" s="2" t="str">
        <f>IFERROR(VLOOKUP($B119,Finalrunde!$B:$H,4,0),)</f>
        <v/>
      </c>
      <c r="S119" s="2" t="str">
        <f>IFERROR(VLOOKUP($B119,Finalrunde!$B:$H,5,0),)</f>
        <v/>
      </c>
      <c r="T119" s="2" t="str">
        <f>IFERROR(VLOOKUP($B119,Finalrunde!$B:$H,6,0),)</f>
        <v/>
      </c>
      <c r="U119" s="2" t="str">
        <f>IFERROR(VLOOKUP($B119,Finalrunde!$B:$H,7,0),)</f>
        <v/>
      </c>
      <c r="V119" s="2">
        <f t="shared" si="1"/>
        <v>0</v>
      </c>
      <c r="W119" s="2">
        <f t="shared" si="2"/>
        <v>0</v>
      </c>
      <c r="X119" s="2">
        <f t="shared" si="3"/>
        <v>0</v>
      </c>
      <c r="Y119" s="2">
        <f t="shared" si="4"/>
        <v>0</v>
      </c>
      <c r="Z119" s="2">
        <f t="shared" si="5"/>
        <v>0</v>
      </c>
      <c r="AA119" s="2">
        <f t="shared" si="6"/>
        <v>0</v>
      </c>
      <c r="AB119" s="2" t="str">
        <f>IFERROR(VLOOKUP(B119,'Mitglieder BBU'!A:K,12,0),"")</f>
        <v/>
      </c>
      <c r="AC119" s="2">
        <f t="shared" si="7"/>
        <v>0</v>
      </c>
      <c r="AD119" s="2">
        <f t="array" ref="AD119">MIN(IF(D119:U119&lt;&gt;0,D119:U119))</f>
        <v>0</v>
      </c>
    </row>
    <row r="120">
      <c r="A120" s="2">
        <v>117.0</v>
      </c>
      <c r="B120" s="111" t="str">
        <f>Spieler!B122</f>
        <v/>
      </c>
      <c r="D120" s="2" t="str">
        <f>IFERROR(VLOOKUP($B120,Vorrunde!B:H,2,0),)</f>
        <v/>
      </c>
      <c r="E120" s="2" t="str">
        <f>IFERROR(VLOOKUP($B120,Vorrunde!$B:$H,3,0),)</f>
        <v/>
      </c>
      <c r="F120" s="2">
        <f>IFERROR(VLOOKUP($B120,Vorrunde!$B:$H,4,0),0)</f>
        <v>0</v>
      </c>
      <c r="G120" s="2" t="str">
        <f>IFERROR(VLOOKUP($B120,Vorrunde!$B:$H,5,0),)</f>
        <v/>
      </c>
      <c r="H120" s="2" t="str">
        <f>IFERROR(VLOOKUP($B120,Vorrunde!$B:$H,6,0),)</f>
        <v/>
      </c>
      <c r="I120" s="2" t="str">
        <f>IFERROR(VLOOKUP($B120,Vorrunde!$B:$H,7,0),)</f>
        <v/>
      </c>
      <c r="J120" s="2" t="str">
        <f>IFERROR(VLOOKUP($B120,Zwischenlauf!$B:$H,2,0),)</f>
        <v/>
      </c>
      <c r="K120" s="2" t="str">
        <f>IFERROR(VLOOKUP($B120,Zwischenlauf!$B:$H,3,0),)</f>
        <v/>
      </c>
      <c r="L120" s="2" t="str">
        <f>IFERROR(VLOOKUP($B120,Zwischenlauf!$B:$H,4,0),)</f>
        <v/>
      </c>
      <c r="M120" s="2" t="str">
        <f>IFERROR(VLOOKUP($B120,Zwischenlauf!$B:$H,5,0),)</f>
        <v/>
      </c>
      <c r="N120" s="2" t="str">
        <f>IFERROR(VLOOKUP($B120,Zwischenlauf!$B:$H,6,0),)</f>
        <v/>
      </c>
      <c r="O120" s="2" t="str">
        <f>IFERROR(VLOOKUP($B120,Zwischenlauf!$B:$H,7,0),)</f>
        <v/>
      </c>
      <c r="P120" s="2" t="str">
        <f>IFERROR(VLOOKUP($B120,Finalrunde!$B:$H,2,0),)</f>
        <v/>
      </c>
      <c r="Q120" s="2" t="str">
        <f>IFERROR(VLOOKUP($B120,Finalrunde!$B:$H,3,0),)</f>
        <v/>
      </c>
      <c r="R120" s="2" t="str">
        <f>IFERROR(VLOOKUP($B120,Finalrunde!$B:$H,4,0),)</f>
        <v/>
      </c>
      <c r="S120" s="2" t="str">
        <f>IFERROR(VLOOKUP($B120,Finalrunde!$B:$H,5,0),)</f>
        <v/>
      </c>
      <c r="T120" s="2" t="str">
        <f>IFERROR(VLOOKUP($B120,Finalrunde!$B:$H,6,0),)</f>
        <v/>
      </c>
      <c r="U120" s="2" t="str">
        <f>IFERROR(VLOOKUP($B120,Finalrunde!$B:$H,7,0),)</f>
        <v/>
      </c>
      <c r="V120" s="2">
        <f t="shared" si="1"/>
        <v>0</v>
      </c>
      <c r="W120" s="2">
        <f t="shared" si="2"/>
        <v>0</v>
      </c>
      <c r="X120" s="2">
        <f t="shared" si="3"/>
        <v>0</v>
      </c>
      <c r="Y120" s="2">
        <f t="shared" si="4"/>
        <v>0</v>
      </c>
      <c r="Z120" s="2">
        <f t="shared" si="5"/>
        <v>0</v>
      </c>
      <c r="AA120" s="2">
        <f t="shared" si="6"/>
        <v>0</v>
      </c>
      <c r="AB120" s="2" t="str">
        <f>IFERROR(VLOOKUP(B120,'Mitglieder BBU'!A:K,12,0),"")</f>
        <v/>
      </c>
      <c r="AC120" s="2">
        <f t="shared" si="7"/>
        <v>0</v>
      </c>
      <c r="AD120" s="2">
        <f t="array" ref="AD120">MIN(IF(D120:U120&lt;&gt;0,D120:U120))</f>
        <v>0</v>
      </c>
    </row>
    <row r="121">
      <c r="A121" s="2">
        <v>118.0</v>
      </c>
      <c r="B121" s="111" t="str">
        <f>Spieler!B123</f>
        <v/>
      </c>
      <c r="D121" s="2" t="str">
        <f>IFERROR(VLOOKUP($B121,Vorrunde!B:H,2,0),)</f>
        <v/>
      </c>
      <c r="E121" s="2" t="str">
        <f>IFERROR(VLOOKUP($B121,Vorrunde!$B:$H,3,0),)</f>
        <v/>
      </c>
      <c r="F121" s="2">
        <f>IFERROR(VLOOKUP($B121,Vorrunde!$B:$H,4,0),0)</f>
        <v>0</v>
      </c>
      <c r="G121" s="2" t="str">
        <f>IFERROR(VLOOKUP($B121,Vorrunde!$B:$H,5,0),)</f>
        <v/>
      </c>
      <c r="H121" s="2" t="str">
        <f>IFERROR(VLOOKUP($B121,Vorrunde!$B:$H,6,0),)</f>
        <v/>
      </c>
      <c r="I121" s="2" t="str">
        <f>IFERROR(VLOOKUP($B121,Vorrunde!$B:$H,7,0),)</f>
        <v/>
      </c>
      <c r="J121" s="2" t="str">
        <f>IFERROR(VLOOKUP($B121,Zwischenlauf!$B:$H,2,0),)</f>
        <v/>
      </c>
      <c r="K121" s="2" t="str">
        <f>IFERROR(VLOOKUP($B121,Zwischenlauf!$B:$H,3,0),)</f>
        <v/>
      </c>
      <c r="L121" s="2" t="str">
        <f>IFERROR(VLOOKUP($B121,Zwischenlauf!$B:$H,4,0),)</f>
        <v/>
      </c>
      <c r="M121" s="2" t="str">
        <f>IFERROR(VLOOKUP($B121,Zwischenlauf!$B:$H,5,0),)</f>
        <v/>
      </c>
      <c r="N121" s="2" t="str">
        <f>IFERROR(VLOOKUP($B121,Zwischenlauf!$B:$H,6,0),)</f>
        <v/>
      </c>
      <c r="O121" s="2" t="str">
        <f>IFERROR(VLOOKUP($B121,Zwischenlauf!$B:$H,7,0),)</f>
        <v/>
      </c>
      <c r="P121" s="2" t="str">
        <f>IFERROR(VLOOKUP($B121,Finalrunde!$B:$H,2,0),)</f>
        <v/>
      </c>
      <c r="Q121" s="2" t="str">
        <f>IFERROR(VLOOKUP($B121,Finalrunde!$B:$H,3,0),)</f>
        <v/>
      </c>
      <c r="R121" s="2" t="str">
        <f>IFERROR(VLOOKUP($B121,Finalrunde!$B:$H,4,0),)</f>
        <v/>
      </c>
      <c r="S121" s="2" t="str">
        <f>IFERROR(VLOOKUP($B121,Finalrunde!$B:$H,5,0),)</f>
        <v/>
      </c>
      <c r="T121" s="2" t="str">
        <f>IFERROR(VLOOKUP($B121,Finalrunde!$B:$H,6,0),)</f>
        <v/>
      </c>
      <c r="U121" s="2" t="str">
        <f>IFERROR(VLOOKUP($B121,Finalrunde!$B:$H,7,0),)</f>
        <v/>
      </c>
      <c r="V121" s="2">
        <f t="shared" si="1"/>
        <v>0</v>
      </c>
      <c r="W121" s="2">
        <f t="shared" si="2"/>
        <v>0</v>
      </c>
      <c r="X121" s="2">
        <f t="shared" si="3"/>
        <v>0</v>
      </c>
      <c r="Y121" s="2">
        <f t="shared" si="4"/>
        <v>0</v>
      </c>
      <c r="Z121" s="2">
        <f t="shared" si="5"/>
        <v>0</v>
      </c>
      <c r="AA121" s="2">
        <f t="shared" si="6"/>
        <v>0</v>
      </c>
      <c r="AB121" s="2" t="str">
        <f>IFERROR(VLOOKUP(B121,'Mitglieder BBU'!A:K,12,0),"")</f>
        <v/>
      </c>
      <c r="AC121" s="2">
        <f t="shared" si="7"/>
        <v>0</v>
      </c>
      <c r="AD121" s="2">
        <f t="array" ref="AD121">MIN(IF(D121:U121&lt;&gt;0,D121:U121))</f>
        <v>0</v>
      </c>
    </row>
    <row r="122">
      <c r="A122" s="2">
        <v>119.0</v>
      </c>
      <c r="B122" s="111" t="str">
        <f>Spieler!B124</f>
        <v/>
      </c>
      <c r="D122" s="2" t="str">
        <f>IFERROR(VLOOKUP($B122,Vorrunde!B:H,2,0),)</f>
        <v/>
      </c>
      <c r="E122" s="2" t="str">
        <f>IFERROR(VLOOKUP($B122,Vorrunde!$B:$H,3,0),)</f>
        <v/>
      </c>
      <c r="F122" s="2">
        <f>IFERROR(VLOOKUP($B122,Vorrunde!$B:$H,4,0),0)</f>
        <v>0</v>
      </c>
      <c r="G122" s="2" t="str">
        <f>IFERROR(VLOOKUP($B122,Vorrunde!$B:$H,5,0),)</f>
        <v/>
      </c>
      <c r="H122" s="2" t="str">
        <f>IFERROR(VLOOKUP($B122,Vorrunde!$B:$H,6,0),)</f>
        <v/>
      </c>
      <c r="I122" s="2" t="str">
        <f>IFERROR(VLOOKUP($B122,Vorrunde!$B:$H,7,0),)</f>
        <v/>
      </c>
      <c r="J122" s="2" t="str">
        <f>IFERROR(VLOOKUP($B122,Zwischenlauf!$B:$H,2,0),)</f>
        <v/>
      </c>
      <c r="K122" s="2" t="str">
        <f>IFERROR(VLOOKUP($B122,Zwischenlauf!$B:$H,3,0),)</f>
        <v/>
      </c>
      <c r="L122" s="2" t="str">
        <f>IFERROR(VLOOKUP($B122,Zwischenlauf!$B:$H,4,0),)</f>
        <v/>
      </c>
      <c r="M122" s="2" t="str">
        <f>IFERROR(VLOOKUP($B122,Zwischenlauf!$B:$H,5,0),)</f>
        <v/>
      </c>
      <c r="N122" s="2" t="str">
        <f>IFERROR(VLOOKUP($B122,Zwischenlauf!$B:$H,6,0),)</f>
        <v/>
      </c>
      <c r="O122" s="2" t="str">
        <f>IFERROR(VLOOKUP($B122,Zwischenlauf!$B:$H,7,0),)</f>
        <v/>
      </c>
      <c r="P122" s="2" t="str">
        <f>IFERROR(VLOOKUP($B122,Finalrunde!$B:$H,2,0),)</f>
        <v/>
      </c>
      <c r="Q122" s="2" t="str">
        <f>IFERROR(VLOOKUP($B122,Finalrunde!$B:$H,3,0),)</f>
        <v/>
      </c>
      <c r="R122" s="2" t="str">
        <f>IFERROR(VLOOKUP($B122,Finalrunde!$B:$H,4,0),)</f>
        <v/>
      </c>
      <c r="S122" s="2" t="str">
        <f>IFERROR(VLOOKUP($B122,Finalrunde!$B:$H,5,0),)</f>
        <v/>
      </c>
      <c r="T122" s="2" t="str">
        <f>IFERROR(VLOOKUP($B122,Finalrunde!$B:$H,6,0),)</f>
        <v/>
      </c>
      <c r="U122" s="2" t="str">
        <f>IFERROR(VLOOKUP($B122,Finalrunde!$B:$H,7,0),)</f>
        <v/>
      </c>
      <c r="V122" s="2">
        <f t="shared" si="1"/>
        <v>0</v>
      </c>
      <c r="W122" s="2">
        <f t="shared" si="2"/>
        <v>0</v>
      </c>
      <c r="X122" s="2">
        <f t="shared" si="3"/>
        <v>0</v>
      </c>
      <c r="Y122" s="2">
        <f t="shared" si="4"/>
        <v>0</v>
      </c>
      <c r="Z122" s="2">
        <f t="shared" si="5"/>
        <v>0</v>
      </c>
      <c r="AA122" s="2">
        <f t="shared" si="6"/>
        <v>0</v>
      </c>
      <c r="AB122" s="2" t="str">
        <f>IFERROR(VLOOKUP(B122,'Mitglieder BBU'!A:K,12,0),"")</f>
        <v/>
      </c>
      <c r="AC122" s="2">
        <f t="shared" si="7"/>
        <v>0</v>
      </c>
      <c r="AD122" s="2">
        <f t="array" ref="AD122">MIN(IF(D122:U122&lt;&gt;0,D122:U122))</f>
        <v>0</v>
      </c>
    </row>
    <row r="123">
      <c r="A123" s="2">
        <v>120.0</v>
      </c>
      <c r="B123" s="111" t="str">
        <f>Spieler!B125</f>
        <v/>
      </c>
      <c r="D123" s="2" t="str">
        <f>IFERROR(VLOOKUP($B123,Vorrunde!B:H,2,0),)</f>
        <v/>
      </c>
      <c r="E123" s="2" t="str">
        <f>IFERROR(VLOOKUP($B123,Vorrunde!$B:$H,3,0),)</f>
        <v/>
      </c>
      <c r="F123" s="2">
        <f>IFERROR(VLOOKUP($B123,Vorrunde!$B:$H,4,0),0)</f>
        <v>0</v>
      </c>
      <c r="G123" s="2" t="str">
        <f>IFERROR(VLOOKUP($B123,Vorrunde!$B:$H,5,0),)</f>
        <v/>
      </c>
      <c r="H123" s="2" t="str">
        <f>IFERROR(VLOOKUP($B123,Vorrunde!$B:$H,6,0),)</f>
        <v/>
      </c>
      <c r="I123" s="2" t="str">
        <f>IFERROR(VLOOKUP($B123,Vorrunde!$B:$H,7,0),)</f>
        <v/>
      </c>
      <c r="J123" s="2" t="str">
        <f>IFERROR(VLOOKUP($B123,Zwischenlauf!$B:$H,2,0),)</f>
        <v/>
      </c>
      <c r="K123" s="2" t="str">
        <f>IFERROR(VLOOKUP($B123,Zwischenlauf!$B:$H,3,0),)</f>
        <v/>
      </c>
      <c r="L123" s="2" t="str">
        <f>IFERROR(VLOOKUP($B123,Zwischenlauf!$B:$H,4,0),)</f>
        <v/>
      </c>
      <c r="M123" s="2" t="str">
        <f>IFERROR(VLOOKUP($B123,Zwischenlauf!$B:$H,5,0),)</f>
        <v/>
      </c>
      <c r="N123" s="2" t="str">
        <f>IFERROR(VLOOKUP($B123,Zwischenlauf!$B:$H,6,0),)</f>
        <v/>
      </c>
      <c r="O123" s="2" t="str">
        <f>IFERROR(VLOOKUP($B123,Zwischenlauf!$B:$H,7,0),)</f>
        <v/>
      </c>
      <c r="P123" s="2" t="str">
        <f>IFERROR(VLOOKUP($B123,Finalrunde!$B:$H,2,0),)</f>
        <v/>
      </c>
      <c r="Q123" s="2" t="str">
        <f>IFERROR(VLOOKUP($B123,Finalrunde!$B:$H,3,0),)</f>
        <v/>
      </c>
      <c r="R123" s="2" t="str">
        <f>IFERROR(VLOOKUP($B123,Finalrunde!$B:$H,4,0),)</f>
        <v/>
      </c>
      <c r="S123" s="2" t="str">
        <f>IFERROR(VLOOKUP($B123,Finalrunde!$B:$H,5,0),)</f>
        <v/>
      </c>
      <c r="T123" s="2" t="str">
        <f>IFERROR(VLOOKUP($B123,Finalrunde!$B:$H,6,0),)</f>
        <v/>
      </c>
      <c r="U123" s="2" t="str">
        <f>IFERROR(VLOOKUP($B123,Finalrunde!$B:$H,7,0),)</f>
        <v/>
      </c>
      <c r="V123" s="2">
        <f t="shared" si="1"/>
        <v>0</v>
      </c>
      <c r="W123" s="2">
        <f t="shared" si="2"/>
        <v>0</v>
      </c>
      <c r="X123" s="2">
        <f t="shared" si="3"/>
        <v>0</v>
      </c>
      <c r="Y123" s="2">
        <f t="shared" si="4"/>
        <v>0</v>
      </c>
      <c r="Z123" s="2">
        <f t="shared" si="5"/>
        <v>0</v>
      </c>
      <c r="AA123" s="2">
        <f t="shared" si="6"/>
        <v>0</v>
      </c>
      <c r="AB123" s="2" t="str">
        <f>IFERROR(VLOOKUP(B123,'Mitglieder BBU'!A:K,12,0),"")</f>
        <v/>
      </c>
      <c r="AC123" s="2">
        <f t="shared" si="7"/>
        <v>0</v>
      </c>
      <c r="AD123" s="2">
        <f t="array" ref="AD123">MIN(IF(D123:U123&lt;&gt;0,D123:U123))</f>
        <v>0</v>
      </c>
    </row>
    <row r="124">
      <c r="A124" s="2">
        <v>121.0</v>
      </c>
      <c r="B124" s="111" t="str">
        <f>Spieler!B126</f>
        <v/>
      </c>
      <c r="D124" s="2" t="str">
        <f>IFERROR(VLOOKUP($B124,Vorrunde!B:H,2,0),)</f>
        <v/>
      </c>
      <c r="E124" s="2" t="str">
        <f>IFERROR(VLOOKUP($B124,Vorrunde!$B:$H,3,0),)</f>
        <v/>
      </c>
      <c r="F124" s="2">
        <f>IFERROR(VLOOKUP($B124,Vorrunde!$B:$H,4,0),0)</f>
        <v>0</v>
      </c>
      <c r="G124" s="2" t="str">
        <f>IFERROR(VLOOKUP($B124,Vorrunde!$B:$H,5,0),)</f>
        <v/>
      </c>
      <c r="H124" s="2" t="str">
        <f>IFERROR(VLOOKUP($B124,Vorrunde!$B:$H,6,0),)</f>
        <v/>
      </c>
      <c r="I124" s="2" t="str">
        <f>IFERROR(VLOOKUP($B124,Vorrunde!$B:$H,7,0),)</f>
        <v/>
      </c>
      <c r="J124" s="2" t="str">
        <f>IFERROR(VLOOKUP($B124,Zwischenlauf!$B:$H,2,0),)</f>
        <v/>
      </c>
      <c r="K124" s="2" t="str">
        <f>IFERROR(VLOOKUP($B124,Zwischenlauf!$B:$H,3,0),)</f>
        <v/>
      </c>
      <c r="L124" s="2" t="str">
        <f>IFERROR(VLOOKUP($B124,Zwischenlauf!$B:$H,4,0),)</f>
        <v/>
      </c>
      <c r="M124" s="2" t="str">
        <f>IFERROR(VLOOKUP($B124,Zwischenlauf!$B:$H,5,0),)</f>
        <v/>
      </c>
      <c r="N124" s="2" t="str">
        <f>IFERROR(VLOOKUP($B124,Zwischenlauf!$B:$H,6,0),)</f>
        <v/>
      </c>
      <c r="O124" s="2" t="str">
        <f>IFERROR(VLOOKUP($B124,Zwischenlauf!$B:$H,7,0),)</f>
        <v/>
      </c>
      <c r="P124" s="2" t="str">
        <f>IFERROR(VLOOKUP($B124,Finalrunde!$B:$H,2,0),)</f>
        <v/>
      </c>
      <c r="Q124" s="2" t="str">
        <f>IFERROR(VLOOKUP($B124,Finalrunde!$B:$H,3,0),)</f>
        <v/>
      </c>
      <c r="R124" s="2" t="str">
        <f>IFERROR(VLOOKUP($B124,Finalrunde!$B:$H,4,0),)</f>
        <v/>
      </c>
      <c r="S124" s="2" t="str">
        <f>IFERROR(VLOOKUP($B124,Finalrunde!$B:$H,5,0),)</f>
        <v/>
      </c>
      <c r="T124" s="2" t="str">
        <f>IFERROR(VLOOKUP($B124,Finalrunde!$B:$H,6,0),)</f>
        <v/>
      </c>
      <c r="U124" s="2" t="str">
        <f>IFERROR(VLOOKUP($B124,Finalrunde!$B:$H,7,0),)</f>
        <v/>
      </c>
      <c r="V124" s="2">
        <f t="shared" si="1"/>
        <v>0</v>
      </c>
      <c r="W124" s="2">
        <f t="shared" si="2"/>
        <v>0</v>
      </c>
      <c r="X124" s="2">
        <f t="shared" si="3"/>
        <v>0</v>
      </c>
      <c r="Y124" s="2">
        <f t="shared" si="4"/>
        <v>0</v>
      </c>
      <c r="Z124" s="2">
        <f t="shared" si="5"/>
        <v>0</v>
      </c>
      <c r="AA124" s="2">
        <f t="shared" si="6"/>
        <v>0</v>
      </c>
      <c r="AB124" s="2" t="str">
        <f>IFERROR(VLOOKUP(B124,'Mitglieder BBU'!A:K,12,0),"")</f>
        <v/>
      </c>
      <c r="AC124" s="2">
        <f t="shared" si="7"/>
        <v>0</v>
      </c>
      <c r="AD124" s="2">
        <f t="array" ref="AD124">MIN(IF(D124:U124&lt;&gt;0,D124:U124))</f>
        <v>0</v>
      </c>
    </row>
    <row r="125">
      <c r="A125" s="2">
        <v>122.0</v>
      </c>
      <c r="B125" s="111" t="str">
        <f>Spieler!B127</f>
        <v/>
      </c>
      <c r="D125" s="2" t="str">
        <f>IFERROR(VLOOKUP($B125,Vorrunde!B:H,2,0),)</f>
        <v/>
      </c>
      <c r="E125" s="2" t="str">
        <f>IFERROR(VLOOKUP($B125,Vorrunde!$B:$H,3,0),)</f>
        <v/>
      </c>
      <c r="F125" s="2">
        <f>IFERROR(VLOOKUP($B125,Vorrunde!$B:$H,4,0),0)</f>
        <v>0</v>
      </c>
      <c r="G125" s="2" t="str">
        <f>IFERROR(VLOOKUP($B125,Vorrunde!$B:$H,5,0),)</f>
        <v/>
      </c>
      <c r="H125" s="2" t="str">
        <f>IFERROR(VLOOKUP($B125,Vorrunde!$B:$H,6,0),)</f>
        <v/>
      </c>
      <c r="I125" s="2" t="str">
        <f>IFERROR(VLOOKUP($B125,Vorrunde!$B:$H,7,0),)</f>
        <v/>
      </c>
      <c r="J125" s="2" t="str">
        <f>IFERROR(VLOOKUP($B125,Zwischenlauf!$B:$H,2,0),)</f>
        <v/>
      </c>
      <c r="K125" s="2" t="str">
        <f>IFERROR(VLOOKUP($B125,Zwischenlauf!$B:$H,3,0),)</f>
        <v/>
      </c>
      <c r="L125" s="2" t="str">
        <f>IFERROR(VLOOKUP($B125,Zwischenlauf!$B:$H,4,0),)</f>
        <v/>
      </c>
      <c r="M125" s="2" t="str">
        <f>IFERROR(VLOOKUP($B125,Zwischenlauf!$B:$H,5,0),)</f>
        <v/>
      </c>
      <c r="N125" s="2" t="str">
        <f>IFERROR(VLOOKUP($B125,Zwischenlauf!$B:$H,6,0),)</f>
        <v/>
      </c>
      <c r="O125" s="2" t="str">
        <f>IFERROR(VLOOKUP($B125,Zwischenlauf!$B:$H,7,0),)</f>
        <v/>
      </c>
      <c r="P125" s="2" t="str">
        <f>IFERROR(VLOOKUP($B125,Finalrunde!$B:$H,2,0),)</f>
        <v/>
      </c>
      <c r="Q125" s="2" t="str">
        <f>IFERROR(VLOOKUP($B125,Finalrunde!$B:$H,3,0),)</f>
        <v/>
      </c>
      <c r="R125" s="2" t="str">
        <f>IFERROR(VLOOKUP($B125,Finalrunde!$B:$H,4,0),)</f>
        <v/>
      </c>
      <c r="S125" s="2" t="str">
        <f>IFERROR(VLOOKUP($B125,Finalrunde!$B:$H,5,0),)</f>
        <v/>
      </c>
      <c r="T125" s="2" t="str">
        <f>IFERROR(VLOOKUP($B125,Finalrunde!$B:$H,6,0),)</f>
        <v/>
      </c>
      <c r="U125" s="2" t="str">
        <f>IFERROR(VLOOKUP($B125,Finalrunde!$B:$H,7,0),)</f>
        <v/>
      </c>
      <c r="V125" s="2">
        <f t="shared" si="1"/>
        <v>0</v>
      </c>
      <c r="W125" s="2">
        <f t="shared" si="2"/>
        <v>0</v>
      </c>
      <c r="X125" s="2">
        <f t="shared" si="3"/>
        <v>0</v>
      </c>
      <c r="Y125" s="2">
        <f t="shared" si="4"/>
        <v>0</v>
      </c>
      <c r="Z125" s="2">
        <f t="shared" si="5"/>
        <v>0</v>
      </c>
      <c r="AA125" s="2">
        <f t="shared" si="6"/>
        <v>0</v>
      </c>
      <c r="AB125" s="2" t="str">
        <f>IFERROR(VLOOKUP(B125,'Mitglieder BBU'!A:K,12,0),"")</f>
        <v/>
      </c>
      <c r="AC125" s="2">
        <f t="shared" si="7"/>
        <v>0</v>
      </c>
      <c r="AD125" s="2">
        <f t="array" ref="AD125">MIN(IF(D125:U125&lt;&gt;0,D125:U125))</f>
        <v>0</v>
      </c>
    </row>
    <row r="126">
      <c r="A126" s="2">
        <v>123.0</v>
      </c>
      <c r="B126" s="111" t="str">
        <f>Spieler!B128</f>
        <v/>
      </c>
      <c r="D126" s="2" t="str">
        <f>IFERROR(VLOOKUP($B126,Vorrunde!B:H,2,0),)</f>
        <v/>
      </c>
      <c r="E126" s="2" t="str">
        <f>IFERROR(VLOOKUP($B126,Vorrunde!$B:$H,3,0),)</f>
        <v/>
      </c>
      <c r="F126" s="2">
        <f>IFERROR(VLOOKUP($B126,Vorrunde!$B:$H,4,0),0)</f>
        <v>0</v>
      </c>
      <c r="G126" s="2" t="str">
        <f>IFERROR(VLOOKUP($B126,Vorrunde!$B:$H,5,0),)</f>
        <v/>
      </c>
      <c r="H126" s="2" t="str">
        <f>IFERROR(VLOOKUP($B126,Vorrunde!$B:$H,6,0),)</f>
        <v/>
      </c>
      <c r="I126" s="2" t="str">
        <f>IFERROR(VLOOKUP($B126,Vorrunde!$B:$H,7,0),)</f>
        <v/>
      </c>
      <c r="J126" s="2" t="str">
        <f>IFERROR(VLOOKUP($B126,Zwischenlauf!$B:$H,2,0),)</f>
        <v/>
      </c>
      <c r="K126" s="2" t="str">
        <f>IFERROR(VLOOKUP($B126,Zwischenlauf!$B:$H,3,0),)</f>
        <v/>
      </c>
      <c r="L126" s="2" t="str">
        <f>IFERROR(VLOOKUP($B126,Zwischenlauf!$B:$H,4,0),)</f>
        <v/>
      </c>
      <c r="M126" s="2" t="str">
        <f>IFERROR(VLOOKUP($B126,Zwischenlauf!$B:$H,5,0),)</f>
        <v/>
      </c>
      <c r="N126" s="2" t="str">
        <f>IFERROR(VLOOKUP($B126,Zwischenlauf!$B:$H,6,0),)</f>
        <v/>
      </c>
      <c r="O126" s="2" t="str">
        <f>IFERROR(VLOOKUP($B126,Zwischenlauf!$B:$H,7,0),)</f>
        <v/>
      </c>
      <c r="P126" s="2" t="str">
        <f>IFERROR(VLOOKUP($B126,Finalrunde!$B:$H,2,0),)</f>
        <v/>
      </c>
      <c r="Q126" s="2" t="str">
        <f>IFERROR(VLOOKUP($B126,Finalrunde!$B:$H,3,0),)</f>
        <v/>
      </c>
      <c r="R126" s="2" t="str">
        <f>IFERROR(VLOOKUP($B126,Finalrunde!$B:$H,4,0),)</f>
        <v/>
      </c>
      <c r="S126" s="2" t="str">
        <f>IFERROR(VLOOKUP($B126,Finalrunde!$B:$H,5,0),)</f>
        <v/>
      </c>
      <c r="T126" s="2" t="str">
        <f>IFERROR(VLOOKUP($B126,Finalrunde!$B:$H,6,0),)</f>
        <v/>
      </c>
      <c r="U126" s="2" t="str">
        <f>IFERROR(VLOOKUP($B126,Finalrunde!$B:$H,7,0),)</f>
        <v/>
      </c>
      <c r="V126" s="2">
        <f t="shared" si="1"/>
        <v>0</v>
      </c>
      <c r="W126" s="2">
        <f t="shared" si="2"/>
        <v>0</v>
      </c>
      <c r="X126" s="2">
        <f t="shared" si="3"/>
        <v>0</v>
      </c>
      <c r="Y126" s="2">
        <f t="shared" si="4"/>
        <v>0</v>
      </c>
      <c r="Z126" s="2">
        <f t="shared" si="5"/>
        <v>0</v>
      </c>
      <c r="AA126" s="2">
        <f t="shared" si="6"/>
        <v>0</v>
      </c>
      <c r="AB126" s="2" t="str">
        <f>IFERROR(VLOOKUP(B126,'Mitglieder BBU'!A:K,12,0),"")</f>
        <v/>
      </c>
      <c r="AC126" s="2">
        <f t="shared" si="7"/>
        <v>0</v>
      </c>
      <c r="AD126" s="2">
        <f t="array" ref="AD126">MIN(IF(D126:U126&lt;&gt;0,D126:U126))</f>
        <v>0</v>
      </c>
    </row>
    <row r="127">
      <c r="A127" s="2">
        <v>124.0</v>
      </c>
      <c r="B127" s="111" t="str">
        <f>Spieler!B129</f>
        <v/>
      </c>
      <c r="D127" s="2" t="str">
        <f>IFERROR(VLOOKUP($B127,Vorrunde!B:H,2,0),)</f>
        <v/>
      </c>
      <c r="E127" s="2" t="str">
        <f>IFERROR(VLOOKUP($B127,Vorrunde!$B:$H,3,0),)</f>
        <v/>
      </c>
      <c r="F127" s="2">
        <f>IFERROR(VLOOKUP($B127,Vorrunde!$B:$H,4,0),0)</f>
        <v>0</v>
      </c>
      <c r="G127" s="2" t="str">
        <f>IFERROR(VLOOKUP($B127,Vorrunde!$B:$H,5,0),)</f>
        <v/>
      </c>
      <c r="H127" s="2" t="str">
        <f>IFERROR(VLOOKUP($B127,Vorrunde!$B:$H,6,0),)</f>
        <v/>
      </c>
      <c r="I127" s="2" t="str">
        <f>IFERROR(VLOOKUP($B127,Vorrunde!$B:$H,7,0),)</f>
        <v/>
      </c>
      <c r="J127" s="2" t="str">
        <f>IFERROR(VLOOKUP($B127,Zwischenlauf!$B:$H,2,0),)</f>
        <v/>
      </c>
      <c r="K127" s="2" t="str">
        <f>IFERROR(VLOOKUP($B127,Zwischenlauf!$B:$H,3,0),)</f>
        <v/>
      </c>
      <c r="L127" s="2" t="str">
        <f>IFERROR(VLOOKUP($B127,Zwischenlauf!$B:$H,4,0),)</f>
        <v/>
      </c>
      <c r="M127" s="2" t="str">
        <f>IFERROR(VLOOKUP($B127,Zwischenlauf!$B:$H,5,0),)</f>
        <v/>
      </c>
      <c r="N127" s="2" t="str">
        <f>IFERROR(VLOOKUP($B127,Zwischenlauf!$B:$H,6,0),)</f>
        <v/>
      </c>
      <c r="O127" s="2" t="str">
        <f>IFERROR(VLOOKUP($B127,Zwischenlauf!$B:$H,7,0),)</f>
        <v/>
      </c>
      <c r="P127" s="2" t="str">
        <f>IFERROR(VLOOKUP($B127,Finalrunde!$B:$H,2,0),)</f>
        <v/>
      </c>
      <c r="Q127" s="2" t="str">
        <f>IFERROR(VLOOKUP($B127,Finalrunde!$B:$H,3,0),)</f>
        <v/>
      </c>
      <c r="R127" s="2" t="str">
        <f>IFERROR(VLOOKUP($B127,Finalrunde!$B:$H,4,0),)</f>
        <v/>
      </c>
      <c r="S127" s="2" t="str">
        <f>IFERROR(VLOOKUP($B127,Finalrunde!$B:$H,5,0),)</f>
        <v/>
      </c>
      <c r="T127" s="2" t="str">
        <f>IFERROR(VLOOKUP($B127,Finalrunde!$B:$H,6,0),)</f>
        <v/>
      </c>
      <c r="U127" s="2" t="str">
        <f>IFERROR(VLOOKUP($B127,Finalrunde!$B:$H,7,0),)</f>
        <v/>
      </c>
      <c r="V127" s="2">
        <f t="shared" si="1"/>
        <v>0</v>
      </c>
      <c r="W127" s="2">
        <f t="shared" si="2"/>
        <v>0</v>
      </c>
      <c r="X127" s="2">
        <f t="shared" si="3"/>
        <v>0</v>
      </c>
      <c r="Y127" s="2">
        <f t="shared" si="4"/>
        <v>0</v>
      </c>
      <c r="Z127" s="2">
        <f t="shared" si="5"/>
        <v>0</v>
      </c>
      <c r="AA127" s="2">
        <f t="shared" si="6"/>
        <v>0</v>
      </c>
      <c r="AB127" s="2" t="str">
        <f>IFERROR(VLOOKUP(B127,'Mitglieder BBU'!A:K,12,0),"")</f>
        <v/>
      </c>
      <c r="AC127" s="2">
        <f t="shared" si="7"/>
        <v>0</v>
      </c>
      <c r="AD127" s="2">
        <f t="array" ref="AD127">MIN(IF(D127:U127&lt;&gt;0,D127:U127))</f>
        <v>0</v>
      </c>
    </row>
    <row r="128">
      <c r="A128" s="2">
        <v>125.0</v>
      </c>
      <c r="B128" s="111" t="str">
        <f>Spieler!B130</f>
        <v/>
      </c>
      <c r="D128" s="2" t="str">
        <f>IFERROR(VLOOKUP($B128,Vorrunde!B:H,2,0),)</f>
        <v/>
      </c>
      <c r="E128" s="2" t="str">
        <f>IFERROR(VLOOKUP($B128,Vorrunde!$B:$H,3,0),)</f>
        <v/>
      </c>
      <c r="F128" s="2">
        <f>IFERROR(VLOOKUP($B128,Vorrunde!$B:$H,4,0),0)</f>
        <v>0</v>
      </c>
      <c r="G128" s="2" t="str">
        <f>IFERROR(VLOOKUP($B128,Vorrunde!$B:$H,5,0),)</f>
        <v/>
      </c>
      <c r="H128" s="2" t="str">
        <f>IFERROR(VLOOKUP($B128,Vorrunde!$B:$H,6,0),)</f>
        <v/>
      </c>
      <c r="I128" s="2" t="str">
        <f>IFERROR(VLOOKUP($B128,Vorrunde!$B:$H,7,0),)</f>
        <v/>
      </c>
      <c r="J128" s="2" t="str">
        <f>IFERROR(VLOOKUP($B128,Zwischenlauf!$B:$H,2,0),)</f>
        <v/>
      </c>
      <c r="K128" s="2" t="str">
        <f>IFERROR(VLOOKUP($B128,Zwischenlauf!$B:$H,3,0),)</f>
        <v/>
      </c>
      <c r="L128" s="2" t="str">
        <f>IFERROR(VLOOKUP($B128,Zwischenlauf!$B:$H,4,0),)</f>
        <v/>
      </c>
      <c r="M128" s="2" t="str">
        <f>IFERROR(VLOOKUP($B128,Zwischenlauf!$B:$H,5,0),)</f>
        <v/>
      </c>
      <c r="N128" s="2" t="str">
        <f>IFERROR(VLOOKUP($B128,Zwischenlauf!$B:$H,6,0),)</f>
        <v/>
      </c>
      <c r="O128" s="2" t="str">
        <f>IFERROR(VLOOKUP($B128,Zwischenlauf!$B:$H,7,0),)</f>
        <v/>
      </c>
      <c r="P128" s="2" t="str">
        <f>IFERROR(VLOOKUP($B128,Finalrunde!$B:$H,2,0),)</f>
        <v/>
      </c>
      <c r="Q128" s="2" t="str">
        <f>IFERROR(VLOOKUP($B128,Finalrunde!$B:$H,3,0),)</f>
        <v/>
      </c>
      <c r="R128" s="2" t="str">
        <f>IFERROR(VLOOKUP($B128,Finalrunde!$B:$H,4,0),)</f>
        <v/>
      </c>
      <c r="S128" s="2" t="str">
        <f>IFERROR(VLOOKUP($B128,Finalrunde!$B:$H,5,0),)</f>
        <v/>
      </c>
      <c r="T128" s="2" t="str">
        <f>IFERROR(VLOOKUP($B128,Finalrunde!$B:$H,6,0),)</f>
        <v/>
      </c>
      <c r="U128" s="2" t="str">
        <f>IFERROR(VLOOKUP($B128,Finalrunde!$B:$H,7,0),)</f>
        <v/>
      </c>
      <c r="V128" s="2">
        <f t="shared" si="1"/>
        <v>0</v>
      </c>
      <c r="W128" s="2">
        <f t="shared" si="2"/>
        <v>0</v>
      </c>
      <c r="X128" s="2">
        <f t="shared" si="3"/>
        <v>0</v>
      </c>
      <c r="Y128" s="2">
        <f t="shared" si="4"/>
        <v>0</v>
      </c>
      <c r="Z128" s="2">
        <f t="shared" si="5"/>
        <v>0</v>
      </c>
      <c r="AA128" s="2">
        <f t="shared" si="6"/>
        <v>0</v>
      </c>
      <c r="AB128" s="2" t="str">
        <f>IFERROR(VLOOKUP(B128,'Mitglieder BBU'!A:K,12,0),"")</f>
        <v/>
      </c>
      <c r="AC128" s="2">
        <f t="shared" si="7"/>
        <v>0</v>
      </c>
      <c r="AD128" s="2">
        <f t="array" ref="AD128">MIN(IF(D128:U128&lt;&gt;0,D128:U128))</f>
        <v>0</v>
      </c>
    </row>
    <row r="129">
      <c r="A129" s="2">
        <v>126.0</v>
      </c>
      <c r="B129" s="111" t="str">
        <f>Spieler!B131</f>
        <v/>
      </c>
      <c r="D129" s="2" t="str">
        <f>IFERROR(VLOOKUP($B129,Vorrunde!B:H,2,0),)</f>
        <v/>
      </c>
      <c r="E129" s="2" t="str">
        <f>IFERROR(VLOOKUP($B129,Vorrunde!$B:$H,3,0),)</f>
        <v/>
      </c>
      <c r="F129" s="2">
        <f>IFERROR(VLOOKUP($B129,Vorrunde!$B:$H,4,0),0)</f>
        <v>0</v>
      </c>
      <c r="G129" s="2" t="str">
        <f>IFERROR(VLOOKUP($B129,Vorrunde!$B:$H,5,0),)</f>
        <v/>
      </c>
      <c r="H129" s="2" t="str">
        <f>IFERROR(VLOOKUP($B129,Vorrunde!$B:$H,6,0),)</f>
        <v/>
      </c>
      <c r="I129" s="2" t="str">
        <f>IFERROR(VLOOKUP($B129,Vorrunde!$B:$H,7,0),)</f>
        <v/>
      </c>
      <c r="J129" s="2" t="str">
        <f>IFERROR(VLOOKUP($B129,Zwischenlauf!$B:$H,2,0),)</f>
        <v/>
      </c>
      <c r="K129" s="2" t="str">
        <f>IFERROR(VLOOKUP($B129,Zwischenlauf!$B:$H,3,0),)</f>
        <v/>
      </c>
      <c r="L129" s="2" t="str">
        <f>IFERROR(VLOOKUP($B129,Zwischenlauf!$B:$H,4,0),)</f>
        <v/>
      </c>
      <c r="M129" s="2" t="str">
        <f>IFERROR(VLOOKUP($B129,Zwischenlauf!$B:$H,5,0),)</f>
        <v/>
      </c>
      <c r="N129" s="2" t="str">
        <f>IFERROR(VLOOKUP($B129,Zwischenlauf!$B:$H,6,0),)</f>
        <v/>
      </c>
      <c r="O129" s="2" t="str">
        <f>IFERROR(VLOOKUP($B129,Zwischenlauf!$B:$H,7,0),)</f>
        <v/>
      </c>
      <c r="P129" s="2" t="str">
        <f>IFERROR(VLOOKUP($B129,Finalrunde!$B:$H,2,0),)</f>
        <v/>
      </c>
      <c r="Q129" s="2" t="str">
        <f>IFERROR(VLOOKUP($B129,Finalrunde!$B:$H,3,0),)</f>
        <v/>
      </c>
      <c r="R129" s="2" t="str">
        <f>IFERROR(VLOOKUP($B129,Finalrunde!$B:$H,4,0),)</f>
        <v/>
      </c>
      <c r="S129" s="2" t="str">
        <f>IFERROR(VLOOKUP($B129,Finalrunde!$B:$H,5,0),)</f>
        <v/>
      </c>
      <c r="T129" s="2" t="str">
        <f>IFERROR(VLOOKUP($B129,Finalrunde!$B:$H,6,0),)</f>
        <v/>
      </c>
      <c r="U129" s="2" t="str">
        <f>IFERROR(VLOOKUP($B129,Finalrunde!$B:$H,7,0),)</f>
        <v/>
      </c>
      <c r="V129" s="2">
        <f t="shared" si="1"/>
        <v>0</v>
      </c>
      <c r="W129" s="2">
        <f t="shared" si="2"/>
        <v>0</v>
      </c>
      <c r="X129" s="2">
        <f t="shared" si="3"/>
        <v>0</v>
      </c>
      <c r="Y129" s="2">
        <f t="shared" si="4"/>
        <v>0</v>
      </c>
      <c r="Z129" s="2">
        <f t="shared" si="5"/>
        <v>0</v>
      </c>
      <c r="AA129" s="2">
        <f t="shared" si="6"/>
        <v>0</v>
      </c>
      <c r="AB129" s="2" t="str">
        <f>IFERROR(VLOOKUP(B129,'Mitglieder BBU'!A:K,12,0),"")</f>
        <v/>
      </c>
      <c r="AC129" s="2">
        <f t="shared" si="7"/>
        <v>0</v>
      </c>
      <c r="AD129" s="2">
        <f t="array" ref="AD129">MIN(IF(D129:U129&lt;&gt;0,D129:U129))</f>
        <v>0</v>
      </c>
    </row>
    <row r="130">
      <c r="A130" s="2">
        <v>127.0</v>
      </c>
      <c r="B130" s="111" t="str">
        <f>Spieler!B132</f>
        <v/>
      </c>
      <c r="D130" s="2" t="str">
        <f>IFERROR(VLOOKUP($B130,Vorrunde!B:H,2,0),)</f>
        <v/>
      </c>
      <c r="E130" s="2" t="str">
        <f>IFERROR(VLOOKUP($B130,Vorrunde!$B:$H,3,0),)</f>
        <v/>
      </c>
      <c r="F130" s="2">
        <f>IFERROR(VLOOKUP($B130,Vorrunde!$B:$H,4,0),0)</f>
        <v>0</v>
      </c>
      <c r="G130" s="2" t="str">
        <f>IFERROR(VLOOKUP($B130,Vorrunde!$B:$H,5,0),)</f>
        <v/>
      </c>
      <c r="H130" s="2" t="str">
        <f>IFERROR(VLOOKUP($B130,Vorrunde!$B:$H,6,0),)</f>
        <v/>
      </c>
      <c r="I130" s="2" t="str">
        <f>IFERROR(VLOOKUP($B130,Vorrunde!$B:$H,7,0),)</f>
        <v/>
      </c>
      <c r="J130" s="2" t="str">
        <f>IFERROR(VLOOKUP($B130,Zwischenlauf!$B:$H,2,0),)</f>
        <v/>
      </c>
      <c r="K130" s="2" t="str">
        <f>IFERROR(VLOOKUP($B130,Zwischenlauf!$B:$H,3,0),)</f>
        <v/>
      </c>
      <c r="L130" s="2" t="str">
        <f>IFERROR(VLOOKUP($B130,Zwischenlauf!$B:$H,4,0),)</f>
        <v/>
      </c>
      <c r="M130" s="2" t="str">
        <f>IFERROR(VLOOKUP($B130,Zwischenlauf!$B:$H,5,0),)</f>
        <v/>
      </c>
      <c r="N130" s="2" t="str">
        <f>IFERROR(VLOOKUP($B130,Zwischenlauf!$B:$H,6,0),)</f>
        <v/>
      </c>
      <c r="O130" s="2" t="str">
        <f>IFERROR(VLOOKUP($B130,Zwischenlauf!$B:$H,7,0),)</f>
        <v/>
      </c>
      <c r="P130" s="2" t="str">
        <f>IFERROR(VLOOKUP($B130,Finalrunde!$B:$H,2,0),)</f>
        <v/>
      </c>
      <c r="Q130" s="2" t="str">
        <f>IFERROR(VLOOKUP($B130,Finalrunde!$B:$H,3,0),)</f>
        <v/>
      </c>
      <c r="R130" s="2" t="str">
        <f>IFERROR(VLOOKUP($B130,Finalrunde!$B:$H,4,0),)</f>
        <v/>
      </c>
      <c r="S130" s="2" t="str">
        <f>IFERROR(VLOOKUP($B130,Finalrunde!$B:$H,5,0),)</f>
        <v/>
      </c>
      <c r="T130" s="2" t="str">
        <f>IFERROR(VLOOKUP($B130,Finalrunde!$B:$H,6,0),)</f>
        <v/>
      </c>
      <c r="U130" s="2" t="str">
        <f>IFERROR(VLOOKUP($B130,Finalrunde!$B:$H,7,0),)</f>
        <v/>
      </c>
      <c r="V130" s="2">
        <f t="shared" si="1"/>
        <v>0</v>
      </c>
      <c r="W130" s="2">
        <f t="shared" si="2"/>
        <v>0</v>
      </c>
      <c r="X130" s="2">
        <f t="shared" si="3"/>
        <v>0</v>
      </c>
      <c r="Y130" s="2">
        <f t="shared" si="4"/>
        <v>0</v>
      </c>
      <c r="Z130" s="2">
        <f t="shared" si="5"/>
        <v>0</v>
      </c>
      <c r="AA130" s="2">
        <f t="shared" si="6"/>
        <v>0</v>
      </c>
      <c r="AB130" s="2" t="str">
        <f>IFERROR(VLOOKUP(B130,'Mitglieder BBU'!A:K,12,0),"")</f>
        <v/>
      </c>
      <c r="AC130" s="2">
        <f t="shared" si="7"/>
        <v>0</v>
      </c>
      <c r="AD130" s="2">
        <f t="array" ref="AD130">MIN(IF(D130:U130&lt;&gt;0,D130:U130))</f>
        <v>0</v>
      </c>
    </row>
    <row r="131">
      <c r="A131" s="2">
        <v>128.0</v>
      </c>
      <c r="B131" s="111" t="str">
        <f>Spieler!B133</f>
        <v/>
      </c>
      <c r="D131" s="2" t="str">
        <f>IFERROR(VLOOKUP($B131,Vorrunde!B:H,2,0),)</f>
        <v/>
      </c>
      <c r="E131" s="2" t="str">
        <f>IFERROR(VLOOKUP($B131,Vorrunde!$B:$H,3,0),)</f>
        <v/>
      </c>
      <c r="F131" s="2">
        <f>IFERROR(VLOOKUP($B131,Vorrunde!$B:$H,4,0),0)</f>
        <v>0</v>
      </c>
      <c r="G131" s="2" t="str">
        <f>IFERROR(VLOOKUP($B131,Vorrunde!$B:$H,5,0),)</f>
        <v/>
      </c>
      <c r="H131" s="2" t="str">
        <f>IFERROR(VLOOKUP($B131,Vorrunde!$B:$H,6,0),)</f>
        <v/>
      </c>
      <c r="I131" s="2" t="str">
        <f>IFERROR(VLOOKUP($B131,Vorrunde!$B:$H,7,0),)</f>
        <v/>
      </c>
      <c r="J131" s="2" t="str">
        <f>IFERROR(VLOOKUP($B131,Zwischenlauf!$B:$H,2,0),)</f>
        <v/>
      </c>
      <c r="K131" s="2" t="str">
        <f>IFERROR(VLOOKUP($B131,Zwischenlauf!$B:$H,3,0),)</f>
        <v/>
      </c>
      <c r="L131" s="2" t="str">
        <f>IFERROR(VLOOKUP($B131,Zwischenlauf!$B:$H,4,0),)</f>
        <v/>
      </c>
      <c r="M131" s="2" t="str">
        <f>IFERROR(VLOOKUP($B131,Zwischenlauf!$B:$H,5,0),)</f>
        <v/>
      </c>
      <c r="N131" s="2" t="str">
        <f>IFERROR(VLOOKUP($B131,Zwischenlauf!$B:$H,6,0),)</f>
        <v/>
      </c>
      <c r="O131" s="2" t="str">
        <f>IFERROR(VLOOKUP($B131,Zwischenlauf!$B:$H,7,0),)</f>
        <v/>
      </c>
      <c r="P131" s="2" t="str">
        <f>IFERROR(VLOOKUP($B131,Finalrunde!$B:$H,2,0),)</f>
        <v/>
      </c>
      <c r="Q131" s="2" t="str">
        <f>IFERROR(VLOOKUP($B131,Finalrunde!$B:$H,3,0),)</f>
        <v/>
      </c>
      <c r="R131" s="2" t="str">
        <f>IFERROR(VLOOKUP($B131,Finalrunde!$B:$H,4,0),)</f>
        <v/>
      </c>
      <c r="S131" s="2" t="str">
        <f>IFERROR(VLOOKUP($B131,Finalrunde!$B:$H,5,0),)</f>
        <v/>
      </c>
      <c r="T131" s="2" t="str">
        <f>IFERROR(VLOOKUP($B131,Finalrunde!$B:$H,6,0),)</f>
        <v/>
      </c>
      <c r="U131" s="2" t="str">
        <f>IFERROR(VLOOKUP($B131,Finalrunde!$B:$H,7,0),)</f>
        <v/>
      </c>
      <c r="V131" s="2">
        <f t="shared" si="1"/>
        <v>0</v>
      </c>
      <c r="W131" s="2">
        <f t="shared" si="2"/>
        <v>0</v>
      </c>
      <c r="X131" s="2">
        <f t="shared" si="3"/>
        <v>0</v>
      </c>
      <c r="Y131" s="2">
        <f t="shared" si="4"/>
        <v>0</v>
      </c>
      <c r="Z131" s="2">
        <f t="shared" si="5"/>
        <v>0</v>
      </c>
      <c r="AA131" s="2">
        <f t="shared" si="6"/>
        <v>0</v>
      </c>
      <c r="AB131" s="2" t="str">
        <f>IFERROR(VLOOKUP(B131,'Mitglieder BBU'!A:K,12,0),"")</f>
        <v/>
      </c>
      <c r="AC131" s="2">
        <f t="shared" si="7"/>
        <v>0</v>
      </c>
      <c r="AD131" s="2">
        <f t="array" ref="AD131">MIN(IF(D131:U131&lt;&gt;0,D131:U131))</f>
        <v>0</v>
      </c>
    </row>
    <row r="132">
      <c r="A132" s="2">
        <v>129.0</v>
      </c>
      <c r="B132" s="111" t="str">
        <f>Spieler!B134</f>
        <v/>
      </c>
      <c r="D132" s="2" t="str">
        <f>IFERROR(VLOOKUP($B132,Vorrunde!B:H,2,0),)</f>
        <v/>
      </c>
      <c r="E132" s="2" t="str">
        <f>IFERROR(VLOOKUP($B132,Vorrunde!$B:$H,3,0),)</f>
        <v/>
      </c>
      <c r="F132" s="2">
        <f>IFERROR(VLOOKUP($B132,Vorrunde!$B:$H,4,0),0)</f>
        <v>0</v>
      </c>
      <c r="G132" s="2" t="str">
        <f>IFERROR(VLOOKUP($B132,Vorrunde!$B:$H,5,0),)</f>
        <v/>
      </c>
      <c r="H132" s="2" t="str">
        <f>IFERROR(VLOOKUP($B132,Vorrunde!$B:$H,6,0),)</f>
        <v/>
      </c>
      <c r="I132" s="2" t="str">
        <f>IFERROR(VLOOKUP($B132,Vorrunde!$B:$H,7,0),)</f>
        <v/>
      </c>
      <c r="J132" s="2" t="str">
        <f>IFERROR(VLOOKUP($B132,Zwischenlauf!$B:$H,2,0),)</f>
        <v/>
      </c>
      <c r="K132" s="2" t="str">
        <f>IFERROR(VLOOKUP($B132,Zwischenlauf!$B:$H,3,0),)</f>
        <v/>
      </c>
      <c r="L132" s="2" t="str">
        <f>IFERROR(VLOOKUP($B132,Zwischenlauf!$B:$H,4,0),)</f>
        <v/>
      </c>
      <c r="M132" s="2" t="str">
        <f>IFERROR(VLOOKUP($B132,Zwischenlauf!$B:$H,5,0),)</f>
        <v/>
      </c>
      <c r="N132" s="2" t="str">
        <f>IFERROR(VLOOKUP($B132,Zwischenlauf!$B:$H,6,0),)</f>
        <v/>
      </c>
      <c r="O132" s="2" t="str">
        <f>IFERROR(VLOOKUP($B132,Zwischenlauf!$B:$H,7,0),)</f>
        <v/>
      </c>
      <c r="P132" s="2" t="str">
        <f>IFERROR(VLOOKUP($B132,Finalrunde!$B:$H,2,0),)</f>
        <v/>
      </c>
      <c r="Q132" s="2" t="str">
        <f>IFERROR(VLOOKUP($B132,Finalrunde!$B:$H,3,0),)</f>
        <v/>
      </c>
      <c r="R132" s="2" t="str">
        <f>IFERROR(VLOOKUP($B132,Finalrunde!$B:$H,4,0),)</f>
        <v/>
      </c>
      <c r="S132" s="2" t="str">
        <f>IFERROR(VLOOKUP($B132,Finalrunde!$B:$H,5,0),)</f>
        <v/>
      </c>
      <c r="T132" s="2" t="str">
        <f>IFERROR(VLOOKUP($B132,Finalrunde!$B:$H,6,0),)</f>
        <v/>
      </c>
      <c r="U132" s="2" t="str">
        <f>IFERROR(VLOOKUP($B132,Finalrunde!$B:$H,7,0),)</f>
        <v/>
      </c>
      <c r="V132" s="2">
        <f t="shared" si="1"/>
        <v>0</v>
      </c>
      <c r="W132" s="2">
        <f t="shared" si="2"/>
        <v>0</v>
      </c>
      <c r="X132" s="2">
        <f t="shared" si="3"/>
        <v>0</v>
      </c>
      <c r="Y132" s="2">
        <f t="shared" si="4"/>
        <v>0</v>
      </c>
      <c r="Z132" s="2">
        <f t="shared" si="5"/>
        <v>0</v>
      </c>
      <c r="AA132" s="2">
        <f t="shared" si="6"/>
        <v>0</v>
      </c>
      <c r="AB132" s="2" t="str">
        <f>IFERROR(VLOOKUP(B132,'Mitglieder BBU'!A:K,12,0),"")</f>
        <v/>
      </c>
      <c r="AC132" s="2">
        <f t="shared" si="7"/>
        <v>0</v>
      </c>
      <c r="AD132" s="2">
        <f t="array" ref="AD132">MIN(IF(D132:U132&lt;&gt;0,D132:U132))</f>
        <v>0</v>
      </c>
    </row>
    <row r="133">
      <c r="A133" s="2">
        <v>130.0</v>
      </c>
      <c r="B133" s="111" t="str">
        <f>Spieler!B135</f>
        <v/>
      </c>
      <c r="D133" s="2" t="str">
        <f>IFERROR(VLOOKUP($B133,Vorrunde!B:H,2,0),)</f>
        <v/>
      </c>
      <c r="E133" s="2" t="str">
        <f>IFERROR(VLOOKUP($B133,Vorrunde!$B:$H,3,0),)</f>
        <v/>
      </c>
      <c r="F133" s="2">
        <f>IFERROR(VLOOKUP($B133,Vorrunde!$B:$H,4,0),0)</f>
        <v>0</v>
      </c>
      <c r="G133" s="2" t="str">
        <f>IFERROR(VLOOKUP($B133,Vorrunde!$B:$H,5,0),)</f>
        <v/>
      </c>
      <c r="H133" s="2" t="str">
        <f>IFERROR(VLOOKUP($B133,Vorrunde!$B:$H,6,0),)</f>
        <v/>
      </c>
      <c r="I133" s="2" t="str">
        <f>IFERROR(VLOOKUP($B133,Vorrunde!$B:$H,7,0),)</f>
        <v/>
      </c>
      <c r="J133" s="2" t="str">
        <f>IFERROR(VLOOKUP($B133,Zwischenlauf!$B:$H,2,0),)</f>
        <v/>
      </c>
      <c r="K133" s="2" t="str">
        <f>IFERROR(VLOOKUP($B133,Zwischenlauf!$B:$H,3,0),)</f>
        <v/>
      </c>
      <c r="L133" s="2" t="str">
        <f>IFERROR(VLOOKUP($B133,Zwischenlauf!$B:$H,4,0),)</f>
        <v/>
      </c>
      <c r="M133" s="2" t="str">
        <f>IFERROR(VLOOKUP($B133,Zwischenlauf!$B:$H,5,0),)</f>
        <v/>
      </c>
      <c r="N133" s="2" t="str">
        <f>IFERROR(VLOOKUP($B133,Zwischenlauf!$B:$H,6,0),)</f>
        <v/>
      </c>
      <c r="O133" s="2" t="str">
        <f>IFERROR(VLOOKUP($B133,Zwischenlauf!$B:$H,7,0),)</f>
        <v/>
      </c>
      <c r="P133" s="2" t="str">
        <f>IFERROR(VLOOKUP($B133,Finalrunde!$B:$H,2,0),)</f>
        <v/>
      </c>
      <c r="Q133" s="2" t="str">
        <f>IFERROR(VLOOKUP($B133,Finalrunde!$B:$H,3,0),)</f>
        <v/>
      </c>
      <c r="R133" s="2" t="str">
        <f>IFERROR(VLOOKUP($B133,Finalrunde!$B:$H,4,0),)</f>
        <v/>
      </c>
      <c r="S133" s="2" t="str">
        <f>IFERROR(VLOOKUP($B133,Finalrunde!$B:$H,5,0),)</f>
        <v/>
      </c>
      <c r="T133" s="2" t="str">
        <f>IFERROR(VLOOKUP($B133,Finalrunde!$B:$H,6,0),)</f>
        <v/>
      </c>
      <c r="U133" s="2" t="str">
        <f>IFERROR(VLOOKUP($B133,Finalrunde!$B:$H,7,0),)</f>
        <v/>
      </c>
      <c r="V133" s="2">
        <f t="shared" si="1"/>
        <v>0</v>
      </c>
      <c r="W133" s="2">
        <f t="shared" si="2"/>
        <v>0</v>
      </c>
      <c r="X133" s="2">
        <f t="shared" si="3"/>
        <v>0</v>
      </c>
      <c r="Y133" s="2">
        <f t="shared" si="4"/>
        <v>0</v>
      </c>
      <c r="Z133" s="2">
        <f t="shared" si="5"/>
        <v>0</v>
      </c>
      <c r="AA133" s="2">
        <f t="shared" si="6"/>
        <v>0</v>
      </c>
      <c r="AB133" s="2" t="str">
        <f>IFERROR(VLOOKUP(B133,'Mitglieder BBU'!A:K,12,0),"")</f>
        <v/>
      </c>
      <c r="AC133" s="2">
        <f t="shared" si="7"/>
        <v>0</v>
      </c>
      <c r="AD133" s="2">
        <f t="array" ref="AD133">MIN(IF(D133:U133&lt;&gt;0,D133:U133))</f>
        <v>0</v>
      </c>
    </row>
    <row r="134">
      <c r="A134" s="2">
        <v>131.0</v>
      </c>
      <c r="B134" s="111" t="str">
        <f>Spieler!B136</f>
        <v/>
      </c>
      <c r="D134" s="2" t="str">
        <f>IFERROR(VLOOKUP($B134,Vorrunde!B:H,2,0),)</f>
        <v/>
      </c>
      <c r="E134" s="2" t="str">
        <f>IFERROR(VLOOKUP($B134,Vorrunde!$B:$H,3,0),)</f>
        <v/>
      </c>
      <c r="F134" s="2">
        <f>IFERROR(VLOOKUP($B134,Vorrunde!$B:$H,4,0),0)</f>
        <v>0</v>
      </c>
      <c r="G134" s="2" t="str">
        <f>IFERROR(VLOOKUP($B134,Vorrunde!$B:$H,5,0),)</f>
        <v/>
      </c>
      <c r="H134" s="2" t="str">
        <f>IFERROR(VLOOKUP($B134,Vorrunde!$B:$H,6,0),)</f>
        <v/>
      </c>
      <c r="I134" s="2" t="str">
        <f>IFERROR(VLOOKUP($B134,Vorrunde!$B:$H,7,0),)</f>
        <v/>
      </c>
      <c r="J134" s="2" t="str">
        <f>IFERROR(VLOOKUP($B134,Zwischenlauf!$B:$H,2,0),)</f>
        <v/>
      </c>
      <c r="K134" s="2" t="str">
        <f>IFERROR(VLOOKUP($B134,Zwischenlauf!$B:$H,3,0),)</f>
        <v/>
      </c>
      <c r="L134" s="2" t="str">
        <f>IFERROR(VLOOKUP($B134,Zwischenlauf!$B:$H,4,0),)</f>
        <v/>
      </c>
      <c r="M134" s="2" t="str">
        <f>IFERROR(VLOOKUP($B134,Zwischenlauf!$B:$H,5,0),)</f>
        <v/>
      </c>
      <c r="N134" s="2" t="str">
        <f>IFERROR(VLOOKUP($B134,Zwischenlauf!$B:$H,6,0),)</f>
        <v/>
      </c>
      <c r="O134" s="2" t="str">
        <f>IFERROR(VLOOKUP($B134,Zwischenlauf!$B:$H,7,0),)</f>
        <v/>
      </c>
      <c r="P134" s="2" t="str">
        <f>IFERROR(VLOOKUP($B134,Finalrunde!$B:$H,2,0),)</f>
        <v/>
      </c>
      <c r="Q134" s="2" t="str">
        <f>IFERROR(VLOOKUP($B134,Finalrunde!$B:$H,3,0),)</f>
        <v/>
      </c>
      <c r="R134" s="2" t="str">
        <f>IFERROR(VLOOKUP($B134,Finalrunde!$B:$H,4,0),)</f>
        <v/>
      </c>
      <c r="S134" s="2" t="str">
        <f>IFERROR(VLOOKUP($B134,Finalrunde!$B:$H,5,0),)</f>
        <v/>
      </c>
      <c r="T134" s="2" t="str">
        <f>IFERROR(VLOOKUP($B134,Finalrunde!$B:$H,6,0),)</f>
        <v/>
      </c>
      <c r="U134" s="2" t="str">
        <f>IFERROR(VLOOKUP($B134,Finalrunde!$B:$H,7,0),)</f>
        <v/>
      </c>
      <c r="V134" s="2">
        <f t="shared" si="1"/>
        <v>0</v>
      </c>
      <c r="W134" s="2">
        <f t="shared" si="2"/>
        <v>0</v>
      </c>
      <c r="X134" s="2">
        <f t="shared" si="3"/>
        <v>0</v>
      </c>
      <c r="Y134" s="2">
        <f t="shared" si="4"/>
        <v>0</v>
      </c>
      <c r="Z134" s="2">
        <f t="shared" si="5"/>
        <v>0</v>
      </c>
      <c r="AA134" s="2">
        <f t="shared" si="6"/>
        <v>0</v>
      </c>
      <c r="AB134" s="2" t="str">
        <f>IFERROR(VLOOKUP(B134,'Mitglieder BBU'!A:K,12,0),"")</f>
        <v/>
      </c>
      <c r="AC134" s="2">
        <f t="shared" si="7"/>
        <v>0</v>
      </c>
      <c r="AD134" s="2">
        <f t="array" ref="AD134">MIN(IF(D134:U134&lt;&gt;0,D134:U134))</f>
        <v>0</v>
      </c>
    </row>
    <row r="135">
      <c r="A135" s="2">
        <v>132.0</v>
      </c>
      <c r="B135" s="111" t="str">
        <f>Spieler!B137</f>
        <v/>
      </c>
      <c r="D135" s="2" t="str">
        <f>IFERROR(VLOOKUP($B135,Vorrunde!B:H,2,0),)</f>
        <v/>
      </c>
      <c r="E135" s="2" t="str">
        <f>IFERROR(VLOOKUP($B135,Vorrunde!$B:$H,3,0),)</f>
        <v/>
      </c>
      <c r="F135" s="2">
        <f>IFERROR(VLOOKUP($B135,Vorrunde!$B:$H,4,0),0)</f>
        <v>0</v>
      </c>
      <c r="G135" s="2" t="str">
        <f>IFERROR(VLOOKUP($B135,Vorrunde!$B:$H,5,0),)</f>
        <v/>
      </c>
      <c r="H135" s="2" t="str">
        <f>IFERROR(VLOOKUP($B135,Vorrunde!$B:$H,6,0),)</f>
        <v/>
      </c>
      <c r="I135" s="2" t="str">
        <f>IFERROR(VLOOKUP($B135,Vorrunde!$B:$H,7,0),)</f>
        <v/>
      </c>
      <c r="J135" s="2" t="str">
        <f>IFERROR(VLOOKUP($B135,Zwischenlauf!$B:$H,2,0),)</f>
        <v/>
      </c>
      <c r="K135" s="2" t="str">
        <f>IFERROR(VLOOKUP($B135,Zwischenlauf!$B:$H,3,0),)</f>
        <v/>
      </c>
      <c r="L135" s="2" t="str">
        <f>IFERROR(VLOOKUP($B135,Zwischenlauf!$B:$H,4,0),)</f>
        <v/>
      </c>
      <c r="M135" s="2" t="str">
        <f>IFERROR(VLOOKUP($B135,Zwischenlauf!$B:$H,5,0),)</f>
        <v/>
      </c>
      <c r="N135" s="2" t="str">
        <f>IFERROR(VLOOKUP($B135,Zwischenlauf!$B:$H,6,0),)</f>
        <v/>
      </c>
      <c r="O135" s="2" t="str">
        <f>IFERROR(VLOOKUP($B135,Zwischenlauf!$B:$H,7,0),)</f>
        <v/>
      </c>
      <c r="P135" s="2" t="str">
        <f>IFERROR(VLOOKUP($B135,Finalrunde!$B:$H,2,0),)</f>
        <v/>
      </c>
      <c r="Q135" s="2" t="str">
        <f>IFERROR(VLOOKUP($B135,Finalrunde!$B:$H,3,0),)</f>
        <v/>
      </c>
      <c r="R135" s="2" t="str">
        <f>IFERROR(VLOOKUP($B135,Finalrunde!$B:$H,4,0),)</f>
        <v/>
      </c>
      <c r="S135" s="2" t="str">
        <f>IFERROR(VLOOKUP($B135,Finalrunde!$B:$H,5,0),)</f>
        <v/>
      </c>
      <c r="T135" s="2" t="str">
        <f>IFERROR(VLOOKUP($B135,Finalrunde!$B:$H,6,0),)</f>
        <v/>
      </c>
      <c r="U135" s="2" t="str">
        <f>IFERROR(VLOOKUP($B135,Finalrunde!$B:$H,7,0),)</f>
        <v/>
      </c>
      <c r="V135" s="2">
        <f t="shared" si="1"/>
        <v>0</v>
      </c>
      <c r="W135" s="2">
        <f t="shared" si="2"/>
        <v>0</v>
      </c>
      <c r="X135" s="2">
        <f t="shared" si="3"/>
        <v>0</v>
      </c>
      <c r="Y135" s="2">
        <f t="shared" si="4"/>
        <v>0</v>
      </c>
      <c r="Z135" s="2">
        <f t="shared" si="5"/>
        <v>0</v>
      </c>
      <c r="AA135" s="2">
        <f t="shared" si="6"/>
        <v>0</v>
      </c>
      <c r="AB135" s="2" t="str">
        <f>IFERROR(VLOOKUP(B135,'Mitglieder BBU'!A:K,12,0),"")</f>
        <v/>
      </c>
      <c r="AC135" s="2">
        <f t="shared" si="7"/>
        <v>0</v>
      </c>
      <c r="AD135" s="2">
        <f t="array" ref="AD135">MIN(IF(D135:U135&lt;&gt;0,D135:U135))</f>
        <v>0</v>
      </c>
    </row>
    <row r="136">
      <c r="A136" s="2">
        <v>133.0</v>
      </c>
      <c r="B136" s="111" t="str">
        <f>Spieler!B138</f>
        <v/>
      </c>
      <c r="D136" s="2" t="str">
        <f>IFERROR(VLOOKUP($B136,Vorrunde!B:H,2,0),)</f>
        <v/>
      </c>
      <c r="E136" s="2" t="str">
        <f>IFERROR(VLOOKUP($B136,Vorrunde!$B:$H,3,0),)</f>
        <v/>
      </c>
      <c r="F136" s="2">
        <f>IFERROR(VLOOKUP($B136,Vorrunde!$B:$H,4,0),0)</f>
        <v>0</v>
      </c>
      <c r="G136" s="2" t="str">
        <f>IFERROR(VLOOKUP($B136,Vorrunde!$B:$H,5,0),)</f>
        <v/>
      </c>
      <c r="H136" s="2" t="str">
        <f>IFERROR(VLOOKUP($B136,Vorrunde!$B:$H,6,0),)</f>
        <v/>
      </c>
      <c r="I136" s="2" t="str">
        <f>IFERROR(VLOOKUP($B136,Vorrunde!$B:$H,7,0),)</f>
        <v/>
      </c>
      <c r="J136" s="2" t="str">
        <f>IFERROR(VLOOKUP($B136,Zwischenlauf!$B:$H,2,0),)</f>
        <v/>
      </c>
      <c r="K136" s="2" t="str">
        <f>IFERROR(VLOOKUP($B136,Zwischenlauf!$B:$H,3,0),)</f>
        <v/>
      </c>
      <c r="L136" s="2" t="str">
        <f>IFERROR(VLOOKUP($B136,Zwischenlauf!$B:$H,4,0),)</f>
        <v/>
      </c>
      <c r="M136" s="2" t="str">
        <f>IFERROR(VLOOKUP($B136,Zwischenlauf!$B:$H,5,0),)</f>
        <v/>
      </c>
      <c r="N136" s="2" t="str">
        <f>IFERROR(VLOOKUP($B136,Zwischenlauf!$B:$H,6,0),)</f>
        <v/>
      </c>
      <c r="O136" s="2" t="str">
        <f>IFERROR(VLOOKUP($B136,Zwischenlauf!$B:$H,7,0),)</f>
        <v/>
      </c>
      <c r="P136" s="2" t="str">
        <f>IFERROR(VLOOKUP($B136,Finalrunde!$B:$H,2,0),)</f>
        <v/>
      </c>
      <c r="Q136" s="2" t="str">
        <f>IFERROR(VLOOKUP($B136,Finalrunde!$B:$H,3,0),)</f>
        <v/>
      </c>
      <c r="R136" s="2" t="str">
        <f>IFERROR(VLOOKUP($B136,Finalrunde!$B:$H,4,0),)</f>
        <v/>
      </c>
      <c r="S136" s="2" t="str">
        <f>IFERROR(VLOOKUP($B136,Finalrunde!$B:$H,5,0),)</f>
        <v/>
      </c>
      <c r="T136" s="2" t="str">
        <f>IFERROR(VLOOKUP($B136,Finalrunde!$B:$H,6,0),)</f>
        <v/>
      </c>
      <c r="U136" s="2" t="str">
        <f>IFERROR(VLOOKUP($B136,Finalrunde!$B:$H,7,0),)</f>
        <v/>
      </c>
      <c r="V136" s="2">
        <f t="shared" si="1"/>
        <v>0</v>
      </c>
      <c r="W136" s="2">
        <f t="shared" si="2"/>
        <v>0</v>
      </c>
      <c r="X136" s="2">
        <f t="shared" si="3"/>
        <v>0</v>
      </c>
      <c r="Y136" s="2">
        <f t="shared" si="4"/>
        <v>0</v>
      </c>
      <c r="Z136" s="2">
        <f t="shared" si="5"/>
        <v>0</v>
      </c>
      <c r="AA136" s="2">
        <f t="shared" si="6"/>
        <v>0</v>
      </c>
      <c r="AB136" s="2" t="str">
        <f>IFERROR(VLOOKUP(B136,'Mitglieder BBU'!A:K,12,0),"")</f>
        <v/>
      </c>
      <c r="AC136" s="2">
        <f t="shared" si="7"/>
        <v>0</v>
      </c>
      <c r="AD136" s="2">
        <f t="array" ref="AD136">MIN(IF(D136:U136&lt;&gt;0,D136:U136))</f>
        <v>0</v>
      </c>
    </row>
    <row r="137">
      <c r="A137" s="2">
        <v>134.0</v>
      </c>
      <c r="B137" s="111" t="str">
        <f>Spieler!B139</f>
        <v/>
      </c>
      <c r="D137" s="2" t="str">
        <f>IFERROR(VLOOKUP($B137,Vorrunde!B:H,2,0),)</f>
        <v/>
      </c>
      <c r="E137" s="2" t="str">
        <f>IFERROR(VLOOKUP($B137,Vorrunde!$B:$H,3,0),)</f>
        <v/>
      </c>
      <c r="F137" s="2">
        <f>IFERROR(VLOOKUP($B137,Vorrunde!$B:$H,4,0),0)</f>
        <v>0</v>
      </c>
      <c r="G137" s="2" t="str">
        <f>IFERROR(VLOOKUP($B137,Vorrunde!$B:$H,5,0),)</f>
        <v/>
      </c>
      <c r="H137" s="2" t="str">
        <f>IFERROR(VLOOKUP($B137,Vorrunde!$B:$H,6,0),)</f>
        <v/>
      </c>
      <c r="I137" s="2" t="str">
        <f>IFERROR(VLOOKUP($B137,Vorrunde!$B:$H,7,0),)</f>
        <v/>
      </c>
      <c r="J137" s="2" t="str">
        <f>IFERROR(VLOOKUP($B137,Zwischenlauf!$B:$H,2,0),)</f>
        <v/>
      </c>
      <c r="K137" s="2" t="str">
        <f>IFERROR(VLOOKUP($B137,Zwischenlauf!$B:$H,3,0),)</f>
        <v/>
      </c>
      <c r="L137" s="2" t="str">
        <f>IFERROR(VLOOKUP($B137,Zwischenlauf!$B:$H,4,0),)</f>
        <v/>
      </c>
      <c r="M137" s="2" t="str">
        <f>IFERROR(VLOOKUP($B137,Zwischenlauf!$B:$H,5,0),)</f>
        <v/>
      </c>
      <c r="N137" s="2" t="str">
        <f>IFERROR(VLOOKUP($B137,Zwischenlauf!$B:$H,6,0),)</f>
        <v/>
      </c>
      <c r="O137" s="2" t="str">
        <f>IFERROR(VLOOKUP($B137,Zwischenlauf!$B:$H,7,0),)</f>
        <v/>
      </c>
      <c r="P137" s="2" t="str">
        <f>IFERROR(VLOOKUP($B137,Finalrunde!$B:$H,2,0),)</f>
        <v/>
      </c>
      <c r="Q137" s="2" t="str">
        <f>IFERROR(VLOOKUP($B137,Finalrunde!$B:$H,3,0),)</f>
        <v/>
      </c>
      <c r="R137" s="2" t="str">
        <f>IFERROR(VLOOKUP($B137,Finalrunde!$B:$H,4,0),)</f>
        <v/>
      </c>
      <c r="S137" s="2" t="str">
        <f>IFERROR(VLOOKUP($B137,Finalrunde!$B:$H,5,0),)</f>
        <v/>
      </c>
      <c r="T137" s="2" t="str">
        <f>IFERROR(VLOOKUP($B137,Finalrunde!$B:$H,6,0),)</f>
        <v/>
      </c>
      <c r="U137" s="2" t="str">
        <f>IFERROR(VLOOKUP($B137,Finalrunde!$B:$H,7,0),)</f>
        <v/>
      </c>
      <c r="V137" s="2">
        <f t="shared" si="1"/>
        <v>0</v>
      </c>
      <c r="W137" s="2">
        <f t="shared" si="2"/>
        <v>0</v>
      </c>
      <c r="X137" s="2">
        <f t="shared" si="3"/>
        <v>0</v>
      </c>
      <c r="Y137" s="2">
        <f t="shared" si="4"/>
        <v>0</v>
      </c>
      <c r="Z137" s="2">
        <f t="shared" si="5"/>
        <v>0</v>
      </c>
      <c r="AA137" s="2">
        <f t="shared" si="6"/>
        <v>0</v>
      </c>
      <c r="AB137" s="2" t="str">
        <f>IFERROR(VLOOKUP(B137,'Mitglieder BBU'!A:K,12,0),"")</f>
        <v/>
      </c>
      <c r="AC137" s="2">
        <f t="shared" si="7"/>
        <v>0</v>
      </c>
      <c r="AD137" s="2">
        <f t="array" ref="AD137">MIN(IF(D137:U137&lt;&gt;0,D137:U137))</f>
        <v>0</v>
      </c>
    </row>
    <row r="138">
      <c r="A138" s="2">
        <v>135.0</v>
      </c>
      <c r="B138" s="111" t="str">
        <f>Spieler!B140</f>
        <v/>
      </c>
      <c r="D138" s="2" t="str">
        <f>IFERROR(VLOOKUP($B138,Vorrunde!B:H,2,0),)</f>
        <v/>
      </c>
      <c r="E138" s="2" t="str">
        <f>IFERROR(VLOOKUP($B138,Vorrunde!$B:$H,3,0),)</f>
        <v/>
      </c>
      <c r="F138" s="2">
        <f>IFERROR(VLOOKUP($B138,Vorrunde!$B:$H,4,0),0)</f>
        <v>0</v>
      </c>
      <c r="G138" s="2" t="str">
        <f>IFERROR(VLOOKUP($B138,Vorrunde!$B:$H,5,0),)</f>
        <v/>
      </c>
      <c r="H138" s="2" t="str">
        <f>IFERROR(VLOOKUP($B138,Vorrunde!$B:$H,6,0),)</f>
        <v/>
      </c>
      <c r="I138" s="2" t="str">
        <f>IFERROR(VLOOKUP($B138,Vorrunde!$B:$H,7,0),)</f>
        <v/>
      </c>
      <c r="J138" s="2" t="str">
        <f>IFERROR(VLOOKUP($B138,Zwischenlauf!$B:$H,2,0),)</f>
        <v/>
      </c>
      <c r="K138" s="2" t="str">
        <f>IFERROR(VLOOKUP($B138,Zwischenlauf!$B:$H,3,0),)</f>
        <v/>
      </c>
      <c r="L138" s="2" t="str">
        <f>IFERROR(VLOOKUP($B138,Zwischenlauf!$B:$H,4,0),)</f>
        <v/>
      </c>
      <c r="M138" s="2" t="str">
        <f>IFERROR(VLOOKUP($B138,Zwischenlauf!$B:$H,5,0),)</f>
        <v/>
      </c>
      <c r="N138" s="2" t="str">
        <f>IFERROR(VLOOKUP($B138,Zwischenlauf!$B:$H,6,0),)</f>
        <v/>
      </c>
      <c r="O138" s="2" t="str">
        <f>IFERROR(VLOOKUP($B138,Zwischenlauf!$B:$H,7,0),)</f>
        <v/>
      </c>
      <c r="P138" s="2" t="str">
        <f>IFERROR(VLOOKUP($B138,Finalrunde!$B:$H,2,0),)</f>
        <v/>
      </c>
      <c r="Q138" s="2" t="str">
        <f>IFERROR(VLOOKUP($B138,Finalrunde!$B:$H,3,0),)</f>
        <v/>
      </c>
      <c r="R138" s="2" t="str">
        <f>IFERROR(VLOOKUP($B138,Finalrunde!$B:$H,4,0),)</f>
        <v/>
      </c>
      <c r="S138" s="2" t="str">
        <f>IFERROR(VLOOKUP($B138,Finalrunde!$B:$H,5,0),)</f>
        <v/>
      </c>
      <c r="T138" s="2" t="str">
        <f>IFERROR(VLOOKUP($B138,Finalrunde!$B:$H,6,0),)</f>
        <v/>
      </c>
      <c r="U138" s="2" t="str">
        <f>IFERROR(VLOOKUP($B138,Finalrunde!$B:$H,7,0),)</f>
        <v/>
      </c>
      <c r="V138" s="2">
        <f t="shared" si="1"/>
        <v>0</v>
      </c>
      <c r="W138" s="2">
        <f t="shared" si="2"/>
        <v>0</v>
      </c>
      <c r="X138" s="2">
        <f t="shared" si="3"/>
        <v>0</v>
      </c>
      <c r="Y138" s="2">
        <f t="shared" si="4"/>
        <v>0</v>
      </c>
      <c r="Z138" s="2">
        <f t="shared" si="5"/>
        <v>0</v>
      </c>
      <c r="AA138" s="2">
        <f t="shared" si="6"/>
        <v>0</v>
      </c>
      <c r="AB138" s="2" t="str">
        <f>IFERROR(VLOOKUP(B138,'Mitglieder BBU'!A:K,12,0),"")</f>
        <v/>
      </c>
      <c r="AC138" s="2">
        <f t="shared" si="7"/>
        <v>0</v>
      </c>
      <c r="AD138" s="2">
        <f t="array" ref="AD138">MIN(IF(D138:U138&lt;&gt;0,D138:U138))</f>
        <v>0</v>
      </c>
    </row>
    <row r="139">
      <c r="A139" s="2">
        <v>136.0</v>
      </c>
      <c r="B139" s="111" t="str">
        <f>Spieler!B141</f>
        <v/>
      </c>
      <c r="D139" s="2" t="str">
        <f>IFERROR(VLOOKUP($B139,Vorrunde!B:H,2,0),)</f>
        <v/>
      </c>
      <c r="E139" s="2" t="str">
        <f>IFERROR(VLOOKUP($B139,Vorrunde!$B:$H,3,0),)</f>
        <v/>
      </c>
      <c r="F139" s="2">
        <f>IFERROR(VLOOKUP($B139,Vorrunde!$B:$H,4,0),0)</f>
        <v>0</v>
      </c>
      <c r="G139" s="2" t="str">
        <f>IFERROR(VLOOKUP($B139,Vorrunde!$B:$H,5,0),)</f>
        <v/>
      </c>
      <c r="H139" s="2" t="str">
        <f>IFERROR(VLOOKUP($B139,Vorrunde!$B:$H,6,0),)</f>
        <v/>
      </c>
      <c r="I139" s="2" t="str">
        <f>IFERROR(VLOOKUP($B139,Vorrunde!$B:$H,7,0),)</f>
        <v/>
      </c>
      <c r="J139" s="2" t="str">
        <f>IFERROR(VLOOKUP($B139,Zwischenlauf!$B:$H,2,0),)</f>
        <v/>
      </c>
      <c r="K139" s="2" t="str">
        <f>IFERROR(VLOOKUP($B139,Zwischenlauf!$B:$H,3,0),)</f>
        <v/>
      </c>
      <c r="L139" s="2" t="str">
        <f>IFERROR(VLOOKUP($B139,Zwischenlauf!$B:$H,4,0),)</f>
        <v/>
      </c>
      <c r="M139" s="2" t="str">
        <f>IFERROR(VLOOKUP($B139,Zwischenlauf!$B:$H,5,0),)</f>
        <v/>
      </c>
      <c r="N139" s="2" t="str">
        <f>IFERROR(VLOOKUP($B139,Zwischenlauf!$B:$H,6,0),)</f>
        <v/>
      </c>
      <c r="O139" s="2" t="str">
        <f>IFERROR(VLOOKUP($B139,Zwischenlauf!$B:$H,7,0),)</f>
        <v/>
      </c>
      <c r="P139" s="2" t="str">
        <f>IFERROR(VLOOKUP($B139,Finalrunde!$B:$H,2,0),)</f>
        <v/>
      </c>
      <c r="Q139" s="2" t="str">
        <f>IFERROR(VLOOKUP($B139,Finalrunde!$B:$H,3,0),)</f>
        <v/>
      </c>
      <c r="R139" s="2" t="str">
        <f>IFERROR(VLOOKUP($B139,Finalrunde!$B:$H,4,0),)</f>
        <v/>
      </c>
      <c r="S139" s="2" t="str">
        <f>IFERROR(VLOOKUP($B139,Finalrunde!$B:$H,5,0),)</f>
        <v/>
      </c>
      <c r="T139" s="2" t="str">
        <f>IFERROR(VLOOKUP($B139,Finalrunde!$B:$H,6,0),)</f>
        <v/>
      </c>
      <c r="U139" s="2" t="str">
        <f>IFERROR(VLOOKUP($B139,Finalrunde!$B:$H,7,0),)</f>
        <v/>
      </c>
      <c r="V139" s="2">
        <f t="shared" si="1"/>
        <v>0</v>
      </c>
      <c r="W139" s="2">
        <f t="shared" si="2"/>
        <v>0</v>
      </c>
      <c r="X139" s="2">
        <f t="shared" si="3"/>
        <v>0</v>
      </c>
      <c r="Y139" s="2">
        <f t="shared" si="4"/>
        <v>0</v>
      </c>
      <c r="Z139" s="2">
        <f t="shared" si="5"/>
        <v>0</v>
      </c>
      <c r="AA139" s="2">
        <f t="shared" si="6"/>
        <v>0</v>
      </c>
      <c r="AB139" s="2" t="str">
        <f>IFERROR(VLOOKUP(B139,'Mitglieder BBU'!A:K,12,0),"")</f>
        <v/>
      </c>
      <c r="AC139" s="2">
        <f t="shared" si="7"/>
        <v>0</v>
      </c>
      <c r="AD139" s="2">
        <f t="array" ref="AD139">MIN(IF(D139:U139&lt;&gt;0,D139:U139))</f>
        <v>0</v>
      </c>
    </row>
    <row r="140">
      <c r="A140" s="2">
        <v>137.0</v>
      </c>
      <c r="B140" s="111" t="str">
        <f>Spieler!B142</f>
        <v/>
      </c>
      <c r="D140" s="2" t="str">
        <f>IFERROR(VLOOKUP($B140,Vorrunde!B:H,2,0),)</f>
        <v/>
      </c>
      <c r="E140" s="2" t="str">
        <f>IFERROR(VLOOKUP($B140,Vorrunde!$B:$H,3,0),)</f>
        <v/>
      </c>
      <c r="F140" s="2">
        <f>IFERROR(VLOOKUP($B140,Vorrunde!$B:$H,4,0),0)</f>
        <v>0</v>
      </c>
      <c r="G140" s="2" t="str">
        <f>IFERROR(VLOOKUP($B140,Vorrunde!$B:$H,5,0),)</f>
        <v/>
      </c>
      <c r="H140" s="2" t="str">
        <f>IFERROR(VLOOKUP($B140,Vorrunde!$B:$H,6,0),)</f>
        <v/>
      </c>
      <c r="I140" s="2" t="str">
        <f>IFERROR(VLOOKUP($B140,Vorrunde!$B:$H,7,0),)</f>
        <v/>
      </c>
      <c r="J140" s="2" t="str">
        <f>IFERROR(VLOOKUP($B140,Zwischenlauf!$B:$H,2,0),)</f>
        <v/>
      </c>
      <c r="K140" s="2" t="str">
        <f>IFERROR(VLOOKUP($B140,Zwischenlauf!$B:$H,3,0),)</f>
        <v/>
      </c>
      <c r="L140" s="2" t="str">
        <f>IFERROR(VLOOKUP($B140,Zwischenlauf!$B:$H,4,0),)</f>
        <v/>
      </c>
      <c r="M140" s="2" t="str">
        <f>IFERROR(VLOOKUP($B140,Zwischenlauf!$B:$H,5,0),)</f>
        <v/>
      </c>
      <c r="N140" s="2" t="str">
        <f>IFERROR(VLOOKUP($B140,Zwischenlauf!$B:$H,6,0),)</f>
        <v/>
      </c>
      <c r="O140" s="2" t="str">
        <f>IFERROR(VLOOKUP($B140,Zwischenlauf!$B:$H,7,0),)</f>
        <v/>
      </c>
      <c r="P140" s="2" t="str">
        <f>IFERROR(VLOOKUP($B140,Finalrunde!$B:$H,2,0),)</f>
        <v/>
      </c>
      <c r="Q140" s="2" t="str">
        <f>IFERROR(VLOOKUP($B140,Finalrunde!$B:$H,3,0),)</f>
        <v/>
      </c>
      <c r="R140" s="2" t="str">
        <f>IFERROR(VLOOKUP($B140,Finalrunde!$B:$H,4,0),)</f>
        <v/>
      </c>
      <c r="S140" s="2" t="str">
        <f>IFERROR(VLOOKUP($B140,Finalrunde!$B:$H,5,0),)</f>
        <v/>
      </c>
      <c r="T140" s="2" t="str">
        <f>IFERROR(VLOOKUP($B140,Finalrunde!$B:$H,6,0),)</f>
        <v/>
      </c>
      <c r="U140" s="2" t="str">
        <f>IFERROR(VLOOKUP($B140,Finalrunde!$B:$H,7,0),)</f>
        <v/>
      </c>
      <c r="V140" s="2">
        <f t="shared" si="1"/>
        <v>0</v>
      </c>
      <c r="W140" s="2">
        <f t="shared" si="2"/>
        <v>0</v>
      </c>
      <c r="X140" s="2">
        <f t="shared" si="3"/>
        <v>0</v>
      </c>
      <c r="Y140" s="2">
        <f t="shared" si="4"/>
        <v>0</v>
      </c>
      <c r="Z140" s="2">
        <f t="shared" si="5"/>
        <v>0</v>
      </c>
      <c r="AA140" s="2">
        <f t="shared" si="6"/>
        <v>0</v>
      </c>
      <c r="AB140" s="2" t="str">
        <f>IFERROR(VLOOKUP(B140,'Mitglieder BBU'!A:K,12,0),"")</f>
        <v/>
      </c>
      <c r="AC140" s="2">
        <f t="shared" si="7"/>
        <v>0</v>
      </c>
      <c r="AD140" s="2">
        <f t="array" ref="AD140">MIN(IF(D140:U140&lt;&gt;0,D140:U140))</f>
        <v>0</v>
      </c>
    </row>
    <row r="141">
      <c r="A141" s="2">
        <v>138.0</v>
      </c>
      <c r="B141" s="111" t="str">
        <f>Spieler!B143</f>
        <v/>
      </c>
      <c r="D141" s="2" t="str">
        <f>IFERROR(VLOOKUP($B141,Vorrunde!B:H,2,0),)</f>
        <v/>
      </c>
      <c r="E141" s="2" t="str">
        <f>IFERROR(VLOOKUP($B141,Vorrunde!$B:$H,3,0),)</f>
        <v/>
      </c>
      <c r="F141" s="2">
        <f>IFERROR(VLOOKUP($B141,Vorrunde!$B:$H,4,0),0)</f>
        <v>0</v>
      </c>
      <c r="G141" s="2" t="str">
        <f>IFERROR(VLOOKUP($B141,Vorrunde!$B:$H,5,0),)</f>
        <v/>
      </c>
      <c r="H141" s="2" t="str">
        <f>IFERROR(VLOOKUP($B141,Vorrunde!$B:$H,6,0),)</f>
        <v/>
      </c>
      <c r="I141" s="2" t="str">
        <f>IFERROR(VLOOKUP($B141,Vorrunde!$B:$H,7,0),)</f>
        <v/>
      </c>
      <c r="J141" s="2" t="str">
        <f>IFERROR(VLOOKUP($B141,Zwischenlauf!$B:$H,2,0),)</f>
        <v/>
      </c>
      <c r="K141" s="2" t="str">
        <f>IFERROR(VLOOKUP($B141,Zwischenlauf!$B:$H,3,0),)</f>
        <v/>
      </c>
      <c r="L141" s="2" t="str">
        <f>IFERROR(VLOOKUP($B141,Zwischenlauf!$B:$H,4,0),)</f>
        <v/>
      </c>
      <c r="M141" s="2" t="str">
        <f>IFERROR(VLOOKUP($B141,Zwischenlauf!$B:$H,5,0),)</f>
        <v/>
      </c>
      <c r="N141" s="2" t="str">
        <f>IFERROR(VLOOKUP($B141,Zwischenlauf!$B:$H,6,0),)</f>
        <v/>
      </c>
      <c r="O141" s="2" t="str">
        <f>IFERROR(VLOOKUP($B141,Zwischenlauf!$B:$H,7,0),)</f>
        <v/>
      </c>
      <c r="P141" s="2" t="str">
        <f>IFERROR(VLOOKUP($B141,Finalrunde!$B:$H,2,0),)</f>
        <v/>
      </c>
      <c r="Q141" s="2" t="str">
        <f>IFERROR(VLOOKUP($B141,Finalrunde!$B:$H,3,0),)</f>
        <v/>
      </c>
      <c r="R141" s="2" t="str">
        <f>IFERROR(VLOOKUP($B141,Finalrunde!$B:$H,4,0),)</f>
        <v/>
      </c>
      <c r="S141" s="2" t="str">
        <f>IFERROR(VLOOKUP($B141,Finalrunde!$B:$H,5,0),)</f>
        <v/>
      </c>
      <c r="T141" s="2" t="str">
        <f>IFERROR(VLOOKUP($B141,Finalrunde!$B:$H,6,0),)</f>
        <v/>
      </c>
      <c r="U141" s="2" t="str">
        <f>IFERROR(VLOOKUP($B141,Finalrunde!$B:$H,7,0),)</f>
        <v/>
      </c>
      <c r="V141" s="2">
        <f t="shared" si="1"/>
        <v>0</v>
      </c>
      <c r="W141" s="2">
        <f t="shared" si="2"/>
        <v>0</v>
      </c>
      <c r="X141" s="2">
        <f t="shared" si="3"/>
        <v>0</v>
      </c>
      <c r="Y141" s="2">
        <f t="shared" si="4"/>
        <v>0</v>
      </c>
      <c r="Z141" s="2">
        <f t="shared" si="5"/>
        <v>0</v>
      </c>
      <c r="AA141" s="2">
        <f t="shared" si="6"/>
        <v>0</v>
      </c>
      <c r="AB141" s="2" t="str">
        <f>IFERROR(VLOOKUP(B141,'Mitglieder BBU'!A:K,12,0),"")</f>
        <v/>
      </c>
      <c r="AC141" s="2">
        <f t="shared" si="7"/>
        <v>0</v>
      </c>
      <c r="AD141" s="2">
        <f t="array" ref="AD141">MIN(IF(D141:U141&lt;&gt;0,D141:U141))</f>
        <v>0</v>
      </c>
    </row>
    <row r="142">
      <c r="A142" s="2">
        <v>139.0</v>
      </c>
      <c r="B142" s="111" t="str">
        <f>Spieler!B144</f>
        <v/>
      </c>
      <c r="D142" s="2" t="str">
        <f>IFERROR(VLOOKUP($B142,Vorrunde!B:H,2,0),)</f>
        <v/>
      </c>
      <c r="E142" s="2" t="str">
        <f>IFERROR(VLOOKUP($B142,Vorrunde!$B:$H,3,0),)</f>
        <v/>
      </c>
      <c r="F142" s="2">
        <f>IFERROR(VLOOKUP($B142,Vorrunde!$B:$H,4,0),0)</f>
        <v>0</v>
      </c>
      <c r="G142" s="2" t="str">
        <f>IFERROR(VLOOKUP($B142,Vorrunde!$B:$H,5,0),)</f>
        <v/>
      </c>
      <c r="H142" s="2" t="str">
        <f>IFERROR(VLOOKUP($B142,Vorrunde!$B:$H,6,0),)</f>
        <v/>
      </c>
      <c r="I142" s="2" t="str">
        <f>IFERROR(VLOOKUP($B142,Vorrunde!$B:$H,7,0),)</f>
        <v/>
      </c>
      <c r="J142" s="2" t="str">
        <f>IFERROR(VLOOKUP($B142,Zwischenlauf!$B:$H,2,0),)</f>
        <v/>
      </c>
      <c r="K142" s="2" t="str">
        <f>IFERROR(VLOOKUP($B142,Zwischenlauf!$B:$H,3,0),)</f>
        <v/>
      </c>
      <c r="L142" s="2" t="str">
        <f>IFERROR(VLOOKUP($B142,Zwischenlauf!$B:$H,4,0),)</f>
        <v/>
      </c>
      <c r="M142" s="2" t="str">
        <f>IFERROR(VLOOKUP($B142,Zwischenlauf!$B:$H,5,0),)</f>
        <v/>
      </c>
      <c r="N142" s="2" t="str">
        <f>IFERROR(VLOOKUP($B142,Zwischenlauf!$B:$H,6,0),)</f>
        <v/>
      </c>
      <c r="O142" s="2" t="str">
        <f>IFERROR(VLOOKUP($B142,Zwischenlauf!$B:$H,7,0),)</f>
        <v/>
      </c>
      <c r="P142" s="2" t="str">
        <f>IFERROR(VLOOKUP($B142,Finalrunde!$B:$H,2,0),)</f>
        <v/>
      </c>
      <c r="Q142" s="2" t="str">
        <f>IFERROR(VLOOKUP($B142,Finalrunde!$B:$H,3,0),)</f>
        <v/>
      </c>
      <c r="R142" s="2" t="str">
        <f>IFERROR(VLOOKUP($B142,Finalrunde!$B:$H,4,0),)</f>
        <v/>
      </c>
      <c r="S142" s="2" t="str">
        <f>IFERROR(VLOOKUP($B142,Finalrunde!$B:$H,5,0),)</f>
        <v/>
      </c>
      <c r="T142" s="2" t="str">
        <f>IFERROR(VLOOKUP($B142,Finalrunde!$B:$H,6,0),)</f>
        <v/>
      </c>
      <c r="U142" s="2" t="str">
        <f>IFERROR(VLOOKUP($B142,Finalrunde!$B:$H,7,0),)</f>
        <v/>
      </c>
      <c r="V142" s="2">
        <f t="shared" si="1"/>
        <v>0</v>
      </c>
      <c r="W142" s="2">
        <f t="shared" si="2"/>
        <v>0</v>
      </c>
      <c r="X142" s="2">
        <f t="shared" si="3"/>
        <v>0</v>
      </c>
      <c r="Y142" s="2">
        <f t="shared" si="4"/>
        <v>0</v>
      </c>
      <c r="Z142" s="2">
        <f t="shared" si="5"/>
        <v>0</v>
      </c>
      <c r="AA142" s="2">
        <f t="shared" si="6"/>
        <v>0</v>
      </c>
      <c r="AB142" s="2" t="str">
        <f>IFERROR(VLOOKUP(B142,'Mitglieder BBU'!A:K,12,0),"")</f>
        <v/>
      </c>
      <c r="AC142" s="2">
        <f t="shared" si="7"/>
        <v>0</v>
      </c>
      <c r="AD142" s="2">
        <f t="array" ref="AD142">MIN(IF(D142:U142&lt;&gt;0,D142:U142))</f>
        <v>0</v>
      </c>
    </row>
    <row r="143">
      <c r="A143" s="2">
        <v>140.0</v>
      </c>
      <c r="B143" s="111" t="str">
        <f>Spieler!B145</f>
        <v/>
      </c>
      <c r="D143" s="2" t="str">
        <f>IFERROR(VLOOKUP($B143,Vorrunde!B:H,2,0),)</f>
        <v/>
      </c>
      <c r="E143" s="2" t="str">
        <f>IFERROR(VLOOKUP($B143,Vorrunde!$B:$H,3,0),)</f>
        <v/>
      </c>
      <c r="F143" s="2">
        <f>IFERROR(VLOOKUP($B143,Vorrunde!$B:$H,4,0),0)</f>
        <v>0</v>
      </c>
      <c r="G143" s="2" t="str">
        <f>IFERROR(VLOOKUP($B143,Vorrunde!$B:$H,5,0),)</f>
        <v/>
      </c>
      <c r="H143" s="2" t="str">
        <f>IFERROR(VLOOKUP($B143,Vorrunde!$B:$H,6,0),)</f>
        <v/>
      </c>
      <c r="I143" s="2" t="str">
        <f>IFERROR(VLOOKUP($B143,Vorrunde!$B:$H,7,0),)</f>
        <v/>
      </c>
      <c r="J143" s="2" t="str">
        <f>IFERROR(VLOOKUP($B143,Zwischenlauf!$B:$H,2,0),)</f>
        <v/>
      </c>
      <c r="K143" s="2" t="str">
        <f>IFERROR(VLOOKUP($B143,Zwischenlauf!$B:$H,3,0),)</f>
        <v/>
      </c>
      <c r="L143" s="2" t="str">
        <f>IFERROR(VLOOKUP($B143,Zwischenlauf!$B:$H,4,0),)</f>
        <v/>
      </c>
      <c r="M143" s="2" t="str">
        <f>IFERROR(VLOOKUP($B143,Zwischenlauf!$B:$H,5,0),)</f>
        <v/>
      </c>
      <c r="N143" s="2" t="str">
        <f>IFERROR(VLOOKUP($B143,Zwischenlauf!$B:$H,6,0),)</f>
        <v/>
      </c>
      <c r="O143" s="2" t="str">
        <f>IFERROR(VLOOKUP($B143,Zwischenlauf!$B:$H,7,0),)</f>
        <v/>
      </c>
      <c r="P143" s="2" t="str">
        <f>IFERROR(VLOOKUP($B143,Finalrunde!$B:$H,2,0),)</f>
        <v/>
      </c>
      <c r="Q143" s="2" t="str">
        <f>IFERROR(VLOOKUP($B143,Finalrunde!$B:$H,3,0),)</f>
        <v/>
      </c>
      <c r="R143" s="2" t="str">
        <f>IFERROR(VLOOKUP($B143,Finalrunde!$B:$H,4,0),)</f>
        <v/>
      </c>
      <c r="S143" s="2" t="str">
        <f>IFERROR(VLOOKUP($B143,Finalrunde!$B:$H,5,0),)</f>
        <v/>
      </c>
      <c r="T143" s="2" t="str">
        <f>IFERROR(VLOOKUP($B143,Finalrunde!$B:$H,6,0),)</f>
        <v/>
      </c>
      <c r="U143" s="2" t="str">
        <f>IFERROR(VLOOKUP($B143,Finalrunde!$B:$H,7,0),)</f>
        <v/>
      </c>
      <c r="V143" s="2">
        <f t="shared" si="1"/>
        <v>0</v>
      </c>
      <c r="W143" s="2">
        <f t="shared" si="2"/>
        <v>0</v>
      </c>
      <c r="X143" s="2">
        <f t="shared" si="3"/>
        <v>0</v>
      </c>
      <c r="Y143" s="2">
        <f t="shared" si="4"/>
        <v>0</v>
      </c>
      <c r="Z143" s="2">
        <f t="shared" si="5"/>
        <v>0</v>
      </c>
      <c r="AA143" s="2">
        <f t="shared" si="6"/>
        <v>0</v>
      </c>
      <c r="AB143" s="2" t="str">
        <f>IFERROR(VLOOKUP(B143,'Mitglieder BBU'!A:K,12,0),"")</f>
        <v/>
      </c>
      <c r="AC143" s="2">
        <f t="shared" si="7"/>
        <v>0</v>
      </c>
      <c r="AD143" s="2">
        <f t="array" ref="AD143">MIN(IF(D143:U143&lt;&gt;0,D143:U143))</f>
        <v>0</v>
      </c>
    </row>
    <row r="144">
      <c r="A144" s="2">
        <v>141.0</v>
      </c>
      <c r="B144" s="111" t="str">
        <f>Spieler!B146</f>
        <v/>
      </c>
      <c r="D144" s="2" t="str">
        <f>IFERROR(VLOOKUP($B144,Vorrunde!B:H,2,0),)</f>
        <v/>
      </c>
      <c r="E144" s="2" t="str">
        <f>IFERROR(VLOOKUP($B144,Vorrunde!$B:$H,3,0),)</f>
        <v/>
      </c>
      <c r="F144" s="2">
        <f>IFERROR(VLOOKUP($B144,Vorrunde!$B:$H,4,0),0)</f>
        <v>0</v>
      </c>
      <c r="G144" s="2" t="str">
        <f>IFERROR(VLOOKUP($B144,Vorrunde!$B:$H,5,0),)</f>
        <v/>
      </c>
      <c r="H144" s="2" t="str">
        <f>IFERROR(VLOOKUP($B144,Vorrunde!$B:$H,6,0),)</f>
        <v/>
      </c>
      <c r="I144" s="2" t="str">
        <f>IFERROR(VLOOKUP($B144,Vorrunde!$B:$H,7,0),)</f>
        <v/>
      </c>
      <c r="J144" s="2" t="str">
        <f>IFERROR(VLOOKUP($B144,Zwischenlauf!$B:$H,2,0),)</f>
        <v/>
      </c>
      <c r="K144" s="2" t="str">
        <f>IFERROR(VLOOKUP($B144,Zwischenlauf!$B:$H,3,0),)</f>
        <v/>
      </c>
      <c r="L144" s="2" t="str">
        <f>IFERROR(VLOOKUP($B144,Zwischenlauf!$B:$H,4,0),)</f>
        <v/>
      </c>
      <c r="M144" s="2" t="str">
        <f>IFERROR(VLOOKUP($B144,Zwischenlauf!$B:$H,5,0),)</f>
        <v/>
      </c>
      <c r="N144" s="2" t="str">
        <f>IFERROR(VLOOKUP($B144,Zwischenlauf!$B:$H,6,0),)</f>
        <v/>
      </c>
      <c r="O144" s="2" t="str">
        <f>IFERROR(VLOOKUP($B144,Zwischenlauf!$B:$H,7,0),)</f>
        <v/>
      </c>
      <c r="P144" s="2" t="str">
        <f>IFERROR(VLOOKUP($B144,Finalrunde!$B:$H,2,0),)</f>
        <v/>
      </c>
      <c r="Q144" s="2" t="str">
        <f>IFERROR(VLOOKUP($B144,Finalrunde!$B:$H,3,0),)</f>
        <v/>
      </c>
      <c r="R144" s="2" t="str">
        <f>IFERROR(VLOOKUP($B144,Finalrunde!$B:$H,4,0),)</f>
        <v/>
      </c>
      <c r="S144" s="2" t="str">
        <f>IFERROR(VLOOKUP($B144,Finalrunde!$B:$H,5,0),)</f>
        <v/>
      </c>
      <c r="T144" s="2" t="str">
        <f>IFERROR(VLOOKUP($B144,Finalrunde!$B:$H,6,0),)</f>
        <v/>
      </c>
      <c r="U144" s="2" t="str">
        <f>IFERROR(VLOOKUP($B144,Finalrunde!$B:$H,7,0),)</f>
        <v/>
      </c>
      <c r="V144" s="2">
        <f t="shared" si="1"/>
        <v>0</v>
      </c>
      <c r="W144" s="2">
        <f t="shared" si="2"/>
        <v>0</v>
      </c>
      <c r="X144" s="2">
        <f t="shared" si="3"/>
        <v>0</v>
      </c>
      <c r="Y144" s="2">
        <f t="shared" si="4"/>
        <v>0</v>
      </c>
      <c r="Z144" s="2">
        <f t="shared" si="5"/>
        <v>0</v>
      </c>
      <c r="AA144" s="2">
        <f t="shared" si="6"/>
        <v>0</v>
      </c>
      <c r="AB144" s="2" t="str">
        <f>IFERROR(VLOOKUP(B144,'Mitglieder BBU'!A:K,12,0),"")</f>
        <v/>
      </c>
      <c r="AC144" s="2">
        <f t="shared" si="7"/>
        <v>0</v>
      </c>
      <c r="AD144" s="2">
        <f t="array" ref="AD144">MIN(IF(D144:U144&lt;&gt;0,D144:U144))</f>
        <v>0</v>
      </c>
    </row>
    <row r="145">
      <c r="A145" s="2">
        <v>142.0</v>
      </c>
      <c r="B145" s="111" t="str">
        <f>Spieler!B147</f>
        <v/>
      </c>
      <c r="D145" s="2" t="str">
        <f>IFERROR(VLOOKUP($B145,Vorrunde!B:H,2,0),)</f>
        <v/>
      </c>
      <c r="E145" s="2" t="str">
        <f>IFERROR(VLOOKUP($B145,Vorrunde!$B:$H,3,0),)</f>
        <v/>
      </c>
      <c r="F145" s="2">
        <f>IFERROR(VLOOKUP($B145,Vorrunde!$B:$H,4,0),0)</f>
        <v>0</v>
      </c>
      <c r="G145" s="2" t="str">
        <f>IFERROR(VLOOKUP($B145,Vorrunde!$B:$H,5,0),)</f>
        <v/>
      </c>
      <c r="H145" s="2" t="str">
        <f>IFERROR(VLOOKUP($B145,Vorrunde!$B:$H,6,0),)</f>
        <v/>
      </c>
      <c r="I145" s="2" t="str">
        <f>IFERROR(VLOOKUP($B145,Vorrunde!$B:$H,7,0),)</f>
        <v/>
      </c>
      <c r="J145" s="2" t="str">
        <f>IFERROR(VLOOKUP($B145,Zwischenlauf!$B:$H,2,0),)</f>
        <v/>
      </c>
      <c r="K145" s="2" t="str">
        <f>IFERROR(VLOOKUP($B145,Zwischenlauf!$B:$H,3,0),)</f>
        <v/>
      </c>
      <c r="L145" s="2" t="str">
        <f>IFERROR(VLOOKUP($B145,Zwischenlauf!$B:$H,4,0),)</f>
        <v/>
      </c>
      <c r="M145" s="2" t="str">
        <f>IFERROR(VLOOKUP($B145,Zwischenlauf!$B:$H,5,0),)</f>
        <v/>
      </c>
      <c r="N145" s="2" t="str">
        <f>IFERROR(VLOOKUP($B145,Zwischenlauf!$B:$H,6,0),)</f>
        <v/>
      </c>
      <c r="O145" s="2" t="str">
        <f>IFERROR(VLOOKUP($B145,Zwischenlauf!$B:$H,7,0),)</f>
        <v/>
      </c>
      <c r="P145" s="2" t="str">
        <f>IFERROR(VLOOKUP($B145,Finalrunde!$B:$H,2,0),)</f>
        <v/>
      </c>
      <c r="Q145" s="2" t="str">
        <f>IFERROR(VLOOKUP($B145,Finalrunde!$B:$H,3,0),)</f>
        <v/>
      </c>
      <c r="R145" s="2" t="str">
        <f>IFERROR(VLOOKUP($B145,Finalrunde!$B:$H,4,0),)</f>
        <v/>
      </c>
      <c r="S145" s="2" t="str">
        <f>IFERROR(VLOOKUP($B145,Finalrunde!$B:$H,5,0),)</f>
        <v/>
      </c>
      <c r="T145" s="2" t="str">
        <f>IFERROR(VLOOKUP($B145,Finalrunde!$B:$H,6,0),)</f>
        <v/>
      </c>
      <c r="U145" s="2" t="str">
        <f>IFERROR(VLOOKUP($B145,Finalrunde!$B:$H,7,0),)</f>
        <v/>
      </c>
      <c r="V145" s="2">
        <f t="shared" si="1"/>
        <v>0</v>
      </c>
      <c r="W145" s="2">
        <f t="shared" si="2"/>
        <v>0</v>
      </c>
      <c r="X145" s="2">
        <f t="shared" si="3"/>
        <v>0</v>
      </c>
      <c r="Y145" s="2">
        <f t="shared" si="4"/>
        <v>0</v>
      </c>
      <c r="Z145" s="2">
        <f t="shared" si="5"/>
        <v>0</v>
      </c>
      <c r="AA145" s="2">
        <f t="shared" si="6"/>
        <v>0</v>
      </c>
      <c r="AB145" s="2" t="str">
        <f>IFERROR(VLOOKUP(B145,'Mitglieder BBU'!A:K,12,0),"")</f>
        <v/>
      </c>
      <c r="AC145" s="2">
        <f t="shared" si="7"/>
        <v>0</v>
      </c>
      <c r="AD145" s="2">
        <f t="array" ref="AD145">MIN(IF(D145:U145&lt;&gt;0,D145:U145))</f>
        <v>0</v>
      </c>
    </row>
    <row r="146">
      <c r="A146" s="2">
        <v>143.0</v>
      </c>
      <c r="B146" s="111" t="str">
        <f>Spieler!B148</f>
        <v/>
      </c>
      <c r="D146" s="2" t="str">
        <f>IFERROR(VLOOKUP($B146,Vorrunde!B:H,2,0),)</f>
        <v/>
      </c>
      <c r="E146" s="2" t="str">
        <f>IFERROR(VLOOKUP($B146,Vorrunde!$B:$H,3,0),)</f>
        <v/>
      </c>
      <c r="F146" s="2">
        <f>IFERROR(VLOOKUP($B146,Vorrunde!$B:$H,4,0),0)</f>
        <v>0</v>
      </c>
      <c r="G146" s="2" t="str">
        <f>IFERROR(VLOOKUP($B146,Vorrunde!$B:$H,5,0),)</f>
        <v/>
      </c>
      <c r="H146" s="2" t="str">
        <f>IFERROR(VLOOKUP($B146,Vorrunde!$B:$H,6,0),)</f>
        <v/>
      </c>
      <c r="I146" s="2" t="str">
        <f>IFERROR(VLOOKUP($B146,Vorrunde!$B:$H,7,0),)</f>
        <v/>
      </c>
      <c r="J146" s="2" t="str">
        <f>IFERROR(VLOOKUP($B146,Zwischenlauf!$B:$H,2,0),)</f>
        <v/>
      </c>
      <c r="K146" s="2" t="str">
        <f>IFERROR(VLOOKUP($B146,Zwischenlauf!$B:$H,3,0),)</f>
        <v/>
      </c>
      <c r="L146" s="2" t="str">
        <f>IFERROR(VLOOKUP($B146,Zwischenlauf!$B:$H,4,0),)</f>
        <v/>
      </c>
      <c r="M146" s="2" t="str">
        <f>IFERROR(VLOOKUP($B146,Zwischenlauf!$B:$H,5,0),)</f>
        <v/>
      </c>
      <c r="N146" s="2" t="str">
        <f>IFERROR(VLOOKUP($B146,Zwischenlauf!$B:$H,6,0),)</f>
        <v/>
      </c>
      <c r="O146" s="2" t="str">
        <f>IFERROR(VLOOKUP($B146,Zwischenlauf!$B:$H,7,0),)</f>
        <v/>
      </c>
      <c r="P146" s="2" t="str">
        <f>IFERROR(VLOOKUP($B146,Finalrunde!$B:$H,2,0),)</f>
        <v/>
      </c>
      <c r="Q146" s="2" t="str">
        <f>IFERROR(VLOOKUP($B146,Finalrunde!$B:$H,3,0),)</f>
        <v/>
      </c>
      <c r="R146" s="2" t="str">
        <f>IFERROR(VLOOKUP($B146,Finalrunde!$B:$H,4,0),)</f>
        <v/>
      </c>
      <c r="S146" s="2" t="str">
        <f>IFERROR(VLOOKUP($B146,Finalrunde!$B:$H,5,0),)</f>
        <v/>
      </c>
      <c r="T146" s="2" t="str">
        <f>IFERROR(VLOOKUP($B146,Finalrunde!$B:$H,6,0),)</f>
        <v/>
      </c>
      <c r="U146" s="2" t="str">
        <f>IFERROR(VLOOKUP($B146,Finalrunde!$B:$H,7,0),)</f>
        <v/>
      </c>
      <c r="V146" s="2">
        <f t="shared" si="1"/>
        <v>0</v>
      </c>
      <c r="W146" s="2">
        <f t="shared" si="2"/>
        <v>0</v>
      </c>
      <c r="X146" s="2">
        <f t="shared" si="3"/>
        <v>0</v>
      </c>
      <c r="Y146" s="2">
        <f t="shared" si="4"/>
        <v>0</v>
      </c>
      <c r="Z146" s="2">
        <f t="shared" si="5"/>
        <v>0</v>
      </c>
      <c r="AA146" s="2">
        <f t="shared" si="6"/>
        <v>0</v>
      </c>
      <c r="AB146" s="2" t="str">
        <f>IFERROR(VLOOKUP(B146,'Mitglieder BBU'!A:K,12,0),"")</f>
        <v/>
      </c>
      <c r="AC146" s="2">
        <f t="shared" si="7"/>
        <v>0</v>
      </c>
      <c r="AD146" s="2">
        <f t="array" ref="AD146">MIN(IF(D146:U146&lt;&gt;0,D146:U146))</f>
        <v>0</v>
      </c>
    </row>
    <row r="147">
      <c r="A147" s="2">
        <v>144.0</v>
      </c>
      <c r="B147" s="111" t="str">
        <f>Spieler!B149</f>
        <v/>
      </c>
      <c r="D147" s="2" t="str">
        <f>IFERROR(VLOOKUP($B147,Vorrunde!B:H,2,0),)</f>
        <v/>
      </c>
      <c r="E147" s="2" t="str">
        <f>IFERROR(VLOOKUP($B147,Vorrunde!$B:$H,3,0),)</f>
        <v/>
      </c>
      <c r="F147" s="2">
        <f>IFERROR(VLOOKUP($B147,Vorrunde!$B:$H,4,0),0)</f>
        <v>0</v>
      </c>
      <c r="G147" s="2" t="str">
        <f>IFERROR(VLOOKUP($B147,Vorrunde!$B:$H,5,0),)</f>
        <v/>
      </c>
      <c r="H147" s="2" t="str">
        <f>IFERROR(VLOOKUP($B147,Vorrunde!$B:$H,6,0),)</f>
        <v/>
      </c>
      <c r="I147" s="2" t="str">
        <f>IFERROR(VLOOKUP($B147,Vorrunde!$B:$H,7,0),)</f>
        <v/>
      </c>
      <c r="J147" s="2" t="str">
        <f>IFERROR(VLOOKUP($B147,Zwischenlauf!$B:$H,2,0),)</f>
        <v/>
      </c>
      <c r="K147" s="2" t="str">
        <f>IFERROR(VLOOKUP($B147,Zwischenlauf!$B:$H,3,0),)</f>
        <v/>
      </c>
      <c r="L147" s="2" t="str">
        <f>IFERROR(VLOOKUP($B147,Zwischenlauf!$B:$H,4,0),)</f>
        <v/>
      </c>
      <c r="M147" s="2" t="str">
        <f>IFERROR(VLOOKUP($B147,Zwischenlauf!$B:$H,5,0),)</f>
        <v/>
      </c>
      <c r="N147" s="2" t="str">
        <f>IFERROR(VLOOKUP($B147,Zwischenlauf!$B:$H,6,0),)</f>
        <v/>
      </c>
      <c r="O147" s="2" t="str">
        <f>IFERROR(VLOOKUP($B147,Zwischenlauf!$B:$H,7,0),)</f>
        <v/>
      </c>
      <c r="P147" s="2" t="str">
        <f>IFERROR(VLOOKUP($B147,Finalrunde!$B:$H,2,0),)</f>
        <v/>
      </c>
      <c r="Q147" s="2" t="str">
        <f>IFERROR(VLOOKUP($B147,Finalrunde!$B:$H,3,0),)</f>
        <v/>
      </c>
      <c r="R147" s="2" t="str">
        <f>IFERROR(VLOOKUP($B147,Finalrunde!$B:$H,4,0),)</f>
        <v/>
      </c>
      <c r="S147" s="2" t="str">
        <f>IFERROR(VLOOKUP($B147,Finalrunde!$B:$H,5,0),)</f>
        <v/>
      </c>
      <c r="T147" s="2" t="str">
        <f>IFERROR(VLOOKUP($B147,Finalrunde!$B:$H,6,0),)</f>
        <v/>
      </c>
      <c r="U147" s="2" t="str">
        <f>IFERROR(VLOOKUP($B147,Finalrunde!$B:$H,7,0),)</f>
        <v/>
      </c>
      <c r="V147" s="2">
        <f t="shared" si="1"/>
        <v>0</v>
      </c>
      <c r="W147" s="2">
        <f t="shared" si="2"/>
        <v>0</v>
      </c>
      <c r="X147" s="2">
        <f t="shared" si="3"/>
        <v>0</v>
      </c>
      <c r="Y147" s="2">
        <f t="shared" si="4"/>
        <v>0</v>
      </c>
      <c r="Z147" s="2">
        <f t="shared" si="5"/>
        <v>0</v>
      </c>
      <c r="AA147" s="2">
        <f t="shared" si="6"/>
        <v>0</v>
      </c>
      <c r="AB147" s="2" t="str">
        <f>IFERROR(VLOOKUP(B147,'Mitglieder BBU'!A:K,12,0),"")</f>
        <v/>
      </c>
      <c r="AC147" s="2">
        <f t="shared" si="7"/>
        <v>0</v>
      </c>
      <c r="AD147" s="2">
        <f t="array" ref="AD147">MIN(IF(D147:U147&lt;&gt;0,D147:U147))</f>
        <v>0</v>
      </c>
    </row>
    <row r="148">
      <c r="A148" s="2">
        <v>145.0</v>
      </c>
      <c r="B148" s="111" t="str">
        <f>Spieler!B150</f>
        <v/>
      </c>
      <c r="D148" s="2" t="str">
        <f>IFERROR(VLOOKUP($B148,Vorrunde!B:H,2,0),)</f>
        <v/>
      </c>
      <c r="E148" s="2" t="str">
        <f>IFERROR(VLOOKUP($B148,Vorrunde!$B:$H,3,0),)</f>
        <v/>
      </c>
      <c r="F148" s="2">
        <f>IFERROR(VLOOKUP($B148,Vorrunde!$B:$H,4,0),0)</f>
        <v>0</v>
      </c>
      <c r="G148" s="2" t="str">
        <f>IFERROR(VLOOKUP($B148,Vorrunde!$B:$H,5,0),)</f>
        <v/>
      </c>
      <c r="H148" s="2" t="str">
        <f>IFERROR(VLOOKUP($B148,Vorrunde!$B:$H,6,0),)</f>
        <v/>
      </c>
      <c r="I148" s="2" t="str">
        <f>IFERROR(VLOOKUP($B148,Vorrunde!$B:$H,7,0),)</f>
        <v/>
      </c>
      <c r="J148" s="2" t="str">
        <f>IFERROR(VLOOKUP($B148,Zwischenlauf!$B:$H,2,0),)</f>
        <v/>
      </c>
      <c r="K148" s="2" t="str">
        <f>IFERROR(VLOOKUP($B148,Zwischenlauf!$B:$H,3,0),)</f>
        <v/>
      </c>
      <c r="L148" s="2" t="str">
        <f>IFERROR(VLOOKUP($B148,Zwischenlauf!$B:$H,4,0),)</f>
        <v/>
      </c>
      <c r="M148" s="2" t="str">
        <f>IFERROR(VLOOKUP($B148,Zwischenlauf!$B:$H,5,0),)</f>
        <v/>
      </c>
      <c r="N148" s="2" t="str">
        <f>IFERROR(VLOOKUP($B148,Zwischenlauf!$B:$H,6,0),)</f>
        <v/>
      </c>
      <c r="O148" s="2" t="str">
        <f>IFERROR(VLOOKUP($B148,Zwischenlauf!$B:$H,7,0),)</f>
        <v/>
      </c>
      <c r="P148" s="2" t="str">
        <f>IFERROR(VLOOKUP($B148,Finalrunde!$B:$H,2,0),)</f>
        <v/>
      </c>
      <c r="Q148" s="2" t="str">
        <f>IFERROR(VLOOKUP($B148,Finalrunde!$B:$H,3,0),)</f>
        <v/>
      </c>
      <c r="R148" s="2" t="str">
        <f>IFERROR(VLOOKUP($B148,Finalrunde!$B:$H,4,0),)</f>
        <v/>
      </c>
      <c r="S148" s="2" t="str">
        <f>IFERROR(VLOOKUP($B148,Finalrunde!$B:$H,5,0),)</f>
        <v/>
      </c>
      <c r="T148" s="2" t="str">
        <f>IFERROR(VLOOKUP($B148,Finalrunde!$B:$H,6,0),)</f>
        <v/>
      </c>
      <c r="U148" s="2" t="str">
        <f>IFERROR(VLOOKUP($B148,Finalrunde!$B:$H,7,0),)</f>
        <v/>
      </c>
      <c r="V148" s="2">
        <f t="shared" si="1"/>
        <v>0</v>
      </c>
      <c r="W148" s="2">
        <f t="shared" si="2"/>
        <v>0</v>
      </c>
      <c r="X148" s="2">
        <f t="shared" si="3"/>
        <v>0</v>
      </c>
      <c r="Y148" s="2">
        <f t="shared" si="4"/>
        <v>0</v>
      </c>
      <c r="Z148" s="2">
        <f t="shared" si="5"/>
        <v>0</v>
      </c>
      <c r="AA148" s="2">
        <f t="shared" si="6"/>
        <v>0</v>
      </c>
      <c r="AB148" s="2" t="str">
        <f>IFERROR(VLOOKUP(B148,'Mitglieder BBU'!A:K,12,0),"")</f>
        <v/>
      </c>
      <c r="AC148" s="2">
        <f t="shared" si="7"/>
        <v>0</v>
      </c>
      <c r="AD148" s="2">
        <f t="array" ref="AD148">MIN(IF(D148:U148&lt;&gt;0,D148:U148))</f>
        <v>0</v>
      </c>
    </row>
    <row r="149">
      <c r="A149" s="2">
        <v>146.0</v>
      </c>
      <c r="B149" s="111" t="str">
        <f>Spieler!B151</f>
        <v/>
      </c>
      <c r="D149" s="2" t="str">
        <f>IFERROR(VLOOKUP($B149,Vorrunde!B:H,2,0),)</f>
        <v/>
      </c>
      <c r="E149" s="2" t="str">
        <f>IFERROR(VLOOKUP($B149,Vorrunde!$B:$H,3,0),)</f>
        <v/>
      </c>
      <c r="F149" s="2">
        <f>IFERROR(VLOOKUP($B149,Vorrunde!$B:$H,4,0),0)</f>
        <v>0</v>
      </c>
      <c r="G149" s="2" t="str">
        <f>IFERROR(VLOOKUP($B149,Vorrunde!$B:$H,5,0),)</f>
        <v/>
      </c>
      <c r="H149" s="2" t="str">
        <f>IFERROR(VLOOKUP($B149,Vorrunde!$B:$H,6,0),)</f>
        <v/>
      </c>
      <c r="I149" s="2" t="str">
        <f>IFERROR(VLOOKUP($B149,Vorrunde!$B:$H,7,0),)</f>
        <v/>
      </c>
      <c r="J149" s="2" t="str">
        <f>IFERROR(VLOOKUP($B149,Zwischenlauf!$B:$H,2,0),)</f>
        <v/>
      </c>
      <c r="K149" s="2" t="str">
        <f>IFERROR(VLOOKUP($B149,Zwischenlauf!$B:$H,3,0),)</f>
        <v/>
      </c>
      <c r="L149" s="2" t="str">
        <f>IFERROR(VLOOKUP($B149,Zwischenlauf!$B:$H,4,0),)</f>
        <v/>
      </c>
      <c r="M149" s="2" t="str">
        <f>IFERROR(VLOOKUP($B149,Zwischenlauf!$B:$H,5,0),)</f>
        <v/>
      </c>
      <c r="N149" s="2" t="str">
        <f>IFERROR(VLOOKUP($B149,Zwischenlauf!$B:$H,6,0),)</f>
        <v/>
      </c>
      <c r="O149" s="2" t="str">
        <f>IFERROR(VLOOKUP($B149,Zwischenlauf!$B:$H,7,0),)</f>
        <v/>
      </c>
      <c r="P149" s="2" t="str">
        <f>IFERROR(VLOOKUP($B149,Finalrunde!$B:$H,2,0),)</f>
        <v/>
      </c>
      <c r="Q149" s="2" t="str">
        <f>IFERROR(VLOOKUP($B149,Finalrunde!$B:$H,3,0),)</f>
        <v/>
      </c>
      <c r="R149" s="2" t="str">
        <f>IFERROR(VLOOKUP($B149,Finalrunde!$B:$H,4,0),)</f>
        <v/>
      </c>
      <c r="S149" s="2" t="str">
        <f>IFERROR(VLOOKUP($B149,Finalrunde!$B:$H,5,0),)</f>
        <v/>
      </c>
      <c r="T149" s="2" t="str">
        <f>IFERROR(VLOOKUP($B149,Finalrunde!$B:$H,6,0),)</f>
        <v/>
      </c>
      <c r="U149" s="2" t="str">
        <f>IFERROR(VLOOKUP($B149,Finalrunde!$B:$H,7,0),)</f>
        <v/>
      </c>
      <c r="V149" s="2">
        <f t="shared" si="1"/>
        <v>0</v>
      </c>
      <c r="W149" s="2">
        <f t="shared" si="2"/>
        <v>0</v>
      </c>
      <c r="X149" s="2">
        <f t="shared" si="3"/>
        <v>0</v>
      </c>
      <c r="Y149" s="2">
        <f t="shared" si="4"/>
        <v>0</v>
      </c>
      <c r="Z149" s="2">
        <f t="shared" si="5"/>
        <v>0</v>
      </c>
      <c r="AA149" s="2">
        <f t="shared" si="6"/>
        <v>0</v>
      </c>
      <c r="AB149" s="2" t="str">
        <f>IFERROR(VLOOKUP(B149,'Mitglieder BBU'!A:K,12,0),"")</f>
        <v/>
      </c>
      <c r="AC149" s="2">
        <f t="shared" si="7"/>
        <v>0</v>
      </c>
      <c r="AD149" s="2">
        <f t="array" ref="AD149">MIN(IF(D149:U149&lt;&gt;0,D149:U149))</f>
        <v>0</v>
      </c>
    </row>
    <row r="150">
      <c r="A150" s="2">
        <v>147.0</v>
      </c>
      <c r="B150" s="111" t="str">
        <f>Spieler!B152</f>
        <v/>
      </c>
      <c r="D150" s="2" t="str">
        <f>IFERROR(VLOOKUP($B150,Vorrunde!B:H,2,0),)</f>
        <v/>
      </c>
      <c r="E150" s="2" t="str">
        <f>IFERROR(VLOOKUP($B150,Vorrunde!$B:$H,3,0),)</f>
        <v/>
      </c>
      <c r="F150" s="2">
        <f>IFERROR(VLOOKUP($B150,Vorrunde!$B:$H,4,0),0)</f>
        <v>0</v>
      </c>
      <c r="G150" s="2" t="str">
        <f>IFERROR(VLOOKUP($B150,Vorrunde!$B:$H,5,0),)</f>
        <v/>
      </c>
      <c r="H150" s="2" t="str">
        <f>IFERROR(VLOOKUP($B150,Vorrunde!$B:$H,6,0),)</f>
        <v/>
      </c>
      <c r="I150" s="2" t="str">
        <f>IFERROR(VLOOKUP($B150,Vorrunde!$B:$H,7,0),)</f>
        <v/>
      </c>
      <c r="J150" s="2" t="str">
        <f>IFERROR(VLOOKUP($B150,Zwischenlauf!$B:$H,2,0),)</f>
        <v/>
      </c>
      <c r="K150" s="2" t="str">
        <f>IFERROR(VLOOKUP($B150,Zwischenlauf!$B:$H,3,0),)</f>
        <v/>
      </c>
      <c r="L150" s="2" t="str">
        <f>IFERROR(VLOOKUP($B150,Zwischenlauf!$B:$H,4,0),)</f>
        <v/>
      </c>
      <c r="M150" s="2" t="str">
        <f>IFERROR(VLOOKUP($B150,Zwischenlauf!$B:$H,5,0),)</f>
        <v/>
      </c>
      <c r="N150" s="2" t="str">
        <f>IFERROR(VLOOKUP($B150,Zwischenlauf!$B:$H,6,0),)</f>
        <v/>
      </c>
      <c r="O150" s="2" t="str">
        <f>IFERROR(VLOOKUP($B150,Zwischenlauf!$B:$H,7,0),)</f>
        <v/>
      </c>
      <c r="P150" s="2" t="str">
        <f>IFERROR(VLOOKUP($B150,Finalrunde!$B:$H,2,0),)</f>
        <v/>
      </c>
      <c r="Q150" s="2" t="str">
        <f>IFERROR(VLOOKUP($B150,Finalrunde!$B:$H,3,0),)</f>
        <v/>
      </c>
      <c r="R150" s="2" t="str">
        <f>IFERROR(VLOOKUP($B150,Finalrunde!$B:$H,4,0),)</f>
        <v/>
      </c>
      <c r="S150" s="2" t="str">
        <f>IFERROR(VLOOKUP($B150,Finalrunde!$B:$H,5,0),)</f>
        <v/>
      </c>
      <c r="T150" s="2" t="str">
        <f>IFERROR(VLOOKUP($B150,Finalrunde!$B:$H,6,0),)</f>
        <v/>
      </c>
      <c r="U150" s="2" t="str">
        <f>IFERROR(VLOOKUP($B150,Finalrunde!$B:$H,7,0),)</f>
        <v/>
      </c>
      <c r="V150" s="2">
        <f t="shared" si="1"/>
        <v>0</v>
      </c>
      <c r="W150" s="2">
        <f t="shared" si="2"/>
        <v>0</v>
      </c>
      <c r="X150" s="2">
        <f t="shared" si="3"/>
        <v>0</v>
      </c>
      <c r="Y150" s="2">
        <f t="shared" si="4"/>
        <v>0</v>
      </c>
      <c r="Z150" s="2">
        <f t="shared" si="5"/>
        <v>0</v>
      </c>
      <c r="AA150" s="2">
        <f t="shared" si="6"/>
        <v>0</v>
      </c>
      <c r="AB150" s="2" t="str">
        <f>IFERROR(VLOOKUP(B150,'Mitglieder BBU'!A:K,12,0),"")</f>
        <v/>
      </c>
      <c r="AC150" s="2">
        <f t="shared" si="7"/>
        <v>0</v>
      </c>
      <c r="AD150" s="2">
        <f t="array" ref="AD150">MIN(IF(D150:U150&lt;&gt;0,D150:U150))</f>
        <v>0</v>
      </c>
    </row>
    <row r="151">
      <c r="A151" s="2">
        <v>148.0</v>
      </c>
      <c r="B151" s="111" t="str">
        <f>Spieler!B153</f>
        <v/>
      </c>
      <c r="D151" s="2" t="str">
        <f>IFERROR(VLOOKUP($B151,Vorrunde!B:H,2,0),)</f>
        <v/>
      </c>
      <c r="E151" s="2" t="str">
        <f>IFERROR(VLOOKUP($B151,Vorrunde!$B:$H,3,0),)</f>
        <v/>
      </c>
      <c r="F151" s="2">
        <f>IFERROR(VLOOKUP($B151,Vorrunde!$B:$H,4,0),0)</f>
        <v>0</v>
      </c>
      <c r="G151" s="2" t="str">
        <f>IFERROR(VLOOKUP($B151,Vorrunde!$B:$H,5,0),)</f>
        <v/>
      </c>
      <c r="H151" s="2" t="str">
        <f>IFERROR(VLOOKUP($B151,Vorrunde!$B:$H,6,0),)</f>
        <v/>
      </c>
      <c r="I151" s="2" t="str">
        <f>IFERROR(VLOOKUP($B151,Vorrunde!$B:$H,7,0),)</f>
        <v/>
      </c>
      <c r="J151" s="2" t="str">
        <f>IFERROR(VLOOKUP($B151,Zwischenlauf!$B:$H,2,0),)</f>
        <v/>
      </c>
      <c r="K151" s="2" t="str">
        <f>IFERROR(VLOOKUP($B151,Zwischenlauf!$B:$H,3,0),)</f>
        <v/>
      </c>
      <c r="L151" s="2" t="str">
        <f>IFERROR(VLOOKUP($B151,Zwischenlauf!$B:$H,4,0),)</f>
        <v/>
      </c>
      <c r="M151" s="2" t="str">
        <f>IFERROR(VLOOKUP($B151,Zwischenlauf!$B:$H,5,0),)</f>
        <v/>
      </c>
      <c r="N151" s="2" t="str">
        <f>IFERROR(VLOOKUP($B151,Zwischenlauf!$B:$H,6,0),)</f>
        <v/>
      </c>
      <c r="O151" s="2" t="str">
        <f>IFERROR(VLOOKUP($B151,Zwischenlauf!$B:$H,7,0),)</f>
        <v/>
      </c>
      <c r="P151" s="2" t="str">
        <f>IFERROR(VLOOKUP($B151,Finalrunde!$B:$H,2,0),)</f>
        <v/>
      </c>
      <c r="Q151" s="2" t="str">
        <f>IFERROR(VLOOKUP($B151,Finalrunde!$B:$H,3,0),)</f>
        <v/>
      </c>
      <c r="R151" s="2" t="str">
        <f>IFERROR(VLOOKUP($B151,Finalrunde!$B:$H,4,0),)</f>
        <v/>
      </c>
      <c r="S151" s="2" t="str">
        <f>IFERROR(VLOOKUP($B151,Finalrunde!$B:$H,5,0),)</f>
        <v/>
      </c>
      <c r="T151" s="2" t="str">
        <f>IFERROR(VLOOKUP($B151,Finalrunde!$B:$H,6,0),)</f>
        <v/>
      </c>
      <c r="U151" s="2" t="str">
        <f>IFERROR(VLOOKUP($B151,Finalrunde!$B:$H,7,0),)</f>
        <v/>
      </c>
      <c r="V151" s="2">
        <f t="shared" si="1"/>
        <v>0</v>
      </c>
      <c r="W151" s="2">
        <f t="shared" si="2"/>
        <v>0</v>
      </c>
      <c r="X151" s="2">
        <f t="shared" si="3"/>
        <v>0</v>
      </c>
      <c r="Y151" s="2">
        <f t="shared" si="4"/>
        <v>0</v>
      </c>
      <c r="Z151" s="2">
        <f t="shared" si="5"/>
        <v>0</v>
      </c>
      <c r="AA151" s="2">
        <f t="shared" si="6"/>
        <v>0</v>
      </c>
      <c r="AB151" s="2" t="str">
        <f>IFERROR(VLOOKUP(B151,'Mitglieder BBU'!A:K,12,0),"")</f>
        <v/>
      </c>
      <c r="AC151" s="2">
        <f t="shared" si="7"/>
        <v>0</v>
      </c>
      <c r="AD151" s="2">
        <f t="array" ref="AD151">MIN(IF(D151:U151&lt;&gt;0,D151:U151))</f>
        <v>0</v>
      </c>
    </row>
    <row r="152">
      <c r="A152" s="2">
        <v>149.0</v>
      </c>
      <c r="B152" s="111" t="str">
        <f>Spieler!B154</f>
        <v/>
      </c>
      <c r="D152" s="2" t="str">
        <f>IFERROR(VLOOKUP($B152,Vorrunde!B:H,2,0),)</f>
        <v/>
      </c>
      <c r="E152" s="2" t="str">
        <f>IFERROR(VLOOKUP($B152,Vorrunde!$B:$H,3,0),)</f>
        <v/>
      </c>
      <c r="F152" s="2">
        <f>IFERROR(VLOOKUP($B152,Vorrunde!$B:$H,4,0),0)</f>
        <v>0</v>
      </c>
      <c r="G152" s="2" t="str">
        <f>IFERROR(VLOOKUP($B152,Vorrunde!$B:$H,5,0),)</f>
        <v/>
      </c>
      <c r="H152" s="2" t="str">
        <f>IFERROR(VLOOKUP($B152,Vorrunde!$B:$H,6,0),)</f>
        <v/>
      </c>
      <c r="I152" s="2" t="str">
        <f>IFERROR(VLOOKUP($B152,Vorrunde!$B:$H,7,0),)</f>
        <v/>
      </c>
      <c r="J152" s="2" t="str">
        <f>IFERROR(VLOOKUP($B152,Zwischenlauf!$B:$H,2,0),)</f>
        <v/>
      </c>
      <c r="K152" s="2" t="str">
        <f>IFERROR(VLOOKUP($B152,Zwischenlauf!$B:$H,3,0),)</f>
        <v/>
      </c>
      <c r="L152" s="2" t="str">
        <f>IFERROR(VLOOKUP($B152,Zwischenlauf!$B:$H,4,0),)</f>
        <v/>
      </c>
      <c r="M152" s="2" t="str">
        <f>IFERROR(VLOOKUP($B152,Zwischenlauf!$B:$H,5,0),)</f>
        <v/>
      </c>
      <c r="N152" s="2" t="str">
        <f>IFERROR(VLOOKUP($B152,Zwischenlauf!$B:$H,6,0),)</f>
        <v/>
      </c>
      <c r="O152" s="2" t="str">
        <f>IFERROR(VLOOKUP($B152,Zwischenlauf!$B:$H,7,0),)</f>
        <v/>
      </c>
      <c r="P152" s="2" t="str">
        <f>IFERROR(VLOOKUP($B152,Finalrunde!$B:$H,2,0),)</f>
        <v/>
      </c>
      <c r="Q152" s="2" t="str">
        <f>IFERROR(VLOOKUP($B152,Finalrunde!$B:$H,3,0),)</f>
        <v/>
      </c>
      <c r="R152" s="2" t="str">
        <f>IFERROR(VLOOKUP($B152,Finalrunde!$B:$H,4,0),)</f>
        <v/>
      </c>
      <c r="S152" s="2" t="str">
        <f>IFERROR(VLOOKUP($B152,Finalrunde!$B:$H,5,0),)</f>
        <v/>
      </c>
      <c r="T152" s="2" t="str">
        <f>IFERROR(VLOOKUP($B152,Finalrunde!$B:$H,6,0),)</f>
        <v/>
      </c>
      <c r="U152" s="2" t="str">
        <f>IFERROR(VLOOKUP($B152,Finalrunde!$B:$H,7,0),)</f>
        <v/>
      </c>
      <c r="V152" s="2">
        <f t="shared" si="1"/>
        <v>0</v>
      </c>
      <c r="W152" s="2">
        <f t="shared" si="2"/>
        <v>0</v>
      </c>
      <c r="X152" s="2">
        <f t="shared" si="3"/>
        <v>0</v>
      </c>
      <c r="Y152" s="2">
        <f t="shared" si="4"/>
        <v>0</v>
      </c>
      <c r="Z152" s="2">
        <f t="shared" si="5"/>
        <v>0</v>
      </c>
      <c r="AA152" s="2">
        <f t="shared" si="6"/>
        <v>0</v>
      </c>
      <c r="AB152" s="2" t="str">
        <f>IFERROR(VLOOKUP(B152,'Mitglieder BBU'!A:K,12,0),"")</f>
        <v/>
      </c>
      <c r="AC152" s="2">
        <f t="shared" si="7"/>
        <v>0</v>
      </c>
      <c r="AD152" s="2">
        <f t="array" ref="AD152">MIN(IF(D152:U152&lt;&gt;0,D152:U152))</f>
        <v>0</v>
      </c>
    </row>
    <row r="153">
      <c r="A153" s="2">
        <v>150.0</v>
      </c>
      <c r="B153" s="111" t="str">
        <f>Spieler!B155</f>
        <v/>
      </c>
      <c r="D153" s="2" t="str">
        <f>IFERROR(VLOOKUP($B153,Vorrunde!B:H,2,0),)</f>
        <v/>
      </c>
      <c r="E153" s="2" t="str">
        <f>IFERROR(VLOOKUP($B153,Vorrunde!$B:$H,3,0),)</f>
        <v/>
      </c>
      <c r="F153" s="2">
        <f>IFERROR(VLOOKUP($B153,Vorrunde!$B:$H,4,0),0)</f>
        <v>0</v>
      </c>
      <c r="G153" s="2" t="str">
        <f>IFERROR(VLOOKUP($B153,Vorrunde!$B:$H,5,0),)</f>
        <v/>
      </c>
      <c r="H153" s="2" t="str">
        <f>IFERROR(VLOOKUP($B153,Vorrunde!$B:$H,6,0),)</f>
        <v/>
      </c>
      <c r="I153" s="2" t="str">
        <f>IFERROR(VLOOKUP($B153,Vorrunde!$B:$H,7,0),)</f>
        <v/>
      </c>
      <c r="J153" s="2" t="str">
        <f>IFERROR(VLOOKUP($B153,Zwischenlauf!$B:$H,2,0),)</f>
        <v/>
      </c>
      <c r="K153" s="2" t="str">
        <f>IFERROR(VLOOKUP($B153,Zwischenlauf!$B:$H,3,0),)</f>
        <v/>
      </c>
      <c r="L153" s="2" t="str">
        <f>IFERROR(VLOOKUP($B153,Zwischenlauf!$B:$H,4,0),)</f>
        <v/>
      </c>
      <c r="M153" s="2" t="str">
        <f>IFERROR(VLOOKUP($B153,Zwischenlauf!$B:$H,5,0),)</f>
        <v/>
      </c>
      <c r="N153" s="2" t="str">
        <f>IFERROR(VLOOKUP($B153,Zwischenlauf!$B:$H,6,0),)</f>
        <v/>
      </c>
      <c r="O153" s="2" t="str">
        <f>IFERROR(VLOOKUP($B153,Zwischenlauf!$B:$H,7,0),)</f>
        <v/>
      </c>
      <c r="P153" s="2" t="str">
        <f>IFERROR(VLOOKUP($B153,Finalrunde!$B:$H,2,0),)</f>
        <v/>
      </c>
      <c r="Q153" s="2" t="str">
        <f>IFERROR(VLOOKUP($B153,Finalrunde!$B:$H,3,0),)</f>
        <v/>
      </c>
      <c r="R153" s="2" t="str">
        <f>IFERROR(VLOOKUP($B153,Finalrunde!$B:$H,4,0),)</f>
        <v/>
      </c>
      <c r="S153" s="2" t="str">
        <f>IFERROR(VLOOKUP($B153,Finalrunde!$B:$H,5,0),)</f>
        <v/>
      </c>
      <c r="T153" s="2" t="str">
        <f>IFERROR(VLOOKUP($B153,Finalrunde!$B:$H,6,0),)</f>
        <v/>
      </c>
      <c r="U153" s="2" t="str">
        <f>IFERROR(VLOOKUP($B153,Finalrunde!$B:$H,7,0),)</f>
        <v/>
      </c>
      <c r="V153" s="2">
        <f t="shared" si="1"/>
        <v>0</v>
      </c>
      <c r="W153" s="2">
        <f t="shared" si="2"/>
        <v>0</v>
      </c>
      <c r="X153" s="2">
        <f t="shared" si="3"/>
        <v>0</v>
      </c>
      <c r="Y153" s="2">
        <f t="shared" si="4"/>
        <v>0</v>
      </c>
      <c r="Z153" s="2">
        <f t="shared" si="5"/>
        <v>0</v>
      </c>
      <c r="AA153" s="2">
        <f t="shared" si="6"/>
        <v>0</v>
      </c>
      <c r="AB153" s="2" t="str">
        <f>IFERROR(VLOOKUP(B153,'Mitglieder BBU'!A:K,12,0),"")</f>
        <v/>
      </c>
      <c r="AC153" s="2">
        <f t="shared" si="7"/>
        <v>0</v>
      </c>
      <c r="AD153" s="2">
        <f t="array" ref="AD153">MIN(IF(D153:U153&lt;&gt;0,D153:U153))</f>
        <v>0</v>
      </c>
    </row>
    <row r="154">
      <c r="A154" s="2">
        <v>151.0</v>
      </c>
      <c r="B154" s="111" t="str">
        <f>Spieler!B156</f>
        <v/>
      </c>
      <c r="D154" s="2" t="str">
        <f>IFERROR(VLOOKUP($B154,Vorrunde!B:H,2,0),)</f>
        <v/>
      </c>
      <c r="E154" s="2" t="str">
        <f>IFERROR(VLOOKUP($B154,Vorrunde!$B:$H,3,0),)</f>
        <v/>
      </c>
      <c r="F154" s="2">
        <f>IFERROR(VLOOKUP($B154,Vorrunde!$B:$H,4,0),0)</f>
        <v>0</v>
      </c>
      <c r="G154" s="2" t="str">
        <f>IFERROR(VLOOKUP($B154,Vorrunde!$B:$H,5,0),)</f>
        <v/>
      </c>
      <c r="H154" s="2" t="str">
        <f>IFERROR(VLOOKUP($B154,Vorrunde!$B:$H,6,0),)</f>
        <v/>
      </c>
      <c r="I154" s="2" t="str">
        <f>IFERROR(VLOOKUP($B154,Vorrunde!$B:$H,7,0),)</f>
        <v/>
      </c>
      <c r="J154" s="2" t="str">
        <f>IFERROR(VLOOKUP($B154,Zwischenlauf!$B:$H,2,0),)</f>
        <v/>
      </c>
      <c r="K154" s="2" t="str">
        <f>IFERROR(VLOOKUP($B154,Zwischenlauf!$B:$H,3,0),)</f>
        <v/>
      </c>
      <c r="L154" s="2" t="str">
        <f>IFERROR(VLOOKUP($B154,Zwischenlauf!$B:$H,4,0),)</f>
        <v/>
      </c>
      <c r="M154" s="2" t="str">
        <f>IFERROR(VLOOKUP($B154,Zwischenlauf!$B:$H,5,0),)</f>
        <v/>
      </c>
      <c r="N154" s="2" t="str">
        <f>IFERROR(VLOOKUP($B154,Zwischenlauf!$B:$H,6,0),)</f>
        <v/>
      </c>
      <c r="O154" s="2" t="str">
        <f>IFERROR(VLOOKUP($B154,Zwischenlauf!$B:$H,7,0),)</f>
        <v/>
      </c>
      <c r="P154" s="2" t="str">
        <f>IFERROR(VLOOKUP($B154,Finalrunde!$B:$H,2,0),)</f>
        <v/>
      </c>
      <c r="Q154" s="2" t="str">
        <f>IFERROR(VLOOKUP($B154,Finalrunde!$B:$H,3,0),)</f>
        <v/>
      </c>
      <c r="R154" s="2" t="str">
        <f>IFERROR(VLOOKUP($B154,Finalrunde!$B:$H,4,0),)</f>
        <v/>
      </c>
      <c r="S154" s="2" t="str">
        <f>IFERROR(VLOOKUP($B154,Finalrunde!$B:$H,5,0),)</f>
        <v/>
      </c>
      <c r="T154" s="2" t="str">
        <f>IFERROR(VLOOKUP($B154,Finalrunde!$B:$H,6,0),)</f>
        <v/>
      </c>
      <c r="U154" s="2" t="str">
        <f>IFERROR(VLOOKUP($B154,Finalrunde!$B:$H,7,0),)</f>
        <v/>
      </c>
      <c r="V154" s="2">
        <f t="shared" si="1"/>
        <v>0</v>
      </c>
      <c r="W154" s="2">
        <f t="shared" si="2"/>
        <v>0</v>
      </c>
      <c r="X154" s="2">
        <f t="shared" si="3"/>
        <v>0</v>
      </c>
      <c r="Y154" s="2">
        <f t="shared" si="4"/>
        <v>0</v>
      </c>
      <c r="Z154" s="2">
        <f t="shared" si="5"/>
        <v>0</v>
      </c>
      <c r="AA154" s="2">
        <f t="shared" si="6"/>
        <v>0</v>
      </c>
      <c r="AB154" s="2" t="str">
        <f>IFERROR(VLOOKUP(B154,'Mitglieder BBU'!A:K,12,0),"")</f>
        <v/>
      </c>
      <c r="AC154" s="2">
        <f t="shared" si="7"/>
        <v>0</v>
      </c>
      <c r="AD154" s="2">
        <f t="array" ref="AD154">MIN(IF(D154:U154&lt;&gt;0,D154:U154))</f>
        <v>0</v>
      </c>
    </row>
    <row r="155">
      <c r="A155" s="2">
        <v>152.0</v>
      </c>
      <c r="B155" s="111" t="str">
        <f>Spieler!B157</f>
        <v/>
      </c>
      <c r="D155" s="2" t="str">
        <f>IFERROR(VLOOKUP($B155,Vorrunde!B:H,2,0),)</f>
        <v/>
      </c>
      <c r="E155" s="2" t="str">
        <f>IFERROR(VLOOKUP($B155,Vorrunde!$B:$H,3,0),)</f>
        <v/>
      </c>
      <c r="F155" s="2">
        <f>IFERROR(VLOOKUP($B155,Vorrunde!$B:$H,4,0),0)</f>
        <v>0</v>
      </c>
      <c r="G155" s="2" t="str">
        <f>IFERROR(VLOOKUP($B155,Vorrunde!$B:$H,5,0),)</f>
        <v/>
      </c>
      <c r="H155" s="2" t="str">
        <f>IFERROR(VLOOKUP($B155,Vorrunde!$B:$H,6,0),)</f>
        <v/>
      </c>
      <c r="I155" s="2" t="str">
        <f>IFERROR(VLOOKUP($B155,Vorrunde!$B:$H,7,0),)</f>
        <v/>
      </c>
      <c r="J155" s="2" t="str">
        <f>IFERROR(VLOOKUP($B155,Zwischenlauf!$B:$H,2,0),)</f>
        <v/>
      </c>
      <c r="K155" s="2" t="str">
        <f>IFERROR(VLOOKUP($B155,Zwischenlauf!$B:$H,3,0),)</f>
        <v/>
      </c>
      <c r="L155" s="2" t="str">
        <f>IFERROR(VLOOKUP($B155,Zwischenlauf!$B:$H,4,0),)</f>
        <v/>
      </c>
      <c r="M155" s="2" t="str">
        <f>IFERROR(VLOOKUP($B155,Zwischenlauf!$B:$H,5,0),)</f>
        <v/>
      </c>
      <c r="N155" s="2" t="str">
        <f>IFERROR(VLOOKUP($B155,Zwischenlauf!$B:$H,6,0),)</f>
        <v/>
      </c>
      <c r="O155" s="2" t="str">
        <f>IFERROR(VLOOKUP($B155,Zwischenlauf!$B:$H,7,0),)</f>
        <v/>
      </c>
      <c r="P155" s="2" t="str">
        <f>IFERROR(VLOOKUP($B155,Finalrunde!$B:$H,2,0),)</f>
        <v/>
      </c>
      <c r="Q155" s="2" t="str">
        <f>IFERROR(VLOOKUP($B155,Finalrunde!$B:$H,3,0),)</f>
        <v/>
      </c>
      <c r="R155" s="2" t="str">
        <f>IFERROR(VLOOKUP($B155,Finalrunde!$B:$H,4,0),)</f>
        <v/>
      </c>
      <c r="S155" s="2" t="str">
        <f>IFERROR(VLOOKUP($B155,Finalrunde!$B:$H,5,0),)</f>
        <v/>
      </c>
      <c r="T155" s="2" t="str">
        <f>IFERROR(VLOOKUP($B155,Finalrunde!$B:$H,6,0),)</f>
        <v/>
      </c>
      <c r="U155" s="2" t="str">
        <f>IFERROR(VLOOKUP($B155,Finalrunde!$B:$H,7,0),)</f>
        <v/>
      </c>
      <c r="V155" s="2">
        <f t="shared" si="1"/>
        <v>0</v>
      </c>
      <c r="W155" s="2">
        <f t="shared" si="2"/>
        <v>0</v>
      </c>
      <c r="X155" s="2">
        <f t="shared" si="3"/>
        <v>0</v>
      </c>
      <c r="Y155" s="2">
        <f t="shared" si="4"/>
        <v>0</v>
      </c>
      <c r="Z155" s="2">
        <f t="shared" si="5"/>
        <v>0</v>
      </c>
      <c r="AA155" s="2">
        <f t="shared" si="6"/>
        <v>0</v>
      </c>
      <c r="AB155" s="2" t="str">
        <f>IFERROR(VLOOKUP(B155,'Mitglieder BBU'!A:K,12,0),"")</f>
        <v/>
      </c>
      <c r="AC155" s="2">
        <f t="shared" si="7"/>
        <v>0</v>
      </c>
      <c r="AD155" s="2">
        <f t="array" ref="AD155">MIN(IF(D155:U155&lt;&gt;0,D155:U155))</f>
        <v>0</v>
      </c>
    </row>
    <row r="156">
      <c r="A156" s="2">
        <v>153.0</v>
      </c>
      <c r="B156" s="111" t="str">
        <f>Spieler!B158</f>
        <v/>
      </c>
      <c r="D156" s="2" t="str">
        <f>IFERROR(VLOOKUP($B156,Vorrunde!B:H,2,0),)</f>
        <v/>
      </c>
      <c r="E156" s="2" t="str">
        <f>IFERROR(VLOOKUP($B156,Vorrunde!$B:$H,3,0),)</f>
        <v/>
      </c>
      <c r="F156" s="2">
        <f>IFERROR(VLOOKUP($B156,Vorrunde!$B:$H,4,0),0)</f>
        <v>0</v>
      </c>
      <c r="G156" s="2" t="str">
        <f>IFERROR(VLOOKUP($B156,Vorrunde!$B:$H,5,0),)</f>
        <v/>
      </c>
      <c r="H156" s="2" t="str">
        <f>IFERROR(VLOOKUP($B156,Vorrunde!$B:$H,6,0),)</f>
        <v/>
      </c>
      <c r="I156" s="2" t="str">
        <f>IFERROR(VLOOKUP($B156,Vorrunde!$B:$H,7,0),)</f>
        <v/>
      </c>
      <c r="J156" s="2" t="str">
        <f>IFERROR(VLOOKUP($B156,Zwischenlauf!$B:$H,2,0),)</f>
        <v/>
      </c>
      <c r="K156" s="2" t="str">
        <f>IFERROR(VLOOKUP($B156,Zwischenlauf!$B:$H,3,0),)</f>
        <v/>
      </c>
      <c r="L156" s="2" t="str">
        <f>IFERROR(VLOOKUP($B156,Zwischenlauf!$B:$H,4,0),)</f>
        <v/>
      </c>
      <c r="M156" s="2" t="str">
        <f>IFERROR(VLOOKUP($B156,Zwischenlauf!$B:$H,5,0),)</f>
        <v/>
      </c>
      <c r="N156" s="2" t="str">
        <f>IFERROR(VLOOKUP($B156,Zwischenlauf!$B:$H,6,0),)</f>
        <v/>
      </c>
      <c r="O156" s="2" t="str">
        <f>IFERROR(VLOOKUP($B156,Zwischenlauf!$B:$H,7,0),)</f>
        <v/>
      </c>
      <c r="P156" s="2" t="str">
        <f>IFERROR(VLOOKUP($B156,Finalrunde!$B:$H,2,0),)</f>
        <v/>
      </c>
      <c r="Q156" s="2" t="str">
        <f>IFERROR(VLOOKUP($B156,Finalrunde!$B:$H,3,0),)</f>
        <v/>
      </c>
      <c r="R156" s="2" t="str">
        <f>IFERROR(VLOOKUP($B156,Finalrunde!$B:$H,4,0),)</f>
        <v/>
      </c>
      <c r="S156" s="2" t="str">
        <f>IFERROR(VLOOKUP($B156,Finalrunde!$B:$H,5,0),)</f>
        <v/>
      </c>
      <c r="T156" s="2" t="str">
        <f>IFERROR(VLOOKUP($B156,Finalrunde!$B:$H,6,0),)</f>
        <v/>
      </c>
      <c r="U156" s="2" t="str">
        <f>IFERROR(VLOOKUP($B156,Finalrunde!$B:$H,7,0),)</f>
        <v/>
      </c>
      <c r="V156" s="2">
        <f t="shared" si="1"/>
        <v>0</v>
      </c>
      <c r="W156" s="2">
        <f t="shared" si="2"/>
        <v>0</v>
      </c>
      <c r="X156" s="2">
        <f t="shared" si="3"/>
        <v>0</v>
      </c>
      <c r="Y156" s="2">
        <f t="shared" si="4"/>
        <v>0</v>
      </c>
      <c r="Z156" s="2">
        <f t="shared" si="5"/>
        <v>0</v>
      </c>
      <c r="AA156" s="2">
        <f t="shared" si="6"/>
        <v>0</v>
      </c>
      <c r="AB156" s="2" t="str">
        <f>IFERROR(VLOOKUP(B156,'Mitglieder BBU'!A:K,12,0),"")</f>
        <v/>
      </c>
      <c r="AC156" s="2">
        <f t="shared" si="7"/>
        <v>0</v>
      </c>
      <c r="AD156" s="2">
        <f t="array" ref="AD156">MIN(IF(D156:U156&lt;&gt;0,D156:U156))</f>
        <v>0</v>
      </c>
    </row>
    <row r="157">
      <c r="A157" s="2">
        <v>154.0</v>
      </c>
      <c r="B157" s="111" t="str">
        <f>Spieler!B159</f>
        <v/>
      </c>
      <c r="D157" s="2" t="str">
        <f>IFERROR(VLOOKUP($B157,Vorrunde!B:H,2,0),)</f>
        <v/>
      </c>
      <c r="E157" s="2" t="str">
        <f>IFERROR(VLOOKUP($B157,Vorrunde!$B:$H,3,0),)</f>
        <v/>
      </c>
      <c r="F157" s="2">
        <f>IFERROR(VLOOKUP($B157,Vorrunde!$B:$H,4,0),0)</f>
        <v>0</v>
      </c>
      <c r="G157" s="2" t="str">
        <f>IFERROR(VLOOKUP($B157,Vorrunde!$B:$H,5,0),)</f>
        <v/>
      </c>
      <c r="H157" s="2" t="str">
        <f>IFERROR(VLOOKUP($B157,Vorrunde!$B:$H,6,0),)</f>
        <v/>
      </c>
      <c r="I157" s="2" t="str">
        <f>IFERROR(VLOOKUP($B157,Vorrunde!$B:$H,7,0),)</f>
        <v/>
      </c>
      <c r="J157" s="2" t="str">
        <f>IFERROR(VLOOKUP($B157,Zwischenlauf!$B:$H,2,0),)</f>
        <v/>
      </c>
      <c r="K157" s="2" t="str">
        <f>IFERROR(VLOOKUP($B157,Zwischenlauf!$B:$H,3,0),)</f>
        <v/>
      </c>
      <c r="L157" s="2" t="str">
        <f>IFERROR(VLOOKUP($B157,Zwischenlauf!$B:$H,4,0),)</f>
        <v/>
      </c>
      <c r="M157" s="2" t="str">
        <f>IFERROR(VLOOKUP($B157,Zwischenlauf!$B:$H,5,0),)</f>
        <v/>
      </c>
      <c r="N157" s="2" t="str">
        <f>IFERROR(VLOOKUP($B157,Zwischenlauf!$B:$H,6,0),)</f>
        <v/>
      </c>
      <c r="O157" s="2" t="str">
        <f>IFERROR(VLOOKUP($B157,Zwischenlauf!$B:$H,7,0),)</f>
        <v/>
      </c>
      <c r="P157" s="2" t="str">
        <f>IFERROR(VLOOKUP($B157,Finalrunde!$B:$H,2,0),)</f>
        <v/>
      </c>
      <c r="Q157" s="2" t="str">
        <f>IFERROR(VLOOKUP($B157,Finalrunde!$B:$H,3,0),)</f>
        <v/>
      </c>
      <c r="R157" s="2" t="str">
        <f>IFERROR(VLOOKUP($B157,Finalrunde!$B:$H,4,0),)</f>
        <v/>
      </c>
      <c r="S157" s="2" t="str">
        <f>IFERROR(VLOOKUP($B157,Finalrunde!$B:$H,5,0),)</f>
        <v/>
      </c>
      <c r="T157" s="2" t="str">
        <f>IFERROR(VLOOKUP($B157,Finalrunde!$B:$H,6,0),)</f>
        <v/>
      </c>
      <c r="U157" s="2" t="str">
        <f>IFERROR(VLOOKUP($B157,Finalrunde!$B:$H,7,0),)</f>
        <v/>
      </c>
      <c r="V157" s="2">
        <f t="shared" si="1"/>
        <v>0</v>
      </c>
      <c r="W157" s="2">
        <f t="shared" si="2"/>
        <v>0</v>
      </c>
      <c r="X157" s="2">
        <f t="shared" si="3"/>
        <v>0</v>
      </c>
      <c r="Y157" s="2">
        <f t="shared" si="4"/>
        <v>0</v>
      </c>
      <c r="Z157" s="2">
        <f t="shared" si="5"/>
        <v>0</v>
      </c>
      <c r="AA157" s="2">
        <f t="shared" si="6"/>
        <v>0</v>
      </c>
      <c r="AB157" s="2" t="str">
        <f>IFERROR(VLOOKUP(B157,'Mitglieder BBU'!A:K,12,0),"")</f>
        <v/>
      </c>
      <c r="AC157" s="2">
        <f t="shared" si="7"/>
        <v>0</v>
      </c>
      <c r="AD157" s="2">
        <f t="array" ref="AD157">MIN(IF(D157:U157&lt;&gt;0,D157:U157))</f>
        <v>0</v>
      </c>
    </row>
    <row r="158">
      <c r="A158" s="2">
        <v>155.0</v>
      </c>
      <c r="B158" s="111" t="str">
        <f>Spieler!B160</f>
        <v/>
      </c>
      <c r="D158" s="2" t="str">
        <f>IFERROR(VLOOKUP($B158,Vorrunde!B:H,2,0),)</f>
        <v/>
      </c>
      <c r="E158" s="2" t="str">
        <f>IFERROR(VLOOKUP($B158,Vorrunde!$B:$H,3,0),)</f>
        <v/>
      </c>
      <c r="F158" s="2">
        <f>IFERROR(VLOOKUP($B158,Vorrunde!$B:$H,4,0),0)</f>
        <v>0</v>
      </c>
      <c r="G158" s="2" t="str">
        <f>IFERROR(VLOOKUP($B158,Vorrunde!$B:$H,5,0),)</f>
        <v/>
      </c>
      <c r="H158" s="2" t="str">
        <f>IFERROR(VLOOKUP($B158,Vorrunde!$B:$H,6,0),)</f>
        <v/>
      </c>
      <c r="I158" s="2" t="str">
        <f>IFERROR(VLOOKUP($B158,Vorrunde!$B:$H,7,0),)</f>
        <v/>
      </c>
      <c r="J158" s="2" t="str">
        <f>IFERROR(VLOOKUP($B158,Zwischenlauf!$B:$H,2,0),)</f>
        <v/>
      </c>
      <c r="K158" s="2" t="str">
        <f>IFERROR(VLOOKUP($B158,Zwischenlauf!$B:$H,3,0),)</f>
        <v/>
      </c>
      <c r="L158" s="2" t="str">
        <f>IFERROR(VLOOKUP($B158,Zwischenlauf!$B:$H,4,0),)</f>
        <v/>
      </c>
      <c r="M158" s="2" t="str">
        <f>IFERROR(VLOOKUP($B158,Zwischenlauf!$B:$H,5,0),)</f>
        <v/>
      </c>
      <c r="N158" s="2" t="str">
        <f>IFERROR(VLOOKUP($B158,Zwischenlauf!$B:$H,6,0),)</f>
        <v/>
      </c>
      <c r="O158" s="2" t="str">
        <f>IFERROR(VLOOKUP($B158,Zwischenlauf!$B:$H,7,0),)</f>
        <v/>
      </c>
      <c r="P158" s="2" t="str">
        <f>IFERROR(VLOOKUP($B158,Finalrunde!$B:$H,2,0),)</f>
        <v/>
      </c>
      <c r="Q158" s="2" t="str">
        <f>IFERROR(VLOOKUP($B158,Finalrunde!$B:$H,3,0),)</f>
        <v/>
      </c>
      <c r="R158" s="2" t="str">
        <f>IFERROR(VLOOKUP($B158,Finalrunde!$B:$H,4,0),)</f>
        <v/>
      </c>
      <c r="S158" s="2" t="str">
        <f>IFERROR(VLOOKUP($B158,Finalrunde!$B:$H,5,0),)</f>
        <v/>
      </c>
      <c r="T158" s="2" t="str">
        <f>IFERROR(VLOOKUP($B158,Finalrunde!$B:$H,6,0),)</f>
        <v/>
      </c>
      <c r="U158" s="2" t="str">
        <f>IFERROR(VLOOKUP($B158,Finalrunde!$B:$H,7,0),)</f>
        <v/>
      </c>
      <c r="V158" s="2">
        <f t="shared" si="1"/>
        <v>0</v>
      </c>
      <c r="W158" s="2">
        <f t="shared" si="2"/>
        <v>0</v>
      </c>
      <c r="X158" s="2">
        <f t="shared" si="3"/>
        <v>0</v>
      </c>
      <c r="Y158" s="2">
        <f t="shared" si="4"/>
        <v>0</v>
      </c>
      <c r="Z158" s="2">
        <f t="shared" si="5"/>
        <v>0</v>
      </c>
      <c r="AA158" s="2">
        <f t="shared" si="6"/>
        <v>0</v>
      </c>
      <c r="AB158" s="2" t="str">
        <f>IFERROR(VLOOKUP(B158,'Mitglieder BBU'!A:K,12,0),"")</f>
        <v/>
      </c>
      <c r="AC158" s="2">
        <f t="shared" si="7"/>
        <v>0</v>
      </c>
      <c r="AD158" s="2">
        <f t="array" ref="AD158">MIN(IF(D158:U158&lt;&gt;0,D158:U158))</f>
        <v>0</v>
      </c>
    </row>
    <row r="159">
      <c r="A159" s="2">
        <v>156.0</v>
      </c>
      <c r="B159" s="111" t="str">
        <f>Spieler!B161</f>
        <v/>
      </c>
      <c r="D159" s="2" t="str">
        <f>IFERROR(VLOOKUP($B159,Vorrunde!B:H,2,0),)</f>
        <v/>
      </c>
      <c r="E159" s="2" t="str">
        <f>IFERROR(VLOOKUP($B159,Vorrunde!$B:$H,3,0),)</f>
        <v/>
      </c>
      <c r="F159" s="2">
        <f>IFERROR(VLOOKUP($B159,Vorrunde!$B:$H,4,0),0)</f>
        <v>0</v>
      </c>
      <c r="G159" s="2" t="str">
        <f>IFERROR(VLOOKUP($B159,Vorrunde!$B:$H,5,0),)</f>
        <v/>
      </c>
      <c r="H159" s="2" t="str">
        <f>IFERROR(VLOOKUP($B159,Vorrunde!$B:$H,6,0),)</f>
        <v/>
      </c>
      <c r="I159" s="2" t="str">
        <f>IFERROR(VLOOKUP($B159,Vorrunde!$B:$H,7,0),)</f>
        <v/>
      </c>
      <c r="J159" s="2" t="str">
        <f>IFERROR(VLOOKUP($B159,Zwischenlauf!$B:$H,2,0),)</f>
        <v/>
      </c>
      <c r="K159" s="2" t="str">
        <f>IFERROR(VLOOKUP($B159,Zwischenlauf!$B:$H,3,0),)</f>
        <v/>
      </c>
      <c r="L159" s="2" t="str">
        <f>IFERROR(VLOOKUP($B159,Zwischenlauf!$B:$H,4,0),)</f>
        <v/>
      </c>
      <c r="M159" s="2" t="str">
        <f>IFERROR(VLOOKUP($B159,Zwischenlauf!$B:$H,5,0),)</f>
        <v/>
      </c>
      <c r="N159" s="2" t="str">
        <f>IFERROR(VLOOKUP($B159,Zwischenlauf!$B:$H,6,0),)</f>
        <v/>
      </c>
      <c r="O159" s="2" t="str">
        <f>IFERROR(VLOOKUP($B159,Zwischenlauf!$B:$H,7,0),)</f>
        <v/>
      </c>
      <c r="P159" s="2" t="str">
        <f>IFERROR(VLOOKUP($B159,Finalrunde!$B:$H,2,0),)</f>
        <v/>
      </c>
      <c r="Q159" s="2" t="str">
        <f>IFERROR(VLOOKUP($B159,Finalrunde!$B:$H,3,0),)</f>
        <v/>
      </c>
      <c r="R159" s="2" t="str">
        <f>IFERROR(VLOOKUP($B159,Finalrunde!$B:$H,4,0),)</f>
        <v/>
      </c>
      <c r="S159" s="2" t="str">
        <f>IFERROR(VLOOKUP($B159,Finalrunde!$B:$H,5,0),)</f>
        <v/>
      </c>
      <c r="T159" s="2" t="str">
        <f>IFERROR(VLOOKUP($B159,Finalrunde!$B:$H,6,0),)</f>
        <v/>
      </c>
      <c r="U159" s="2" t="str">
        <f>IFERROR(VLOOKUP($B159,Finalrunde!$B:$H,7,0),)</f>
        <v/>
      </c>
      <c r="V159" s="2">
        <f t="shared" si="1"/>
        <v>0</v>
      </c>
      <c r="W159" s="2">
        <f t="shared" si="2"/>
        <v>0</v>
      </c>
      <c r="X159" s="2">
        <f t="shared" si="3"/>
        <v>0</v>
      </c>
      <c r="Y159" s="2">
        <f t="shared" si="4"/>
        <v>0</v>
      </c>
      <c r="Z159" s="2">
        <f t="shared" si="5"/>
        <v>0</v>
      </c>
      <c r="AA159" s="2">
        <f t="shared" si="6"/>
        <v>0</v>
      </c>
      <c r="AB159" s="2" t="str">
        <f>IFERROR(VLOOKUP(B159,'Mitglieder BBU'!A:K,12,0),"")</f>
        <v/>
      </c>
      <c r="AC159" s="2">
        <f t="shared" si="7"/>
        <v>0</v>
      </c>
      <c r="AD159" s="2">
        <f t="array" ref="AD159">MIN(IF(D159:U159&lt;&gt;0,D159:U159))</f>
        <v>0</v>
      </c>
    </row>
    <row r="160">
      <c r="A160" s="2">
        <v>157.0</v>
      </c>
      <c r="B160" s="111" t="str">
        <f>Spieler!B162</f>
        <v/>
      </c>
      <c r="D160" s="2" t="str">
        <f>IFERROR(VLOOKUP($B160,Vorrunde!B:H,2,0),)</f>
        <v/>
      </c>
      <c r="E160" s="2" t="str">
        <f>IFERROR(VLOOKUP($B160,Vorrunde!$B:$H,3,0),)</f>
        <v/>
      </c>
      <c r="F160" s="2">
        <f>IFERROR(VLOOKUP($B160,Vorrunde!$B:$H,4,0),0)</f>
        <v>0</v>
      </c>
      <c r="G160" s="2" t="str">
        <f>IFERROR(VLOOKUP($B160,Vorrunde!$B:$H,5,0),)</f>
        <v/>
      </c>
      <c r="H160" s="2" t="str">
        <f>IFERROR(VLOOKUP($B160,Vorrunde!$B:$H,6,0),)</f>
        <v/>
      </c>
      <c r="I160" s="2" t="str">
        <f>IFERROR(VLOOKUP($B160,Vorrunde!$B:$H,7,0),)</f>
        <v/>
      </c>
      <c r="J160" s="2" t="str">
        <f>IFERROR(VLOOKUP($B160,Zwischenlauf!$B:$H,2,0),)</f>
        <v/>
      </c>
      <c r="K160" s="2" t="str">
        <f>IFERROR(VLOOKUP($B160,Zwischenlauf!$B:$H,3,0),)</f>
        <v/>
      </c>
      <c r="L160" s="2" t="str">
        <f>IFERROR(VLOOKUP($B160,Zwischenlauf!$B:$H,4,0),)</f>
        <v/>
      </c>
      <c r="M160" s="2" t="str">
        <f>IFERROR(VLOOKUP($B160,Zwischenlauf!$B:$H,5,0),)</f>
        <v/>
      </c>
      <c r="N160" s="2" t="str">
        <f>IFERROR(VLOOKUP($B160,Zwischenlauf!$B:$H,6,0),)</f>
        <v/>
      </c>
      <c r="O160" s="2" t="str">
        <f>IFERROR(VLOOKUP($B160,Zwischenlauf!$B:$H,7,0),)</f>
        <v/>
      </c>
      <c r="P160" s="2" t="str">
        <f>IFERROR(VLOOKUP($B160,Finalrunde!$B:$H,2,0),)</f>
        <v/>
      </c>
      <c r="Q160" s="2" t="str">
        <f>IFERROR(VLOOKUP($B160,Finalrunde!$B:$H,3,0),)</f>
        <v/>
      </c>
      <c r="R160" s="2" t="str">
        <f>IFERROR(VLOOKUP($B160,Finalrunde!$B:$H,4,0),)</f>
        <v/>
      </c>
      <c r="S160" s="2" t="str">
        <f>IFERROR(VLOOKUP($B160,Finalrunde!$B:$H,5,0),)</f>
        <v/>
      </c>
      <c r="T160" s="2" t="str">
        <f>IFERROR(VLOOKUP($B160,Finalrunde!$B:$H,6,0),)</f>
        <v/>
      </c>
      <c r="U160" s="2" t="str">
        <f>IFERROR(VLOOKUP($B160,Finalrunde!$B:$H,7,0),)</f>
        <v/>
      </c>
      <c r="V160" s="2">
        <f t="shared" si="1"/>
        <v>0</v>
      </c>
      <c r="W160" s="2">
        <f t="shared" si="2"/>
        <v>0</v>
      </c>
      <c r="X160" s="2">
        <f t="shared" si="3"/>
        <v>0</v>
      </c>
      <c r="Y160" s="2">
        <f t="shared" si="4"/>
        <v>0</v>
      </c>
      <c r="Z160" s="2">
        <f t="shared" si="5"/>
        <v>0</v>
      </c>
      <c r="AA160" s="2">
        <f t="shared" si="6"/>
        <v>0</v>
      </c>
      <c r="AB160" s="2" t="str">
        <f>IFERROR(VLOOKUP(B160,'Mitglieder BBU'!A:K,12,0),"")</f>
        <v/>
      </c>
      <c r="AC160" s="2">
        <f t="shared" si="7"/>
        <v>0</v>
      </c>
      <c r="AD160" s="2">
        <f t="array" ref="AD160">MIN(IF(D160:U160&lt;&gt;0,D160:U160))</f>
        <v>0</v>
      </c>
    </row>
    <row r="161">
      <c r="A161" s="2">
        <v>158.0</v>
      </c>
      <c r="B161" s="111" t="str">
        <f>Spieler!B163</f>
        <v/>
      </c>
      <c r="D161" s="2" t="str">
        <f>IFERROR(VLOOKUP($B161,Vorrunde!B:H,2,0),)</f>
        <v/>
      </c>
      <c r="E161" s="2" t="str">
        <f>IFERROR(VLOOKUP($B161,Vorrunde!$B:$H,3,0),)</f>
        <v/>
      </c>
      <c r="F161" s="2">
        <f>IFERROR(VLOOKUP($B161,Vorrunde!$B:$H,4,0),0)</f>
        <v>0</v>
      </c>
      <c r="G161" s="2" t="str">
        <f>IFERROR(VLOOKUP($B161,Vorrunde!$B:$H,5,0),)</f>
        <v/>
      </c>
      <c r="H161" s="2" t="str">
        <f>IFERROR(VLOOKUP($B161,Vorrunde!$B:$H,6,0),)</f>
        <v/>
      </c>
      <c r="I161" s="2" t="str">
        <f>IFERROR(VLOOKUP($B161,Vorrunde!$B:$H,7,0),)</f>
        <v/>
      </c>
      <c r="J161" s="2" t="str">
        <f>IFERROR(VLOOKUP($B161,Zwischenlauf!$B:$H,2,0),)</f>
        <v/>
      </c>
      <c r="K161" s="2" t="str">
        <f>IFERROR(VLOOKUP($B161,Zwischenlauf!$B:$H,3,0),)</f>
        <v/>
      </c>
      <c r="L161" s="2" t="str">
        <f>IFERROR(VLOOKUP($B161,Zwischenlauf!$B:$H,4,0),)</f>
        <v/>
      </c>
      <c r="M161" s="2" t="str">
        <f>IFERROR(VLOOKUP($B161,Zwischenlauf!$B:$H,5,0),)</f>
        <v/>
      </c>
      <c r="N161" s="2" t="str">
        <f>IFERROR(VLOOKUP($B161,Zwischenlauf!$B:$H,6,0),)</f>
        <v/>
      </c>
      <c r="O161" s="2" t="str">
        <f>IFERROR(VLOOKUP($B161,Zwischenlauf!$B:$H,7,0),)</f>
        <v/>
      </c>
      <c r="P161" s="2" t="str">
        <f>IFERROR(VLOOKUP($B161,Finalrunde!$B:$H,2,0),)</f>
        <v/>
      </c>
      <c r="Q161" s="2" t="str">
        <f>IFERROR(VLOOKUP($B161,Finalrunde!$B:$H,3,0),)</f>
        <v/>
      </c>
      <c r="R161" s="2" t="str">
        <f>IFERROR(VLOOKUP($B161,Finalrunde!$B:$H,4,0),)</f>
        <v/>
      </c>
      <c r="S161" s="2" t="str">
        <f>IFERROR(VLOOKUP($B161,Finalrunde!$B:$H,5,0),)</f>
        <v/>
      </c>
      <c r="T161" s="2" t="str">
        <f>IFERROR(VLOOKUP($B161,Finalrunde!$B:$H,6,0),)</f>
        <v/>
      </c>
      <c r="U161" s="2" t="str">
        <f>IFERROR(VLOOKUP($B161,Finalrunde!$B:$H,7,0),)</f>
        <v/>
      </c>
      <c r="V161" s="2">
        <f t="shared" si="1"/>
        <v>0</v>
      </c>
      <c r="W161" s="2">
        <f t="shared" si="2"/>
        <v>0</v>
      </c>
      <c r="X161" s="2">
        <f t="shared" si="3"/>
        <v>0</v>
      </c>
      <c r="Y161" s="2">
        <f t="shared" si="4"/>
        <v>0</v>
      </c>
      <c r="Z161" s="2">
        <f t="shared" si="5"/>
        <v>0</v>
      </c>
      <c r="AA161" s="2">
        <f t="shared" si="6"/>
        <v>0</v>
      </c>
      <c r="AB161" s="2" t="str">
        <f>IFERROR(VLOOKUP(B161,'Mitglieder BBU'!A:K,12,0),"")</f>
        <v/>
      </c>
      <c r="AC161" s="2">
        <f t="shared" si="7"/>
        <v>0</v>
      </c>
      <c r="AD161" s="2">
        <f t="array" ref="AD161">MIN(IF(D161:U161&lt;&gt;0,D161:U161))</f>
        <v>0</v>
      </c>
    </row>
    <row r="162">
      <c r="A162" s="2">
        <v>159.0</v>
      </c>
      <c r="B162" s="111" t="str">
        <f>Spieler!B164</f>
        <v/>
      </c>
      <c r="D162" s="2" t="str">
        <f>IFERROR(VLOOKUP($B162,Vorrunde!B:H,2,0),)</f>
        <v/>
      </c>
      <c r="E162" s="2" t="str">
        <f>IFERROR(VLOOKUP($B162,Vorrunde!$B:$H,3,0),)</f>
        <v/>
      </c>
      <c r="F162" s="2">
        <f>IFERROR(VLOOKUP($B162,Vorrunde!$B:$H,4,0),0)</f>
        <v>0</v>
      </c>
      <c r="G162" s="2" t="str">
        <f>IFERROR(VLOOKUP($B162,Vorrunde!$B:$H,5,0),)</f>
        <v/>
      </c>
      <c r="H162" s="2" t="str">
        <f>IFERROR(VLOOKUP($B162,Vorrunde!$B:$H,6,0),)</f>
        <v/>
      </c>
      <c r="I162" s="2" t="str">
        <f>IFERROR(VLOOKUP($B162,Vorrunde!$B:$H,7,0),)</f>
        <v/>
      </c>
      <c r="J162" s="2" t="str">
        <f>IFERROR(VLOOKUP($B162,Zwischenlauf!$B:$H,2,0),)</f>
        <v/>
      </c>
      <c r="K162" s="2" t="str">
        <f>IFERROR(VLOOKUP($B162,Zwischenlauf!$B:$H,3,0),)</f>
        <v/>
      </c>
      <c r="L162" s="2" t="str">
        <f>IFERROR(VLOOKUP($B162,Zwischenlauf!$B:$H,4,0),)</f>
        <v/>
      </c>
      <c r="M162" s="2" t="str">
        <f>IFERROR(VLOOKUP($B162,Zwischenlauf!$B:$H,5,0),)</f>
        <v/>
      </c>
      <c r="N162" s="2" t="str">
        <f>IFERROR(VLOOKUP($B162,Zwischenlauf!$B:$H,6,0),)</f>
        <v/>
      </c>
      <c r="O162" s="2" t="str">
        <f>IFERROR(VLOOKUP($B162,Zwischenlauf!$B:$H,7,0),)</f>
        <v/>
      </c>
      <c r="P162" s="2" t="str">
        <f>IFERROR(VLOOKUP($B162,Finalrunde!$B:$H,2,0),)</f>
        <v/>
      </c>
      <c r="Q162" s="2" t="str">
        <f>IFERROR(VLOOKUP($B162,Finalrunde!$B:$H,3,0),)</f>
        <v/>
      </c>
      <c r="R162" s="2" t="str">
        <f>IFERROR(VLOOKUP($B162,Finalrunde!$B:$H,4,0),)</f>
        <v/>
      </c>
      <c r="S162" s="2" t="str">
        <f>IFERROR(VLOOKUP($B162,Finalrunde!$B:$H,5,0),)</f>
        <v/>
      </c>
      <c r="T162" s="2" t="str">
        <f>IFERROR(VLOOKUP($B162,Finalrunde!$B:$H,6,0),)</f>
        <v/>
      </c>
      <c r="U162" s="2" t="str">
        <f>IFERROR(VLOOKUP($B162,Finalrunde!$B:$H,7,0),)</f>
        <v/>
      </c>
      <c r="V162" s="2">
        <f t="shared" si="1"/>
        <v>0</v>
      </c>
      <c r="W162" s="2">
        <f t="shared" si="2"/>
        <v>0</v>
      </c>
      <c r="X162" s="2">
        <f t="shared" si="3"/>
        <v>0</v>
      </c>
      <c r="Y162" s="2">
        <f t="shared" si="4"/>
        <v>0</v>
      </c>
      <c r="Z162" s="2">
        <f t="shared" si="5"/>
        <v>0</v>
      </c>
      <c r="AA162" s="2">
        <f t="shared" si="6"/>
        <v>0</v>
      </c>
      <c r="AB162" s="2" t="str">
        <f>IFERROR(VLOOKUP(B162,'Mitglieder BBU'!A:K,12,0),"")</f>
        <v/>
      </c>
      <c r="AC162" s="2">
        <f t="shared" si="7"/>
        <v>0</v>
      </c>
      <c r="AD162" s="2">
        <f t="array" ref="AD162">MIN(IF(D162:U162&lt;&gt;0,D162:U162))</f>
        <v>0</v>
      </c>
    </row>
    <row r="163">
      <c r="A163" s="2">
        <v>160.0</v>
      </c>
      <c r="B163" s="111" t="str">
        <f>Spieler!B165</f>
        <v/>
      </c>
      <c r="D163" s="2" t="str">
        <f>IFERROR(VLOOKUP($B163,Vorrunde!B:H,2,0),)</f>
        <v/>
      </c>
      <c r="E163" s="2" t="str">
        <f>IFERROR(VLOOKUP($B163,Vorrunde!$B:$H,3,0),)</f>
        <v/>
      </c>
      <c r="F163" s="2">
        <f>IFERROR(VLOOKUP($B163,Vorrunde!$B:$H,4,0),0)</f>
        <v>0</v>
      </c>
      <c r="G163" s="2" t="str">
        <f>IFERROR(VLOOKUP($B163,Vorrunde!$B:$H,5,0),)</f>
        <v/>
      </c>
      <c r="H163" s="2" t="str">
        <f>IFERROR(VLOOKUP($B163,Vorrunde!$B:$H,6,0),)</f>
        <v/>
      </c>
      <c r="I163" s="2" t="str">
        <f>IFERROR(VLOOKUP($B163,Vorrunde!$B:$H,7,0),)</f>
        <v/>
      </c>
      <c r="J163" s="2" t="str">
        <f>IFERROR(VLOOKUP($B163,Zwischenlauf!$B:$H,2,0),)</f>
        <v/>
      </c>
      <c r="K163" s="2" t="str">
        <f>IFERROR(VLOOKUP($B163,Zwischenlauf!$B:$H,3,0),)</f>
        <v/>
      </c>
      <c r="L163" s="2" t="str">
        <f>IFERROR(VLOOKUP($B163,Zwischenlauf!$B:$H,4,0),)</f>
        <v/>
      </c>
      <c r="M163" s="2" t="str">
        <f>IFERROR(VLOOKUP($B163,Zwischenlauf!$B:$H,5,0),)</f>
        <v/>
      </c>
      <c r="N163" s="2" t="str">
        <f>IFERROR(VLOOKUP($B163,Zwischenlauf!$B:$H,6,0),)</f>
        <v/>
      </c>
      <c r="O163" s="2" t="str">
        <f>IFERROR(VLOOKUP($B163,Zwischenlauf!$B:$H,7,0),)</f>
        <v/>
      </c>
      <c r="P163" s="2" t="str">
        <f>IFERROR(VLOOKUP($B163,Finalrunde!$B:$H,2,0),)</f>
        <v/>
      </c>
      <c r="Q163" s="2" t="str">
        <f>IFERROR(VLOOKUP($B163,Finalrunde!$B:$H,3,0),)</f>
        <v/>
      </c>
      <c r="R163" s="2" t="str">
        <f>IFERROR(VLOOKUP($B163,Finalrunde!$B:$H,4,0),)</f>
        <v/>
      </c>
      <c r="S163" s="2" t="str">
        <f>IFERROR(VLOOKUP($B163,Finalrunde!$B:$H,5,0),)</f>
        <v/>
      </c>
      <c r="T163" s="2" t="str">
        <f>IFERROR(VLOOKUP($B163,Finalrunde!$B:$H,6,0),)</f>
        <v/>
      </c>
      <c r="U163" s="2" t="str">
        <f>IFERROR(VLOOKUP($B163,Finalrunde!$B:$H,7,0),)</f>
        <v/>
      </c>
      <c r="V163" s="2">
        <f t="shared" si="1"/>
        <v>0</v>
      </c>
      <c r="W163" s="2">
        <f t="shared" si="2"/>
        <v>0</v>
      </c>
      <c r="X163" s="2">
        <f t="shared" si="3"/>
        <v>0</v>
      </c>
      <c r="Y163" s="2">
        <f t="shared" si="4"/>
        <v>0</v>
      </c>
      <c r="Z163" s="2">
        <f t="shared" si="5"/>
        <v>0</v>
      </c>
      <c r="AA163" s="2">
        <f t="shared" si="6"/>
        <v>0</v>
      </c>
      <c r="AB163" s="2" t="str">
        <f>IFERROR(VLOOKUP(B163,'Mitglieder BBU'!A:K,12,0),"")</f>
        <v/>
      </c>
      <c r="AC163" s="2">
        <f t="shared" si="7"/>
        <v>0</v>
      </c>
      <c r="AD163" s="2">
        <f t="array" ref="AD163">MIN(IF(D163:U163&lt;&gt;0,D163:U163))</f>
        <v>0</v>
      </c>
    </row>
    <row r="164">
      <c r="A164" s="2">
        <v>161.0</v>
      </c>
      <c r="B164" s="111" t="str">
        <f>Spieler!B166</f>
        <v/>
      </c>
      <c r="D164" s="2" t="str">
        <f>IFERROR(VLOOKUP($B164,Vorrunde!B:H,2,0),)</f>
        <v/>
      </c>
      <c r="E164" s="2" t="str">
        <f>IFERROR(VLOOKUP($B164,Vorrunde!$B:$H,3,0),)</f>
        <v/>
      </c>
      <c r="F164" s="2">
        <f>IFERROR(VLOOKUP($B164,Vorrunde!$B:$H,4,0),0)</f>
        <v>0</v>
      </c>
      <c r="G164" s="2" t="str">
        <f>IFERROR(VLOOKUP($B164,Vorrunde!$B:$H,5,0),)</f>
        <v/>
      </c>
      <c r="H164" s="2" t="str">
        <f>IFERROR(VLOOKUP($B164,Vorrunde!$B:$H,6,0),)</f>
        <v/>
      </c>
      <c r="I164" s="2" t="str">
        <f>IFERROR(VLOOKUP($B164,Vorrunde!$B:$H,7,0),)</f>
        <v/>
      </c>
      <c r="J164" s="2" t="str">
        <f>IFERROR(VLOOKUP($B164,Zwischenlauf!$B:$H,2,0),)</f>
        <v/>
      </c>
      <c r="K164" s="2" t="str">
        <f>IFERROR(VLOOKUP($B164,Zwischenlauf!$B:$H,3,0),)</f>
        <v/>
      </c>
      <c r="L164" s="2" t="str">
        <f>IFERROR(VLOOKUP($B164,Zwischenlauf!$B:$H,4,0),)</f>
        <v/>
      </c>
      <c r="M164" s="2" t="str">
        <f>IFERROR(VLOOKUP($B164,Zwischenlauf!$B:$H,5,0),)</f>
        <v/>
      </c>
      <c r="N164" s="2" t="str">
        <f>IFERROR(VLOOKUP($B164,Zwischenlauf!$B:$H,6,0),)</f>
        <v/>
      </c>
      <c r="O164" s="2" t="str">
        <f>IFERROR(VLOOKUP($B164,Zwischenlauf!$B:$H,7,0),)</f>
        <v/>
      </c>
      <c r="P164" s="2" t="str">
        <f>IFERROR(VLOOKUP($B164,Finalrunde!$B:$H,2,0),)</f>
        <v/>
      </c>
      <c r="Q164" s="2" t="str">
        <f>IFERROR(VLOOKUP($B164,Finalrunde!$B:$H,3,0),)</f>
        <v/>
      </c>
      <c r="R164" s="2" t="str">
        <f>IFERROR(VLOOKUP($B164,Finalrunde!$B:$H,4,0),)</f>
        <v/>
      </c>
      <c r="S164" s="2" t="str">
        <f>IFERROR(VLOOKUP($B164,Finalrunde!$B:$H,5,0),)</f>
        <v/>
      </c>
      <c r="T164" s="2" t="str">
        <f>IFERROR(VLOOKUP($B164,Finalrunde!$B:$H,6,0),)</f>
        <v/>
      </c>
      <c r="U164" s="2" t="str">
        <f>IFERROR(VLOOKUP($B164,Finalrunde!$B:$H,7,0),)</f>
        <v/>
      </c>
      <c r="V164" s="2">
        <f t="shared" si="1"/>
        <v>0</v>
      </c>
      <c r="W164" s="2">
        <f t="shared" si="2"/>
        <v>0</v>
      </c>
      <c r="X164" s="2">
        <f t="shared" si="3"/>
        <v>0</v>
      </c>
      <c r="Y164" s="2">
        <f t="shared" si="4"/>
        <v>0</v>
      </c>
      <c r="Z164" s="2">
        <f t="shared" si="5"/>
        <v>0</v>
      </c>
      <c r="AA164" s="2">
        <f t="shared" si="6"/>
        <v>0</v>
      </c>
      <c r="AB164" s="2" t="str">
        <f>IFERROR(VLOOKUP(B164,'Mitglieder BBU'!A:K,12,0),"")</f>
        <v/>
      </c>
      <c r="AC164" s="2">
        <f t="shared" si="7"/>
        <v>0</v>
      </c>
      <c r="AD164" s="2">
        <f t="array" ref="AD164">MIN(IF(D164:U164&lt;&gt;0,D164:U164))</f>
        <v>0</v>
      </c>
    </row>
    <row r="165">
      <c r="A165" s="2">
        <v>162.0</v>
      </c>
      <c r="B165" s="111" t="str">
        <f>Spieler!B167</f>
        <v/>
      </c>
      <c r="D165" s="2" t="str">
        <f>IFERROR(VLOOKUP($B165,Vorrunde!B:H,2,0),)</f>
        <v/>
      </c>
      <c r="E165" s="2" t="str">
        <f>IFERROR(VLOOKUP($B165,Vorrunde!$B:$H,3,0),)</f>
        <v/>
      </c>
      <c r="F165" s="2">
        <f>IFERROR(VLOOKUP($B165,Vorrunde!$B:$H,4,0),0)</f>
        <v>0</v>
      </c>
      <c r="G165" s="2" t="str">
        <f>IFERROR(VLOOKUP($B165,Vorrunde!$B:$H,5,0),)</f>
        <v/>
      </c>
      <c r="H165" s="2" t="str">
        <f>IFERROR(VLOOKUP($B165,Vorrunde!$B:$H,6,0),)</f>
        <v/>
      </c>
      <c r="I165" s="2" t="str">
        <f>IFERROR(VLOOKUP($B165,Vorrunde!$B:$H,7,0),)</f>
        <v/>
      </c>
      <c r="J165" s="2" t="str">
        <f>IFERROR(VLOOKUP($B165,Zwischenlauf!$B:$H,2,0),)</f>
        <v/>
      </c>
      <c r="K165" s="2" t="str">
        <f>IFERROR(VLOOKUP($B165,Zwischenlauf!$B:$H,3,0),)</f>
        <v/>
      </c>
      <c r="L165" s="2" t="str">
        <f>IFERROR(VLOOKUP($B165,Zwischenlauf!$B:$H,4,0),)</f>
        <v/>
      </c>
      <c r="M165" s="2" t="str">
        <f>IFERROR(VLOOKUP($B165,Zwischenlauf!$B:$H,5,0),)</f>
        <v/>
      </c>
      <c r="N165" s="2" t="str">
        <f>IFERROR(VLOOKUP($B165,Zwischenlauf!$B:$H,6,0),)</f>
        <v/>
      </c>
      <c r="O165" s="2" t="str">
        <f>IFERROR(VLOOKUP($B165,Zwischenlauf!$B:$H,7,0),)</f>
        <v/>
      </c>
      <c r="P165" s="2" t="str">
        <f>IFERROR(VLOOKUP($B165,Finalrunde!$B:$H,2,0),)</f>
        <v/>
      </c>
      <c r="Q165" s="2" t="str">
        <f>IFERROR(VLOOKUP($B165,Finalrunde!$B:$H,3,0),)</f>
        <v/>
      </c>
      <c r="R165" s="2" t="str">
        <f>IFERROR(VLOOKUP($B165,Finalrunde!$B:$H,4,0),)</f>
        <v/>
      </c>
      <c r="S165" s="2" t="str">
        <f>IFERROR(VLOOKUP($B165,Finalrunde!$B:$H,5,0),)</f>
        <v/>
      </c>
      <c r="T165" s="2" t="str">
        <f>IFERROR(VLOOKUP($B165,Finalrunde!$B:$H,6,0),)</f>
        <v/>
      </c>
      <c r="U165" s="2" t="str">
        <f>IFERROR(VLOOKUP($B165,Finalrunde!$B:$H,7,0),)</f>
        <v/>
      </c>
      <c r="V165" s="2">
        <f t="shared" si="1"/>
        <v>0</v>
      </c>
      <c r="W165" s="2">
        <f t="shared" si="2"/>
        <v>0</v>
      </c>
      <c r="X165" s="2">
        <f t="shared" si="3"/>
        <v>0</v>
      </c>
      <c r="Y165" s="2">
        <f t="shared" si="4"/>
        <v>0</v>
      </c>
      <c r="Z165" s="2">
        <f t="shared" si="5"/>
        <v>0</v>
      </c>
      <c r="AA165" s="2">
        <f t="shared" si="6"/>
        <v>0</v>
      </c>
      <c r="AB165" s="2" t="str">
        <f>IFERROR(VLOOKUP(B165,'Mitglieder BBU'!A:K,12,0),"")</f>
        <v/>
      </c>
      <c r="AC165" s="2">
        <f t="shared" si="7"/>
        <v>0</v>
      </c>
      <c r="AD165" s="2">
        <f t="array" ref="AD165">MIN(IF(D165:U165&lt;&gt;0,D165:U165))</f>
        <v>0</v>
      </c>
    </row>
    <row r="166">
      <c r="A166" s="2">
        <v>163.0</v>
      </c>
      <c r="B166" s="111" t="str">
        <f>Spieler!B168</f>
        <v/>
      </c>
      <c r="D166" s="2" t="str">
        <f>IFERROR(VLOOKUP($B166,Vorrunde!B:H,2,0),)</f>
        <v/>
      </c>
      <c r="E166" s="2" t="str">
        <f>IFERROR(VLOOKUP($B166,Vorrunde!$B:$H,3,0),)</f>
        <v/>
      </c>
      <c r="F166" s="2">
        <f>IFERROR(VLOOKUP($B166,Vorrunde!$B:$H,4,0),0)</f>
        <v>0</v>
      </c>
      <c r="G166" s="2" t="str">
        <f>IFERROR(VLOOKUP($B166,Vorrunde!$B:$H,5,0),)</f>
        <v/>
      </c>
      <c r="H166" s="2" t="str">
        <f>IFERROR(VLOOKUP($B166,Vorrunde!$B:$H,6,0),)</f>
        <v/>
      </c>
      <c r="I166" s="2" t="str">
        <f>IFERROR(VLOOKUP($B166,Vorrunde!$B:$H,7,0),)</f>
        <v/>
      </c>
      <c r="J166" s="2" t="str">
        <f>IFERROR(VLOOKUP($B166,Zwischenlauf!$B:$H,2,0),)</f>
        <v/>
      </c>
      <c r="K166" s="2" t="str">
        <f>IFERROR(VLOOKUP($B166,Zwischenlauf!$B:$H,3,0),)</f>
        <v/>
      </c>
      <c r="L166" s="2" t="str">
        <f>IFERROR(VLOOKUP($B166,Zwischenlauf!$B:$H,4,0),)</f>
        <v/>
      </c>
      <c r="M166" s="2" t="str">
        <f>IFERROR(VLOOKUP($B166,Zwischenlauf!$B:$H,5,0),)</f>
        <v/>
      </c>
      <c r="N166" s="2" t="str">
        <f>IFERROR(VLOOKUP($B166,Zwischenlauf!$B:$H,6,0),)</f>
        <v/>
      </c>
      <c r="O166" s="2" t="str">
        <f>IFERROR(VLOOKUP($B166,Zwischenlauf!$B:$H,7,0),)</f>
        <v/>
      </c>
      <c r="P166" s="2" t="str">
        <f>IFERROR(VLOOKUP($B166,Finalrunde!$B:$H,2,0),)</f>
        <v/>
      </c>
      <c r="Q166" s="2" t="str">
        <f>IFERROR(VLOOKUP($B166,Finalrunde!$B:$H,3,0),)</f>
        <v/>
      </c>
      <c r="R166" s="2" t="str">
        <f>IFERROR(VLOOKUP($B166,Finalrunde!$B:$H,4,0),)</f>
        <v/>
      </c>
      <c r="S166" s="2" t="str">
        <f>IFERROR(VLOOKUP($B166,Finalrunde!$B:$H,5,0),)</f>
        <v/>
      </c>
      <c r="T166" s="2" t="str">
        <f>IFERROR(VLOOKUP($B166,Finalrunde!$B:$H,6,0),)</f>
        <v/>
      </c>
      <c r="U166" s="2" t="str">
        <f>IFERROR(VLOOKUP($B166,Finalrunde!$B:$H,7,0),)</f>
        <v/>
      </c>
      <c r="V166" s="2">
        <f t="shared" si="1"/>
        <v>0</v>
      </c>
      <c r="W166" s="2">
        <f t="shared" si="2"/>
        <v>0</v>
      </c>
      <c r="X166" s="2">
        <f t="shared" si="3"/>
        <v>0</v>
      </c>
      <c r="Y166" s="2">
        <f t="shared" si="4"/>
        <v>0</v>
      </c>
      <c r="Z166" s="2">
        <f t="shared" si="5"/>
        <v>0</v>
      </c>
      <c r="AA166" s="2">
        <f t="shared" si="6"/>
        <v>0</v>
      </c>
      <c r="AB166" s="2" t="str">
        <f>IFERROR(VLOOKUP(B166,'Mitglieder BBU'!A:K,12,0),"")</f>
        <v/>
      </c>
      <c r="AC166" s="2">
        <f t="shared" si="7"/>
        <v>0</v>
      </c>
      <c r="AD166" s="2">
        <f t="array" ref="AD166">MIN(IF(D166:U166&lt;&gt;0,D166:U166))</f>
        <v>0</v>
      </c>
    </row>
    <row r="167">
      <c r="A167" s="2">
        <v>164.0</v>
      </c>
      <c r="B167" s="111" t="str">
        <f>Spieler!B169</f>
        <v/>
      </c>
      <c r="D167" s="2" t="str">
        <f>IFERROR(VLOOKUP($B167,Vorrunde!B:H,2,0),)</f>
        <v/>
      </c>
      <c r="E167" s="2" t="str">
        <f>IFERROR(VLOOKUP($B167,Vorrunde!$B:$H,3,0),)</f>
        <v/>
      </c>
      <c r="F167" s="2">
        <f>IFERROR(VLOOKUP($B167,Vorrunde!$B:$H,4,0),0)</f>
        <v>0</v>
      </c>
      <c r="G167" s="2" t="str">
        <f>IFERROR(VLOOKUP($B167,Vorrunde!$B:$H,5,0),)</f>
        <v/>
      </c>
      <c r="H167" s="2" t="str">
        <f>IFERROR(VLOOKUP($B167,Vorrunde!$B:$H,6,0),)</f>
        <v/>
      </c>
      <c r="I167" s="2" t="str">
        <f>IFERROR(VLOOKUP($B167,Vorrunde!$B:$H,7,0),)</f>
        <v/>
      </c>
      <c r="J167" s="2" t="str">
        <f>IFERROR(VLOOKUP($B167,Zwischenlauf!$B:$H,2,0),)</f>
        <v/>
      </c>
      <c r="K167" s="2" t="str">
        <f>IFERROR(VLOOKUP($B167,Zwischenlauf!$B:$H,3,0),)</f>
        <v/>
      </c>
      <c r="L167" s="2" t="str">
        <f>IFERROR(VLOOKUP($B167,Zwischenlauf!$B:$H,4,0),)</f>
        <v/>
      </c>
      <c r="M167" s="2" t="str">
        <f>IFERROR(VLOOKUP($B167,Zwischenlauf!$B:$H,5,0),)</f>
        <v/>
      </c>
      <c r="N167" s="2" t="str">
        <f>IFERROR(VLOOKUP($B167,Zwischenlauf!$B:$H,6,0),)</f>
        <v/>
      </c>
      <c r="O167" s="2" t="str">
        <f>IFERROR(VLOOKUP($B167,Zwischenlauf!$B:$H,7,0),)</f>
        <v/>
      </c>
      <c r="P167" s="2" t="str">
        <f>IFERROR(VLOOKUP($B167,Finalrunde!$B:$H,2,0),)</f>
        <v/>
      </c>
      <c r="Q167" s="2" t="str">
        <f>IFERROR(VLOOKUP($B167,Finalrunde!$B:$H,3,0),)</f>
        <v/>
      </c>
      <c r="R167" s="2" t="str">
        <f>IFERROR(VLOOKUP($B167,Finalrunde!$B:$H,4,0),)</f>
        <v/>
      </c>
      <c r="S167" s="2" t="str">
        <f>IFERROR(VLOOKUP($B167,Finalrunde!$B:$H,5,0),)</f>
        <v/>
      </c>
      <c r="T167" s="2" t="str">
        <f>IFERROR(VLOOKUP($B167,Finalrunde!$B:$H,6,0),)</f>
        <v/>
      </c>
      <c r="U167" s="2" t="str">
        <f>IFERROR(VLOOKUP($B167,Finalrunde!$B:$H,7,0),)</f>
        <v/>
      </c>
      <c r="V167" s="2">
        <f t="shared" si="1"/>
        <v>0</v>
      </c>
      <c r="W167" s="2">
        <f t="shared" si="2"/>
        <v>0</v>
      </c>
      <c r="X167" s="2">
        <f t="shared" si="3"/>
        <v>0</v>
      </c>
      <c r="Y167" s="2">
        <f t="shared" si="4"/>
        <v>0</v>
      </c>
      <c r="Z167" s="2">
        <f t="shared" si="5"/>
        <v>0</v>
      </c>
      <c r="AA167" s="2">
        <f t="shared" si="6"/>
        <v>0</v>
      </c>
      <c r="AB167" s="2" t="str">
        <f>IFERROR(VLOOKUP(B167,'Mitglieder BBU'!A:K,12,0),"")</f>
        <v/>
      </c>
      <c r="AC167" s="2">
        <f t="shared" si="7"/>
        <v>0</v>
      </c>
      <c r="AD167" s="2">
        <f t="array" ref="AD167">MIN(IF(D167:U167&lt;&gt;0,D167:U167))</f>
        <v>0</v>
      </c>
    </row>
    <row r="168">
      <c r="A168" s="2">
        <v>165.0</v>
      </c>
      <c r="B168" s="111" t="str">
        <f>Spieler!B170</f>
        <v/>
      </c>
      <c r="D168" s="2" t="str">
        <f>IFERROR(VLOOKUP($B168,Vorrunde!B:H,2,0),)</f>
        <v/>
      </c>
      <c r="E168" s="2" t="str">
        <f>IFERROR(VLOOKUP($B168,Vorrunde!$B:$H,3,0),)</f>
        <v/>
      </c>
      <c r="F168" s="2">
        <f>IFERROR(VLOOKUP($B168,Vorrunde!$B:$H,4,0),0)</f>
        <v>0</v>
      </c>
      <c r="G168" s="2" t="str">
        <f>IFERROR(VLOOKUP($B168,Vorrunde!$B:$H,5,0),)</f>
        <v/>
      </c>
      <c r="H168" s="2" t="str">
        <f>IFERROR(VLOOKUP($B168,Vorrunde!$B:$H,6,0),)</f>
        <v/>
      </c>
      <c r="I168" s="2" t="str">
        <f>IFERROR(VLOOKUP($B168,Vorrunde!$B:$H,7,0),)</f>
        <v/>
      </c>
      <c r="J168" s="2" t="str">
        <f>IFERROR(VLOOKUP($B168,Zwischenlauf!$B:$H,2,0),)</f>
        <v/>
      </c>
      <c r="K168" s="2" t="str">
        <f>IFERROR(VLOOKUP($B168,Zwischenlauf!$B:$H,3,0),)</f>
        <v/>
      </c>
      <c r="L168" s="2" t="str">
        <f>IFERROR(VLOOKUP($B168,Zwischenlauf!$B:$H,4,0),)</f>
        <v/>
      </c>
      <c r="M168" s="2" t="str">
        <f>IFERROR(VLOOKUP($B168,Zwischenlauf!$B:$H,5,0),)</f>
        <v/>
      </c>
      <c r="N168" s="2" t="str">
        <f>IFERROR(VLOOKUP($B168,Zwischenlauf!$B:$H,6,0),)</f>
        <v/>
      </c>
      <c r="O168" s="2" t="str">
        <f>IFERROR(VLOOKUP($B168,Zwischenlauf!$B:$H,7,0),)</f>
        <v/>
      </c>
      <c r="P168" s="2" t="str">
        <f>IFERROR(VLOOKUP($B168,Finalrunde!$B:$H,2,0),)</f>
        <v/>
      </c>
      <c r="Q168" s="2" t="str">
        <f>IFERROR(VLOOKUP($B168,Finalrunde!$B:$H,3,0),)</f>
        <v/>
      </c>
      <c r="R168" s="2" t="str">
        <f>IFERROR(VLOOKUP($B168,Finalrunde!$B:$H,4,0),)</f>
        <v/>
      </c>
      <c r="S168" s="2" t="str">
        <f>IFERROR(VLOOKUP($B168,Finalrunde!$B:$H,5,0),)</f>
        <v/>
      </c>
      <c r="T168" s="2" t="str">
        <f>IFERROR(VLOOKUP($B168,Finalrunde!$B:$H,6,0),)</f>
        <v/>
      </c>
      <c r="U168" s="2" t="str">
        <f>IFERROR(VLOOKUP($B168,Finalrunde!$B:$H,7,0),)</f>
        <v/>
      </c>
      <c r="V168" s="2">
        <f t="shared" si="1"/>
        <v>0</v>
      </c>
      <c r="W168" s="2">
        <f t="shared" si="2"/>
        <v>0</v>
      </c>
      <c r="X168" s="2">
        <f t="shared" si="3"/>
        <v>0</v>
      </c>
      <c r="Y168" s="2">
        <f t="shared" si="4"/>
        <v>0</v>
      </c>
      <c r="Z168" s="2">
        <f t="shared" si="5"/>
        <v>0</v>
      </c>
      <c r="AA168" s="2">
        <f t="shared" si="6"/>
        <v>0</v>
      </c>
      <c r="AB168" s="2" t="str">
        <f>IFERROR(VLOOKUP(B168,'Mitglieder BBU'!A:K,12,0),"")</f>
        <v/>
      </c>
      <c r="AC168" s="2">
        <f t="shared" si="7"/>
        <v>0</v>
      </c>
      <c r="AD168" s="2">
        <f t="array" ref="AD168">MIN(IF(D168:U168&lt;&gt;0,D168:U168))</f>
        <v>0</v>
      </c>
    </row>
    <row r="169">
      <c r="A169" s="2">
        <v>166.0</v>
      </c>
      <c r="B169" s="111" t="str">
        <f>Spieler!B171</f>
        <v/>
      </c>
      <c r="D169" s="2" t="str">
        <f>IFERROR(VLOOKUP($B169,Vorrunde!B:H,2,0),)</f>
        <v/>
      </c>
      <c r="E169" s="2" t="str">
        <f>IFERROR(VLOOKUP($B169,Vorrunde!$B:$H,3,0),)</f>
        <v/>
      </c>
      <c r="F169" s="2">
        <f>IFERROR(VLOOKUP($B169,Vorrunde!$B:$H,4,0),0)</f>
        <v>0</v>
      </c>
      <c r="G169" s="2" t="str">
        <f>IFERROR(VLOOKUP($B169,Vorrunde!$B:$H,5,0),)</f>
        <v/>
      </c>
      <c r="H169" s="2" t="str">
        <f>IFERROR(VLOOKUP($B169,Vorrunde!$B:$H,6,0),)</f>
        <v/>
      </c>
      <c r="I169" s="2" t="str">
        <f>IFERROR(VLOOKUP($B169,Vorrunde!$B:$H,7,0),)</f>
        <v/>
      </c>
      <c r="J169" s="2" t="str">
        <f>IFERROR(VLOOKUP($B169,Zwischenlauf!$B:$H,2,0),)</f>
        <v/>
      </c>
      <c r="K169" s="2" t="str">
        <f>IFERROR(VLOOKUP($B169,Zwischenlauf!$B:$H,3,0),)</f>
        <v/>
      </c>
      <c r="L169" s="2" t="str">
        <f>IFERROR(VLOOKUP($B169,Zwischenlauf!$B:$H,4,0),)</f>
        <v/>
      </c>
      <c r="M169" s="2" t="str">
        <f>IFERROR(VLOOKUP($B169,Zwischenlauf!$B:$H,5,0),)</f>
        <v/>
      </c>
      <c r="N169" s="2" t="str">
        <f>IFERROR(VLOOKUP($B169,Zwischenlauf!$B:$H,6,0),)</f>
        <v/>
      </c>
      <c r="O169" s="2" t="str">
        <f>IFERROR(VLOOKUP($B169,Zwischenlauf!$B:$H,7,0),)</f>
        <v/>
      </c>
      <c r="P169" s="2" t="str">
        <f>IFERROR(VLOOKUP($B169,Finalrunde!$B:$H,2,0),)</f>
        <v/>
      </c>
      <c r="Q169" s="2" t="str">
        <f>IFERROR(VLOOKUP($B169,Finalrunde!$B:$H,3,0),)</f>
        <v/>
      </c>
      <c r="R169" s="2" t="str">
        <f>IFERROR(VLOOKUP($B169,Finalrunde!$B:$H,4,0),)</f>
        <v/>
      </c>
      <c r="S169" s="2" t="str">
        <f>IFERROR(VLOOKUP($B169,Finalrunde!$B:$H,5,0),)</f>
        <v/>
      </c>
      <c r="T169" s="2" t="str">
        <f>IFERROR(VLOOKUP($B169,Finalrunde!$B:$H,6,0),)</f>
        <v/>
      </c>
      <c r="U169" s="2" t="str">
        <f>IFERROR(VLOOKUP($B169,Finalrunde!$B:$H,7,0),)</f>
        <v/>
      </c>
      <c r="V169" s="2">
        <f t="shared" si="1"/>
        <v>0</v>
      </c>
      <c r="W169" s="2">
        <f t="shared" si="2"/>
        <v>0</v>
      </c>
      <c r="X169" s="2">
        <f t="shared" si="3"/>
        <v>0</v>
      </c>
      <c r="Y169" s="2">
        <f t="shared" si="4"/>
        <v>0</v>
      </c>
      <c r="Z169" s="2">
        <f t="shared" si="5"/>
        <v>0</v>
      </c>
      <c r="AA169" s="2">
        <f t="shared" si="6"/>
        <v>0</v>
      </c>
      <c r="AB169" s="2" t="str">
        <f>IFERROR(VLOOKUP(B169,'Mitglieder BBU'!A:K,12,0),"")</f>
        <v/>
      </c>
      <c r="AC169" s="2">
        <f t="shared" si="7"/>
        <v>0</v>
      </c>
      <c r="AD169" s="2">
        <f t="array" ref="AD169">MIN(IF(D169:U169&lt;&gt;0,D169:U169))</f>
        <v>0</v>
      </c>
    </row>
    <row r="170">
      <c r="A170" s="2">
        <v>167.0</v>
      </c>
      <c r="B170" s="111" t="str">
        <f>Spieler!B172</f>
        <v/>
      </c>
      <c r="D170" s="2" t="str">
        <f>IFERROR(VLOOKUP($B170,Vorrunde!B:H,2,0),)</f>
        <v/>
      </c>
      <c r="E170" s="2" t="str">
        <f>IFERROR(VLOOKUP($B170,Vorrunde!$B:$H,3,0),)</f>
        <v/>
      </c>
      <c r="F170" s="2">
        <f>IFERROR(VLOOKUP($B170,Vorrunde!$B:$H,4,0),0)</f>
        <v>0</v>
      </c>
      <c r="G170" s="2" t="str">
        <f>IFERROR(VLOOKUP($B170,Vorrunde!$B:$H,5,0),)</f>
        <v/>
      </c>
      <c r="H170" s="2" t="str">
        <f>IFERROR(VLOOKUP($B170,Vorrunde!$B:$H,6,0),)</f>
        <v/>
      </c>
      <c r="I170" s="2" t="str">
        <f>IFERROR(VLOOKUP($B170,Vorrunde!$B:$H,7,0),)</f>
        <v/>
      </c>
      <c r="J170" s="2" t="str">
        <f>IFERROR(VLOOKUP($B170,Zwischenlauf!$B:$H,2,0),)</f>
        <v/>
      </c>
      <c r="K170" s="2" t="str">
        <f>IFERROR(VLOOKUP($B170,Zwischenlauf!$B:$H,3,0),)</f>
        <v/>
      </c>
      <c r="L170" s="2" t="str">
        <f>IFERROR(VLOOKUP($B170,Zwischenlauf!$B:$H,4,0),)</f>
        <v/>
      </c>
      <c r="M170" s="2" t="str">
        <f>IFERROR(VLOOKUP($B170,Zwischenlauf!$B:$H,5,0),)</f>
        <v/>
      </c>
      <c r="N170" s="2" t="str">
        <f>IFERROR(VLOOKUP($B170,Zwischenlauf!$B:$H,6,0),)</f>
        <v/>
      </c>
      <c r="O170" s="2" t="str">
        <f>IFERROR(VLOOKUP($B170,Zwischenlauf!$B:$H,7,0),)</f>
        <v/>
      </c>
      <c r="P170" s="2" t="str">
        <f>IFERROR(VLOOKUP($B170,Finalrunde!$B:$H,2,0),)</f>
        <v/>
      </c>
      <c r="Q170" s="2" t="str">
        <f>IFERROR(VLOOKUP($B170,Finalrunde!$B:$H,3,0),)</f>
        <v/>
      </c>
      <c r="R170" s="2" t="str">
        <f>IFERROR(VLOOKUP($B170,Finalrunde!$B:$H,4,0),)</f>
        <v/>
      </c>
      <c r="S170" s="2" t="str">
        <f>IFERROR(VLOOKUP($B170,Finalrunde!$B:$H,5,0),)</f>
        <v/>
      </c>
      <c r="T170" s="2" t="str">
        <f>IFERROR(VLOOKUP($B170,Finalrunde!$B:$H,6,0),)</f>
        <v/>
      </c>
      <c r="U170" s="2" t="str">
        <f>IFERROR(VLOOKUP($B170,Finalrunde!$B:$H,7,0),)</f>
        <v/>
      </c>
      <c r="V170" s="2">
        <f t="shared" si="1"/>
        <v>0</v>
      </c>
      <c r="W170" s="2">
        <f t="shared" si="2"/>
        <v>0</v>
      </c>
      <c r="X170" s="2">
        <f t="shared" si="3"/>
        <v>0</v>
      </c>
      <c r="Y170" s="2">
        <f t="shared" si="4"/>
        <v>0</v>
      </c>
      <c r="Z170" s="2">
        <f t="shared" si="5"/>
        <v>0</v>
      </c>
      <c r="AA170" s="2">
        <f t="shared" si="6"/>
        <v>0</v>
      </c>
      <c r="AB170" s="2" t="str">
        <f>IFERROR(VLOOKUP(B170,'Mitglieder BBU'!A:K,12,0),"")</f>
        <v/>
      </c>
      <c r="AC170" s="2">
        <f t="shared" si="7"/>
        <v>0</v>
      </c>
      <c r="AD170" s="2">
        <f t="array" ref="AD170">MIN(IF(D170:U170&lt;&gt;0,D170:U170))</f>
        <v>0</v>
      </c>
    </row>
    <row r="171">
      <c r="A171" s="2">
        <v>168.0</v>
      </c>
      <c r="B171" s="111" t="str">
        <f>Spieler!B173</f>
        <v/>
      </c>
      <c r="D171" s="2" t="str">
        <f>IFERROR(VLOOKUP($B171,Vorrunde!B:H,2,0),)</f>
        <v/>
      </c>
      <c r="E171" s="2" t="str">
        <f>IFERROR(VLOOKUP($B171,Vorrunde!$B:$H,3,0),)</f>
        <v/>
      </c>
      <c r="F171" s="2">
        <f>IFERROR(VLOOKUP($B171,Vorrunde!$B:$H,4,0),0)</f>
        <v>0</v>
      </c>
      <c r="G171" s="2" t="str">
        <f>IFERROR(VLOOKUP($B171,Vorrunde!$B:$H,5,0),)</f>
        <v/>
      </c>
      <c r="H171" s="2" t="str">
        <f>IFERROR(VLOOKUP($B171,Vorrunde!$B:$H,6,0),)</f>
        <v/>
      </c>
      <c r="I171" s="2" t="str">
        <f>IFERROR(VLOOKUP($B171,Vorrunde!$B:$H,7,0),)</f>
        <v/>
      </c>
      <c r="J171" s="2" t="str">
        <f>IFERROR(VLOOKUP($B171,Zwischenlauf!$B:$H,2,0),)</f>
        <v/>
      </c>
      <c r="K171" s="2" t="str">
        <f>IFERROR(VLOOKUP($B171,Zwischenlauf!$B:$H,3,0),)</f>
        <v/>
      </c>
      <c r="L171" s="2" t="str">
        <f>IFERROR(VLOOKUP($B171,Zwischenlauf!$B:$H,4,0),)</f>
        <v/>
      </c>
      <c r="M171" s="2" t="str">
        <f>IFERROR(VLOOKUP($B171,Zwischenlauf!$B:$H,5,0),)</f>
        <v/>
      </c>
      <c r="N171" s="2" t="str">
        <f>IFERROR(VLOOKUP($B171,Zwischenlauf!$B:$H,6,0),)</f>
        <v/>
      </c>
      <c r="O171" s="2" t="str">
        <f>IFERROR(VLOOKUP($B171,Zwischenlauf!$B:$H,7,0),)</f>
        <v/>
      </c>
      <c r="P171" s="2" t="str">
        <f>IFERROR(VLOOKUP($B171,Finalrunde!$B:$H,2,0),)</f>
        <v/>
      </c>
      <c r="Q171" s="2" t="str">
        <f>IFERROR(VLOOKUP($B171,Finalrunde!$B:$H,3,0),)</f>
        <v/>
      </c>
      <c r="R171" s="2" t="str">
        <f>IFERROR(VLOOKUP($B171,Finalrunde!$B:$H,4,0),)</f>
        <v/>
      </c>
      <c r="S171" s="2" t="str">
        <f>IFERROR(VLOOKUP($B171,Finalrunde!$B:$H,5,0),)</f>
        <v/>
      </c>
      <c r="T171" s="2" t="str">
        <f>IFERROR(VLOOKUP($B171,Finalrunde!$B:$H,6,0),)</f>
        <v/>
      </c>
      <c r="U171" s="2" t="str">
        <f>IFERROR(VLOOKUP($B171,Finalrunde!$B:$H,7,0),)</f>
        <v/>
      </c>
      <c r="V171" s="2">
        <f t="shared" si="1"/>
        <v>0</v>
      </c>
      <c r="W171" s="2">
        <f t="shared" si="2"/>
        <v>0</v>
      </c>
      <c r="X171" s="2">
        <f t="shared" si="3"/>
        <v>0</v>
      </c>
      <c r="Y171" s="2">
        <f t="shared" si="4"/>
        <v>0</v>
      </c>
      <c r="Z171" s="2">
        <f t="shared" si="5"/>
        <v>0</v>
      </c>
      <c r="AA171" s="2">
        <f t="shared" si="6"/>
        <v>0</v>
      </c>
      <c r="AB171" s="2" t="str">
        <f>IFERROR(VLOOKUP(B171,'Mitglieder BBU'!A:K,12,0),"")</f>
        <v/>
      </c>
      <c r="AC171" s="2">
        <f t="shared" si="7"/>
        <v>0</v>
      </c>
      <c r="AD171" s="2">
        <f t="array" ref="AD171">MIN(IF(D171:U171&lt;&gt;0,D171:U171))</f>
        <v>0</v>
      </c>
    </row>
    <row r="172">
      <c r="A172" s="2">
        <v>169.0</v>
      </c>
      <c r="B172" s="111" t="str">
        <f>Spieler!B174</f>
        <v/>
      </c>
      <c r="D172" s="2" t="str">
        <f>IFERROR(VLOOKUP($B172,Vorrunde!B:H,2,0),)</f>
        <v/>
      </c>
      <c r="E172" s="2" t="str">
        <f>IFERROR(VLOOKUP($B172,Vorrunde!$B:$H,3,0),)</f>
        <v/>
      </c>
      <c r="F172" s="2">
        <f>IFERROR(VLOOKUP($B172,Vorrunde!$B:$H,4,0),0)</f>
        <v>0</v>
      </c>
      <c r="G172" s="2" t="str">
        <f>IFERROR(VLOOKUP($B172,Vorrunde!$B:$H,5,0),)</f>
        <v/>
      </c>
      <c r="H172" s="2" t="str">
        <f>IFERROR(VLOOKUP($B172,Vorrunde!$B:$H,6,0),)</f>
        <v/>
      </c>
      <c r="I172" s="2" t="str">
        <f>IFERROR(VLOOKUP($B172,Vorrunde!$B:$H,7,0),)</f>
        <v/>
      </c>
      <c r="J172" s="2" t="str">
        <f>IFERROR(VLOOKUP($B172,Zwischenlauf!$B:$H,2,0),)</f>
        <v/>
      </c>
      <c r="K172" s="2" t="str">
        <f>IFERROR(VLOOKUP($B172,Zwischenlauf!$B:$H,3,0),)</f>
        <v/>
      </c>
      <c r="L172" s="2" t="str">
        <f>IFERROR(VLOOKUP($B172,Zwischenlauf!$B:$H,4,0),)</f>
        <v/>
      </c>
      <c r="M172" s="2" t="str">
        <f>IFERROR(VLOOKUP($B172,Zwischenlauf!$B:$H,5,0),)</f>
        <v/>
      </c>
      <c r="N172" s="2" t="str">
        <f>IFERROR(VLOOKUP($B172,Zwischenlauf!$B:$H,6,0),)</f>
        <v/>
      </c>
      <c r="O172" s="2" t="str">
        <f>IFERROR(VLOOKUP($B172,Zwischenlauf!$B:$H,7,0),)</f>
        <v/>
      </c>
      <c r="P172" s="2" t="str">
        <f>IFERROR(VLOOKUP($B172,Finalrunde!$B:$H,2,0),)</f>
        <v/>
      </c>
      <c r="Q172" s="2" t="str">
        <f>IFERROR(VLOOKUP($B172,Finalrunde!$B:$H,3,0),)</f>
        <v/>
      </c>
      <c r="R172" s="2" t="str">
        <f>IFERROR(VLOOKUP($B172,Finalrunde!$B:$H,4,0),)</f>
        <v/>
      </c>
      <c r="S172" s="2" t="str">
        <f>IFERROR(VLOOKUP($B172,Finalrunde!$B:$H,5,0),)</f>
        <v/>
      </c>
      <c r="T172" s="2" t="str">
        <f>IFERROR(VLOOKUP($B172,Finalrunde!$B:$H,6,0),)</f>
        <v/>
      </c>
      <c r="U172" s="2" t="str">
        <f>IFERROR(VLOOKUP($B172,Finalrunde!$B:$H,7,0),)</f>
        <v/>
      </c>
      <c r="V172" s="2">
        <f t="shared" si="1"/>
        <v>0</v>
      </c>
      <c r="W172" s="2">
        <f t="shared" si="2"/>
        <v>0</v>
      </c>
      <c r="X172" s="2">
        <f t="shared" si="3"/>
        <v>0</v>
      </c>
      <c r="Y172" s="2">
        <f t="shared" si="4"/>
        <v>0</v>
      </c>
      <c r="Z172" s="2">
        <f t="shared" si="5"/>
        <v>0</v>
      </c>
      <c r="AA172" s="2">
        <f t="shared" si="6"/>
        <v>0</v>
      </c>
      <c r="AB172" s="2" t="str">
        <f>IFERROR(VLOOKUP(B172,'Mitglieder BBU'!A:K,12,0),"")</f>
        <v/>
      </c>
      <c r="AC172" s="2">
        <f t="shared" si="7"/>
        <v>0</v>
      </c>
      <c r="AD172" s="2">
        <f t="array" ref="AD172">MIN(IF(D172:U172&lt;&gt;0,D172:U172))</f>
        <v>0</v>
      </c>
    </row>
    <row r="173">
      <c r="A173" s="2">
        <v>170.0</v>
      </c>
      <c r="B173" s="111" t="str">
        <f>Spieler!B175</f>
        <v/>
      </c>
      <c r="D173" s="2" t="str">
        <f>IFERROR(VLOOKUP($B173,Vorrunde!B:H,2,0),)</f>
        <v/>
      </c>
      <c r="E173" s="2" t="str">
        <f>IFERROR(VLOOKUP($B173,Vorrunde!$B:$H,3,0),)</f>
        <v/>
      </c>
      <c r="F173" s="2">
        <f>IFERROR(VLOOKUP($B173,Vorrunde!$B:$H,4,0),0)</f>
        <v>0</v>
      </c>
      <c r="G173" s="2" t="str">
        <f>IFERROR(VLOOKUP($B173,Vorrunde!$B:$H,5,0),)</f>
        <v/>
      </c>
      <c r="H173" s="2" t="str">
        <f>IFERROR(VLOOKUP($B173,Vorrunde!$B:$H,6,0),)</f>
        <v/>
      </c>
      <c r="I173" s="2" t="str">
        <f>IFERROR(VLOOKUP($B173,Vorrunde!$B:$H,7,0),)</f>
        <v/>
      </c>
      <c r="J173" s="2" t="str">
        <f>IFERROR(VLOOKUP($B173,Zwischenlauf!$B:$H,2,0),)</f>
        <v/>
      </c>
      <c r="K173" s="2" t="str">
        <f>IFERROR(VLOOKUP($B173,Zwischenlauf!$B:$H,3,0),)</f>
        <v/>
      </c>
      <c r="L173" s="2" t="str">
        <f>IFERROR(VLOOKUP($B173,Zwischenlauf!$B:$H,4,0),)</f>
        <v/>
      </c>
      <c r="M173" s="2" t="str">
        <f>IFERROR(VLOOKUP($B173,Zwischenlauf!$B:$H,5,0),)</f>
        <v/>
      </c>
      <c r="N173" s="2" t="str">
        <f>IFERROR(VLOOKUP($B173,Zwischenlauf!$B:$H,6,0),)</f>
        <v/>
      </c>
      <c r="O173" s="2" t="str">
        <f>IFERROR(VLOOKUP($B173,Zwischenlauf!$B:$H,7,0),)</f>
        <v/>
      </c>
      <c r="P173" s="2" t="str">
        <f>IFERROR(VLOOKUP($B173,Finalrunde!$B:$H,2,0),)</f>
        <v/>
      </c>
      <c r="Q173" s="2" t="str">
        <f>IFERROR(VLOOKUP($B173,Finalrunde!$B:$H,3,0),)</f>
        <v/>
      </c>
      <c r="R173" s="2" t="str">
        <f>IFERROR(VLOOKUP($B173,Finalrunde!$B:$H,4,0),)</f>
        <v/>
      </c>
      <c r="S173" s="2" t="str">
        <f>IFERROR(VLOOKUP($B173,Finalrunde!$B:$H,5,0),)</f>
        <v/>
      </c>
      <c r="T173" s="2" t="str">
        <f>IFERROR(VLOOKUP($B173,Finalrunde!$B:$H,6,0),)</f>
        <v/>
      </c>
      <c r="U173" s="2" t="str">
        <f>IFERROR(VLOOKUP($B173,Finalrunde!$B:$H,7,0),)</f>
        <v/>
      </c>
      <c r="V173" s="2">
        <f t="shared" si="1"/>
        <v>0</v>
      </c>
      <c r="W173" s="2">
        <f t="shared" si="2"/>
        <v>0</v>
      </c>
      <c r="X173" s="2">
        <f t="shared" si="3"/>
        <v>0</v>
      </c>
      <c r="Y173" s="2">
        <f t="shared" si="4"/>
        <v>0</v>
      </c>
      <c r="Z173" s="2">
        <f t="shared" si="5"/>
        <v>0</v>
      </c>
      <c r="AA173" s="2">
        <f t="shared" si="6"/>
        <v>0</v>
      </c>
      <c r="AB173" s="2" t="str">
        <f>IFERROR(VLOOKUP(B173,'Mitglieder BBU'!A:K,12,0),"")</f>
        <v/>
      </c>
      <c r="AC173" s="2">
        <f t="shared" si="7"/>
        <v>0</v>
      </c>
      <c r="AD173" s="2">
        <f t="array" ref="AD173">MIN(IF(D173:U173&lt;&gt;0,D173:U173))</f>
        <v>0</v>
      </c>
    </row>
    <row r="174">
      <c r="A174" s="2">
        <v>171.0</v>
      </c>
      <c r="B174" s="111" t="str">
        <f>Spieler!B176</f>
        <v/>
      </c>
      <c r="D174" s="2" t="str">
        <f>IFERROR(VLOOKUP($B174,Vorrunde!B:H,2,0),)</f>
        <v/>
      </c>
      <c r="E174" s="2" t="str">
        <f>IFERROR(VLOOKUP($B174,Vorrunde!$B:$H,3,0),)</f>
        <v/>
      </c>
      <c r="F174" s="2">
        <f>IFERROR(VLOOKUP($B174,Vorrunde!$B:$H,4,0),0)</f>
        <v>0</v>
      </c>
      <c r="G174" s="2" t="str">
        <f>IFERROR(VLOOKUP($B174,Vorrunde!$B:$H,5,0),)</f>
        <v/>
      </c>
      <c r="H174" s="2" t="str">
        <f>IFERROR(VLOOKUP($B174,Vorrunde!$B:$H,6,0),)</f>
        <v/>
      </c>
      <c r="I174" s="2" t="str">
        <f>IFERROR(VLOOKUP($B174,Vorrunde!$B:$H,7,0),)</f>
        <v/>
      </c>
      <c r="J174" s="2" t="str">
        <f>IFERROR(VLOOKUP($B174,Zwischenlauf!$B:$H,2,0),)</f>
        <v/>
      </c>
      <c r="K174" s="2" t="str">
        <f>IFERROR(VLOOKUP($B174,Zwischenlauf!$B:$H,3,0),)</f>
        <v/>
      </c>
      <c r="L174" s="2" t="str">
        <f>IFERROR(VLOOKUP($B174,Zwischenlauf!$B:$H,4,0),)</f>
        <v/>
      </c>
      <c r="M174" s="2" t="str">
        <f>IFERROR(VLOOKUP($B174,Zwischenlauf!$B:$H,5,0),)</f>
        <v/>
      </c>
      <c r="N174" s="2" t="str">
        <f>IFERROR(VLOOKUP($B174,Zwischenlauf!$B:$H,6,0),)</f>
        <v/>
      </c>
      <c r="O174" s="2" t="str">
        <f>IFERROR(VLOOKUP($B174,Zwischenlauf!$B:$H,7,0),)</f>
        <v/>
      </c>
      <c r="P174" s="2" t="str">
        <f>IFERROR(VLOOKUP($B174,Finalrunde!$B:$H,2,0),)</f>
        <v/>
      </c>
      <c r="Q174" s="2" t="str">
        <f>IFERROR(VLOOKUP($B174,Finalrunde!$B:$H,3,0),)</f>
        <v/>
      </c>
      <c r="R174" s="2" t="str">
        <f>IFERROR(VLOOKUP($B174,Finalrunde!$B:$H,4,0),)</f>
        <v/>
      </c>
      <c r="S174" s="2" t="str">
        <f>IFERROR(VLOOKUP($B174,Finalrunde!$B:$H,5,0),)</f>
        <v/>
      </c>
      <c r="T174" s="2" t="str">
        <f>IFERROR(VLOOKUP($B174,Finalrunde!$B:$H,6,0),)</f>
        <v/>
      </c>
      <c r="U174" s="2" t="str">
        <f>IFERROR(VLOOKUP($B174,Finalrunde!$B:$H,7,0),)</f>
        <v/>
      </c>
      <c r="V174" s="2">
        <f t="shared" si="1"/>
        <v>0</v>
      </c>
      <c r="W174" s="2">
        <f t="shared" si="2"/>
        <v>0</v>
      </c>
      <c r="X174" s="2">
        <f t="shared" si="3"/>
        <v>0</v>
      </c>
      <c r="Y174" s="2">
        <f t="shared" si="4"/>
        <v>0</v>
      </c>
      <c r="Z174" s="2">
        <f t="shared" si="5"/>
        <v>0</v>
      </c>
      <c r="AA174" s="2">
        <f t="shared" si="6"/>
        <v>0</v>
      </c>
      <c r="AB174" s="2" t="str">
        <f>IFERROR(VLOOKUP(B174,'Mitglieder BBU'!A:K,12,0),"")</f>
        <v/>
      </c>
      <c r="AC174" s="2">
        <f t="shared" si="7"/>
        <v>0</v>
      </c>
      <c r="AD174" s="2">
        <f t="array" ref="AD174">MIN(IF(D174:U174&lt;&gt;0,D174:U174))</f>
        <v>0</v>
      </c>
    </row>
    <row r="175">
      <c r="A175" s="2">
        <v>172.0</v>
      </c>
      <c r="B175" s="111" t="str">
        <f>Spieler!B177</f>
        <v/>
      </c>
      <c r="D175" s="2" t="str">
        <f>IFERROR(VLOOKUP($B175,Vorrunde!B:H,2,0),)</f>
        <v/>
      </c>
      <c r="E175" s="2" t="str">
        <f>IFERROR(VLOOKUP($B175,Vorrunde!$B:$H,3,0),)</f>
        <v/>
      </c>
      <c r="F175" s="2">
        <f>IFERROR(VLOOKUP($B175,Vorrunde!$B:$H,4,0),0)</f>
        <v>0</v>
      </c>
      <c r="G175" s="2" t="str">
        <f>IFERROR(VLOOKUP($B175,Vorrunde!$B:$H,5,0),)</f>
        <v/>
      </c>
      <c r="H175" s="2" t="str">
        <f>IFERROR(VLOOKUP($B175,Vorrunde!$B:$H,6,0),)</f>
        <v/>
      </c>
      <c r="I175" s="2" t="str">
        <f>IFERROR(VLOOKUP($B175,Vorrunde!$B:$H,7,0),)</f>
        <v/>
      </c>
      <c r="J175" s="2" t="str">
        <f>IFERROR(VLOOKUP($B175,Zwischenlauf!$B:$H,2,0),)</f>
        <v/>
      </c>
      <c r="K175" s="2" t="str">
        <f>IFERROR(VLOOKUP($B175,Zwischenlauf!$B:$H,3,0),)</f>
        <v/>
      </c>
      <c r="L175" s="2" t="str">
        <f>IFERROR(VLOOKUP($B175,Zwischenlauf!$B:$H,4,0),)</f>
        <v/>
      </c>
      <c r="M175" s="2" t="str">
        <f>IFERROR(VLOOKUP($B175,Zwischenlauf!$B:$H,5,0),)</f>
        <v/>
      </c>
      <c r="N175" s="2" t="str">
        <f>IFERROR(VLOOKUP($B175,Zwischenlauf!$B:$H,6,0),)</f>
        <v/>
      </c>
      <c r="O175" s="2" t="str">
        <f>IFERROR(VLOOKUP($B175,Zwischenlauf!$B:$H,7,0),)</f>
        <v/>
      </c>
      <c r="P175" s="2" t="str">
        <f>IFERROR(VLOOKUP($B175,Finalrunde!$B:$H,2,0),)</f>
        <v/>
      </c>
      <c r="Q175" s="2" t="str">
        <f>IFERROR(VLOOKUP($B175,Finalrunde!$B:$H,3,0),)</f>
        <v/>
      </c>
      <c r="R175" s="2" t="str">
        <f>IFERROR(VLOOKUP($B175,Finalrunde!$B:$H,4,0),)</f>
        <v/>
      </c>
      <c r="S175" s="2" t="str">
        <f>IFERROR(VLOOKUP($B175,Finalrunde!$B:$H,5,0),)</f>
        <v/>
      </c>
      <c r="T175" s="2" t="str">
        <f>IFERROR(VLOOKUP($B175,Finalrunde!$B:$H,6,0),)</f>
        <v/>
      </c>
      <c r="U175" s="2" t="str">
        <f>IFERROR(VLOOKUP($B175,Finalrunde!$B:$H,7,0),)</f>
        <v/>
      </c>
      <c r="V175" s="2">
        <f t="shared" si="1"/>
        <v>0</v>
      </c>
      <c r="W175" s="2">
        <f t="shared" si="2"/>
        <v>0</v>
      </c>
      <c r="X175" s="2">
        <f t="shared" si="3"/>
        <v>0</v>
      </c>
      <c r="Y175" s="2">
        <f t="shared" si="4"/>
        <v>0</v>
      </c>
      <c r="Z175" s="2">
        <f t="shared" si="5"/>
        <v>0</v>
      </c>
      <c r="AA175" s="2">
        <f t="shared" si="6"/>
        <v>0</v>
      </c>
      <c r="AB175" s="2" t="str">
        <f>IFERROR(VLOOKUP(B175,'Mitglieder BBU'!A:K,12,0),"")</f>
        <v/>
      </c>
      <c r="AC175" s="2">
        <f t="shared" si="7"/>
        <v>0</v>
      </c>
      <c r="AD175" s="2">
        <f t="array" ref="AD175">MIN(IF(D175:U175&lt;&gt;0,D175:U175))</f>
        <v>0</v>
      </c>
    </row>
    <row r="176">
      <c r="A176" s="2">
        <v>173.0</v>
      </c>
      <c r="B176" s="111" t="str">
        <f>Spieler!B178</f>
        <v/>
      </c>
      <c r="D176" s="2" t="str">
        <f>IFERROR(VLOOKUP($B176,Vorrunde!B:H,2,0),)</f>
        <v/>
      </c>
      <c r="E176" s="2" t="str">
        <f>IFERROR(VLOOKUP($B176,Vorrunde!$B:$H,3,0),)</f>
        <v/>
      </c>
      <c r="F176" s="2">
        <f>IFERROR(VLOOKUP($B176,Vorrunde!$B:$H,4,0),0)</f>
        <v>0</v>
      </c>
      <c r="G176" s="2" t="str">
        <f>IFERROR(VLOOKUP($B176,Vorrunde!$B:$H,5,0),)</f>
        <v/>
      </c>
      <c r="H176" s="2" t="str">
        <f>IFERROR(VLOOKUP($B176,Vorrunde!$B:$H,6,0),)</f>
        <v/>
      </c>
      <c r="I176" s="2" t="str">
        <f>IFERROR(VLOOKUP($B176,Vorrunde!$B:$H,7,0),)</f>
        <v/>
      </c>
      <c r="J176" s="2" t="str">
        <f>IFERROR(VLOOKUP($B176,Zwischenlauf!$B:$H,2,0),)</f>
        <v/>
      </c>
      <c r="K176" s="2" t="str">
        <f>IFERROR(VLOOKUP($B176,Zwischenlauf!$B:$H,3,0),)</f>
        <v/>
      </c>
      <c r="L176" s="2" t="str">
        <f>IFERROR(VLOOKUP($B176,Zwischenlauf!$B:$H,4,0),)</f>
        <v/>
      </c>
      <c r="M176" s="2" t="str">
        <f>IFERROR(VLOOKUP($B176,Zwischenlauf!$B:$H,5,0),)</f>
        <v/>
      </c>
      <c r="N176" s="2" t="str">
        <f>IFERROR(VLOOKUP($B176,Zwischenlauf!$B:$H,6,0),)</f>
        <v/>
      </c>
      <c r="O176" s="2" t="str">
        <f>IFERROR(VLOOKUP($B176,Zwischenlauf!$B:$H,7,0),)</f>
        <v/>
      </c>
      <c r="P176" s="2" t="str">
        <f>IFERROR(VLOOKUP($B176,Finalrunde!$B:$H,2,0),)</f>
        <v/>
      </c>
      <c r="Q176" s="2" t="str">
        <f>IFERROR(VLOOKUP($B176,Finalrunde!$B:$H,3,0),)</f>
        <v/>
      </c>
      <c r="R176" s="2" t="str">
        <f>IFERROR(VLOOKUP($B176,Finalrunde!$B:$H,4,0),)</f>
        <v/>
      </c>
      <c r="S176" s="2" t="str">
        <f>IFERROR(VLOOKUP($B176,Finalrunde!$B:$H,5,0),)</f>
        <v/>
      </c>
      <c r="T176" s="2" t="str">
        <f>IFERROR(VLOOKUP($B176,Finalrunde!$B:$H,6,0),)</f>
        <v/>
      </c>
      <c r="U176" s="2" t="str">
        <f>IFERROR(VLOOKUP($B176,Finalrunde!$B:$H,7,0),)</f>
        <v/>
      </c>
      <c r="V176" s="2">
        <f t="shared" si="1"/>
        <v>0</v>
      </c>
      <c r="W176" s="2">
        <f t="shared" si="2"/>
        <v>0</v>
      </c>
      <c r="X176" s="2">
        <f t="shared" si="3"/>
        <v>0</v>
      </c>
      <c r="Y176" s="2">
        <f t="shared" si="4"/>
        <v>0</v>
      </c>
      <c r="Z176" s="2">
        <f t="shared" si="5"/>
        <v>0</v>
      </c>
      <c r="AA176" s="2">
        <f t="shared" si="6"/>
        <v>0</v>
      </c>
      <c r="AB176" s="2" t="str">
        <f>IFERROR(VLOOKUP(B176,'Mitglieder BBU'!A:K,12,0),"")</f>
        <v/>
      </c>
      <c r="AC176" s="2">
        <f t="shared" si="7"/>
        <v>0</v>
      </c>
      <c r="AD176" s="2">
        <f t="array" ref="AD176">MIN(IF(D176:U176&lt;&gt;0,D176:U176))</f>
        <v>0</v>
      </c>
    </row>
    <row r="177">
      <c r="A177" s="2">
        <v>174.0</v>
      </c>
      <c r="B177" s="111" t="str">
        <f>Spieler!B179</f>
        <v/>
      </c>
      <c r="D177" s="2" t="str">
        <f>IFERROR(VLOOKUP($B177,Vorrunde!B:H,2,0),)</f>
        <v/>
      </c>
      <c r="E177" s="2" t="str">
        <f>IFERROR(VLOOKUP($B177,Vorrunde!$B:$H,3,0),)</f>
        <v/>
      </c>
      <c r="F177" s="2">
        <f>IFERROR(VLOOKUP($B177,Vorrunde!$B:$H,4,0),0)</f>
        <v>0</v>
      </c>
      <c r="G177" s="2" t="str">
        <f>IFERROR(VLOOKUP($B177,Vorrunde!$B:$H,5,0),)</f>
        <v/>
      </c>
      <c r="H177" s="2" t="str">
        <f>IFERROR(VLOOKUP($B177,Vorrunde!$B:$H,6,0),)</f>
        <v/>
      </c>
      <c r="I177" s="2" t="str">
        <f>IFERROR(VLOOKUP($B177,Vorrunde!$B:$H,7,0),)</f>
        <v/>
      </c>
      <c r="J177" s="2" t="str">
        <f>IFERROR(VLOOKUP($B177,Zwischenlauf!$B:$H,2,0),)</f>
        <v/>
      </c>
      <c r="K177" s="2" t="str">
        <f>IFERROR(VLOOKUP($B177,Zwischenlauf!$B:$H,3,0),)</f>
        <v/>
      </c>
      <c r="L177" s="2" t="str">
        <f>IFERROR(VLOOKUP($B177,Zwischenlauf!$B:$H,4,0),)</f>
        <v/>
      </c>
      <c r="M177" s="2" t="str">
        <f>IFERROR(VLOOKUP($B177,Zwischenlauf!$B:$H,5,0),)</f>
        <v/>
      </c>
      <c r="N177" s="2" t="str">
        <f>IFERROR(VLOOKUP($B177,Zwischenlauf!$B:$H,6,0),)</f>
        <v/>
      </c>
      <c r="O177" s="2" t="str">
        <f>IFERROR(VLOOKUP($B177,Zwischenlauf!$B:$H,7,0),)</f>
        <v/>
      </c>
      <c r="P177" s="2" t="str">
        <f>IFERROR(VLOOKUP($B177,Finalrunde!$B:$H,2,0),)</f>
        <v/>
      </c>
      <c r="Q177" s="2" t="str">
        <f>IFERROR(VLOOKUP($B177,Finalrunde!$B:$H,3,0),)</f>
        <v/>
      </c>
      <c r="R177" s="2" t="str">
        <f>IFERROR(VLOOKUP($B177,Finalrunde!$B:$H,4,0),)</f>
        <v/>
      </c>
      <c r="S177" s="2" t="str">
        <f>IFERROR(VLOOKUP($B177,Finalrunde!$B:$H,5,0),)</f>
        <v/>
      </c>
      <c r="T177" s="2" t="str">
        <f>IFERROR(VLOOKUP($B177,Finalrunde!$B:$H,6,0),)</f>
        <v/>
      </c>
      <c r="U177" s="2" t="str">
        <f>IFERROR(VLOOKUP($B177,Finalrunde!$B:$H,7,0),)</f>
        <v/>
      </c>
      <c r="V177" s="2">
        <f t="shared" si="1"/>
        <v>0</v>
      </c>
      <c r="W177" s="2">
        <f t="shared" si="2"/>
        <v>0</v>
      </c>
      <c r="X177" s="2">
        <f t="shared" si="3"/>
        <v>0</v>
      </c>
      <c r="Y177" s="2">
        <f t="shared" si="4"/>
        <v>0</v>
      </c>
      <c r="Z177" s="2">
        <f t="shared" si="5"/>
        <v>0</v>
      </c>
      <c r="AA177" s="2">
        <f t="shared" si="6"/>
        <v>0</v>
      </c>
      <c r="AB177" s="2" t="str">
        <f>IFERROR(VLOOKUP(B177,'Mitglieder BBU'!A:K,12,0),"")</f>
        <v/>
      </c>
      <c r="AC177" s="2">
        <f t="shared" si="7"/>
        <v>0</v>
      </c>
      <c r="AD177" s="2">
        <f t="array" ref="AD177">MIN(IF(D177:U177&lt;&gt;0,D177:U177))</f>
        <v>0</v>
      </c>
    </row>
    <row r="178">
      <c r="A178" s="2">
        <v>175.0</v>
      </c>
      <c r="B178" s="111" t="str">
        <f>Spieler!B180</f>
        <v/>
      </c>
      <c r="D178" s="2" t="str">
        <f>IFERROR(VLOOKUP($B178,Vorrunde!B:H,2,0),)</f>
        <v/>
      </c>
      <c r="E178" s="2" t="str">
        <f>IFERROR(VLOOKUP($B178,Vorrunde!$B:$H,3,0),)</f>
        <v/>
      </c>
      <c r="F178" s="2">
        <f>IFERROR(VLOOKUP($B178,Vorrunde!$B:$H,4,0),0)</f>
        <v>0</v>
      </c>
      <c r="G178" s="2" t="str">
        <f>IFERROR(VLOOKUP($B178,Vorrunde!$B:$H,5,0),)</f>
        <v/>
      </c>
      <c r="H178" s="2" t="str">
        <f>IFERROR(VLOOKUP($B178,Vorrunde!$B:$H,6,0),)</f>
        <v/>
      </c>
      <c r="I178" s="2" t="str">
        <f>IFERROR(VLOOKUP($B178,Vorrunde!$B:$H,7,0),)</f>
        <v/>
      </c>
      <c r="J178" s="2" t="str">
        <f>IFERROR(VLOOKUP($B178,Zwischenlauf!$B:$H,2,0),)</f>
        <v/>
      </c>
      <c r="K178" s="2" t="str">
        <f>IFERROR(VLOOKUP($B178,Zwischenlauf!$B:$H,3,0),)</f>
        <v/>
      </c>
      <c r="L178" s="2" t="str">
        <f>IFERROR(VLOOKUP($B178,Zwischenlauf!$B:$H,4,0),)</f>
        <v/>
      </c>
      <c r="M178" s="2" t="str">
        <f>IFERROR(VLOOKUP($B178,Zwischenlauf!$B:$H,5,0),)</f>
        <v/>
      </c>
      <c r="N178" s="2" t="str">
        <f>IFERROR(VLOOKUP($B178,Zwischenlauf!$B:$H,6,0),)</f>
        <v/>
      </c>
      <c r="O178" s="2" t="str">
        <f>IFERROR(VLOOKUP($B178,Zwischenlauf!$B:$H,7,0),)</f>
        <v/>
      </c>
      <c r="P178" s="2" t="str">
        <f>IFERROR(VLOOKUP($B178,Finalrunde!$B:$H,2,0),)</f>
        <v/>
      </c>
      <c r="Q178" s="2" t="str">
        <f>IFERROR(VLOOKUP($B178,Finalrunde!$B:$H,3,0),)</f>
        <v/>
      </c>
      <c r="R178" s="2" t="str">
        <f>IFERROR(VLOOKUP($B178,Finalrunde!$B:$H,4,0),)</f>
        <v/>
      </c>
      <c r="S178" s="2" t="str">
        <f>IFERROR(VLOOKUP($B178,Finalrunde!$B:$H,5,0),)</f>
        <v/>
      </c>
      <c r="T178" s="2" t="str">
        <f>IFERROR(VLOOKUP($B178,Finalrunde!$B:$H,6,0),)</f>
        <v/>
      </c>
      <c r="U178" s="2" t="str">
        <f>IFERROR(VLOOKUP($B178,Finalrunde!$B:$H,7,0),)</f>
        <v/>
      </c>
      <c r="V178" s="2">
        <f t="shared" si="1"/>
        <v>0</v>
      </c>
      <c r="W178" s="2">
        <f t="shared" si="2"/>
        <v>0</v>
      </c>
      <c r="X178" s="2">
        <f t="shared" si="3"/>
        <v>0</v>
      </c>
      <c r="Y178" s="2">
        <f t="shared" si="4"/>
        <v>0</v>
      </c>
      <c r="Z178" s="2">
        <f t="shared" si="5"/>
        <v>0</v>
      </c>
      <c r="AA178" s="2">
        <f t="shared" si="6"/>
        <v>0</v>
      </c>
      <c r="AB178" s="2" t="str">
        <f>IFERROR(VLOOKUP(B178,'Mitglieder BBU'!A:K,12,0),"")</f>
        <v/>
      </c>
      <c r="AC178" s="2">
        <f t="shared" si="7"/>
        <v>0</v>
      </c>
      <c r="AD178" s="2">
        <f t="array" ref="AD178">MIN(IF(D178:U178&lt;&gt;0,D178:U178))</f>
        <v>0</v>
      </c>
    </row>
    <row r="179">
      <c r="A179" s="2">
        <v>176.0</v>
      </c>
      <c r="B179" s="111" t="str">
        <f>Spieler!B181</f>
        <v/>
      </c>
      <c r="D179" s="2" t="str">
        <f>IFERROR(VLOOKUP($B179,Vorrunde!B:H,2,0),)</f>
        <v/>
      </c>
      <c r="E179" s="2" t="str">
        <f>IFERROR(VLOOKUP($B179,Vorrunde!$B:$H,3,0),)</f>
        <v/>
      </c>
      <c r="F179" s="2">
        <f>IFERROR(VLOOKUP($B179,Vorrunde!$B:$H,4,0),0)</f>
        <v>0</v>
      </c>
      <c r="G179" s="2" t="str">
        <f>IFERROR(VLOOKUP($B179,Vorrunde!$B:$H,5,0),)</f>
        <v/>
      </c>
      <c r="H179" s="2" t="str">
        <f>IFERROR(VLOOKUP($B179,Vorrunde!$B:$H,6,0),)</f>
        <v/>
      </c>
      <c r="I179" s="2" t="str">
        <f>IFERROR(VLOOKUP($B179,Vorrunde!$B:$H,7,0),)</f>
        <v/>
      </c>
      <c r="J179" s="2" t="str">
        <f>IFERROR(VLOOKUP($B179,Zwischenlauf!$B:$H,2,0),)</f>
        <v/>
      </c>
      <c r="K179" s="2" t="str">
        <f>IFERROR(VLOOKUP($B179,Zwischenlauf!$B:$H,3,0),)</f>
        <v/>
      </c>
      <c r="L179" s="2" t="str">
        <f>IFERROR(VLOOKUP($B179,Zwischenlauf!$B:$H,4,0),)</f>
        <v/>
      </c>
      <c r="M179" s="2" t="str">
        <f>IFERROR(VLOOKUP($B179,Zwischenlauf!$B:$H,5,0),)</f>
        <v/>
      </c>
      <c r="N179" s="2" t="str">
        <f>IFERROR(VLOOKUP($B179,Zwischenlauf!$B:$H,6,0),)</f>
        <v/>
      </c>
      <c r="O179" s="2" t="str">
        <f>IFERROR(VLOOKUP($B179,Zwischenlauf!$B:$H,7,0),)</f>
        <v/>
      </c>
      <c r="P179" s="2" t="str">
        <f>IFERROR(VLOOKUP($B179,Finalrunde!$B:$H,2,0),)</f>
        <v/>
      </c>
      <c r="Q179" s="2" t="str">
        <f>IFERROR(VLOOKUP($B179,Finalrunde!$B:$H,3,0),)</f>
        <v/>
      </c>
      <c r="R179" s="2" t="str">
        <f>IFERROR(VLOOKUP($B179,Finalrunde!$B:$H,4,0),)</f>
        <v/>
      </c>
      <c r="S179" s="2" t="str">
        <f>IFERROR(VLOOKUP($B179,Finalrunde!$B:$H,5,0),)</f>
        <v/>
      </c>
      <c r="T179" s="2" t="str">
        <f>IFERROR(VLOOKUP($B179,Finalrunde!$B:$H,6,0),)</f>
        <v/>
      </c>
      <c r="U179" s="2" t="str">
        <f>IFERROR(VLOOKUP($B179,Finalrunde!$B:$H,7,0),)</f>
        <v/>
      </c>
      <c r="V179" s="2">
        <f t="shared" si="1"/>
        <v>0</v>
      </c>
      <c r="W179" s="2">
        <f t="shared" si="2"/>
        <v>0</v>
      </c>
      <c r="X179" s="2">
        <f t="shared" si="3"/>
        <v>0</v>
      </c>
      <c r="Y179" s="2">
        <f t="shared" si="4"/>
        <v>0</v>
      </c>
      <c r="Z179" s="2">
        <f t="shared" si="5"/>
        <v>0</v>
      </c>
      <c r="AA179" s="2">
        <f t="shared" si="6"/>
        <v>0</v>
      </c>
      <c r="AB179" s="2" t="str">
        <f>IFERROR(VLOOKUP(B179,'Mitglieder BBU'!A:K,12,0),"")</f>
        <v/>
      </c>
      <c r="AC179" s="2">
        <f t="shared" si="7"/>
        <v>0</v>
      </c>
      <c r="AD179" s="2">
        <f t="array" ref="AD179">MIN(IF(D179:U179&lt;&gt;0,D179:U179))</f>
        <v>0</v>
      </c>
    </row>
    <row r="180">
      <c r="A180" s="2">
        <v>177.0</v>
      </c>
      <c r="B180" s="111" t="str">
        <f>Spieler!B182</f>
        <v/>
      </c>
      <c r="D180" s="2" t="str">
        <f>IFERROR(VLOOKUP($B180,Vorrunde!B:H,2,0),)</f>
        <v/>
      </c>
      <c r="E180" s="2" t="str">
        <f>IFERROR(VLOOKUP($B180,Vorrunde!$B:$H,3,0),)</f>
        <v/>
      </c>
      <c r="F180" s="2">
        <f>IFERROR(VLOOKUP($B180,Vorrunde!$B:$H,4,0),0)</f>
        <v>0</v>
      </c>
      <c r="G180" s="2" t="str">
        <f>IFERROR(VLOOKUP($B180,Vorrunde!$B:$H,5,0),)</f>
        <v/>
      </c>
      <c r="H180" s="2" t="str">
        <f>IFERROR(VLOOKUP($B180,Vorrunde!$B:$H,6,0),)</f>
        <v/>
      </c>
      <c r="I180" s="2" t="str">
        <f>IFERROR(VLOOKUP($B180,Vorrunde!$B:$H,7,0),)</f>
        <v/>
      </c>
      <c r="J180" s="2" t="str">
        <f>IFERROR(VLOOKUP($B180,Zwischenlauf!$B:$H,2,0),)</f>
        <v/>
      </c>
      <c r="K180" s="2" t="str">
        <f>IFERROR(VLOOKUP($B180,Zwischenlauf!$B:$H,3,0),)</f>
        <v/>
      </c>
      <c r="L180" s="2" t="str">
        <f>IFERROR(VLOOKUP($B180,Zwischenlauf!$B:$H,4,0),)</f>
        <v/>
      </c>
      <c r="M180" s="2" t="str">
        <f>IFERROR(VLOOKUP($B180,Zwischenlauf!$B:$H,5,0),)</f>
        <v/>
      </c>
      <c r="N180" s="2" t="str">
        <f>IFERROR(VLOOKUP($B180,Zwischenlauf!$B:$H,6,0),)</f>
        <v/>
      </c>
      <c r="O180" s="2" t="str">
        <f>IFERROR(VLOOKUP($B180,Zwischenlauf!$B:$H,7,0),)</f>
        <v/>
      </c>
      <c r="P180" s="2" t="str">
        <f>IFERROR(VLOOKUP($B180,Finalrunde!$B:$H,2,0),)</f>
        <v/>
      </c>
      <c r="Q180" s="2" t="str">
        <f>IFERROR(VLOOKUP($B180,Finalrunde!$B:$H,3,0),)</f>
        <v/>
      </c>
      <c r="R180" s="2" t="str">
        <f>IFERROR(VLOOKUP($B180,Finalrunde!$B:$H,4,0),)</f>
        <v/>
      </c>
      <c r="S180" s="2" t="str">
        <f>IFERROR(VLOOKUP($B180,Finalrunde!$B:$H,5,0),)</f>
        <v/>
      </c>
      <c r="T180" s="2" t="str">
        <f>IFERROR(VLOOKUP($B180,Finalrunde!$B:$H,6,0),)</f>
        <v/>
      </c>
      <c r="U180" s="2" t="str">
        <f>IFERROR(VLOOKUP($B180,Finalrunde!$B:$H,7,0),)</f>
        <v/>
      </c>
      <c r="V180" s="2">
        <f t="shared" si="1"/>
        <v>0</v>
      </c>
      <c r="W180" s="2">
        <f t="shared" si="2"/>
        <v>0</v>
      </c>
      <c r="X180" s="2">
        <f t="shared" si="3"/>
        <v>0</v>
      </c>
      <c r="Y180" s="2">
        <f t="shared" si="4"/>
        <v>0</v>
      </c>
      <c r="Z180" s="2">
        <f t="shared" si="5"/>
        <v>0</v>
      </c>
      <c r="AA180" s="2">
        <f t="shared" si="6"/>
        <v>0</v>
      </c>
      <c r="AB180" s="2" t="str">
        <f>IFERROR(VLOOKUP(B180,'Mitglieder BBU'!A:K,12,0),"")</f>
        <v/>
      </c>
      <c r="AC180" s="2">
        <f t="shared" si="7"/>
        <v>0</v>
      </c>
      <c r="AD180" s="2">
        <f t="array" ref="AD180">MIN(IF(D180:U180&lt;&gt;0,D180:U180))</f>
        <v>0</v>
      </c>
    </row>
    <row r="181">
      <c r="A181" s="2">
        <v>178.0</v>
      </c>
      <c r="B181" s="111" t="str">
        <f>Spieler!B183</f>
        <v/>
      </c>
      <c r="D181" s="2" t="str">
        <f>IFERROR(VLOOKUP($B181,Vorrunde!B:H,2,0),)</f>
        <v/>
      </c>
      <c r="E181" s="2" t="str">
        <f>IFERROR(VLOOKUP($B181,Vorrunde!$B:$H,3,0),)</f>
        <v/>
      </c>
      <c r="F181" s="2">
        <f>IFERROR(VLOOKUP($B181,Vorrunde!$B:$H,4,0),0)</f>
        <v>0</v>
      </c>
      <c r="G181" s="2" t="str">
        <f>IFERROR(VLOOKUP($B181,Vorrunde!$B:$H,5,0),)</f>
        <v/>
      </c>
      <c r="H181" s="2" t="str">
        <f>IFERROR(VLOOKUP($B181,Vorrunde!$B:$H,6,0),)</f>
        <v/>
      </c>
      <c r="I181" s="2" t="str">
        <f>IFERROR(VLOOKUP($B181,Vorrunde!$B:$H,7,0),)</f>
        <v/>
      </c>
      <c r="J181" s="2" t="str">
        <f>IFERROR(VLOOKUP($B181,Zwischenlauf!$B:$H,2,0),)</f>
        <v/>
      </c>
      <c r="K181" s="2" t="str">
        <f>IFERROR(VLOOKUP($B181,Zwischenlauf!$B:$H,3,0),)</f>
        <v/>
      </c>
      <c r="L181" s="2" t="str">
        <f>IFERROR(VLOOKUP($B181,Zwischenlauf!$B:$H,4,0),)</f>
        <v/>
      </c>
      <c r="M181" s="2" t="str">
        <f>IFERROR(VLOOKUP($B181,Zwischenlauf!$B:$H,5,0),)</f>
        <v/>
      </c>
      <c r="N181" s="2" t="str">
        <f>IFERROR(VLOOKUP($B181,Zwischenlauf!$B:$H,6,0),)</f>
        <v/>
      </c>
      <c r="O181" s="2" t="str">
        <f>IFERROR(VLOOKUP($B181,Zwischenlauf!$B:$H,7,0),)</f>
        <v/>
      </c>
      <c r="P181" s="2" t="str">
        <f>IFERROR(VLOOKUP($B181,Finalrunde!$B:$H,2,0),)</f>
        <v/>
      </c>
      <c r="Q181" s="2" t="str">
        <f>IFERROR(VLOOKUP($B181,Finalrunde!$B:$H,3,0),)</f>
        <v/>
      </c>
      <c r="R181" s="2" t="str">
        <f>IFERROR(VLOOKUP($B181,Finalrunde!$B:$H,4,0),)</f>
        <v/>
      </c>
      <c r="S181" s="2" t="str">
        <f>IFERROR(VLOOKUP($B181,Finalrunde!$B:$H,5,0),)</f>
        <v/>
      </c>
      <c r="T181" s="2" t="str">
        <f>IFERROR(VLOOKUP($B181,Finalrunde!$B:$H,6,0),)</f>
        <v/>
      </c>
      <c r="U181" s="2" t="str">
        <f>IFERROR(VLOOKUP($B181,Finalrunde!$B:$H,7,0),)</f>
        <v/>
      </c>
      <c r="V181" s="2">
        <f t="shared" si="1"/>
        <v>0</v>
      </c>
      <c r="W181" s="2">
        <f t="shared" si="2"/>
        <v>0</v>
      </c>
      <c r="X181" s="2">
        <f t="shared" si="3"/>
        <v>0</v>
      </c>
      <c r="Y181" s="2">
        <f t="shared" si="4"/>
        <v>0</v>
      </c>
      <c r="Z181" s="2">
        <f t="shared" si="5"/>
        <v>0</v>
      </c>
      <c r="AA181" s="2">
        <f t="shared" si="6"/>
        <v>0</v>
      </c>
      <c r="AB181" s="2" t="str">
        <f>IFERROR(VLOOKUP(B181,'Mitglieder BBU'!A:K,12,0),"")</f>
        <v/>
      </c>
      <c r="AC181" s="2">
        <f t="shared" si="7"/>
        <v>0</v>
      </c>
      <c r="AD181" s="2">
        <f t="array" ref="AD181">MIN(IF(D181:U181&lt;&gt;0,D181:U181))</f>
        <v>0</v>
      </c>
    </row>
    <row r="182">
      <c r="A182" s="2">
        <v>179.0</v>
      </c>
      <c r="B182" s="111" t="str">
        <f>Spieler!B184</f>
        <v/>
      </c>
      <c r="D182" s="2" t="str">
        <f>IFERROR(VLOOKUP($B182,Vorrunde!B:H,2,0),)</f>
        <v/>
      </c>
      <c r="E182" s="2" t="str">
        <f>IFERROR(VLOOKUP($B182,Vorrunde!$B:$H,3,0),)</f>
        <v/>
      </c>
      <c r="F182" s="2">
        <f>IFERROR(VLOOKUP($B182,Vorrunde!$B:$H,4,0),0)</f>
        <v>0</v>
      </c>
      <c r="G182" s="2" t="str">
        <f>IFERROR(VLOOKUP($B182,Vorrunde!$B:$H,5,0),)</f>
        <v/>
      </c>
      <c r="H182" s="2" t="str">
        <f>IFERROR(VLOOKUP($B182,Vorrunde!$B:$H,6,0),)</f>
        <v/>
      </c>
      <c r="I182" s="2" t="str">
        <f>IFERROR(VLOOKUP($B182,Vorrunde!$B:$H,7,0),)</f>
        <v/>
      </c>
      <c r="J182" s="2" t="str">
        <f>IFERROR(VLOOKUP($B182,Zwischenlauf!$B:$H,2,0),)</f>
        <v/>
      </c>
      <c r="K182" s="2" t="str">
        <f>IFERROR(VLOOKUP($B182,Zwischenlauf!$B:$H,3,0),)</f>
        <v/>
      </c>
      <c r="L182" s="2" t="str">
        <f>IFERROR(VLOOKUP($B182,Zwischenlauf!$B:$H,4,0),)</f>
        <v/>
      </c>
      <c r="M182" s="2" t="str">
        <f>IFERROR(VLOOKUP($B182,Zwischenlauf!$B:$H,5,0),)</f>
        <v/>
      </c>
      <c r="N182" s="2" t="str">
        <f>IFERROR(VLOOKUP($B182,Zwischenlauf!$B:$H,6,0),)</f>
        <v/>
      </c>
      <c r="O182" s="2" t="str">
        <f>IFERROR(VLOOKUP($B182,Zwischenlauf!$B:$H,7,0),)</f>
        <v/>
      </c>
      <c r="P182" s="2" t="str">
        <f>IFERROR(VLOOKUP($B182,Finalrunde!$B:$H,2,0),)</f>
        <v/>
      </c>
      <c r="Q182" s="2" t="str">
        <f>IFERROR(VLOOKUP($B182,Finalrunde!$B:$H,3,0),)</f>
        <v/>
      </c>
      <c r="R182" s="2" t="str">
        <f>IFERROR(VLOOKUP($B182,Finalrunde!$B:$H,4,0),)</f>
        <v/>
      </c>
      <c r="S182" s="2" t="str">
        <f>IFERROR(VLOOKUP($B182,Finalrunde!$B:$H,5,0),)</f>
        <v/>
      </c>
      <c r="T182" s="2" t="str">
        <f>IFERROR(VLOOKUP($B182,Finalrunde!$B:$H,6,0),)</f>
        <v/>
      </c>
      <c r="U182" s="2" t="str">
        <f>IFERROR(VLOOKUP($B182,Finalrunde!$B:$H,7,0),)</f>
        <v/>
      </c>
      <c r="V182" s="2">
        <f t="shared" si="1"/>
        <v>0</v>
      </c>
      <c r="W182" s="2">
        <f t="shared" si="2"/>
        <v>0</v>
      </c>
      <c r="X182" s="2">
        <f t="shared" si="3"/>
        <v>0</v>
      </c>
      <c r="Y182" s="2">
        <f t="shared" si="4"/>
        <v>0</v>
      </c>
      <c r="Z182" s="2">
        <f t="shared" si="5"/>
        <v>0</v>
      </c>
      <c r="AA182" s="2">
        <f t="shared" si="6"/>
        <v>0</v>
      </c>
      <c r="AB182" s="2" t="str">
        <f>IFERROR(VLOOKUP(B182,'Mitglieder BBU'!A:K,12,0),"")</f>
        <v/>
      </c>
      <c r="AC182" s="2">
        <f t="shared" si="7"/>
        <v>0</v>
      </c>
      <c r="AD182" s="2">
        <f t="array" ref="AD182">MIN(IF(D182:U182&lt;&gt;0,D182:U182))</f>
        <v>0</v>
      </c>
    </row>
    <row r="183">
      <c r="A183" s="2">
        <v>180.0</v>
      </c>
      <c r="B183" s="111" t="str">
        <f>Spieler!B185</f>
        <v/>
      </c>
      <c r="D183" s="2" t="str">
        <f>IFERROR(VLOOKUP($B183,Vorrunde!B:H,2,0),)</f>
        <v/>
      </c>
      <c r="E183" s="2" t="str">
        <f>IFERROR(VLOOKUP($B183,Vorrunde!$B:$H,3,0),)</f>
        <v/>
      </c>
      <c r="F183" s="2">
        <f>IFERROR(VLOOKUP($B183,Vorrunde!$B:$H,4,0),0)</f>
        <v>0</v>
      </c>
      <c r="G183" s="2" t="str">
        <f>IFERROR(VLOOKUP($B183,Vorrunde!$B:$H,5,0),)</f>
        <v/>
      </c>
      <c r="H183" s="2" t="str">
        <f>IFERROR(VLOOKUP($B183,Vorrunde!$B:$H,6,0),)</f>
        <v/>
      </c>
      <c r="I183" s="2" t="str">
        <f>IFERROR(VLOOKUP($B183,Vorrunde!$B:$H,7,0),)</f>
        <v/>
      </c>
      <c r="J183" s="2" t="str">
        <f>IFERROR(VLOOKUP($B183,Zwischenlauf!$B:$H,2,0),)</f>
        <v/>
      </c>
      <c r="K183" s="2" t="str">
        <f>IFERROR(VLOOKUP($B183,Zwischenlauf!$B:$H,3,0),)</f>
        <v/>
      </c>
      <c r="L183" s="2" t="str">
        <f>IFERROR(VLOOKUP($B183,Zwischenlauf!$B:$H,4,0),)</f>
        <v/>
      </c>
      <c r="M183" s="2" t="str">
        <f>IFERROR(VLOOKUP($B183,Zwischenlauf!$B:$H,5,0),)</f>
        <v/>
      </c>
      <c r="N183" s="2" t="str">
        <f>IFERROR(VLOOKUP($B183,Zwischenlauf!$B:$H,6,0),)</f>
        <v/>
      </c>
      <c r="O183" s="2" t="str">
        <f>IFERROR(VLOOKUP($B183,Zwischenlauf!$B:$H,7,0),)</f>
        <v/>
      </c>
      <c r="P183" s="2" t="str">
        <f>IFERROR(VLOOKUP($B183,Finalrunde!$B:$H,2,0),)</f>
        <v/>
      </c>
      <c r="Q183" s="2" t="str">
        <f>IFERROR(VLOOKUP($B183,Finalrunde!$B:$H,3,0),)</f>
        <v/>
      </c>
      <c r="R183" s="2" t="str">
        <f>IFERROR(VLOOKUP($B183,Finalrunde!$B:$H,4,0),)</f>
        <v/>
      </c>
      <c r="S183" s="2" t="str">
        <f>IFERROR(VLOOKUP($B183,Finalrunde!$B:$H,5,0),)</f>
        <v/>
      </c>
      <c r="T183" s="2" t="str">
        <f>IFERROR(VLOOKUP($B183,Finalrunde!$B:$H,6,0),)</f>
        <v/>
      </c>
      <c r="U183" s="2" t="str">
        <f>IFERROR(VLOOKUP($B183,Finalrunde!$B:$H,7,0),)</f>
        <v/>
      </c>
      <c r="V183" s="2">
        <f t="shared" si="1"/>
        <v>0</v>
      </c>
      <c r="W183" s="2">
        <f t="shared" si="2"/>
        <v>0</v>
      </c>
      <c r="X183" s="2">
        <f t="shared" si="3"/>
        <v>0</v>
      </c>
      <c r="Y183" s="2">
        <f t="shared" si="4"/>
        <v>0</v>
      </c>
      <c r="Z183" s="2">
        <f t="shared" si="5"/>
        <v>0</v>
      </c>
      <c r="AA183" s="2">
        <f t="shared" si="6"/>
        <v>0</v>
      </c>
      <c r="AB183" s="2" t="str">
        <f>IFERROR(VLOOKUP(B183,'Mitglieder BBU'!A:K,12,0),"")</f>
        <v/>
      </c>
      <c r="AC183" s="2">
        <f t="shared" si="7"/>
        <v>0</v>
      </c>
      <c r="AD183" s="2">
        <f t="array" ref="AD183">MIN(IF(D183:U183&lt;&gt;0,D183:U183))</f>
        <v>0</v>
      </c>
    </row>
    <row r="184">
      <c r="A184" s="2">
        <v>181.0</v>
      </c>
      <c r="B184" s="111" t="str">
        <f>Spieler!B186</f>
        <v/>
      </c>
      <c r="D184" s="2" t="str">
        <f>IFERROR(VLOOKUP($B184,Vorrunde!B:H,2,0),)</f>
        <v/>
      </c>
      <c r="E184" s="2" t="str">
        <f>IFERROR(VLOOKUP($B184,Vorrunde!$B:$H,3,0),)</f>
        <v/>
      </c>
      <c r="F184" s="2">
        <f>IFERROR(VLOOKUP($B184,Vorrunde!$B:$H,4,0),0)</f>
        <v>0</v>
      </c>
      <c r="G184" s="2" t="str">
        <f>IFERROR(VLOOKUP($B184,Vorrunde!$B:$H,5,0),)</f>
        <v/>
      </c>
      <c r="H184" s="2" t="str">
        <f>IFERROR(VLOOKUP($B184,Vorrunde!$B:$H,6,0),)</f>
        <v/>
      </c>
      <c r="I184" s="2" t="str">
        <f>IFERROR(VLOOKUP($B184,Vorrunde!$B:$H,7,0),)</f>
        <v/>
      </c>
      <c r="J184" s="2" t="str">
        <f>IFERROR(VLOOKUP($B184,Zwischenlauf!$B:$H,2,0),)</f>
        <v/>
      </c>
      <c r="K184" s="2" t="str">
        <f>IFERROR(VLOOKUP($B184,Zwischenlauf!$B:$H,3,0),)</f>
        <v/>
      </c>
      <c r="L184" s="2" t="str">
        <f>IFERROR(VLOOKUP($B184,Zwischenlauf!$B:$H,4,0),)</f>
        <v/>
      </c>
      <c r="M184" s="2" t="str">
        <f>IFERROR(VLOOKUP($B184,Zwischenlauf!$B:$H,5,0),)</f>
        <v/>
      </c>
      <c r="N184" s="2" t="str">
        <f>IFERROR(VLOOKUP($B184,Zwischenlauf!$B:$H,6,0),)</f>
        <v/>
      </c>
      <c r="O184" s="2" t="str">
        <f>IFERROR(VLOOKUP($B184,Zwischenlauf!$B:$H,7,0),)</f>
        <v/>
      </c>
      <c r="P184" s="2" t="str">
        <f>IFERROR(VLOOKUP($B184,Finalrunde!$B:$H,2,0),)</f>
        <v/>
      </c>
      <c r="Q184" s="2" t="str">
        <f>IFERROR(VLOOKUP($B184,Finalrunde!$B:$H,3,0),)</f>
        <v/>
      </c>
      <c r="R184" s="2" t="str">
        <f>IFERROR(VLOOKUP($B184,Finalrunde!$B:$H,4,0),)</f>
        <v/>
      </c>
      <c r="S184" s="2" t="str">
        <f>IFERROR(VLOOKUP($B184,Finalrunde!$B:$H,5,0),)</f>
        <v/>
      </c>
      <c r="T184" s="2" t="str">
        <f>IFERROR(VLOOKUP($B184,Finalrunde!$B:$H,6,0),)</f>
        <v/>
      </c>
      <c r="U184" s="2" t="str">
        <f>IFERROR(VLOOKUP($B184,Finalrunde!$B:$H,7,0),)</f>
        <v/>
      </c>
      <c r="V184" s="2">
        <f t="shared" si="1"/>
        <v>0</v>
      </c>
      <c r="W184" s="2">
        <f t="shared" si="2"/>
        <v>0</v>
      </c>
      <c r="X184" s="2">
        <f t="shared" si="3"/>
        <v>0</v>
      </c>
      <c r="Y184" s="2">
        <f t="shared" si="4"/>
        <v>0</v>
      </c>
      <c r="Z184" s="2">
        <f t="shared" si="5"/>
        <v>0</v>
      </c>
      <c r="AA184" s="2">
        <f t="shared" si="6"/>
        <v>0</v>
      </c>
      <c r="AB184" s="2" t="str">
        <f>IFERROR(VLOOKUP(B184,'Mitglieder BBU'!A:K,12,0),"")</f>
        <v/>
      </c>
      <c r="AC184" s="2">
        <f t="shared" si="7"/>
        <v>0</v>
      </c>
      <c r="AD184" s="2">
        <f t="array" ref="AD184">MIN(IF(D184:U184&lt;&gt;0,D184:U184))</f>
        <v>0</v>
      </c>
    </row>
    <row r="185">
      <c r="A185" s="2">
        <v>182.0</v>
      </c>
      <c r="B185" s="111" t="str">
        <f>Spieler!B187</f>
        <v/>
      </c>
      <c r="D185" s="2" t="str">
        <f>IFERROR(VLOOKUP($B185,Vorrunde!B:H,2,0),)</f>
        <v/>
      </c>
      <c r="E185" s="2" t="str">
        <f>IFERROR(VLOOKUP($B185,Vorrunde!$B:$H,3,0),)</f>
        <v/>
      </c>
      <c r="F185" s="2">
        <f>IFERROR(VLOOKUP($B185,Vorrunde!$B:$H,4,0),0)</f>
        <v>0</v>
      </c>
      <c r="G185" s="2" t="str">
        <f>IFERROR(VLOOKUP($B185,Vorrunde!$B:$H,5,0),)</f>
        <v/>
      </c>
      <c r="H185" s="2" t="str">
        <f>IFERROR(VLOOKUP($B185,Vorrunde!$B:$H,6,0),)</f>
        <v/>
      </c>
      <c r="I185" s="2" t="str">
        <f>IFERROR(VLOOKUP($B185,Vorrunde!$B:$H,7,0),)</f>
        <v/>
      </c>
      <c r="J185" s="2" t="str">
        <f>IFERROR(VLOOKUP($B185,Zwischenlauf!$B:$H,2,0),)</f>
        <v/>
      </c>
      <c r="K185" s="2" t="str">
        <f>IFERROR(VLOOKUP($B185,Zwischenlauf!$B:$H,3,0),)</f>
        <v/>
      </c>
      <c r="L185" s="2" t="str">
        <f>IFERROR(VLOOKUP($B185,Zwischenlauf!$B:$H,4,0),)</f>
        <v/>
      </c>
      <c r="M185" s="2" t="str">
        <f>IFERROR(VLOOKUP($B185,Zwischenlauf!$B:$H,5,0),)</f>
        <v/>
      </c>
      <c r="N185" s="2" t="str">
        <f>IFERROR(VLOOKUP($B185,Zwischenlauf!$B:$H,6,0),)</f>
        <v/>
      </c>
      <c r="O185" s="2" t="str">
        <f>IFERROR(VLOOKUP($B185,Zwischenlauf!$B:$H,7,0),)</f>
        <v/>
      </c>
      <c r="P185" s="2" t="str">
        <f>IFERROR(VLOOKUP($B185,Finalrunde!$B:$H,2,0),)</f>
        <v/>
      </c>
      <c r="Q185" s="2" t="str">
        <f>IFERROR(VLOOKUP($B185,Finalrunde!$B:$H,3,0),)</f>
        <v/>
      </c>
      <c r="R185" s="2" t="str">
        <f>IFERROR(VLOOKUP($B185,Finalrunde!$B:$H,4,0),)</f>
        <v/>
      </c>
      <c r="S185" s="2" t="str">
        <f>IFERROR(VLOOKUP($B185,Finalrunde!$B:$H,5,0),)</f>
        <v/>
      </c>
      <c r="T185" s="2" t="str">
        <f>IFERROR(VLOOKUP($B185,Finalrunde!$B:$H,6,0),)</f>
        <v/>
      </c>
      <c r="U185" s="2" t="str">
        <f>IFERROR(VLOOKUP($B185,Finalrunde!$B:$H,7,0),)</f>
        <v/>
      </c>
      <c r="V185" s="2">
        <f t="shared" si="1"/>
        <v>0</v>
      </c>
      <c r="W185" s="2">
        <f t="shared" si="2"/>
        <v>0</v>
      </c>
      <c r="X185" s="2">
        <f t="shared" si="3"/>
        <v>0</v>
      </c>
      <c r="Y185" s="2">
        <f t="shared" si="4"/>
        <v>0</v>
      </c>
      <c r="Z185" s="2">
        <f t="shared" si="5"/>
        <v>0</v>
      </c>
      <c r="AA185" s="2">
        <f t="shared" si="6"/>
        <v>0</v>
      </c>
      <c r="AB185" s="2" t="str">
        <f>IFERROR(VLOOKUP(B185,'Mitglieder BBU'!A:K,12,0),"")</f>
        <v/>
      </c>
      <c r="AC185" s="2">
        <f t="shared" si="7"/>
        <v>0</v>
      </c>
      <c r="AD185" s="2">
        <f t="array" ref="AD185">MIN(IF(D185:U185&lt;&gt;0,D185:U185))</f>
        <v>0</v>
      </c>
    </row>
    <row r="186">
      <c r="A186" s="2">
        <v>183.0</v>
      </c>
      <c r="B186" s="111" t="str">
        <f>Spieler!B188</f>
        <v/>
      </c>
      <c r="D186" s="2" t="str">
        <f>IFERROR(VLOOKUP($B186,Vorrunde!B:H,2,0),)</f>
        <v/>
      </c>
      <c r="E186" s="2" t="str">
        <f>IFERROR(VLOOKUP($B186,Vorrunde!$B:$H,3,0),)</f>
        <v/>
      </c>
      <c r="F186" s="2">
        <f>IFERROR(VLOOKUP($B186,Vorrunde!$B:$H,4,0),0)</f>
        <v>0</v>
      </c>
      <c r="G186" s="2" t="str">
        <f>IFERROR(VLOOKUP($B186,Vorrunde!$B:$H,5,0),)</f>
        <v/>
      </c>
      <c r="H186" s="2" t="str">
        <f>IFERROR(VLOOKUP($B186,Vorrunde!$B:$H,6,0),)</f>
        <v/>
      </c>
      <c r="I186" s="2" t="str">
        <f>IFERROR(VLOOKUP($B186,Vorrunde!$B:$H,7,0),)</f>
        <v/>
      </c>
      <c r="J186" s="2" t="str">
        <f>IFERROR(VLOOKUP($B186,Zwischenlauf!$B:$H,2,0),)</f>
        <v/>
      </c>
      <c r="K186" s="2" t="str">
        <f>IFERROR(VLOOKUP($B186,Zwischenlauf!$B:$H,3,0),)</f>
        <v/>
      </c>
      <c r="L186" s="2" t="str">
        <f>IFERROR(VLOOKUP($B186,Zwischenlauf!$B:$H,4,0),)</f>
        <v/>
      </c>
      <c r="M186" s="2" t="str">
        <f>IFERROR(VLOOKUP($B186,Zwischenlauf!$B:$H,5,0),)</f>
        <v/>
      </c>
      <c r="N186" s="2" t="str">
        <f>IFERROR(VLOOKUP($B186,Zwischenlauf!$B:$H,6,0),)</f>
        <v/>
      </c>
      <c r="O186" s="2" t="str">
        <f>IFERROR(VLOOKUP($B186,Zwischenlauf!$B:$H,7,0),)</f>
        <v/>
      </c>
      <c r="P186" s="2" t="str">
        <f>IFERROR(VLOOKUP($B186,Finalrunde!$B:$H,2,0),)</f>
        <v/>
      </c>
      <c r="Q186" s="2" t="str">
        <f>IFERROR(VLOOKUP($B186,Finalrunde!$B:$H,3,0),)</f>
        <v/>
      </c>
      <c r="R186" s="2" t="str">
        <f>IFERROR(VLOOKUP($B186,Finalrunde!$B:$H,4,0),)</f>
        <v/>
      </c>
      <c r="S186" s="2" t="str">
        <f>IFERROR(VLOOKUP($B186,Finalrunde!$B:$H,5,0),)</f>
        <v/>
      </c>
      <c r="T186" s="2" t="str">
        <f>IFERROR(VLOOKUP($B186,Finalrunde!$B:$H,6,0),)</f>
        <v/>
      </c>
      <c r="U186" s="2" t="str">
        <f>IFERROR(VLOOKUP($B186,Finalrunde!$B:$H,7,0),)</f>
        <v/>
      </c>
      <c r="V186" s="2">
        <f t="shared" si="1"/>
        <v>0</v>
      </c>
      <c r="W186" s="2">
        <f t="shared" si="2"/>
        <v>0</v>
      </c>
      <c r="X186" s="2">
        <f t="shared" si="3"/>
        <v>0</v>
      </c>
      <c r="Y186" s="2">
        <f t="shared" si="4"/>
        <v>0</v>
      </c>
      <c r="Z186" s="2">
        <f t="shared" si="5"/>
        <v>0</v>
      </c>
      <c r="AA186" s="2">
        <f t="shared" si="6"/>
        <v>0</v>
      </c>
      <c r="AB186" s="2" t="str">
        <f>IFERROR(VLOOKUP(B186,'Mitglieder BBU'!A:K,12,0),"")</f>
        <v/>
      </c>
      <c r="AC186" s="2">
        <f t="shared" si="7"/>
        <v>0</v>
      </c>
      <c r="AD186" s="2">
        <f t="array" ref="AD186">MIN(IF(D186:U186&lt;&gt;0,D186:U186))</f>
        <v>0</v>
      </c>
    </row>
    <row r="187">
      <c r="A187" s="2">
        <v>184.0</v>
      </c>
      <c r="B187" s="111" t="str">
        <f>Spieler!B189</f>
        <v/>
      </c>
      <c r="D187" s="2" t="str">
        <f>IFERROR(VLOOKUP($B187,Vorrunde!B:H,2,0),)</f>
        <v/>
      </c>
      <c r="E187" s="2" t="str">
        <f>IFERROR(VLOOKUP($B187,Vorrunde!$B:$H,3,0),)</f>
        <v/>
      </c>
      <c r="F187" s="2">
        <f>IFERROR(VLOOKUP($B187,Vorrunde!$B:$H,4,0),0)</f>
        <v>0</v>
      </c>
      <c r="G187" s="2" t="str">
        <f>IFERROR(VLOOKUP($B187,Vorrunde!$B:$H,5,0),)</f>
        <v/>
      </c>
      <c r="H187" s="2" t="str">
        <f>IFERROR(VLOOKUP($B187,Vorrunde!$B:$H,6,0),)</f>
        <v/>
      </c>
      <c r="I187" s="2" t="str">
        <f>IFERROR(VLOOKUP($B187,Vorrunde!$B:$H,7,0),)</f>
        <v/>
      </c>
      <c r="J187" s="2" t="str">
        <f>IFERROR(VLOOKUP($B187,Zwischenlauf!$B:$H,2,0),)</f>
        <v/>
      </c>
      <c r="K187" s="2" t="str">
        <f>IFERROR(VLOOKUP($B187,Zwischenlauf!$B:$H,3,0),)</f>
        <v/>
      </c>
      <c r="L187" s="2" t="str">
        <f>IFERROR(VLOOKUP($B187,Zwischenlauf!$B:$H,4,0),)</f>
        <v/>
      </c>
      <c r="M187" s="2" t="str">
        <f>IFERROR(VLOOKUP($B187,Zwischenlauf!$B:$H,5,0),)</f>
        <v/>
      </c>
      <c r="N187" s="2" t="str">
        <f>IFERROR(VLOOKUP($B187,Zwischenlauf!$B:$H,6,0),)</f>
        <v/>
      </c>
      <c r="O187" s="2" t="str">
        <f>IFERROR(VLOOKUP($B187,Zwischenlauf!$B:$H,7,0),)</f>
        <v/>
      </c>
      <c r="P187" s="2" t="str">
        <f>IFERROR(VLOOKUP($B187,Finalrunde!$B:$H,2,0),)</f>
        <v/>
      </c>
      <c r="Q187" s="2" t="str">
        <f>IFERROR(VLOOKUP($B187,Finalrunde!$B:$H,3,0),)</f>
        <v/>
      </c>
      <c r="R187" s="2" t="str">
        <f>IFERROR(VLOOKUP($B187,Finalrunde!$B:$H,4,0),)</f>
        <v/>
      </c>
      <c r="S187" s="2" t="str">
        <f>IFERROR(VLOOKUP($B187,Finalrunde!$B:$H,5,0),)</f>
        <v/>
      </c>
      <c r="T187" s="2" t="str">
        <f>IFERROR(VLOOKUP($B187,Finalrunde!$B:$H,6,0),)</f>
        <v/>
      </c>
      <c r="U187" s="2" t="str">
        <f>IFERROR(VLOOKUP($B187,Finalrunde!$B:$H,7,0),)</f>
        <v/>
      </c>
      <c r="V187" s="2">
        <f t="shared" si="1"/>
        <v>0</v>
      </c>
      <c r="W187" s="2">
        <f t="shared" si="2"/>
        <v>0</v>
      </c>
      <c r="X187" s="2">
        <f t="shared" si="3"/>
        <v>0</v>
      </c>
      <c r="Y187" s="2">
        <f t="shared" si="4"/>
        <v>0</v>
      </c>
      <c r="Z187" s="2">
        <f t="shared" si="5"/>
        <v>0</v>
      </c>
      <c r="AA187" s="2">
        <f t="shared" si="6"/>
        <v>0</v>
      </c>
      <c r="AB187" s="2" t="str">
        <f>IFERROR(VLOOKUP(B187,'Mitglieder BBU'!A:K,12,0),"")</f>
        <v/>
      </c>
      <c r="AC187" s="2">
        <f t="shared" si="7"/>
        <v>0</v>
      </c>
      <c r="AD187" s="2">
        <f t="array" ref="AD187">MIN(IF(D187:U187&lt;&gt;0,D187:U187))</f>
        <v>0</v>
      </c>
    </row>
    <row r="188">
      <c r="A188" s="2">
        <v>185.0</v>
      </c>
      <c r="B188" s="111" t="str">
        <f>Spieler!B190</f>
        <v/>
      </c>
      <c r="D188" s="2" t="str">
        <f>IFERROR(VLOOKUP($B188,Vorrunde!B:H,2,0),)</f>
        <v/>
      </c>
      <c r="E188" s="2" t="str">
        <f>IFERROR(VLOOKUP($B188,Vorrunde!$B:$H,3,0),)</f>
        <v/>
      </c>
      <c r="F188" s="2">
        <f>IFERROR(VLOOKUP($B188,Vorrunde!$B:$H,4,0),0)</f>
        <v>0</v>
      </c>
      <c r="G188" s="2" t="str">
        <f>IFERROR(VLOOKUP($B188,Vorrunde!$B:$H,5,0),)</f>
        <v/>
      </c>
      <c r="H188" s="2" t="str">
        <f>IFERROR(VLOOKUP($B188,Vorrunde!$B:$H,6,0),)</f>
        <v/>
      </c>
      <c r="I188" s="2" t="str">
        <f>IFERROR(VLOOKUP($B188,Vorrunde!$B:$H,7,0),)</f>
        <v/>
      </c>
      <c r="J188" s="2" t="str">
        <f>IFERROR(VLOOKUP($B188,Zwischenlauf!$B:$H,2,0),)</f>
        <v/>
      </c>
      <c r="K188" s="2" t="str">
        <f>IFERROR(VLOOKUP($B188,Zwischenlauf!$B:$H,3,0),)</f>
        <v/>
      </c>
      <c r="L188" s="2" t="str">
        <f>IFERROR(VLOOKUP($B188,Zwischenlauf!$B:$H,4,0),)</f>
        <v/>
      </c>
      <c r="M188" s="2" t="str">
        <f>IFERROR(VLOOKUP($B188,Zwischenlauf!$B:$H,5,0),)</f>
        <v/>
      </c>
      <c r="N188" s="2" t="str">
        <f>IFERROR(VLOOKUP($B188,Zwischenlauf!$B:$H,6,0),)</f>
        <v/>
      </c>
      <c r="O188" s="2" t="str">
        <f>IFERROR(VLOOKUP($B188,Zwischenlauf!$B:$H,7,0),)</f>
        <v/>
      </c>
      <c r="P188" s="2" t="str">
        <f>IFERROR(VLOOKUP($B188,Finalrunde!$B:$H,2,0),)</f>
        <v/>
      </c>
      <c r="Q188" s="2" t="str">
        <f>IFERROR(VLOOKUP($B188,Finalrunde!$B:$H,3,0),)</f>
        <v/>
      </c>
      <c r="R188" s="2" t="str">
        <f>IFERROR(VLOOKUP($B188,Finalrunde!$B:$H,4,0),)</f>
        <v/>
      </c>
      <c r="S188" s="2" t="str">
        <f>IFERROR(VLOOKUP($B188,Finalrunde!$B:$H,5,0),)</f>
        <v/>
      </c>
      <c r="T188" s="2" t="str">
        <f>IFERROR(VLOOKUP($B188,Finalrunde!$B:$H,6,0),)</f>
        <v/>
      </c>
      <c r="U188" s="2" t="str">
        <f>IFERROR(VLOOKUP($B188,Finalrunde!$B:$H,7,0),)</f>
        <v/>
      </c>
      <c r="V188" s="2">
        <f t="shared" si="1"/>
        <v>0</v>
      </c>
      <c r="W188" s="2">
        <f t="shared" si="2"/>
        <v>0</v>
      </c>
      <c r="X188" s="2">
        <f t="shared" si="3"/>
        <v>0</v>
      </c>
      <c r="Y188" s="2">
        <f t="shared" si="4"/>
        <v>0</v>
      </c>
      <c r="Z188" s="2">
        <f t="shared" si="5"/>
        <v>0</v>
      </c>
      <c r="AA188" s="2">
        <f t="shared" si="6"/>
        <v>0</v>
      </c>
      <c r="AB188" s="2" t="str">
        <f>IFERROR(VLOOKUP(B188,'Mitglieder BBU'!A:K,12,0),"")</f>
        <v/>
      </c>
      <c r="AC188" s="2">
        <f t="shared" si="7"/>
        <v>0</v>
      </c>
      <c r="AD188" s="2">
        <f t="array" ref="AD188">MIN(IF(D188:U188&lt;&gt;0,D188:U188))</f>
        <v>0</v>
      </c>
    </row>
    <row r="189">
      <c r="A189" s="2">
        <v>186.0</v>
      </c>
      <c r="B189" s="111" t="str">
        <f>Spieler!B191</f>
        <v/>
      </c>
      <c r="D189" s="2" t="str">
        <f>IFERROR(VLOOKUP($B189,Vorrunde!B:H,2,0),)</f>
        <v/>
      </c>
      <c r="E189" s="2" t="str">
        <f>IFERROR(VLOOKUP($B189,Vorrunde!$B:$H,3,0),)</f>
        <v/>
      </c>
      <c r="F189" s="2">
        <f>IFERROR(VLOOKUP($B189,Vorrunde!$B:$H,4,0),0)</f>
        <v>0</v>
      </c>
      <c r="G189" s="2" t="str">
        <f>IFERROR(VLOOKUP($B189,Vorrunde!$B:$H,5,0),)</f>
        <v/>
      </c>
      <c r="H189" s="2" t="str">
        <f>IFERROR(VLOOKUP($B189,Vorrunde!$B:$H,6,0),)</f>
        <v/>
      </c>
      <c r="I189" s="2" t="str">
        <f>IFERROR(VLOOKUP($B189,Vorrunde!$B:$H,7,0),)</f>
        <v/>
      </c>
      <c r="J189" s="2" t="str">
        <f>IFERROR(VLOOKUP($B189,Zwischenlauf!$B:$H,2,0),)</f>
        <v/>
      </c>
      <c r="K189" s="2" t="str">
        <f>IFERROR(VLOOKUP($B189,Zwischenlauf!$B:$H,3,0),)</f>
        <v/>
      </c>
      <c r="L189" s="2" t="str">
        <f>IFERROR(VLOOKUP($B189,Zwischenlauf!$B:$H,4,0),)</f>
        <v/>
      </c>
      <c r="M189" s="2" t="str">
        <f>IFERROR(VLOOKUP($B189,Zwischenlauf!$B:$H,5,0),)</f>
        <v/>
      </c>
      <c r="N189" s="2" t="str">
        <f>IFERROR(VLOOKUP($B189,Zwischenlauf!$B:$H,6,0),)</f>
        <v/>
      </c>
      <c r="O189" s="2" t="str">
        <f>IFERROR(VLOOKUP($B189,Zwischenlauf!$B:$H,7,0),)</f>
        <v/>
      </c>
      <c r="P189" s="2" t="str">
        <f>IFERROR(VLOOKUP($B189,Finalrunde!$B:$H,2,0),)</f>
        <v/>
      </c>
      <c r="Q189" s="2" t="str">
        <f>IFERROR(VLOOKUP($B189,Finalrunde!$B:$H,3,0),)</f>
        <v/>
      </c>
      <c r="R189" s="2" t="str">
        <f>IFERROR(VLOOKUP($B189,Finalrunde!$B:$H,4,0),)</f>
        <v/>
      </c>
      <c r="S189" s="2" t="str">
        <f>IFERROR(VLOOKUP($B189,Finalrunde!$B:$H,5,0),)</f>
        <v/>
      </c>
      <c r="T189" s="2" t="str">
        <f>IFERROR(VLOOKUP($B189,Finalrunde!$B:$H,6,0),)</f>
        <v/>
      </c>
      <c r="U189" s="2" t="str">
        <f>IFERROR(VLOOKUP($B189,Finalrunde!$B:$H,7,0),)</f>
        <v/>
      </c>
      <c r="V189" s="2">
        <f t="shared" si="1"/>
        <v>0</v>
      </c>
      <c r="W189" s="2">
        <f t="shared" si="2"/>
        <v>0</v>
      </c>
      <c r="X189" s="2">
        <f t="shared" si="3"/>
        <v>0</v>
      </c>
      <c r="Y189" s="2">
        <f t="shared" si="4"/>
        <v>0</v>
      </c>
      <c r="Z189" s="2">
        <f t="shared" si="5"/>
        <v>0</v>
      </c>
      <c r="AA189" s="2">
        <f t="shared" si="6"/>
        <v>0</v>
      </c>
      <c r="AB189" s="2" t="str">
        <f>IFERROR(VLOOKUP(B189,'Mitglieder BBU'!A:K,12,0),"")</f>
        <v/>
      </c>
      <c r="AC189" s="2">
        <f t="shared" si="7"/>
        <v>0</v>
      </c>
      <c r="AD189" s="2">
        <f t="array" ref="AD189">MIN(IF(D189:U189&lt;&gt;0,D189:U189))</f>
        <v>0</v>
      </c>
    </row>
    <row r="190">
      <c r="A190" s="2">
        <v>187.0</v>
      </c>
      <c r="B190" s="111" t="str">
        <f>Spieler!B192</f>
        <v/>
      </c>
      <c r="D190" s="2" t="str">
        <f>IFERROR(VLOOKUP($B190,Vorrunde!B:H,2,0),)</f>
        <v/>
      </c>
      <c r="E190" s="2" t="str">
        <f>IFERROR(VLOOKUP($B190,Vorrunde!$B:$H,3,0),)</f>
        <v/>
      </c>
      <c r="F190" s="2">
        <f>IFERROR(VLOOKUP($B190,Vorrunde!$B:$H,4,0),0)</f>
        <v>0</v>
      </c>
      <c r="G190" s="2" t="str">
        <f>IFERROR(VLOOKUP($B190,Vorrunde!$B:$H,5,0),)</f>
        <v/>
      </c>
      <c r="H190" s="2" t="str">
        <f>IFERROR(VLOOKUP($B190,Vorrunde!$B:$H,6,0),)</f>
        <v/>
      </c>
      <c r="I190" s="2" t="str">
        <f>IFERROR(VLOOKUP($B190,Vorrunde!$B:$H,7,0),)</f>
        <v/>
      </c>
      <c r="J190" s="2" t="str">
        <f>IFERROR(VLOOKUP($B190,Zwischenlauf!$B:$H,2,0),)</f>
        <v/>
      </c>
      <c r="K190" s="2" t="str">
        <f>IFERROR(VLOOKUP($B190,Zwischenlauf!$B:$H,3,0),)</f>
        <v/>
      </c>
      <c r="L190" s="2" t="str">
        <f>IFERROR(VLOOKUP($B190,Zwischenlauf!$B:$H,4,0),)</f>
        <v/>
      </c>
      <c r="M190" s="2" t="str">
        <f>IFERROR(VLOOKUP($B190,Zwischenlauf!$B:$H,5,0),)</f>
        <v/>
      </c>
      <c r="N190" s="2" t="str">
        <f>IFERROR(VLOOKUP($B190,Zwischenlauf!$B:$H,6,0),)</f>
        <v/>
      </c>
      <c r="O190" s="2" t="str">
        <f>IFERROR(VLOOKUP($B190,Zwischenlauf!$B:$H,7,0),)</f>
        <v/>
      </c>
      <c r="P190" s="2" t="str">
        <f>IFERROR(VLOOKUP($B190,Finalrunde!$B:$H,2,0),)</f>
        <v/>
      </c>
      <c r="Q190" s="2" t="str">
        <f>IFERROR(VLOOKUP($B190,Finalrunde!$B:$H,3,0),)</f>
        <v/>
      </c>
      <c r="R190" s="2" t="str">
        <f>IFERROR(VLOOKUP($B190,Finalrunde!$B:$H,4,0),)</f>
        <v/>
      </c>
      <c r="S190" s="2" t="str">
        <f>IFERROR(VLOOKUP($B190,Finalrunde!$B:$H,5,0),)</f>
        <v/>
      </c>
      <c r="T190" s="2" t="str">
        <f>IFERROR(VLOOKUP($B190,Finalrunde!$B:$H,6,0),)</f>
        <v/>
      </c>
      <c r="U190" s="2" t="str">
        <f>IFERROR(VLOOKUP($B190,Finalrunde!$B:$H,7,0),)</f>
        <v/>
      </c>
      <c r="V190" s="2">
        <f t="shared" si="1"/>
        <v>0</v>
      </c>
      <c r="W190" s="2">
        <f t="shared" si="2"/>
        <v>0</v>
      </c>
      <c r="X190" s="2">
        <f t="shared" si="3"/>
        <v>0</v>
      </c>
      <c r="Y190" s="2">
        <f t="shared" si="4"/>
        <v>0</v>
      </c>
      <c r="Z190" s="2">
        <f t="shared" si="5"/>
        <v>0</v>
      </c>
      <c r="AA190" s="2">
        <f t="shared" si="6"/>
        <v>0</v>
      </c>
      <c r="AB190" s="2" t="str">
        <f>IFERROR(VLOOKUP(B190,'Mitglieder BBU'!A:K,12,0),"")</f>
        <v/>
      </c>
      <c r="AC190" s="2">
        <f t="shared" si="7"/>
        <v>0</v>
      </c>
      <c r="AD190" s="2">
        <f t="array" ref="AD190">MIN(IF(D190:U190&lt;&gt;0,D190:U190))</f>
        <v>0</v>
      </c>
    </row>
    <row r="191">
      <c r="A191" s="2">
        <v>188.0</v>
      </c>
      <c r="B191" s="111" t="str">
        <f>Spieler!B193</f>
        <v/>
      </c>
      <c r="D191" s="2" t="str">
        <f>IFERROR(VLOOKUP($B191,Vorrunde!B:H,2,0),)</f>
        <v/>
      </c>
      <c r="E191" s="2" t="str">
        <f>IFERROR(VLOOKUP($B191,Vorrunde!$B:$H,3,0),)</f>
        <v/>
      </c>
      <c r="F191" s="2">
        <f>IFERROR(VLOOKUP($B191,Vorrunde!$B:$H,4,0),0)</f>
        <v>0</v>
      </c>
      <c r="G191" s="2" t="str">
        <f>IFERROR(VLOOKUP($B191,Vorrunde!$B:$H,5,0),)</f>
        <v/>
      </c>
      <c r="H191" s="2" t="str">
        <f>IFERROR(VLOOKUP($B191,Vorrunde!$B:$H,6,0),)</f>
        <v/>
      </c>
      <c r="I191" s="2" t="str">
        <f>IFERROR(VLOOKUP($B191,Vorrunde!$B:$H,7,0),)</f>
        <v/>
      </c>
      <c r="J191" s="2" t="str">
        <f>IFERROR(VLOOKUP($B191,Zwischenlauf!$B:$H,2,0),)</f>
        <v/>
      </c>
      <c r="K191" s="2" t="str">
        <f>IFERROR(VLOOKUP($B191,Zwischenlauf!$B:$H,3,0),)</f>
        <v/>
      </c>
      <c r="L191" s="2" t="str">
        <f>IFERROR(VLOOKUP($B191,Zwischenlauf!$B:$H,4,0),)</f>
        <v/>
      </c>
      <c r="M191" s="2" t="str">
        <f>IFERROR(VLOOKUP($B191,Zwischenlauf!$B:$H,5,0),)</f>
        <v/>
      </c>
      <c r="N191" s="2" t="str">
        <f>IFERROR(VLOOKUP($B191,Zwischenlauf!$B:$H,6,0),)</f>
        <v/>
      </c>
      <c r="O191" s="2" t="str">
        <f>IFERROR(VLOOKUP($B191,Zwischenlauf!$B:$H,7,0),)</f>
        <v/>
      </c>
      <c r="P191" s="2" t="str">
        <f>IFERROR(VLOOKUP($B191,Finalrunde!$B:$H,2,0),)</f>
        <v/>
      </c>
      <c r="Q191" s="2" t="str">
        <f>IFERROR(VLOOKUP($B191,Finalrunde!$B:$H,3,0),)</f>
        <v/>
      </c>
      <c r="R191" s="2" t="str">
        <f>IFERROR(VLOOKUP($B191,Finalrunde!$B:$H,4,0),)</f>
        <v/>
      </c>
      <c r="S191" s="2" t="str">
        <f>IFERROR(VLOOKUP($B191,Finalrunde!$B:$H,5,0),)</f>
        <v/>
      </c>
      <c r="T191" s="2" t="str">
        <f>IFERROR(VLOOKUP($B191,Finalrunde!$B:$H,6,0),)</f>
        <v/>
      </c>
      <c r="U191" s="2" t="str">
        <f>IFERROR(VLOOKUP($B191,Finalrunde!$B:$H,7,0),)</f>
        <v/>
      </c>
      <c r="V191" s="2">
        <f t="shared" si="1"/>
        <v>0</v>
      </c>
      <c r="W191" s="2">
        <f t="shared" si="2"/>
        <v>0</v>
      </c>
      <c r="X191" s="2">
        <f t="shared" si="3"/>
        <v>0</v>
      </c>
      <c r="Y191" s="2">
        <f t="shared" si="4"/>
        <v>0</v>
      </c>
      <c r="Z191" s="2">
        <f t="shared" si="5"/>
        <v>0</v>
      </c>
      <c r="AA191" s="2">
        <f t="shared" si="6"/>
        <v>0</v>
      </c>
      <c r="AB191" s="2" t="str">
        <f>IFERROR(VLOOKUP(B191,'Mitglieder BBU'!A:K,12,0),"")</f>
        <v/>
      </c>
      <c r="AC191" s="2">
        <f t="shared" si="7"/>
        <v>0</v>
      </c>
      <c r="AD191" s="2">
        <f t="array" ref="AD191">MIN(IF(D191:U191&lt;&gt;0,D191:U191))</f>
        <v>0</v>
      </c>
    </row>
    <row r="192">
      <c r="A192" s="2">
        <v>189.0</v>
      </c>
      <c r="B192" s="111" t="str">
        <f>Spieler!B194</f>
        <v/>
      </c>
      <c r="D192" s="2" t="str">
        <f>IFERROR(VLOOKUP($B192,Vorrunde!B:H,2,0),)</f>
        <v/>
      </c>
      <c r="E192" s="2" t="str">
        <f>IFERROR(VLOOKUP($B192,Vorrunde!$B:$H,3,0),)</f>
        <v/>
      </c>
      <c r="F192" s="2">
        <f>IFERROR(VLOOKUP($B192,Vorrunde!$B:$H,4,0),0)</f>
        <v>0</v>
      </c>
      <c r="G192" s="2" t="str">
        <f>IFERROR(VLOOKUP($B192,Vorrunde!$B:$H,5,0),)</f>
        <v/>
      </c>
      <c r="H192" s="2" t="str">
        <f>IFERROR(VLOOKUP($B192,Vorrunde!$B:$H,6,0),)</f>
        <v/>
      </c>
      <c r="I192" s="2" t="str">
        <f>IFERROR(VLOOKUP($B192,Vorrunde!$B:$H,7,0),)</f>
        <v/>
      </c>
      <c r="J192" s="2" t="str">
        <f>IFERROR(VLOOKUP($B192,Zwischenlauf!$B:$H,2,0),)</f>
        <v/>
      </c>
      <c r="K192" s="2" t="str">
        <f>IFERROR(VLOOKUP($B192,Zwischenlauf!$B:$H,3,0),)</f>
        <v/>
      </c>
      <c r="L192" s="2" t="str">
        <f>IFERROR(VLOOKUP($B192,Zwischenlauf!$B:$H,4,0),)</f>
        <v/>
      </c>
      <c r="M192" s="2" t="str">
        <f>IFERROR(VLOOKUP($B192,Zwischenlauf!$B:$H,5,0),)</f>
        <v/>
      </c>
      <c r="N192" s="2" t="str">
        <f>IFERROR(VLOOKUP($B192,Zwischenlauf!$B:$H,6,0),)</f>
        <v/>
      </c>
      <c r="O192" s="2" t="str">
        <f>IFERROR(VLOOKUP($B192,Zwischenlauf!$B:$H,7,0),)</f>
        <v/>
      </c>
      <c r="P192" s="2" t="str">
        <f>IFERROR(VLOOKUP($B192,Finalrunde!$B:$H,2,0),)</f>
        <v/>
      </c>
      <c r="Q192" s="2" t="str">
        <f>IFERROR(VLOOKUP($B192,Finalrunde!$B:$H,3,0),)</f>
        <v/>
      </c>
      <c r="R192" s="2" t="str">
        <f>IFERROR(VLOOKUP($B192,Finalrunde!$B:$H,4,0),)</f>
        <v/>
      </c>
      <c r="S192" s="2" t="str">
        <f>IFERROR(VLOOKUP($B192,Finalrunde!$B:$H,5,0),)</f>
        <v/>
      </c>
      <c r="T192" s="2" t="str">
        <f>IFERROR(VLOOKUP($B192,Finalrunde!$B:$H,6,0),)</f>
        <v/>
      </c>
      <c r="U192" s="2" t="str">
        <f>IFERROR(VLOOKUP($B192,Finalrunde!$B:$H,7,0),)</f>
        <v/>
      </c>
      <c r="V192" s="2">
        <f t="shared" si="1"/>
        <v>0</v>
      </c>
      <c r="W192" s="2">
        <f t="shared" si="2"/>
        <v>0</v>
      </c>
      <c r="X192" s="2">
        <f t="shared" si="3"/>
        <v>0</v>
      </c>
      <c r="Y192" s="2">
        <f t="shared" si="4"/>
        <v>0</v>
      </c>
      <c r="Z192" s="2">
        <f t="shared" si="5"/>
        <v>0</v>
      </c>
      <c r="AA192" s="2">
        <f t="shared" si="6"/>
        <v>0</v>
      </c>
      <c r="AB192" s="2" t="str">
        <f>IFERROR(VLOOKUP(B192,'Mitglieder BBU'!A:K,12,0),"")</f>
        <v/>
      </c>
      <c r="AC192" s="2">
        <f t="shared" si="7"/>
        <v>0</v>
      </c>
      <c r="AD192" s="2">
        <f t="array" ref="AD192">MIN(IF(D192:U192&lt;&gt;0,D192:U192))</f>
        <v>0</v>
      </c>
    </row>
    <row r="193">
      <c r="A193" s="2">
        <v>190.0</v>
      </c>
      <c r="B193" s="111" t="str">
        <f>Spieler!B195</f>
        <v/>
      </c>
      <c r="D193" s="2" t="str">
        <f>IFERROR(VLOOKUP($B193,Vorrunde!B:H,2,0),)</f>
        <v/>
      </c>
      <c r="E193" s="2" t="str">
        <f>IFERROR(VLOOKUP($B193,Vorrunde!$B:$H,3,0),)</f>
        <v/>
      </c>
      <c r="F193" s="2">
        <f>IFERROR(VLOOKUP($B193,Vorrunde!$B:$H,4,0),0)</f>
        <v>0</v>
      </c>
      <c r="G193" s="2" t="str">
        <f>IFERROR(VLOOKUP($B193,Vorrunde!$B:$H,5,0),)</f>
        <v/>
      </c>
      <c r="H193" s="2" t="str">
        <f>IFERROR(VLOOKUP($B193,Vorrunde!$B:$H,6,0),)</f>
        <v/>
      </c>
      <c r="I193" s="2" t="str">
        <f>IFERROR(VLOOKUP($B193,Vorrunde!$B:$H,7,0),)</f>
        <v/>
      </c>
      <c r="J193" s="2" t="str">
        <f>IFERROR(VLOOKUP($B193,Zwischenlauf!$B:$H,2,0),)</f>
        <v/>
      </c>
      <c r="K193" s="2" t="str">
        <f>IFERROR(VLOOKUP($B193,Zwischenlauf!$B:$H,3,0),)</f>
        <v/>
      </c>
      <c r="L193" s="2" t="str">
        <f>IFERROR(VLOOKUP($B193,Zwischenlauf!$B:$H,4,0),)</f>
        <v/>
      </c>
      <c r="M193" s="2" t="str">
        <f>IFERROR(VLOOKUP($B193,Zwischenlauf!$B:$H,5,0),)</f>
        <v/>
      </c>
      <c r="N193" s="2" t="str">
        <f>IFERROR(VLOOKUP($B193,Zwischenlauf!$B:$H,6,0),)</f>
        <v/>
      </c>
      <c r="O193" s="2" t="str">
        <f>IFERROR(VLOOKUP($B193,Zwischenlauf!$B:$H,7,0),)</f>
        <v/>
      </c>
      <c r="P193" s="2" t="str">
        <f>IFERROR(VLOOKUP($B193,Finalrunde!$B:$H,2,0),)</f>
        <v/>
      </c>
      <c r="Q193" s="2" t="str">
        <f>IFERROR(VLOOKUP($B193,Finalrunde!$B:$H,3,0),)</f>
        <v/>
      </c>
      <c r="R193" s="2" t="str">
        <f>IFERROR(VLOOKUP($B193,Finalrunde!$B:$H,4,0),)</f>
        <v/>
      </c>
      <c r="S193" s="2" t="str">
        <f>IFERROR(VLOOKUP($B193,Finalrunde!$B:$H,5,0),)</f>
        <v/>
      </c>
      <c r="T193" s="2" t="str">
        <f>IFERROR(VLOOKUP($B193,Finalrunde!$B:$H,6,0),)</f>
        <v/>
      </c>
      <c r="U193" s="2" t="str">
        <f>IFERROR(VLOOKUP($B193,Finalrunde!$B:$H,7,0),)</f>
        <v/>
      </c>
      <c r="V193" s="2">
        <f t="shared" si="1"/>
        <v>0</v>
      </c>
      <c r="W193" s="2">
        <f t="shared" si="2"/>
        <v>0</v>
      </c>
      <c r="X193" s="2">
        <f t="shared" si="3"/>
        <v>0</v>
      </c>
      <c r="Y193" s="2">
        <f t="shared" si="4"/>
        <v>0</v>
      </c>
      <c r="Z193" s="2">
        <f t="shared" si="5"/>
        <v>0</v>
      </c>
      <c r="AA193" s="2">
        <f t="shared" si="6"/>
        <v>0</v>
      </c>
      <c r="AB193" s="2" t="str">
        <f>IFERROR(VLOOKUP(B193,'Mitglieder BBU'!A:K,12,0),"")</f>
        <v/>
      </c>
      <c r="AC193" s="2">
        <f t="shared" si="7"/>
        <v>0</v>
      </c>
      <c r="AD193" s="2">
        <f t="array" ref="AD193">MIN(IF(D193:U193&lt;&gt;0,D193:U193))</f>
        <v>0</v>
      </c>
    </row>
    <row r="194">
      <c r="A194" s="2">
        <v>191.0</v>
      </c>
      <c r="B194" s="111" t="str">
        <f>Spieler!B196</f>
        <v/>
      </c>
      <c r="D194" s="2" t="str">
        <f>IFERROR(VLOOKUP($B194,Vorrunde!B:H,2,0),)</f>
        <v/>
      </c>
      <c r="E194" s="2" t="str">
        <f>IFERROR(VLOOKUP($B194,Vorrunde!$B:$H,3,0),)</f>
        <v/>
      </c>
      <c r="F194" s="2">
        <f>IFERROR(VLOOKUP($B194,Vorrunde!$B:$H,4,0),0)</f>
        <v>0</v>
      </c>
      <c r="G194" s="2" t="str">
        <f>IFERROR(VLOOKUP($B194,Vorrunde!$B:$H,5,0),)</f>
        <v/>
      </c>
      <c r="H194" s="2" t="str">
        <f>IFERROR(VLOOKUP($B194,Vorrunde!$B:$H,6,0),)</f>
        <v/>
      </c>
      <c r="I194" s="2" t="str">
        <f>IFERROR(VLOOKUP($B194,Vorrunde!$B:$H,7,0),)</f>
        <v/>
      </c>
      <c r="J194" s="2" t="str">
        <f>IFERROR(VLOOKUP($B194,Zwischenlauf!$B:$H,2,0),)</f>
        <v/>
      </c>
      <c r="K194" s="2" t="str">
        <f>IFERROR(VLOOKUP($B194,Zwischenlauf!$B:$H,3,0),)</f>
        <v/>
      </c>
      <c r="L194" s="2" t="str">
        <f>IFERROR(VLOOKUP($B194,Zwischenlauf!$B:$H,4,0),)</f>
        <v/>
      </c>
      <c r="M194" s="2" t="str">
        <f>IFERROR(VLOOKUP($B194,Zwischenlauf!$B:$H,5,0),)</f>
        <v/>
      </c>
      <c r="N194" s="2" t="str">
        <f>IFERROR(VLOOKUP($B194,Zwischenlauf!$B:$H,6,0),)</f>
        <v/>
      </c>
      <c r="O194" s="2" t="str">
        <f>IFERROR(VLOOKUP($B194,Zwischenlauf!$B:$H,7,0),)</f>
        <v/>
      </c>
      <c r="P194" s="2" t="str">
        <f>IFERROR(VLOOKUP($B194,Finalrunde!$B:$H,2,0),)</f>
        <v/>
      </c>
      <c r="Q194" s="2" t="str">
        <f>IFERROR(VLOOKUP($B194,Finalrunde!$B:$H,3,0),)</f>
        <v/>
      </c>
      <c r="R194" s="2" t="str">
        <f>IFERROR(VLOOKUP($B194,Finalrunde!$B:$H,4,0),)</f>
        <v/>
      </c>
      <c r="S194" s="2" t="str">
        <f>IFERROR(VLOOKUP($B194,Finalrunde!$B:$H,5,0),)</f>
        <v/>
      </c>
      <c r="T194" s="2" t="str">
        <f>IFERROR(VLOOKUP($B194,Finalrunde!$B:$H,6,0),)</f>
        <v/>
      </c>
      <c r="U194" s="2" t="str">
        <f>IFERROR(VLOOKUP($B194,Finalrunde!$B:$H,7,0),)</f>
        <v/>
      </c>
      <c r="V194" s="2">
        <f t="shared" si="1"/>
        <v>0</v>
      </c>
      <c r="W194" s="2">
        <f t="shared" si="2"/>
        <v>0</v>
      </c>
      <c r="X194" s="2">
        <f t="shared" si="3"/>
        <v>0</v>
      </c>
      <c r="Y194" s="2">
        <f t="shared" si="4"/>
        <v>0</v>
      </c>
      <c r="Z194" s="2">
        <f t="shared" si="5"/>
        <v>0</v>
      </c>
      <c r="AA194" s="2">
        <f t="shared" si="6"/>
        <v>0</v>
      </c>
      <c r="AB194" s="2" t="str">
        <f>IFERROR(VLOOKUP(B194,'Mitglieder BBU'!A:K,12,0),"")</f>
        <v/>
      </c>
      <c r="AC194" s="2">
        <f t="shared" si="7"/>
        <v>0</v>
      </c>
      <c r="AD194" s="2">
        <f t="array" ref="AD194">MIN(IF(D194:U194&lt;&gt;0,D194:U194))</f>
        <v>0</v>
      </c>
    </row>
    <row r="195">
      <c r="A195" s="2">
        <v>192.0</v>
      </c>
      <c r="B195" s="111" t="str">
        <f>Spieler!B197</f>
        <v/>
      </c>
      <c r="D195" s="2" t="str">
        <f>IFERROR(VLOOKUP($B195,Vorrunde!B:H,2,0),)</f>
        <v/>
      </c>
      <c r="E195" s="2" t="str">
        <f>IFERROR(VLOOKUP($B195,Vorrunde!$B:$H,3,0),)</f>
        <v/>
      </c>
      <c r="F195" s="2">
        <f>IFERROR(VLOOKUP($B195,Vorrunde!$B:$H,4,0),0)</f>
        <v>0</v>
      </c>
      <c r="G195" s="2" t="str">
        <f>IFERROR(VLOOKUP($B195,Vorrunde!$B:$H,5,0),)</f>
        <v/>
      </c>
      <c r="H195" s="2" t="str">
        <f>IFERROR(VLOOKUP($B195,Vorrunde!$B:$H,6,0),)</f>
        <v/>
      </c>
      <c r="I195" s="2" t="str">
        <f>IFERROR(VLOOKUP($B195,Vorrunde!$B:$H,7,0),)</f>
        <v/>
      </c>
      <c r="J195" s="2" t="str">
        <f>IFERROR(VLOOKUP($B195,Zwischenlauf!$B:$H,2,0),)</f>
        <v/>
      </c>
      <c r="K195" s="2" t="str">
        <f>IFERROR(VLOOKUP($B195,Zwischenlauf!$B:$H,3,0),)</f>
        <v/>
      </c>
      <c r="L195" s="2" t="str">
        <f>IFERROR(VLOOKUP($B195,Zwischenlauf!$B:$H,4,0),)</f>
        <v/>
      </c>
      <c r="M195" s="2" t="str">
        <f>IFERROR(VLOOKUP($B195,Zwischenlauf!$B:$H,5,0),)</f>
        <v/>
      </c>
      <c r="N195" s="2" t="str">
        <f>IFERROR(VLOOKUP($B195,Zwischenlauf!$B:$H,6,0),)</f>
        <v/>
      </c>
      <c r="O195" s="2" t="str">
        <f>IFERROR(VLOOKUP($B195,Zwischenlauf!$B:$H,7,0),)</f>
        <v/>
      </c>
      <c r="P195" s="2" t="str">
        <f>IFERROR(VLOOKUP($B195,Finalrunde!$B:$H,2,0),)</f>
        <v/>
      </c>
      <c r="Q195" s="2" t="str">
        <f>IFERROR(VLOOKUP($B195,Finalrunde!$B:$H,3,0),)</f>
        <v/>
      </c>
      <c r="R195" s="2" t="str">
        <f>IFERROR(VLOOKUP($B195,Finalrunde!$B:$H,4,0),)</f>
        <v/>
      </c>
      <c r="S195" s="2" t="str">
        <f>IFERROR(VLOOKUP($B195,Finalrunde!$B:$H,5,0),)</f>
        <v/>
      </c>
      <c r="T195" s="2" t="str">
        <f>IFERROR(VLOOKUP($B195,Finalrunde!$B:$H,6,0),)</f>
        <v/>
      </c>
      <c r="U195" s="2" t="str">
        <f>IFERROR(VLOOKUP($B195,Finalrunde!$B:$H,7,0),)</f>
        <v/>
      </c>
      <c r="V195" s="2">
        <f t="shared" si="1"/>
        <v>0</v>
      </c>
      <c r="W195" s="2">
        <f t="shared" si="2"/>
        <v>0</v>
      </c>
      <c r="X195" s="2">
        <f t="shared" si="3"/>
        <v>0</v>
      </c>
      <c r="Y195" s="2">
        <f t="shared" si="4"/>
        <v>0</v>
      </c>
      <c r="Z195" s="2">
        <f t="shared" si="5"/>
        <v>0</v>
      </c>
      <c r="AA195" s="2">
        <f t="shared" si="6"/>
        <v>0</v>
      </c>
      <c r="AB195" s="2" t="str">
        <f>IFERROR(VLOOKUP(B195,'Mitglieder BBU'!A:K,12,0),"")</f>
        <v/>
      </c>
      <c r="AC195" s="2">
        <f t="shared" si="7"/>
        <v>0</v>
      </c>
      <c r="AD195" s="2">
        <f t="array" ref="AD195">MIN(IF(D195:U195&lt;&gt;0,D195:U195))</f>
        <v>0</v>
      </c>
    </row>
    <row r="196">
      <c r="A196" s="2">
        <v>193.0</v>
      </c>
      <c r="B196" s="111" t="str">
        <f>Spieler!B198</f>
        <v/>
      </c>
      <c r="D196" s="2" t="str">
        <f>IFERROR(VLOOKUP($B196,Vorrunde!B:H,2,0),)</f>
        <v/>
      </c>
      <c r="E196" s="2" t="str">
        <f>IFERROR(VLOOKUP($B196,Vorrunde!$B:$H,3,0),)</f>
        <v/>
      </c>
      <c r="F196" s="2">
        <f>IFERROR(VLOOKUP($B196,Vorrunde!$B:$H,4,0),0)</f>
        <v>0</v>
      </c>
      <c r="G196" s="2" t="str">
        <f>IFERROR(VLOOKUP($B196,Vorrunde!$B:$H,5,0),)</f>
        <v/>
      </c>
      <c r="H196" s="2" t="str">
        <f>IFERROR(VLOOKUP($B196,Vorrunde!$B:$H,6,0),)</f>
        <v/>
      </c>
      <c r="I196" s="2" t="str">
        <f>IFERROR(VLOOKUP($B196,Vorrunde!$B:$H,7,0),)</f>
        <v/>
      </c>
      <c r="J196" s="2" t="str">
        <f>IFERROR(VLOOKUP($B196,Zwischenlauf!$B:$H,2,0),)</f>
        <v/>
      </c>
      <c r="K196" s="2" t="str">
        <f>IFERROR(VLOOKUP($B196,Zwischenlauf!$B:$H,3,0),)</f>
        <v/>
      </c>
      <c r="L196" s="2" t="str">
        <f>IFERROR(VLOOKUP($B196,Zwischenlauf!$B:$H,4,0),)</f>
        <v/>
      </c>
      <c r="M196" s="2" t="str">
        <f>IFERROR(VLOOKUP($B196,Zwischenlauf!$B:$H,5,0),)</f>
        <v/>
      </c>
      <c r="N196" s="2" t="str">
        <f>IFERROR(VLOOKUP($B196,Zwischenlauf!$B:$H,6,0),)</f>
        <v/>
      </c>
      <c r="O196" s="2" t="str">
        <f>IFERROR(VLOOKUP($B196,Zwischenlauf!$B:$H,7,0),)</f>
        <v/>
      </c>
      <c r="P196" s="2" t="str">
        <f>IFERROR(VLOOKUP($B196,Finalrunde!$B:$H,2,0),)</f>
        <v/>
      </c>
      <c r="Q196" s="2" t="str">
        <f>IFERROR(VLOOKUP($B196,Finalrunde!$B:$H,3,0),)</f>
        <v/>
      </c>
      <c r="R196" s="2" t="str">
        <f>IFERROR(VLOOKUP($B196,Finalrunde!$B:$H,4,0),)</f>
        <v/>
      </c>
      <c r="S196" s="2" t="str">
        <f>IFERROR(VLOOKUP($B196,Finalrunde!$B:$H,5,0),)</f>
        <v/>
      </c>
      <c r="T196" s="2" t="str">
        <f>IFERROR(VLOOKUP($B196,Finalrunde!$B:$H,6,0),)</f>
        <v/>
      </c>
      <c r="U196" s="2" t="str">
        <f>IFERROR(VLOOKUP($B196,Finalrunde!$B:$H,7,0),)</f>
        <v/>
      </c>
      <c r="V196" s="2">
        <f t="shared" si="1"/>
        <v>0</v>
      </c>
      <c r="W196" s="2">
        <f t="shared" si="2"/>
        <v>0</v>
      </c>
      <c r="X196" s="2">
        <f t="shared" si="3"/>
        <v>0</v>
      </c>
      <c r="Y196" s="2">
        <f t="shared" si="4"/>
        <v>0</v>
      </c>
      <c r="Z196" s="2">
        <f t="shared" si="5"/>
        <v>0</v>
      </c>
      <c r="AA196" s="2">
        <f t="shared" si="6"/>
        <v>0</v>
      </c>
      <c r="AB196" s="2" t="str">
        <f>IFERROR(VLOOKUP(B196,'Mitglieder BBU'!A:K,12,0),"")</f>
        <v/>
      </c>
      <c r="AC196" s="2">
        <f t="shared" si="7"/>
        <v>0</v>
      </c>
      <c r="AD196" s="2">
        <f t="array" ref="AD196">MIN(IF(D196:U196&lt;&gt;0,D196:U196))</f>
        <v>0</v>
      </c>
    </row>
    <row r="197">
      <c r="A197" s="2">
        <v>194.0</v>
      </c>
      <c r="B197" s="111" t="str">
        <f>Spieler!B199</f>
        <v/>
      </c>
      <c r="D197" s="2" t="str">
        <f>IFERROR(VLOOKUP($B197,Vorrunde!B:H,2,0),)</f>
        <v/>
      </c>
      <c r="E197" s="2" t="str">
        <f>IFERROR(VLOOKUP($B197,Vorrunde!$B:$H,3,0),)</f>
        <v/>
      </c>
      <c r="F197" s="2">
        <f>IFERROR(VLOOKUP($B197,Vorrunde!$B:$H,4,0),0)</f>
        <v>0</v>
      </c>
      <c r="G197" s="2" t="str">
        <f>IFERROR(VLOOKUP($B197,Vorrunde!$B:$H,5,0),)</f>
        <v/>
      </c>
      <c r="H197" s="2" t="str">
        <f>IFERROR(VLOOKUP($B197,Vorrunde!$B:$H,6,0),)</f>
        <v/>
      </c>
      <c r="I197" s="2" t="str">
        <f>IFERROR(VLOOKUP($B197,Vorrunde!$B:$H,7,0),)</f>
        <v/>
      </c>
      <c r="J197" s="2" t="str">
        <f>IFERROR(VLOOKUP($B197,Zwischenlauf!$B:$H,2,0),)</f>
        <v/>
      </c>
      <c r="K197" s="2" t="str">
        <f>IFERROR(VLOOKUP($B197,Zwischenlauf!$B:$H,3,0),)</f>
        <v/>
      </c>
      <c r="L197" s="2" t="str">
        <f>IFERROR(VLOOKUP($B197,Zwischenlauf!$B:$H,4,0),)</f>
        <v/>
      </c>
      <c r="M197" s="2" t="str">
        <f>IFERROR(VLOOKUP($B197,Zwischenlauf!$B:$H,5,0),)</f>
        <v/>
      </c>
      <c r="N197" s="2" t="str">
        <f>IFERROR(VLOOKUP($B197,Zwischenlauf!$B:$H,6,0),)</f>
        <v/>
      </c>
      <c r="O197" s="2" t="str">
        <f>IFERROR(VLOOKUP($B197,Zwischenlauf!$B:$H,7,0),)</f>
        <v/>
      </c>
      <c r="P197" s="2" t="str">
        <f>IFERROR(VLOOKUP($B197,Finalrunde!$B:$H,2,0),)</f>
        <v/>
      </c>
      <c r="Q197" s="2" t="str">
        <f>IFERROR(VLOOKUP($B197,Finalrunde!$B:$H,3,0),)</f>
        <v/>
      </c>
      <c r="R197" s="2" t="str">
        <f>IFERROR(VLOOKUP($B197,Finalrunde!$B:$H,4,0),)</f>
        <v/>
      </c>
      <c r="S197" s="2" t="str">
        <f>IFERROR(VLOOKUP($B197,Finalrunde!$B:$H,5,0),)</f>
        <v/>
      </c>
      <c r="T197" s="2" t="str">
        <f>IFERROR(VLOOKUP($B197,Finalrunde!$B:$H,6,0),)</f>
        <v/>
      </c>
      <c r="U197" s="2" t="str">
        <f>IFERROR(VLOOKUP($B197,Finalrunde!$B:$H,7,0),)</f>
        <v/>
      </c>
      <c r="V197" s="2">
        <f t="shared" si="1"/>
        <v>0</v>
      </c>
      <c r="W197" s="2">
        <f t="shared" si="2"/>
        <v>0</v>
      </c>
      <c r="X197" s="2">
        <f t="shared" si="3"/>
        <v>0</v>
      </c>
      <c r="Y197" s="2">
        <f t="shared" si="4"/>
        <v>0</v>
      </c>
      <c r="Z197" s="2">
        <f t="shared" si="5"/>
        <v>0</v>
      </c>
      <c r="AA197" s="2">
        <f t="shared" si="6"/>
        <v>0</v>
      </c>
      <c r="AB197" s="2" t="str">
        <f>IFERROR(VLOOKUP(B197,'Mitglieder BBU'!A:K,12,0),"")</f>
        <v/>
      </c>
      <c r="AC197" s="2">
        <f t="shared" si="7"/>
        <v>0</v>
      </c>
      <c r="AD197" s="2">
        <f t="array" ref="AD197">MIN(IF(D197:U197&lt;&gt;0,D197:U197))</f>
        <v>0</v>
      </c>
    </row>
    <row r="198">
      <c r="A198" s="2">
        <v>195.0</v>
      </c>
      <c r="B198" s="111" t="str">
        <f>Spieler!B200</f>
        <v/>
      </c>
      <c r="D198" s="2" t="str">
        <f>IFERROR(VLOOKUP($B198,Vorrunde!B:H,2,0),)</f>
        <v/>
      </c>
      <c r="E198" s="2" t="str">
        <f>IFERROR(VLOOKUP($B198,Vorrunde!$B:$H,3,0),)</f>
        <v/>
      </c>
      <c r="F198" s="2">
        <f>IFERROR(VLOOKUP($B198,Vorrunde!$B:$H,4,0),0)</f>
        <v>0</v>
      </c>
      <c r="G198" s="2" t="str">
        <f>IFERROR(VLOOKUP($B198,Vorrunde!$B:$H,5,0),)</f>
        <v/>
      </c>
      <c r="H198" s="2" t="str">
        <f>IFERROR(VLOOKUP($B198,Vorrunde!$B:$H,6,0),)</f>
        <v/>
      </c>
      <c r="I198" s="2" t="str">
        <f>IFERROR(VLOOKUP($B198,Vorrunde!$B:$H,7,0),)</f>
        <v/>
      </c>
      <c r="J198" s="2" t="str">
        <f>IFERROR(VLOOKUP($B198,Zwischenlauf!$B:$H,2,0),)</f>
        <v/>
      </c>
      <c r="K198" s="2" t="str">
        <f>IFERROR(VLOOKUP($B198,Zwischenlauf!$B:$H,3,0),)</f>
        <v/>
      </c>
      <c r="L198" s="2" t="str">
        <f>IFERROR(VLOOKUP($B198,Zwischenlauf!$B:$H,4,0),)</f>
        <v/>
      </c>
      <c r="M198" s="2" t="str">
        <f>IFERROR(VLOOKUP($B198,Zwischenlauf!$B:$H,5,0),)</f>
        <v/>
      </c>
      <c r="N198" s="2" t="str">
        <f>IFERROR(VLOOKUP($B198,Zwischenlauf!$B:$H,6,0),)</f>
        <v/>
      </c>
      <c r="O198" s="2" t="str">
        <f>IFERROR(VLOOKUP($B198,Zwischenlauf!$B:$H,7,0),)</f>
        <v/>
      </c>
      <c r="P198" s="2" t="str">
        <f>IFERROR(VLOOKUP($B198,Finalrunde!$B:$H,2,0),)</f>
        <v/>
      </c>
      <c r="Q198" s="2" t="str">
        <f>IFERROR(VLOOKUP($B198,Finalrunde!$B:$H,3,0),)</f>
        <v/>
      </c>
      <c r="R198" s="2" t="str">
        <f>IFERROR(VLOOKUP($B198,Finalrunde!$B:$H,4,0),)</f>
        <v/>
      </c>
      <c r="S198" s="2" t="str">
        <f>IFERROR(VLOOKUP($B198,Finalrunde!$B:$H,5,0),)</f>
        <v/>
      </c>
      <c r="T198" s="2" t="str">
        <f>IFERROR(VLOOKUP($B198,Finalrunde!$B:$H,6,0),)</f>
        <v/>
      </c>
      <c r="U198" s="2" t="str">
        <f>IFERROR(VLOOKUP($B198,Finalrunde!$B:$H,7,0),)</f>
        <v/>
      </c>
      <c r="V198" s="2">
        <f t="shared" si="1"/>
        <v>0</v>
      </c>
      <c r="W198" s="2">
        <f t="shared" si="2"/>
        <v>0</v>
      </c>
      <c r="X198" s="2">
        <f t="shared" si="3"/>
        <v>0</v>
      </c>
      <c r="Y198" s="2">
        <f t="shared" si="4"/>
        <v>0</v>
      </c>
      <c r="Z198" s="2">
        <f t="shared" si="5"/>
        <v>0</v>
      </c>
      <c r="AA198" s="2">
        <f t="shared" si="6"/>
        <v>0</v>
      </c>
      <c r="AB198" s="2" t="str">
        <f>IFERROR(VLOOKUP(B198,'Mitglieder BBU'!A:K,12,0),"")</f>
        <v/>
      </c>
      <c r="AC198" s="2">
        <f t="shared" si="7"/>
        <v>0</v>
      </c>
      <c r="AD198" s="2">
        <f t="array" ref="AD198">MIN(IF(D198:U198&lt;&gt;0,D198:U198))</f>
        <v>0</v>
      </c>
    </row>
    <row r="199">
      <c r="A199" s="2">
        <v>196.0</v>
      </c>
      <c r="B199" s="111" t="str">
        <f>Spieler!B201</f>
        <v/>
      </c>
      <c r="D199" s="2" t="str">
        <f>IFERROR(VLOOKUP($B199,Vorrunde!B:H,2,0),)</f>
        <v/>
      </c>
      <c r="E199" s="2" t="str">
        <f>IFERROR(VLOOKUP($B199,Vorrunde!$B:$H,3,0),)</f>
        <v/>
      </c>
      <c r="F199" s="2">
        <f>IFERROR(VLOOKUP($B199,Vorrunde!$B:$H,4,0),0)</f>
        <v>0</v>
      </c>
      <c r="G199" s="2" t="str">
        <f>IFERROR(VLOOKUP($B199,Vorrunde!$B:$H,5,0),)</f>
        <v/>
      </c>
      <c r="H199" s="2" t="str">
        <f>IFERROR(VLOOKUP($B199,Vorrunde!$B:$H,6,0),)</f>
        <v/>
      </c>
      <c r="I199" s="2" t="str">
        <f>IFERROR(VLOOKUP($B199,Vorrunde!$B:$H,7,0),)</f>
        <v/>
      </c>
      <c r="J199" s="2" t="str">
        <f>IFERROR(VLOOKUP($B199,Zwischenlauf!$B:$H,2,0),)</f>
        <v/>
      </c>
      <c r="K199" s="2" t="str">
        <f>IFERROR(VLOOKUP($B199,Zwischenlauf!$B:$H,3,0),)</f>
        <v/>
      </c>
      <c r="L199" s="2" t="str">
        <f>IFERROR(VLOOKUP($B199,Zwischenlauf!$B:$H,4,0),)</f>
        <v/>
      </c>
      <c r="M199" s="2" t="str">
        <f>IFERROR(VLOOKUP($B199,Zwischenlauf!$B:$H,5,0),)</f>
        <v/>
      </c>
      <c r="N199" s="2" t="str">
        <f>IFERROR(VLOOKUP($B199,Zwischenlauf!$B:$H,6,0),)</f>
        <v/>
      </c>
      <c r="O199" s="2" t="str">
        <f>IFERROR(VLOOKUP($B199,Zwischenlauf!$B:$H,7,0),)</f>
        <v/>
      </c>
      <c r="P199" s="2" t="str">
        <f>IFERROR(VLOOKUP($B199,Finalrunde!$B:$H,2,0),)</f>
        <v/>
      </c>
      <c r="Q199" s="2" t="str">
        <f>IFERROR(VLOOKUP($B199,Finalrunde!$B:$H,3,0),)</f>
        <v/>
      </c>
      <c r="R199" s="2" t="str">
        <f>IFERROR(VLOOKUP($B199,Finalrunde!$B:$H,4,0),)</f>
        <v/>
      </c>
      <c r="S199" s="2" t="str">
        <f>IFERROR(VLOOKUP($B199,Finalrunde!$B:$H,5,0),)</f>
        <v/>
      </c>
      <c r="T199" s="2" t="str">
        <f>IFERROR(VLOOKUP($B199,Finalrunde!$B:$H,6,0),)</f>
        <v/>
      </c>
      <c r="U199" s="2" t="str">
        <f>IFERROR(VLOOKUP($B199,Finalrunde!$B:$H,7,0),)</f>
        <v/>
      </c>
      <c r="V199" s="2">
        <f t="shared" si="1"/>
        <v>0</v>
      </c>
      <c r="W199" s="2">
        <f t="shared" si="2"/>
        <v>0</v>
      </c>
      <c r="X199" s="2">
        <f t="shared" si="3"/>
        <v>0</v>
      </c>
      <c r="Y199" s="2">
        <f t="shared" si="4"/>
        <v>0</v>
      </c>
      <c r="Z199" s="2">
        <f t="shared" si="5"/>
        <v>0</v>
      </c>
      <c r="AA199" s="2">
        <f t="shared" si="6"/>
        <v>0</v>
      </c>
      <c r="AB199" s="2" t="str">
        <f>IFERROR(VLOOKUP(B199,'Mitglieder BBU'!A:K,12,0),"")</f>
        <v/>
      </c>
      <c r="AC199" s="2">
        <f t="shared" si="7"/>
        <v>0</v>
      </c>
      <c r="AD199" s="2">
        <f t="array" ref="AD199">MIN(IF(D199:U199&lt;&gt;0,D199:U199))</f>
        <v>0</v>
      </c>
    </row>
    <row r="200">
      <c r="A200" s="2">
        <v>197.0</v>
      </c>
      <c r="B200" s="111" t="str">
        <f>Spieler!B202</f>
        <v/>
      </c>
      <c r="D200" s="2" t="str">
        <f>IFERROR(VLOOKUP($B200,Vorrunde!B:H,2,0),)</f>
        <v/>
      </c>
      <c r="E200" s="2" t="str">
        <f>IFERROR(VLOOKUP($B200,Vorrunde!$B:$H,3,0),)</f>
        <v/>
      </c>
      <c r="F200" s="2">
        <f>IFERROR(VLOOKUP($B200,Vorrunde!$B:$H,4,0),0)</f>
        <v>0</v>
      </c>
      <c r="G200" s="2" t="str">
        <f>IFERROR(VLOOKUP($B200,Vorrunde!$B:$H,5,0),)</f>
        <v/>
      </c>
      <c r="H200" s="2" t="str">
        <f>IFERROR(VLOOKUP($B200,Vorrunde!$B:$H,6,0),)</f>
        <v/>
      </c>
      <c r="I200" s="2" t="str">
        <f>IFERROR(VLOOKUP($B200,Vorrunde!$B:$H,7,0),)</f>
        <v/>
      </c>
      <c r="J200" s="2" t="str">
        <f>IFERROR(VLOOKUP($B200,Zwischenlauf!$B:$H,2,0),)</f>
        <v/>
      </c>
      <c r="K200" s="2" t="str">
        <f>IFERROR(VLOOKUP($B200,Zwischenlauf!$B:$H,3,0),)</f>
        <v/>
      </c>
      <c r="L200" s="2" t="str">
        <f>IFERROR(VLOOKUP($B200,Zwischenlauf!$B:$H,4,0),)</f>
        <v/>
      </c>
      <c r="M200" s="2" t="str">
        <f>IFERROR(VLOOKUP($B200,Zwischenlauf!$B:$H,5,0),)</f>
        <v/>
      </c>
      <c r="N200" s="2" t="str">
        <f>IFERROR(VLOOKUP($B200,Zwischenlauf!$B:$H,6,0),)</f>
        <v/>
      </c>
      <c r="O200" s="2" t="str">
        <f>IFERROR(VLOOKUP($B200,Zwischenlauf!$B:$H,7,0),)</f>
        <v/>
      </c>
      <c r="P200" s="2" t="str">
        <f>IFERROR(VLOOKUP($B200,Finalrunde!$B:$H,2,0),)</f>
        <v/>
      </c>
      <c r="Q200" s="2" t="str">
        <f>IFERROR(VLOOKUP($B200,Finalrunde!$B:$H,3,0),)</f>
        <v/>
      </c>
      <c r="R200" s="2" t="str">
        <f>IFERROR(VLOOKUP($B200,Finalrunde!$B:$H,4,0),)</f>
        <v/>
      </c>
      <c r="S200" s="2" t="str">
        <f>IFERROR(VLOOKUP($B200,Finalrunde!$B:$H,5,0),)</f>
        <v/>
      </c>
      <c r="T200" s="2" t="str">
        <f>IFERROR(VLOOKUP($B200,Finalrunde!$B:$H,6,0),)</f>
        <v/>
      </c>
      <c r="U200" s="2" t="str">
        <f>IFERROR(VLOOKUP($B200,Finalrunde!$B:$H,7,0),)</f>
        <v/>
      </c>
      <c r="V200" s="2">
        <f t="shared" si="1"/>
        <v>0</v>
      </c>
      <c r="W200" s="2">
        <f t="shared" si="2"/>
        <v>0</v>
      </c>
      <c r="X200" s="2">
        <f t="shared" si="3"/>
        <v>0</v>
      </c>
      <c r="Y200" s="2">
        <f t="shared" si="4"/>
        <v>0</v>
      </c>
      <c r="Z200" s="2">
        <f t="shared" si="5"/>
        <v>0</v>
      </c>
      <c r="AA200" s="2">
        <f t="shared" si="6"/>
        <v>0</v>
      </c>
      <c r="AB200" s="2" t="str">
        <f>IFERROR(VLOOKUP(B200,'Mitglieder BBU'!A:K,12,0),"")</f>
        <v/>
      </c>
      <c r="AC200" s="2">
        <f t="shared" si="7"/>
        <v>0</v>
      </c>
      <c r="AD200" s="2">
        <f t="array" ref="AD200">MIN(IF(D200:U200&lt;&gt;0,D200:U200))</f>
        <v>0</v>
      </c>
    </row>
    <row r="201">
      <c r="A201" s="2">
        <v>198.0</v>
      </c>
      <c r="B201" s="111" t="str">
        <f>Spieler!B203</f>
        <v/>
      </c>
      <c r="D201" s="2" t="str">
        <f>IFERROR(VLOOKUP($B201,Vorrunde!B:H,2,0),)</f>
        <v/>
      </c>
      <c r="E201" s="2" t="str">
        <f>IFERROR(VLOOKUP($B201,Vorrunde!$B:$H,3,0),)</f>
        <v/>
      </c>
      <c r="F201" s="2">
        <f>IFERROR(VLOOKUP($B201,Vorrunde!$B:$H,4,0),0)</f>
        <v>0</v>
      </c>
      <c r="G201" s="2" t="str">
        <f>IFERROR(VLOOKUP($B201,Vorrunde!$B:$H,5,0),)</f>
        <v/>
      </c>
      <c r="H201" s="2" t="str">
        <f>IFERROR(VLOOKUP($B201,Vorrunde!$B:$H,6,0),)</f>
        <v/>
      </c>
      <c r="I201" s="2" t="str">
        <f>IFERROR(VLOOKUP($B201,Vorrunde!$B:$H,7,0),)</f>
        <v/>
      </c>
      <c r="J201" s="2" t="str">
        <f>IFERROR(VLOOKUP($B201,Zwischenlauf!$B:$H,2,0),)</f>
        <v/>
      </c>
      <c r="K201" s="2" t="str">
        <f>IFERROR(VLOOKUP($B201,Zwischenlauf!$B:$H,3,0),)</f>
        <v/>
      </c>
      <c r="L201" s="2" t="str">
        <f>IFERROR(VLOOKUP($B201,Zwischenlauf!$B:$H,4,0),)</f>
        <v/>
      </c>
      <c r="M201" s="2" t="str">
        <f>IFERROR(VLOOKUP($B201,Zwischenlauf!$B:$H,5,0),)</f>
        <v/>
      </c>
      <c r="N201" s="2" t="str">
        <f>IFERROR(VLOOKUP($B201,Zwischenlauf!$B:$H,6,0),)</f>
        <v/>
      </c>
      <c r="O201" s="2" t="str">
        <f>IFERROR(VLOOKUP($B201,Zwischenlauf!$B:$H,7,0),)</f>
        <v/>
      </c>
      <c r="P201" s="2" t="str">
        <f>IFERROR(VLOOKUP($B201,Finalrunde!$B:$H,2,0),)</f>
        <v/>
      </c>
      <c r="Q201" s="2" t="str">
        <f>IFERROR(VLOOKUP($B201,Finalrunde!$B:$H,3,0),)</f>
        <v/>
      </c>
      <c r="R201" s="2" t="str">
        <f>IFERROR(VLOOKUP($B201,Finalrunde!$B:$H,4,0),)</f>
        <v/>
      </c>
      <c r="S201" s="2" t="str">
        <f>IFERROR(VLOOKUP($B201,Finalrunde!$B:$H,5,0),)</f>
        <v/>
      </c>
      <c r="T201" s="2" t="str">
        <f>IFERROR(VLOOKUP($B201,Finalrunde!$B:$H,6,0),)</f>
        <v/>
      </c>
      <c r="U201" s="2" t="str">
        <f>IFERROR(VLOOKUP($B201,Finalrunde!$B:$H,7,0),)</f>
        <v/>
      </c>
      <c r="V201" s="2">
        <f t="shared" si="1"/>
        <v>0</v>
      </c>
      <c r="W201" s="2">
        <f t="shared" si="2"/>
        <v>0</v>
      </c>
      <c r="X201" s="2">
        <f t="shared" si="3"/>
        <v>0</v>
      </c>
      <c r="Y201" s="2">
        <f t="shared" si="4"/>
        <v>0</v>
      </c>
      <c r="Z201" s="2">
        <f t="shared" si="5"/>
        <v>0</v>
      </c>
      <c r="AA201" s="2">
        <f t="shared" si="6"/>
        <v>0</v>
      </c>
      <c r="AB201" s="2" t="str">
        <f>IFERROR(VLOOKUP(B201,'Mitglieder BBU'!A:K,12,0),"")</f>
        <v/>
      </c>
      <c r="AC201" s="2">
        <f t="shared" si="7"/>
        <v>0</v>
      </c>
      <c r="AD201" s="2">
        <f t="array" ref="AD201">MIN(IF(D201:U201&lt;&gt;0,D201:U201))</f>
        <v>0</v>
      </c>
    </row>
    <row r="202">
      <c r="A202" s="2">
        <v>199.0</v>
      </c>
      <c r="B202" s="111" t="str">
        <f>Spieler!B204</f>
        <v/>
      </c>
      <c r="D202" s="2" t="str">
        <f>IFERROR(VLOOKUP($B202,Vorrunde!B:H,2,0),)</f>
        <v/>
      </c>
      <c r="E202" s="2" t="str">
        <f>IFERROR(VLOOKUP($B202,Vorrunde!$B:$H,3,0),)</f>
        <v/>
      </c>
      <c r="F202" s="2">
        <f>IFERROR(VLOOKUP($B202,Vorrunde!$B:$H,4,0),0)</f>
        <v>0</v>
      </c>
      <c r="G202" s="2" t="str">
        <f>IFERROR(VLOOKUP($B202,Vorrunde!$B:$H,5,0),)</f>
        <v/>
      </c>
      <c r="H202" s="2" t="str">
        <f>IFERROR(VLOOKUP($B202,Vorrunde!$B:$H,6,0),)</f>
        <v/>
      </c>
      <c r="I202" s="2" t="str">
        <f>IFERROR(VLOOKUP($B202,Vorrunde!$B:$H,7,0),)</f>
        <v/>
      </c>
      <c r="J202" s="2" t="str">
        <f>IFERROR(VLOOKUP($B202,Zwischenlauf!$B:$H,2,0),)</f>
        <v/>
      </c>
      <c r="K202" s="2" t="str">
        <f>IFERROR(VLOOKUP($B202,Zwischenlauf!$B:$H,3,0),)</f>
        <v/>
      </c>
      <c r="L202" s="2" t="str">
        <f>IFERROR(VLOOKUP($B202,Zwischenlauf!$B:$H,4,0),)</f>
        <v/>
      </c>
      <c r="M202" s="2" t="str">
        <f>IFERROR(VLOOKUP($B202,Zwischenlauf!$B:$H,5,0),)</f>
        <v/>
      </c>
      <c r="N202" s="2" t="str">
        <f>IFERROR(VLOOKUP($B202,Zwischenlauf!$B:$H,6,0),)</f>
        <v/>
      </c>
      <c r="O202" s="2" t="str">
        <f>IFERROR(VLOOKUP($B202,Zwischenlauf!$B:$H,7,0),)</f>
        <v/>
      </c>
      <c r="P202" s="2" t="str">
        <f>IFERROR(VLOOKUP($B202,Finalrunde!$B:$H,2,0),)</f>
        <v/>
      </c>
      <c r="Q202" s="2" t="str">
        <f>IFERROR(VLOOKUP($B202,Finalrunde!$B:$H,3,0),)</f>
        <v/>
      </c>
      <c r="R202" s="2" t="str">
        <f>IFERROR(VLOOKUP($B202,Finalrunde!$B:$H,4,0),)</f>
        <v/>
      </c>
      <c r="S202" s="2" t="str">
        <f>IFERROR(VLOOKUP($B202,Finalrunde!$B:$H,5,0),)</f>
        <v/>
      </c>
      <c r="T202" s="2" t="str">
        <f>IFERROR(VLOOKUP($B202,Finalrunde!$B:$H,6,0),)</f>
        <v/>
      </c>
      <c r="U202" s="2" t="str">
        <f>IFERROR(VLOOKUP($B202,Finalrunde!$B:$H,7,0),)</f>
        <v/>
      </c>
      <c r="V202" s="2">
        <f t="shared" si="1"/>
        <v>0</v>
      </c>
      <c r="W202" s="2">
        <f t="shared" si="2"/>
        <v>0</v>
      </c>
      <c r="X202" s="2">
        <f t="shared" si="3"/>
        <v>0</v>
      </c>
      <c r="Y202" s="2">
        <f t="shared" si="4"/>
        <v>0</v>
      </c>
      <c r="Z202" s="2">
        <f t="shared" si="5"/>
        <v>0</v>
      </c>
      <c r="AA202" s="2">
        <f t="shared" si="6"/>
        <v>0</v>
      </c>
      <c r="AB202" s="2" t="str">
        <f>IFERROR(VLOOKUP(B202,'Mitglieder BBU'!A:K,12,0),"")</f>
        <v/>
      </c>
      <c r="AC202" s="2">
        <f t="shared" si="7"/>
        <v>0</v>
      </c>
      <c r="AD202" s="2">
        <f t="array" ref="AD202">MIN(IF(D202:U202&lt;&gt;0,D202:U202))</f>
        <v>0</v>
      </c>
    </row>
    <row r="203">
      <c r="A203" s="2">
        <v>200.0</v>
      </c>
      <c r="B203" s="111" t="str">
        <f>Spieler!B205</f>
        <v/>
      </c>
      <c r="D203" s="2" t="str">
        <f>IFERROR(VLOOKUP($B203,Vorrunde!B:H,2,0),)</f>
        <v/>
      </c>
      <c r="E203" s="2" t="str">
        <f>IFERROR(VLOOKUP($B203,Vorrunde!$B:$H,3,0),)</f>
        <v/>
      </c>
      <c r="F203" s="2">
        <f>IFERROR(VLOOKUP($B203,Vorrunde!$B:$H,4,0),0)</f>
        <v>0</v>
      </c>
      <c r="G203" s="2" t="str">
        <f>IFERROR(VLOOKUP($B203,Vorrunde!$B:$H,5,0),)</f>
        <v/>
      </c>
      <c r="H203" s="2" t="str">
        <f>IFERROR(VLOOKUP($B203,Vorrunde!$B:$H,6,0),)</f>
        <v/>
      </c>
      <c r="I203" s="2" t="str">
        <f>IFERROR(VLOOKUP($B203,Vorrunde!$B:$H,7,0),)</f>
        <v/>
      </c>
      <c r="J203" s="2" t="str">
        <f>IFERROR(VLOOKUP($B203,Zwischenlauf!$B:$H,2,0),)</f>
        <v/>
      </c>
      <c r="K203" s="2" t="str">
        <f>IFERROR(VLOOKUP($B203,Zwischenlauf!$B:$H,3,0),)</f>
        <v/>
      </c>
      <c r="L203" s="2" t="str">
        <f>IFERROR(VLOOKUP($B203,Zwischenlauf!$B:$H,4,0),)</f>
        <v/>
      </c>
      <c r="M203" s="2" t="str">
        <f>IFERROR(VLOOKUP($B203,Zwischenlauf!$B:$H,5,0),)</f>
        <v/>
      </c>
      <c r="N203" s="2" t="str">
        <f>IFERROR(VLOOKUP($B203,Zwischenlauf!$B:$H,6,0),)</f>
        <v/>
      </c>
      <c r="O203" s="2" t="str">
        <f>IFERROR(VLOOKUP($B203,Zwischenlauf!$B:$H,7,0),)</f>
        <v/>
      </c>
      <c r="P203" s="2" t="str">
        <f>IFERROR(VLOOKUP($B203,Finalrunde!$B:$H,2,0),)</f>
        <v/>
      </c>
      <c r="Q203" s="2" t="str">
        <f>IFERROR(VLOOKUP($B203,Finalrunde!$B:$H,3,0),)</f>
        <v/>
      </c>
      <c r="R203" s="2" t="str">
        <f>IFERROR(VLOOKUP($B203,Finalrunde!$B:$H,4,0),)</f>
        <v/>
      </c>
      <c r="S203" s="2" t="str">
        <f>IFERROR(VLOOKUP($B203,Finalrunde!$B:$H,5,0),)</f>
        <v/>
      </c>
      <c r="T203" s="2" t="str">
        <f>IFERROR(VLOOKUP($B203,Finalrunde!$B:$H,6,0),)</f>
        <v/>
      </c>
      <c r="U203" s="2" t="str">
        <f>IFERROR(VLOOKUP($B203,Finalrunde!$B:$H,7,0),)</f>
        <v/>
      </c>
      <c r="V203" s="2">
        <f t="shared" si="1"/>
        <v>0</v>
      </c>
      <c r="W203" s="2">
        <f t="shared" si="2"/>
        <v>0</v>
      </c>
      <c r="X203" s="2">
        <f t="shared" si="3"/>
        <v>0</v>
      </c>
      <c r="Y203" s="2">
        <f t="shared" si="4"/>
        <v>0</v>
      </c>
      <c r="Z203" s="2">
        <f t="shared" si="5"/>
        <v>0</v>
      </c>
      <c r="AA203" s="2">
        <f t="shared" si="6"/>
        <v>0</v>
      </c>
      <c r="AB203" s="2" t="str">
        <f>IFERROR(VLOOKUP(B203,'Mitglieder BBU'!A:K,12,0),"")</f>
        <v/>
      </c>
      <c r="AC203" s="2">
        <f t="shared" si="7"/>
        <v>0</v>
      </c>
      <c r="AD203" s="2">
        <f t="array" ref="AD203">MIN(IF(D203:U203&lt;&gt;0,D203:U203))</f>
        <v>0</v>
      </c>
    </row>
  </sheetData>
  <mergeCells count="4">
    <mergeCell ref="D2:I2"/>
    <mergeCell ref="J2:O2"/>
    <mergeCell ref="P2:U2"/>
    <mergeCell ref="V2:AA2"/>
  </mergeCells>
  <printOptions/>
  <pageMargins bottom="0.787401575" footer="0.0" header="0.0" left="0.7" right="0.7" top="0.7874015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2.33"/>
    <col customWidth="1" min="2" max="2" width="25.11"/>
    <col customWidth="1" min="3" max="3" width="8.44"/>
    <col customWidth="1" min="4" max="4" width="2.11"/>
    <col customWidth="1" min="5" max="5" width="8.44"/>
    <col customWidth="1" min="6" max="6" width="24.67"/>
    <col customWidth="1" min="7" max="7" width="2.0"/>
    <col customWidth="1" min="9" max="9" width="28.11"/>
    <col customWidth="1" min="14" max="14" width="6.56"/>
    <col customWidth="1" min="15" max="15" width="7.78"/>
    <col customWidth="1" min="16" max="16" width="14.33"/>
  </cols>
  <sheetData>
    <row r="1">
      <c r="C1" s="50"/>
      <c r="D1" s="50"/>
      <c r="E1" s="50"/>
    </row>
    <row r="2">
      <c r="C2" s="50"/>
      <c r="D2" s="50"/>
      <c r="E2" s="50"/>
    </row>
    <row r="3">
      <c r="C3" s="215" t="s">
        <v>2586</v>
      </c>
    </row>
    <row r="4">
      <c r="C4" s="50"/>
      <c r="D4" s="50"/>
      <c r="E4" s="50"/>
    </row>
    <row r="5">
      <c r="B5" s="216" t="s">
        <v>2587</v>
      </c>
      <c r="C5" s="50"/>
      <c r="D5" s="50"/>
      <c r="E5" s="50"/>
      <c r="F5" s="216" t="s">
        <v>2588</v>
      </c>
      <c r="N5" s="10" t="s">
        <v>2589</v>
      </c>
      <c r="O5" s="2">
        <f>Spieler!AD6</f>
        <v>9</v>
      </c>
      <c r="P5" s="2" t="str">
        <f>VLOOKUP(O5,Spieler!A:C,3,0)</f>
        <v>Anika Kristof</v>
      </c>
    </row>
    <row r="6">
      <c r="B6" s="217" t="str">
        <f>IFERROR(VLOOKUP(O7,Spieler!A:C,3,0),"")</f>
        <v>Alexandra Mareiser</v>
      </c>
      <c r="C6" s="218">
        <v>200.0</v>
      </c>
      <c r="D6" s="218" t="s">
        <v>2590</v>
      </c>
      <c r="E6" s="218">
        <v>176.0</v>
      </c>
      <c r="F6" s="217" t="str">
        <f>IFERROR(VLOOKUP(O10,Spieler!A:C,3,0),"")</f>
        <v>Johanna Groll</v>
      </c>
      <c r="I6" s="2" t="str">
        <f>IF(C8=0,, IF(C8&gt;E8,B6,F6))</f>
        <v>Alexandra Mareiser</v>
      </c>
      <c r="N6" s="10" t="s">
        <v>2591</v>
      </c>
      <c r="O6" s="2">
        <f>Spieler!AD7</f>
        <v>14</v>
      </c>
      <c r="P6" s="2" t="str">
        <f>VLOOKUP(O6,Spieler!A:C,3,0)</f>
        <v>Laura Piros</v>
      </c>
    </row>
    <row r="7">
      <c r="C7" s="218">
        <v>198.0</v>
      </c>
      <c r="D7" s="218" t="s">
        <v>2590</v>
      </c>
      <c r="E7" s="218">
        <v>186.0</v>
      </c>
      <c r="N7" s="10" t="s">
        <v>2592</v>
      </c>
      <c r="O7" s="2">
        <f>Spieler!AD8</f>
        <v>15</v>
      </c>
      <c r="P7" s="2" t="str">
        <f>VLOOKUP(O7,Spieler!A:C,3,0)</f>
        <v>Alexandra Mareiser</v>
      </c>
    </row>
    <row r="8">
      <c r="C8" s="219">
        <f>IF(C6="","",SUM(C6:C7))</f>
        <v>398</v>
      </c>
      <c r="D8" s="219" t="s">
        <v>2590</v>
      </c>
      <c r="E8" s="219">
        <f>IF(C6="","",SUM(E6:E7))</f>
        <v>362</v>
      </c>
      <c r="N8" s="10" t="s">
        <v>2593</v>
      </c>
      <c r="O8" s="2">
        <f>Spieler!AD9</f>
        <v>18</v>
      </c>
      <c r="P8" s="2" t="str">
        <f>VLOOKUP(O8,Spieler!A:C,3,0)</f>
        <v>Natalie Groll</v>
      </c>
    </row>
    <row r="9">
      <c r="C9" s="50"/>
      <c r="D9" s="50"/>
      <c r="E9" s="50"/>
      <c r="N9" s="10" t="s">
        <v>2594</v>
      </c>
      <c r="O9" s="2">
        <f>Spieler!AD10</f>
        <v>20</v>
      </c>
      <c r="P9" s="2" t="str">
        <f>VLOOKUP(O9,Spieler!A:C,3,0)</f>
        <v>Julia Völlmerk</v>
      </c>
    </row>
    <row r="10">
      <c r="B10" s="216" t="s">
        <v>2595</v>
      </c>
      <c r="C10" s="50"/>
      <c r="D10" s="50"/>
      <c r="E10" s="50"/>
      <c r="F10" s="216" t="s">
        <v>2596</v>
      </c>
      <c r="N10" s="10" t="s">
        <v>2597</v>
      </c>
      <c r="O10" s="2">
        <f>Spieler!AD11</f>
        <v>19</v>
      </c>
      <c r="P10" s="2" t="str">
        <f>VLOOKUP(O10,Spieler!A:C,3,0)</f>
        <v>Johanna Groll</v>
      </c>
    </row>
    <row r="11">
      <c r="B11" s="217" t="str">
        <f>IFERROR(VLOOKUP(O8,Spieler!A:C,3,0),"")</f>
        <v>Natalie Groll</v>
      </c>
      <c r="C11" s="218">
        <v>149.0</v>
      </c>
      <c r="D11" s="218" t="s">
        <v>2590</v>
      </c>
      <c r="E11" s="218">
        <v>173.0</v>
      </c>
      <c r="F11" s="217" t="str">
        <f>IFERROR(VLOOKUP(O9,Spieler!A:C,3,0),"")</f>
        <v>Julia Völlmerk</v>
      </c>
      <c r="I11" s="2" t="str">
        <f>IF(C13=0,, IF(C13&gt;E13,B11,F11))</f>
        <v>Julia Völlmerk</v>
      </c>
    </row>
    <row r="12">
      <c r="C12" s="218">
        <v>146.0</v>
      </c>
      <c r="D12" s="218" t="s">
        <v>2590</v>
      </c>
      <c r="E12" s="218">
        <v>171.0</v>
      </c>
    </row>
    <row r="13">
      <c r="C13" s="219">
        <f>IF(C6="","",SUM(C11:C12))</f>
        <v>295</v>
      </c>
      <c r="D13" s="219" t="s">
        <v>2590</v>
      </c>
      <c r="E13" s="219">
        <f>IF(C6="","",SUM(E11:E12))</f>
        <v>344</v>
      </c>
    </row>
    <row r="14">
      <c r="C14" s="50"/>
      <c r="D14" s="50"/>
      <c r="E14" s="50"/>
    </row>
    <row r="16">
      <c r="C16" s="215" t="s">
        <v>2598</v>
      </c>
    </row>
    <row r="17">
      <c r="C17" s="50"/>
      <c r="D17" s="50"/>
      <c r="E17" s="50"/>
    </row>
    <row r="18">
      <c r="B18" s="216" t="s">
        <v>2599</v>
      </c>
      <c r="C18" s="50"/>
      <c r="D18" s="50"/>
      <c r="E18" s="50"/>
      <c r="F18" s="216" t="s">
        <v>2600</v>
      </c>
    </row>
    <row r="19">
      <c r="B19" s="217" t="str">
        <f>IFERROR(VLOOKUP(O5,Spieler!A:C,3,0),"")</f>
        <v>Anika Kristof</v>
      </c>
      <c r="C19" s="218">
        <v>176.0</v>
      </c>
      <c r="D19" s="218" t="s">
        <v>2590</v>
      </c>
      <c r="E19" s="218">
        <v>221.0</v>
      </c>
      <c r="F19" s="217" t="str">
        <f>IF(C8&lt;E8,I6,I11)</f>
        <v>Julia Völlmerk</v>
      </c>
      <c r="I19" s="2" t="str">
        <f>IF(C21=0,, IF(C21&gt;E21,B19,F19))</f>
        <v>Julia Völlmerk</v>
      </c>
    </row>
    <row r="20">
      <c r="C20" s="218">
        <v>204.0</v>
      </c>
      <c r="D20" s="218" t="s">
        <v>2590</v>
      </c>
      <c r="E20" s="218">
        <v>182.0</v>
      </c>
    </row>
    <row r="21">
      <c r="C21" s="219">
        <f>IF(C6="","",SUM(C19:C20))</f>
        <v>380</v>
      </c>
      <c r="D21" s="219" t="s">
        <v>2590</v>
      </c>
      <c r="E21" s="219">
        <f>IF(C6="","",SUM(E19:E20))</f>
        <v>403</v>
      </c>
    </row>
    <row r="22">
      <c r="B22" s="220"/>
      <c r="C22" s="50"/>
      <c r="D22" s="50"/>
      <c r="E22" s="50"/>
      <c r="F22" s="220"/>
    </row>
    <row r="23">
      <c r="B23" s="216" t="s">
        <v>2601</v>
      </c>
      <c r="C23" s="50"/>
      <c r="D23" s="50"/>
      <c r="E23" s="50"/>
      <c r="F23" s="216" t="s">
        <v>2602</v>
      </c>
    </row>
    <row r="24">
      <c r="B24" s="217" t="str">
        <f>IFERROR(VLOOKUP(O6,Spieler!A:C,3,0),"")</f>
        <v>Laura Piros</v>
      </c>
      <c r="C24" s="218">
        <v>231.0</v>
      </c>
      <c r="D24" s="218" t="s">
        <v>2590</v>
      </c>
      <c r="E24" s="218">
        <v>182.0</v>
      </c>
      <c r="F24" s="217" t="str">
        <f>IF(C8&gt;E8,I6,I11)</f>
        <v>Alexandra Mareiser</v>
      </c>
      <c r="I24" s="2" t="str">
        <f>IF(C26=0,, IF(C26&gt;E26,B24,F24))</f>
        <v>Laura Piros</v>
      </c>
    </row>
    <row r="25">
      <c r="C25" s="218">
        <v>181.0</v>
      </c>
      <c r="D25" s="218" t="s">
        <v>2590</v>
      </c>
      <c r="E25" s="218">
        <v>208.0</v>
      </c>
    </row>
    <row r="26">
      <c r="C26" s="219">
        <f>IF(C6="","",SUM(C24:C25))</f>
        <v>412</v>
      </c>
      <c r="D26" s="218" t="s">
        <v>2590</v>
      </c>
      <c r="E26" s="219">
        <f>IF(C6="","",SUM(E24:E25))</f>
        <v>390</v>
      </c>
    </row>
    <row r="27">
      <c r="C27" s="50"/>
      <c r="D27" s="50"/>
      <c r="E27" s="50"/>
    </row>
    <row r="28">
      <c r="C28" s="50"/>
      <c r="D28" s="50"/>
      <c r="E28" s="50"/>
    </row>
    <row r="29">
      <c r="C29" s="215" t="s">
        <v>2603</v>
      </c>
    </row>
    <row r="30">
      <c r="C30" s="50"/>
      <c r="D30" s="50"/>
      <c r="E30" s="50"/>
    </row>
    <row r="31">
      <c r="B31" s="216" t="s">
        <v>2604</v>
      </c>
      <c r="C31" s="50"/>
      <c r="D31" s="50"/>
      <c r="E31" s="50"/>
      <c r="F31" s="216" t="s">
        <v>2605</v>
      </c>
    </row>
    <row r="32">
      <c r="B32" s="217" t="str">
        <f>I19</f>
        <v>Julia Völlmerk</v>
      </c>
      <c r="C32" s="218">
        <v>220.0</v>
      </c>
      <c r="D32" s="218" t="s">
        <v>2590</v>
      </c>
      <c r="E32" s="218">
        <v>236.0</v>
      </c>
      <c r="F32" s="217" t="str">
        <f>I24</f>
        <v>Laura Piros</v>
      </c>
      <c r="I32" s="2" t="str">
        <f>IF(C34=0,, IF(C34&gt;E34,B32,F32))</f>
        <v>Laura Piros</v>
      </c>
    </row>
    <row r="33">
      <c r="C33" s="218">
        <v>149.0</v>
      </c>
      <c r="D33" s="218" t="s">
        <v>2590</v>
      </c>
      <c r="E33" s="218">
        <v>146.0</v>
      </c>
    </row>
    <row r="34">
      <c r="C34" s="219">
        <f>IF(C6="","",SUM(C32:C33))</f>
        <v>369</v>
      </c>
      <c r="D34" s="218" t="s">
        <v>2590</v>
      </c>
      <c r="E34" s="219">
        <f>IF(C6="","",SUM(E32:E33))</f>
        <v>382</v>
      </c>
    </row>
    <row r="35">
      <c r="C35" s="50"/>
      <c r="D35" s="50"/>
      <c r="E35" s="50"/>
    </row>
    <row r="36">
      <c r="C36" s="50"/>
      <c r="D36" s="50"/>
      <c r="E36" s="50"/>
    </row>
    <row r="37">
      <c r="C37" s="50"/>
      <c r="D37" s="50"/>
      <c r="E37" s="50"/>
    </row>
    <row r="38">
      <c r="C38" s="50"/>
      <c r="D38" s="50"/>
      <c r="E38" s="50"/>
    </row>
    <row r="39">
      <c r="C39" s="50"/>
      <c r="D39" s="50"/>
      <c r="E39" s="50"/>
    </row>
    <row r="40">
      <c r="C40" s="50"/>
      <c r="D40" s="50"/>
      <c r="E40" s="50"/>
    </row>
    <row r="41">
      <c r="C41" s="50"/>
      <c r="D41" s="50"/>
      <c r="E41" s="50"/>
    </row>
    <row r="42">
      <c r="C42" s="50"/>
      <c r="D42" s="50"/>
      <c r="E42" s="50"/>
    </row>
    <row r="43">
      <c r="C43" s="50"/>
      <c r="D43" s="50"/>
      <c r="E43" s="50"/>
    </row>
    <row r="44">
      <c r="C44" s="50"/>
      <c r="D44" s="50"/>
      <c r="E44" s="50"/>
    </row>
    <row r="45">
      <c r="C45" s="50"/>
      <c r="D45" s="50"/>
      <c r="E45" s="50"/>
    </row>
    <row r="46">
      <c r="C46" s="50"/>
      <c r="D46" s="50"/>
      <c r="E46" s="50"/>
    </row>
    <row r="47">
      <c r="C47" s="50"/>
      <c r="D47" s="50"/>
      <c r="E47" s="50"/>
    </row>
    <row r="48">
      <c r="C48" s="50"/>
      <c r="D48" s="50"/>
      <c r="E48" s="50"/>
    </row>
    <row r="49">
      <c r="C49" s="50"/>
      <c r="D49" s="50"/>
      <c r="E49" s="50"/>
    </row>
    <row r="50">
      <c r="C50" s="50"/>
      <c r="D50" s="50"/>
      <c r="E50" s="50"/>
    </row>
    <row r="51">
      <c r="C51" s="50"/>
      <c r="D51" s="50"/>
      <c r="E51" s="50"/>
    </row>
    <row r="52">
      <c r="C52" s="50"/>
      <c r="D52" s="50"/>
      <c r="E52" s="50"/>
    </row>
    <row r="53">
      <c r="C53" s="50"/>
      <c r="D53" s="50"/>
      <c r="E53" s="50"/>
    </row>
    <row r="54">
      <c r="C54" s="50"/>
      <c r="D54" s="50"/>
      <c r="E54" s="50"/>
    </row>
    <row r="55">
      <c r="C55" s="50"/>
      <c r="D55" s="50"/>
      <c r="E55" s="50"/>
    </row>
    <row r="56">
      <c r="C56" s="50"/>
      <c r="D56" s="50"/>
      <c r="E56" s="50"/>
    </row>
    <row r="57">
      <c r="C57" s="50"/>
      <c r="D57" s="50"/>
      <c r="E57" s="50"/>
    </row>
    <row r="58">
      <c r="C58" s="50"/>
      <c r="D58" s="50"/>
      <c r="E58" s="50"/>
    </row>
    <row r="59">
      <c r="C59" s="50"/>
      <c r="D59" s="50"/>
      <c r="E59" s="50"/>
    </row>
    <row r="60">
      <c r="C60" s="50"/>
      <c r="D60" s="50"/>
      <c r="E60" s="50"/>
    </row>
    <row r="61">
      <c r="C61" s="50"/>
      <c r="D61" s="50"/>
      <c r="E61" s="50"/>
    </row>
    <row r="62">
      <c r="C62" s="50"/>
      <c r="D62" s="50"/>
      <c r="E62" s="50"/>
    </row>
    <row r="63">
      <c r="C63" s="50"/>
      <c r="D63" s="50"/>
      <c r="E63" s="50"/>
    </row>
    <row r="64">
      <c r="C64" s="50"/>
      <c r="D64" s="50"/>
      <c r="E64" s="50"/>
    </row>
    <row r="65">
      <c r="C65" s="50"/>
      <c r="D65" s="50"/>
      <c r="E65" s="50"/>
    </row>
    <row r="66">
      <c r="C66" s="50"/>
      <c r="D66" s="50"/>
      <c r="E66" s="50"/>
    </row>
    <row r="67">
      <c r="C67" s="50"/>
      <c r="D67" s="50"/>
      <c r="E67" s="50"/>
    </row>
    <row r="68">
      <c r="C68" s="50"/>
      <c r="D68" s="50"/>
      <c r="E68" s="50"/>
    </row>
    <row r="69">
      <c r="C69" s="50"/>
      <c r="D69" s="50"/>
      <c r="E69" s="50"/>
    </row>
    <row r="70">
      <c r="C70" s="50"/>
      <c r="D70" s="50"/>
      <c r="E70" s="50"/>
    </row>
    <row r="71">
      <c r="C71" s="50"/>
      <c r="D71" s="50"/>
      <c r="E71" s="50"/>
    </row>
    <row r="72">
      <c r="C72" s="50"/>
      <c r="D72" s="50"/>
      <c r="E72" s="50"/>
    </row>
    <row r="73">
      <c r="C73" s="50"/>
      <c r="D73" s="50"/>
      <c r="E73" s="50"/>
    </row>
    <row r="74">
      <c r="C74" s="50"/>
      <c r="D74" s="50"/>
      <c r="E74" s="50"/>
    </row>
    <row r="75">
      <c r="C75" s="50"/>
      <c r="D75" s="50"/>
      <c r="E75" s="50"/>
    </row>
    <row r="76">
      <c r="C76" s="50"/>
      <c r="D76" s="50"/>
      <c r="E76" s="50"/>
    </row>
    <row r="77">
      <c r="C77" s="50"/>
      <c r="D77" s="50"/>
      <c r="E77" s="50"/>
    </row>
    <row r="78">
      <c r="C78" s="50"/>
      <c r="D78" s="50"/>
      <c r="E78" s="50"/>
    </row>
    <row r="79">
      <c r="C79" s="50"/>
      <c r="D79" s="50"/>
      <c r="E79" s="50"/>
    </row>
    <row r="80">
      <c r="C80" s="50"/>
      <c r="D80" s="50"/>
      <c r="E80" s="50"/>
    </row>
    <row r="81">
      <c r="C81" s="50"/>
      <c r="D81" s="50"/>
      <c r="E81" s="50"/>
    </row>
    <row r="82">
      <c r="C82" s="50"/>
      <c r="D82" s="50"/>
      <c r="E82" s="50"/>
    </row>
    <row r="83">
      <c r="C83" s="50"/>
      <c r="D83" s="50"/>
      <c r="E83" s="50"/>
    </row>
    <row r="84">
      <c r="C84" s="50"/>
      <c r="D84" s="50"/>
      <c r="E84" s="50"/>
    </row>
    <row r="85">
      <c r="C85" s="50"/>
      <c r="D85" s="50"/>
      <c r="E85" s="50"/>
    </row>
    <row r="86">
      <c r="C86" s="50"/>
      <c r="D86" s="50"/>
      <c r="E86" s="50"/>
    </row>
    <row r="87">
      <c r="C87" s="50"/>
      <c r="D87" s="50"/>
      <c r="E87" s="50"/>
    </row>
    <row r="88">
      <c r="C88" s="50"/>
      <c r="D88" s="50"/>
      <c r="E88" s="50"/>
    </row>
    <row r="89">
      <c r="C89" s="50"/>
      <c r="D89" s="50"/>
      <c r="E89" s="50"/>
    </row>
    <row r="90">
      <c r="C90" s="50"/>
      <c r="D90" s="50"/>
      <c r="E90" s="50"/>
    </row>
    <row r="91">
      <c r="C91" s="50"/>
      <c r="D91" s="50"/>
      <c r="E91" s="50"/>
    </row>
    <row r="92">
      <c r="C92" s="50"/>
      <c r="D92" s="50"/>
      <c r="E92" s="50"/>
    </row>
    <row r="93">
      <c r="C93" s="50"/>
      <c r="D93" s="50"/>
      <c r="E93" s="50"/>
    </row>
    <row r="94">
      <c r="C94" s="50"/>
      <c r="D94" s="50"/>
      <c r="E94" s="50"/>
    </row>
    <row r="95">
      <c r="C95" s="50"/>
      <c r="D95" s="50"/>
      <c r="E95" s="50"/>
    </row>
    <row r="96">
      <c r="C96" s="50"/>
      <c r="D96" s="50"/>
      <c r="E96" s="50"/>
    </row>
    <row r="97">
      <c r="C97" s="50"/>
      <c r="D97" s="50"/>
      <c r="E97" s="50"/>
    </row>
    <row r="98">
      <c r="C98" s="50"/>
      <c r="D98" s="50"/>
      <c r="E98" s="50"/>
    </row>
    <row r="99">
      <c r="C99" s="50"/>
      <c r="D99" s="50"/>
      <c r="E99" s="50"/>
    </row>
    <row r="100">
      <c r="C100" s="50"/>
      <c r="D100" s="50"/>
      <c r="E100" s="50"/>
    </row>
    <row r="101">
      <c r="C101" s="50"/>
      <c r="D101" s="50"/>
      <c r="E101" s="50"/>
    </row>
    <row r="102">
      <c r="C102" s="50"/>
      <c r="D102" s="50"/>
      <c r="E102" s="50"/>
    </row>
    <row r="103">
      <c r="C103" s="50"/>
      <c r="D103" s="50"/>
      <c r="E103" s="50"/>
    </row>
    <row r="104">
      <c r="C104" s="50"/>
      <c r="D104" s="50"/>
      <c r="E104" s="50"/>
    </row>
    <row r="105">
      <c r="C105" s="50"/>
      <c r="D105" s="50"/>
      <c r="E105" s="50"/>
    </row>
    <row r="106">
      <c r="C106" s="50"/>
      <c r="D106" s="50"/>
      <c r="E106" s="50"/>
    </row>
    <row r="107">
      <c r="C107" s="50"/>
      <c r="D107" s="50"/>
      <c r="E107" s="50"/>
    </row>
    <row r="108">
      <c r="C108" s="50"/>
      <c r="D108" s="50"/>
      <c r="E108" s="50"/>
    </row>
    <row r="109">
      <c r="C109" s="50"/>
      <c r="D109" s="50"/>
      <c r="E109" s="50"/>
    </row>
    <row r="110">
      <c r="C110" s="50"/>
      <c r="D110" s="50"/>
      <c r="E110" s="50"/>
    </row>
    <row r="111">
      <c r="C111" s="50"/>
      <c r="D111" s="50"/>
      <c r="E111" s="50"/>
    </row>
    <row r="112">
      <c r="C112" s="50"/>
      <c r="D112" s="50"/>
      <c r="E112" s="50"/>
    </row>
    <row r="113">
      <c r="C113" s="50"/>
      <c r="D113" s="50"/>
      <c r="E113" s="50"/>
    </row>
    <row r="114">
      <c r="C114" s="50"/>
      <c r="D114" s="50"/>
      <c r="E114" s="50"/>
    </row>
    <row r="115">
      <c r="C115" s="50"/>
      <c r="D115" s="50"/>
      <c r="E115" s="50"/>
    </row>
    <row r="116">
      <c r="C116" s="50"/>
      <c r="D116" s="50"/>
      <c r="E116" s="50"/>
    </row>
    <row r="117">
      <c r="C117" s="50"/>
      <c r="D117" s="50"/>
      <c r="E117" s="50"/>
    </row>
    <row r="118">
      <c r="C118" s="50"/>
      <c r="D118" s="50"/>
      <c r="E118" s="50"/>
    </row>
    <row r="119">
      <c r="C119" s="50"/>
      <c r="D119" s="50"/>
      <c r="E119" s="50"/>
    </row>
    <row r="120">
      <c r="C120" s="50"/>
      <c r="D120" s="50"/>
      <c r="E120" s="50"/>
    </row>
    <row r="121">
      <c r="C121" s="50"/>
      <c r="D121" s="50"/>
      <c r="E121" s="50"/>
    </row>
    <row r="122">
      <c r="C122" s="50"/>
      <c r="D122" s="50"/>
      <c r="E122" s="50"/>
    </row>
    <row r="123">
      <c r="C123" s="50"/>
      <c r="D123" s="50"/>
      <c r="E123" s="50"/>
    </row>
    <row r="124">
      <c r="C124" s="50"/>
      <c r="D124" s="50"/>
      <c r="E124" s="50"/>
    </row>
    <row r="125">
      <c r="C125" s="50"/>
      <c r="D125" s="50"/>
      <c r="E125" s="50"/>
    </row>
    <row r="126">
      <c r="C126" s="50"/>
      <c r="D126" s="50"/>
      <c r="E126" s="50"/>
    </row>
    <row r="127">
      <c r="C127" s="50"/>
      <c r="D127" s="50"/>
      <c r="E127" s="50"/>
    </row>
    <row r="128">
      <c r="C128" s="50"/>
      <c r="D128" s="50"/>
      <c r="E128" s="50"/>
    </row>
    <row r="129">
      <c r="C129" s="50"/>
      <c r="D129" s="50"/>
      <c r="E129" s="50"/>
    </row>
    <row r="130">
      <c r="C130" s="50"/>
      <c r="D130" s="50"/>
      <c r="E130" s="50"/>
    </row>
    <row r="131">
      <c r="C131" s="50"/>
      <c r="D131" s="50"/>
      <c r="E131" s="50"/>
    </row>
    <row r="132">
      <c r="C132" s="50"/>
      <c r="D132" s="50"/>
      <c r="E132" s="50"/>
    </row>
    <row r="133">
      <c r="C133" s="50"/>
      <c r="D133" s="50"/>
      <c r="E133" s="50"/>
    </row>
    <row r="134">
      <c r="C134" s="50"/>
      <c r="D134" s="50"/>
      <c r="E134" s="50"/>
    </row>
    <row r="135">
      <c r="C135" s="50"/>
      <c r="D135" s="50"/>
      <c r="E135" s="50"/>
    </row>
    <row r="136">
      <c r="C136" s="50"/>
      <c r="D136" s="50"/>
      <c r="E136" s="50"/>
    </row>
    <row r="137">
      <c r="C137" s="50"/>
      <c r="D137" s="50"/>
      <c r="E137" s="50"/>
    </row>
    <row r="138">
      <c r="C138" s="50"/>
      <c r="D138" s="50"/>
      <c r="E138" s="50"/>
    </row>
    <row r="139">
      <c r="C139" s="50"/>
      <c r="D139" s="50"/>
      <c r="E139" s="50"/>
    </row>
    <row r="140">
      <c r="C140" s="50"/>
      <c r="D140" s="50"/>
      <c r="E140" s="50"/>
    </row>
    <row r="141">
      <c r="C141" s="50"/>
      <c r="D141" s="50"/>
      <c r="E141" s="50"/>
    </row>
    <row r="142">
      <c r="C142" s="50"/>
      <c r="D142" s="50"/>
      <c r="E142" s="50"/>
    </row>
    <row r="143">
      <c r="C143" s="50"/>
      <c r="D143" s="50"/>
      <c r="E143" s="50"/>
    </row>
    <row r="144">
      <c r="C144" s="50"/>
      <c r="D144" s="50"/>
      <c r="E144" s="50"/>
    </row>
    <row r="145">
      <c r="C145" s="50"/>
      <c r="D145" s="50"/>
      <c r="E145" s="50"/>
    </row>
    <row r="146">
      <c r="C146" s="50"/>
      <c r="D146" s="50"/>
      <c r="E146" s="50"/>
    </row>
    <row r="147">
      <c r="C147" s="50"/>
      <c r="D147" s="50"/>
      <c r="E147" s="50"/>
    </row>
    <row r="148">
      <c r="C148" s="50"/>
      <c r="D148" s="50"/>
      <c r="E148" s="50"/>
    </row>
    <row r="149">
      <c r="C149" s="50"/>
      <c r="D149" s="50"/>
      <c r="E149" s="50"/>
    </row>
    <row r="150">
      <c r="C150" s="50"/>
      <c r="D150" s="50"/>
      <c r="E150" s="50"/>
    </row>
    <row r="151">
      <c r="C151" s="50"/>
      <c r="D151" s="50"/>
      <c r="E151" s="50"/>
    </row>
    <row r="152">
      <c r="C152" s="50"/>
      <c r="D152" s="50"/>
      <c r="E152" s="50"/>
    </row>
    <row r="153">
      <c r="C153" s="50"/>
      <c r="D153" s="50"/>
      <c r="E153" s="50"/>
    </row>
    <row r="154">
      <c r="C154" s="50"/>
      <c r="D154" s="50"/>
      <c r="E154" s="50"/>
    </row>
    <row r="155">
      <c r="C155" s="50"/>
      <c r="D155" s="50"/>
      <c r="E155" s="50"/>
    </row>
    <row r="156">
      <c r="C156" s="50"/>
      <c r="D156" s="50"/>
      <c r="E156" s="50"/>
    </row>
    <row r="157">
      <c r="C157" s="50"/>
      <c r="D157" s="50"/>
      <c r="E157" s="50"/>
    </row>
    <row r="158">
      <c r="C158" s="50"/>
      <c r="D158" s="50"/>
      <c r="E158" s="50"/>
    </row>
    <row r="159">
      <c r="C159" s="50"/>
      <c r="D159" s="50"/>
      <c r="E159" s="50"/>
    </row>
    <row r="160">
      <c r="C160" s="50"/>
      <c r="D160" s="50"/>
      <c r="E160" s="50"/>
    </row>
    <row r="161">
      <c r="C161" s="50"/>
      <c r="D161" s="50"/>
      <c r="E161" s="50"/>
    </row>
    <row r="162">
      <c r="C162" s="50"/>
      <c r="D162" s="50"/>
      <c r="E162" s="50"/>
    </row>
    <row r="163">
      <c r="C163" s="50"/>
      <c r="D163" s="50"/>
      <c r="E163" s="50"/>
    </row>
    <row r="164">
      <c r="C164" s="50"/>
      <c r="D164" s="50"/>
      <c r="E164" s="50"/>
    </row>
    <row r="165">
      <c r="C165" s="50"/>
      <c r="D165" s="50"/>
      <c r="E165" s="50"/>
    </row>
    <row r="166">
      <c r="C166" s="50"/>
      <c r="D166" s="50"/>
      <c r="E166" s="50"/>
    </row>
    <row r="167">
      <c r="C167" s="50"/>
      <c r="D167" s="50"/>
      <c r="E167" s="50"/>
    </row>
    <row r="168">
      <c r="C168" s="50"/>
      <c r="D168" s="50"/>
      <c r="E168" s="50"/>
    </row>
    <row r="169">
      <c r="C169" s="50"/>
      <c r="D169" s="50"/>
      <c r="E169" s="50"/>
    </row>
    <row r="170">
      <c r="C170" s="50"/>
      <c r="D170" s="50"/>
      <c r="E170" s="50"/>
    </row>
    <row r="171">
      <c r="C171" s="50"/>
      <c r="D171" s="50"/>
      <c r="E171" s="50"/>
    </row>
    <row r="172">
      <c r="C172" s="50"/>
      <c r="D172" s="50"/>
      <c r="E172" s="50"/>
    </row>
    <row r="173">
      <c r="C173" s="50"/>
      <c r="D173" s="50"/>
      <c r="E173" s="50"/>
    </row>
    <row r="174">
      <c r="C174" s="50"/>
      <c r="D174" s="50"/>
      <c r="E174" s="50"/>
    </row>
    <row r="175">
      <c r="C175" s="50"/>
      <c r="D175" s="50"/>
      <c r="E175" s="50"/>
    </row>
    <row r="176">
      <c r="C176" s="50"/>
      <c r="D176" s="50"/>
      <c r="E176" s="50"/>
    </row>
    <row r="177">
      <c r="C177" s="50"/>
      <c r="D177" s="50"/>
      <c r="E177" s="50"/>
    </row>
    <row r="178">
      <c r="C178" s="50"/>
      <c r="D178" s="50"/>
      <c r="E178" s="50"/>
    </row>
    <row r="179">
      <c r="C179" s="50"/>
      <c r="D179" s="50"/>
      <c r="E179" s="50"/>
    </row>
    <row r="180">
      <c r="C180" s="50"/>
      <c r="D180" s="50"/>
      <c r="E180" s="50"/>
    </row>
    <row r="181">
      <c r="C181" s="50"/>
      <c r="D181" s="50"/>
      <c r="E181" s="50"/>
    </row>
    <row r="182">
      <c r="C182" s="50"/>
      <c r="D182" s="50"/>
      <c r="E182" s="50"/>
    </row>
    <row r="183">
      <c r="C183" s="50"/>
      <c r="D183" s="50"/>
      <c r="E183" s="50"/>
    </row>
    <row r="184">
      <c r="C184" s="50"/>
      <c r="D184" s="50"/>
      <c r="E184" s="50"/>
    </row>
    <row r="185">
      <c r="C185" s="50"/>
      <c r="D185" s="50"/>
      <c r="E185" s="50"/>
    </row>
    <row r="186">
      <c r="C186" s="50"/>
      <c r="D186" s="50"/>
      <c r="E186" s="50"/>
    </row>
    <row r="187">
      <c r="C187" s="50"/>
      <c r="D187" s="50"/>
      <c r="E187" s="50"/>
    </row>
    <row r="188">
      <c r="C188" s="50"/>
      <c r="D188" s="50"/>
      <c r="E188" s="50"/>
    </row>
    <row r="189">
      <c r="C189" s="50"/>
      <c r="D189" s="50"/>
      <c r="E189" s="50"/>
    </row>
    <row r="190">
      <c r="C190" s="50"/>
      <c r="D190" s="50"/>
      <c r="E190" s="50"/>
    </row>
    <row r="191">
      <c r="C191" s="50"/>
      <c r="D191" s="50"/>
      <c r="E191" s="50"/>
    </row>
    <row r="192">
      <c r="C192" s="50"/>
      <c r="D192" s="50"/>
      <c r="E192" s="50"/>
    </row>
    <row r="193">
      <c r="C193" s="50"/>
      <c r="D193" s="50"/>
      <c r="E193" s="50"/>
    </row>
    <row r="194">
      <c r="C194" s="50"/>
      <c r="D194" s="50"/>
      <c r="E194" s="50"/>
    </row>
    <row r="195">
      <c r="C195" s="50"/>
      <c r="D195" s="50"/>
      <c r="E195" s="50"/>
    </row>
    <row r="196">
      <c r="C196" s="50"/>
      <c r="D196" s="50"/>
      <c r="E196" s="50"/>
    </row>
    <row r="197">
      <c r="C197" s="50"/>
      <c r="D197" s="50"/>
      <c r="E197" s="50"/>
    </row>
    <row r="198">
      <c r="C198" s="50"/>
      <c r="D198" s="50"/>
      <c r="E198" s="50"/>
    </row>
    <row r="199">
      <c r="C199" s="50"/>
      <c r="D199" s="50"/>
      <c r="E199" s="50"/>
    </row>
    <row r="200">
      <c r="C200" s="50"/>
      <c r="D200" s="50"/>
      <c r="E200" s="50"/>
    </row>
    <row r="201">
      <c r="C201" s="50"/>
      <c r="D201" s="50"/>
      <c r="E201" s="50"/>
    </row>
    <row r="202">
      <c r="C202" s="50"/>
      <c r="D202" s="50"/>
      <c r="E202" s="50"/>
    </row>
    <row r="203">
      <c r="C203" s="50"/>
      <c r="D203" s="50"/>
      <c r="E203" s="50"/>
    </row>
    <row r="204">
      <c r="C204" s="50"/>
      <c r="D204" s="50"/>
      <c r="E204" s="50"/>
    </row>
    <row r="205">
      <c r="C205" s="50"/>
      <c r="D205" s="50"/>
      <c r="E205" s="50"/>
    </row>
    <row r="206">
      <c r="C206" s="50"/>
      <c r="D206" s="50"/>
      <c r="E206" s="50"/>
    </row>
    <row r="207">
      <c r="C207" s="50"/>
      <c r="D207" s="50"/>
      <c r="E207" s="50"/>
    </row>
    <row r="208">
      <c r="C208" s="50"/>
      <c r="D208" s="50"/>
      <c r="E208" s="50"/>
    </row>
    <row r="209">
      <c r="C209" s="50"/>
      <c r="D209" s="50"/>
      <c r="E209" s="50"/>
    </row>
    <row r="210">
      <c r="C210" s="50"/>
      <c r="D210" s="50"/>
      <c r="E210" s="50"/>
    </row>
    <row r="211">
      <c r="C211" s="50"/>
      <c r="D211" s="50"/>
      <c r="E211" s="50"/>
    </row>
    <row r="212">
      <c r="C212" s="50"/>
      <c r="D212" s="50"/>
      <c r="E212" s="50"/>
    </row>
    <row r="213">
      <c r="C213" s="50"/>
      <c r="D213" s="50"/>
      <c r="E213" s="50"/>
    </row>
    <row r="214">
      <c r="C214" s="50"/>
      <c r="D214" s="50"/>
      <c r="E214" s="50"/>
    </row>
    <row r="215">
      <c r="C215" s="50"/>
      <c r="D215" s="50"/>
      <c r="E215" s="50"/>
    </row>
    <row r="216">
      <c r="C216" s="50"/>
      <c r="D216" s="50"/>
      <c r="E216" s="50"/>
    </row>
    <row r="217">
      <c r="C217" s="50"/>
      <c r="D217" s="50"/>
      <c r="E217" s="50"/>
    </row>
    <row r="218">
      <c r="C218" s="50"/>
      <c r="D218" s="50"/>
      <c r="E218" s="50"/>
    </row>
    <row r="219">
      <c r="C219" s="50"/>
      <c r="D219" s="50"/>
      <c r="E219" s="50"/>
    </row>
    <row r="220">
      <c r="C220" s="50"/>
      <c r="D220" s="50"/>
      <c r="E220" s="50"/>
    </row>
    <row r="221">
      <c r="C221" s="50"/>
      <c r="D221" s="50"/>
      <c r="E221" s="50"/>
    </row>
    <row r="222">
      <c r="C222" s="50"/>
      <c r="D222" s="50"/>
      <c r="E222" s="50"/>
    </row>
    <row r="223">
      <c r="C223" s="50"/>
      <c r="D223" s="50"/>
      <c r="E223" s="50"/>
    </row>
    <row r="224">
      <c r="C224" s="50"/>
      <c r="D224" s="50"/>
      <c r="E224" s="50"/>
    </row>
    <row r="225">
      <c r="C225" s="50"/>
      <c r="D225" s="50"/>
      <c r="E225" s="50"/>
    </row>
    <row r="226">
      <c r="C226" s="50"/>
      <c r="D226" s="50"/>
      <c r="E226" s="50"/>
    </row>
    <row r="227">
      <c r="C227" s="50"/>
      <c r="D227" s="50"/>
      <c r="E227" s="50"/>
    </row>
    <row r="228">
      <c r="C228" s="50"/>
      <c r="D228" s="50"/>
      <c r="E228" s="50"/>
    </row>
    <row r="229">
      <c r="C229" s="50"/>
      <c r="D229" s="50"/>
      <c r="E229" s="50"/>
    </row>
    <row r="230">
      <c r="C230" s="50"/>
      <c r="D230" s="50"/>
      <c r="E230" s="50"/>
    </row>
    <row r="231">
      <c r="C231" s="50"/>
      <c r="D231" s="50"/>
      <c r="E231" s="50"/>
    </row>
    <row r="232">
      <c r="C232" s="50"/>
      <c r="D232" s="50"/>
      <c r="E232" s="50"/>
    </row>
    <row r="233">
      <c r="C233" s="50"/>
      <c r="D233" s="50"/>
      <c r="E233" s="50"/>
    </row>
    <row r="234">
      <c r="C234" s="50"/>
      <c r="D234" s="50"/>
      <c r="E234" s="50"/>
    </row>
    <row r="235">
      <c r="C235" s="50"/>
      <c r="D235" s="50"/>
      <c r="E235" s="50"/>
    </row>
    <row r="236">
      <c r="C236" s="50"/>
      <c r="D236" s="50"/>
      <c r="E236" s="50"/>
    </row>
    <row r="237">
      <c r="C237" s="50"/>
      <c r="D237" s="50"/>
      <c r="E237" s="50"/>
    </row>
    <row r="238">
      <c r="C238" s="50"/>
      <c r="D238" s="50"/>
      <c r="E238" s="50"/>
    </row>
    <row r="239">
      <c r="C239" s="50"/>
      <c r="D239" s="50"/>
      <c r="E239" s="50"/>
    </row>
    <row r="240">
      <c r="C240" s="50"/>
      <c r="D240" s="50"/>
      <c r="E240" s="50"/>
    </row>
    <row r="241">
      <c r="C241" s="50"/>
      <c r="D241" s="50"/>
      <c r="E241" s="50"/>
    </row>
    <row r="242">
      <c r="C242" s="50"/>
      <c r="D242" s="50"/>
      <c r="E242" s="50"/>
    </row>
    <row r="243">
      <c r="C243" s="50"/>
      <c r="D243" s="50"/>
      <c r="E243" s="50"/>
    </row>
    <row r="244">
      <c r="C244" s="50"/>
      <c r="D244" s="50"/>
      <c r="E244" s="50"/>
    </row>
    <row r="245">
      <c r="C245" s="50"/>
      <c r="D245" s="50"/>
      <c r="E245" s="50"/>
    </row>
    <row r="246">
      <c r="C246" s="50"/>
      <c r="D246" s="50"/>
      <c r="E246" s="50"/>
    </row>
    <row r="247">
      <c r="C247" s="50"/>
      <c r="D247" s="50"/>
      <c r="E247" s="50"/>
    </row>
    <row r="248">
      <c r="C248" s="50"/>
      <c r="D248" s="50"/>
      <c r="E248" s="50"/>
    </row>
    <row r="249">
      <c r="C249" s="50"/>
      <c r="D249" s="50"/>
      <c r="E249" s="50"/>
    </row>
    <row r="250">
      <c r="C250" s="50"/>
      <c r="D250" s="50"/>
      <c r="E250" s="50"/>
    </row>
    <row r="251">
      <c r="C251" s="50"/>
      <c r="D251" s="50"/>
      <c r="E251" s="50"/>
    </row>
    <row r="252">
      <c r="C252" s="50"/>
      <c r="D252" s="50"/>
      <c r="E252" s="50"/>
    </row>
    <row r="253">
      <c r="C253" s="50"/>
      <c r="D253" s="50"/>
      <c r="E253" s="50"/>
    </row>
    <row r="254">
      <c r="C254" s="50"/>
      <c r="D254" s="50"/>
      <c r="E254" s="50"/>
    </row>
    <row r="255">
      <c r="C255" s="50"/>
      <c r="D255" s="50"/>
      <c r="E255" s="50"/>
    </row>
    <row r="256">
      <c r="C256" s="50"/>
      <c r="D256" s="50"/>
      <c r="E256" s="50"/>
    </row>
    <row r="257">
      <c r="C257" s="50"/>
      <c r="D257" s="50"/>
      <c r="E257" s="50"/>
    </row>
    <row r="258">
      <c r="C258" s="50"/>
      <c r="D258" s="50"/>
      <c r="E258" s="50"/>
    </row>
    <row r="259">
      <c r="C259" s="50"/>
      <c r="D259" s="50"/>
      <c r="E259" s="50"/>
    </row>
    <row r="260">
      <c r="C260" s="50"/>
      <c r="D260" s="50"/>
      <c r="E260" s="50"/>
    </row>
    <row r="261">
      <c r="C261" s="50"/>
      <c r="D261" s="50"/>
      <c r="E261" s="50"/>
    </row>
    <row r="262">
      <c r="C262" s="50"/>
      <c r="D262" s="50"/>
      <c r="E262" s="50"/>
    </row>
    <row r="263">
      <c r="C263" s="50"/>
      <c r="D263" s="50"/>
      <c r="E263" s="50"/>
    </row>
    <row r="264">
      <c r="C264" s="50"/>
      <c r="D264" s="50"/>
      <c r="E264" s="50"/>
    </row>
    <row r="265">
      <c r="C265" s="50"/>
      <c r="D265" s="50"/>
      <c r="E265" s="50"/>
    </row>
    <row r="266">
      <c r="C266" s="50"/>
      <c r="D266" s="50"/>
      <c r="E266" s="50"/>
    </row>
    <row r="267">
      <c r="C267" s="50"/>
      <c r="D267" s="50"/>
      <c r="E267" s="50"/>
    </row>
    <row r="268">
      <c r="C268" s="50"/>
      <c r="D268" s="50"/>
      <c r="E268" s="50"/>
    </row>
    <row r="269">
      <c r="C269" s="50"/>
      <c r="D269" s="50"/>
      <c r="E269" s="50"/>
    </row>
    <row r="270">
      <c r="C270" s="50"/>
      <c r="D270" s="50"/>
      <c r="E270" s="50"/>
    </row>
    <row r="271">
      <c r="C271" s="50"/>
      <c r="D271" s="50"/>
      <c r="E271" s="50"/>
    </row>
    <row r="272">
      <c r="C272" s="50"/>
      <c r="D272" s="50"/>
      <c r="E272" s="50"/>
    </row>
    <row r="273">
      <c r="C273" s="50"/>
      <c r="D273" s="50"/>
      <c r="E273" s="50"/>
    </row>
    <row r="274">
      <c r="C274" s="50"/>
      <c r="D274" s="50"/>
      <c r="E274" s="50"/>
    </row>
    <row r="275">
      <c r="C275" s="50"/>
      <c r="D275" s="50"/>
      <c r="E275" s="50"/>
    </row>
    <row r="276">
      <c r="C276" s="50"/>
      <c r="D276" s="50"/>
      <c r="E276" s="50"/>
    </row>
    <row r="277">
      <c r="C277" s="50"/>
      <c r="D277" s="50"/>
      <c r="E277" s="50"/>
    </row>
    <row r="278">
      <c r="C278" s="50"/>
      <c r="D278" s="50"/>
      <c r="E278" s="50"/>
    </row>
    <row r="279">
      <c r="C279" s="50"/>
      <c r="D279" s="50"/>
      <c r="E279" s="50"/>
    </row>
    <row r="280">
      <c r="C280" s="50"/>
      <c r="D280" s="50"/>
      <c r="E280" s="50"/>
    </row>
    <row r="281">
      <c r="C281" s="50"/>
      <c r="D281" s="50"/>
      <c r="E281" s="50"/>
    </row>
    <row r="282">
      <c r="C282" s="50"/>
      <c r="D282" s="50"/>
      <c r="E282" s="50"/>
    </row>
    <row r="283">
      <c r="C283" s="50"/>
      <c r="D283" s="50"/>
      <c r="E283" s="50"/>
    </row>
    <row r="284">
      <c r="C284" s="50"/>
      <c r="D284" s="50"/>
      <c r="E284" s="50"/>
    </row>
    <row r="285">
      <c r="C285" s="50"/>
      <c r="D285" s="50"/>
      <c r="E285" s="50"/>
    </row>
    <row r="286">
      <c r="C286" s="50"/>
      <c r="D286" s="50"/>
      <c r="E286" s="50"/>
    </row>
    <row r="287">
      <c r="C287" s="50"/>
      <c r="D287" s="50"/>
      <c r="E287" s="50"/>
    </row>
    <row r="288">
      <c r="C288" s="50"/>
      <c r="D288" s="50"/>
      <c r="E288" s="50"/>
    </row>
    <row r="289">
      <c r="C289" s="50"/>
      <c r="D289" s="50"/>
      <c r="E289" s="50"/>
    </row>
    <row r="290">
      <c r="C290" s="50"/>
      <c r="D290" s="50"/>
      <c r="E290" s="50"/>
    </row>
    <row r="291">
      <c r="C291" s="50"/>
      <c r="D291" s="50"/>
      <c r="E291" s="50"/>
    </row>
    <row r="292">
      <c r="C292" s="50"/>
      <c r="D292" s="50"/>
      <c r="E292" s="50"/>
    </row>
    <row r="293">
      <c r="C293" s="50"/>
      <c r="D293" s="50"/>
      <c r="E293" s="50"/>
    </row>
    <row r="294">
      <c r="C294" s="50"/>
      <c r="D294" s="50"/>
      <c r="E294" s="50"/>
    </row>
    <row r="295">
      <c r="C295" s="50"/>
      <c r="D295" s="50"/>
      <c r="E295" s="50"/>
    </row>
    <row r="296">
      <c r="C296" s="50"/>
      <c r="D296" s="50"/>
      <c r="E296" s="50"/>
    </row>
    <row r="297">
      <c r="C297" s="50"/>
      <c r="D297" s="50"/>
      <c r="E297" s="50"/>
    </row>
    <row r="298">
      <c r="C298" s="50"/>
      <c r="D298" s="50"/>
      <c r="E298" s="50"/>
    </row>
    <row r="299">
      <c r="C299" s="50"/>
      <c r="D299" s="50"/>
      <c r="E299" s="50"/>
    </row>
    <row r="300">
      <c r="C300" s="50"/>
      <c r="D300" s="50"/>
      <c r="E300" s="50"/>
    </row>
    <row r="301">
      <c r="C301" s="50"/>
      <c r="D301" s="50"/>
      <c r="E301" s="50"/>
    </row>
    <row r="302">
      <c r="C302" s="50"/>
      <c r="D302" s="50"/>
      <c r="E302" s="50"/>
    </row>
    <row r="303">
      <c r="C303" s="50"/>
      <c r="D303" s="50"/>
      <c r="E303" s="50"/>
    </row>
    <row r="304">
      <c r="C304" s="50"/>
      <c r="D304" s="50"/>
      <c r="E304" s="50"/>
    </row>
    <row r="305">
      <c r="C305" s="50"/>
      <c r="D305" s="50"/>
      <c r="E305" s="50"/>
    </row>
    <row r="306">
      <c r="C306" s="50"/>
      <c r="D306" s="50"/>
      <c r="E306" s="50"/>
    </row>
    <row r="307">
      <c r="C307" s="50"/>
      <c r="D307" s="50"/>
      <c r="E307" s="50"/>
    </row>
    <row r="308">
      <c r="C308" s="50"/>
      <c r="D308" s="50"/>
      <c r="E308" s="50"/>
    </row>
    <row r="309">
      <c r="C309" s="50"/>
      <c r="D309" s="50"/>
      <c r="E309" s="50"/>
    </row>
    <row r="310">
      <c r="C310" s="50"/>
      <c r="D310" s="50"/>
      <c r="E310" s="50"/>
    </row>
    <row r="311">
      <c r="C311" s="50"/>
      <c r="D311" s="50"/>
      <c r="E311" s="50"/>
    </row>
    <row r="312">
      <c r="C312" s="50"/>
      <c r="D312" s="50"/>
      <c r="E312" s="50"/>
    </row>
    <row r="313">
      <c r="C313" s="50"/>
      <c r="D313" s="50"/>
      <c r="E313" s="50"/>
    </row>
    <row r="314">
      <c r="C314" s="50"/>
      <c r="D314" s="50"/>
      <c r="E314" s="50"/>
    </row>
    <row r="315">
      <c r="C315" s="50"/>
      <c r="D315" s="50"/>
      <c r="E315" s="50"/>
    </row>
    <row r="316">
      <c r="C316" s="50"/>
      <c r="D316" s="50"/>
      <c r="E316" s="50"/>
    </row>
    <row r="317">
      <c r="C317" s="50"/>
      <c r="D317" s="50"/>
      <c r="E317" s="50"/>
    </row>
    <row r="318">
      <c r="C318" s="50"/>
      <c r="D318" s="50"/>
      <c r="E318" s="50"/>
    </row>
    <row r="319">
      <c r="C319" s="50"/>
      <c r="D319" s="50"/>
      <c r="E319" s="50"/>
    </row>
    <row r="320">
      <c r="C320" s="50"/>
      <c r="D320" s="50"/>
      <c r="E320" s="50"/>
    </row>
    <row r="321">
      <c r="C321" s="50"/>
      <c r="D321" s="50"/>
      <c r="E321" s="50"/>
    </row>
    <row r="322">
      <c r="C322" s="50"/>
      <c r="D322" s="50"/>
      <c r="E322" s="50"/>
    </row>
    <row r="323">
      <c r="C323" s="50"/>
      <c r="D323" s="50"/>
      <c r="E323" s="50"/>
    </row>
    <row r="324">
      <c r="C324" s="50"/>
      <c r="D324" s="50"/>
      <c r="E324" s="50"/>
    </row>
    <row r="325">
      <c r="C325" s="50"/>
      <c r="D325" s="50"/>
      <c r="E325" s="50"/>
    </row>
    <row r="326">
      <c r="C326" s="50"/>
      <c r="D326" s="50"/>
      <c r="E326" s="50"/>
    </row>
    <row r="327">
      <c r="C327" s="50"/>
      <c r="D327" s="50"/>
      <c r="E327" s="50"/>
    </row>
    <row r="328">
      <c r="C328" s="50"/>
      <c r="D328" s="50"/>
      <c r="E328" s="50"/>
    </row>
    <row r="329">
      <c r="C329" s="50"/>
      <c r="D329" s="50"/>
      <c r="E329" s="50"/>
    </row>
    <row r="330">
      <c r="C330" s="50"/>
      <c r="D330" s="50"/>
      <c r="E330" s="50"/>
    </row>
    <row r="331">
      <c r="C331" s="50"/>
      <c r="D331" s="50"/>
      <c r="E331" s="50"/>
    </row>
    <row r="332">
      <c r="C332" s="50"/>
      <c r="D332" s="50"/>
      <c r="E332" s="50"/>
    </row>
    <row r="333">
      <c r="C333" s="50"/>
      <c r="D333" s="50"/>
      <c r="E333" s="50"/>
    </row>
    <row r="334">
      <c r="C334" s="50"/>
      <c r="D334" s="50"/>
      <c r="E334" s="50"/>
    </row>
    <row r="335">
      <c r="C335" s="50"/>
      <c r="D335" s="50"/>
      <c r="E335" s="50"/>
    </row>
    <row r="336">
      <c r="C336" s="50"/>
      <c r="D336" s="50"/>
      <c r="E336" s="50"/>
    </row>
    <row r="337">
      <c r="C337" s="50"/>
      <c r="D337" s="50"/>
      <c r="E337" s="50"/>
    </row>
    <row r="338">
      <c r="C338" s="50"/>
      <c r="D338" s="50"/>
      <c r="E338" s="50"/>
    </row>
    <row r="339">
      <c r="C339" s="50"/>
      <c r="D339" s="50"/>
      <c r="E339" s="50"/>
    </row>
    <row r="340">
      <c r="C340" s="50"/>
      <c r="D340" s="50"/>
      <c r="E340" s="50"/>
    </row>
    <row r="341">
      <c r="C341" s="50"/>
      <c r="D341" s="50"/>
      <c r="E341" s="50"/>
    </row>
    <row r="342">
      <c r="C342" s="50"/>
      <c r="D342" s="50"/>
      <c r="E342" s="50"/>
    </row>
    <row r="343">
      <c r="C343" s="50"/>
      <c r="D343" s="50"/>
      <c r="E343" s="50"/>
    </row>
    <row r="344">
      <c r="C344" s="50"/>
      <c r="D344" s="50"/>
      <c r="E344" s="50"/>
    </row>
    <row r="345">
      <c r="C345" s="50"/>
      <c r="D345" s="50"/>
      <c r="E345" s="50"/>
    </row>
    <row r="346">
      <c r="C346" s="50"/>
      <c r="D346" s="50"/>
      <c r="E346" s="50"/>
    </row>
    <row r="347">
      <c r="C347" s="50"/>
      <c r="D347" s="50"/>
      <c r="E347" s="50"/>
    </row>
    <row r="348">
      <c r="C348" s="50"/>
      <c r="D348" s="50"/>
      <c r="E348" s="50"/>
    </row>
    <row r="349">
      <c r="C349" s="50"/>
      <c r="D349" s="50"/>
      <c r="E349" s="50"/>
    </row>
    <row r="350">
      <c r="C350" s="50"/>
      <c r="D350" s="50"/>
      <c r="E350" s="50"/>
    </row>
    <row r="351">
      <c r="C351" s="50"/>
      <c r="D351" s="50"/>
      <c r="E351" s="50"/>
    </row>
    <row r="352">
      <c r="C352" s="50"/>
      <c r="D352" s="50"/>
      <c r="E352" s="50"/>
    </row>
    <row r="353">
      <c r="C353" s="50"/>
      <c r="D353" s="50"/>
      <c r="E353" s="50"/>
    </row>
    <row r="354">
      <c r="C354" s="50"/>
      <c r="D354" s="50"/>
      <c r="E354" s="50"/>
    </row>
    <row r="355">
      <c r="C355" s="50"/>
      <c r="D355" s="50"/>
      <c r="E355" s="50"/>
    </row>
    <row r="356">
      <c r="C356" s="50"/>
      <c r="D356" s="50"/>
      <c r="E356" s="50"/>
    </row>
    <row r="357">
      <c r="C357" s="50"/>
      <c r="D357" s="50"/>
      <c r="E357" s="50"/>
    </row>
    <row r="358">
      <c r="C358" s="50"/>
      <c r="D358" s="50"/>
      <c r="E358" s="50"/>
    </row>
    <row r="359">
      <c r="C359" s="50"/>
      <c r="D359" s="50"/>
      <c r="E359" s="50"/>
    </row>
    <row r="360">
      <c r="C360" s="50"/>
      <c r="D360" s="50"/>
      <c r="E360" s="50"/>
    </row>
    <row r="361">
      <c r="C361" s="50"/>
      <c r="D361" s="50"/>
      <c r="E361" s="50"/>
    </row>
    <row r="362">
      <c r="C362" s="50"/>
      <c r="D362" s="50"/>
      <c r="E362" s="50"/>
    </row>
    <row r="363">
      <c r="C363" s="50"/>
      <c r="D363" s="50"/>
      <c r="E363" s="50"/>
    </row>
    <row r="364">
      <c r="C364" s="50"/>
      <c r="D364" s="50"/>
      <c r="E364" s="50"/>
    </row>
    <row r="365">
      <c r="C365" s="50"/>
      <c r="D365" s="50"/>
      <c r="E365" s="50"/>
    </row>
    <row r="366">
      <c r="C366" s="50"/>
      <c r="D366" s="50"/>
      <c r="E366" s="50"/>
    </row>
    <row r="367">
      <c r="C367" s="50"/>
      <c r="D367" s="50"/>
      <c r="E367" s="50"/>
    </row>
    <row r="368">
      <c r="C368" s="50"/>
      <c r="D368" s="50"/>
      <c r="E368" s="50"/>
    </row>
    <row r="369">
      <c r="C369" s="50"/>
      <c r="D369" s="50"/>
      <c r="E369" s="50"/>
    </row>
    <row r="370">
      <c r="C370" s="50"/>
      <c r="D370" s="50"/>
      <c r="E370" s="50"/>
    </row>
    <row r="371">
      <c r="C371" s="50"/>
      <c r="D371" s="50"/>
      <c r="E371" s="50"/>
    </row>
    <row r="372">
      <c r="C372" s="50"/>
      <c r="D372" s="50"/>
      <c r="E372" s="50"/>
    </row>
    <row r="373">
      <c r="C373" s="50"/>
      <c r="D373" s="50"/>
      <c r="E373" s="50"/>
    </row>
    <row r="374">
      <c r="C374" s="50"/>
      <c r="D374" s="50"/>
      <c r="E374" s="50"/>
    </row>
    <row r="375">
      <c r="C375" s="50"/>
      <c r="D375" s="50"/>
      <c r="E375" s="50"/>
    </row>
    <row r="376">
      <c r="C376" s="50"/>
      <c r="D376" s="50"/>
      <c r="E376" s="50"/>
    </row>
    <row r="377">
      <c r="C377" s="50"/>
      <c r="D377" s="50"/>
      <c r="E377" s="50"/>
    </row>
    <row r="378">
      <c r="C378" s="50"/>
      <c r="D378" s="50"/>
      <c r="E378" s="50"/>
    </row>
    <row r="379">
      <c r="C379" s="50"/>
      <c r="D379" s="50"/>
      <c r="E379" s="50"/>
    </row>
    <row r="380">
      <c r="C380" s="50"/>
      <c r="D380" s="50"/>
      <c r="E380" s="50"/>
    </row>
    <row r="381">
      <c r="C381" s="50"/>
      <c r="D381" s="50"/>
      <c r="E381" s="50"/>
    </row>
    <row r="382">
      <c r="C382" s="50"/>
      <c r="D382" s="50"/>
      <c r="E382" s="50"/>
    </row>
    <row r="383">
      <c r="C383" s="50"/>
      <c r="D383" s="50"/>
      <c r="E383" s="50"/>
    </row>
    <row r="384">
      <c r="C384" s="50"/>
      <c r="D384" s="50"/>
      <c r="E384" s="50"/>
    </row>
    <row r="385">
      <c r="C385" s="50"/>
      <c r="D385" s="50"/>
      <c r="E385" s="50"/>
    </row>
    <row r="386">
      <c r="C386" s="50"/>
      <c r="D386" s="50"/>
      <c r="E386" s="50"/>
    </row>
    <row r="387">
      <c r="C387" s="50"/>
      <c r="D387" s="50"/>
      <c r="E387" s="50"/>
    </row>
    <row r="388">
      <c r="C388" s="50"/>
      <c r="D388" s="50"/>
      <c r="E388" s="50"/>
    </row>
    <row r="389">
      <c r="C389" s="50"/>
      <c r="D389" s="50"/>
      <c r="E389" s="50"/>
    </row>
    <row r="390">
      <c r="C390" s="50"/>
      <c r="D390" s="50"/>
      <c r="E390" s="50"/>
    </row>
    <row r="391">
      <c r="C391" s="50"/>
      <c r="D391" s="50"/>
      <c r="E391" s="50"/>
    </row>
    <row r="392">
      <c r="C392" s="50"/>
      <c r="D392" s="50"/>
      <c r="E392" s="50"/>
    </row>
    <row r="393">
      <c r="C393" s="50"/>
      <c r="D393" s="50"/>
      <c r="E393" s="50"/>
    </row>
    <row r="394">
      <c r="C394" s="50"/>
      <c r="D394" s="50"/>
      <c r="E394" s="50"/>
    </row>
    <row r="395">
      <c r="C395" s="50"/>
      <c r="D395" s="50"/>
      <c r="E395" s="50"/>
    </row>
    <row r="396">
      <c r="C396" s="50"/>
      <c r="D396" s="50"/>
      <c r="E396" s="50"/>
    </row>
    <row r="397">
      <c r="C397" s="50"/>
      <c r="D397" s="50"/>
      <c r="E397" s="50"/>
    </row>
    <row r="398">
      <c r="C398" s="50"/>
      <c r="D398" s="50"/>
      <c r="E398" s="50"/>
    </row>
    <row r="399">
      <c r="C399" s="50"/>
      <c r="D399" s="50"/>
      <c r="E399" s="50"/>
    </row>
    <row r="400">
      <c r="C400" s="50"/>
      <c r="D400" s="50"/>
      <c r="E400" s="50"/>
    </row>
    <row r="401">
      <c r="C401" s="50"/>
      <c r="D401" s="50"/>
      <c r="E401" s="50"/>
    </row>
    <row r="402">
      <c r="C402" s="50"/>
      <c r="D402" s="50"/>
      <c r="E402" s="50"/>
    </row>
    <row r="403">
      <c r="C403" s="50"/>
      <c r="D403" s="50"/>
      <c r="E403" s="50"/>
    </row>
    <row r="404">
      <c r="C404" s="50"/>
      <c r="D404" s="50"/>
      <c r="E404" s="50"/>
    </row>
    <row r="405">
      <c r="C405" s="50"/>
      <c r="D405" s="50"/>
      <c r="E405" s="50"/>
    </row>
    <row r="406">
      <c r="C406" s="50"/>
      <c r="D406" s="50"/>
      <c r="E406" s="50"/>
    </row>
    <row r="407">
      <c r="C407" s="50"/>
      <c r="D407" s="50"/>
      <c r="E407" s="50"/>
    </row>
    <row r="408">
      <c r="C408" s="50"/>
      <c r="D408" s="50"/>
      <c r="E408" s="50"/>
    </row>
    <row r="409">
      <c r="C409" s="50"/>
      <c r="D409" s="50"/>
      <c r="E409" s="50"/>
    </row>
    <row r="410">
      <c r="C410" s="50"/>
      <c r="D410" s="50"/>
      <c r="E410" s="50"/>
    </row>
    <row r="411">
      <c r="C411" s="50"/>
      <c r="D411" s="50"/>
      <c r="E411" s="50"/>
    </row>
    <row r="412">
      <c r="C412" s="50"/>
      <c r="D412" s="50"/>
      <c r="E412" s="50"/>
    </row>
    <row r="413">
      <c r="C413" s="50"/>
      <c r="D413" s="50"/>
      <c r="E413" s="50"/>
    </row>
    <row r="414">
      <c r="C414" s="50"/>
      <c r="D414" s="50"/>
      <c r="E414" s="50"/>
    </row>
    <row r="415">
      <c r="C415" s="50"/>
      <c r="D415" s="50"/>
      <c r="E415" s="50"/>
    </row>
    <row r="416">
      <c r="C416" s="50"/>
      <c r="D416" s="50"/>
      <c r="E416" s="50"/>
    </row>
    <row r="417">
      <c r="C417" s="50"/>
      <c r="D417" s="50"/>
      <c r="E417" s="50"/>
    </row>
    <row r="418">
      <c r="C418" s="50"/>
      <c r="D418" s="50"/>
      <c r="E418" s="50"/>
    </row>
    <row r="419">
      <c r="C419" s="50"/>
      <c r="D419" s="50"/>
      <c r="E419" s="50"/>
    </row>
    <row r="420">
      <c r="C420" s="50"/>
      <c r="D420" s="50"/>
      <c r="E420" s="50"/>
    </row>
    <row r="421">
      <c r="C421" s="50"/>
      <c r="D421" s="50"/>
      <c r="E421" s="50"/>
    </row>
    <row r="422">
      <c r="C422" s="50"/>
      <c r="D422" s="50"/>
      <c r="E422" s="50"/>
    </row>
    <row r="423">
      <c r="C423" s="50"/>
      <c r="D423" s="50"/>
      <c r="E423" s="50"/>
    </row>
    <row r="424">
      <c r="C424" s="50"/>
      <c r="D424" s="50"/>
      <c r="E424" s="50"/>
    </row>
    <row r="425">
      <c r="C425" s="50"/>
      <c r="D425" s="50"/>
      <c r="E425" s="50"/>
    </row>
    <row r="426">
      <c r="C426" s="50"/>
      <c r="D426" s="50"/>
      <c r="E426" s="50"/>
    </row>
    <row r="427">
      <c r="C427" s="50"/>
      <c r="D427" s="50"/>
      <c r="E427" s="50"/>
    </row>
    <row r="428">
      <c r="C428" s="50"/>
      <c r="D428" s="50"/>
      <c r="E428" s="50"/>
    </row>
    <row r="429">
      <c r="C429" s="50"/>
      <c r="D429" s="50"/>
      <c r="E429" s="50"/>
    </row>
    <row r="430">
      <c r="C430" s="50"/>
      <c r="D430" s="50"/>
      <c r="E430" s="50"/>
    </row>
    <row r="431">
      <c r="C431" s="50"/>
      <c r="D431" s="50"/>
      <c r="E431" s="50"/>
    </row>
    <row r="432">
      <c r="C432" s="50"/>
      <c r="D432" s="50"/>
      <c r="E432" s="50"/>
    </row>
    <row r="433">
      <c r="C433" s="50"/>
      <c r="D433" s="50"/>
      <c r="E433" s="50"/>
    </row>
    <row r="434">
      <c r="C434" s="50"/>
      <c r="D434" s="50"/>
      <c r="E434" s="50"/>
    </row>
    <row r="435">
      <c r="C435" s="50"/>
      <c r="D435" s="50"/>
      <c r="E435" s="50"/>
    </row>
    <row r="436">
      <c r="C436" s="50"/>
      <c r="D436" s="50"/>
      <c r="E436" s="50"/>
    </row>
    <row r="437">
      <c r="C437" s="50"/>
      <c r="D437" s="50"/>
      <c r="E437" s="50"/>
    </row>
    <row r="438">
      <c r="C438" s="50"/>
      <c r="D438" s="50"/>
      <c r="E438" s="50"/>
    </row>
    <row r="439">
      <c r="C439" s="50"/>
      <c r="D439" s="50"/>
      <c r="E439" s="50"/>
    </row>
    <row r="440">
      <c r="C440" s="50"/>
      <c r="D440" s="50"/>
      <c r="E440" s="50"/>
    </row>
    <row r="441">
      <c r="C441" s="50"/>
      <c r="D441" s="50"/>
      <c r="E441" s="50"/>
    </row>
    <row r="442">
      <c r="C442" s="50"/>
      <c r="D442" s="50"/>
      <c r="E442" s="50"/>
    </row>
    <row r="443">
      <c r="C443" s="50"/>
      <c r="D443" s="50"/>
      <c r="E443" s="50"/>
    </row>
    <row r="444">
      <c r="C444" s="50"/>
      <c r="D444" s="50"/>
      <c r="E444" s="50"/>
    </row>
    <row r="445">
      <c r="C445" s="50"/>
      <c r="D445" s="50"/>
      <c r="E445" s="50"/>
    </row>
    <row r="446">
      <c r="C446" s="50"/>
      <c r="D446" s="50"/>
      <c r="E446" s="50"/>
    </row>
    <row r="447">
      <c r="C447" s="50"/>
      <c r="D447" s="50"/>
      <c r="E447" s="50"/>
    </row>
    <row r="448">
      <c r="C448" s="50"/>
      <c r="D448" s="50"/>
      <c r="E448" s="50"/>
    </row>
    <row r="449">
      <c r="C449" s="50"/>
      <c r="D449" s="50"/>
      <c r="E449" s="50"/>
    </row>
    <row r="450">
      <c r="C450" s="50"/>
      <c r="D450" s="50"/>
      <c r="E450" s="50"/>
    </row>
    <row r="451">
      <c r="C451" s="50"/>
      <c r="D451" s="50"/>
      <c r="E451" s="50"/>
    </row>
    <row r="452">
      <c r="C452" s="50"/>
      <c r="D452" s="50"/>
      <c r="E452" s="50"/>
    </row>
    <row r="453">
      <c r="C453" s="50"/>
      <c r="D453" s="50"/>
      <c r="E453" s="50"/>
    </row>
    <row r="454">
      <c r="C454" s="50"/>
      <c r="D454" s="50"/>
      <c r="E454" s="50"/>
    </row>
    <row r="455">
      <c r="C455" s="50"/>
      <c r="D455" s="50"/>
      <c r="E455" s="50"/>
    </row>
    <row r="456">
      <c r="C456" s="50"/>
      <c r="D456" s="50"/>
      <c r="E456" s="50"/>
    </row>
    <row r="457">
      <c r="C457" s="50"/>
      <c r="D457" s="50"/>
      <c r="E457" s="50"/>
    </row>
    <row r="458">
      <c r="C458" s="50"/>
      <c r="D458" s="50"/>
      <c r="E458" s="50"/>
    </row>
    <row r="459">
      <c r="C459" s="50"/>
      <c r="D459" s="50"/>
      <c r="E459" s="50"/>
    </row>
    <row r="460">
      <c r="C460" s="50"/>
      <c r="D460" s="50"/>
      <c r="E460" s="50"/>
    </row>
    <row r="461">
      <c r="C461" s="50"/>
      <c r="D461" s="50"/>
      <c r="E461" s="50"/>
    </row>
    <row r="462">
      <c r="C462" s="50"/>
      <c r="D462" s="50"/>
      <c r="E462" s="50"/>
    </row>
    <row r="463">
      <c r="C463" s="50"/>
      <c r="D463" s="50"/>
      <c r="E463" s="50"/>
    </row>
    <row r="464">
      <c r="C464" s="50"/>
      <c r="D464" s="50"/>
      <c r="E464" s="50"/>
    </row>
    <row r="465">
      <c r="C465" s="50"/>
      <c r="D465" s="50"/>
      <c r="E465" s="50"/>
    </row>
    <row r="466">
      <c r="C466" s="50"/>
      <c r="D466" s="50"/>
      <c r="E466" s="50"/>
    </row>
    <row r="467">
      <c r="C467" s="50"/>
      <c r="D467" s="50"/>
      <c r="E467" s="50"/>
    </row>
    <row r="468">
      <c r="C468" s="50"/>
      <c r="D468" s="50"/>
      <c r="E468" s="50"/>
    </row>
    <row r="469">
      <c r="C469" s="50"/>
      <c r="D469" s="50"/>
      <c r="E469" s="50"/>
    </row>
    <row r="470">
      <c r="C470" s="50"/>
      <c r="D470" s="50"/>
      <c r="E470" s="50"/>
    </row>
    <row r="471">
      <c r="C471" s="50"/>
      <c r="D471" s="50"/>
      <c r="E471" s="50"/>
    </row>
    <row r="472">
      <c r="C472" s="50"/>
      <c r="D472" s="50"/>
      <c r="E472" s="50"/>
    </row>
    <row r="473">
      <c r="C473" s="50"/>
      <c r="D473" s="50"/>
      <c r="E473" s="50"/>
    </row>
    <row r="474">
      <c r="C474" s="50"/>
      <c r="D474" s="50"/>
      <c r="E474" s="50"/>
    </row>
    <row r="475">
      <c r="C475" s="50"/>
      <c r="D475" s="50"/>
      <c r="E475" s="50"/>
    </row>
    <row r="476">
      <c r="C476" s="50"/>
      <c r="D476" s="50"/>
      <c r="E476" s="50"/>
    </row>
    <row r="477">
      <c r="C477" s="50"/>
      <c r="D477" s="50"/>
      <c r="E477" s="50"/>
    </row>
    <row r="478">
      <c r="C478" s="50"/>
      <c r="D478" s="50"/>
      <c r="E478" s="50"/>
    </row>
    <row r="479">
      <c r="C479" s="50"/>
      <c r="D479" s="50"/>
      <c r="E479" s="50"/>
    </row>
    <row r="480">
      <c r="C480" s="50"/>
      <c r="D480" s="50"/>
      <c r="E480" s="50"/>
    </row>
    <row r="481">
      <c r="C481" s="50"/>
      <c r="D481" s="50"/>
      <c r="E481" s="50"/>
    </row>
    <row r="482">
      <c r="C482" s="50"/>
      <c r="D482" s="50"/>
      <c r="E482" s="50"/>
    </row>
    <row r="483">
      <c r="C483" s="50"/>
      <c r="D483" s="50"/>
      <c r="E483" s="50"/>
    </row>
    <row r="484">
      <c r="C484" s="50"/>
      <c r="D484" s="50"/>
      <c r="E484" s="50"/>
    </row>
    <row r="485">
      <c r="C485" s="50"/>
      <c r="D485" s="50"/>
      <c r="E485" s="50"/>
    </row>
    <row r="486">
      <c r="C486" s="50"/>
      <c r="D486" s="50"/>
      <c r="E486" s="50"/>
    </row>
    <row r="487">
      <c r="C487" s="50"/>
      <c r="D487" s="50"/>
      <c r="E487" s="50"/>
    </row>
    <row r="488">
      <c r="C488" s="50"/>
      <c r="D488" s="50"/>
      <c r="E488" s="50"/>
    </row>
    <row r="489">
      <c r="C489" s="50"/>
      <c r="D489" s="50"/>
      <c r="E489" s="50"/>
    </row>
    <row r="490">
      <c r="C490" s="50"/>
      <c r="D490" s="50"/>
      <c r="E490" s="50"/>
    </row>
    <row r="491">
      <c r="C491" s="50"/>
      <c r="D491" s="50"/>
      <c r="E491" s="50"/>
    </row>
    <row r="492">
      <c r="C492" s="50"/>
      <c r="D492" s="50"/>
      <c r="E492" s="50"/>
    </row>
    <row r="493">
      <c r="C493" s="50"/>
      <c r="D493" s="50"/>
      <c r="E493" s="50"/>
    </row>
    <row r="494">
      <c r="C494" s="50"/>
      <c r="D494" s="50"/>
      <c r="E494" s="50"/>
    </row>
    <row r="495">
      <c r="C495" s="50"/>
      <c r="D495" s="50"/>
      <c r="E495" s="50"/>
    </row>
    <row r="496">
      <c r="C496" s="50"/>
      <c r="D496" s="50"/>
      <c r="E496" s="50"/>
    </row>
    <row r="497">
      <c r="C497" s="50"/>
      <c r="D497" s="50"/>
      <c r="E497" s="50"/>
    </row>
    <row r="498">
      <c r="C498" s="50"/>
      <c r="D498" s="50"/>
      <c r="E498" s="50"/>
    </row>
    <row r="499">
      <c r="C499" s="50"/>
      <c r="D499" s="50"/>
      <c r="E499" s="50"/>
    </row>
    <row r="500">
      <c r="C500" s="50"/>
      <c r="D500" s="50"/>
      <c r="E500" s="50"/>
    </row>
    <row r="501">
      <c r="C501" s="50"/>
      <c r="D501" s="50"/>
      <c r="E501" s="50"/>
    </row>
    <row r="502">
      <c r="C502" s="50"/>
      <c r="D502" s="50"/>
      <c r="E502" s="50"/>
    </row>
    <row r="503">
      <c r="C503" s="50"/>
      <c r="D503" s="50"/>
      <c r="E503" s="50"/>
    </row>
    <row r="504">
      <c r="C504" s="50"/>
      <c r="D504" s="50"/>
      <c r="E504" s="50"/>
    </row>
    <row r="505">
      <c r="C505" s="50"/>
      <c r="D505" s="50"/>
      <c r="E505" s="50"/>
    </row>
    <row r="506">
      <c r="C506" s="50"/>
      <c r="D506" s="50"/>
      <c r="E506" s="50"/>
    </row>
    <row r="507">
      <c r="C507" s="50"/>
      <c r="D507" s="50"/>
      <c r="E507" s="50"/>
    </row>
    <row r="508">
      <c r="C508" s="50"/>
      <c r="D508" s="50"/>
      <c r="E508" s="50"/>
    </row>
    <row r="509">
      <c r="C509" s="50"/>
      <c r="D509" s="50"/>
      <c r="E509" s="50"/>
    </row>
    <row r="510">
      <c r="C510" s="50"/>
      <c r="D510" s="50"/>
      <c r="E510" s="50"/>
    </row>
    <row r="511">
      <c r="C511" s="50"/>
      <c r="D511" s="50"/>
      <c r="E511" s="50"/>
    </row>
    <row r="512">
      <c r="C512" s="50"/>
      <c r="D512" s="50"/>
      <c r="E512" s="50"/>
    </row>
    <row r="513">
      <c r="C513" s="50"/>
      <c r="D513" s="50"/>
      <c r="E513" s="50"/>
    </row>
    <row r="514">
      <c r="C514" s="50"/>
      <c r="D514" s="50"/>
      <c r="E514" s="50"/>
    </row>
    <row r="515">
      <c r="C515" s="50"/>
      <c r="D515" s="50"/>
      <c r="E515" s="50"/>
    </row>
    <row r="516">
      <c r="C516" s="50"/>
      <c r="D516" s="50"/>
      <c r="E516" s="50"/>
    </row>
    <row r="517">
      <c r="C517" s="50"/>
      <c r="D517" s="50"/>
      <c r="E517" s="50"/>
    </row>
    <row r="518">
      <c r="C518" s="50"/>
      <c r="D518" s="50"/>
      <c r="E518" s="50"/>
    </row>
    <row r="519">
      <c r="C519" s="50"/>
      <c r="D519" s="50"/>
      <c r="E519" s="50"/>
    </row>
    <row r="520">
      <c r="C520" s="50"/>
      <c r="D520" s="50"/>
      <c r="E520" s="50"/>
    </row>
    <row r="521">
      <c r="C521" s="50"/>
      <c r="D521" s="50"/>
      <c r="E521" s="50"/>
    </row>
    <row r="522">
      <c r="C522" s="50"/>
      <c r="D522" s="50"/>
      <c r="E522" s="50"/>
    </row>
    <row r="523">
      <c r="C523" s="50"/>
      <c r="D523" s="50"/>
      <c r="E523" s="50"/>
    </row>
    <row r="524">
      <c r="C524" s="50"/>
      <c r="D524" s="50"/>
      <c r="E524" s="50"/>
    </row>
    <row r="525">
      <c r="C525" s="50"/>
      <c r="D525" s="50"/>
      <c r="E525" s="50"/>
    </row>
    <row r="526">
      <c r="C526" s="50"/>
      <c r="D526" s="50"/>
      <c r="E526" s="50"/>
    </row>
    <row r="527">
      <c r="C527" s="50"/>
      <c r="D527" s="50"/>
      <c r="E527" s="50"/>
    </row>
    <row r="528">
      <c r="C528" s="50"/>
      <c r="D528" s="50"/>
      <c r="E528" s="50"/>
    </row>
    <row r="529">
      <c r="C529" s="50"/>
      <c r="D529" s="50"/>
      <c r="E529" s="50"/>
    </row>
    <row r="530">
      <c r="C530" s="50"/>
      <c r="D530" s="50"/>
      <c r="E530" s="50"/>
    </row>
    <row r="531">
      <c r="C531" s="50"/>
      <c r="D531" s="50"/>
      <c r="E531" s="50"/>
    </row>
    <row r="532">
      <c r="C532" s="50"/>
      <c r="D532" s="50"/>
      <c r="E532" s="50"/>
    </row>
    <row r="533">
      <c r="C533" s="50"/>
      <c r="D533" s="50"/>
      <c r="E533" s="50"/>
    </row>
    <row r="534">
      <c r="C534" s="50"/>
      <c r="D534" s="50"/>
      <c r="E534" s="50"/>
    </row>
    <row r="535">
      <c r="C535" s="50"/>
      <c r="D535" s="50"/>
      <c r="E535" s="50"/>
    </row>
    <row r="536">
      <c r="C536" s="50"/>
      <c r="D536" s="50"/>
      <c r="E536" s="50"/>
    </row>
    <row r="537">
      <c r="C537" s="50"/>
      <c r="D537" s="50"/>
      <c r="E537" s="50"/>
    </row>
    <row r="538">
      <c r="C538" s="50"/>
      <c r="D538" s="50"/>
      <c r="E538" s="50"/>
    </row>
    <row r="539">
      <c r="C539" s="50"/>
      <c r="D539" s="50"/>
      <c r="E539" s="50"/>
    </row>
    <row r="540">
      <c r="C540" s="50"/>
      <c r="D540" s="50"/>
      <c r="E540" s="50"/>
    </row>
    <row r="541">
      <c r="C541" s="50"/>
      <c r="D541" s="50"/>
      <c r="E541" s="50"/>
    </row>
    <row r="542">
      <c r="C542" s="50"/>
      <c r="D542" s="50"/>
      <c r="E542" s="50"/>
    </row>
    <row r="543">
      <c r="C543" s="50"/>
      <c r="D543" s="50"/>
      <c r="E543" s="50"/>
    </row>
    <row r="544">
      <c r="C544" s="50"/>
      <c r="D544" s="50"/>
      <c r="E544" s="50"/>
    </row>
    <row r="545">
      <c r="C545" s="50"/>
      <c r="D545" s="50"/>
      <c r="E545" s="50"/>
    </row>
    <row r="546">
      <c r="C546" s="50"/>
      <c r="D546" s="50"/>
      <c r="E546" s="50"/>
    </row>
    <row r="547">
      <c r="C547" s="50"/>
      <c r="D547" s="50"/>
      <c r="E547" s="50"/>
    </row>
    <row r="548">
      <c r="C548" s="50"/>
      <c r="D548" s="50"/>
      <c r="E548" s="50"/>
    </row>
    <row r="549">
      <c r="C549" s="50"/>
      <c r="D549" s="50"/>
      <c r="E549" s="50"/>
    </row>
    <row r="550">
      <c r="C550" s="50"/>
      <c r="D550" s="50"/>
      <c r="E550" s="50"/>
    </row>
    <row r="551">
      <c r="C551" s="50"/>
      <c r="D551" s="50"/>
      <c r="E551" s="50"/>
    </row>
    <row r="552">
      <c r="C552" s="50"/>
      <c r="D552" s="50"/>
      <c r="E552" s="50"/>
    </row>
    <row r="553">
      <c r="C553" s="50"/>
      <c r="D553" s="50"/>
      <c r="E553" s="50"/>
    </row>
    <row r="554">
      <c r="C554" s="50"/>
      <c r="D554" s="50"/>
      <c r="E554" s="50"/>
    </row>
    <row r="555">
      <c r="C555" s="50"/>
      <c r="D555" s="50"/>
      <c r="E555" s="50"/>
    </row>
    <row r="556">
      <c r="C556" s="50"/>
      <c r="D556" s="50"/>
      <c r="E556" s="50"/>
    </row>
    <row r="557">
      <c r="C557" s="50"/>
      <c r="D557" s="50"/>
      <c r="E557" s="50"/>
    </row>
    <row r="558">
      <c r="C558" s="50"/>
      <c r="D558" s="50"/>
      <c r="E558" s="50"/>
    </row>
    <row r="559">
      <c r="C559" s="50"/>
      <c r="D559" s="50"/>
      <c r="E559" s="50"/>
    </row>
    <row r="560">
      <c r="C560" s="50"/>
      <c r="D560" s="50"/>
      <c r="E560" s="50"/>
    </row>
    <row r="561">
      <c r="C561" s="50"/>
      <c r="D561" s="50"/>
      <c r="E561" s="50"/>
    </row>
    <row r="562">
      <c r="C562" s="50"/>
      <c r="D562" s="50"/>
      <c r="E562" s="50"/>
    </row>
    <row r="563">
      <c r="C563" s="50"/>
      <c r="D563" s="50"/>
      <c r="E563" s="50"/>
    </row>
    <row r="564">
      <c r="C564" s="50"/>
      <c r="D564" s="50"/>
      <c r="E564" s="50"/>
    </row>
    <row r="565">
      <c r="C565" s="50"/>
      <c r="D565" s="50"/>
      <c r="E565" s="50"/>
    </row>
    <row r="566">
      <c r="C566" s="50"/>
      <c r="D566" s="50"/>
      <c r="E566" s="50"/>
    </row>
    <row r="567">
      <c r="C567" s="50"/>
      <c r="D567" s="50"/>
      <c r="E567" s="50"/>
    </row>
    <row r="568">
      <c r="C568" s="50"/>
      <c r="D568" s="50"/>
      <c r="E568" s="50"/>
    </row>
    <row r="569">
      <c r="C569" s="50"/>
      <c r="D569" s="50"/>
      <c r="E569" s="50"/>
    </row>
    <row r="570">
      <c r="C570" s="50"/>
      <c r="D570" s="50"/>
      <c r="E570" s="50"/>
    </row>
    <row r="571">
      <c r="C571" s="50"/>
      <c r="D571" s="50"/>
      <c r="E571" s="50"/>
    </row>
    <row r="572">
      <c r="C572" s="50"/>
      <c r="D572" s="50"/>
      <c r="E572" s="50"/>
    </row>
    <row r="573">
      <c r="C573" s="50"/>
      <c r="D573" s="50"/>
      <c r="E573" s="50"/>
    </row>
    <row r="574">
      <c r="C574" s="50"/>
      <c r="D574" s="50"/>
      <c r="E574" s="50"/>
    </row>
    <row r="575">
      <c r="C575" s="50"/>
      <c r="D575" s="50"/>
      <c r="E575" s="50"/>
    </row>
    <row r="576">
      <c r="C576" s="50"/>
      <c r="D576" s="50"/>
      <c r="E576" s="50"/>
    </row>
    <row r="577">
      <c r="C577" s="50"/>
      <c r="D577" s="50"/>
      <c r="E577" s="50"/>
    </row>
    <row r="578">
      <c r="C578" s="50"/>
      <c r="D578" s="50"/>
      <c r="E578" s="50"/>
    </row>
    <row r="579">
      <c r="C579" s="50"/>
      <c r="D579" s="50"/>
      <c r="E579" s="50"/>
    </row>
    <row r="580">
      <c r="C580" s="50"/>
      <c r="D580" s="50"/>
      <c r="E580" s="50"/>
    </row>
    <row r="581">
      <c r="C581" s="50"/>
      <c r="D581" s="50"/>
      <c r="E581" s="50"/>
    </row>
    <row r="582">
      <c r="C582" s="50"/>
      <c r="D582" s="50"/>
      <c r="E582" s="50"/>
    </row>
    <row r="583">
      <c r="C583" s="50"/>
      <c r="D583" s="50"/>
      <c r="E583" s="50"/>
    </row>
    <row r="584">
      <c r="C584" s="50"/>
      <c r="D584" s="50"/>
      <c r="E584" s="50"/>
    </row>
    <row r="585">
      <c r="C585" s="50"/>
      <c r="D585" s="50"/>
      <c r="E585" s="50"/>
    </row>
    <row r="586">
      <c r="C586" s="50"/>
      <c r="D586" s="50"/>
      <c r="E586" s="50"/>
    </row>
    <row r="587">
      <c r="C587" s="50"/>
      <c r="D587" s="50"/>
      <c r="E587" s="50"/>
    </row>
    <row r="588">
      <c r="C588" s="50"/>
      <c r="D588" s="50"/>
      <c r="E588" s="50"/>
    </row>
    <row r="589">
      <c r="C589" s="50"/>
      <c r="D589" s="50"/>
      <c r="E589" s="50"/>
    </row>
    <row r="590">
      <c r="C590" s="50"/>
      <c r="D590" s="50"/>
      <c r="E590" s="50"/>
    </row>
    <row r="591">
      <c r="C591" s="50"/>
      <c r="D591" s="50"/>
      <c r="E591" s="50"/>
    </row>
    <row r="592">
      <c r="C592" s="50"/>
      <c r="D592" s="50"/>
      <c r="E592" s="50"/>
    </row>
    <row r="593">
      <c r="C593" s="50"/>
      <c r="D593" s="50"/>
      <c r="E593" s="50"/>
    </row>
    <row r="594">
      <c r="C594" s="50"/>
      <c r="D594" s="50"/>
      <c r="E594" s="50"/>
    </row>
    <row r="595">
      <c r="C595" s="50"/>
      <c r="D595" s="50"/>
      <c r="E595" s="50"/>
    </row>
    <row r="596">
      <c r="C596" s="50"/>
      <c r="D596" s="50"/>
      <c r="E596" s="50"/>
    </row>
    <row r="597">
      <c r="C597" s="50"/>
      <c r="D597" s="50"/>
      <c r="E597" s="50"/>
    </row>
    <row r="598">
      <c r="C598" s="50"/>
      <c r="D598" s="50"/>
      <c r="E598" s="50"/>
    </row>
    <row r="599">
      <c r="C599" s="50"/>
      <c r="D599" s="50"/>
      <c r="E599" s="50"/>
    </row>
    <row r="600">
      <c r="C600" s="50"/>
      <c r="D600" s="50"/>
      <c r="E600" s="50"/>
    </row>
    <row r="601">
      <c r="C601" s="50"/>
      <c r="D601" s="50"/>
      <c r="E601" s="50"/>
    </row>
    <row r="602">
      <c r="C602" s="50"/>
      <c r="D602" s="50"/>
      <c r="E602" s="50"/>
    </row>
    <row r="603">
      <c r="C603" s="50"/>
      <c r="D603" s="50"/>
      <c r="E603" s="50"/>
    </row>
    <row r="604">
      <c r="C604" s="50"/>
      <c r="D604" s="50"/>
      <c r="E604" s="50"/>
    </row>
    <row r="605">
      <c r="C605" s="50"/>
      <c r="D605" s="50"/>
      <c r="E605" s="50"/>
    </row>
    <row r="606">
      <c r="C606" s="50"/>
      <c r="D606" s="50"/>
      <c r="E606" s="50"/>
    </row>
    <row r="607">
      <c r="C607" s="50"/>
      <c r="D607" s="50"/>
      <c r="E607" s="50"/>
    </row>
    <row r="608">
      <c r="C608" s="50"/>
      <c r="D608" s="50"/>
      <c r="E608" s="50"/>
    </row>
    <row r="609">
      <c r="C609" s="50"/>
      <c r="D609" s="50"/>
      <c r="E609" s="50"/>
    </row>
    <row r="610">
      <c r="C610" s="50"/>
      <c r="D610" s="50"/>
      <c r="E610" s="50"/>
    </row>
    <row r="611">
      <c r="C611" s="50"/>
      <c r="D611" s="50"/>
      <c r="E611" s="50"/>
    </row>
    <row r="612">
      <c r="C612" s="50"/>
      <c r="D612" s="50"/>
      <c r="E612" s="50"/>
    </row>
    <row r="613">
      <c r="C613" s="50"/>
      <c r="D613" s="50"/>
      <c r="E613" s="50"/>
    </row>
    <row r="614">
      <c r="C614" s="50"/>
      <c r="D614" s="50"/>
      <c r="E614" s="50"/>
    </row>
    <row r="615">
      <c r="C615" s="50"/>
      <c r="D615" s="50"/>
      <c r="E615" s="50"/>
    </row>
    <row r="616">
      <c r="C616" s="50"/>
      <c r="D616" s="50"/>
      <c r="E616" s="50"/>
    </row>
    <row r="617">
      <c r="C617" s="50"/>
      <c r="D617" s="50"/>
      <c r="E617" s="50"/>
    </row>
    <row r="618">
      <c r="C618" s="50"/>
      <c r="D618" s="50"/>
      <c r="E618" s="50"/>
    </row>
    <row r="619">
      <c r="C619" s="50"/>
      <c r="D619" s="50"/>
      <c r="E619" s="50"/>
    </row>
    <row r="620">
      <c r="C620" s="50"/>
      <c r="D620" s="50"/>
      <c r="E620" s="50"/>
    </row>
    <row r="621">
      <c r="C621" s="50"/>
      <c r="D621" s="50"/>
      <c r="E621" s="50"/>
    </row>
    <row r="622">
      <c r="C622" s="50"/>
      <c r="D622" s="50"/>
      <c r="E622" s="50"/>
    </row>
    <row r="623">
      <c r="C623" s="50"/>
      <c r="D623" s="50"/>
      <c r="E623" s="50"/>
    </row>
    <row r="624">
      <c r="C624" s="50"/>
      <c r="D624" s="50"/>
      <c r="E624" s="50"/>
    </row>
    <row r="625">
      <c r="C625" s="50"/>
      <c r="D625" s="50"/>
      <c r="E625" s="50"/>
    </row>
    <row r="626">
      <c r="C626" s="50"/>
      <c r="D626" s="50"/>
      <c r="E626" s="50"/>
    </row>
    <row r="627">
      <c r="C627" s="50"/>
      <c r="D627" s="50"/>
      <c r="E627" s="50"/>
    </row>
    <row r="628">
      <c r="C628" s="50"/>
      <c r="D628" s="50"/>
      <c r="E628" s="50"/>
    </row>
    <row r="629">
      <c r="C629" s="50"/>
      <c r="D629" s="50"/>
      <c r="E629" s="50"/>
    </row>
    <row r="630">
      <c r="C630" s="50"/>
      <c r="D630" s="50"/>
      <c r="E630" s="50"/>
    </row>
    <row r="631">
      <c r="C631" s="50"/>
      <c r="D631" s="50"/>
      <c r="E631" s="50"/>
    </row>
    <row r="632">
      <c r="C632" s="50"/>
      <c r="D632" s="50"/>
      <c r="E632" s="50"/>
    </row>
    <row r="633">
      <c r="C633" s="50"/>
      <c r="D633" s="50"/>
      <c r="E633" s="50"/>
    </row>
    <row r="634">
      <c r="C634" s="50"/>
      <c r="D634" s="50"/>
      <c r="E634" s="50"/>
    </row>
    <row r="635">
      <c r="C635" s="50"/>
      <c r="D635" s="50"/>
      <c r="E635" s="50"/>
    </row>
    <row r="636">
      <c r="C636" s="50"/>
      <c r="D636" s="50"/>
      <c r="E636" s="50"/>
    </row>
    <row r="637">
      <c r="C637" s="50"/>
      <c r="D637" s="50"/>
      <c r="E637" s="50"/>
    </row>
    <row r="638">
      <c r="C638" s="50"/>
      <c r="D638" s="50"/>
      <c r="E638" s="50"/>
    </row>
    <row r="639">
      <c r="C639" s="50"/>
      <c r="D639" s="50"/>
      <c r="E639" s="50"/>
    </row>
    <row r="640">
      <c r="C640" s="50"/>
      <c r="D640" s="50"/>
      <c r="E640" s="50"/>
    </row>
    <row r="641">
      <c r="C641" s="50"/>
      <c r="D641" s="50"/>
      <c r="E641" s="50"/>
    </row>
    <row r="642">
      <c r="C642" s="50"/>
      <c r="D642" s="50"/>
      <c r="E642" s="50"/>
    </row>
    <row r="643">
      <c r="C643" s="50"/>
      <c r="D643" s="50"/>
      <c r="E643" s="50"/>
    </row>
    <row r="644">
      <c r="C644" s="50"/>
      <c r="D644" s="50"/>
      <c r="E644" s="50"/>
    </row>
    <row r="645">
      <c r="C645" s="50"/>
      <c r="D645" s="50"/>
      <c r="E645" s="50"/>
    </row>
    <row r="646">
      <c r="C646" s="50"/>
      <c r="D646" s="50"/>
      <c r="E646" s="50"/>
    </row>
    <row r="647">
      <c r="C647" s="50"/>
      <c r="D647" s="50"/>
      <c r="E647" s="50"/>
    </row>
    <row r="648">
      <c r="C648" s="50"/>
      <c r="D648" s="50"/>
      <c r="E648" s="50"/>
    </row>
    <row r="649">
      <c r="C649" s="50"/>
      <c r="D649" s="50"/>
      <c r="E649" s="50"/>
    </row>
    <row r="650">
      <c r="C650" s="50"/>
      <c r="D650" s="50"/>
      <c r="E650" s="50"/>
    </row>
    <row r="651">
      <c r="C651" s="50"/>
      <c r="D651" s="50"/>
      <c r="E651" s="50"/>
    </row>
    <row r="652">
      <c r="C652" s="50"/>
      <c r="D652" s="50"/>
      <c r="E652" s="50"/>
    </row>
    <row r="653">
      <c r="C653" s="50"/>
      <c r="D653" s="50"/>
      <c r="E653" s="50"/>
    </row>
    <row r="654">
      <c r="C654" s="50"/>
      <c r="D654" s="50"/>
      <c r="E654" s="50"/>
    </row>
    <row r="655">
      <c r="C655" s="50"/>
      <c r="D655" s="50"/>
      <c r="E655" s="50"/>
    </row>
    <row r="656">
      <c r="C656" s="50"/>
      <c r="D656" s="50"/>
      <c r="E656" s="50"/>
    </row>
    <row r="657">
      <c r="C657" s="50"/>
      <c r="D657" s="50"/>
      <c r="E657" s="50"/>
    </row>
    <row r="658">
      <c r="C658" s="50"/>
      <c r="D658" s="50"/>
      <c r="E658" s="50"/>
    </row>
    <row r="659">
      <c r="C659" s="50"/>
      <c r="D659" s="50"/>
      <c r="E659" s="50"/>
    </row>
    <row r="660">
      <c r="C660" s="50"/>
      <c r="D660" s="50"/>
      <c r="E660" s="50"/>
    </row>
    <row r="661">
      <c r="C661" s="50"/>
      <c r="D661" s="50"/>
      <c r="E661" s="50"/>
    </row>
    <row r="662">
      <c r="C662" s="50"/>
      <c r="D662" s="50"/>
      <c r="E662" s="50"/>
    </row>
    <row r="663">
      <c r="C663" s="50"/>
      <c r="D663" s="50"/>
      <c r="E663" s="50"/>
    </row>
    <row r="664">
      <c r="C664" s="50"/>
      <c r="D664" s="50"/>
      <c r="E664" s="50"/>
    </row>
    <row r="665">
      <c r="C665" s="50"/>
      <c r="D665" s="50"/>
      <c r="E665" s="50"/>
    </row>
    <row r="666">
      <c r="C666" s="50"/>
      <c r="D666" s="50"/>
      <c r="E666" s="50"/>
    </row>
    <row r="667">
      <c r="C667" s="50"/>
      <c r="D667" s="50"/>
      <c r="E667" s="50"/>
    </row>
    <row r="668">
      <c r="C668" s="50"/>
      <c r="D668" s="50"/>
      <c r="E668" s="50"/>
    </row>
    <row r="669">
      <c r="C669" s="50"/>
      <c r="D669" s="50"/>
      <c r="E669" s="50"/>
    </row>
    <row r="670">
      <c r="C670" s="50"/>
      <c r="D670" s="50"/>
      <c r="E670" s="50"/>
    </row>
    <row r="671">
      <c r="C671" s="50"/>
      <c r="D671" s="50"/>
      <c r="E671" s="50"/>
    </row>
    <row r="672">
      <c r="C672" s="50"/>
      <c r="D672" s="50"/>
      <c r="E672" s="50"/>
    </row>
    <row r="673">
      <c r="C673" s="50"/>
      <c r="D673" s="50"/>
      <c r="E673" s="50"/>
    </row>
    <row r="674">
      <c r="C674" s="50"/>
      <c r="D674" s="50"/>
      <c r="E674" s="50"/>
    </row>
    <row r="675">
      <c r="C675" s="50"/>
      <c r="D675" s="50"/>
      <c r="E675" s="50"/>
    </row>
    <row r="676">
      <c r="C676" s="50"/>
      <c r="D676" s="50"/>
      <c r="E676" s="50"/>
    </row>
    <row r="677">
      <c r="C677" s="50"/>
      <c r="D677" s="50"/>
      <c r="E677" s="50"/>
    </row>
    <row r="678">
      <c r="C678" s="50"/>
      <c r="D678" s="50"/>
      <c r="E678" s="50"/>
    </row>
    <row r="679">
      <c r="C679" s="50"/>
      <c r="D679" s="50"/>
      <c r="E679" s="50"/>
    </row>
    <row r="680">
      <c r="C680" s="50"/>
      <c r="D680" s="50"/>
      <c r="E680" s="50"/>
    </row>
    <row r="681">
      <c r="C681" s="50"/>
      <c r="D681" s="50"/>
      <c r="E681" s="50"/>
    </row>
    <row r="682">
      <c r="C682" s="50"/>
      <c r="D682" s="50"/>
      <c r="E682" s="50"/>
    </row>
    <row r="683">
      <c r="C683" s="50"/>
      <c r="D683" s="50"/>
      <c r="E683" s="50"/>
    </row>
    <row r="684">
      <c r="C684" s="50"/>
      <c r="D684" s="50"/>
      <c r="E684" s="50"/>
    </row>
    <row r="685">
      <c r="C685" s="50"/>
      <c r="D685" s="50"/>
      <c r="E685" s="50"/>
    </row>
    <row r="686">
      <c r="C686" s="50"/>
      <c r="D686" s="50"/>
      <c r="E686" s="50"/>
    </row>
    <row r="687">
      <c r="C687" s="50"/>
      <c r="D687" s="50"/>
      <c r="E687" s="50"/>
    </row>
    <row r="688">
      <c r="C688" s="50"/>
      <c r="D688" s="50"/>
      <c r="E688" s="50"/>
    </row>
    <row r="689">
      <c r="C689" s="50"/>
      <c r="D689" s="50"/>
      <c r="E689" s="50"/>
    </row>
    <row r="690">
      <c r="C690" s="50"/>
      <c r="D690" s="50"/>
      <c r="E690" s="50"/>
    </row>
    <row r="691">
      <c r="C691" s="50"/>
      <c r="D691" s="50"/>
      <c r="E691" s="50"/>
    </row>
    <row r="692">
      <c r="C692" s="50"/>
      <c r="D692" s="50"/>
      <c r="E692" s="50"/>
    </row>
    <row r="693">
      <c r="C693" s="50"/>
      <c r="D693" s="50"/>
      <c r="E693" s="50"/>
    </row>
    <row r="694">
      <c r="C694" s="50"/>
      <c r="D694" s="50"/>
      <c r="E694" s="50"/>
    </row>
    <row r="695">
      <c r="C695" s="50"/>
      <c r="D695" s="50"/>
      <c r="E695" s="50"/>
    </row>
    <row r="696">
      <c r="C696" s="50"/>
      <c r="D696" s="50"/>
      <c r="E696" s="50"/>
    </row>
    <row r="697">
      <c r="C697" s="50"/>
      <c r="D697" s="50"/>
      <c r="E697" s="50"/>
    </row>
    <row r="698">
      <c r="C698" s="50"/>
      <c r="D698" s="50"/>
      <c r="E698" s="50"/>
    </row>
    <row r="699">
      <c r="C699" s="50"/>
      <c r="D699" s="50"/>
      <c r="E699" s="50"/>
    </row>
    <row r="700">
      <c r="C700" s="50"/>
      <c r="D700" s="50"/>
      <c r="E700" s="50"/>
    </row>
    <row r="701">
      <c r="C701" s="50"/>
      <c r="D701" s="50"/>
      <c r="E701" s="50"/>
    </row>
    <row r="702">
      <c r="C702" s="50"/>
      <c r="D702" s="50"/>
      <c r="E702" s="50"/>
    </row>
    <row r="703">
      <c r="C703" s="50"/>
      <c r="D703" s="50"/>
      <c r="E703" s="50"/>
    </row>
    <row r="704">
      <c r="C704" s="50"/>
      <c r="D704" s="50"/>
      <c r="E704" s="50"/>
    </row>
    <row r="705">
      <c r="C705" s="50"/>
      <c r="D705" s="50"/>
      <c r="E705" s="50"/>
    </row>
    <row r="706">
      <c r="C706" s="50"/>
      <c r="D706" s="50"/>
      <c r="E706" s="50"/>
    </row>
    <row r="707">
      <c r="C707" s="50"/>
      <c r="D707" s="50"/>
      <c r="E707" s="50"/>
    </row>
    <row r="708">
      <c r="C708" s="50"/>
      <c r="D708" s="50"/>
      <c r="E708" s="50"/>
    </row>
    <row r="709">
      <c r="C709" s="50"/>
      <c r="D709" s="50"/>
      <c r="E709" s="50"/>
    </row>
    <row r="710">
      <c r="C710" s="50"/>
      <c r="D710" s="50"/>
      <c r="E710" s="50"/>
    </row>
    <row r="711">
      <c r="C711" s="50"/>
      <c r="D711" s="50"/>
      <c r="E711" s="50"/>
    </row>
    <row r="712">
      <c r="C712" s="50"/>
      <c r="D712" s="50"/>
      <c r="E712" s="50"/>
    </row>
    <row r="713">
      <c r="C713" s="50"/>
      <c r="D713" s="50"/>
      <c r="E713" s="50"/>
    </row>
    <row r="714">
      <c r="C714" s="50"/>
      <c r="D714" s="50"/>
      <c r="E714" s="50"/>
    </row>
    <row r="715">
      <c r="C715" s="50"/>
      <c r="D715" s="50"/>
      <c r="E715" s="50"/>
    </row>
    <row r="716">
      <c r="C716" s="50"/>
      <c r="D716" s="50"/>
      <c r="E716" s="50"/>
    </row>
    <row r="717">
      <c r="C717" s="50"/>
      <c r="D717" s="50"/>
      <c r="E717" s="50"/>
    </row>
    <row r="718">
      <c r="C718" s="50"/>
      <c r="D718" s="50"/>
      <c r="E718" s="50"/>
    </row>
    <row r="719">
      <c r="C719" s="50"/>
      <c r="D719" s="50"/>
      <c r="E719" s="50"/>
    </row>
    <row r="720">
      <c r="C720" s="50"/>
      <c r="D720" s="50"/>
      <c r="E720" s="50"/>
    </row>
    <row r="721">
      <c r="C721" s="50"/>
      <c r="D721" s="50"/>
      <c r="E721" s="50"/>
    </row>
    <row r="722">
      <c r="C722" s="50"/>
      <c r="D722" s="50"/>
      <c r="E722" s="50"/>
    </row>
    <row r="723">
      <c r="C723" s="50"/>
      <c r="D723" s="50"/>
      <c r="E723" s="50"/>
    </row>
    <row r="724">
      <c r="C724" s="50"/>
      <c r="D724" s="50"/>
      <c r="E724" s="50"/>
    </row>
    <row r="725">
      <c r="C725" s="50"/>
      <c r="D725" s="50"/>
      <c r="E725" s="50"/>
    </row>
    <row r="726">
      <c r="C726" s="50"/>
      <c r="D726" s="50"/>
      <c r="E726" s="50"/>
    </row>
    <row r="727">
      <c r="C727" s="50"/>
      <c r="D727" s="50"/>
      <c r="E727" s="50"/>
    </row>
    <row r="728">
      <c r="C728" s="50"/>
      <c r="D728" s="50"/>
      <c r="E728" s="50"/>
    </row>
    <row r="729">
      <c r="C729" s="50"/>
      <c r="D729" s="50"/>
      <c r="E729" s="50"/>
    </row>
    <row r="730">
      <c r="C730" s="50"/>
      <c r="D730" s="50"/>
      <c r="E730" s="50"/>
    </row>
    <row r="731">
      <c r="C731" s="50"/>
      <c r="D731" s="50"/>
      <c r="E731" s="50"/>
    </row>
    <row r="732">
      <c r="C732" s="50"/>
      <c r="D732" s="50"/>
      <c r="E732" s="50"/>
    </row>
    <row r="733">
      <c r="C733" s="50"/>
      <c r="D733" s="50"/>
      <c r="E733" s="50"/>
    </row>
    <row r="734">
      <c r="C734" s="50"/>
      <c r="D734" s="50"/>
      <c r="E734" s="50"/>
    </row>
    <row r="735">
      <c r="C735" s="50"/>
      <c r="D735" s="50"/>
      <c r="E735" s="50"/>
    </row>
    <row r="736">
      <c r="C736" s="50"/>
      <c r="D736" s="50"/>
      <c r="E736" s="50"/>
    </row>
    <row r="737">
      <c r="C737" s="50"/>
      <c r="D737" s="50"/>
      <c r="E737" s="50"/>
    </row>
    <row r="738">
      <c r="C738" s="50"/>
      <c r="D738" s="50"/>
      <c r="E738" s="50"/>
    </row>
    <row r="739">
      <c r="C739" s="50"/>
      <c r="D739" s="50"/>
      <c r="E739" s="50"/>
    </row>
    <row r="740">
      <c r="C740" s="50"/>
      <c r="D740" s="50"/>
      <c r="E740" s="50"/>
    </row>
    <row r="741">
      <c r="C741" s="50"/>
      <c r="D741" s="50"/>
      <c r="E741" s="50"/>
    </row>
    <row r="742">
      <c r="C742" s="50"/>
      <c r="D742" s="50"/>
      <c r="E742" s="50"/>
    </row>
    <row r="743">
      <c r="C743" s="50"/>
      <c r="D743" s="50"/>
      <c r="E743" s="50"/>
    </row>
    <row r="744">
      <c r="C744" s="50"/>
      <c r="D744" s="50"/>
      <c r="E744" s="50"/>
    </row>
    <row r="745">
      <c r="C745" s="50"/>
      <c r="D745" s="50"/>
      <c r="E745" s="50"/>
    </row>
    <row r="746">
      <c r="C746" s="50"/>
      <c r="D746" s="50"/>
      <c r="E746" s="50"/>
    </row>
    <row r="747">
      <c r="C747" s="50"/>
      <c r="D747" s="50"/>
      <c r="E747" s="50"/>
    </row>
    <row r="748">
      <c r="C748" s="50"/>
      <c r="D748" s="50"/>
      <c r="E748" s="50"/>
    </row>
    <row r="749">
      <c r="C749" s="50"/>
      <c r="D749" s="50"/>
      <c r="E749" s="50"/>
    </row>
    <row r="750">
      <c r="C750" s="50"/>
      <c r="D750" s="50"/>
      <c r="E750" s="50"/>
    </row>
    <row r="751">
      <c r="C751" s="50"/>
      <c r="D751" s="50"/>
      <c r="E751" s="50"/>
    </row>
    <row r="752">
      <c r="C752" s="50"/>
      <c r="D752" s="50"/>
      <c r="E752" s="50"/>
    </row>
    <row r="753">
      <c r="C753" s="50"/>
      <c r="D753" s="50"/>
      <c r="E753" s="50"/>
    </row>
    <row r="754">
      <c r="C754" s="50"/>
      <c r="D754" s="50"/>
      <c r="E754" s="50"/>
    </row>
    <row r="755">
      <c r="C755" s="50"/>
      <c r="D755" s="50"/>
      <c r="E755" s="50"/>
    </row>
    <row r="756">
      <c r="C756" s="50"/>
      <c r="D756" s="50"/>
      <c r="E756" s="50"/>
    </row>
    <row r="757">
      <c r="C757" s="50"/>
      <c r="D757" s="50"/>
      <c r="E757" s="50"/>
    </row>
    <row r="758">
      <c r="C758" s="50"/>
      <c r="D758" s="50"/>
      <c r="E758" s="50"/>
    </row>
    <row r="759">
      <c r="C759" s="50"/>
      <c r="D759" s="50"/>
      <c r="E759" s="50"/>
    </row>
    <row r="760">
      <c r="C760" s="50"/>
      <c r="D760" s="50"/>
      <c r="E760" s="50"/>
    </row>
    <row r="761">
      <c r="C761" s="50"/>
      <c r="D761" s="50"/>
      <c r="E761" s="50"/>
    </row>
    <row r="762">
      <c r="C762" s="50"/>
      <c r="D762" s="50"/>
      <c r="E762" s="50"/>
    </row>
    <row r="763">
      <c r="C763" s="50"/>
      <c r="D763" s="50"/>
      <c r="E763" s="50"/>
    </row>
    <row r="764">
      <c r="C764" s="50"/>
      <c r="D764" s="50"/>
      <c r="E764" s="50"/>
    </row>
    <row r="765">
      <c r="C765" s="50"/>
      <c r="D765" s="50"/>
      <c r="E765" s="50"/>
    </row>
    <row r="766">
      <c r="C766" s="50"/>
      <c r="D766" s="50"/>
      <c r="E766" s="50"/>
    </row>
    <row r="767">
      <c r="C767" s="50"/>
      <c r="D767" s="50"/>
      <c r="E767" s="50"/>
    </row>
    <row r="768">
      <c r="C768" s="50"/>
      <c r="D768" s="50"/>
      <c r="E768" s="50"/>
    </row>
    <row r="769">
      <c r="C769" s="50"/>
      <c r="D769" s="50"/>
      <c r="E769" s="50"/>
    </row>
    <row r="770">
      <c r="C770" s="50"/>
      <c r="D770" s="50"/>
      <c r="E770" s="50"/>
    </row>
    <row r="771">
      <c r="C771" s="50"/>
      <c r="D771" s="50"/>
      <c r="E771" s="50"/>
    </row>
    <row r="772">
      <c r="C772" s="50"/>
      <c r="D772" s="50"/>
      <c r="E772" s="50"/>
    </row>
    <row r="773">
      <c r="C773" s="50"/>
      <c r="D773" s="50"/>
      <c r="E773" s="50"/>
    </row>
    <row r="774">
      <c r="C774" s="50"/>
      <c r="D774" s="50"/>
      <c r="E774" s="50"/>
    </row>
    <row r="775">
      <c r="C775" s="50"/>
      <c r="D775" s="50"/>
      <c r="E775" s="50"/>
    </row>
    <row r="776">
      <c r="C776" s="50"/>
      <c r="D776" s="50"/>
      <c r="E776" s="50"/>
    </row>
    <row r="777">
      <c r="C777" s="50"/>
      <c r="D777" s="50"/>
      <c r="E777" s="50"/>
    </row>
    <row r="778">
      <c r="C778" s="50"/>
      <c r="D778" s="50"/>
      <c r="E778" s="50"/>
    </row>
    <row r="779">
      <c r="C779" s="50"/>
      <c r="D779" s="50"/>
      <c r="E779" s="50"/>
    </row>
    <row r="780">
      <c r="C780" s="50"/>
      <c r="D780" s="50"/>
      <c r="E780" s="50"/>
    </row>
    <row r="781">
      <c r="C781" s="50"/>
      <c r="D781" s="50"/>
      <c r="E781" s="50"/>
    </row>
    <row r="782">
      <c r="C782" s="50"/>
      <c r="D782" s="50"/>
      <c r="E782" s="50"/>
    </row>
    <row r="783">
      <c r="C783" s="50"/>
      <c r="D783" s="50"/>
      <c r="E783" s="50"/>
    </row>
    <row r="784">
      <c r="C784" s="50"/>
      <c r="D784" s="50"/>
      <c r="E784" s="50"/>
    </row>
    <row r="785">
      <c r="C785" s="50"/>
      <c r="D785" s="50"/>
      <c r="E785" s="50"/>
    </row>
    <row r="786">
      <c r="C786" s="50"/>
      <c r="D786" s="50"/>
      <c r="E786" s="50"/>
    </row>
    <row r="787">
      <c r="C787" s="50"/>
      <c r="D787" s="50"/>
      <c r="E787" s="50"/>
    </row>
    <row r="788">
      <c r="C788" s="50"/>
      <c r="D788" s="50"/>
      <c r="E788" s="50"/>
    </row>
    <row r="789">
      <c r="C789" s="50"/>
      <c r="D789" s="50"/>
      <c r="E789" s="50"/>
    </row>
    <row r="790">
      <c r="C790" s="50"/>
      <c r="D790" s="50"/>
      <c r="E790" s="50"/>
    </row>
    <row r="791">
      <c r="C791" s="50"/>
      <c r="D791" s="50"/>
      <c r="E791" s="50"/>
    </row>
    <row r="792">
      <c r="C792" s="50"/>
      <c r="D792" s="50"/>
      <c r="E792" s="50"/>
    </row>
    <row r="793">
      <c r="C793" s="50"/>
      <c r="D793" s="50"/>
      <c r="E793" s="50"/>
    </row>
    <row r="794">
      <c r="C794" s="50"/>
      <c r="D794" s="50"/>
      <c r="E794" s="50"/>
    </row>
    <row r="795">
      <c r="C795" s="50"/>
      <c r="D795" s="50"/>
      <c r="E795" s="50"/>
    </row>
    <row r="796">
      <c r="C796" s="50"/>
      <c r="D796" s="50"/>
      <c r="E796" s="50"/>
    </row>
    <row r="797">
      <c r="C797" s="50"/>
      <c r="D797" s="50"/>
      <c r="E797" s="50"/>
    </row>
    <row r="798">
      <c r="C798" s="50"/>
      <c r="D798" s="50"/>
      <c r="E798" s="50"/>
    </row>
    <row r="799">
      <c r="C799" s="50"/>
      <c r="D799" s="50"/>
      <c r="E799" s="50"/>
    </row>
    <row r="800">
      <c r="C800" s="50"/>
      <c r="D800" s="50"/>
      <c r="E800" s="50"/>
    </row>
    <row r="801">
      <c r="C801" s="50"/>
      <c r="D801" s="50"/>
      <c r="E801" s="50"/>
    </row>
    <row r="802">
      <c r="C802" s="50"/>
      <c r="D802" s="50"/>
      <c r="E802" s="50"/>
    </row>
    <row r="803">
      <c r="C803" s="50"/>
      <c r="D803" s="50"/>
      <c r="E803" s="50"/>
    </row>
    <row r="804">
      <c r="C804" s="50"/>
      <c r="D804" s="50"/>
      <c r="E804" s="50"/>
    </row>
    <row r="805">
      <c r="C805" s="50"/>
      <c r="D805" s="50"/>
      <c r="E805" s="50"/>
    </row>
    <row r="806">
      <c r="C806" s="50"/>
      <c r="D806" s="50"/>
      <c r="E806" s="50"/>
    </row>
    <row r="807">
      <c r="C807" s="50"/>
      <c r="D807" s="50"/>
      <c r="E807" s="50"/>
    </row>
    <row r="808">
      <c r="C808" s="50"/>
      <c r="D808" s="50"/>
      <c r="E808" s="50"/>
    </row>
    <row r="809">
      <c r="C809" s="50"/>
      <c r="D809" s="50"/>
      <c r="E809" s="50"/>
    </row>
    <row r="810">
      <c r="C810" s="50"/>
      <c r="D810" s="50"/>
      <c r="E810" s="50"/>
    </row>
    <row r="811">
      <c r="C811" s="50"/>
      <c r="D811" s="50"/>
      <c r="E811" s="50"/>
    </row>
    <row r="812">
      <c r="C812" s="50"/>
      <c r="D812" s="50"/>
      <c r="E812" s="50"/>
    </row>
    <row r="813">
      <c r="C813" s="50"/>
      <c r="D813" s="50"/>
      <c r="E813" s="50"/>
    </row>
    <row r="814">
      <c r="C814" s="50"/>
      <c r="D814" s="50"/>
      <c r="E814" s="50"/>
    </row>
    <row r="815">
      <c r="C815" s="50"/>
      <c r="D815" s="50"/>
      <c r="E815" s="50"/>
    </row>
    <row r="816">
      <c r="C816" s="50"/>
      <c r="D816" s="50"/>
      <c r="E816" s="50"/>
    </row>
    <row r="817">
      <c r="C817" s="50"/>
      <c r="D817" s="50"/>
      <c r="E817" s="50"/>
    </row>
    <row r="818">
      <c r="C818" s="50"/>
      <c r="D818" s="50"/>
      <c r="E818" s="50"/>
    </row>
    <row r="819">
      <c r="C819" s="50"/>
      <c r="D819" s="50"/>
      <c r="E819" s="50"/>
    </row>
    <row r="820">
      <c r="C820" s="50"/>
      <c r="D820" s="50"/>
      <c r="E820" s="50"/>
    </row>
    <row r="821">
      <c r="C821" s="50"/>
      <c r="D821" s="50"/>
      <c r="E821" s="50"/>
    </row>
    <row r="822">
      <c r="C822" s="50"/>
      <c r="D822" s="50"/>
      <c r="E822" s="50"/>
    </row>
    <row r="823">
      <c r="C823" s="50"/>
      <c r="D823" s="50"/>
      <c r="E823" s="50"/>
    </row>
    <row r="824">
      <c r="C824" s="50"/>
      <c r="D824" s="50"/>
      <c r="E824" s="50"/>
    </row>
    <row r="825">
      <c r="C825" s="50"/>
      <c r="D825" s="50"/>
      <c r="E825" s="50"/>
    </row>
    <row r="826">
      <c r="C826" s="50"/>
      <c r="D826" s="50"/>
      <c r="E826" s="50"/>
    </row>
    <row r="827">
      <c r="C827" s="50"/>
      <c r="D827" s="50"/>
      <c r="E827" s="50"/>
    </row>
    <row r="828">
      <c r="C828" s="50"/>
      <c r="D828" s="50"/>
      <c r="E828" s="50"/>
    </row>
    <row r="829">
      <c r="C829" s="50"/>
      <c r="D829" s="50"/>
      <c r="E829" s="50"/>
    </row>
    <row r="830">
      <c r="C830" s="50"/>
      <c r="D830" s="50"/>
      <c r="E830" s="50"/>
    </row>
    <row r="831">
      <c r="C831" s="50"/>
      <c r="D831" s="50"/>
      <c r="E831" s="50"/>
    </row>
    <row r="832">
      <c r="C832" s="50"/>
      <c r="D832" s="50"/>
      <c r="E832" s="50"/>
    </row>
    <row r="833">
      <c r="C833" s="50"/>
      <c r="D833" s="50"/>
      <c r="E833" s="50"/>
    </row>
    <row r="834">
      <c r="C834" s="50"/>
      <c r="D834" s="50"/>
      <c r="E834" s="50"/>
    </row>
    <row r="835">
      <c r="C835" s="50"/>
      <c r="D835" s="50"/>
      <c r="E835" s="50"/>
    </row>
    <row r="836">
      <c r="C836" s="50"/>
      <c r="D836" s="50"/>
      <c r="E836" s="50"/>
    </row>
    <row r="837">
      <c r="C837" s="50"/>
      <c r="D837" s="50"/>
      <c r="E837" s="50"/>
    </row>
    <row r="838">
      <c r="C838" s="50"/>
      <c r="D838" s="50"/>
      <c r="E838" s="50"/>
    </row>
    <row r="839">
      <c r="C839" s="50"/>
      <c r="D839" s="50"/>
      <c r="E839" s="50"/>
    </row>
    <row r="840">
      <c r="C840" s="50"/>
      <c r="D840" s="50"/>
      <c r="E840" s="50"/>
    </row>
    <row r="841">
      <c r="C841" s="50"/>
      <c r="D841" s="50"/>
      <c r="E841" s="50"/>
    </row>
    <row r="842">
      <c r="C842" s="50"/>
      <c r="D842" s="50"/>
      <c r="E842" s="50"/>
    </row>
    <row r="843">
      <c r="C843" s="50"/>
      <c r="D843" s="50"/>
      <c r="E843" s="50"/>
    </row>
    <row r="844">
      <c r="C844" s="50"/>
      <c r="D844" s="50"/>
      <c r="E844" s="50"/>
    </row>
    <row r="845">
      <c r="C845" s="50"/>
      <c r="D845" s="50"/>
      <c r="E845" s="50"/>
    </row>
    <row r="846">
      <c r="C846" s="50"/>
      <c r="D846" s="50"/>
      <c r="E846" s="50"/>
    </row>
    <row r="847">
      <c r="C847" s="50"/>
      <c r="D847" s="50"/>
      <c r="E847" s="50"/>
    </row>
    <row r="848">
      <c r="C848" s="50"/>
      <c r="D848" s="50"/>
      <c r="E848" s="50"/>
    </row>
    <row r="849">
      <c r="C849" s="50"/>
      <c r="D849" s="50"/>
      <c r="E849" s="50"/>
    </row>
    <row r="850">
      <c r="C850" s="50"/>
      <c r="D850" s="50"/>
      <c r="E850" s="50"/>
    </row>
    <row r="851">
      <c r="C851" s="50"/>
      <c r="D851" s="50"/>
      <c r="E851" s="50"/>
    </row>
    <row r="852">
      <c r="C852" s="50"/>
      <c r="D852" s="50"/>
      <c r="E852" s="50"/>
    </row>
    <row r="853">
      <c r="C853" s="50"/>
      <c r="D853" s="50"/>
      <c r="E853" s="50"/>
    </row>
    <row r="854">
      <c r="C854" s="50"/>
      <c r="D854" s="50"/>
      <c r="E854" s="50"/>
    </row>
    <row r="855">
      <c r="C855" s="50"/>
      <c r="D855" s="50"/>
      <c r="E855" s="50"/>
    </row>
    <row r="856">
      <c r="C856" s="50"/>
      <c r="D856" s="50"/>
      <c r="E856" s="50"/>
    </row>
    <row r="857">
      <c r="C857" s="50"/>
      <c r="D857" s="50"/>
      <c r="E857" s="50"/>
    </row>
    <row r="858">
      <c r="C858" s="50"/>
      <c r="D858" s="50"/>
      <c r="E858" s="50"/>
    </row>
    <row r="859">
      <c r="C859" s="50"/>
      <c r="D859" s="50"/>
      <c r="E859" s="50"/>
    </row>
    <row r="860">
      <c r="C860" s="50"/>
      <c r="D860" s="50"/>
      <c r="E860" s="50"/>
    </row>
    <row r="861">
      <c r="C861" s="50"/>
      <c r="D861" s="50"/>
      <c r="E861" s="50"/>
    </row>
    <row r="862">
      <c r="C862" s="50"/>
      <c r="D862" s="50"/>
      <c r="E862" s="50"/>
    </row>
    <row r="863">
      <c r="C863" s="50"/>
      <c r="D863" s="50"/>
      <c r="E863" s="50"/>
    </row>
    <row r="864">
      <c r="C864" s="50"/>
      <c r="D864" s="50"/>
      <c r="E864" s="50"/>
    </row>
    <row r="865">
      <c r="C865" s="50"/>
      <c r="D865" s="50"/>
      <c r="E865" s="50"/>
    </row>
    <row r="866">
      <c r="C866" s="50"/>
      <c r="D866" s="50"/>
      <c r="E866" s="50"/>
    </row>
    <row r="867">
      <c r="C867" s="50"/>
      <c r="D867" s="50"/>
      <c r="E867" s="50"/>
    </row>
    <row r="868">
      <c r="C868" s="50"/>
      <c r="D868" s="50"/>
      <c r="E868" s="50"/>
    </row>
    <row r="869">
      <c r="C869" s="50"/>
      <c r="D869" s="50"/>
      <c r="E869" s="50"/>
    </row>
    <row r="870">
      <c r="C870" s="50"/>
      <c r="D870" s="50"/>
      <c r="E870" s="50"/>
    </row>
    <row r="871">
      <c r="C871" s="50"/>
      <c r="D871" s="50"/>
      <c r="E871" s="50"/>
    </row>
    <row r="872">
      <c r="C872" s="50"/>
      <c r="D872" s="50"/>
      <c r="E872" s="50"/>
    </row>
    <row r="873">
      <c r="C873" s="50"/>
      <c r="D873" s="50"/>
      <c r="E873" s="50"/>
    </row>
    <row r="874">
      <c r="C874" s="50"/>
      <c r="D874" s="50"/>
      <c r="E874" s="50"/>
    </row>
    <row r="875">
      <c r="C875" s="50"/>
      <c r="D875" s="50"/>
      <c r="E875" s="50"/>
    </row>
    <row r="876">
      <c r="C876" s="50"/>
      <c r="D876" s="50"/>
      <c r="E876" s="50"/>
    </row>
    <row r="877">
      <c r="C877" s="50"/>
      <c r="D877" s="50"/>
      <c r="E877" s="50"/>
    </row>
    <row r="878">
      <c r="C878" s="50"/>
      <c r="D878" s="50"/>
      <c r="E878" s="50"/>
    </row>
    <row r="879">
      <c r="C879" s="50"/>
      <c r="D879" s="50"/>
      <c r="E879" s="50"/>
    </row>
    <row r="880">
      <c r="C880" s="50"/>
      <c r="D880" s="50"/>
      <c r="E880" s="50"/>
    </row>
    <row r="881">
      <c r="C881" s="50"/>
      <c r="D881" s="50"/>
      <c r="E881" s="50"/>
    </row>
    <row r="882">
      <c r="C882" s="50"/>
      <c r="D882" s="50"/>
      <c r="E882" s="50"/>
    </row>
    <row r="883">
      <c r="C883" s="50"/>
      <c r="D883" s="50"/>
      <c r="E883" s="50"/>
    </row>
    <row r="884">
      <c r="C884" s="50"/>
      <c r="D884" s="50"/>
      <c r="E884" s="50"/>
    </row>
    <row r="885">
      <c r="C885" s="50"/>
      <c r="D885" s="50"/>
      <c r="E885" s="50"/>
    </row>
    <row r="886">
      <c r="C886" s="50"/>
      <c r="D886" s="50"/>
      <c r="E886" s="50"/>
    </row>
    <row r="887">
      <c r="C887" s="50"/>
      <c r="D887" s="50"/>
      <c r="E887" s="50"/>
    </row>
    <row r="888">
      <c r="C888" s="50"/>
      <c r="D888" s="50"/>
      <c r="E888" s="50"/>
    </row>
    <row r="889">
      <c r="C889" s="50"/>
      <c r="D889" s="50"/>
      <c r="E889" s="50"/>
    </row>
    <row r="890">
      <c r="C890" s="50"/>
      <c r="D890" s="50"/>
      <c r="E890" s="50"/>
    </row>
    <row r="891">
      <c r="C891" s="50"/>
      <c r="D891" s="50"/>
      <c r="E891" s="50"/>
    </row>
    <row r="892">
      <c r="C892" s="50"/>
      <c r="D892" s="50"/>
      <c r="E892" s="50"/>
    </row>
    <row r="893">
      <c r="C893" s="50"/>
      <c r="D893" s="50"/>
      <c r="E893" s="50"/>
    </row>
    <row r="894">
      <c r="C894" s="50"/>
      <c r="D894" s="50"/>
      <c r="E894" s="50"/>
    </row>
    <row r="895">
      <c r="C895" s="50"/>
      <c r="D895" s="50"/>
      <c r="E895" s="50"/>
    </row>
    <row r="896">
      <c r="C896" s="50"/>
      <c r="D896" s="50"/>
      <c r="E896" s="50"/>
    </row>
    <row r="897">
      <c r="C897" s="50"/>
      <c r="D897" s="50"/>
      <c r="E897" s="50"/>
    </row>
    <row r="898">
      <c r="C898" s="50"/>
      <c r="D898" s="50"/>
      <c r="E898" s="50"/>
    </row>
    <row r="899">
      <c r="C899" s="50"/>
      <c r="D899" s="50"/>
      <c r="E899" s="50"/>
    </row>
    <row r="900">
      <c r="C900" s="50"/>
      <c r="D900" s="50"/>
      <c r="E900" s="50"/>
    </row>
    <row r="901">
      <c r="C901" s="50"/>
      <c r="D901" s="50"/>
      <c r="E901" s="50"/>
    </row>
    <row r="902">
      <c r="C902" s="50"/>
      <c r="D902" s="50"/>
      <c r="E902" s="50"/>
    </row>
    <row r="903">
      <c r="C903" s="50"/>
      <c r="D903" s="50"/>
      <c r="E903" s="50"/>
    </row>
    <row r="904">
      <c r="C904" s="50"/>
      <c r="D904" s="50"/>
      <c r="E904" s="50"/>
    </row>
    <row r="905">
      <c r="C905" s="50"/>
      <c r="D905" s="50"/>
      <c r="E905" s="50"/>
    </row>
    <row r="906">
      <c r="C906" s="50"/>
      <c r="D906" s="50"/>
      <c r="E906" s="50"/>
    </row>
    <row r="907">
      <c r="C907" s="50"/>
      <c r="D907" s="50"/>
      <c r="E907" s="50"/>
    </row>
    <row r="908">
      <c r="C908" s="50"/>
      <c r="D908" s="50"/>
      <c r="E908" s="50"/>
    </row>
    <row r="909">
      <c r="C909" s="50"/>
      <c r="D909" s="50"/>
      <c r="E909" s="50"/>
    </row>
    <row r="910">
      <c r="C910" s="50"/>
      <c r="D910" s="50"/>
      <c r="E910" s="50"/>
    </row>
    <row r="911">
      <c r="C911" s="50"/>
      <c r="D911" s="50"/>
      <c r="E911" s="50"/>
    </row>
    <row r="912">
      <c r="C912" s="50"/>
      <c r="D912" s="50"/>
      <c r="E912" s="50"/>
    </row>
    <row r="913">
      <c r="C913" s="50"/>
      <c r="D913" s="50"/>
      <c r="E913" s="50"/>
    </row>
    <row r="914">
      <c r="C914" s="50"/>
      <c r="D914" s="50"/>
      <c r="E914" s="50"/>
    </row>
    <row r="915">
      <c r="C915" s="50"/>
      <c r="D915" s="50"/>
      <c r="E915" s="50"/>
    </row>
    <row r="916">
      <c r="C916" s="50"/>
      <c r="D916" s="50"/>
      <c r="E916" s="50"/>
    </row>
    <row r="917">
      <c r="C917" s="50"/>
      <c r="D917" s="50"/>
      <c r="E917" s="50"/>
    </row>
    <row r="918">
      <c r="C918" s="50"/>
      <c r="D918" s="50"/>
      <c r="E918" s="50"/>
    </row>
    <row r="919">
      <c r="C919" s="50"/>
      <c r="D919" s="50"/>
      <c r="E919" s="50"/>
    </row>
    <row r="920">
      <c r="C920" s="50"/>
      <c r="D920" s="50"/>
      <c r="E920" s="50"/>
    </row>
    <row r="921">
      <c r="C921" s="50"/>
      <c r="D921" s="50"/>
      <c r="E921" s="50"/>
    </row>
    <row r="922">
      <c r="C922" s="50"/>
      <c r="D922" s="50"/>
      <c r="E922" s="50"/>
    </row>
    <row r="923">
      <c r="C923" s="50"/>
      <c r="D923" s="50"/>
      <c r="E923" s="50"/>
    </row>
    <row r="924">
      <c r="C924" s="50"/>
      <c r="D924" s="50"/>
      <c r="E924" s="50"/>
    </row>
    <row r="925">
      <c r="C925" s="50"/>
      <c r="D925" s="50"/>
      <c r="E925" s="50"/>
    </row>
    <row r="926">
      <c r="C926" s="50"/>
      <c r="D926" s="50"/>
      <c r="E926" s="50"/>
    </row>
    <row r="927">
      <c r="C927" s="50"/>
      <c r="D927" s="50"/>
      <c r="E927" s="50"/>
    </row>
    <row r="928">
      <c r="C928" s="50"/>
      <c r="D928" s="50"/>
      <c r="E928" s="50"/>
    </row>
    <row r="929">
      <c r="C929" s="50"/>
      <c r="D929" s="50"/>
      <c r="E929" s="50"/>
    </row>
    <row r="930">
      <c r="C930" s="50"/>
      <c r="D930" s="50"/>
      <c r="E930" s="50"/>
    </row>
    <row r="931">
      <c r="C931" s="50"/>
      <c r="D931" s="50"/>
      <c r="E931" s="50"/>
    </row>
    <row r="932">
      <c r="C932" s="50"/>
      <c r="D932" s="50"/>
      <c r="E932" s="50"/>
    </row>
    <row r="933">
      <c r="C933" s="50"/>
      <c r="D933" s="50"/>
      <c r="E933" s="50"/>
    </row>
    <row r="934">
      <c r="C934" s="50"/>
      <c r="D934" s="50"/>
      <c r="E934" s="50"/>
    </row>
    <row r="935">
      <c r="C935" s="50"/>
      <c r="D935" s="50"/>
      <c r="E935" s="50"/>
    </row>
    <row r="936">
      <c r="C936" s="50"/>
      <c r="D936" s="50"/>
      <c r="E936" s="50"/>
    </row>
    <row r="937">
      <c r="C937" s="50"/>
      <c r="D937" s="50"/>
      <c r="E937" s="50"/>
    </row>
    <row r="938">
      <c r="C938" s="50"/>
      <c r="D938" s="50"/>
      <c r="E938" s="50"/>
    </row>
    <row r="939">
      <c r="C939" s="50"/>
      <c r="D939" s="50"/>
      <c r="E939" s="50"/>
    </row>
    <row r="940">
      <c r="C940" s="50"/>
      <c r="D940" s="50"/>
      <c r="E940" s="50"/>
    </row>
    <row r="941">
      <c r="C941" s="50"/>
      <c r="D941" s="50"/>
      <c r="E941" s="50"/>
    </row>
    <row r="942">
      <c r="C942" s="50"/>
      <c r="D942" s="50"/>
      <c r="E942" s="50"/>
    </row>
    <row r="943">
      <c r="C943" s="50"/>
      <c r="D943" s="50"/>
      <c r="E943" s="50"/>
    </row>
    <row r="944">
      <c r="C944" s="50"/>
      <c r="D944" s="50"/>
      <c r="E944" s="50"/>
    </row>
    <row r="945">
      <c r="C945" s="50"/>
      <c r="D945" s="50"/>
      <c r="E945" s="50"/>
    </row>
    <row r="946">
      <c r="C946" s="50"/>
      <c r="D946" s="50"/>
      <c r="E946" s="50"/>
    </row>
    <row r="947">
      <c r="C947" s="50"/>
      <c r="D947" s="50"/>
      <c r="E947" s="50"/>
    </row>
    <row r="948">
      <c r="C948" s="50"/>
      <c r="D948" s="50"/>
      <c r="E948" s="50"/>
    </row>
    <row r="949">
      <c r="C949" s="50"/>
      <c r="D949" s="50"/>
      <c r="E949" s="50"/>
    </row>
    <row r="950">
      <c r="C950" s="50"/>
      <c r="D950" s="50"/>
      <c r="E950" s="50"/>
    </row>
    <row r="951">
      <c r="C951" s="50"/>
      <c r="D951" s="50"/>
      <c r="E951" s="50"/>
    </row>
    <row r="952">
      <c r="C952" s="50"/>
      <c r="D952" s="50"/>
      <c r="E952" s="50"/>
    </row>
    <row r="953">
      <c r="C953" s="50"/>
      <c r="D953" s="50"/>
      <c r="E953" s="50"/>
    </row>
    <row r="954">
      <c r="C954" s="50"/>
      <c r="D954" s="50"/>
      <c r="E954" s="50"/>
    </row>
    <row r="955">
      <c r="C955" s="50"/>
      <c r="D955" s="50"/>
      <c r="E955" s="50"/>
    </row>
    <row r="956">
      <c r="C956" s="50"/>
      <c r="D956" s="50"/>
      <c r="E956" s="50"/>
    </row>
    <row r="957">
      <c r="C957" s="50"/>
      <c r="D957" s="50"/>
      <c r="E957" s="50"/>
    </row>
    <row r="958">
      <c r="C958" s="50"/>
      <c r="D958" s="50"/>
      <c r="E958" s="50"/>
    </row>
    <row r="959">
      <c r="C959" s="50"/>
      <c r="D959" s="50"/>
      <c r="E959" s="50"/>
    </row>
    <row r="960">
      <c r="C960" s="50"/>
      <c r="D960" s="50"/>
      <c r="E960" s="50"/>
    </row>
    <row r="961">
      <c r="C961" s="50"/>
      <c r="D961" s="50"/>
      <c r="E961" s="50"/>
    </row>
    <row r="962">
      <c r="C962" s="50"/>
      <c r="D962" s="50"/>
      <c r="E962" s="50"/>
    </row>
    <row r="963">
      <c r="C963" s="50"/>
      <c r="D963" s="50"/>
      <c r="E963" s="50"/>
    </row>
    <row r="964">
      <c r="C964" s="50"/>
      <c r="D964" s="50"/>
      <c r="E964" s="50"/>
    </row>
    <row r="965">
      <c r="C965" s="50"/>
      <c r="D965" s="50"/>
      <c r="E965" s="50"/>
    </row>
    <row r="966">
      <c r="C966" s="50"/>
      <c r="D966" s="50"/>
      <c r="E966" s="50"/>
    </row>
    <row r="967">
      <c r="C967" s="50"/>
      <c r="D967" s="50"/>
      <c r="E967" s="50"/>
    </row>
    <row r="968">
      <c r="C968" s="50"/>
      <c r="D968" s="50"/>
      <c r="E968" s="50"/>
    </row>
    <row r="969">
      <c r="C969" s="50"/>
      <c r="D969" s="50"/>
      <c r="E969" s="50"/>
    </row>
    <row r="970">
      <c r="C970" s="50"/>
      <c r="D970" s="50"/>
      <c r="E970" s="50"/>
    </row>
    <row r="971">
      <c r="C971" s="50"/>
      <c r="D971" s="50"/>
      <c r="E971" s="50"/>
    </row>
    <row r="972">
      <c r="C972" s="50"/>
      <c r="D972" s="50"/>
      <c r="E972" s="50"/>
    </row>
    <row r="973">
      <c r="C973" s="50"/>
      <c r="D973" s="50"/>
      <c r="E973" s="50"/>
    </row>
    <row r="974">
      <c r="C974" s="50"/>
      <c r="D974" s="50"/>
      <c r="E974" s="50"/>
    </row>
    <row r="975">
      <c r="C975" s="50"/>
      <c r="D975" s="50"/>
      <c r="E975" s="50"/>
    </row>
    <row r="976">
      <c r="C976" s="50"/>
      <c r="D976" s="50"/>
      <c r="E976" s="50"/>
    </row>
    <row r="977">
      <c r="C977" s="50"/>
      <c r="D977" s="50"/>
      <c r="E977" s="50"/>
    </row>
    <row r="978">
      <c r="C978" s="50"/>
      <c r="D978" s="50"/>
      <c r="E978" s="50"/>
    </row>
    <row r="979">
      <c r="C979" s="50"/>
      <c r="D979" s="50"/>
      <c r="E979" s="50"/>
    </row>
    <row r="980">
      <c r="C980" s="50"/>
      <c r="D980" s="50"/>
      <c r="E980" s="50"/>
    </row>
    <row r="981">
      <c r="C981" s="50"/>
      <c r="D981" s="50"/>
      <c r="E981" s="50"/>
    </row>
    <row r="982">
      <c r="C982" s="50"/>
      <c r="D982" s="50"/>
      <c r="E982" s="50"/>
    </row>
    <row r="983">
      <c r="C983" s="50"/>
      <c r="D983" s="50"/>
      <c r="E983" s="50"/>
    </row>
    <row r="984">
      <c r="C984" s="50"/>
      <c r="D984" s="50"/>
      <c r="E984" s="50"/>
    </row>
    <row r="985">
      <c r="C985" s="50"/>
      <c r="D985" s="50"/>
      <c r="E985" s="50"/>
    </row>
    <row r="986">
      <c r="C986" s="50"/>
      <c r="D986" s="50"/>
      <c r="E986" s="50"/>
    </row>
    <row r="987">
      <c r="C987" s="50"/>
      <c r="D987" s="50"/>
      <c r="E987" s="50"/>
    </row>
    <row r="988">
      <c r="C988" s="50"/>
      <c r="D988" s="50"/>
      <c r="E988" s="50"/>
    </row>
    <row r="989">
      <c r="C989" s="50"/>
      <c r="D989" s="50"/>
      <c r="E989" s="50"/>
    </row>
    <row r="990">
      <c r="C990" s="50"/>
      <c r="D990" s="50"/>
      <c r="E990" s="50"/>
    </row>
    <row r="991">
      <c r="C991" s="50"/>
      <c r="D991" s="50"/>
      <c r="E991" s="50"/>
    </row>
    <row r="992">
      <c r="C992" s="50"/>
      <c r="D992" s="50"/>
      <c r="E992" s="50"/>
    </row>
    <row r="993">
      <c r="C993" s="50"/>
      <c r="D993" s="50"/>
      <c r="E993" s="50"/>
    </row>
    <row r="994">
      <c r="C994" s="50"/>
      <c r="D994" s="50"/>
      <c r="E994" s="50"/>
    </row>
  </sheetData>
  <mergeCells count="3">
    <mergeCell ref="C3:E3"/>
    <mergeCell ref="C16:E16"/>
    <mergeCell ref="C29:E29"/>
  </mergeCells>
  <conditionalFormatting sqref="T18">
    <cfRule type="notContainsBlanks" dxfId="6" priority="1">
      <formula>LEN(TRIM(T18))&gt;0</formula>
    </cfRule>
  </conditionalFormatting>
  <conditionalFormatting sqref="C8:E8">
    <cfRule type="colorScale" priority="2">
      <colorScale>
        <cfvo type="min"/>
        <cfvo type="max"/>
        <color rgb="FFFFFFFF"/>
        <color rgb="FF57BB8A"/>
      </colorScale>
    </cfRule>
  </conditionalFormatting>
  <conditionalFormatting sqref="C13:E13">
    <cfRule type="colorScale" priority="3">
      <colorScale>
        <cfvo type="min"/>
        <cfvo type="max"/>
        <color rgb="FFFFFFFF"/>
        <color rgb="FF57BB8A"/>
      </colorScale>
    </cfRule>
  </conditionalFormatting>
  <conditionalFormatting sqref="C21:E21">
    <cfRule type="colorScale" priority="4">
      <colorScale>
        <cfvo type="min"/>
        <cfvo type="max"/>
        <color rgb="FFFFFFFF"/>
        <color rgb="FF57BB8A"/>
      </colorScale>
    </cfRule>
  </conditionalFormatting>
  <conditionalFormatting sqref="C26:E26">
    <cfRule type="colorScale" priority="5">
      <colorScale>
        <cfvo type="min"/>
        <cfvo type="max"/>
        <color rgb="FFFFFFFF"/>
        <color rgb="FF57BB8A"/>
      </colorScale>
    </cfRule>
  </conditionalFormatting>
  <conditionalFormatting sqref="C34:E34">
    <cfRule type="colorScale" priority="6">
      <colorScale>
        <cfvo type="min"/>
        <cfvo type="max"/>
        <color rgb="FFFFFFFF"/>
        <color rgb="FF57BB8A"/>
      </colorScale>
    </cfRule>
  </conditionalFormatting>
  <printOptions gridLines="1" horizontalCentered="1"/>
  <pageMargins bottom="0.75" footer="0.0" header="0.0" left="0.7" right="0.7" top="0.75"/>
  <pageSetup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67"/>
    <col customWidth="1" min="2" max="2" width="8.78"/>
    <col customWidth="1" min="3" max="3" width="6.67"/>
    <col customWidth="1" min="11" max="11" width="14.22"/>
    <col customWidth="1" min="12" max="12" width="19.44"/>
  </cols>
  <sheetData>
    <row r="1">
      <c r="C1" s="221"/>
    </row>
    <row r="2">
      <c r="A2" s="222" t="s">
        <v>2606</v>
      </c>
    </row>
    <row r="3">
      <c r="H3" s="222"/>
      <c r="I3" s="222"/>
      <c r="J3" s="222"/>
      <c r="K3" s="222"/>
    </row>
    <row r="4">
      <c r="A4" s="223" t="s">
        <v>2478</v>
      </c>
      <c r="B4" s="223" t="s">
        <v>2460</v>
      </c>
      <c r="C4" s="223" t="s">
        <v>2541</v>
      </c>
      <c r="D4" s="224" t="s">
        <v>2607</v>
      </c>
      <c r="H4" s="4"/>
      <c r="I4" s="134"/>
      <c r="J4" s="135"/>
      <c r="M4" s="10" t="s">
        <v>2472</v>
      </c>
    </row>
    <row r="5">
      <c r="A5" s="225">
        <v>1.0</v>
      </c>
      <c r="B5" s="226">
        <f>IF(M5="","",VLOOKUP(M5,Spieler!A:AX,32,0))</f>
        <v>203.41709</v>
      </c>
      <c r="C5" s="227">
        <f>IF(B5="","",VLOOKUP(M5,Spieler!A:AX,19,0))</f>
        <v>12</v>
      </c>
      <c r="D5" s="228" t="str">
        <f>IF(B5="","",VLOOKUP(M5,Spieler!A:X,3,0))</f>
        <v>Anika Kristof</v>
      </c>
      <c r="M5" s="2">
        <f>Spieler!AI6</f>
        <v>9</v>
      </c>
    </row>
    <row r="6">
      <c r="A6" s="225">
        <v>2.0</v>
      </c>
      <c r="B6" s="226">
        <f>IF(M6="","",VLOOKUP(M6,Spieler!A:AX,32,0))</f>
        <v>195.50014</v>
      </c>
      <c r="C6" s="227">
        <f>IF(B6="","",VLOOKUP(M6,Spieler!A:AX,19,0))</f>
        <v>12</v>
      </c>
      <c r="D6" s="228" t="str">
        <f>IF(B6="","",VLOOKUP(M6,Spieler!A:X,3,0))</f>
        <v>Laura Piros</v>
      </c>
      <c r="M6" s="2">
        <f>Spieler!AI7</f>
        <v>14</v>
      </c>
    </row>
    <row r="7">
      <c r="A7" s="225">
        <v>3.0</v>
      </c>
      <c r="B7" s="226">
        <f>IF(M7="","",VLOOKUP(M7,Spieler!A:AX,32,0))</f>
        <v>189.08315</v>
      </c>
      <c r="C7" s="227">
        <f>IF(B7="","",VLOOKUP(M7,Spieler!A:AX,19,0))</f>
        <v>12</v>
      </c>
      <c r="D7" s="228" t="str">
        <f>IF(B7="","",VLOOKUP(M7,Spieler!A:X,3,0))</f>
        <v>Alexandra Mareiser</v>
      </c>
      <c r="M7" s="2">
        <f>Spieler!AI8</f>
        <v>15</v>
      </c>
    </row>
    <row r="8">
      <c r="A8" s="225">
        <v>4.0</v>
      </c>
      <c r="B8" s="226">
        <f>IF(M8="","",VLOOKUP(M8,Spieler!A:AX,32,0))</f>
        <v>183.33318</v>
      </c>
      <c r="C8" s="227">
        <f>IF(B8="","",VLOOKUP(M8,Spieler!A:AX,19,0))</f>
        <v>12</v>
      </c>
      <c r="D8" s="228" t="str">
        <f>IF(B8="","",VLOOKUP(M8,Spieler!A:X,3,0))</f>
        <v>Natalie Groll</v>
      </c>
      <c r="M8" s="2">
        <f>Spieler!AI9</f>
        <v>18</v>
      </c>
    </row>
    <row r="9">
      <c r="A9" s="225">
        <v>5.0</v>
      </c>
      <c r="B9" s="226">
        <f>IF(M9="","",VLOOKUP(M9,Spieler!A:AX,32,0))</f>
        <v>179.7502</v>
      </c>
      <c r="C9" s="227">
        <f>IF(B9="","",VLOOKUP(M9,Spieler!A:AX,19,0))</f>
        <v>12</v>
      </c>
      <c r="D9" s="228" t="str">
        <f>IF(B9="","",VLOOKUP(M9,Spieler!A:X,3,0))</f>
        <v>Julia Völlmerk</v>
      </c>
      <c r="M9" s="2">
        <f>Spieler!AI10</f>
        <v>20</v>
      </c>
    </row>
    <row r="10">
      <c r="A10" s="225">
        <v>6.0</v>
      </c>
      <c r="B10" s="226">
        <f>IF(M10="","",VLOOKUP(M10,Spieler!A:AX,32,0))</f>
        <v>173.41719</v>
      </c>
      <c r="C10" s="227">
        <f>IF(B10="","",VLOOKUP(M10,Spieler!A:AX,19,0))</f>
        <v>12</v>
      </c>
      <c r="D10" s="228" t="str">
        <f>IF(B10="","",VLOOKUP(M10,Spieler!A:X,3,0))</f>
        <v>Johanna Groll</v>
      </c>
      <c r="M10" s="2">
        <f>Spieler!AI11</f>
        <v>19</v>
      </c>
    </row>
    <row r="11">
      <c r="A11" s="225">
        <v>7.0</v>
      </c>
      <c r="B11" s="226">
        <f>IF(M11="","",VLOOKUP(M11,Spieler!A:AX,32,0))</f>
        <v>173.25022</v>
      </c>
      <c r="C11" s="227">
        <f>IF(B11="","",VLOOKUP(M11,Spieler!A:AX,19,0))</f>
        <v>12</v>
      </c>
      <c r="D11" s="228" t="str">
        <f>IF(B11="","",VLOOKUP(M11,Spieler!A:X,3,0))</f>
        <v>Marina Weiske</v>
      </c>
      <c r="M11" s="2">
        <f>Spieler!AI12</f>
        <v>22</v>
      </c>
    </row>
    <row r="12">
      <c r="A12" s="225">
        <v>8.0</v>
      </c>
      <c r="B12" s="226">
        <f>IF(M12="","",VLOOKUP(M12,Spieler!A:AX,32,0))</f>
        <v>169.75017</v>
      </c>
      <c r="C12" s="227">
        <f>IF(B12="","",VLOOKUP(M12,Spieler!A:AX,19,0))</f>
        <v>12</v>
      </c>
      <c r="D12" s="228" t="str">
        <f>IF(B12="","",VLOOKUP(M12,Spieler!A:X,3,0))</f>
        <v>Jana Witthinrich</v>
      </c>
      <c r="M12" s="2">
        <f>Spieler!AI13</f>
        <v>17</v>
      </c>
    </row>
    <row r="13">
      <c r="A13" s="225">
        <v>9.0</v>
      </c>
      <c r="B13" s="226">
        <f>IF(M13="","",VLOOKUP(M13,Spieler!A:AX,32,0))</f>
        <v>166.41706</v>
      </c>
      <c r="C13" s="227">
        <f>IF(B13="","",VLOOKUP(M13,Spieler!A:AX,19,0))</f>
        <v>12</v>
      </c>
      <c r="D13" s="228" t="str">
        <f>IF(B13="","",VLOOKUP(M13,Spieler!A:X,3,0))</f>
        <v>Nicole Schott</v>
      </c>
      <c r="M13" s="2">
        <f>Spieler!AI14</f>
        <v>6</v>
      </c>
    </row>
    <row r="14">
      <c r="A14" s="225">
        <v>10.0</v>
      </c>
      <c r="B14" s="226">
        <f>IF(M14="","",VLOOKUP(M14,Spieler!A:AX,32,0))</f>
        <v>165.25004</v>
      </c>
      <c r="C14" s="227">
        <f>IF(B14="","",VLOOKUP(M14,Spieler!A:AX,19,0))</f>
        <v>12</v>
      </c>
      <c r="D14" s="228" t="str">
        <f>IF(B14="","",VLOOKUP(M14,Spieler!A:X,3,0))</f>
        <v>Katharina Mang</v>
      </c>
      <c r="M14" s="2">
        <f>Spieler!AI15</f>
        <v>4</v>
      </c>
    </row>
    <row r="15">
      <c r="A15" s="225">
        <v>11.0</v>
      </c>
      <c r="B15" s="226">
        <f>IF(M15="","",VLOOKUP(M15,Spieler!A:AX,32,0))</f>
        <v>163.25007</v>
      </c>
      <c r="C15" s="227">
        <f>IF(B15="","",VLOOKUP(M15,Spieler!A:AX,19,0))</f>
        <v>12</v>
      </c>
      <c r="D15" s="228" t="str">
        <f>IF(B15="","",VLOOKUP(M15,Spieler!A:X,3,0))</f>
        <v>Monika Schott</v>
      </c>
      <c r="M15" s="2">
        <f>Spieler!AI16</f>
        <v>7</v>
      </c>
    </row>
    <row r="16">
      <c r="A16" s="225">
        <v>12.0</v>
      </c>
      <c r="B16" s="226">
        <f>IF(M16="","",VLOOKUP(M16,Spieler!A:AX,32,0))</f>
        <v>162.91708</v>
      </c>
      <c r="C16" s="227">
        <f>IF(B16="","",VLOOKUP(M16,Spieler!A:AX,19,0))</f>
        <v>12</v>
      </c>
      <c r="D16" s="228" t="str">
        <f>IF(B16="","",VLOOKUP(M16,Spieler!A:X,3,0))</f>
        <v>Helene Schick</v>
      </c>
      <c r="M16" s="2">
        <f>Spieler!AI17</f>
        <v>8</v>
      </c>
    </row>
    <row r="17">
      <c r="A17" s="225">
        <v>13.0</v>
      </c>
      <c r="B17" s="226">
        <f>IF(M17="","",VLOOKUP(M17,Spieler!A:AX,32,0))</f>
        <v>154.83301</v>
      </c>
      <c r="C17" s="227">
        <f>IF(B17="","",VLOOKUP(M17,Spieler!A:AX,19,0))</f>
        <v>12</v>
      </c>
      <c r="D17" s="228" t="str">
        <f>IF(B17="","",VLOOKUP(M17,Spieler!A:X,3,0))</f>
        <v>Else Schuster</v>
      </c>
      <c r="M17" s="2">
        <f>Spieler!AI18</f>
        <v>1</v>
      </c>
    </row>
    <row r="18">
      <c r="A18" s="225">
        <v>14.0</v>
      </c>
      <c r="B18" s="226">
        <f>IF(M18="","",VLOOKUP(M18,Spieler!A:AX,32,0))</f>
        <v>154.16716</v>
      </c>
      <c r="C18" s="227">
        <f>IF(B18="","",VLOOKUP(M18,Spieler!A:AX,19,0))</f>
        <v>12</v>
      </c>
      <c r="D18" s="228" t="str">
        <f>IF(B18="","",VLOOKUP(M18,Spieler!A:X,3,0))</f>
        <v>Regina Gahr</v>
      </c>
      <c r="M18" s="2">
        <f>Spieler!AI19</f>
        <v>16</v>
      </c>
    </row>
    <row r="19">
      <c r="A19" s="225">
        <v>15.0</v>
      </c>
      <c r="B19" s="226">
        <f>IF(M19="","",VLOOKUP(M19,Spieler!A:AX,32,0))</f>
        <v>151.9171</v>
      </c>
      <c r="C19" s="227">
        <f>IF(B19="","",VLOOKUP(M19,Spieler!A:AX,19,0))</f>
        <v>12</v>
      </c>
      <c r="D19" s="228" t="str">
        <f>IF(B19="","",VLOOKUP(M19,Spieler!A:X,3,0))</f>
        <v>Bianca Leinemann</v>
      </c>
      <c r="M19" s="2">
        <f>Spieler!AI20</f>
        <v>10</v>
      </c>
    </row>
    <row r="20">
      <c r="A20" s="225">
        <v>16.0</v>
      </c>
      <c r="B20" s="226">
        <f>IF(M20="","",VLOOKUP(M20,Spieler!A:AX,32,0))</f>
        <v>150.25021</v>
      </c>
      <c r="C20" s="227">
        <f>IF(B20="","",VLOOKUP(M20,Spieler!A:AX,19,0))</f>
        <v>12</v>
      </c>
      <c r="D20" s="228" t="str">
        <f>IF(B20="","",VLOOKUP(M20,Spieler!A:X,3,0))</f>
        <v>Rica Jahre</v>
      </c>
      <c r="M20" s="2">
        <f>Spieler!AI21</f>
        <v>21</v>
      </c>
    </row>
    <row r="21">
      <c r="A21" s="225">
        <v>17.0</v>
      </c>
      <c r="B21" s="226">
        <f>IF(M21="","",VLOOKUP(M21,Spieler!A:AX,32,0))</f>
        <v>149.91711</v>
      </c>
      <c r="C21" s="227">
        <f>IF(B21="","",VLOOKUP(M21,Spieler!A:AX,19,0))</f>
        <v>12</v>
      </c>
      <c r="D21" s="228" t="str">
        <f>IF(B21="","",VLOOKUP(M21,Spieler!A:X,3,0))</f>
        <v>Sabaithip Mekjinda</v>
      </c>
      <c r="M21" s="2">
        <f>Spieler!AI22</f>
        <v>11</v>
      </c>
    </row>
    <row r="22">
      <c r="A22" s="225">
        <v>18.0</v>
      </c>
      <c r="B22" s="226">
        <f>IF(M22="","",VLOOKUP(M22,Spieler!A:AX,32,0))</f>
        <v>148.66713</v>
      </c>
      <c r="C22" s="227">
        <f>IF(B22="","",VLOOKUP(M22,Spieler!A:AX,19,0))</f>
        <v>12</v>
      </c>
      <c r="D22" s="228" t="str">
        <f>IF(B22="","",VLOOKUP(M22,Spieler!A:X,3,0))</f>
        <v>Nadja Seidlein</v>
      </c>
      <c r="M22" s="2">
        <f>Spieler!AI23</f>
        <v>13</v>
      </c>
    </row>
    <row r="23">
      <c r="A23" s="225">
        <v>19.0</v>
      </c>
      <c r="B23" s="226">
        <f>IF(M23="","",VLOOKUP(M23,Spieler!A:AX,32,0))</f>
        <v>141.75005</v>
      </c>
      <c r="C23" s="227">
        <f>IF(B23="","",VLOOKUP(M23,Spieler!A:AX,19,0))</f>
        <v>12</v>
      </c>
      <c r="D23" s="228" t="str">
        <f>IF(B23="","",VLOOKUP(M23,Spieler!A:X,3,0))</f>
        <v>Denise Schwertfeger</v>
      </c>
      <c r="M23" s="2">
        <f>Spieler!AI24</f>
        <v>5</v>
      </c>
    </row>
    <row r="24">
      <c r="A24" s="225">
        <v>20.0</v>
      </c>
      <c r="B24" s="226">
        <f>IF(M24="","",VLOOKUP(M24,Spieler!A:AX,32,0))</f>
        <v>137.50002</v>
      </c>
      <c r="C24" s="227">
        <f>IF(B24="","",VLOOKUP(M24,Spieler!A:AX,19,0))</f>
        <v>12</v>
      </c>
      <c r="D24" s="228" t="str">
        <f>IF(B24="","",VLOOKUP(M24,Spieler!A:X,3,0))</f>
        <v>Roswitha Schulz-Burkert</v>
      </c>
      <c r="M24" s="2">
        <f>Spieler!AI25</f>
        <v>2</v>
      </c>
    </row>
    <row r="25">
      <c r="A25" s="225">
        <v>21.0</v>
      </c>
      <c r="B25" s="226">
        <f>IF(M25="","",VLOOKUP(M25,Spieler!A:AX,32,0))</f>
        <v>133.00003</v>
      </c>
      <c r="C25" s="227">
        <f>IF(B25="","",VLOOKUP(M25,Spieler!A:AX,19,0))</f>
        <v>12</v>
      </c>
      <c r="D25" s="228" t="str">
        <f>IF(B25="","",VLOOKUP(M25,Spieler!A:X,3,0))</f>
        <v>Ingeborg Schmitt</v>
      </c>
      <c r="M25" s="2">
        <f>Spieler!AI26</f>
        <v>3</v>
      </c>
    </row>
    <row r="26">
      <c r="A26" s="225">
        <v>22.0</v>
      </c>
      <c r="B26" s="226">
        <f>IF(M26="","",VLOOKUP(M26,Spieler!A:AX,32,0))</f>
        <v>131.16712</v>
      </c>
      <c r="C26" s="227">
        <f>IF(B26="","",VLOOKUP(M26,Spieler!A:AX,19,0))</f>
        <v>12</v>
      </c>
      <c r="D26" s="228" t="str">
        <f>IF(B26="","",VLOOKUP(M26,Spieler!A:X,3,0))</f>
        <v>Stephanie Fischer</v>
      </c>
      <c r="M26" s="2">
        <f>Spieler!AI27</f>
        <v>12</v>
      </c>
    </row>
    <row r="27">
      <c r="A27" s="225">
        <v>23.0</v>
      </c>
      <c r="B27" s="226" t="str">
        <f>IF(M27="","",VLOOKUP(M27,Spieler!A:AX,32,0))</f>
        <v/>
      </c>
      <c r="C27" s="227" t="str">
        <f>IF(B27="","",VLOOKUP(M27,Spieler!A:AX,19,0))</f>
        <v/>
      </c>
      <c r="D27" s="228" t="str">
        <f>IF(B27="","",VLOOKUP(M27,Spieler!A:X,3,0))</f>
        <v/>
      </c>
      <c r="M27" s="2" t="str">
        <f>Spieler!AI28</f>
        <v/>
      </c>
    </row>
    <row r="28">
      <c r="A28" s="225">
        <v>24.0</v>
      </c>
      <c r="B28" s="226" t="str">
        <f>IF(M28="","",VLOOKUP(M28,Spieler!A:AX,32,0))</f>
        <v/>
      </c>
      <c r="C28" s="227" t="str">
        <f>IF(B28="","",VLOOKUP(M28,Spieler!A:AX,19,0))</f>
        <v/>
      </c>
      <c r="D28" s="228" t="str">
        <f>IF(B28="","",VLOOKUP(M28,Spieler!A:X,3,0))</f>
        <v/>
      </c>
      <c r="M28" s="2" t="str">
        <f>Spieler!AI29</f>
        <v/>
      </c>
    </row>
    <row r="29">
      <c r="A29" s="225">
        <v>25.0</v>
      </c>
      <c r="B29" s="226" t="str">
        <f>IF(M29="","",VLOOKUP(M29,Spieler!A:AX,32,0))</f>
        <v/>
      </c>
      <c r="C29" s="227" t="str">
        <f>IF(B29="","",VLOOKUP(M29,Spieler!A:AX,19,0))</f>
        <v/>
      </c>
      <c r="D29" s="228" t="str">
        <f>IF(B29="","",VLOOKUP(M29,Spieler!A:X,3,0))</f>
        <v/>
      </c>
      <c r="M29" s="2" t="str">
        <f>Spieler!AI30</f>
        <v/>
      </c>
    </row>
    <row r="30">
      <c r="A30" s="225">
        <v>26.0</v>
      </c>
      <c r="B30" s="226" t="str">
        <f>IF(M30="","",VLOOKUP(M30,Spieler!A:AX,32,0))</f>
        <v/>
      </c>
      <c r="C30" s="227" t="str">
        <f>IF(B30="","",VLOOKUP(M30,Spieler!A:AX,19,0))</f>
        <v/>
      </c>
      <c r="D30" s="228" t="str">
        <f>IF(B30="","",VLOOKUP(M30,Spieler!A:X,3,0))</f>
        <v/>
      </c>
      <c r="M30" s="2" t="str">
        <f>Spieler!AI31</f>
        <v/>
      </c>
    </row>
    <row r="31">
      <c r="A31" s="225">
        <v>27.0</v>
      </c>
      <c r="B31" s="226" t="str">
        <f>IF(M31="","",VLOOKUP(M31,Spieler!A:AX,32,0))</f>
        <v/>
      </c>
      <c r="C31" s="227" t="str">
        <f>IF(B31="","",VLOOKUP(M31,Spieler!A:AX,19,0))</f>
        <v/>
      </c>
      <c r="D31" s="228" t="str">
        <f>IF(B31="","",VLOOKUP(M31,Spieler!A:X,3,0))</f>
        <v/>
      </c>
      <c r="M31" s="2" t="str">
        <f>Spieler!AI32</f>
        <v/>
      </c>
    </row>
    <row r="32">
      <c r="A32" s="225">
        <v>28.0</v>
      </c>
      <c r="B32" s="226" t="str">
        <f>IF(M32="","",VLOOKUP(M32,Spieler!A:AX,32,0))</f>
        <v/>
      </c>
      <c r="C32" s="227" t="str">
        <f>IF(B32="","",VLOOKUP(M32,Spieler!A:AX,19,0))</f>
        <v/>
      </c>
      <c r="D32" s="228" t="str">
        <f>IF(B32="","",VLOOKUP(M32,Spieler!A:X,3,0))</f>
        <v/>
      </c>
      <c r="M32" s="2" t="str">
        <f>Spieler!AI33</f>
        <v/>
      </c>
    </row>
    <row r="33">
      <c r="A33" s="225">
        <v>29.0</v>
      </c>
      <c r="B33" s="226" t="str">
        <f>IF(M33="","",VLOOKUP(M33,Spieler!A:AX,32,0))</f>
        <v/>
      </c>
      <c r="C33" s="227" t="str">
        <f>IF(B33="","",VLOOKUP(M33,Spieler!A:AX,19,0))</f>
        <v/>
      </c>
      <c r="D33" s="228" t="str">
        <f>IF(B33="","",VLOOKUP(M33,Spieler!A:X,3,0))</f>
        <v/>
      </c>
      <c r="M33" s="2" t="str">
        <f>Spieler!AI34</f>
        <v/>
      </c>
    </row>
    <row r="34">
      <c r="A34" s="225">
        <v>30.0</v>
      </c>
      <c r="B34" s="226" t="str">
        <f>IF(M34="","",VLOOKUP(M34,Spieler!A:AX,32,0))</f>
        <v/>
      </c>
      <c r="C34" s="227" t="str">
        <f>IF(B34="","",VLOOKUP(M34,Spieler!A:AX,19,0))</f>
        <v/>
      </c>
      <c r="D34" s="228" t="str">
        <f>IF(B34="","",VLOOKUP(M34,Spieler!A:X,3,0))</f>
        <v/>
      </c>
      <c r="M34" s="2" t="str">
        <f>Spieler!AI35</f>
        <v/>
      </c>
    </row>
    <row r="35">
      <c r="A35" s="225">
        <v>31.0</v>
      </c>
      <c r="B35" s="226" t="str">
        <f>IF(M35="","",VLOOKUP(M35,Spieler!A:AX,32,0))</f>
        <v/>
      </c>
      <c r="C35" s="227" t="str">
        <f>IF(B35="","",VLOOKUP(M35,Spieler!A:AX,19,0))</f>
        <v/>
      </c>
      <c r="D35" s="228" t="str">
        <f>IF(B35="","",VLOOKUP(M35,Spieler!A:X,3,0))</f>
        <v/>
      </c>
      <c r="M35" s="2" t="str">
        <f>Spieler!AI36</f>
        <v/>
      </c>
    </row>
    <row r="36">
      <c r="A36" s="225">
        <v>32.0</v>
      </c>
      <c r="B36" s="226" t="str">
        <f>IF(M36="","",VLOOKUP(M36,Spieler!A:AX,32,0))</f>
        <v/>
      </c>
      <c r="C36" s="227" t="str">
        <f>IF(B36="","",VLOOKUP(M36,Spieler!A:AX,19,0))</f>
        <v/>
      </c>
      <c r="D36" s="228" t="str">
        <f>IF(B36="","",VLOOKUP(M36,Spieler!A:X,3,0))</f>
        <v/>
      </c>
      <c r="M36" s="2" t="str">
        <f>Spieler!AI37</f>
        <v/>
      </c>
    </row>
    <row r="37">
      <c r="A37" s="225">
        <v>33.0</v>
      </c>
      <c r="B37" s="226" t="str">
        <f>IF(M37="","",VLOOKUP(M37,Spieler!A:AX,32,0))</f>
        <v/>
      </c>
      <c r="C37" s="227" t="str">
        <f>IF(B37="","",VLOOKUP(M37,Spieler!A:AX,19,0))</f>
        <v/>
      </c>
      <c r="D37" s="228" t="str">
        <f>IF(B37="","",VLOOKUP(M37,Spieler!A:X,3,0))</f>
        <v/>
      </c>
      <c r="M37" s="2" t="str">
        <f>Spieler!AI38</f>
        <v/>
      </c>
    </row>
    <row r="38">
      <c r="A38" s="225">
        <v>34.0</v>
      </c>
      <c r="B38" s="226" t="str">
        <f>IF(M38="","",VLOOKUP(M38,Spieler!A:AX,32,0))</f>
        <v/>
      </c>
      <c r="C38" s="227" t="str">
        <f>IF(B38="","",VLOOKUP(M38,Spieler!A:AX,19,0))</f>
        <v/>
      </c>
      <c r="D38" s="228" t="str">
        <f>IF(B38="","",VLOOKUP(M38,Spieler!A:X,3,0))</f>
        <v/>
      </c>
      <c r="M38" s="2" t="str">
        <f>Spieler!AI39</f>
        <v/>
      </c>
    </row>
    <row r="39">
      <c r="A39" s="225">
        <v>35.0</v>
      </c>
      <c r="B39" s="226" t="str">
        <f>IF(M39="","",VLOOKUP(M39,Spieler!A:AX,32,0))</f>
        <v/>
      </c>
      <c r="C39" s="227" t="str">
        <f>IF(B39="","",VLOOKUP(M39,Spieler!A:AX,19,0))</f>
        <v/>
      </c>
      <c r="D39" s="228" t="str">
        <f>IF(B39="","",VLOOKUP(M39,Spieler!A:X,3,0))</f>
        <v/>
      </c>
      <c r="M39" s="2" t="str">
        <f>Spieler!AI40</f>
        <v/>
      </c>
    </row>
    <row r="40">
      <c r="A40" s="225">
        <v>36.0</v>
      </c>
      <c r="B40" s="226" t="str">
        <f>IF(M40="","",VLOOKUP(M40,Spieler!A:AX,32,0))</f>
        <v/>
      </c>
      <c r="C40" s="227" t="str">
        <f>IF(B40="","",VLOOKUP(M40,Spieler!A:AX,19,0))</f>
        <v/>
      </c>
      <c r="D40" s="228" t="str">
        <f>IF(B40="","",VLOOKUP(M40,Spieler!A:X,3,0))</f>
        <v/>
      </c>
      <c r="M40" s="2" t="str">
        <f>Spieler!AI41</f>
        <v/>
      </c>
    </row>
    <row r="41">
      <c r="A41" s="225">
        <v>37.0</v>
      </c>
      <c r="B41" s="226" t="str">
        <f>IF(M41="","",VLOOKUP(M41,Spieler!A:AX,32,0))</f>
        <v/>
      </c>
      <c r="C41" s="227" t="str">
        <f>IF(B41="","",VLOOKUP(M41,Spieler!A:AX,19,0))</f>
        <v/>
      </c>
      <c r="D41" s="228" t="str">
        <f>IF(B41="","",VLOOKUP(M41,Spieler!A:X,3,0))</f>
        <v/>
      </c>
      <c r="M41" s="2" t="str">
        <f>Spieler!AI42</f>
        <v/>
      </c>
    </row>
    <row r="42">
      <c r="A42" s="225">
        <v>38.0</v>
      </c>
      <c r="B42" s="226" t="str">
        <f>IF(M42="","",VLOOKUP(M42,Spieler!A:AX,32,0))</f>
        <v/>
      </c>
      <c r="C42" s="227" t="str">
        <f>IF(B42="","",VLOOKUP(M42,Spieler!A:AX,19,0))</f>
        <v/>
      </c>
      <c r="D42" s="228" t="str">
        <f>IF(B42="","",VLOOKUP(M42,Spieler!A:X,3,0))</f>
        <v/>
      </c>
      <c r="M42" s="2" t="str">
        <f>Spieler!AI43</f>
        <v/>
      </c>
    </row>
    <row r="43">
      <c r="A43" s="225">
        <v>39.0</v>
      </c>
      <c r="B43" s="226" t="str">
        <f>IF(M43="","",VLOOKUP(M43,Spieler!A:AX,32,0))</f>
        <v/>
      </c>
      <c r="C43" s="227" t="str">
        <f>IF(B43="","",VLOOKUP(M43,Spieler!A:AX,19,0))</f>
        <v/>
      </c>
      <c r="D43" s="228" t="str">
        <f>IF(B43="","",VLOOKUP(M43,Spieler!A:X,3,0))</f>
        <v/>
      </c>
      <c r="M43" s="2" t="str">
        <f>Spieler!AI44</f>
        <v/>
      </c>
    </row>
    <row r="44">
      <c r="A44" s="225">
        <v>40.0</v>
      </c>
      <c r="B44" s="226" t="str">
        <f>IF(M44="","",VLOOKUP(M44,Spieler!A:AX,32,0))</f>
        <v/>
      </c>
      <c r="C44" s="227" t="str">
        <f>IF(B44="","",VLOOKUP(M44,Spieler!A:AX,19,0))</f>
        <v/>
      </c>
      <c r="D44" s="228" t="str">
        <f>IF(B44="","",VLOOKUP(M44,Spieler!A:X,3,0))</f>
        <v/>
      </c>
      <c r="M44" s="2" t="str">
        <f>Spieler!AI45</f>
        <v/>
      </c>
    </row>
    <row r="45">
      <c r="A45" s="225">
        <v>41.0</v>
      </c>
      <c r="B45" s="226" t="str">
        <f>IF(M45="","",VLOOKUP(M45,Spieler!A:AX,32,0))</f>
        <v/>
      </c>
      <c r="C45" s="227" t="str">
        <f>IF(B45="","",VLOOKUP(M45,Spieler!A:AX,19,0))</f>
        <v/>
      </c>
      <c r="D45" s="228" t="str">
        <f>IF(B45="","",VLOOKUP(M45,Spieler!A:X,3,0))</f>
        <v/>
      </c>
      <c r="M45" s="2" t="str">
        <f>Spieler!AI46</f>
        <v/>
      </c>
    </row>
    <row r="46">
      <c r="A46" s="225">
        <v>42.0</v>
      </c>
      <c r="B46" s="226" t="str">
        <f>IF(M46="","",VLOOKUP(M46,Spieler!A:AX,32,0))</f>
        <v/>
      </c>
      <c r="C46" s="227" t="str">
        <f>IF(B46="","",VLOOKUP(M46,Spieler!A:AX,19,0))</f>
        <v/>
      </c>
      <c r="D46" s="228" t="str">
        <f>IF(B46="","",VLOOKUP(M46,Spieler!A:X,3,0))</f>
        <v/>
      </c>
      <c r="M46" s="2" t="str">
        <f>Spieler!AI47</f>
        <v/>
      </c>
    </row>
    <row r="47">
      <c r="A47" s="225">
        <v>43.0</v>
      </c>
      <c r="B47" s="226" t="str">
        <f>IF(M47="","",VLOOKUP(M47,Spieler!A:AX,32,0))</f>
        <v/>
      </c>
      <c r="C47" s="227" t="str">
        <f>IF(B47="","",VLOOKUP(M47,Spieler!A:AX,19,0))</f>
        <v/>
      </c>
      <c r="D47" s="228" t="str">
        <f>IF(B47="","",VLOOKUP(M47,Spieler!A:X,3,0))</f>
        <v/>
      </c>
      <c r="M47" s="2" t="str">
        <f>Spieler!AI48</f>
        <v/>
      </c>
    </row>
    <row r="48">
      <c r="A48" s="225">
        <v>44.0</v>
      </c>
      <c r="B48" s="226" t="str">
        <f>IF(M48="","",VLOOKUP(M48,Spieler!A:AX,32,0))</f>
        <v/>
      </c>
      <c r="C48" s="227" t="str">
        <f>IF(B48="","",VLOOKUP(M48,Spieler!A:AX,19,0))</f>
        <v/>
      </c>
      <c r="D48" s="228" t="str">
        <f>IF(B48="","",VLOOKUP(M48,Spieler!A:X,3,0))</f>
        <v/>
      </c>
      <c r="M48" s="2" t="str">
        <f>Spieler!AI49</f>
        <v/>
      </c>
    </row>
    <row r="49">
      <c r="A49" s="225">
        <v>45.0</v>
      </c>
      <c r="B49" s="226" t="str">
        <f>IF(M49="","",VLOOKUP(M49,Spieler!A:AX,32,0))</f>
        <v/>
      </c>
      <c r="C49" s="227" t="str">
        <f>IF(B49="","",VLOOKUP(M49,Spieler!A:AX,19,0))</f>
        <v/>
      </c>
      <c r="D49" s="228" t="str">
        <f>IF(B49="","",VLOOKUP(M49,Spieler!A:X,3,0))</f>
        <v/>
      </c>
      <c r="M49" s="2" t="str">
        <f>Spieler!AI50</f>
        <v/>
      </c>
    </row>
    <row r="50">
      <c r="A50" s="225">
        <v>46.0</v>
      </c>
      <c r="B50" s="226" t="str">
        <f>IF(M50="","",VLOOKUP(M50,Spieler!A:AX,32,0))</f>
        <v/>
      </c>
      <c r="C50" s="227" t="str">
        <f>IF(B50="","",VLOOKUP(M50,Spieler!A:AX,19,0))</f>
        <v/>
      </c>
      <c r="D50" s="228" t="str">
        <f>IF(B50="","",VLOOKUP(M50,Spieler!A:X,3,0))</f>
        <v/>
      </c>
      <c r="M50" s="2" t="str">
        <f>Spieler!AI51</f>
        <v/>
      </c>
    </row>
    <row r="51">
      <c r="A51" s="225">
        <v>47.0</v>
      </c>
      <c r="B51" s="226" t="str">
        <f>IF(M51="","",VLOOKUP(M51,Spieler!A:AX,32,0))</f>
        <v/>
      </c>
      <c r="C51" s="227" t="str">
        <f>IF(B51="","",VLOOKUP(M51,Spieler!A:AX,19,0))</f>
        <v/>
      </c>
      <c r="D51" s="228" t="str">
        <f>IF(B51="","",VLOOKUP(M51,Spieler!A:X,3,0))</f>
        <v/>
      </c>
      <c r="M51" s="2" t="str">
        <f>Spieler!AI52</f>
        <v/>
      </c>
    </row>
    <row r="52">
      <c r="A52" s="225">
        <v>48.0</v>
      </c>
      <c r="B52" s="226" t="str">
        <f>IF(M52="","",VLOOKUP(M52,Spieler!A:AX,32,0))</f>
        <v/>
      </c>
      <c r="C52" s="227" t="str">
        <f>IF(B52="","",VLOOKUP(M52,Spieler!A:AX,19,0))</f>
        <v/>
      </c>
      <c r="D52" s="228" t="str">
        <f>IF(B52="","",VLOOKUP(M52,Spieler!A:X,3,0))</f>
        <v/>
      </c>
      <c r="M52" s="2" t="str">
        <f>Spieler!AI53</f>
        <v/>
      </c>
    </row>
    <row r="53">
      <c r="A53" s="225">
        <v>49.0</v>
      </c>
      <c r="B53" s="226" t="str">
        <f>IF(M53="","",VLOOKUP(M53,Spieler!A:AX,32,0))</f>
        <v/>
      </c>
      <c r="C53" s="227" t="str">
        <f>IF(B53="","",VLOOKUP(M53,Spieler!A:AX,19,0))</f>
        <v/>
      </c>
      <c r="D53" s="228" t="str">
        <f>IF(B53="","",VLOOKUP(M53,Spieler!A:X,3,0))</f>
        <v/>
      </c>
      <c r="M53" s="2" t="str">
        <f>Spieler!AI54</f>
        <v/>
      </c>
    </row>
    <row r="54">
      <c r="A54" s="225">
        <v>50.0</v>
      </c>
      <c r="B54" s="226" t="str">
        <f>IF(M54="","",VLOOKUP(M54,Spieler!A:AX,32,0))</f>
        <v/>
      </c>
      <c r="C54" s="227" t="str">
        <f>IF(B54="","",VLOOKUP(M54,Spieler!A:AX,19,0))</f>
        <v/>
      </c>
      <c r="D54" s="228" t="str">
        <f>IF(B54="","",VLOOKUP(M54,Spieler!A:X,3,0))</f>
        <v/>
      </c>
      <c r="M54" s="2" t="str">
        <f>Spieler!AI55</f>
        <v/>
      </c>
    </row>
    <row r="55">
      <c r="A55" s="225">
        <v>51.0</v>
      </c>
      <c r="B55" s="226" t="str">
        <f>IF(M55="","",VLOOKUP(M55,Spieler!A:AX,32,0))</f>
        <v/>
      </c>
      <c r="C55" s="227" t="str">
        <f>IF(B55="","",VLOOKUP(M55,Spieler!A:AX,19,0))</f>
        <v/>
      </c>
      <c r="D55" s="228" t="str">
        <f>IF(B55="","",VLOOKUP(M55,Spieler!A:X,3,0))</f>
        <v/>
      </c>
      <c r="M55" s="2" t="str">
        <f>Spieler!AI56</f>
        <v/>
      </c>
    </row>
    <row r="56">
      <c r="A56" s="225">
        <v>52.0</v>
      </c>
      <c r="B56" s="226" t="str">
        <f>IF(M56="","",VLOOKUP(M56,Spieler!A:AX,32,0))</f>
        <v/>
      </c>
      <c r="C56" s="227" t="str">
        <f>IF(B56="","",VLOOKUP(M56,Spieler!A:AX,19,0))</f>
        <v/>
      </c>
      <c r="D56" s="228" t="str">
        <f>IF(B56="","",VLOOKUP(M56,Spieler!A:X,3,0))</f>
        <v/>
      </c>
      <c r="M56" s="2" t="str">
        <f>Spieler!AI57</f>
        <v/>
      </c>
    </row>
    <row r="57">
      <c r="A57" s="225">
        <v>53.0</v>
      </c>
      <c r="B57" s="226" t="str">
        <f>IF(M57="","",VLOOKUP(M57,Spieler!A:AX,32,0))</f>
        <v/>
      </c>
      <c r="C57" s="227" t="str">
        <f>IF(B57="","",VLOOKUP(M57,Spieler!A:AX,19,0))</f>
        <v/>
      </c>
      <c r="D57" s="228" t="str">
        <f>IF(B57="","",VLOOKUP(M57,Spieler!A:X,3,0))</f>
        <v/>
      </c>
      <c r="M57" s="2" t="str">
        <f>Spieler!AI58</f>
        <v/>
      </c>
    </row>
    <row r="58">
      <c r="A58" s="225">
        <v>54.0</v>
      </c>
      <c r="B58" s="226" t="str">
        <f>IF(M58="","",VLOOKUP(M58,Spieler!A:AX,32,0))</f>
        <v/>
      </c>
      <c r="C58" s="227" t="str">
        <f>IF(B58="","",VLOOKUP(M58,Spieler!A:AX,19,0))</f>
        <v/>
      </c>
      <c r="D58" s="228" t="str">
        <f>IF(B58="","",VLOOKUP(M58,Spieler!A:X,3,0))</f>
        <v/>
      </c>
      <c r="M58" s="2" t="str">
        <f>Spieler!AI59</f>
        <v/>
      </c>
    </row>
    <row r="59">
      <c r="A59" s="225">
        <v>55.0</v>
      </c>
      <c r="B59" s="226" t="str">
        <f>IF(M59="","",VLOOKUP(M59,Spieler!A:AX,32,0))</f>
        <v/>
      </c>
      <c r="C59" s="227" t="str">
        <f>IF(B59="","",VLOOKUP(M59,Spieler!A:AX,19,0))</f>
        <v/>
      </c>
      <c r="D59" s="228" t="str">
        <f>IF(B59="","",VLOOKUP(M59,Spieler!A:X,3,0))</f>
        <v/>
      </c>
      <c r="M59" s="2" t="str">
        <f>Spieler!AI60</f>
        <v/>
      </c>
    </row>
    <row r="60">
      <c r="A60" s="225">
        <v>56.0</v>
      </c>
      <c r="B60" s="226" t="str">
        <f>IF(M60="","",VLOOKUP(M60,Spieler!A:AX,32,0))</f>
        <v/>
      </c>
      <c r="C60" s="227" t="str">
        <f>IF(B60="","",VLOOKUP(M60,Spieler!A:AX,19,0))</f>
        <v/>
      </c>
      <c r="D60" s="228" t="str">
        <f>IF(B60="","",VLOOKUP(M60,Spieler!A:X,3,0))</f>
        <v/>
      </c>
      <c r="M60" s="2" t="str">
        <f>Spieler!AI61</f>
        <v/>
      </c>
    </row>
    <row r="61">
      <c r="A61" s="225">
        <v>57.0</v>
      </c>
      <c r="B61" s="226" t="str">
        <f>IF(M61="","",VLOOKUP(M61,Spieler!A:AX,32,0))</f>
        <v/>
      </c>
      <c r="C61" s="227" t="str">
        <f>IF(B61="","",VLOOKUP(M61,Spieler!A:AX,19,0))</f>
        <v/>
      </c>
      <c r="D61" s="228" t="str">
        <f>IF(B61="","",VLOOKUP(M61,Spieler!A:X,3,0))</f>
        <v/>
      </c>
      <c r="M61" s="2" t="str">
        <f>Spieler!AI62</f>
        <v/>
      </c>
    </row>
    <row r="62">
      <c r="A62" s="225">
        <v>58.0</v>
      </c>
      <c r="B62" s="226" t="str">
        <f>IF(M62="","",VLOOKUP(M62,Spieler!A:AX,32,0))</f>
        <v/>
      </c>
      <c r="C62" s="227" t="str">
        <f>IF(B62="","",VLOOKUP(M62,Spieler!A:AX,19,0))</f>
        <v/>
      </c>
      <c r="D62" s="228" t="str">
        <f>IF(B62="","",VLOOKUP(M62,Spieler!A:X,3,0))</f>
        <v/>
      </c>
      <c r="M62" s="2" t="str">
        <f>Spieler!AI63</f>
        <v/>
      </c>
    </row>
    <row r="63">
      <c r="A63" s="225">
        <v>59.0</v>
      </c>
      <c r="B63" s="226" t="str">
        <f>IF(M63="","",VLOOKUP(M63,Spieler!A:AX,32,0))</f>
        <v/>
      </c>
      <c r="C63" s="227" t="str">
        <f>IF(B63="","",VLOOKUP(M63,Spieler!A:AX,19,0))</f>
        <v/>
      </c>
      <c r="D63" s="228" t="str">
        <f>IF(B63="","",VLOOKUP(M63,Spieler!A:X,3,0))</f>
        <v/>
      </c>
      <c r="M63" s="2" t="str">
        <f>Spieler!AI64</f>
        <v/>
      </c>
    </row>
    <row r="64">
      <c r="A64" s="225">
        <v>60.0</v>
      </c>
      <c r="B64" s="226" t="str">
        <f>IF(M64="","",VLOOKUP(M64,Spieler!A:AX,32,0))</f>
        <v/>
      </c>
      <c r="C64" s="227" t="str">
        <f>IF(B64="","",VLOOKUP(M64,Spieler!A:AX,19,0))</f>
        <v/>
      </c>
      <c r="D64" s="228" t="str">
        <f>IF(B64="","",VLOOKUP(M64,Spieler!A:X,3,0))</f>
        <v/>
      </c>
      <c r="M64" s="2" t="str">
        <f>Spieler!AI65</f>
        <v/>
      </c>
    </row>
    <row r="65">
      <c r="A65" s="225">
        <v>61.0</v>
      </c>
      <c r="B65" s="226" t="str">
        <f>IF(M65="","",VLOOKUP(M65,Spieler!A:AX,32,0))</f>
        <v/>
      </c>
      <c r="C65" s="227" t="str">
        <f>IF(B65="","",VLOOKUP(M65,Spieler!A:AX,19,0))</f>
        <v/>
      </c>
      <c r="D65" s="228" t="str">
        <f>IF(B65="","",VLOOKUP(M65,Spieler!A:X,3,0))</f>
        <v/>
      </c>
      <c r="M65" s="2" t="str">
        <f>Spieler!AI66</f>
        <v/>
      </c>
    </row>
    <row r="66">
      <c r="A66" s="225">
        <v>62.0</v>
      </c>
      <c r="B66" s="226" t="str">
        <f>IF(M66="","",VLOOKUP(M66,Spieler!A:AX,32,0))</f>
        <v/>
      </c>
      <c r="C66" s="227" t="str">
        <f>IF(B66="","",VLOOKUP(M66,Spieler!A:AX,19,0))</f>
        <v/>
      </c>
      <c r="D66" s="228" t="str">
        <f>IF(B66="","",VLOOKUP(M66,Spieler!A:X,3,0))</f>
        <v/>
      </c>
      <c r="M66" s="2" t="str">
        <f>Spieler!AI67</f>
        <v/>
      </c>
    </row>
    <row r="67">
      <c r="A67" s="225">
        <v>63.0</v>
      </c>
      <c r="B67" s="226" t="str">
        <f>IF(M67="","",VLOOKUP(M67,Spieler!A:AX,32,0))</f>
        <v/>
      </c>
      <c r="C67" s="227" t="str">
        <f>IF(B67="","",VLOOKUP(M67,Spieler!A:AX,19,0))</f>
        <v/>
      </c>
      <c r="D67" s="228" t="str">
        <f>IF(B67="","",VLOOKUP(M67,Spieler!A:X,3,0))</f>
        <v/>
      </c>
      <c r="M67" s="2" t="str">
        <f>Spieler!AI68</f>
        <v/>
      </c>
    </row>
    <row r="68">
      <c r="A68" s="225">
        <v>64.0</v>
      </c>
      <c r="B68" s="226" t="str">
        <f>IF(M68="","",VLOOKUP(M68,Spieler!A:AX,32,0))</f>
        <v/>
      </c>
      <c r="C68" s="227" t="str">
        <f>IF(B68="","",VLOOKUP(M68,Spieler!A:AX,19,0))</f>
        <v/>
      </c>
      <c r="D68" s="228" t="str">
        <f>IF(B68="","",VLOOKUP(M68,Spieler!A:X,3,0))</f>
        <v/>
      </c>
      <c r="M68" s="2" t="str">
        <f>Spieler!AI69</f>
        <v/>
      </c>
    </row>
    <row r="69">
      <c r="A69" s="225">
        <v>65.0</v>
      </c>
      <c r="B69" s="226" t="str">
        <f>IF(M69="","",VLOOKUP(M69,Spieler!A:AX,32,0))</f>
        <v/>
      </c>
      <c r="C69" s="227" t="str">
        <f>IF(B69="","",VLOOKUP(M69,Spieler!A:AX,19,0))</f>
        <v/>
      </c>
      <c r="D69" s="228" t="str">
        <f>IF(B69="","",VLOOKUP(M69,Spieler!A:X,3,0))</f>
        <v/>
      </c>
      <c r="M69" s="2" t="str">
        <f>Spieler!AI70</f>
        <v/>
      </c>
    </row>
    <row r="70">
      <c r="A70" s="225">
        <v>66.0</v>
      </c>
      <c r="B70" s="226" t="str">
        <f>IF(M70="","",VLOOKUP(M70,Spieler!A:AX,32,0))</f>
        <v/>
      </c>
      <c r="C70" s="227" t="str">
        <f>IF(B70="","",VLOOKUP(M70,Spieler!A:AX,19,0))</f>
        <v/>
      </c>
      <c r="D70" s="228" t="str">
        <f>IF(B70="","",VLOOKUP(M70,Spieler!A:X,3,0))</f>
        <v/>
      </c>
      <c r="M70" s="2" t="str">
        <f>Spieler!AI71</f>
        <v/>
      </c>
    </row>
    <row r="71">
      <c r="A71" s="225">
        <v>67.0</v>
      </c>
      <c r="B71" s="226" t="str">
        <f>IF(M71="","",VLOOKUP(M71,Spieler!A:AX,32,0))</f>
        <v/>
      </c>
      <c r="C71" s="227" t="str">
        <f>IF(B71="","",VLOOKUP(M71,Spieler!A:AX,19,0))</f>
        <v/>
      </c>
      <c r="D71" s="228" t="str">
        <f>IF(B71="","",VLOOKUP(M71,Spieler!A:X,3,0))</f>
        <v/>
      </c>
      <c r="M71" s="2" t="str">
        <f>Spieler!AI72</f>
        <v/>
      </c>
    </row>
    <row r="72">
      <c r="A72" s="225">
        <v>68.0</v>
      </c>
      <c r="B72" s="226" t="str">
        <f>IF(M72="","",VLOOKUP(M72,Spieler!A:AX,32,0))</f>
        <v/>
      </c>
      <c r="C72" s="227" t="str">
        <f>IF(B72="","",VLOOKUP(M72,Spieler!A:AX,19,0))</f>
        <v/>
      </c>
      <c r="D72" s="228" t="str">
        <f>IF(B72="","",VLOOKUP(M72,Spieler!A:X,3,0))</f>
        <v/>
      </c>
      <c r="M72" s="2" t="str">
        <f>Spieler!AI73</f>
        <v/>
      </c>
    </row>
    <row r="73">
      <c r="A73" s="225">
        <v>69.0</v>
      </c>
      <c r="B73" s="226" t="str">
        <f>IF(M73="","",VLOOKUP(M73,Spieler!A:AX,32,0))</f>
        <v/>
      </c>
      <c r="C73" s="227" t="str">
        <f>IF(B73="","",VLOOKUP(M73,Spieler!A:AX,19,0))</f>
        <v/>
      </c>
      <c r="D73" s="228" t="str">
        <f>IF(B73="","",VLOOKUP(M73,Spieler!A:X,3,0))</f>
        <v/>
      </c>
      <c r="M73" s="2" t="str">
        <f>Spieler!AI74</f>
        <v/>
      </c>
    </row>
    <row r="74">
      <c r="A74" s="225">
        <v>70.0</v>
      </c>
      <c r="B74" s="226" t="str">
        <f>IF(M74="","",VLOOKUP(M74,Spieler!A:AX,32,0))</f>
        <v/>
      </c>
      <c r="C74" s="227" t="str">
        <f>IF(B74="","",VLOOKUP(M74,Spieler!A:AX,19,0))</f>
        <v/>
      </c>
      <c r="D74" s="228" t="str">
        <f>IF(B74="","",VLOOKUP(M74,Spieler!A:X,3,0))</f>
        <v/>
      </c>
      <c r="M74" s="2" t="str">
        <f>Spieler!AI75</f>
        <v/>
      </c>
    </row>
    <row r="75">
      <c r="A75" s="225">
        <v>71.0</v>
      </c>
      <c r="B75" s="226" t="str">
        <f>IF(M75="","",VLOOKUP(M75,Spieler!A:AX,32,0))</f>
        <v/>
      </c>
      <c r="C75" s="227" t="str">
        <f>IF(B75="","",VLOOKUP(M75,Spieler!A:AX,19,0))</f>
        <v/>
      </c>
      <c r="D75" s="228" t="str">
        <f>IF(B75="","",VLOOKUP(M75,Spieler!A:X,3,0))</f>
        <v/>
      </c>
      <c r="M75" s="2" t="str">
        <f>Spieler!AI76</f>
        <v/>
      </c>
    </row>
    <row r="76">
      <c r="A76" s="225">
        <v>72.0</v>
      </c>
      <c r="B76" s="226" t="str">
        <f>IF(M76="","",VLOOKUP(M76,Spieler!A:AX,32,0))</f>
        <v/>
      </c>
      <c r="C76" s="227" t="str">
        <f>IF(B76="","",VLOOKUP(M76,Spieler!A:AX,19,0))</f>
        <v/>
      </c>
      <c r="D76" s="228" t="str">
        <f>IF(B76="","",VLOOKUP(M76,Spieler!A:X,3,0))</f>
        <v/>
      </c>
      <c r="M76" s="2" t="str">
        <f>Spieler!AI77</f>
        <v/>
      </c>
    </row>
    <row r="77">
      <c r="A77" s="225">
        <v>73.0</v>
      </c>
      <c r="B77" s="226" t="str">
        <f>IF(M77="","",VLOOKUP(M77,Spieler!A:AX,32,0))</f>
        <v/>
      </c>
      <c r="C77" s="227" t="str">
        <f>IF(B77="","",VLOOKUP(M77,Spieler!A:AX,19,0))</f>
        <v/>
      </c>
      <c r="D77" s="228" t="str">
        <f>IF(B77="","",VLOOKUP(M77,Spieler!A:X,3,0))</f>
        <v/>
      </c>
      <c r="M77" s="2" t="str">
        <f>Spieler!AI78</f>
        <v/>
      </c>
    </row>
    <row r="78">
      <c r="A78" s="225">
        <v>74.0</v>
      </c>
      <c r="B78" s="226" t="str">
        <f>IF(M78="","",VLOOKUP(M78,Spieler!A:AX,32,0))</f>
        <v/>
      </c>
      <c r="C78" s="227" t="str">
        <f>IF(B78="","",VLOOKUP(M78,Spieler!A:AX,19,0))</f>
        <v/>
      </c>
      <c r="D78" s="228" t="str">
        <f>IF(B78="","",VLOOKUP(M78,Spieler!A:X,3,0))</f>
        <v/>
      </c>
      <c r="M78" s="2" t="str">
        <f>Spieler!AI79</f>
        <v/>
      </c>
    </row>
    <row r="79">
      <c r="A79" s="225">
        <v>75.0</v>
      </c>
      <c r="B79" s="226" t="str">
        <f>IF(M79="","",VLOOKUP(M79,Spieler!A:AX,32,0))</f>
        <v/>
      </c>
      <c r="C79" s="227" t="str">
        <f>IF(B79="","",VLOOKUP(M79,Spieler!A:AX,19,0))</f>
        <v/>
      </c>
      <c r="D79" s="228" t="str">
        <f>IF(B79="","",VLOOKUP(M79,Spieler!A:X,3,0))</f>
        <v/>
      </c>
      <c r="M79" s="2" t="str">
        <f>Spieler!AI80</f>
        <v/>
      </c>
    </row>
    <row r="80">
      <c r="A80" s="225">
        <v>76.0</v>
      </c>
      <c r="B80" s="226" t="str">
        <f>IF(M80="","",VLOOKUP(M80,Spieler!A:AX,32,0))</f>
        <v/>
      </c>
      <c r="C80" s="227" t="str">
        <f>IF(B80="","",VLOOKUP(M80,Spieler!A:AX,19,0))</f>
        <v/>
      </c>
      <c r="D80" s="228" t="str">
        <f>IF(B80="","",VLOOKUP(M80,Spieler!A:X,3,0))</f>
        <v/>
      </c>
      <c r="M80" s="2" t="str">
        <f>Spieler!AI81</f>
        <v/>
      </c>
    </row>
    <row r="81">
      <c r="A81" s="225">
        <v>77.0</v>
      </c>
      <c r="B81" s="226" t="str">
        <f>IF(M81="","",VLOOKUP(M81,Spieler!A:AX,32,0))</f>
        <v/>
      </c>
      <c r="C81" s="227" t="str">
        <f>IF(B81="","",VLOOKUP(M81,Spieler!A:AX,19,0))</f>
        <v/>
      </c>
      <c r="D81" s="228" t="str">
        <f>IF(B81="","",VLOOKUP(M81,Spieler!A:X,3,0))</f>
        <v/>
      </c>
      <c r="M81" s="2" t="str">
        <f>Spieler!AI82</f>
        <v/>
      </c>
    </row>
    <row r="82">
      <c r="A82" s="225">
        <v>78.0</v>
      </c>
      <c r="B82" s="226" t="str">
        <f>IF(M82="","",VLOOKUP(M82,Spieler!A:AX,32,0))</f>
        <v/>
      </c>
      <c r="C82" s="227" t="str">
        <f>IF(B82="","",VLOOKUP(M82,Spieler!A:AX,19,0))</f>
        <v/>
      </c>
      <c r="D82" s="228" t="str">
        <f>IF(B82="","",VLOOKUP(M82,Spieler!A:X,3,0))</f>
        <v/>
      </c>
      <c r="M82" s="2" t="str">
        <f>Spieler!AI83</f>
        <v/>
      </c>
    </row>
    <row r="83">
      <c r="A83" s="225">
        <v>79.0</v>
      </c>
      <c r="B83" s="226" t="str">
        <f>IF(M83="","",VLOOKUP(M83,Spieler!A:AX,32,0))</f>
        <v/>
      </c>
      <c r="C83" s="227" t="str">
        <f>IF(B83="","",VLOOKUP(M83,Spieler!A:AX,19,0))</f>
        <v/>
      </c>
      <c r="D83" s="228" t="str">
        <f>IF(B83="","",VLOOKUP(M83,Spieler!A:X,3,0))</f>
        <v/>
      </c>
      <c r="M83" s="2" t="str">
        <f>Spieler!AI84</f>
        <v/>
      </c>
    </row>
    <row r="84">
      <c r="A84" s="225">
        <v>80.0</v>
      </c>
      <c r="B84" s="226" t="str">
        <f>IF(M84="","",VLOOKUP(M84,Spieler!A:AX,32,0))</f>
        <v/>
      </c>
      <c r="C84" s="227" t="str">
        <f>IF(B84="","",VLOOKUP(M84,Spieler!A:AX,19,0))</f>
        <v/>
      </c>
      <c r="D84" s="228" t="str">
        <f>IF(B84="","",VLOOKUP(M84,Spieler!A:X,3,0))</f>
        <v/>
      </c>
      <c r="M84" s="2" t="str">
        <f>Spieler!AI85</f>
        <v/>
      </c>
    </row>
    <row r="85">
      <c r="A85" s="225">
        <v>81.0</v>
      </c>
      <c r="B85" s="226" t="str">
        <f>IF(M85="","",VLOOKUP(M85,Spieler!A:AX,32,0))</f>
        <v/>
      </c>
      <c r="C85" s="227" t="str">
        <f>IF(B85="","",VLOOKUP(M85,Spieler!A:AX,19,0))</f>
        <v/>
      </c>
      <c r="D85" s="228" t="str">
        <f>IF(B85="","",VLOOKUP(M85,Spieler!A:X,3,0))</f>
        <v/>
      </c>
      <c r="M85" s="2" t="str">
        <f>Spieler!AI86</f>
        <v/>
      </c>
    </row>
    <row r="86">
      <c r="A86" s="225">
        <v>82.0</v>
      </c>
      <c r="B86" s="226" t="str">
        <f>IF(M86="","",VLOOKUP(M86,Spieler!A:AX,32,0))</f>
        <v/>
      </c>
      <c r="C86" s="227" t="str">
        <f>IF(B86="","",VLOOKUP(M86,Spieler!A:AX,19,0))</f>
        <v/>
      </c>
      <c r="D86" s="228" t="str">
        <f>IF(B86="","",VLOOKUP(M86,Spieler!A:X,3,0))</f>
        <v/>
      </c>
      <c r="M86" s="2" t="str">
        <f>Spieler!AI87</f>
        <v/>
      </c>
    </row>
    <row r="87">
      <c r="A87" s="225">
        <v>83.0</v>
      </c>
      <c r="B87" s="226" t="str">
        <f>IF(M87="","",VLOOKUP(M87,Spieler!A:AX,32,0))</f>
        <v/>
      </c>
      <c r="C87" s="227" t="str">
        <f>IF(B87="","",VLOOKUP(M87,Spieler!A:AX,19,0))</f>
        <v/>
      </c>
      <c r="D87" s="228" t="str">
        <f>IF(B87="","",VLOOKUP(M87,Spieler!A:X,3,0))</f>
        <v/>
      </c>
      <c r="M87" s="2" t="str">
        <f>Spieler!AI88</f>
        <v/>
      </c>
    </row>
    <row r="88">
      <c r="A88" s="225">
        <v>84.0</v>
      </c>
      <c r="B88" s="226" t="str">
        <f>IF(M88="","",VLOOKUP(M88,Spieler!A:AX,32,0))</f>
        <v/>
      </c>
      <c r="C88" s="227" t="str">
        <f>IF(B88="","",VLOOKUP(M88,Spieler!A:AX,19,0))</f>
        <v/>
      </c>
      <c r="D88" s="228" t="str">
        <f>IF(B88="","",VLOOKUP(M88,Spieler!A:X,3,0))</f>
        <v/>
      </c>
      <c r="M88" s="2" t="str">
        <f>Spieler!AI89</f>
        <v/>
      </c>
    </row>
    <row r="89">
      <c r="A89" s="225">
        <v>85.0</v>
      </c>
      <c r="B89" s="226" t="str">
        <f>IF(M89="","",VLOOKUP(M89,Spieler!A:AX,32,0))</f>
        <v/>
      </c>
      <c r="C89" s="227" t="str">
        <f>IF(B89="","",VLOOKUP(M89,Spieler!A:AX,19,0))</f>
        <v/>
      </c>
      <c r="D89" s="228" t="str">
        <f>IF(B89="","",VLOOKUP(M89,Spieler!A:X,3,0))</f>
        <v/>
      </c>
      <c r="M89" s="2" t="str">
        <f>Spieler!AI90</f>
        <v/>
      </c>
    </row>
    <row r="90">
      <c r="A90" s="225">
        <v>86.0</v>
      </c>
      <c r="B90" s="226" t="str">
        <f>IF(M90="","",VLOOKUP(M90,Spieler!A:AX,32,0))</f>
        <v/>
      </c>
      <c r="C90" s="227" t="str">
        <f>IF(B90="","",VLOOKUP(M90,Spieler!A:AX,19,0))</f>
        <v/>
      </c>
      <c r="D90" s="228" t="str">
        <f>IF(B90="","",VLOOKUP(M90,Spieler!A:X,3,0))</f>
        <v/>
      </c>
      <c r="M90" s="2" t="str">
        <f>Spieler!AI91</f>
        <v/>
      </c>
    </row>
    <row r="91">
      <c r="A91" s="225">
        <v>87.0</v>
      </c>
      <c r="B91" s="226" t="str">
        <f>IF(M91="","",VLOOKUP(M91,Spieler!A:AX,32,0))</f>
        <v/>
      </c>
      <c r="C91" s="227" t="str">
        <f>IF(B91="","",VLOOKUP(M91,Spieler!A:AX,19,0))</f>
        <v/>
      </c>
      <c r="D91" s="228" t="str">
        <f>IF(B91="","",VLOOKUP(M91,Spieler!A:X,3,0))</f>
        <v/>
      </c>
      <c r="M91" s="2" t="str">
        <f>Spieler!AI92</f>
        <v/>
      </c>
    </row>
    <row r="92">
      <c r="A92" s="225">
        <v>88.0</v>
      </c>
      <c r="B92" s="226" t="str">
        <f>IF(M92="","",VLOOKUP(M92,Spieler!A:AX,32,0))</f>
        <v/>
      </c>
      <c r="C92" s="227" t="str">
        <f>IF(B92="","",VLOOKUP(M92,Spieler!A:AX,19,0))</f>
        <v/>
      </c>
      <c r="D92" s="228" t="str">
        <f>IF(B92="","",VLOOKUP(M92,Spieler!A:X,3,0))</f>
        <v/>
      </c>
      <c r="M92" s="2" t="str">
        <f>Spieler!AI93</f>
        <v/>
      </c>
    </row>
    <row r="93">
      <c r="A93" s="225">
        <v>89.0</v>
      </c>
      <c r="B93" s="226" t="str">
        <f>IF(M93="","",VLOOKUP(M93,Spieler!A:AX,32,0))</f>
        <v/>
      </c>
      <c r="C93" s="227" t="str">
        <f>IF(B93="","",VLOOKUP(M93,Spieler!A:AX,19,0))</f>
        <v/>
      </c>
      <c r="D93" s="228" t="str">
        <f>IF(B93="","",VLOOKUP(M93,Spieler!A:X,3,0))</f>
        <v/>
      </c>
      <c r="M93" s="2" t="str">
        <f>Spieler!AI94</f>
        <v/>
      </c>
    </row>
    <row r="94">
      <c r="A94" s="225">
        <v>90.0</v>
      </c>
      <c r="B94" s="226" t="str">
        <f>IF(M94="","",VLOOKUP(M94,Spieler!A:AX,32,0))</f>
        <v/>
      </c>
      <c r="C94" s="227" t="str">
        <f>IF(B94="","",VLOOKUP(M94,Spieler!A:AX,19,0))</f>
        <v/>
      </c>
      <c r="D94" s="228" t="str">
        <f>IF(B94="","",VLOOKUP(M94,Spieler!A:X,3,0))</f>
        <v/>
      </c>
      <c r="M94" s="2" t="str">
        <f>Spieler!AI95</f>
        <v/>
      </c>
    </row>
    <row r="95">
      <c r="A95" s="225">
        <v>91.0</v>
      </c>
      <c r="B95" s="226" t="str">
        <f>IF(M95="","",VLOOKUP(M95,Spieler!A:AX,32,0))</f>
        <v/>
      </c>
      <c r="C95" s="227" t="str">
        <f>IF(B95="","",VLOOKUP(M95,Spieler!A:AX,19,0))</f>
        <v/>
      </c>
      <c r="D95" s="228" t="str">
        <f>IF(B95="","",VLOOKUP(M95,Spieler!A:X,3,0))</f>
        <v/>
      </c>
      <c r="M95" s="2" t="str">
        <f>Spieler!AI96</f>
        <v/>
      </c>
    </row>
    <row r="96">
      <c r="A96" s="225">
        <v>92.0</v>
      </c>
      <c r="B96" s="226" t="str">
        <f>IF(M96="","",VLOOKUP(M96,Spieler!A:AX,32,0))</f>
        <v/>
      </c>
      <c r="C96" s="227" t="str">
        <f>IF(B96="","",VLOOKUP(M96,Spieler!A:AX,19,0))</f>
        <v/>
      </c>
      <c r="D96" s="228" t="str">
        <f>IF(B96="","",VLOOKUP(M96,Spieler!A:X,3,0))</f>
        <v/>
      </c>
      <c r="M96" s="2" t="str">
        <f>Spieler!AI97</f>
        <v/>
      </c>
    </row>
    <row r="97">
      <c r="A97" s="225">
        <v>93.0</v>
      </c>
      <c r="B97" s="226" t="str">
        <f>IF(M97="","",VLOOKUP(M97,Spieler!A:AX,32,0))</f>
        <v/>
      </c>
      <c r="C97" s="227" t="str">
        <f>IF(B97="","",VLOOKUP(M97,Spieler!A:AX,19,0))</f>
        <v/>
      </c>
      <c r="D97" s="228" t="str">
        <f>IF(B97="","",VLOOKUP(M97,Spieler!A:X,3,0))</f>
        <v/>
      </c>
      <c r="M97" s="2" t="str">
        <f>Spieler!AI98</f>
        <v/>
      </c>
    </row>
    <row r="98">
      <c r="A98" s="225">
        <v>94.0</v>
      </c>
      <c r="B98" s="226" t="str">
        <f>IF(M98="","",VLOOKUP(M98,Spieler!A:AX,32,0))</f>
        <v/>
      </c>
      <c r="C98" s="227" t="str">
        <f>IF(B98="","",VLOOKUP(M98,Spieler!A:AX,19,0))</f>
        <v/>
      </c>
      <c r="D98" s="228" t="str">
        <f>IF(B98="","",VLOOKUP(M98,Spieler!A:X,3,0))</f>
        <v/>
      </c>
      <c r="M98" s="2" t="str">
        <f>Spieler!AI99</f>
        <v/>
      </c>
    </row>
    <row r="99">
      <c r="A99" s="225">
        <v>95.0</v>
      </c>
      <c r="B99" s="226" t="str">
        <f>IF(M99="","",VLOOKUP(M99,Spieler!A:AX,32,0))</f>
        <v/>
      </c>
      <c r="C99" s="227" t="str">
        <f>IF(B99="","",VLOOKUP(M99,Spieler!A:AX,19,0))</f>
        <v/>
      </c>
      <c r="D99" s="228" t="str">
        <f>IF(B99="","",VLOOKUP(M99,Spieler!A:X,3,0))</f>
        <v/>
      </c>
      <c r="M99" s="2" t="str">
        <f>Spieler!AI100</f>
        <v/>
      </c>
    </row>
    <row r="100">
      <c r="A100" s="225">
        <v>96.0</v>
      </c>
      <c r="B100" s="226" t="str">
        <f>IF(M100="","",VLOOKUP(M100,Spieler!A:AX,32,0))</f>
        <v/>
      </c>
      <c r="C100" s="227" t="str">
        <f>IF(B100="","",VLOOKUP(M100,Spieler!A:AX,19,0))</f>
        <v/>
      </c>
      <c r="D100" s="228" t="str">
        <f>IF(B100="","",VLOOKUP(M100,Spieler!A:X,3,0))</f>
        <v/>
      </c>
      <c r="M100" s="2" t="str">
        <f>Spieler!AI101</f>
        <v/>
      </c>
    </row>
    <row r="101">
      <c r="A101" s="225">
        <v>97.0</v>
      </c>
      <c r="B101" s="226" t="str">
        <f>IF(M101="","",VLOOKUP(M101,Spieler!A:AX,32,0))</f>
        <v/>
      </c>
      <c r="C101" s="227" t="str">
        <f>IF(B101="","",VLOOKUP(M101,Spieler!A:AX,19,0))</f>
        <v/>
      </c>
      <c r="D101" s="228" t="str">
        <f>IF(B101="","",VLOOKUP(M101,Spieler!A:X,3,0))</f>
        <v/>
      </c>
      <c r="M101" s="2" t="str">
        <f>Spieler!AI102</f>
        <v/>
      </c>
    </row>
    <row r="102">
      <c r="A102" s="225">
        <v>98.0</v>
      </c>
      <c r="B102" s="226" t="str">
        <f>IF(M102="","",VLOOKUP(M102,Spieler!A:AX,32,0))</f>
        <v/>
      </c>
      <c r="C102" s="227" t="str">
        <f>IF(B102="","",VLOOKUP(M102,Spieler!A:AX,19,0))</f>
        <v/>
      </c>
      <c r="D102" s="228" t="str">
        <f>IF(B102="","",VLOOKUP(M102,Spieler!A:X,3,0))</f>
        <v/>
      </c>
      <c r="M102" s="2" t="str">
        <f>Spieler!AI103</f>
        <v/>
      </c>
    </row>
    <row r="103">
      <c r="A103" s="225">
        <v>99.0</v>
      </c>
      <c r="B103" s="226" t="str">
        <f>IF(M103="","",VLOOKUP(M103,Spieler!A:AX,32,0))</f>
        <v/>
      </c>
      <c r="C103" s="227" t="str">
        <f>IF(B103="","",VLOOKUP(M103,Spieler!A:AX,19,0))</f>
        <v/>
      </c>
      <c r="D103" s="228" t="str">
        <f>IF(B103="","",VLOOKUP(M103,Spieler!A:X,3,0))</f>
        <v/>
      </c>
      <c r="M103" s="2" t="str">
        <f>Spieler!AI104</f>
        <v/>
      </c>
    </row>
    <row r="104">
      <c r="A104" s="225">
        <v>100.0</v>
      </c>
      <c r="B104" s="226" t="str">
        <f>IF(M104="","",VLOOKUP(M104,Spieler!A:AX,32,0))</f>
        <v/>
      </c>
      <c r="C104" s="227" t="str">
        <f>IF(B104="","",VLOOKUP(M104,Spieler!A:AX,19,0))</f>
        <v/>
      </c>
      <c r="D104" s="228" t="str">
        <f>IF(B104="","",VLOOKUP(M104,Spieler!A:X,3,0))</f>
        <v/>
      </c>
      <c r="M104" s="2" t="str">
        <f>Spieler!AI105</f>
        <v/>
      </c>
    </row>
    <row r="105">
      <c r="A105" s="225">
        <v>101.0</v>
      </c>
      <c r="B105" s="226" t="str">
        <f>IF(M105="","",VLOOKUP(M105,Spieler!A:AX,32,0))</f>
        <v/>
      </c>
      <c r="C105" s="227" t="str">
        <f>IF(B105="","",VLOOKUP(M105,Spieler!A:AX,19,0))</f>
        <v/>
      </c>
      <c r="D105" s="228" t="str">
        <f>IF(B105="","",VLOOKUP(M105,Spieler!A:X,3,0))</f>
        <v/>
      </c>
      <c r="M105" s="2" t="str">
        <f>Spieler!AI106</f>
        <v/>
      </c>
    </row>
    <row r="106">
      <c r="A106" s="225">
        <v>102.0</v>
      </c>
      <c r="B106" s="226" t="str">
        <f>IF(M106="","",VLOOKUP(M106,Spieler!A:AX,32,0))</f>
        <v/>
      </c>
      <c r="C106" s="227" t="str">
        <f>IF(B106="","",VLOOKUP(M106,Spieler!A:AX,19,0))</f>
        <v/>
      </c>
      <c r="D106" s="228" t="str">
        <f>IF(B106="","",VLOOKUP(M106,Spieler!A:X,3,0))</f>
        <v/>
      </c>
      <c r="M106" s="2" t="str">
        <f>Spieler!AI107</f>
        <v/>
      </c>
    </row>
    <row r="107">
      <c r="A107" s="225">
        <v>103.0</v>
      </c>
      <c r="B107" s="226" t="str">
        <f>IF(M107="","",VLOOKUP(M107,Spieler!A:AX,32,0))</f>
        <v/>
      </c>
      <c r="C107" s="227" t="str">
        <f>IF(B107="","",VLOOKUP(M107,Spieler!A:AX,19,0))</f>
        <v/>
      </c>
      <c r="D107" s="228" t="str">
        <f>IF(B107="","",VLOOKUP(M107,Spieler!A:X,3,0))</f>
        <v/>
      </c>
      <c r="M107" s="2" t="str">
        <f>Spieler!AI108</f>
        <v/>
      </c>
    </row>
    <row r="108">
      <c r="A108" s="225">
        <v>104.0</v>
      </c>
      <c r="B108" s="226" t="str">
        <f>IF(M108="","",VLOOKUP(M108,Spieler!A:AX,32,0))</f>
        <v/>
      </c>
      <c r="C108" s="227" t="str">
        <f>IF(B108="","",VLOOKUP(M108,Spieler!A:AX,19,0))</f>
        <v/>
      </c>
      <c r="D108" s="228" t="str">
        <f>IF(B108="","",VLOOKUP(M108,Spieler!A:X,3,0))</f>
        <v/>
      </c>
      <c r="M108" s="2" t="str">
        <f>Spieler!AI109</f>
        <v/>
      </c>
    </row>
    <row r="109">
      <c r="A109" s="225">
        <v>105.0</v>
      </c>
      <c r="B109" s="226" t="str">
        <f>IF(M109="","",VLOOKUP(M109,Spieler!A:AX,32,0))</f>
        <v/>
      </c>
      <c r="C109" s="227" t="str">
        <f>IF(B109="","",VLOOKUP(M109,Spieler!A:AX,19,0))</f>
        <v/>
      </c>
      <c r="D109" s="228" t="str">
        <f>IF(B109="","",VLOOKUP(M109,Spieler!A:X,3,0))</f>
        <v/>
      </c>
      <c r="M109" s="2" t="str">
        <f>Spieler!AI110</f>
        <v/>
      </c>
    </row>
    <row r="110">
      <c r="A110" s="225">
        <v>106.0</v>
      </c>
      <c r="B110" s="226" t="str">
        <f>IF(M110="","",VLOOKUP(M110,Spieler!A:AX,32,0))</f>
        <v/>
      </c>
      <c r="C110" s="227" t="str">
        <f>IF(B110="","",VLOOKUP(M110,Spieler!A:AX,19,0))</f>
        <v/>
      </c>
      <c r="D110" s="228" t="str">
        <f>IF(B110="","",VLOOKUP(M110,Spieler!A:X,3,0))</f>
        <v/>
      </c>
      <c r="M110" s="2" t="str">
        <f>Spieler!AI111</f>
        <v/>
      </c>
    </row>
    <row r="111">
      <c r="A111" s="225">
        <v>107.0</v>
      </c>
      <c r="B111" s="226" t="str">
        <f>IF(M111="","",VLOOKUP(M111,Spieler!A:AX,32,0))</f>
        <v/>
      </c>
      <c r="C111" s="227" t="str">
        <f>IF(B111="","",VLOOKUP(M111,Spieler!A:AX,19,0))</f>
        <v/>
      </c>
      <c r="D111" s="228" t="str">
        <f>IF(B111="","",VLOOKUP(M111,Spieler!A:X,3,0))</f>
        <v/>
      </c>
      <c r="M111" s="2" t="str">
        <f>Spieler!AI112</f>
        <v/>
      </c>
    </row>
    <row r="112">
      <c r="A112" s="225">
        <v>108.0</v>
      </c>
      <c r="B112" s="226" t="str">
        <f>IF(M112="","",VLOOKUP(M112,Spieler!A:AX,32,0))</f>
        <v/>
      </c>
      <c r="C112" s="227" t="str">
        <f>IF(B112="","",VLOOKUP(M112,Spieler!A:AX,19,0))</f>
        <v/>
      </c>
      <c r="D112" s="228" t="str">
        <f>IF(B112="","",VLOOKUP(M112,Spieler!A:X,3,0))</f>
        <v/>
      </c>
      <c r="M112" s="2" t="str">
        <f>Spieler!AI113</f>
        <v/>
      </c>
    </row>
    <row r="113">
      <c r="A113" s="225">
        <v>109.0</v>
      </c>
      <c r="B113" s="226" t="str">
        <f>IF(M113="","",VLOOKUP(M113,Spieler!A:AX,32,0))</f>
        <v/>
      </c>
      <c r="C113" s="227" t="str">
        <f>IF(B113="","",VLOOKUP(M113,Spieler!A:AX,19,0))</f>
        <v/>
      </c>
      <c r="D113" s="228" t="str">
        <f>IF(B113="","",VLOOKUP(M113,Spieler!A:X,3,0))</f>
        <v/>
      </c>
      <c r="M113" s="2" t="str">
        <f>Spieler!AI114</f>
        <v/>
      </c>
    </row>
    <row r="114">
      <c r="A114" s="225">
        <v>110.0</v>
      </c>
      <c r="B114" s="226" t="str">
        <f>IF(M114="","",VLOOKUP(M114,Spieler!A:AX,32,0))</f>
        <v/>
      </c>
      <c r="C114" s="227" t="str">
        <f>IF(B114="","",VLOOKUP(M114,Spieler!A:AX,19,0))</f>
        <v/>
      </c>
      <c r="D114" s="228" t="str">
        <f>IF(B114="","",VLOOKUP(M114,Spieler!A:X,3,0))</f>
        <v/>
      </c>
      <c r="M114" s="2" t="str">
        <f>Spieler!AI115</f>
        <v/>
      </c>
    </row>
    <row r="115">
      <c r="A115" s="225">
        <v>111.0</v>
      </c>
      <c r="B115" s="226" t="str">
        <f>IF(M115="","",VLOOKUP(M115,Spieler!A:AX,32,0))</f>
        <v/>
      </c>
      <c r="C115" s="227" t="str">
        <f>IF(B115="","",VLOOKUP(M115,Spieler!A:AX,19,0))</f>
        <v/>
      </c>
      <c r="D115" s="228" t="str">
        <f>IF(B115="","",VLOOKUP(M115,Spieler!A:X,3,0))</f>
        <v/>
      </c>
      <c r="M115" s="2" t="str">
        <f>Spieler!AI116</f>
        <v/>
      </c>
    </row>
    <row r="116">
      <c r="A116" s="225">
        <v>112.0</v>
      </c>
      <c r="B116" s="226" t="str">
        <f>IF(M116="","",VLOOKUP(M116,Spieler!A:AX,32,0))</f>
        <v/>
      </c>
      <c r="C116" s="227" t="str">
        <f>IF(B116="","",VLOOKUP(M116,Spieler!A:AX,19,0))</f>
        <v/>
      </c>
      <c r="D116" s="228" t="str">
        <f>IF(B116="","",VLOOKUP(M116,Spieler!A:X,3,0))</f>
        <v/>
      </c>
      <c r="M116" s="2" t="str">
        <f>Spieler!AI117</f>
        <v/>
      </c>
    </row>
    <row r="117">
      <c r="A117" s="225">
        <v>113.0</v>
      </c>
      <c r="B117" s="226" t="str">
        <f>IF(M117="","",VLOOKUP(M117,Spieler!A:AX,32,0))</f>
        <v/>
      </c>
      <c r="C117" s="227" t="str">
        <f>IF(B117="","",VLOOKUP(M117,Spieler!A:AX,19,0))</f>
        <v/>
      </c>
      <c r="D117" s="228" t="str">
        <f>IF(B117="","",VLOOKUP(M117,Spieler!A:X,3,0))</f>
        <v/>
      </c>
      <c r="M117" s="2" t="str">
        <f>Spieler!AI118</f>
        <v/>
      </c>
    </row>
    <row r="118">
      <c r="A118" s="225">
        <v>114.0</v>
      </c>
      <c r="B118" s="226" t="str">
        <f>IF(M118="","",VLOOKUP(M118,Spieler!A:AX,32,0))</f>
        <v/>
      </c>
      <c r="C118" s="227" t="str">
        <f>IF(B118="","",VLOOKUP(M118,Spieler!A:AX,19,0))</f>
        <v/>
      </c>
      <c r="D118" s="228" t="str">
        <f>IF(B118="","",VLOOKUP(M118,Spieler!A:X,3,0))</f>
        <v/>
      </c>
      <c r="M118" s="2" t="str">
        <f>Spieler!AI119</f>
        <v/>
      </c>
    </row>
    <row r="119">
      <c r="A119" s="225">
        <v>115.0</v>
      </c>
      <c r="B119" s="226" t="str">
        <f>IF(M119="","",VLOOKUP(M119,Spieler!A:AX,32,0))</f>
        <v/>
      </c>
      <c r="C119" s="227" t="str">
        <f>IF(B119="","",VLOOKUP(M119,Spieler!A:AX,19,0))</f>
        <v/>
      </c>
      <c r="D119" s="228" t="str">
        <f>IF(B119="","",VLOOKUP(M119,Spieler!A:X,3,0))</f>
        <v/>
      </c>
      <c r="M119" s="2" t="str">
        <f>Spieler!AI120</f>
        <v/>
      </c>
    </row>
    <row r="120">
      <c r="A120" s="225">
        <v>116.0</v>
      </c>
      <c r="B120" s="226" t="str">
        <f>IF(M120="","",VLOOKUP(M120,Spieler!A:AX,32,0))</f>
        <v/>
      </c>
      <c r="C120" s="227" t="str">
        <f>IF(B120="","",VLOOKUP(M120,Spieler!A:AX,19,0))</f>
        <v/>
      </c>
      <c r="D120" s="228" t="str">
        <f>IF(B120="","",VLOOKUP(M120,Spieler!A:X,3,0))</f>
        <v/>
      </c>
      <c r="M120" s="2" t="str">
        <f>Spieler!AI121</f>
        <v/>
      </c>
    </row>
    <row r="121">
      <c r="A121" s="225">
        <v>117.0</v>
      </c>
      <c r="B121" s="226" t="str">
        <f>IF(M121="","",VLOOKUP(M121,Spieler!A:AX,32,0))</f>
        <v/>
      </c>
      <c r="C121" s="227" t="str">
        <f>IF(B121="","",VLOOKUP(M121,Spieler!A:AX,19,0))</f>
        <v/>
      </c>
      <c r="D121" s="228" t="str">
        <f>IF(B121="","",VLOOKUP(M121,Spieler!A:X,3,0))</f>
        <v/>
      </c>
      <c r="M121" s="2" t="str">
        <f>Spieler!AI122</f>
        <v/>
      </c>
    </row>
    <row r="122">
      <c r="A122" s="225">
        <v>118.0</v>
      </c>
      <c r="B122" s="226" t="str">
        <f>IF(M122="","",VLOOKUP(M122,Spieler!A:AX,32,0))</f>
        <v/>
      </c>
      <c r="C122" s="227" t="str">
        <f>IF(B122="","",VLOOKUP(M122,Spieler!A:AX,19,0))</f>
        <v/>
      </c>
      <c r="D122" s="228" t="str">
        <f>IF(B122="","",VLOOKUP(M122,Spieler!A:X,3,0))</f>
        <v/>
      </c>
      <c r="M122" s="2" t="str">
        <f>Spieler!AI123</f>
        <v/>
      </c>
    </row>
    <row r="123">
      <c r="A123" s="225">
        <v>119.0</v>
      </c>
      <c r="B123" s="226" t="str">
        <f>IF(M123="","",VLOOKUP(M123,Spieler!A:AX,32,0))</f>
        <v/>
      </c>
      <c r="C123" s="227" t="str">
        <f>IF(B123="","",VLOOKUP(M123,Spieler!A:AX,19,0))</f>
        <v/>
      </c>
      <c r="D123" s="228" t="str">
        <f>IF(B123="","",VLOOKUP(M123,Spieler!A:X,3,0))</f>
        <v/>
      </c>
      <c r="M123" s="2" t="str">
        <f>Spieler!AI124</f>
        <v/>
      </c>
    </row>
    <row r="124">
      <c r="A124" s="225">
        <v>120.0</v>
      </c>
      <c r="B124" s="226" t="str">
        <f>IF(M124="","",VLOOKUP(M124,Spieler!A:AX,32,0))</f>
        <v/>
      </c>
      <c r="C124" s="227" t="str">
        <f>IF(B124="","",VLOOKUP(M124,Spieler!A:AX,19,0))</f>
        <v/>
      </c>
      <c r="D124" s="228" t="str">
        <f>IF(B124="","",VLOOKUP(M124,Spieler!A:X,3,0))</f>
        <v/>
      </c>
      <c r="M124" s="2" t="str">
        <f>Spieler!AI125</f>
        <v/>
      </c>
    </row>
    <row r="125">
      <c r="A125" s="225">
        <v>121.0</v>
      </c>
      <c r="B125" s="226" t="str">
        <f>IF(M125="","",VLOOKUP(M125,Spieler!A:AX,32,0))</f>
        <v/>
      </c>
      <c r="C125" s="227" t="str">
        <f>IF(B125="","",VLOOKUP(M125,Spieler!A:AX,19,0))</f>
        <v/>
      </c>
      <c r="D125" s="228" t="str">
        <f>IF(B125="","",VLOOKUP(M125,Spieler!A:X,3,0))</f>
        <v/>
      </c>
      <c r="M125" s="2" t="str">
        <f>Spieler!AI126</f>
        <v/>
      </c>
    </row>
    <row r="126">
      <c r="A126" s="225">
        <v>122.0</v>
      </c>
      <c r="B126" s="226" t="str">
        <f>IF(M126="","",VLOOKUP(M126,Spieler!A:AX,32,0))</f>
        <v/>
      </c>
      <c r="C126" s="227" t="str">
        <f>IF(B126="","",VLOOKUP(M126,Spieler!A:AX,19,0))</f>
        <v/>
      </c>
      <c r="D126" s="228" t="str">
        <f>IF(B126="","",VLOOKUP(M126,Spieler!A:X,3,0))</f>
        <v/>
      </c>
      <c r="M126" s="2" t="str">
        <f>Spieler!AI127</f>
        <v/>
      </c>
    </row>
    <row r="127">
      <c r="A127" s="225">
        <v>123.0</v>
      </c>
      <c r="B127" s="226" t="str">
        <f>IF(M127="","",VLOOKUP(M127,Spieler!A:AX,32,0))</f>
        <v/>
      </c>
      <c r="C127" s="227" t="str">
        <f>IF(B127="","",VLOOKUP(M127,Spieler!A:AX,19,0))</f>
        <v/>
      </c>
      <c r="D127" s="228" t="str">
        <f>IF(B127="","",VLOOKUP(M127,Spieler!A:X,3,0))</f>
        <v/>
      </c>
      <c r="M127" s="2" t="str">
        <f>Spieler!AI128</f>
        <v/>
      </c>
    </row>
    <row r="128">
      <c r="A128" s="225">
        <v>124.0</v>
      </c>
      <c r="B128" s="226" t="str">
        <f>IF(M128="","",VLOOKUP(M128,Spieler!A:AX,32,0))</f>
        <v/>
      </c>
      <c r="C128" s="227" t="str">
        <f>IF(B128="","",VLOOKUP(M128,Spieler!A:AX,19,0))</f>
        <v/>
      </c>
      <c r="D128" s="228" t="str">
        <f>IF(B128="","",VLOOKUP(M128,Spieler!A:X,3,0))</f>
        <v/>
      </c>
      <c r="M128" s="2" t="str">
        <f>Spieler!AI129</f>
        <v/>
      </c>
    </row>
    <row r="129">
      <c r="A129" s="225">
        <v>125.0</v>
      </c>
      <c r="B129" s="226" t="str">
        <f>IF(M129="","",VLOOKUP(M129,Spieler!A:AX,32,0))</f>
        <v/>
      </c>
      <c r="C129" s="227" t="str">
        <f>IF(B129="","",VLOOKUP(M129,Spieler!A:AX,19,0))</f>
        <v/>
      </c>
      <c r="D129" s="228" t="str">
        <f>IF(B129="","",VLOOKUP(M129,Spieler!A:X,3,0))</f>
        <v/>
      </c>
      <c r="M129" s="2" t="str">
        <f>Spieler!AI130</f>
        <v/>
      </c>
    </row>
    <row r="130">
      <c r="A130" s="225">
        <v>126.0</v>
      </c>
      <c r="B130" s="226" t="str">
        <f>IF(M130="","",VLOOKUP(M130,Spieler!A:AX,32,0))</f>
        <v/>
      </c>
      <c r="C130" s="227" t="str">
        <f>IF(B130="","",VLOOKUP(M130,Spieler!A:AX,19,0))</f>
        <v/>
      </c>
      <c r="D130" s="228" t="str">
        <f>IF(B130="","",VLOOKUP(M130,Spieler!A:X,3,0))</f>
        <v/>
      </c>
      <c r="M130" s="2" t="str">
        <f>Spieler!AI131</f>
        <v/>
      </c>
    </row>
    <row r="131">
      <c r="A131" s="225">
        <v>127.0</v>
      </c>
      <c r="B131" s="226" t="str">
        <f>IF(M131="","",VLOOKUP(M131,Spieler!A:AX,32,0))</f>
        <v/>
      </c>
      <c r="C131" s="227" t="str">
        <f>IF(B131="","",VLOOKUP(M131,Spieler!A:AX,19,0))</f>
        <v/>
      </c>
      <c r="D131" s="228" t="str">
        <f>IF(B131="","",VLOOKUP(M131,Spieler!A:X,3,0))</f>
        <v/>
      </c>
      <c r="M131" s="2" t="str">
        <f>Spieler!AI132</f>
        <v/>
      </c>
    </row>
    <row r="132">
      <c r="A132" s="225">
        <v>128.0</v>
      </c>
      <c r="B132" s="226" t="str">
        <f>IF(M132="","",VLOOKUP(M132,Spieler!A:AX,32,0))</f>
        <v/>
      </c>
      <c r="C132" s="227" t="str">
        <f>IF(B132="","",VLOOKUP(M132,Spieler!A:AX,19,0))</f>
        <v/>
      </c>
      <c r="D132" s="228" t="str">
        <f>IF(B132="","",VLOOKUP(M132,Spieler!A:X,3,0))</f>
        <v/>
      </c>
      <c r="M132" s="2" t="str">
        <f>Spieler!AI133</f>
        <v/>
      </c>
    </row>
    <row r="133">
      <c r="A133" s="225">
        <v>129.0</v>
      </c>
      <c r="B133" s="226" t="str">
        <f>IF(M133="","",VLOOKUP(M133,Spieler!A:AX,32,0))</f>
        <v/>
      </c>
      <c r="C133" s="227" t="str">
        <f>IF(B133="","",VLOOKUP(M133,Spieler!A:AX,19,0))</f>
        <v/>
      </c>
      <c r="D133" s="228" t="str">
        <f>IF(B133="","",VLOOKUP(M133,Spieler!A:X,3,0))</f>
        <v/>
      </c>
      <c r="M133" s="2" t="str">
        <f>Spieler!AI134</f>
        <v/>
      </c>
    </row>
    <row r="134">
      <c r="A134" s="225">
        <v>130.0</v>
      </c>
      <c r="B134" s="226" t="str">
        <f>IF(M134="","",VLOOKUP(M134,Spieler!A:AX,32,0))</f>
        <v/>
      </c>
      <c r="C134" s="227" t="str">
        <f>IF(B134="","",VLOOKUP(M134,Spieler!A:AX,19,0))</f>
        <v/>
      </c>
      <c r="D134" s="228" t="str">
        <f>IF(B134="","",VLOOKUP(M134,Spieler!A:X,3,0))</f>
        <v/>
      </c>
      <c r="M134" s="2" t="str">
        <f>Spieler!AI135</f>
        <v/>
      </c>
    </row>
    <row r="135">
      <c r="A135" s="225">
        <v>131.0</v>
      </c>
      <c r="B135" s="226" t="str">
        <f>IF(M135="","",VLOOKUP(M135,Spieler!A:AX,32,0))</f>
        <v/>
      </c>
      <c r="C135" s="227" t="str">
        <f>IF(B135="","",VLOOKUP(M135,Spieler!A:AX,19,0))</f>
        <v/>
      </c>
      <c r="D135" s="228" t="str">
        <f>IF(B135="","",VLOOKUP(M135,Spieler!A:X,3,0))</f>
        <v/>
      </c>
      <c r="M135" s="2" t="str">
        <f>Spieler!AI136</f>
        <v/>
      </c>
    </row>
    <row r="136">
      <c r="A136" s="225">
        <v>132.0</v>
      </c>
      <c r="B136" s="226" t="str">
        <f>IF(M136="","",VLOOKUP(M136,Spieler!A:AX,32,0))</f>
        <v/>
      </c>
      <c r="C136" s="227" t="str">
        <f>IF(B136="","",VLOOKUP(M136,Spieler!A:AX,19,0))</f>
        <v/>
      </c>
      <c r="D136" s="228" t="str">
        <f>IF(B136="","",VLOOKUP(M136,Spieler!A:X,3,0))</f>
        <v/>
      </c>
      <c r="M136" s="2" t="str">
        <f>Spieler!AI137</f>
        <v/>
      </c>
    </row>
    <row r="137">
      <c r="A137" s="225">
        <v>133.0</v>
      </c>
      <c r="B137" s="226" t="str">
        <f>IF(M137="","",VLOOKUP(M137,Spieler!A:AX,32,0))</f>
        <v/>
      </c>
      <c r="C137" s="227" t="str">
        <f>IF(B137="","",VLOOKUP(M137,Spieler!A:AX,19,0))</f>
        <v/>
      </c>
      <c r="D137" s="228" t="str">
        <f>IF(B137="","",VLOOKUP(M137,Spieler!A:X,3,0))</f>
        <v/>
      </c>
      <c r="M137" s="2" t="str">
        <f>Spieler!AI138</f>
        <v/>
      </c>
    </row>
    <row r="138">
      <c r="A138" s="225">
        <v>134.0</v>
      </c>
      <c r="B138" s="226" t="str">
        <f>IF(M138="","",VLOOKUP(M138,Spieler!A:AX,32,0))</f>
        <v/>
      </c>
      <c r="C138" s="227" t="str">
        <f>IF(B138="","",VLOOKUP(M138,Spieler!A:AX,19,0))</f>
        <v/>
      </c>
      <c r="D138" s="228" t="str">
        <f>IF(B138="","",VLOOKUP(M138,Spieler!A:X,3,0))</f>
        <v/>
      </c>
      <c r="M138" s="2" t="str">
        <f>Spieler!AI139</f>
        <v/>
      </c>
    </row>
    <row r="139">
      <c r="A139" s="225">
        <v>135.0</v>
      </c>
      <c r="B139" s="226" t="str">
        <f>IF(M139="","",VLOOKUP(M139,Spieler!A:AX,32,0))</f>
        <v/>
      </c>
      <c r="C139" s="227" t="str">
        <f>IF(B139="","",VLOOKUP(M139,Spieler!A:AX,19,0))</f>
        <v/>
      </c>
      <c r="D139" s="228" t="str">
        <f>IF(B139="","",VLOOKUP(M139,Spieler!A:X,3,0))</f>
        <v/>
      </c>
      <c r="M139" s="2" t="str">
        <f>Spieler!AI140</f>
        <v/>
      </c>
    </row>
    <row r="140">
      <c r="A140" s="225">
        <v>136.0</v>
      </c>
      <c r="B140" s="226" t="str">
        <f>IF(M140="","",VLOOKUP(M140,Spieler!A:AX,32,0))</f>
        <v/>
      </c>
      <c r="C140" s="227" t="str">
        <f>IF(B140="","",VLOOKUP(M140,Spieler!A:AX,19,0))</f>
        <v/>
      </c>
      <c r="D140" s="228" t="str">
        <f>IF(B140="","",VLOOKUP(M140,Spieler!A:X,3,0))</f>
        <v/>
      </c>
      <c r="M140" s="2" t="str">
        <f>Spieler!AI141</f>
        <v/>
      </c>
    </row>
    <row r="141">
      <c r="A141" s="225">
        <v>137.0</v>
      </c>
      <c r="B141" s="226" t="str">
        <f>IF(M141="","",VLOOKUP(M141,Spieler!A:AX,32,0))</f>
        <v/>
      </c>
      <c r="C141" s="227" t="str">
        <f>IF(B141="","",VLOOKUP(M141,Spieler!A:AX,19,0))</f>
        <v/>
      </c>
      <c r="D141" s="228" t="str">
        <f>IF(B141="","",VLOOKUP(M141,Spieler!A:X,3,0))</f>
        <v/>
      </c>
      <c r="M141" s="2" t="str">
        <f>Spieler!AI142</f>
        <v/>
      </c>
    </row>
    <row r="142">
      <c r="A142" s="225">
        <v>138.0</v>
      </c>
      <c r="B142" s="226" t="str">
        <f>IF(M142="","",VLOOKUP(M142,Spieler!A:AX,32,0))</f>
        <v/>
      </c>
      <c r="C142" s="227" t="str">
        <f>IF(B142="","",VLOOKUP(M142,Spieler!A:AX,19,0))</f>
        <v/>
      </c>
      <c r="D142" s="228" t="str">
        <f>IF(B142="","",VLOOKUP(M142,Spieler!A:X,3,0))</f>
        <v/>
      </c>
      <c r="M142" s="2" t="str">
        <f>Spieler!AI143</f>
        <v/>
      </c>
    </row>
    <row r="143">
      <c r="A143" s="225">
        <v>139.0</v>
      </c>
      <c r="B143" s="226" t="str">
        <f>IF(M143="","",VLOOKUP(M143,Spieler!A:AX,32,0))</f>
        <v/>
      </c>
      <c r="C143" s="227" t="str">
        <f>IF(B143="","",VLOOKUP(M143,Spieler!A:AX,19,0))</f>
        <v/>
      </c>
      <c r="D143" s="228" t="str">
        <f>IF(B143="","",VLOOKUP(M143,Spieler!A:X,3,0))</f>
        <v/>
      </c>
      <c r="M143" s="2" t="str">
        <f>Spieler!AI144</f>
        <v/>
      </c>
    </row>
    <row r="144">
      <c r="A144" s="225">
        <v>140.0</v>
      </c>
      <c r="B144" s="226" t="str">
        <f>IF(M144="","",VLOOKUP(M144,Spieler!A:AX,32,0))</f>
        <v/>
      </c>
      <c r="C144" s="227" t="str">
        <f>IF(B144="","",VLOOKUP(M144,Spieler!A:AX,19,0))</f>
        <v/>
      </c>
      <c r="D144" s="228" t="str">
        <f>IF(B144="","",VLOOKUP(M144,Spieler!A:X,3,0))</f>
        <v/>
      </c>
      <c r="M144" s="2" t="str">
        <f>Spieler!AI145</f>
        <v/>
      </c>
    </row>
    <row r="145">
      <c r="A145" s="225">
        <v>141.0</v>
      </c>
      <c r="B145" s="226" t="str">
        <f>IF(M145="","",VLOOKUP(M145,Spieler!A:AX,32,0))</f>
        <v/>
      </c>
      <c r="C145" s="227" t="str">
        <f>IF(B145="","",VLOOKUP(M145,Spieler!A:AX,19,0))</f>
        <v/>
      </c>
      <c r="D145" s="228" t="str">
        <f>IF(B145="","",VLOOKUP(M145,Spieler!A:X,3,0))</f>
        <v/>
      </c>
      <c r="M145" s="2" t="str">
        <f>Spieler!AI146</f>
        <v/>
      </c>
    </row>
    <row r="146">
      <c r="A146" s="225">
        <v>142.0</v>
      </c>
      <c r="B146" s="226" t="str">
        <f>IF(M146="","",VLOOKUP(M146,Spieler!A:AX,32,0))</f>
        <v/>
      </c>
      <c r="C146" s="227" t="str">
        <f>IF(B146="","",VLOOKUP(M146,Spieler!A:AX,19,0))</f>
        <v/>
      </c>
      <c r="D146" s="228" t="str">
        <f>IF(B146="","",VLOOKUP(M146,Spieler!A:X,3,0))</f>
        <v/>
      </c>
      <c r="M146" s="2" t="str">
        <f>Spieler!AI147</f>
        <v/>
      </c>
    </row>
    <row r="147">
      <c r="A147" s="225">
        <v>143.0</v>
      </c>
      <c r="B147" s="226" t="str">
        <f>IF(M147="","",VLOOKUP(M147,Spieler!A:AX,32,0))</f>
        <v/>
      </c>
      <c r="C147" s="227" t="str">
        <f>IF(B147="","",VLOOKUP(M147,Spieler!A:AX,19,0))</f>
        <v/>
      </c>
      <c r="D147" s="228" t="str">
        <f>IF(B147="","",VLOOKUP(M147,Spieler!A:X,3,0))</f>
        <v/>
      </c>
      <c r="M147" s="2" t="str">
        <f>Spieler!AI148</f>
        <v/>
      </c>
    </row>
    <row r="148">
      <c r="A148" s="225">
        <v>144.0</v>
      </c>
      <c r="B148" s="226" t="str">
        <f>IF(M148="","",VLOOKUP(M148,Spieler!A:AX,32,0))</f>
        <v/>
      </c>
      <c r="C148" s="227" t="str">
        <f>IF(B148="","",VLOOKUP(M148,Spieler!A:AX,19,0))</f>
        <v/>
      </c>
      <c r="D148" s="228" t="str">
        <f>IF(B148="","",VLOOKUP(M148,Spieler!A:X,3,0))</f>
        <v/>
      </c>
      <c r="M148" s="2" t="str">
        <f>Spieler!AI149</f>
        <v/>
      </c>
    </row>
    <row r="149">
      <c r="A149" s="225">
        <v>145.0</v>
      </c>
      <c r="B149" s="226" t="str">
        <f>IF(M149="","",VLOOKUP(M149,Spieler!A:AX,32,0))</f>
        <v/>
      </c>
      <c r="C149" s="227" t="str">
        <f>IF(B149="","",VLOOKUP(M149,Spieler!A:AX,19,0))</f>
        <v/>
      </c>
      <c r="D149" s="228" t="str">
        <f>IF(B149="","",VLOOKUP(M149,Spieler!A:X,3,0))</f>
        <v/>
      </c>
      <c r="M149" s="2" t="str">
        <f>Spieler!AI150</f>
        <v/>
      </c>
    </row>
    <row r="150">
      <c r="A150" s="225">
        <v>146.0</v>
      </c>
      <c r="B150" s="226" t="str">
        <f>IF(M150="","",VLOOKUP(M150,Spieler!A:AX,32,0))</f>
        <v/>
      </c>
      <c r="C150" s="227" t="str">
        <f>IF(B150="","",VLOOKUP(M150,Spieler!A:AX,19,0))</f>
        <v/>
      </c>
      <c r="D150" s="228" t="str">
        <f>IF(B150="","",VLOOKUP(M150,Spieler!A:X,3,0))</f>
        <v/>
      </c>
      <c r="M150" s="2" t="str">
        <f>Spieler!AI151</f>
        <v/>
      </c>
    </row>
    <row r="151">
      <c r="A151" s="225">
        <v>147.0</v>
      </c>
      <c r="B151" s="226" t="str">
        <f>IF(M151="","",VLOOKUP(M151,Spieler!A:AX,32,0))</f>
        <v/>
      </c>
      <c r="C151" s="227" t="str">
        <f>IF(B151="","",VLOOKUP(M151,Spieler!A:AX,19,0))</f>
        <v/>
      </c>
      <c r="D151" s="228" t="str">
        <f>IF(B151="","",VLOOKUP(M151,Spieler!A:X,3,0))</f>
        <v/>
      </c>
      <c r="M151" s="2" t="str">
        <f>Spieler!AI152</f>
        <v/>
      </c>
    </row>
    <row r="152">
      <c r="A152" s="225">
        <v>148.0</v>
      </c>
      <c r="B152" s="226" t="str">
        <f>IF(M152="","",VLOOKUP(M152,Spieler!A:AX,32,0))</f>
        <v/>
      </c>
      <c r="C152" s="227" t="str">
        <f>IF(B152="","",VLOOKUP(M152,Spieler!A:AX,19,0))</f>
        <v/>
      </c>
      <c r="D152" s="228" t="str">
        <f>IF(B152="","",VLOOKUP(M152,Spieler!A:X,3,0))</f>
        <v/>
      </c>
      <c r="M152" s="2" t="str">
        <f>Spieler!AI153</f>
        <v/>
      </c>
    </row>
    <row r="153">
      <c r="A153" s="225">
        <v>149.0</v>
      </c>
      <c r="B153" s="226" t="str">
        <f>IF(M153="","",VLOOKUP(M153,Spieler!A:AX,32,0))</f>
        <v/>
      </c>
      <c r="C153" s="227" t="str">
        <f>IF(B153="","",VLOOKUP(M153,Spieler!A:AX,19,0))</f>
        <v/>
      </c>
      <c r="D153" s="228" t="str">
        <f>IF(B153="","",VLOOKUP(M153,Spieler!A:X,3,0))</f>
        <v/>
      </c>
      <c r="M153" s="2" t="str">
        <f>Spieler!AI154</f>
        <v/>
      </c>
    </row>
    <row r="154">
      <c r="A154" s="225">
        <v>150.0</v>
      </c>
      <c r="B154" s="226" t="str">
        <f>IF(M154="","",VLOOKUP(M154,Spieler!A:AX,32,0))</f>
        <v/>
      </c>
      <c r="C154" s="227" t="str">
        <f>IF(B154="","",VLOOKUP(M154,Spieler!A:AX,19,0))</f>
        <v/>
      </c>
      <c r="D154" s="228" t="str">
        <f>IF(B154="","",VLOOKUP(M154,Spieler!A:X,3,0))</f>
        <v/>
      </c>
      <c r="M154" s="2" t="str">
        <f>Spieler!AI155</f>
        <v/>
      </c>
    </row>
    <row r="155">
      <c r="C155" s="221"/>
    </row>
    <row r="156">
      <c r="C156" s="221"/>
    </row>
    <row r="157">
      <c r="C157" s="221"/>
    </row>
    <row r="158">
      <c r="C158" s="221"/>
    </row>
    <row r="159">
      <c r="C159" s="221"/>
    </row>
    <row r="160">
      <c r="C160" s="221"/>
    </row>
    <row r="161">
      <c r="C161" s="221"/>
    </row>
    <row r="162">
      <c r="C162" s="221"/>
    </row>
    <row r="163">
      <c r="C163" s="221"/>
    </row>
    <row r="164">
      <c r="C164" s="221"/>
    </row>
    <row r="165">
      <c r="C165" s="221"/>
    </row>
    <row r="166">
      <c r="C166" s="221"/>
    </row>
    <row r="167">
      <c r="C167" s="221"/>
    </row>
    <row r="168">
      <c r="C168" s="221"/>
    </row>
    <row r="169">
      <c r="C169" s="221"/>
    </row>
    <row r="170">
      <c r="C170" s="221"/>
    </row>
    <row r="171">
      <c r="C171" s="221"/>
    </row>
    <row r="172">
      <c r="C172" s="221"/>
    </row>
    <row r="173">
      <c r="C173" s="221"/>
    </row>
    <row r="174">
      <c r="C174" s="221"/>
    </row>
    <row r="175">
      <c r="C175" s="221"/>
    </row>
    <row r="176">
      <c r="C176" s="221"/>
    </row>
    <row r="177">
      <c r="C177" s="221"/>
    </row>
    <row r="178">
      <c r="C178" s="221"/>
    </row>
    <row r="179">
      <c r="C179" s="221"/>
    </row>
    <row r="180">
      <c r="C180" s="221"/>
    </row>
    <row r="181">
      <c r="C181" s="221"/>
    </row>
    <row r="182">
      <c r="C182" s="221"/>
    </row>
    <row r="183">
      <c r="C183" s="221"/>
    </row>
    <row r="184">
      <c r="C184" s="221"/>
    </row>
    <row r="185">
      <c r="C185" s="221"/>
    </row>
    <row r="186">
      <c r="C186" s="221"/>
    </row>
    <row r="187">
      <c r="C187" s="221"/>
    </row>
    <row r="188">
      <c r="C188" s="221"/>
    </row>
    <row r="189">
      <c r="C189" s="221"/>
    </row>
    <row r="190">
      <c r="C190" s="221"/>
    </row>
    <row r="191">
      <c r="C191" s="221"/>
    </row>
    <row r="192">
      <c r="C192" s="221"/>
    </row>
    <row r="193">
      <c r="C193" s="221"/>
    </row>
    <row r="194">
      <c r="C194" s="221"/>
    </row>
    <row r="195">
      <c r="C195" s="221"/>
    </row>
    <row r="196">
      <c r="C196" s="221"/>
    </row>
    <row r="197">
      <c r="C197" s="221"/>
    </row>
    <row r="198">
      <c r="C198" s="221"/>
    </row>
    <row r="199">
      <c r="C199" s="221"/>
    </row>
    <row r="200">
      <c r="C200" s="221"/>
    </row>
    <row r="201">
      <c r="C201" s="221"/>
    </row>
    <row r="202">
      <c r="C202" s="221"/>
    </row>
    <row r="203">
      <c r="C203" s="221"/>
    </row>
    <row r="204">
      <c r="C204" s="221"/>
    </row>
    <row r="205">
      <c r="C205" s="221"/>
    </row>
    <row r="206">
      <c r="C206" s="221"/>
    </row>
    <row r="207">
      <c r="C207" s="221"/>
    </row>
    <row r="208">
      <c r="C208" s="221"/>
    </row>
    <row r="209">
      <c r="C209" s="221"/>
    </row>
    <row r="210">
      <c r="C210" s="221"/>
    </row>
    <row r="211">
      <c r="C211" s="221"/>
    </row>
    <row r="212">
      <c r="C212" s="221"/>
    </row>
    <row r="213">
      <c r="C213" s="221"/>
    </row>
    <row r="214">
      <c r="C214" s="221"/>
    </row>
    <row r="215">
      <c r="C215" s="221"/>
    </row>
    <row r="216">
      <c r="C216" s="221"/>
    </row>
    <row r="217">
      <c r="C217" s="221"/>
    </row>
    <row r="218">
      <c r="C218" s="221"/>
    </row>
    <row r="219">
      <c r="C219" s="221"/>
    </row>
    <row r="220">
      <c r="C220" s="221"/>
    </row>
    <row r="221">
      <c r="C221" s="221"/>
    </row>
    <row r="222">
      <c r="C222" s="221"/>
    </row>
    <row r="223">
      <c r="C223" s="221"/>
    </row>
    <row r="224">
      <c r="C224" s="221"/>
    </row>
    <row r="225">
      <c r="C225" s="221"/>
    </row>
    <row r="226">
      <c r="C226" s="221"/>
    </row>
    <row r="227">
      <c r="C227" s="221"/>
    </row>
    <row r="228">
      <c r="C228" s="221"/>
    </row>
    <row r="229">
      <c r="C229" s="221"/>
    </row>
    <row r="230">
      <c r="C230" s="221"/>
    </row>
    <row r="231">
      <c r="C231" s="221"/>
    </row>
    <row r="232">
      <c r="C232" s="221"/>
    </row>
    <row r="233">
      <c r="C233" s="221"/>
    </row>
    <row r="234">
      <c r="C234" s="221"/>
    </row>
    <row r="235">
      <c r="C235" s="221"/>
    </row>
    <row r="236">
      <c r="C236" s="221"/>
    </row>
    <row r="237">
      <c r="C237" s="221"/>
    </row>
    <row r="238">
      <c r="C238" s="221"/>
    </row>
    <row r="239">
      <c r="C239" s="221"/>
    </row>
    <row r="240">
      <c r="C240" s="221"/>
    </row>
    <row r="241">
      <c r="C241" s="221"/>
    </row>
    <row r="242">
      <c r="C242" s="221"/>
    </row>
    <row r="243">
      <c r="C243" s="221"/>
    </row>
    <row r="244">
      <c r="C244" s="221"/>
    </row>
    <row r="245">
      <c r="C245" s="221"/>
    </row>
    <row r="246">
      <c r="C246" s="221"/>
    </row>
    <row r="247">
      <c r="C247" s="221"/>
    </row>
    <row r="248">
      <c r="C248" s="221"/>
    </row>
    <row r="249">
      <c r="C249" s="221"/>
    </row>
    <row r="250">
      <c r="C250" s="221"/>
    </row>
    <row r="251">
      <c r="C251" s="221"/>
    </row>
    <row r="252">
      <c r="C252" s="221"/>
    </row>
    <row r="253">
      <c r="C253" s="221"/>
    </row>
    <row r="254">
      <c r="C254" s="221"/>
    </row>
    <row r="255">
      <c r="C255" s="221"/>
    </row>
    <row r="256">
      <c r="C256" s="221"/>
    </row>
    <row r="257">
      <c r="C257" s="221"/>
    </row>
    <row r="258">
      <c r="C258" s="221"/>
    </row>
    <row r="259">
      <c r="C259" s="221"/>
    </row>
    <row r="260">
      <c r="C260" s="221"/>
    </row>
    <row r="261">
      <c r="C261" s="221"/>
    </row>
    <row r="262">
      <c r="C262" s="221"/>
    </row>
    <row r="263">
      <c r="C263" s="221"/>
    </row>
    <row r="264">
      <c r="C264" s="221"/>
    </row>
    <row r="265">
      <c r="C265" s="221"/>
    </row>
    <row r="266">
      <c r="C266" s="221"/>
    </row>
    <row r="267">
      <c r="C267" s="221"/>
    </row>
    <row r="268">
      <c r="C268" s="221"/>
    </row>
    <row r="269">
      <c r="C269" s="221"/>
    </row>
    <row r="270">
      <c r="C270" s="221"/>
    </row>
    <row r="271">
      <c r="C271" s="221"/>
    </row>
    <row r="272">
      <c r="C272" s="221"/>
    </row>
    <row r="273">
      <c r="C273" s="221"/>
    </row>
    <row r="274">
      <c r="C274" s="221"/>
    </row>
    <row r="275">
      <c r="C275" s="221"/>
    </row>
    <row r="276">
      <c r="C276" s="221"/>
    </row>
    <row r="277">
      <c r="C277" s="221"/>
    </row>
    <row r="278">
      <c r="C278" s="221"/>
    </row>
    <row r="279">
      <c r="C279" s="221"/>
    </row>
    <row r="280">
      <c r="C280" s="221"/>
    </row>
    <row r="281">
      <c r="C281" s="221"/>
    </row>
    <row r="282">
      <c r="C282" s="221"/>
    </row>
    <row r="283">
      <c r="C283" s="221"/>
    </row>
    <row r="284">
      <c r="C284" s="221"/>
    </row>
    <row r="285">
      <c r="C285" s="221"/>
    </row>
    <row r="286">
      <c r="C286" s="221"/>
    </row>
    <row r="287">
      <c r="C287" s="221"/>
    </row>
    <row r="288">
      <c r="C288" s="221"/>
    </row>
    <row r="289">
      <c r="C289" s="221"/>
    </row>
    <row r="290">
      <c r="C290" s="221"/>
    </row>
    <row r="291">
      <c r="C291" s="221"/>
    </row>
    <row r="292">
      <c r="C292" s="221"/>
    </row>
    <row r="293">
      <c r="C293" s="221"/>
    </row>
    <row r="294">
      <c r="C294" s="221"/>
    </row>
    <row r="295">
      <c r="C295" s="221"/>
    </row>
    <row r="296">
      <c r="C296" s="221"/>
    </row>
    <row r="297">
      <c r="C297" s="221"/>
    </row>
    <row r="298">
      <c r="C298" s="221"/>
    </row>
    <row r="299">
      <c r="C299" s="221"/>
    </row>
    <row r="300">
      <c r="C300" s="221"/>
    </row>
    <row r="301">
      <c r="C301" s="221"/>
    </row>
    <row r="302">
      <c r="C302" s="221"/>
    </row>
    <row r="303">
      <c r="C303" s="221"/>
    </row>
    <row r="304">
      <c r="C304" s="221"/>
    </row>
    <row r="305">
      <c r="C305" s="221"/>
    </row>
    <row r="306">
      <c r="C306" s="221"/>
    </row>
    <row r="307">
      <c r="C307" s="221"/>
    </row>
    <row r="308">
      <c r="C308" s="221"/>
    </row>
    <row r="309">
      <c r="C309" s="221"/>
    </row>
    <row r="310">
      <c r="C310" s="221"/>
    </row>
    <row r="311">
      <c r="C311" s="221"/>
    </row>
    <row r="312">
      <c r="C312" s="221"/>
    </row>
    <row r="313">
      <c r="C313" s="221"/>
    </row>
    <row r="314">
      <c r="C314" s="221"/>
    </row>
    <row r="315">
      <c r="C315" s="221"/>
    </row>
    <row r="316">
      <c r="C316" s="221"/>
    </row>
    <row r="317">
      <c r="C317" s="221"/>
    </row>
    <row r="318">
      <c r="C318" s="221"/>
    </row>
    <row r="319">
      <c r="C319" s="221"/>
    </row>
    <row r="320">
      <c r="C320" s="221"/>
    </row>
    <row r="321">
      <c r="C321" s="221"/>
    </row>
    <row r="322">
      <c r="C322" s="221"/>
    </row>
    <row r="323">
      <c r="C323" s="221"/>
    </row>
    <row r="324">
      <c r="C324" s="221"/>
    </row>
    <row r="325">
      <c r="C325" s="221"/>
    </row>
    <row r="326">
      <c r="C326" s="221"/>
    </row>
    <row r="327">
      <c r="C327" s="221"/>
    </row>
    <row r="328">
      <c r="C328" s="221"/>
    </row>
    <row r="329">
      <c r="C329" s="221"/>
    </row>
    <row r="330">
      <c r="C330" s="221"/>
    </row>
    <row r="331">
      <c r="C331" s="221"/>
    </row>
    <row r="332">
      <c r="C332" s="221"/>
    </row>
    <row r="333">
      <c r="C333" s="221"/>
    </row>
    <row r="334">
      <c r="C334" s="221"/>
    </row>
    <row r="335">
      <c r="C335" s="221"/>
    </row>
    <row r="336">
      <c r="C336" s="221"/>
    </row>
    <row r="337">
      <c r="C337" s="221"/>
    </row>
    <row r="338">
      <c r="C338" s="221"/>
    </row>
    <row r="339">
      <c r="C339" s="221"/>
    </row>
    <row r="340">
      <c r="C340" s="221"/>
    </row>
    <row r="341">
      <c r="C341" s="221"/>
    </row>
    <row r="342">
      <c r="C342" s="221"/>
    </row>
    <row r="343">
      <c r="C343" s="221"/>
    </row>
    <row r="344">
      <c r="C344" s="221"/>
    </row>
    <row r="345">
      <c r="C345" s="221"/>
    </row>
    <row r="346">
      <c r="C346" s="221"/>
    </row>
    <row r="347">
      <c r="C347" s="221"/>
    </row>
    <row r="348">
      <c r="C348" s="221"/>
    </row>
    <row r="349">
      <c r="C349" s="221"/>
    </row>
    <row r="350">
      <c r="C350" s="221"/>
    </row>
    <row r="351">
      <c r="C351" s="221"/>
    </row>
    <row r="352">
      <c r="C352" s="221"/>
    </row>
    <row r="353">
      <c r="C353" s="221"/>
    </row>
    <row r="354">
      <c r="C354" s="221"/>
    </row>
    <row r="355">
      <c r="C355" s="221"/>
    </row>
    <row r="356">
      <c r="C356" s="221"/>
    </row>
    <row r="357">
      <c r="C357" s="221"/>
    </row>
    <row r="358">
      <c r="C358" s="221"/>
    </row>
    <row r="359">
      <c r="C359" s="221"/>
    </row>
    <row r="360">
      <c r="C360" s="221"/>
    </row>
    <row r="361">
      <c r="C361" s="221"/>
    </row>
    <row r="362">
      <c r="C362" s="221"/>
    </row>
    <row r="363">
      <c r="C363" s="221"/>
    </row>
    <row r="364">
      <c r="C364" s="221"/>
    </row>
    <row r="365">
      <c r="C365" s="221"/>
    </row>
    <row r="366">
      <c r="C366" s="221"/>
    </row>
    <row r="367">
      <c r="C367" s="221"/>
    </row>
    <row r="368">
      <c r="C368" s="221"/>
    </row>
    <row r="369">
      <c r="C369" s="221"/>
    </row>
    <row r="370">
      <c r="C370" s="221"/>
    </row>
    <row r="371">
      <c r="C371" s="221"/>
    </row>
    <row r="372">
      <c r="C372" s="221"/>
    </row>
    <row r="373">
      <c r="C373" s="221"/>
    </row>
    <row r="374">
      <c r="C374" s="221"/>
    </row>
    <row r="375">
      <c r="C375" s="221"/>
    </row>
    <row r="376">
      <c r="C376" s="221"/>
    </row>
    <row r="377">
      <c r="C377" s="221"/>
    </row>
    <row r="378">
      <c r="C378" s="221"/>
    </row>
    <row r="379">
      <c r="C379" s="221"/>
    </row>
    <row r="380">
      <c r="C380" s="221"/>
    </row>
    <row r="381">
      <c r="C381" s="221"/>
    </row>
    <row r="382">
      <c r="C382" s="221"/>
    </row>
    <row r="383">
      <c r="C383" s="221"/>
    </row>
    <row r="384">
      <c r="C384" s="221"/>
    </row>
    <row r="385">
      <c r="C385" s="221"/>
    </row>
    <row r="386">
      <c r="C386" s="221"/>
    </row>
    <row r="387">
      <c r="C387" s="221"/>
    </row>
    <row r="388">
      <c r="C388" s="221"/>
    </row>
    <row r="389">
      <c r="C389" s="221"/>
    </row>
    <row r="390">
      <c r="C390" s="221"/>
    </row>
    <row r="391">
      <c r="C391" s="221"/>
    </row>
    <row r="392">
      <c r="C392" s="221"/>
    </row>
    <row r="393">
      <c r="C393" s="221"/>
    </row>
    <row r="394">
      <c r="C394" s="221"/>
    </row>
    <row r="395">
      <c r="C395" s="221"/>
    </row>
    <row r="396">
      <c r="C396" s="221"/>
    </row>
    <row r="397">
      <c r="C397" s="221"/>
    </row>
    <row r="398">
      <c r="C398" s="221"/>
    </row>
    <row r="399">
      <c r="C399" s="221"/>
    </row>
    <row r="400">
      <c r="C400" s="221"/>
    </row>
    <row r="401">
      <c r="C401" s="221"/>
    </row>
    <row r="402">
      <c r="C402" s="221"/>
    </row>
    <row r="403">
      <c r="C403" s="221"/>
    </row>
    <row r="404">
      <c r="C404" s="221"/>
    </row>
    <row r="405">
      <c r="C405" s="221"/>
    </row>
    <row r="406">
      <c r="C406" s="221"/>
    </row>
    <row r="407">
      <c r="C407" s="221"/>
    </row>
    <row r="408">
      <c r="C408" s="221"/>
    </row>
    <row r="409">
      <c r="C409" s="221"/>
    </row>
    <row r="410">
      <c r="C410" s="221"/>
    </row>
    <row r="411">
      <c r="C411" s="221"/>
    </row>
    <row r="412">
      <c r="C412" s="221"/>
    </row>
    <row r="413">
      <c r="C413" s="221"/>
    </row>
    <row r="414">
      <c r="C414" s="221"/>
    </row>
    <row r="415">
      <c r="C415" s="221"/>
    </row>
    <row r="416">
      <c r="C416" s="221"/>
    </row>
    <row r="417">
      <c r="C417" s="221"/>
    </row>
    <row r="418">
      <c r="C418" s="221"/>
    </row>
    <row r="419">
      <c r="C419" s="221"/>
    </row>
    <row r="420">
      <c r="C420" s="221"/>
    </row>
    <row r="421">
      <c r="C421" s="221"/>
    </row>
    <row r="422">
      <c r="C422" s="221"/>
    </row>
    <row r="423">
      <c r="C423" s="221"/>
    </row>
    <row r="424">
      <c r="C424" s="221"/>
    </row>
    <row r="425">
      <c r="C425" s="221"/>
    </row>
    <row r="426">
      <c r="C426" s="221"/>
    </row>
    <row r="427">
      <c r="C427" s="221"/>
    </row>
    <row r="428">
      <c r="C428" s="221"/>
    </row>
    <row r="429">
      <c r="C429" s="221"/>
    </row>
    <row r="430">
      <c r="C430" s="221"/>
    </row>
    <row r="431">
      <c r="C431" s="221"/>
    </row>
    <row r="432">
      <c r="C432" s="221"/>
    </row>
    <row r="433">
      <c r="C433" s="221"/>
    </row>
    <row r="434">
      <c r="C434" s="221"/>
    </row>
    <row r="435">
      <c r="C435" s="221"/>
    </row>
    <row r="436">
      <c r="C436" s="221"/>
    </row>
    <row r="437">
      <c r="C437" s="221"/>
    </row>
    <row r="438">
      <c r="C438" s="221"/>
    </row>
    <row r="439">
      <c r="C439" s="221"/>
    </row>
    <row r="440">
      <c r="C440" s="221"/>
    </row>
    <row r="441">
      <c r="C441" s="221"/>
    </row>
    <row r="442">
      <c r="C442" s="221"/>
    </row>
    <row r="443">
      <c r="C443" s="221"/>
    </row>
    <row r="444">
      <c r="C444" s="221"/>
    </row>
    <row r="445">
      <c r="C445" s="221"/>
    </row>
    <row r="446">
      <c r="C446" s="221"/>
    </row>
    <row r="447">
      <c r="C447" s="221"/>
    </row>
    <row r="448">
      <c r="C448" s="221"/>
    </row>
    <row r="449">
      <c r="C449" s="221"/>
    </row>
    <row r="450">
      <c r="C450" s="221"/>
    </row>
    <row r="451">
      <c r="C451" s="221"/>
    </row>
    <row r="452">
      <c r="C452" s="221"/>
    </row>
    <row r="453">
      <c r="C453" s="221"/>
    </row>
    <row r="454">
      <c r="C454" s="221"/>
    </row>
    <row r="455">
      <c r="C455" s="221"/>
    </row>
    <row r="456">
      <c r="C456" s="221"/>
    </row>
    <row r="457">
      <c r="C457" s="221"/>
    </row>
    <row r="458">
      <c r="C458" s="221"/>
    </row>
    <row r="459">
      <c r="C459" s="221"/>
    </row>
    <row r="460">
      <c r="C460" s="221"/>
    </row>
    <row r="461">
      <c r="C461" s="221"/>
    </row>
    <row r="462">
      <c r="C462" s="221"/>
    </row>
    <row r="463">
      <c r="C463" s="221"/>
    </row>
    <row r="464">
      <c r="C464" s="221"/>
    </row>
    <row r="465">
      <c r="C465" s="221"/>
    </row>
    <row r="466">
      <c r="C466" s="221"/>
    </row>
    <row r="467">
      <c r="C467" s="221"/>
    </row>
    <row r="468">
      <c r="C468" s="221"/>
    </row>
    <row r="469">
      <c r="C469" s="221"/>
    </row>
    <row r="470">
      <c r="C470" s="221"/>
    </row>
    <row r="471">
      <c r="C471" s="221"/>
    </row>
    <row r="472">
      <c r="C472" s="221"/>
    </row>
    <row r="473">
      <c r="C473" s="221"/>
    </row>
    <row r="474">
      <c r="C474" s="221"/>
    </row>
    <row r="475">
      <c r="C475" s="221"/>
    </row>
    <row r="476">
      <c r="C476" s="221"/>
    </row>
    <row r="477">
      <c r="C477" s="221"/>
    </row>
    <row r="478">
      <c r="C478" s="221"/>
    </row>
    <row r="479">
      <c r="C479" s="221"/>
    </row>
    <row r="480">
      <c r="C480" s="221"/>
    </row>
    <row r="481">
      <c r="C481" s="221"/>
    </row>
    <row r="482">
      <c r="C482" s="221"/>
    </row>
    <row r="483">
      <c r="C483" s="221"/>
    </row>
    <row r="484">
      <c r="C484" s="221"/>
    </row>
    <row r="485">
      <c r="C485" s="221"/>
    </row>
    <row r="486">
      <c r="C486" s="221"/>
    </row>
    <row r="487">
      <c r="C487" s="221"/>
    </row>
    <row r="488">
      <c r="C488" s="221"/>
    </row>
    <row r="489">
      <c r="C489" s="221"/>
    </row>
    <row r="490">
      <c r="C490" s="221"/>
    </row>
    <row r="491">
      <c r="C491" s="221"/>
    </row>
    <row r="492">
      <c r="C492" s="221"/>
    </row>
    <row r="493">
      <c r="C493" s="221"/>
    </row>
    <row r="494">
      <c r="C494" s="221"/>
    </row>
    <row r="495">
      <c r="C495" s="221"/>
    </row>
    <row r="496">
      <c r="C496" s="221"/>
    </row>
    <row r="497">
      <c r="C497" s="221"/>
    </row>
    <row r="498">
      <c r="C498" s="221"/>
    </row>
    <row r="499">
      <c r="C499" s="221"/>
    </row>
    <row r="500">
      <c r="C500" s="221"/>
    </row>
    <row r="501">
      <c r="C501" s="221"/>
    </row>
    <row r="502">
      <c r="C502" s="221"/>
    </row>
    <row r="503">
      <c r="C503" s="221"/>
    </row>
    <row r="504">
      <c r="C504" s="221"/>
    </row>
    <row r="505">
      <c r="C505" s="221"/>
    </row>
    <row r="506">
      <c r="C506" s="221"/>
    </row>
    <row r="507">
      <c r="C507" s="221"/>
    </row>
    <row r="508">
      <c r="C508" s="221"/>
    </row>
    <row r="509">
      <c r="C509" s="221"/>
    </row>
    <row r="510">
      <c r="C510" s="221"/>
    </row>
    <row r="511">
      <c r="C511" s="221"/>
    </row>
    <row r="512">
      <c r="C512" s="221"/>
    </row>
    <row r="513">
      <c r="C513" s="221"/>
    </row>
    <row r="514">
      <c r="C514" s="221"/>
    </row>
    <row r="515">
      <c r="C515" s="221"/>
    </row>
    <row r="516">
      <c r="C516" s="221"/>
    </row>
    <row r="517">
      <c r="C517" s="221"/>
    </row>
    <row r="518">
      <c r="C518" s="221"/>
    </row>
    <row r="519">
      <c r="C519" s="221"/>
    </row>
    <row r="520">
      <c r="C520" s="221"/>
    </row>
    <row r="521">
      <c r="C521" s="221"/>
    </row>
    <row r="522">
      <c r="C522" s="221"/>
    </row>
    <row r="523">
      <c r="C523" s="221"/>
    </row>
    <row r="524">
      <c r="C524" s="221"/>
    </row>
    <row r="525">
      <c r="C525" s="221"/>
    </row>
    <row r="526">
      <c r="C526" s="221"/>
    </row>
    <row r="527">
      <c r="C527" s="221"/>
    </row>
    <row r="528">
      <c r="C528" s="221"/>
    </row>
    <row r="529">
      <c r="C529" s="221"/>
    </row>
    <row r="530">
      <c r="C530" s="221"/>
    </row>
    <row r="531">
      <c r="C531" s="221"/>
    </row>
    <row r="532">
      <c r="C532" s="221"/>
    </row>
    <row r="533">
      <c r="C533" s="221"/>
    </row>
    <row r="534">
      <c r="C534" s="221"/>
    </row>
    <row r="535">
      <c r="C535" s="221"/>
    </row>
    <row r="536">
      <c r="C536" s="221"/>
    </row>
    <row r="537">
      <c r="C537" s="221"/>
    </row>
    <row r="538">
      <c r="C538" s="221"/>
    </row>
    <row r="539">
      <c r="C539" s="221"/>
    </row>
    <row r="540">
      <c r="C540" s="221"/>
    </row>
    <row r="541">
      <c r="C541" s="221"/>
    </row>
    <row r="542">
      <c r="C542" s="221"/>
    </row>
    <row r="543">
      <c r="C543" s="221"/>
    </row>
    <row r="544">
      <c r="C544" s="221"/>
    </row>
    <row r="545">
      <c r="C545" s="221"/>
    </row>
    <row r="546">
      <c r="C546" s="221"/>
    </row>
    <row r="547">
      <c r="C547" s="221"/>
    </row>
    <row r="548">
      <c r="C548" s="221"/>
    </row>
    <row r="549">
      <c r="C549" s="221"/>
    </row>
    <row r="550">
      <c r="C550" s="221"/>
    </row>
    <row r="551">
      <c r="C551" s="221"/>
    </row>
    <row r="552">
      <c r="C552" s="221"/>
    </row>
    <row r="553">
      <c r="C553" s="221"/>
    </row>
    <row r="554">
      <c r="C554" s="221"/>
    </row>
    <row r="555">
      <c r="C555" s="221"/>
    </row>
    <row r="556">
      <c r="C556" s="221"/>
    </row>
    <row r="557">
      <c r="C557" s="221"/>
    </row>
    <row r="558">
      <c r="C558" s="221"/>
    </row>
    <row r="559">
      <c r="C559" s="221"/>
    </row>
    <row r="560">
      <c r="C560" s="221"/>
    </row>
    <row r="561">
      <c r="C561" s="221"/>
    </row>
    <row r="562">
      <c r="C562" s="221"/>
    </row>
    <row r="563">
      <c r="C563" s="221"/>
    </row>
    <row r="564">
      <c r="C564" s="221"/>
    </row>
    <row r="565">
      <c r="C565" s="221"/>
    </row>
    <row r="566">
      <c r="C566" s="221"/>
    </row>
    <row r="567">
      <c r="C567" s="221"/>
    </row>
    <row r="568">
      <c r="C568" s="221"/>
    </row>
    <row r="569">
      <c r="C569" s="221"/>
    </row>
    <row r="570">
      <c r="C570" s="221"/>
    </row>
    <row r="571">
      <c r="C571" s="221"/>
    </row>
    <row r="572">
      <c r="C572" s="221"/>
    </row>
    <row r="573">
      <c r="C573" s="221"/>
    </row>
    <row r="574">
      <c r="C574" s="221"/>
    </row>
    <row r="575">
      <c r="C575" s="221"/>
    </row>
    <row r="576">
      <c r="C576" s="221"/>
    </row>
    <row r="577">
      <c r="C577" s="221"/>
    </row>
    <row r="578">
      <c r="C578" s="221"/>
    </row>
    <row r="579">
      <c r="C579" s="221"/>
    </row>
    <row r="580">
      <c r="C580" s="221"/>
    </row>
    <row r="581">
      <c r="C581" s="221"/>
    </row>
    <row r="582">
      <c r="C582" s="221"/>
    </row>
    <row r="583">
      <c r="C583" s="221"/>
    </row>
    <row r="584">
      <c r="C584" s="221"/>
    </row>
    <row r="585">
      <c r="C585" s="221"/>
    </row>
    <row r="586">
      <c r="C586" s="221"/>
    </row>
    <row r="587">
      <c r="C587" s="221"/>
    </row>
    <row r="588">
      <c r="C588" s="221"/>
    </row>
    <row r="589">
      <c r="C589" s="221"/>
    </row>
    <row r="590">
      <c r="C590" s="221"/>
    </row>
    <row r="591">
      <c r="C591" s="221"/>
    </row>
    <row r="592">
      <c r="C592" s="221"/>
    </row>
    <row r="593">
      <c r="C593" s="221"/>
    </row>
    <row r="594">
      <c r="C594" s="221"/>
    </row>
    <row r="595">
      <c r="C595" s="221"/>
    </row>
    <row r="596">
      <c r="C596" s="221"/>
    </row>
    <row r="597">
      <c r="C597" s="221"/>
    </row>
    <row r="598">
      <c r="C598" s="221"/>
    </row>
    <row r="599">
      <c r="C599" s="221"/>
    </row>
    <row r="600">
      <c r="C600" s="221"/>
    </row>
    <row r="601">
      <c r="C601" s="221"/>
    </row>
    <row r="602">
      <c r="C602" s="221"/>
    </row>
    <row r="603">
      <c r="C603" s="221"/>
    </row>
    <row r="604">
      <c r="C604" s="221"/>
    </row>
    <row r="605">
      <c r="C605" s="221"/>
    </row>
    <row r="606">
      <c r="C606" s="221"/>
    </row>
    <row r="607">
      <c r="C607" s="221"/>
    </row>
    <row r="608">
      <c r="C608" s="221"/>
    </row>
    <row r="609">
      <c r="C609" s="221"/>
    </row>
    <row r="610">
      <c r="C610" s="221"/>
    </row>
    <row r="611">
      <c r="C611" s="221"/>
    </row>
    <row r="612">
      <c r="C612" s="221"/>
    </row>
    <row r="613">
      <c r="C613" s="221"/>
    </row>
    <row r="614">
      <c r="C614" s="221"/>
    </row>
    <row r="615">
      <c r="C615" s="221"/>
    </row>
    <row r="616">
      <c r="C616" s="221"/>
    </row>
    <row r="617">
      <c r="C617" s="221"/>
    </row>
    <row r="618">
      <c r="C618" s="221"/>
    </row>
    <row r="619">
      <c r="C619" s="221"/>
    </row>
    <row r="620">
      <c r="C620" s="221"/>
    </row>
    <row r="621">
      <c r="C621" s="221"/>
    </row>
    <row r="622">
      <c r="C622" s="221"/>
    </row>
    <row r="623">
      <c r="C623" s="221"/>
    </row>
    <row r="624">
      <c r="C624" s="221"/>
    </row>
    <row r="625">
      <c r="C625" s="221"/>
    </row>
    <row r="626">
      <c r="C626" s="221"/>
    </row>
    <row r="627">
      <c r="C627" s="221"/>
    </row>
    <row r="628">
      <c r="C628" s="221"/>
    </row>
    <row r="629">
      <c r="C629" s="221"/>
    </row>
    <row r="630">
      <c r="C630" s="221"/>
    </row>
    <row r="631">
      <c r="C631" s="221"/>
    </row>
    <row r="632">
      <c r="C632" s="221"/>
    </row>
    <row r="633">
      <c r="C633" s="221"/>
    </row>
    <row r="634">
      <c r="C634" s="221"/>
    </row>
    <row r="635">
      <c r="C635" s="221"/>
    </row>
    <row r="636">
      <c r="C636" s="221"/>
    </row>
    <row r="637">
      <c r="C637" s="221"/>
    </row>
    <row r="638">
      <c r="C638" s="221"/>
    </row>
    <row r="639">
      <c r="C639" s="221"/>
    </row>
    <row r="640">
      <c r="C640" s="221"/>
    </row>
    <row r="641">
      <c r="C641" s="221"/>
    </row>
    <row r="642">
      <c r="C642" s="221"/>
    </row>
    <row r="643">
      <c r="C643" s="221"/>
    </row>
    <row r="644">
      <c r="C644" s="221"/>
    </row>
    <row r="645">
      <c r="C645" s="221"/>
    </row>
    <row r="646">
      <c r="C646" s="221"/>
    </row>
    <row r="647">
      <c r="C647" s="221"/>
    </row>
    <row r="648">
      <c r="C648" s="221"/>
    </row>
    <row r="649">
      <c r="C649" s="221"/>
    </row>
    <row r="650">
      <c r="C650" s="221"/>
    </row>
    <row r="651">
      <c r="C651" s="221"/>
    </row>
    <row r="652">
      <c r="C652" s="221"/>
    </row>
    <row r="653">
      <c r="C653" s="221"/>
    </row>
    <row r="654">
      <c r="C654" s="221"/>
    </row>
    <row r="655">
      <c r="C655" s="221"/>
    </row>
    <row r="656">
      <c r="C656" s="221"/>
    </row>
    <row r="657">
      <c r="C657" s="221"/>
    </row>
    <row r="658">
      <c r="C658" s="221"/>
    </row>
    <row r="659">
      <c r="C659" s="221"/>
    </row>
    <row r="660">
      <c r="C660" s="221"/>
    </row>
    <row r="661">
      <c r="C661" s="221"/>
    </row>
    <row r="662">
      <c r="C662" s="221"/>
    </row>
    <row r="663">
      <c r="C663" s="221"/>
    </row>
    <row r="664">
      <c r="C664" s="221"/>
    </row>
    <row r="665">
      <c r="C665" s="221"/>
    </row>
    <row r="666">
      <c r="C666" s="221"/>
    </row>
    <row r="667">
      <c r="C667" s="221"/>
    </row>
    <row r="668">
      <c r="C668" s="221"/>
    </row>
    <row r="669">
      <c r="C669" s="221"/>
    </row>
    <row r="670">
      <c r="C670" s="221"/>
    </row>
    <row r="671">
      <c r="C671" s="221"/>
    </row>
    <row r="672">
      <c r="C672" s="221"/>
    </row>
    <row r="673">
      <c r="C673" s="221"/>
    </row>
    <row r="674">
      <c r="C674" s="221"/>
    </row>
    <row r="675">
      <c r="C675" s="221"/>
    </row>
    <row r="676">
      <c r="C676" s="221"/>
    </row>
    <row r="677">
      <c r="C677" s="221"/>
    </row>
    <row r="678">
      <c r="C678" s="221"/>
    </row>
    <row r="679">
      <c r="C679" s="221"/>
    </row>
    <row r="680">
      <c r="C680" s="221"/>
    </row>
    <row r="681">
      <c r="C681" s="221"/>
    </row>
    <row r="682">
      <c r="C682" s="221"/>
    </row>
    <row r="683">
      <c r="C683" s="221"/>
    </row>
    <row r="684">
      <c r="C684" s="221"/>
    </row>
    <row r="685">
      <c r="C685" s="221"/>
    </row>
    <row r="686">
      <c r="C686" s="221"/>
    </row>
    <row r="687">
      <c r="C687" s="221"/>
    </row>
    <row r="688">
      <c r="C688" s="221"/>
    </row>
    <row r="689">
      <c r="C689" s="221"/>
    </row>
    <row r="690">
      <c r="C690" s="221"/>
    </row>
    <row r="691">
      <c r="C691" s="221"/>
    </row>
    <row r="692">
      <c r="C692" s="221"/>
    </row>
    <row r="693">
      <c r="C693" s="221"/>
    </row>
    <row r="694">
      <c r="C694" s="221"/>
    </row>
    <row r="695">
      <c r="C695" s="221"/>
    </row>
    <row r="696">
      <c r="C696" s="221"/>
    </row>
    <row r="697">
      <c r="C697" s="221"/>
    </row>
    <row r="698">
      <c r="C698" s="221"/>
    </row>
    <row r="699">
      <c r="C699" s="221"/>
    </row>
    <row r="700">
      <c r="C700" s="221"/>
    </row>
    <row r="701">
      <c r="C701" s="221"/>
    </row>
    <row r="702">
      <c r="C702" s="221"/>
    </row>
    <row r="703">
      <c r="C703" s="221"/>
    </row>
    <row r="704">
      <c r="C704" s="221"/>
    </row>
    <row r="705">
      <c r="C705" s="221"/>
    </row>
    <row r="706">
      <c r="C706" s="221"/>
    </row>
    <row r="707">
      <c r="C707" s="221"/>
    </row>
    <row r="708">
      <c r="C708" s="221"/>
    </row>
    <row r="709">
      <c r="C709" s="221"/>
    </row>
    <row r="710">
      <c r="C710" s="221"/>
    </row>
    <row r="711">
      <c r="C711" s="221"/>
    </row>
    <row r="712">
      <c r="C712" s="221"/>
    </row>
    <row r="713">
      <c r="C713" s="221"/>
    </row>
    <row r="714">
      <c r="C714" s="221"/>
    </row>
    <row r="715">
      <c r="C715" s="221"/>
    </row>
    <row r="716">
      <c r="C716" s="221"/>
    </row>
    <row r="717">
      <c r="C717" s="221"/>
    </row>
    <row r="718">
      <c r="C718" s="221"/>
    </row>
    <row r="719">
      <c r="C719" s="221"/>
    </row>
    <row r="720">
      <c r="C720" s="221"/>
    </row>
    <row r="721">
      <c r="C721" s="221"/>
    </row>
    <row r="722">
      <c r="C722" s="221"/>
    </row>
    <row r="723">
      <c r="C723" s="221"/>
    </row>
    <row r="724">
      <c r="C724" s="221"/>
    </row>
    <row r="725">
      <c r="C725" s="221"/>
    </row>
    <row r="726">
      <c r="C726" s="221"/>
    </row>
    <row r="727">
      <c r="C727" s="221"/>
    </row>
    <row r="728">
      <c r="C728" s="221"/>
    </row>
    <row r="729">
      <c r="C729" s="221"/>
    </row>
    <row r="730">
      <c r="C730" s="221"/>
    </row>
    <row r="731">
      <c r="C731" s="221"/>
    </row>
    <row r="732">
      <c r="C732" s="221"/>
    </row>
    <row r="733">
      <c r="C733" s="221"/>
    </row>
    <row r="734">
      <c r="C734" s="221"/>
    </row>
    <row r="735">
      <c r="C735" s="221"/>
    </row>
    <row r="736">
      <c r="C736" s="221"/>
    </row>
    <row r="737">
      <c r="C737" s="221"/>
    </row>
    <row r="738">
      <c r="C738" s="221"/>
    </row>
    <row r="739">
      <c r="C739" s="221"/>
    </row>
    <row r="740">
      <c r="C740" s="221"/>
    </row>
    <row r="741">
      <c r="C741" s="221"/>
    </row>
    <row r="742">
      <c r="C742" s="221"/>
    </row>
    <row r="743">
      <c r="C743" s="221"/>
    </row>
    <row r="744">
      <c r="C744" s="221"/>
    </row>
    <row r="745">
      <c r="C745" s="221"/>
    </row>
    <row r="746">
      <c r="C746" s="221"/>
    </row>
    <row r="747">
      <c r="C747" s="221"/>
    </row>
    <row r="748">
      <c r="C748" s="221"/>
    </row>
    <row r="749">
      <c r="C749" s="221"/>
    </row>
    <row r="750">
      <c r="C750" s="221"/>
    </row>
    <row r="751">
      <c r="C751" s="221"/>
    </row>
    <row r="752">
      <c r="C752" s="221"/>
    </row>
    <row r="753">
      <c r="C753" s="221"/>
    </row>
    <row r="754">
      <c r="C754" s="221"/>
    </row>
    <row r="755">
      <c r="C755" s="221"/>
    </row>
    <row r="756">
      <c r="C756" s="221"/>
    </row>
    <row r="757">
      <c r="C757" s="221"/>
    </row>
    <row r="758">
      <c r="C758" s="221"/>
    </row>
    <row r="759">
      <c r="C759" s="221"/>
    </row>
    <row r="760">
      <c r="C760" s="221"/>
    </row>
    <row r="761">
      <c r="C761" s="221"/>
    </row>
    <row r="762">
      <c r="C762" s="221"/>
    </row>
    <row r="763">
      <c r="C763" s="221"/>
    </row>
    <row r="764">
      <c r="C764" s="221"/>
    </row>
    <row r="765">
      <c r="C765" s="221"/>
    </row>
    <row r="766">
      <c r="C766" s="221"/>
    </row>
    <row r="767">
      <c r="C767" s="221"/>
    </row>
    <row r="768">
      <c r="C768" s="221"/>
    </row>
    <row r="769">
      <c r="C769" s="221"/>
    </row>
    <row r="770">
      <c r="C770" s="221"/>
    </row>
    <row r="771">
      <c r="C771" s="221"/>
    </row>
    <row r="772">
      <c r="C772" s="221"/>
    </row>
    <row r="773">
      <c r="C773" s="221"/>
    </row>
    <row r="774">
      <c r="C774" s="221"/>
    </row>
    <row r="775">
      <c r="C775" s="221"/>
    </row>
    <row r="776">
      <c r="C776" s="221"/>
    </row>
    <row r="777">
      <c r="C777" s="221"/>
    </row>
    <row r="778">
      <c r="C778" s="221"/>
    </row>
    <row r="779">
      <c r="C779" s="221"/>
    </row>
    <row r="780">
      <c r="C780" s="221"/>
    </row>
    <row r="781">
      <c r="C781" s="221"/>
    </row>
    <row r="782">
      <c r="C782" s="221"/>
    </row>
    <row r="783">
      <c r="C783" s="221"/>
    </row>
    <row r="784">
      <c r="C784" s="221"/>
    </row>
    <row r="785">
      <c r="C785" s="221"/>
    </row>
    <row r="786">
      <c r="C786" s="221"/>
    </row>
    <row r="787">
      <c r="C787" s="221"/>
    </row>
    <row r="788">
      <c r="C788" s="221"/>
    </row>
    <row r="789">
      <c r="C789" s="221"/>
    </row>
    <row r="790">
      <c r="C790" s="221"/>
    </row>
    <row r="791">
      <c r="C791" s="221"/>
    </row>
    <row r="792">
      <c r="C792" s="221"/>
    </row>
    <row r="793">
      <c r="C793" s="221"/>
    </row>
    <row r="794">
      <c r="C794" s="221"/>
    </row>
    <row r="795">
      <c r="C795" s="221"/>
    </row>
    <row r="796">
      <c r="C796" s="221"/>
    </row>
    <row r="797">
      <c r="C797" s="221"/>
    </row>
    <row r="798">
      <c r="C798" s="221"/>
    </row>
    <row r="799">
      <c r="C799" s="221"/>
    </row>
    <row r="800">
      <c r="C800" s="221"/>
    </row>
    <row r="801">
      <c r="C801" s="221"/>
    </row>
    <row r="802">
      <c r="C802" s="221"/>
    </row>
    <row r="803">
      <c r="C803" s="221"/>
    </row>
    <row r="804">
      <c r="C804" s="221"/>
    </row>
    <row r="805">
      <c r="C805" s="221"/>
    </row>
    <row r="806">
      <c r="C806" s="221"/>
    </row>
    <row r="807">
      <c r="C807" s="221"/>
    </row>
    <row r="808">
      <c r="C808" s="221"/>
    </row>
    <row r="809">
      <c r="C809" s="221"/>
    </row>
    <row r="810">
      <c r="C810" s="221"/>
    </row>
    <row r="811">
      <c r="C811" s="221"/>
    </row>
    <row r="812">
      <c r="C812" s="221"/>
    </row>
    <row r="813">
      <c r="C813" s="221"/>
    </row>
    <row r="814">
      <c r="C814" s="221"/>
    </row>
    <row r="815">
      <c r="C815" s="221"/>
    </row>
    <row r="816">
      <c r="C816" s="221"/>
    </row>
    <row r="817">
      <c r="C817" s="221"/>
    </row>
    <row r="818">
      <c r="C818" s="221"/>
    </row>
    <row r="819">
      <c r="C819" s="221"/>
    </row>
    <row r="820">
      <c r="C820" s="221"/>
    </row>
    <row r="821">
      <c r="C821" s="221"/>
    </row>
    <row r="822">
      <c r="C822" s="221"/>
    </row>
    <row r="823">
      <c r="C823" s="221"/>
    </row>
    <row r="824">
      <c r="C824" s="221"/>
    </row>
    <row r="825">
      <c r="C825" s="221"/>
    </row>
    <row r="826">
      <c r="C826" s="221"/>
    </row>
    <row r="827">
      <c r="C827" s="221"/>
    </row>
    <row r="828">
      <c r="C828" s="221"/>
    </row>
    <row r="829">
      <c r="C829" s="221"/>
    </row>
    <row r="830">
      <c r="C830" s="221"/>
    </row>
    <row r="831">
      <c r="C831" s="221"/>
    </row>
    <row r="832">
      <c r="C832" s="221"/>
    </row>
    <row r="833">
      <c r="C833" s="221"/>
    </row>
    <row r="834">
      <c r="C834" s="221"/>
    </row>
    <row r="835">
      <c r="C835" s="221"/>
    </row>
    <row r="836">
      <c r="C836" s="221"/>
    </row>
    <row r="837">
      <c r="C837" s="221"/>
    </row>
    <row r="838">
      <c r="C838" s="221"/>
    </row>
    <row r="839">
      <c r="C839" s="221"/>
    </row>
    <row r="840">
      <c r="C840" s="221"/>
    </row>
    <row r="841">
      <c r="C841" s="221"/>
    </row>
    <row r="842">
      <c r="C842" s="221"/>
    </row>
    <row r="843">
      <c r="C843" s="221"/>
    </row>
    <row r="844">
      <c r="C844" s="221"/>
    </row>
    <row r="845">
      <c r="C845" s="221"/>
    </row>
    <row r="846">
      <c r="C846" s="221"/>
    </row>
    <row r="847">
      <c r="C847" s="221"/>
    </row>
    <row r="848">
      <c r="C848" s="221"/>
    </row>
    <row r="849">
      <c r="C849" s="221"/>
    </row>
    <row r="850">
      <c r="C850" s="221"/>
    </row>
    <row r="851">
      <c r="C851" s="221"/>
    </row>
    <row r="852">
      <c r="C852" s="221"/>
    </row>
    <row r="853">
      <c r="C853" s="221"/>
    </row>
    <row r="854">
      <c r="C854" s="221"/>
    </row>
    <row r="855">
      <c r="C855" s="221"/>
    </row>
    <row r="856">
      <c r="C856" s="221"/>
    </row>
    <row r="857">
      <c r="C857" s="221"/>
    </row>
    <row r="858">
      <c r="C858" s="221"/>
    </row>
    <row r="859">
      <c r="C859" s="221"/>
    </row>
    <row r="860">
      <c r="C860" s="221"/>
    </row>
    <row r="861">
      <c r="C861" s="221"/>
    </row>
    <row r="862">
      <c r="C862" s="221"/>
    </row>
    <row r="863">
      <c r="C863" s="221"/>
    </row>
    <row r="864">
      <c r="C864" s="221"/>
    </row>
    <row r="865">
      <c r="C865" s="221"/>
    </row>
    <row r="866">
      <c r="C866" s="221"/>
    </row>
    <row r="867">
      <c r="C867" s="221"/>
    </row>
    <row r="868">
      <c r="C868" s="221"/>
    </row>
    <row r="869">
      <c r="C869" s="221"/>
    </row>
    <row r="870">
      <c r="C870" s="221"/>
    </row>
    <row r="871">
      <c r="C871" s="221"/>
    </row>
    <row r="872">
      <c r="C872" s="221"/>
    </row>
    <row r="873">
      <c r="C873" s="221"/>
    </row>
    <row r="874">
      <c r="C874" s="221"/>
    </row>
    <row r="875">
      <c r="C875" s="221"/>
    </row>
    <row r="876">
      <c r="C876" s="221"/>
    </row>
    <row r="877">
      <c r="C877" s="221"/>
    </row>
    <row r="878">
      <c r="C878" s="221"/>
    </row>
    <row r="879">
      <c r="C879" s="221"/>
    </row>
    <row r="880">
      <c r="C880" s="221"/>
    </row>
    <row r="881">
      <c r="C881" s="221"/>
    </row>
    <row r="882">
      <c r="C882" s="221"/>
    </row>
    <row r="883">
      <c r="C883" s="221"/>
    </row>
    <row r="884">
      <c r="C884" s="221"/>
    </row>
    <row r="885">
      <c r="C885" s="221"/>
    </row>
    <row r="886">
      <c r="C886" s="221"/>
    </row>
    <row r="887">
      <c r="C887" s="221"/>
    </row>
    <row r="888">
      <c r="C888" s="221"/>
    </row>
    <row r="889">
      <c r="C889" s="221"/>
    </row>
    <row r="890">
      <c r="C890" s="221"/>
    </row>
    <row r="891">
      <c r="C891" s="221"/>
    </row>
    <row r="892">
      <c r="C892" s="221"/>
    </row>
    <row r="893">
      <c r="C893" s="221"/>
    </row>
    <row r="894">
      <c r="C894" s="221"/>
    </row>
    <row r="895">
      <c r="C895" s="221"/>
    </row>
    <row r="896">
      <c r="C896" s="221"/>
    </row>
    <row r="897">
      <c r="C897" s="221"/>
    </row>
    <row r="898">
      <c r="C898" s="221"/>
    </row>
    <row r="899">
      <c r="C899" s="221"/>
    </row>
    <row r="900">
      <c r="C900" s="221"/>
    </row>
    <row r="901">
      <c r="C901" s="221"/>
    </row>
    <row r="902">
      <c r="C902" s="221"/>
    </row>
    <row r="903">
      <c r="C903" s="221"/>
    </row>
    <row r="904">
      <c r="C904" s="221"/>
    </row>
    <row r="905">
      <c r="C905" s="221"/>
    </row>
    <row r="906">
      <c r="C906" s="221"/>
    </row>
    <row r="907">
      <c r="C907" s="221"/>
    </row>
    <row r="908">
      <c r="C908" s="221"/>
    </row>
    <row r="909">
      <c r="C909" s="221"/>
    </row>
    <row r="910">
      <c r="C910" s="221"/>
    </row>
    <row r="911">
      <c r="C911" s="221"/>
    </row>
    <row r="912">
      <c r="C912" s="221"/>
    </row>
    <row r="913">
      <c r="C913" s="221"/>
    </row>
    <row r="914">
      <c r="C914" s="221"/>
    </row>
    <row r="915">
      <c r="C915" s="221"/>
    </row>
    <row r="916">
      <c r="C916" s="221"/>
    </row>
    <row r="917">
      <c r="C917" s="221"/>
    </row>
    <row r="918">
      <c r="C918" s="221"/>
    </row>
    <row r="919">
      <c r="C919" s="221"/>
    </row>
    <row r="920">
      <c r="C920" s="221"/>
    </row>
    <row r="921">
      <c r="C921" s="221"/>
    </row>
    <row r="922">
      <c r="C922" s="221"/>
    </row>
    <row r="923">
      <c r="C923" s="221"/>
    </row>
    <row r="924">
      <c r="C924" s="221"/>
    </row>
    <row r="925">
      <c r="C925" s="221"/>
    </row>
    <row r="926">
      <c r="C926" s="221"/>
    </row>
    <row r="927">
      <c r="C927" s="221"/>
    </row>
    <row r="928">
      <c r="C928" s="221"/>
    </row>
    <row r="929">
      <c r="C929" s="221"/>
    </row>
    <row r="930">
      <c r="C930" s="221"/>
    </row>
    <row r="931">
      <c r="C931" s="221"/>
    </row>
    <row r="932">
      <c r="C932" s="221"/>
    </row>
    <row r="933">
      <c r="C933" s="221"/>
    </row>
    <row r="934">
      <c r="C934" s="221"/>
    </row>
    <row r="935">
      <c r="C935" s="221"/>
    </row>
    <row r="936">
      <c r="C936" s="221"/>
    </row>
    <row r="937">
      <c r="C937" s="221"/>
    </row>
    <row r="938">
      <c r="C938" s="221"/>
    </row>
    <row r="939">
      <c r="C939" s="221"/>
    </row>
    <row r="940">
      <c r="C940" s="221"/>
    </row>
    <row r="941">
      <c r="C941" s="221"/>
    </row>
    <row r="942">
      <c r="C942" s="221"/>
    </row>
    <row r="943">
      <c r="C943" s="221"/>
    </row>
    <row r="944">
      <c r="C944" s="221"/>
    </row>
    <row r="945">
      <c r="C945" s="221"/>
    </row>
    <row r="946">
      <c r="C946" s="221"/>
    </row>
    <row r="947">
      <c r="C947" s="221"/>
    </row>
    <row r="948">
      <c r="C948" s="221"/>
    </row>
    <row r="949">
      <c r="C949" s="221"/>
    </row>
    <row r="950">
      <c r="C950" s="221"/>
    </row>
    <row r="951">
      <c r="C951" s="221"/>
    </row>
    <row r="952">
      <c r="C952" s="221"/>
    </row>
    <row r="953">
      <c r="C953" s="221"/>
    </row>
    <row r="954">
      <c r="C954" s="221"/>
    </row>
    <row r="955">
      <c r="C955" s="221"/>
    </row>
    <row r="956">
      <c r="C956" s="221"/>
    </row>
    <row r="957">
      <c r="C957" s="221"/>
    </row>
    <row r="958">
      <c r="C958" s="221"/>
    </row>
    <row r="959">
      <c r="C959" s="221"/>
    </row>
    <row r="960">
      <c r="C960" s="221"/>
    </row>
    <row r="961">
      <c r="C961" s="221"/>
    </row>
    <row r="962">
      <c r="C962" s="221"/>
    </row>
    <row r="963">
      <c r="C963" s="221"/>
    </row>
    <row r="964">
      <c r="C964" s="221"/>
    </row>
    <row r="965">
      <c r="C965" s="221"/>
    </row>
    <row r="966">
      <c r="C966" s="221"/>
    </row>
    <row r="967">
      <c r="C967" s="221"/>
    </row>
    <row r="968">
      <c r="C968" s="221"/>
    </row>
    <row r="969">
      <c r="C969" s="221"/>
    </row>
    <row r="970">
      <c r="C970" s="221"/>
    </row>
    <row r="971">
      <c r="C971" s="221"/>
    </row>
    <row r="972">
      <c r="C972" s="221"/>
    </row>
    <row r="973">
      <c r="C973" s="221"/>
    </row>
    <row r="974">
      <c r="C974" s="221"/>
    </row>
    <row r="975">
      <c r="C975" s="221"/>
    </row>
    <row r="976">
      <c r="C976" s="221"/>
    </row>
    <row r="977">
      <c r="C977" s="221"/>
    </row>
    <row r="978">
      <c r="C978" s="221"/>
    </row>
    <row r="979">
      <c r="C979" s="221"/>
    </row>
    <row r="980">
      <c r="C980" s="221"/>
    </row>
    <row r="981">
      <c r="C981" s="221"/>
    </row>
    <row r="982">
      <c r="C982" s="221"/>
    </row>
    <row r="983">
      <c r="C983" s="221"/>
    </row>
    <row r="984">
      <c r="C984" s="221"/>
    </row>
    <row r="985">
      <c r="C985" s="221"/>
    </row>
    <row r="986">
      <c r="C986" s="221"/>
    </row>
    <row r="987">
      <c r="C987" s="221"/>
    </row>
    <row r="988">
      <c r="C988" s="221"/>
    </row>
    <row r="989">
      <c r="C989" s="221"/>
    </row>
    <row r="990">
      <c r="C990" s="221"/>
    </row>
    <row r="991">
      <c r="C991" s="221"/>
    </row>
    <row r="992">
      <c r="C992" s="221"/>
    </row>
    <row r="993">
      <c r="C993" s="221"/>
    </row>
    <row r="994">
      <c r="C994" s="221"/>
    </row>
    <row r="995">
      <c r="C995" s="221"/>
    </row>
    <row r="996">
      <c r="C996" s="221"/>
    </row>
    <row r="997">
      <c r="C997" s="221"/>
    </row>
    <row r="998">
      <c r="C998" s="221"/>
    </row>
    <row r="999">
      <c r="C999" s="221"/>
    </row>
    <row r="1000">
      <c r="C1000" s="221"/>
    </row>
  </sheetData>
  <mergeCells count="152">
    <mergeCell ref="A2:G2"/>
    <mergeCell ref="D4:G4"/>
    <mergeCell ref="D5:G5"/>
    <mergeCell ref="D6:G6"/>
    <mergeCell ref="D7:G7"/>
    <mergeCell ref="D8:G8"/>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 ref="D27:G27"/>
    <mergeCell ref="D28:G28"/>
    <mergeCell ref="D29:G29"/>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 ref="D51:G51"/>
    <mergeCell ref="D101:G101"/>
    <mergeCell ref="D102:G102"/>
    <mergeCell ref="D103:G103"/>
    <mergeCell ref="D104:G104"/>
    <mergeCell ref="D105:G105"/>
    <mergeCell ref="D106:G106"/>
    <mergeCell ref="D107:G107"/>
    <mergeCell ref="D108:G108"/>
    <mergeCell ref="D109:G109"/>
    <mergeCell ref="D110:G110"/>
    <mergeCell ref="D111:G111"/>
    <mergeCell ref="D112:G112"/>
    <mergeCell ref="D113:G113"/>
    <mergeCell ref="D114:G114"/>
    <mergeCell ref="D115:G115"/>
    <mergeCell ref="D116:G116"/>
    <mergeCell ref="D117:G117"/>
    <mergeCell ref="D118:G118"/>
    <mergeCell ref="D119:G119"/>
    <mergeCell ref="D120:G120"/>
    <mergeCell ref="D121:G121"/>
    <mergeCell ref="D122:G122"/>
    <mergeCell ref="D123:G123"/>
    <mergeCell ref="D124:G124"/>
    <mergeCell ref="D125:G125"/>
    <mergeCell ref="D126:G126"/>
    <mergeCell ref="D127:G127"/>
    <mergeCell ref="D128:G128"/>
    <mergeCell ref="D129:G129"/>
    <mergeCell ref="D130:G130"/>
    <mergeCell ref="D131:G131"/>
    <mergeCell ref="D132:G132"/>
    <mergeCell ref="D133:G133"/>
    <mergeCell ref="D134:G134"/>
    <mergeCell ref="D135:G135"/>
    <mergeCell ref="D136:G136"/>
    <mergeCell ref="D137:G137"/>
    <mergeCell ref="D138:G138"/>
    <mergeCell ref="D139:G139"/>
    <mergeCell ref="D140:G140"/>
    <mergeCell ref="D141:G141"/>
    <mergeCell ref="D142:G142"/>
    <mergeCell ref="D150:G150"/>
    <mergeCell ref="D151:G151"/>
    <mergeCell ref="D152:G152"/>
    <mergeCell ref="D153:G153"/>
    <mergeCell ref="D154:G154"/>
    <mergeCell ref="D143:G143"/>
    <mergeCell ref="D144:G144"/>
    <mergeCell ref="D145:G145"/>
    <mergeCell ref="D146:G146"/>
    <mergeCell ref="D147:G147"/>
    <mergeCell ref="D148:G148"/>
    <mergeCell ref="D149:G149"/>
    <mergeCell ref="D52:G52"/>
    <mergeCell ref="D53:G53"/>
    <mergeCell ref="D54:G54"/>
    <mergeCell ref="D55:G55"/>
    <mergeCell ref="D56:G56"/>
    <mergeCell ref="D57:G57"/>
    <mergeCell ref="D58:G58"/>
    <mergeCell ref="D59:G59"/>
    <mergeCell ref="D60:G60"/>
    <mergeCell ref="D61:G61"/>
    <mergeCell ref="D62:G62"/>
    <mergeCell ref="D63:G63"/>
    <mergeCell ref="D64:G64"/>
    <mergeCell ref="D65:G65"/>
    <mergeCell ref="D66:G66"/>
    <mergeCell ref="D67:G67"/>
    <mergeCell ref="D68:G68"/>
    <mergeCell ref="D69:G69"/>
    <mergeCell ref="D70:G70"/>
    <mergeCell ref="D71:G71"/>
    <mergeCell ref="D72:G72"/>
    <mergeCell ref="D73:G73"/>
    <mergeCell ref="D74:G74"/>
    <mergeCell ref="D75:G75"/>
    <mergeCell ref="D76:G76"/>
    <mergeCell ref="D77:G77"/>
    <mergeCell ref="D78:G78"/>
    <mergeCell ref="D79:G79"/>
    <mergeCell ref="D80:G80"/>
    <mergeCell ref="D81:G81"/>
    <mergeCell ref="D82:G82"/>
    <mergeCell ref="D83:G83"/>
    <mergeCell ref="D84:G84"/>
    <mergeCell ref="D85:G85"/>
    <mergeCell ref="D86:G86"/>
    <mergeCell ref="D87:G87"/>
    <mergeCell ref="D88:G88"/>
    <mergeCell ref="D89:G89"/>
    <mergeCell ref="D90:G90"/>
    <mergeCell ref="D91:G91"/>
    <mergeCell ref="D92:G92"/>
    <mergeCell ref="D93:G93"/>
    <mergeCell ref="D94:G94"/>
    <mergeCell ref="D95:G95"/>
    <mergeCell ref="D96:G96"/>
    <mergeCell ref="D97:G97"/>
    <mergeCell ref="D98:G98"/>
    <mergeCell ref="D99:G99"/>
    <mergeCell ref="D100:G10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13.44"/>
    <col customWidth="1" hidden="1" min="2" max="2" width="15.78"/>
    <col customWidth="1" min="3" max="3" width="55.67"/>
    <col customWidth="1" min="4" max="4" width="11.22"/>
    <col customWidth="1" min="5" max="5" width="11.89"/>
    <col customWidth="1" min="6" max="6" width="13.44"/>
    <col hidden="1" min="7" max="7" width="11.22"/>
    <col customWidth="1" min="8" max="8" width="55.67"/>
  </cols>
  <sheetData>
    <row r="1" ht="26.25" customHeight="1">
      <c r="A1" s="229" t="s">
        <v>2478</v>
      </c>
      <c r="B1" s="229" t="s">
        <v>2608</v>
      </c>
      <c r="C1" s="229" t="s">
        <v>2464</v>
      </c>
      <c r="D1" s="229" t="s">
        <v>2609</v>
      </c>
      <c r="E1" s="230"/>
      <c r="F1" s="231" t="s">
        <v>2478</v>
      </c>
      <c r="G1" s="231" t="s">
        <v>2477</v>
      </c>
      <c r="H1" s="231" t="s">
        <v>2464</v>
      </c>
      <c r="I1" s="231" t="s">
        <v>2609</v>
      </c>
      <c r="J1" s="232"/>
      <c r="K1" s="232"/>
      <c r="L1" s="232"/>
      <c r="M1" s="232"/>
      <c r="N1" s="232"/>
      <c r="O1" s="232"/>
      <c r="P1" s="232"/>
      <c r="Q1" s="232"/>
      <c r="R1" s="232"/>
      <c r="S1" s="232"/>
      <c r="T1" s="232"/>
      <c r="U1" s="232"/>
      <c r="V1" s="232"/>
      <c r="W1" s="232"/>
      <c r="X1" s="232"/>
      <c r="Y1" s="232"/>
      <c r="Z1" s="232"/>
    </row>
    <row r="2" ht="26.25" customHeight="1">
      <c r="A2" s="233">
        <v>1.0</v>
      </c>
      <c r="B2" s="233">
        <f>VLOOKUP(A2,Spieler!AG:AI,3,0)</f>
        <v>9</v>
      </c>
      <c r="C2" s="234" t="str">
        <f>IF(D2="","",VLOOKUP(B2,Spieler!A:D,3,0))</f>
        <v>Anika Kristof</v>
      </c>
      <c r="D2" s="235">
        <f>IFERROR(VLOOKUP(B2,Spieler!AE:AF,2),"")</f>
        <v>203.41709</v>
      </c>
      <c r="E2" s="236"/>
      <c r="F2" s="233">
        <v>22.0</v>
      </c>
      <c r="G2" s="233">
        <f>VLOOKUP(F2,Spieler!AG:AI,3,0)</f>
        <v>12</v>
      </c>
      <c r="H2" s="233" t="str">
        <f>IF(I2="","",VLOOKUP(G2,Spieler!A:D,3,0))</f>
        <v>Stephanie Fischer</v>
      </c>
      <c r="I2" s="235">
        <f>IFERROR(VLOOKUP(G2,Spieler!AE:AF,2),"")</f>
        <v>131.16712</v>
      </c>
      <c r="J2" s="232"/>
      <c r="K2" s="232"/>
      <c r="L2" s="232"/>
      <c r="M2" s="232"/>
      <c r="N2" s="232"/>
      <c r="O2" s="232"/>
      <c r="P2" s="232"/>
      <c r="Q2" s="232"/>
      <c r="R2" s="232"/>
      <c r="S2" s="232"/>
      <c r="T2" s="232"/>
      <c r="U2" s="232"/>
      <c r="V2" s="232"/>
      <c r="W2" s="232"/>
      <c r="X2" s="232"/>
      <c r="Y2" s="232"/>
      <c r="Z2" s="232"/>
    </row>
    <row r="3" ht="26.25" customHeight="1">
      <c r="A3" s="233">
        <v>2.0</v>
      </c>
      <c r="B3" s="233">
        <f>VLOOKUP(A3,Spieler!AG:AI,3,0)</f>
        <v>14</v>
      </c>
      <c r="C3" s="233" t="str">
        <f>IF(D3="","",VLOOKUP(B3,Spieler!A:D,3,0))</f>
        <v>Laura Piros</v>
      </c>
      <c r="D3" s="235">
        <f>IFERROR(VLOOKUP(B3,Spieler!AE:AF,2),"")</f>
        <v>195.50014</v>
      </c>
      <c r="E3" s="237"/>
      <c r="F3" s="233">
        <v>23.0</v>
      </c>
      <c r="G3" s="233" t="str">
        <f>VLOOKUP(F3,Spieler!AG:AI,3,0)</f>
        <v/>
      </c>
      <c r="H3" s="233" t="str">
        <f>IF(I3="","",VLOOKUP(G3,Spieler!A:D,3,0))</f>
        <v/>
      </c>
      <c r="I3" s="235" t="str">
        <f>IFERROR(VLOOKUP(G3,Spieler!AE:AF,2),"")</f>
        <v/>
      </c>
      <c r="J3" s="232"/>
      <c r="K3" s="232"/>
      <c r="L3" s="232"/>
      <c r="M3" s="232"/>
      <c r="N3" s="232"/>
      <c r="O3" s="232"/>
      <c r="P3" s="232"/>
      <c r="Q3" s="232"/>
      <c r="R3" s="232"/>
      <c r="S3" s="232"/>
      <c r="T3" s="232"/>
      <c r="U3" s="232"/>
      <c r="V3" s="232"/>
      <c r="W3" s="232"/>
      <c r="X3" s="232"/>
      <c r="Y3" s="232"/>
      <c r="Z3" s="232"/>
    </row>
    <row r="4" ht="26.25" customHeight="1">
      <c r="A4" s="233">
        <v>3.0</v>
      </c>
      <c r="B4" s="233">
        <f>VLOOKUP(A4,Spieler!AG:AI,3,0)</f>
        <v>15</v>
      </c>
      <c r="C4" s="233" t="str">
        <f>IF(D4="","",VLOOKUP(B4,Spieler!A:D,3,0))</f>
        <v>Alexandra Mareiser</v>
      </c>
      <c r="D4" s="235">
        <f>IFERROR(VLOOKUP(B4,Spieler!AE:AF,2),"")</f>
        <v>189.08315</v>
      </c>
      <c r="E4" s="237"/>
      <c r="F4" s="233">
        <v>24.0</v>
      </c>
      <c r="G4" s="233" t="str">
        <f>VLOOKUP(F4,Spieler!AG:AI,3,0)</f>
        <v/>
      </c>
      <c r="H4" s="233" t="str">
        <f>IF(I4="","",VLOOKUP(G4,Spieler!A:D,3,0))</f>
        <v/>
      </c>
      <c r="I4" s="235" t="str">
        <f>IFERROR(VLOOKUP(G4,Spieler!AE:AF,2),"")</f>
        <v/>
      </c>
      <c r="J4" s="232"/>
      <c r="K4" s="232"/>
      <c r="L4" s="232"/>
      <c r="M4" s="232"/>
      <c r="N4" s="232"/>
      <c r="O4" s="232"/>
      <c r="P4" s="232"/>
      <c r="Q4" s="232"/>
      <c r="R4" s="232"/>
      <c r="S4" s="232"/>
      <c r="T4" s="232"/>
      <c r="U4" s="232"/>
      <c r="V4" s="232"/>
      <c r="W4" s="232"/>
      <c r="X4" s="232"/>
      <c r="Y4" s="232"/>
      <c r="Z4" s="232"/>
    </row>
    <row r="5" ht="26.25" customHeight="1">
      <c r="A5" s="233">
        <v>4.0</v>
      </c>
      <c r="B5" s="233">
        <f>VLOOKUP(A5,Spieler!AG:AI,3,0)</f>
        <v>18</v>
      </c>
      <c r="C5" s="233" t="str">
        <f>IF(D5="","",VLOOKUP(B5,Spieler!A:D,3,0))</f>
        <v>Natalie Groll</v>
      </c>
      <c r="D5" s="235">
        <f>IFERROR(VLOOKUP(B5,Spieler!AE:AF,2),"")</f>
        <v>183.33318</v>
      </c>
      <c r="E5" s="238" t="str">
        <f>CONCATENATE(Optionen!B3,"
 ", Optionen!B4)</f>
        <v>Bayerische Meisterschaft
 Frauen Einzel </v>
      </c>
      <c r="F5" s="233">
        <v>25.0</v>
      </c>
      <c r="G5" s="233" t="str">
        <f>VLOOKUP(F5,Spieler!AG:AI,3,0)</f>
        <v/>
      </c>
      <c r="H5" s="233" t="str">
        <f>IF(I5="","",VLOOKUP(G5,Spieler!A:D,3,0))</f>
        <v/>
      </c>
      <c r="I5" s="235" t="str">
        <f>IFERROR(VLOOKUP(G5,Spieler!AE:AF,2),"")</f>
        <v/>
      </c>
      <c r="J5" s="232"/>
      <c r="K5" s="232"/>
      <c r="L5" s="232"/>
      <c r="M5" s="232"/>
      <c r="N5" s="232"/>
      <c r="O5" s="232"/>
      <c r="P5" s="232"/>
      <c r="Q5" s="232"/>
      <c r="R5" s="232"/>
      <c r="S5" s="232"/>
      <c r="T5" s="232"/>
      <c r="U5" s="232"/>
      <c r="V5" s="232"/>
      <c r="W5" s="232"/>
      <c r="X5" s="232"/>
      <c r="Y5" s="232"/>
      <c r="Z5" s="232"/>
    </row>
    <row r="6" ht="26.25" customHeight="1">
      <c r="A6" s="233">
        <v>5.0</v>
      </c>
      <c r="B6" s="233">
        <f>VLOOKUP(A6,Spieler!AG:AI,3,0)</f>
        <v>20</v>
      </c>
      <c r="C6" s="233" t="str">
        <f>IF(D6="","",VLOOKUP(B6,Spieler!A:D,3,0))</f>
        <v>Julia Völlmerk</v>
      </c>
      <c r="D6" s="235">
        <f>IFERROR(VLOOKUP(B6,Spieler!AE:AF,2),"")</f>
        <v>179.7502</v>
      </c>
      <c r="E6" s="239"/>
      <c r="F6" s="233">
        <v>26.0</v>
      </c>
      <c r="G6" s="233" t="str">
        <f>VLOOKUP(F6,Spieler!AG:AI,3,0)</f>
        <v/>
      </c>
      <c r="H6" s="233" t="str">
        <f>IF(I6="","",VLOOKUP(G6,Spieler!A:D,3,0))</f>
        <v/>
      </c>
      <c r="I6" s="235" t="str">
        <f>IFERROR(VLOOKUP(G6,Spieler!AE:AF,2),"")</f>
        <v/>
      </c>
      <c r="J6" s="232"/>
      <c r="K6" s="232"/>
      <c r="L6" s="232"/>
      <c r="M6" s="232"/>
      <c r="N6" s="232"/>
      <c r="O6" s="232"/>
      <c r="P6" s="232"/>
      <c r="Q6" s="232"/>
      <c r="R6" s="232"/>
      <c r="S6" s="232"/>
      <c r="T6" s="232"/>
      <c r="U6" s="232"/>
      <c r="V6" s="232"/>
      <c r="W6" s="232"/>
      <c r="X6" s="232"/>
      <c r="Y6" s="232"/>
      <c r="Z6" s="232"/>
    </row>
    <row r="7" ht="26.25" customHeight="1">
      <c r="A7" s="233">
        <v>6.0</v>
      </c>
      <c r="B7" s="233">
        <f>VLOOKUP(A7,Spieler!AG:AI,3,0)</f>
        <v>19</v>
      </c>
      <c r="C7" s="233" t="str">
        <f>IF(D7="","",VLOOKUP(B7,Spieler!A:D,3,0))</f>
        <v>Johanna Groll</v>
      </c>
      <c r="D7" s="235">
        <f>IFERROR(VLOOKUP(B7,Spieler!AE:AF,2),"")</f>
        <v>173.41719</v>
      </c>
      <c r="E7" s="239"/>
      <c r="F7" s="233">
        <v>27.0</v>
      </c>
      <c r="G7" s="233" t="str">
        <f>VLOOKUP(F7,Spieler!AG:AI,3,0)</f>
        <v/>
      </c>
      <c r="H7" s="233" t="str">
        <f>IF(I7="","",VLOOKUP(G7,Spieler!A:D,3,0))</f>
        <v/>
      </c>
      <c r="I7" s="235" t="str">
        <f>IFERROR(VLOOKUP(G7,Spieler!AE:AF,2),"")</f>
        <v/>
      </c>
      <c r="J7" s="232"/>
      <c r="K7" s="232"/>
      <c r="L7" s="232"/>
      <c r="M7" s="232"/>
      <c r="N7" s="232"/>
      <c r="O7" s="232"/>
      <c r="P7" s="232"/>
      <c r="Q7" s="232"/>
      <c r="R7" s="232"/>
      <c r="S7" s="232"/>
      <c r="T7" s="232"/>
      <c r="U7" s="232"/>
      <c r="V7" s="232"/>
      <c r="W7" s="232"/>
      <c r="X7" s="232"/>
      <c r="Y7" s="232"/>
      <c r="Z7" s="232"/>
    </row>
    <row r="8" ht="26.25" customHeight="1">
      <c r="A8" s="233">
        <v>7.0</v>
      </c>
      <c r="B8" s="233">
        <f>VLOOKUP(A8,Spieler!AG:AI,3,0)</f>
        <v>22</v>
      </c>
      <c r="C8" s="233" t="str">
        <f>IF(D8="","",VLOOKUP(B8,Spieler!A:D,3,0))</f>
        <v>Marina Weiske</v>
      </c>
      <c r="D8" s="235">
        <f>IFERROR(VLOOKUP(B8,Spieler!AE:AF,2),"")</f>
        <v>173.25022</v>
      </c>
      <c r="E8" s="239"/>
      <c r="F8" s="233">
        <v>28.0</v>
      </c>
      <c r="G8" s="233" t="str">
        <f>VLOOKUP(F8,Spieler!AG:AI,3,0)</f>
        <v/>
      </c>
      <c r="H8" s="233" t="str">
        <f>IF(I8="","",VLOOKUP(G8,Spieler!A:D,3,0))</f>
        <v/>
      </c>
      <c r="I8" s="235" t="str">
        <f>IFERROR(VLOOKUP(G8,Spieler!AE:AF,2),"")</f>
        <v/>
      </c>
      <c r="J8" s="232"/>
      <c r="K8" s="232"/>
      <c r="L8" s="232"/>
      <c r="M8" s="232"/>
      <c r="N8" s="232"/>
      <c r="O8" s="232"/>
      <c r="P8" s="232"/>
      <c r="Q8" s="232"/>
      <c r="R8" s="232"/>
      <c r="S8" s="232"/>
      <c r="T8" s="232"/>
      <c r="U8" s="232"/>
      <c r="V8" s="232"/>
      <c r="W8" s="232"/>
      <c r="X8" s="232"/>
      <c r="Y8" s="232"/>
      <c r="Z8" s="232"/>
    </row>
    <row r="9" ht="26.25" customHeight="1">
      <c r="A9" s="233">
        <v>8.0</v>
      </c>
      <c r="B9" s="233">
        <f>VLOOKUP(A9,Spieler!AG:AI,3,0)</f>
        <v>17</v>
      </c>
      <c r="C9" s="233" t="str">
        <f>IF(D9="","",VLOOKUP(B9,Spieler!A:D,3,0))</f>
        <v>Jana Witthinrich</v>
      </c>
      <c r="D9" s="235">
        <f>IFERROR(VLOOKUP(B9,Spieler!AE:AF,2),"")</f>
        <v>169.75017</v>
      </c>
      <c r="E9" s="239"/>
      <c r="F9" s="233">
        <v>29.0</v>
      </c>
      <c r="G9" s="233" t="str">
        <f>VLOOKUP(F9,Spieler!AG:AI,3,0)</f>
        <v/>
      </c>
      <c r="H9" s="233" t="str">
        <f>IF(I9="","",VLOOKUP(G9,Spieler!A:D,3,0))</f>
        <v/>
      </c>
      <c r="I9" s="235" t="str">
        <f>IFERROR(VLOOKUP(G9,Spieler!AE:AF,2),"")</f>
        <v/>
      </c>
      <c r="J9" s="232"/>
      <c r="K9" s="232"/>
      <c r="L9" s="232"/>
      <c r="M9" s="232"/>
      <c r="N9" s="232"/>
      <c r="O9" s="232"/>
      <c r="P9" s="232"/>
      <c r="Q9" s="232"/>
      <c r="R9" s="232"/>
      <c r="S9" s="232"/>
      <c r="T9" s="232"/>
      <c r="U9" s="232"/>
      <c r="V9" s="232"/>
      <c r="W9" s="232"/>
      <c r="X9" s="232"/>
      <c r="Y9" s="232"/>
      <c r="Z9" s="232"/>
    </row>
    <row r="10" ht="26.25" customHeight="1">
      <c r="A10" s="233">
        <v>9.0</v>
      </c>
      <c r="B10" s="233">
        <f>VLOOKUP(A10,Spieler!AG:AI,3,0)</f>
        <v>6</v>
      </c>
      <c r="C10" s="233" t="str">
        <f>IF(D10="","",VLOOKUP(B10,Spieler!A:D,3,0))</f>
        <v>Nicole Schott</v>
      </c>
      <c r="D10" s="235">
        <f>IFERROR(VLOOKUP(B10,Spieler!AE:AF,2),"")</f>
        <v>166.41706</v>
      </c>
      <c r="E10" s="239"/>
      <c r="F10" s="233">
        <v>30.0</v>
      </c>
      <c r="G10" s="233" t="str">
        <f>VLOOKUP(F10,Spieler!AG:AI,3,0)</f>
        <v/>
      </c>
      <c r="H10" s="233" t="str">
        <f>IF(I10="","",VLOOKUP(G10,Spieler!A:D,3,0))</f>
        <v/>
      </c>
      <c r="I10" s="235" t="str">
        <f>IFERROR(VLOOKUP(G10,Spieler!AE:AF,2),"")</f>
        <v/>
      </c>
      <c r="J10" s="232"/>
      <c r="K10" s="232"/>
      <c r="L10" s="232"/>
      <c r="M10" s="232"/>
      <c r="N10" s="232"/>
      <c r="O10" s="232"/>
      <c r="P10" s="232"/>
      <c r="Q10" s="232"/>
      <c r="R10" s="232"/>
      <c r="S10" s="232"/>
      <c r="T10" s="232"/>
      <c r="U10" s="232"/>
      <c r="V10" s="232"/>
      <c r="W10" s="232"/>
      <c r="X10" s="232"/>
      <c r="Y10" s="232"/>
      <c r="Z10" s="232"/>
    </row>
    <row r="11" ht="26.25" customHeight="1">
      <c r="A11" s="233">
        <v>10.0</v>
      </c>
      <c r="B11" s="233">
        <f>VLOOKUP(A11,Spieler!AG:AI,3,0)</f>
        <v>4</v>
      </c>
      <c r="C11" s="233" t="str">
        <f>IF(D11="","",VLOOKUP(B11,Spieler!A:D,3,0))</f>
        <v>Katharina Mang</v>
      </c>
      <c r="D11" s="235">
        <f>IFERROR(VLOOKUP(B11,Spieler!AE:AF,2),"")</f>
        <v>165.25004</v>
      </c>
      <c r="E11" s="239"/>
      <c r="F11" s="233">
        <v>31.0</v>
      </c>
      <c r="G11" s="233" t="str">
        <f>VLOOKUP(F11,Spieler!AG:AI,3,0)</f>
        <v/>
      </c>
      <c r="H11" s="233" t="str">
        <f>IF(I11="","",VLOOKUP(G11,Spieler!A:D,3,0))</f>
        <v/>
      </c>
      <c r="I11" s="235" t="str">
        <f>IFERROR(VLOOKUP(G11,Spieler!AE:AF,2),"")</f>
        <v/>
      </c>
      <c r="J11" s="232"/>
      <c r="K11" s="240" t="s">
        <v>2610</v>
      </c>
      <c r="L11" s="232"/>
      <c r="M11" s="232"/>
      <c r="N11" s="232"/>
      <c r="O11" s="232"/>
      <c r="P11" s="232"/>
      <c r="Q11" s="232"/>
      <c r="R11" s="232"/>
      <c r="S11" s="232"/>
      <c r="T11" s="232"/>
      <c r="U11" s="232"/>
      <c r="V11" s="232"/>
      <c r="W11" s="232"/>
      <c r="X11" s="232"/>
      <c r="Y11" s="232"/>
      <c r="Z11" s="232"/>
    </row>
    <row r="12" ht="26.25" customHeight="1">
      <c r="A12" s="233">
        <v>11.0</v>
      </c>
      <c r="B12" s="233">
        <f>VLOOKUP(A12,Spieler!AG:AI,3,0)</f>
        <v>7</v>
      </c>
      <c r="C12" s="233" t="str">
        <f>IF(D12="","",VLOOKUP(B12,Spieler!A:D,3,0))</f>
        <v>Monika Schott</v>
      </c>
      <c r="D12" s="235">
        <f>IFERROR(VLOOKUP(B12,Spieler!AE:AF,2),"")</f>
        <v>163.25007</v>
      </c>
      <c r="E12" s="239"/>
      <c r="F12" s="233">
        <v>32.0</v>
      </c>
      <c r="G12" s="233" t="str">
        <f>VLOOKUP(F12,Spieler!AG:AI,3,0)</f>
        <v/>
      </c>
      <c r="H12" s="233" t="str">
        <f>IF(I12="","",VLOOKUP(G12,Spieler!A:D,3,0))</f>
        <v/>
      </c>
      <c r="I12" s="235" t="str">
        <f>IFERROR(VLOOKUP(G12,Spieler!AE:AF,2),"")</f>
        <v/>
      </c>
      <c r="J12" s="232"/>
      <c r="K12" s="232"/>
      <c r="L12" s="232"/>
      <c r="M12" s="232"/>
      <c r="N12" s="232"/>
      <c r="O12" s="232"/>
      <c r="P12" s="232"/>
      <c r="Q12" s="232"/>
      <c r="R12" s="232"/>
      <c r="S12" s="232"/>
      <c r="T12" s="232"/>
      <c r="U12" s="232"/>
      <c r="V12" s="232"/>
      <c r="W12" s="232"/>
      <c r="X12" s="232"/>
      <c r="Y12" s="232"/>
      <c r="Z12" s="232"/>
    </row>
    <row r="13" ht="26.25" customHeight="1">
      <c r="A13" s="233">
        <v>12.0</v>
      </c>
      <c r="B13" s="233">
        <f>VLOOKUP(A13,Spieler!AG:AI,3,0)</f>
        <v>8</v>
      </c>
      <c r="C13" s="233" t="str">
        <f>IF(D13="","",VLOOKUP(B13,Spieler!A:D,3,0))</f>
        <v>Helene Schick</v>
      </c>
      <c r="D13" s="235">
        <f>IFERROR(VLOOKUP(B13,Spieler!AE:AF,2),"")</f>
        <v>162.91708</v>
      </c>
      <c r="E13" s="239"/>
      <c r="F13" s="233">
        <v>33.0</v>
      </c>
      <c r="G13" s="233" t="str">
        <f>VLOOKUP(F13,Spieler!AG:AI,3,0)</f>
        <v/>
      </c>
      <c r="H13" s="233" t="str">
        <f>IF(I13="","",VLOOKUP(G13,Spieler!A:D,3,0))</f>
        <v/>
      </c>
      <c r="I13" s="235" t="str">
        <f>IFERROR(VLOOKUP(G13,Spieler!AE:AF,2),"")</f>
        <v/>
      </c>
      <c r="J13" s="232"/>
      <c r="K13" s="232"/>
      <c r="L13" s="232"/>
      <c r="M13" s="232"/>
      <c r="N13" s="232"/>
      <c r="O13" s="232"/>
      <c r="P13" s="232"/>
      <c r="Q13" s="232"/>
      <c r="R13" s="232"/>
      <c r="S13" s="232"/>
      <c r="T13" s="232"/>
      <c r="U13" s="232"/>
      <c r="V13" s="232"/>
      <c r="W13" s="232"/>
      <c r="X13" s="232"/>
      <c r="Y13" s="232"/>
      <c r="Z13" s="232"/>
    </row>
    <row r="14" ht="26.25" customHeight="1">
      <c r="A14" s="233">
        <v>13.0</v>
      </c>
      <c r="B14" s="233">
        <f>VLOOKUP(A14,Spieler!AG:AI,3,0)</f>
        <v>1</v>
      </c>
      <c r="C14" s="233" t="str">
        <f>IF(D14="","",VLOOKUP(B14,Spieler!A:D,3,0))</f>
        <v>Else Schuster</v>
      </c>
      <c r="D14" s="235">
        <f>IFERROR(VLOOKUP(B14,Spieler!AE:AF,2),"")</f>
        <v>154.83301</v>
      </c>
      <c r="E14" s="239"/>
      <c r="F14" s="233">
        <v>34.0</v>
      </c>
      <c r="G14" s="233" t="str">
        <f>VLOOKUP(F14,Spieler!AG:AI,3,0)</f>
        <v/>
      </c>
      <c r="H14" s="233" t="str">
        <f>IF(I14="","",VLOOKUP(G14,Spieler!A:D,3,0))</f>
        <v/>
      </c>
      <c r="I14" s="235" t="str">
        <f>IFERROR(VLOOKUP(G14,Spieler!AE:AF,2),"")</f>
        <v/>
      </c>
      <c r="J14" s="232"/>
      <c r="K14" s="232"/>
      <c r="L14" s="232"/>
      <c r="M14" s="232"/>
      <c r="N14" s="232"/>
      <c r="O14" s="232"/>
      <c r="P14" s="232"/>
      <c r="Q14" s="232"/>
      <c r="R14" s="232"/>
      <c r="S14" s="232"/>
      <c r="T14" s="232"/>
      <c r="U14" s="232"/>
      <c r="V14" s="232"/>
      <c r="W14" s="232"/>
      <c r="X14" s="232"/>
      <c r="Y14" s="232"/>
      <c r="Z14" s="232"/>
    </row>
    <row r="15" ht="26.25" customHeight="1">
      <c r="A15" s="233">
        <v>14.0</v>
      </c>
      <c r="B15" s="233">
        <f>VLOOKUP(A15,Spieler!AG:AI,3,0)</f>
        <v>16</v>
      </c>
      <c r="C15" s="233" t="str">
        <f>IF(D15="","",VLOOKUP(B15,Spieler!A:D,3,0))</f>
        <v>Regina Gahr</v>
      </c>
      <c r="D15" s="235">
        <f>IFERROR(VLOOKUP(B15,Spieler!AE:AF,2),"")</f>
        <v>154.16716</v>
      </c>
      <c r="E15" s="239"/>
      <c r="F15" s="233">
        <v>35.0</v>
      </c>
      <c r="G15" s="233" t="str">
        <f>VLOOKUP(F15,Spieler!AG:AI,3,0)</f>
        <v/>
      </c>
      <c r="H15" s="233" t="str">
        <f>IF(I15="","",VLOOKUP(G15,Spieler!A:D,3,0))</f>
        <v/>
      </c>
      <c r="I15" s="235" t="str">
        <f>IFERROR(VLOOKUP(G15,Spieler!AE:AF,2),"")</f>
        <v/>
      </c>
      <c r="J15" s="232"/>
      <c r="K15" s="232"/>
      <c r="L15" s="232"/>
      <c r="M15" s="232"/>
      <c r="N15" s="232"/>
      <c r="O15" s="232"/>
      <c r="P15" s="232"/>
      <c r="Q15" s="232"/>
      <c r="R15" s="232"/>
      <c r="S15" s="232"/>
      <c r="T15" s="232"/>
      <c r="U15" s="232"/>
      <c r="V15" s="232"/>
      <c r="W15" s="232"/>
      <c r="X15" s="232"/>
      <c r="Y15" s="232"/>
      <c r="Z15" s="232"/>
    </row>
    <row r="16" ht="26.25" customHeight="1">
      <c r="A16" s="233">
        <v>15.0</v>
      </c>
      <c r="B16" s="233">
        <f>VLOOKUP(A16,Spieler!AG:AI,3,0)</f>
        <v>10</v>
      </c>
      <c r="C16" s="233" t="str">
        <f>IF(D16="","",VLOOKUP(B16,Spieler!A:D,3,0))</f>
        <v>Bianca Leinemann</v>
      </c>
      <c r="D16" s="235">
        <f>IFERROR(VLOOKUP(B16,Spieler!AE:AF,2),"")</f>
        <v>151.9171</v>
      </c>
      <c r="E16" s="239"/>
      <c r="F16" s="233">
        <v>36.0</v>
      </c>
      <c r="G16" s="233" t="str">
        <f>VLOOKUP(F16,Spieler!AG:AI,3,0)</f>
        <v/>
      </c>
      <c r="H16" s="233" t="str">
        <f>IF(I16="","",VLOOKUP(G16,Spieler!A:D,3,0))</f>
        <v/>
      </c>
      <c r="I16" s="235" t="str">
        <f>IFERROR(VLOOKUP(G16,Spieler!AE:AF,2),"")</f>
        <v/>
      </c>
      <c r="J16" s="232"/>
      <c r="K16" s="232"/>
      <c r="L16" s="232"/>
      <c r="M16" s="232"/>
      <c r="N16" s="232"/>
      <c r="O16" s="232"/>
      <c r="P16" s="232"/>
      <c r="Q16" s="232"/>
      <c r="R16" s="232"/>
      <c r="S16" s="232"/>
      <c r="T16" s="232"/>
      <c r="U16" s="232"/>
      <c r="V16" s="232"/>
      <c r="W16" s="232"/>
      <c r="X16" s="232"/>
      <c r="Y16" s="232"/>
      <c r="Z16" s="232"/>
    </row>
    <row r="17" ht="26.25" customHeight="1">
      <c r="A17" s="233">
        <v>16.0</v>
      </c>
      <c r="B17" s="233">
        <f>VLOOKUP(A17,Spieler!AG:AI,3,0)</f>
        <v>21</v>
      </c>
      <c r="C17" s="233" t="str">
        <f>IF(D17="","",VLOOKUP(B17,Spieler!A:D,3,0))</f>
        <v>Rica Jahre</v>
      </c>
      <c r="D17" s="235">
        <f>IFERROR(VLOOKUP(B17,Spieler!AE:AF,2),"")</f>
        <v>150.25021</v>
      </c>
      <c r="E17" s="239"/>
      <c r="F17" s="233">
        <v>37.0</v>
      </c>
      <c r="G17" s="233" t="str">
        <f>VLOOKUP(F17,Spieler!AG:AI,3,0)</f>
        <v/>
      </c>
      <c r="H17" s="233" t="str">
        <f>IF(I17="","",VLOOKUP(G17,Spieler!A:D,3,0))</f>
        <v/>
      </c>
      <c r="I17" s="235" t="str">
        <f>IFERROR(VLOOKUP(G17,Spieler!AE:AF,2),"")</f>
        <v/>
      </c>
      <c r="J17" s="232"/>
      <c r="K17" s="232"/>
      <c r="L17" s="232"/>
      <c r="M17" s="232"/>
      <c r="N17" s="232"/>
      <c r="O17" s="232"/>
      <c r="P17" s="232"/>
      <c r="Q17" s="232"/>
      <c r="R17" s="232"/>
      <c r="S17" s="232"/>
      <c r="T17" s="232"/>
      <c r="U17" s="232"/>
      <c r="V17" s="232"/>
      <c r="W17" s="232"/>
      <c r="X17" s="232"/>
      <c r="Y17" s="232"/>
      <c r="Z17" s="232"/>
    </row>
    <row r="18" ht="26.25" customHeight="1">
      <c r="A18" s="233">
        <v>17.0</v>
      </c>
      <c r="B18" s="233">
        <f>VLOOKUP(A18,Spieler!AG:AI,3,0)</f>
        <v>11</v>
      </c>
      <c r="C18" s="233" t="str">
        <f>IF(D18="","",VLOOKUP(B18,Spieler!A:D,3,0))</f>
        <v>Sabaithip Mekjinda</v>
      </c>
      <c r="D18" s="235">
        <f>IFERROR(VLOOKUP(B18,Spieler!AE:AF,2),"")</f>
        <v>149.91711</v>
      </c>
      <c r="E18" s="239"/>
      <c r="F18" s="233">
        <v>38.0</v>
      </c>
      <c r="G18" s="233" t="str">
        <f>VLOOKUP(F18,Spieler!AG:AI,3,0)</f>
        <v/>
      </c>
      <c r="H18" s="233" t="str">
        <f>IF(I18="","",VLOOKUP(G18,Spieler!A:D,3,0))</f>
        <v/>
      </c>
      <c r="I18" s="235" t="str">
        <f>IFERROR(VLOOKUP(G18,Spieler!AE:AF,2),"")</f>
        <v/>
      </c>
      <c r="J18" s="232"/>
      <c r="K18" s="232"/>
      <c r="L18" s="232"/>
      <c r="M18" s="232"/>
      <c r="N18" s="232"/>
      <c r="O18" s="232"/>
      <c r="P18" s="232"/>
      <c r="Q18" s="232"/>
      <c r="R18" s="232"/>
      <c r="S18" s="232"/>
      <c r="T18" s="232"/>
      <c r="U18" s="232"/>
      <c r="V18" s="232"/>
      <c r="W18" s="232"/>
      <c r="X18" s="232"/>
      <c r="Y18" s="232"/>
      <c r="Z18" s="232"/>
    </row>
    <row r="19" ht="26.25" customHeight="1">
      <c r="A19" s="233">
        <v>18.0</v>
      </c>
      <c r="B19" s="233">
        <f>VLOOKUP(A19,Spieler!AG:AI,3,0)</f>
        <v>13</v>
      </c>
      <c r="C19" s="233" t="str">
        <f>IF(D19="","",VLOOKUP(B19,Spieler!A:D,3,0))</f>
        <v>Nadja Seidlein</v>
      </c>
      <c r="D19" s="235">
        <f>IFERROR(VLOOKUP(B19,Spieler!AE:AF,2),"")</f>
        <v>148.66713</v>
      </c>
      <c r="E19" s="239"/>
      <c r="F19" s="233">
        <v>39.0</v>
      </c>
      <c r="G19" s="233" t="str">
        <f>VLOOKUP(F19,Spieler!AG:AI,3,0)</f>
        <v/>
      </c>
      <c r="H19" s="233" t="str">
        <f>IF(I19="","",VLOOKUP(G19,Spieler!A:D,3,0))</f>
        <v/>
      </c>
      <c r="I19" s="235" t="str">
        <f>IFERROR(VLOOKUP(G19,Spieler!AE:AF,2),"")</f>
        <v/>
      </c>
      <c r="J19" s="232"/>
      <c r="K19" s="232"/>
      <c r="L19" s="232"/>
      <c r="M19" s="232"/>
      <c r="N19" s="232"/>
      <c r="O19" s="232"/>
      <c r="P19" s="232"/>
      <c r="Q19" s="232"/>
      <c r="R19" s="232"/>
      <c r="S19" s="232"/>
      <c r="T19" s="232"/>
      <c r="U19" s="232"/>
      <c r="V19" s="232"/>
      <c r="W19" s="232"/>
      <c r="X19" s="232"/>
      <c r="Y19" s="232"/>
      <c r="Z19" s="232"/>
    </row>
    <row r="20" ht="26.25" customHeight="1">
      <c r="A20" s="233">
        <v>19.0</v>
      </c>
      <c r="B20" s="233">
        <f>VLOOKUP(A20,Spieler!AG:AI,3,0)</f>
        <v>5</v>
      </c>
      <c r="C20" s="233" t="str">
        <f>IF(D20="","",VLOOKUP(B20,Spieler!A:D,3,0))</f>
        <v>Denise Schwertfeger</v>
      </c>
      <c r="D20" s="235">
        <f>IFERROR(VLOOKUP(B20,Spieler!AE:AF,2),"")</f>
        <v>141.75005</v>
      </c>
      <c r="E20" s="239"/>
      <c r="F20" s="233">
        <v>40.0</v>
      </c>
      <c r="G20" s="233" t="str">
        <f>VLOOKUP(F20,Spieler!AG:AI,3,0)</f>
        <v/>
      </c>
      <c r="H20" s="233" t="str">
        <f>IF(I20="","",VLOOKUP(G20,Spieler!A:D,3,0))</f>
        <v/>
      </c>
      <c r="I20" s="235" t="str">
        <f>IFERROR(VLOOKUP(G20,Spieler!AE:AF,2),"")</f>
        <v/>
      </c>
      <c r="J20" s="232"/>
      <c r="K20" s="232"/>
      <c r="L20" s="232"/>
      <c r="M20" s="232"/>
      <c r="N20" s="232"/>
      <c r="O20" s="232"/>
      <c r="P20" s="232"/>
      <c r="Q20" s="232"/>
      <c r="R20" s="232"/>
      <c r="S20" s="232"/>
      <c r="T20" s="232"/>
      <c r="U20" s="232"/>
      <c r="V20" s="232"/>
      <c r="W20" s="232"/>
      <c r="X20" s="232"/>
      <c r="Y20" s="232"/>
      <c r="Z20" s="232"/>
    </row>
    <row r="21" ht="26.25" customHeight="1">
      <c r="A21" s="233">
        <v>20.0</v>
      </c>
      <c r="B21" s="233">
        <f>VLOOKUP(A21,Spieler!AG:AI,3,0)</f>
        <v>2</v>
      </c>
      <c r="C21" s="233" t="str">
        <f>IF(D21="","",VLOOKUP(B21,Spieler!A:D,3,0))</f>
        <v>Roswitha Schulz-Burkert</v>
      </c>
      <c r="D21" s="235">
        <f>IFERROR(VLOOKUP(B21,Spieler!AE:AF,2),"")</f>
        <v>137.50002</v>
      </c>
      <c r="E21" s="239"/>
      <c r="F21" s="233">
        <v>41.0</v>
      </c>
      <c r="G21" s="233" t="str">
        <f>VLOOKUP(F21,Spieler!AG:AI,3,0)</f>
        <v/>
      </c>
      <c r="H21" s="233" t="str">
        <f>IF(I21="","",VLOOKUP(G21,Spieler!A:D,3,0))</f>
        <v/>
      </c>
      <c r="I21" s="235" t="str">
        <f>IFERROR(VLOOKUP(G21,Spieler!AE:AF,2),"")</f>
        <v/>
      </c>
      <c r="J21" s="232"/>
      <c r="K21" s="232"/>
      <c r="L21" s="232"/>
      <c r="M21" s="232"/>
      <c r="N21" s="232"/>
      <c r="O21" s="232"/>
      <c r="P21" s="232"/>
      <c r="Q21" s="232"/>
      <c r="R21" s="232"/>
      <c r="S21" s="232"/>
      <c r="T21" s="232"/>
      <c r="U21" s="232"/>
      <c r="V21" s="232"/>
      <c r="W21" s="232"/>
      <c r="X21" s="232"/>
      <c r="Y21" s="232"/>
      <c r="Z21" s="232"/>
    </row>
    <row r="22" ht="26.25" customHeight="1">
      <c r="A22" s="233">
        <v>21.0</v>
      </c>
      <c r="B22" s="233">
        <f>VLOOKUP(A22,Spieler!AG:AI,3,0)</f>
        <v>3</v>
      </c>
      <c r="C22" s="233" t="str">
        <f>IF(D22="","",VLOOKUP(B22,Spieler!A:D,3,0))</f>
        <v>Ingeborg Schmitt</v>
      </c>
      <c r="D22" s="235">
        <f>IFERROR(VLOOKUP(B22,Spieler!AE:AF,2),"")</f>
        <v>133.00003</v>
      </c>
      <c r="E22" s="239"/>
      <c r="F22" s="233">
        <v>42.0</v>
      </c>
      <c r="G22" s="233" t="str">
        <f>VLOOKUP(F22,Spieler!AG:AI,3,0)</f>
        <v/>
      </c>
      <c r="H22" s="233" t="str">
        <f>IF(I22="","",VLOOKUP(G22,Spieler!A:D,3,0))</f>
        <v/>
      </c>
      <c r="I22" s="235" t="str">
        <f>IFERROR(VLOOKUP(G22,Spieler!AE:AF,2),"")</f>
        <v/>
      </c>
      <c r="J22" s="232"/>
      <c r="K22" s="232"/>
      <c r="L22" s="232"/>
      <c r="M22" s="232"/>
      <c r="N22" s="232"/>
      <c r="O22" s="232"/>
      <c r="P22" s="232"/>
      <c r="Q22" s="232"/>
      <c r="R22" s="232"/>
      <c r="S22" s="232"/>
      <c r="T22" s="232"/>
      <c r="U22" s="232"/>
      <c r="V22" s="232"/>
      <c r="W22" s="232"/>
      <c r="X22" s="232"/>
      <c r="Y22" s="232"/>
      <c r="Z22" s="232"/>
    </row>
    <row r="23" ht="26.25" hidden="1" customHeight="1">
      <c r="A23" s="232"/>
      <c r="B23" s="232"/>
      <c r="C23" s="232"/>
      <c r="D23" s="232"/>
      <c r="E23" s="232"/>
      <c r="F23" s="232"/>
      <c r="G23" s="232"/>
      <c r="H23" s="232"/>
      <c r="I23" s="232"/>
      <c r="J23" s="232"/>
      <c r="K23" s="232"/>
      <c r="L23" s="232"/>
      <c r="M23" s="232"/>
      <c r="N23" s="232"/>
      <c r="O23" s="232"/>
      <c r="P23" s="232"/>
      <c r="Q23" s="232"/>
      <c r="R23" s="232"/>
      <c r="S23" s="232"/>
      <c r="T23" s="232"/>
      <c r="U23" s="232"/>
      <c r="V23" s="232"/>
      <c r="W23" s="232"/>
      <c r="X23" s="232"/>
      <c r="Y23" s="232"/>
      <c r="Z23" s="232"/>
    </row>
    <row r="24" ht="26.25" customHeight="1">
      <c r="A24" s="232"/>
      <c r="B24" s="232"/>
      <c r="C24" s="232"/>
      <c r="D24" s="232"/>
      <c r="E24" s="232"/>
      <c r="F24" s="232"/>
      <c r="G24" s="232"/>
      <c r="H24" s="232"/>
      <c r="I24" s="232"/>
      <c r="J24" s="232"/>
      <c r="K24" s="232"/>
      <c r="L24" s="232"/>
      <c r="M24" s="232"/>
      <c r="N24" s="232"/>
      <c r="O24" s="232"/>
      <c r="P24" s="232"/>
      <c r="Q24" s="232"/>
      <c r="R24" s="232"/>
      <c r="S24" s="232"/>
      <c r="T24" s="232"/>
      <c r="U24" s="232"/>
      <c r="V24" s="232"/>
      <c r="W24" s="232"/>
      <c r="X24" s="232"/>
      <c r="Y24" s="232"/>
      <c r="Z24" s="232"/>
    </row>
    <row r="25" ht="26.25" hidden="1" customHeight="1">
      <c r="A25" s="232"/>
      <c r="B25" s="232"/>
      <c r="C25" s="232"/>
      <c r="D25" s="232"/>
      <c r="E25" s="232"/>
      <c r="F25" s="232"/>
      <c r="G25" s="232"/>
      <c r="H25" s="232"/>
      <c r="I25" s="232"/>
      <c r="J25" s="232"/>
      <c r="K25" s="232"/>
      <c r="L25" s="232"/>
      <c r="M25" s="232"/>
      <c r="N25" s="232"/>
      <c r="O25" s="232"/>
      <c r="P25" s="232"/>
      <c r="Q25" s="232"/>
      <c r="R25" s="232"/>
      <c r="S25" s="232"/>
      <c r="T25" s="232"/>
      <c r="U25" s="232"/>
      <c r="V25" s="232"/>
      <c r="W25" s="232"/>
      <c r="X25" s="232"/>
      <c r="Y25" s="232"/>
      <c r="Z25" s="232"/>
    </row>
    <row r="26" ht="26.25" hidden="1" customHeight="1">
      <c r="A26" s="231" t="s">
        <v>2478</v>
      </c>
      <c r="B26" s="231" t="s">
        <v>2608</v>
      </c>
      <c r="C26" s="231" t="s">
        <v>2464</v>
      </c>
      <c r="D26" s="231" t="s">
        <v>2609</v>
      </c>
      <c r="E26" s="230"/>
      <c r="F26" s="231" t="s">
        <v>2478</v>
      </c>
      <c r="G26" s="231" t="s">
        <v>2477</v>
      </c>
      <c r="H26" s="231" t="s">
        <v>2464</v>
      </c>
      <c r="I26" s="231" t="s">
        <v>2609</v>
      </c>
      <c r="J26" s="232"/>
      <c r="K26" s="232"/>
      <c r="L26" s="232"/>
      <c r="M26" s="232"/>
      <c r="N26" s="232"/>
      <c r="O26" s="232"/>
      <c r="P26" s="232"/>
      <c r="Q26" s="232"/>
      <c r="R26" s="232"/>
      <c r="S26" s="232"/>
      <c r="T26" s="232"/>
      <c r="U26" s="232"/>
      <c r="V26" s="232"/>
      <c r="W26" s="232"/>
      <c r="X26" s="232"/>
      <c r="Y26" s="232"/>
      <c r="Z26" s="232"/>
    </row>
    <row r="27" ht="26.25" hidden="1" customHeight="1">
      <c r="A27" s="241">
        <v>43.0</v>
      </c>
      <c r="B27" s="241" t="str">
        <f>VLOOKUP(A27,Spieler!AG:AI,3,0)</f>
        <v/>
      </c>
      <c r="C27" s="241" t="str">
        <f>IF(D27="","",VLOOKUP(B27,Spieler!A:D,3,0))</f>
        <v/>
      </c>
      <c r="D27" s="242" t="str">
        <f>IFERROR(VLOOKUP(B27,Spieler!AE:AF,2),"")</f>
        <v/>
      </c>
      <c r="E27" s="236"/>
      <c r="F27" s="241">
        <v>64.0</v>
      </c>
      <c r="G27" s="241" t="str">
        <f>VLOOKUP(F27,Spieler!AG:AI,3,0)</f>
        <v/>
      </c>
      <c r="H27" s="241" t="str">
        <f>IF(I27="","",VLOOKUP(G27,Spieler!A:D,3,0))</f>
        <v/>
      </c>
      <c r="I27" s="242" t="str">
        <f>IFERROR(VLOOKUP(G27,Spieler!AE:AF,2),"")</f>
        <v/>
      </c>
      <c r="J27" s="232"/>
      <c r="K27" s="232"/>
      <c r="L27" s="232"/>
      <c r="M27" s="232"/>
      <c r="N27" s="232"/>
      <c r="O27" s="232"/>
      <c r="P27" s="232"/>
      <c r="Q27" s="232"/>
      <c r="R27" s="232"/>
      <c r="S27" s="232"/>
      <c r="T27" s="232"/>
      <c r="U27" s="232"/>
      <c r="V27" s="232"/>
      <c r="W27" s="232"/>
      <c r="X27" s="232"/>
      <c r="Y27" s="232"/>
      <c r="Z27" s="232"/>
    </row>
    <row r="28" ht="26.25" hidden="1" customHeight="1">
      <c r="A28" s="241">
        <v>44.0</v>
      </c>
      <c r="B28" s="241" t="str">
        <f>VLOOKUP(A28,Spieler!AG:AI,3,0)</f>
        <v/>
      </c>
      <c r="C28" s="241" t="str">
        <f>IF(D28="","",VLOOKUP(B28,Spieler!A:D,3,0))</f>
        <v/>
      </c>
      <c r="D28" s="242" t="str">
        <f>IFERROR(VLOOKUP(B28,Spieler!AE:AF,2),"")</f>
        <v/>
      </c>
      <c r="E28" s="237"/>
      <c r="F28" s="241">
        <v>65.0</v>
      </c>
      <c r="G28" s="241" t="str">
        <f>VLOOKUP(F28,Spieler!AG:AI,3,0)</f>
        <v/>
      </c>
      <c r="H28" s="241" t="str">
        <f>IF(I28="","",VLOOKUP(G28,Spieler!A:D,3,0))</f>
        <v/>
      </c>
      <c r="I28" s="242" t="str">
        <f>IFERROR(VLOOKUP(G28,Spieler!AE:AF,2),"")</f>
        <v/>
      </c>
      <c r="J28" s="232"/>
      <c r="K28" s="232"/>
      <c r="L28" s="232"/>
      <c r="M28" s="232"/>
      <c r="N28" s="232"/>
      <c r="O28" s="232"/>
      <c r="P28" s="232"/>
      <c r="Q28" s="232"/>
      <c r="R28" s="232"/>
      <c r="S28" s="232"/>
      <c r="T28" s="232"/>
      <c r="U28" s="232"/>
      <c r="V28" s="232"/>
      <c r="W28" s="232"/>
      <c r="X28" s="232"/>
      <c r="Y28" s="232"/>
      <c r="Z28" s="232"/>
    </row>
    <row r="29" ht="26.25" hidden="1" customHeight="1">
      <c r="A29" s="241">
        <v>45.0</v>
      </c>
      <c r="B29" s="241" t="str">
        <f>VLOOKUP(A29,Spieler!AG:AI,3,0)</f>
        <v/>
      </c>
      <c r="C29" s="241" t="str">
        <f>IF(D29="","",VLOOKUP(B29,Spieler!A:D,3,0))</f>
        <v/>
      </c>
      <c r="D29" s="242" t="str">
        <f>IFERROR(VLOOKUP(B29,Spieler!AE:AF,2),"")</f>
        <v/>
      </c>
      <c r="E29" s="237"/>
      <c r="F29" s="241">
        <v>66.0</v>
      </c>
      <c r="G29" s="241" t="str">
        <f>VLOOKUP(F29,Spieler!AG:AI,3,0)</f>
        <v/>
      </c>
      <c r="H29" s="241" t="str">
        <f>IF(I29="","",VLOOKUP(G29,Spieler!A:D,3,0))</f>
        <v/>
      </c>
      <c r="I29" s="242" t="str">
        <f>IFERROR(VLOOKUP(G29,Spieler!AE:AF,2),"")</f>
        <v/>
      </c>
      <c r="J29" s="232"/>
      <c r="K29" s="232"/>
      <c r="L29" s="232"/>
      <c r="M29" s="232"/>
      <c r="N29" s="232"/>
      <c r="O29" s="232"/>
      <c r="P29" s="232"/>
      <c r="Q29" s="232"/>
      <c r="R29" s="232"/>
      <c r="S29" s="232"/>
      <c r="T29" s="232"/>
      <c r="U29" s="232"/>
      <c r="V29" s="232"/>
      <c r="W29" s="232"/>
      <c r="X29" s="232"/>
      <c r="Y29" s="232"/>
      <c r="Z29" s="232"/>
    </row>
    <row r="30" ht="26.25" hidden="1" customHeight="1">
      <c r="A30" s="241">
        <v>46.0</v>
      </c>
      <c r="B30" s="241" t="str">
        <f>VLOOKUP(A30,Spieler!AG:AI,3,0)</f>
        <v/>
      </c>
      <c r="C30" s="241" t="str">
        <f>IF(D30="","",VLOOKUP(B30,Spieler!A:D,3,0))</f>
        <v/>
      </c>
      <c r="D30" s="242" t="str">
        <f>IFERROR(VLOOKUP(B30,Spieler!AE:AF,2),"")</f>
        <v/>
      </c>
      <c r="E30" s="238" t="str">
        <f>CONCATENATE(Optionen!B3,"
 ", Optionen!B4)</f>
        <v>Bayerische Meisterschaft
 Frauen Einzel </v>
      </c>
      <c r="F30" s="241">
        <v>67.0</v>
      </c>
      <c r="G30" s="241" t="str">
        <f>VLOOKUP(F30,Spieler!AG:AI,3,0)</f>
        <v/>
      </c>
      <c r="H30" s="241" t="str">
        <f>IF(I30="","",VLOOKUP(G30,Spieler!A:D,3,0))</f>
        <v/>
      </c>
      <c r="I30" s="242" t="str">
        <f>IFERROR(VLOOKUP(G30,Spieler!AE:AF,2),"")</f>
        <v/>
      </c>
      <c r="J30" s="232"/>
      <c r="K30" s="232"/>
      <c r="L30" s="232"/>
      <c r="M30" s="232"/>
      <c r="N30" s="232"/>
      <c r="O30" s="232"/>
      <c r="P30" s="232"/>
      <c r="Q30" s="232"/>
      <c r="R30" s="232"/>
      <c r="S30" s="232"/>
      <c r="T30" s="232"/>
      <c r="U30" s="232"/>
      <c r="V30" s="232"/>
      <c r="W30" s="232"/>
      <c r="X30" s="232"/>
      <c r="Y30" s="232"/>
      <c r="Z30" s="232"/>
    </row>
    <row r="31" ht="26.25" hidden="1" customHeight="1">
      <c r="A31" s="241">
        <v>47.0</v>
      </c>
      <c r="B31" s="241" t="str">
        <f>VLOOKUP(A31,Spieler!AG:AI,3,0)</f>
        <v/>
      </c>
      <c r="C31" s="241" t="str">
        <f>IF(D31="","",VLOOKUP(B31,Spieler!A:D,3,0))</f>
        <v/>
      </c>
      <c r="D31" s="242" t="str">
        <f>IFERROR(VLOOKUP(B31,Spieler!AE:AF,2),"")</f>
        <v/>
      </c>
      <c r="E31" s="239"/>
      <c r="F31" s="241">
        <v>68.0</v>
      </c>
      <c r="G31" s="241" t="str">
        <f>VLOOKUP(F31,Spieler!AG:AI,3,0)</f>
        <v/>
      </c>
      <c r="H31" s="241" t="str">
        <f>IF(I31="","",VLOOKUP(G31,Spieler!A:D,3,0))</f>
        <v/>
      </c>
      <c r="I31" s="242" t="str">
        <f>IFERROR(VLOOKUP(G31,Spieler!AE:AF,2),"")</f>
        <v/>
      </c>
      <c r="J31" s="232"/>
      <c r="K31" s="232"/>
      <c r="L31" s="232"/>
      <c r="M31" s="232"/>
      <c r="N31" s="232"/>
      <c r="O31" s="232"/>
      <c r="P31" s="232"/>
      <c r="Q31" s="232"/>
      <c r="R31" s="232"/>
      <c r="S31" s="232"/>
      <c r="T31" s="232"/>
      <c r="U31" s="232"/>
      <c r="V31" s="232"/>
      <c r="W31" s="232"/>
      <c r="X31" s="232"/>
      <c r="Y31" s="232"/>
      <c r="Z31" s="232"/>
    </row>
    <row r="32" ht="26.25" hidden="1" customHeight="1">
      <c r="A32" s="241">
        <v>48.0</v>
      </c>
      <c r="B32" s="241" t="str">
        <f>VLOOKUP(A32,Spieler!AG:AI,3,0)</f>
        <v/>
      </c>
      <c r="C32" s="241" t="str">
        <f>IF(D32="","",VLOOKUP(B32,Spieler!A:D,3,0))</f>
        <v/>
      </c>
      <c r="D32" s="242" t="str">
        <f>IFERROR(VLOOKUP(B32,Spieler!AE:AF,2),"")</f>
        <v/>
      </c>
      <c r="E32" s="239"/>
      <c r="F32" s="241">
        <v>69.0</v>
      </c>
      <c r="G32" s="241" t="str">
        <f>VLOOKUP(F32,Spieler!AG:AI,3,0)</f>
        <v/>
      </c>
      <c r="H32" s="241" t="str">
        <f>IF(I32="","",VLOOKUP(G32,Spieler!A:D,3,0))</f>
        <v/>
      </c>
      <c r="I32" s="242" t="str">
        <f>IFERROR(VLOOKUP(G32,Spieler!AE:AF,2),"")</f>
        <v/>
      </c>
      <c r="J32" s="232"/>
      <c r="K32" s="232"/>
      <c r="L32" s="232"/>
      <c r="M32" s="232"/>
      <c r="N32" s="232"/>
      <c r="O32" s="232"/>
      <c r="P32" s="232"/>
      <c r="Q32" s="232"/>
      <c r="R32" s="232"/>
      <c r="S32" s="232"/>
      <c r="T32" s="232"/>
      <c r="U32" s="232"/>
      <c r="V32" s="232"/>
      <c r="W32" s="232"/>
      <c r="X32" s="232"/>
      <c r="Y32" s="232"/>
      <c r="Z32" s="232"/>
    </row>
    <row r="33" ht="26.25" hidden="1" customHeight="1">
      <c r="A33" s="241">
        <v>49.0</v>
      </c>
      <c r="B33" s="241" t="str">
        <f>VLOOKUP(A33,Spieler!AG:AI,3,0)</f>
        <v/>
      </c>
      <c r="C33" s="241" t="str">
        <f>IF(D33="","",VLOOKUP(B33,Spieler!A:D,3,0))</f>
        <v/>
      </c>
      <c r="D33" s="242" t="str">
        <f>IFERROR(VLOOKUP(B33,Spieler!AE:AF,2),"")</f>
        <v/>
      </c>
      <c r="E33" s="239"/>
      <c r="F33" s="241">
        <v>70.0</v>
      </c>
      <c r="G33" s="241" t="str">
        <f>VLOOKUP(F33,Spieler!AG:AI,3,0)</f>
        <v/>
      </c>
      <c r="H33" s="241" t="str">
        <f>IF(I33="","",VLOOKUP(G33,Spieler!A:D,3,0))</f>
        <v/>
      </c>
      <c r="I33" s="242" t="str">
        <f>IFERROR(VLOOKUP(G33,Spieler!AE:AF,2),"")</f>
        <v/>
      </c>
      <c r="J33" s="232"/>
      <c r="K33" s="232"/>
      <c r="L33" s="232"/>
      <c r="M33" s="232"/>
      <c r="N33" s="232"/>
      <c r="O33" s="232"/>
      <c r="P33" s="232"/>
      <c r="Q33" s="232"/>
      <c r="R33" s="232"/>
      <c r="S33" s="232"/>
      <c r="T33" s="232"/>
      <c r="U33" s="232"/>
      <c r="V33" s="232"/>
      <c r="W33" s="232"/>
      <c r="X33" s="232"/>
      <c r="Y33" s="232"/>
      <c r="Z33" s="232"/>
    </row>
    <row r="34" ht="26.25" hidden="1" customHeight="1">
      <c r="A34" s="241">
        <v>50.0</v>
      </c>
      <c r="B34" s="241" t="str">
        <f>VLOOKUP(A34,Spieler!AG:AI,3,0)</f>
        <v/>
      </c>
      <c r="C34" s="241" t="str">
        <f>IF(D34="","",VLOOKUP(B34,Spieler!A:D,3,0))</f>
        <v/>
      </c>
      <c r="D34" s="242" t="str">
        <f>IFERROR(VLOOKUP(B34,Spieler!AE:AF,2),"")</f>
        <v/>
      </c>
      <c r="E34" s="239"/>
      <c r="F34" s="241">
        <v>71.0</v>
      </c>
      <c r="G34" s="241" t="str">
        <f>VLOOKUP(F34,Spieler!AG:AI,3,0)</f>
        <v/>
      </c>
      <c r="H34" s="241" t="str">
        <f>IF(I34="","",VLOOKUP(G34,Spieler!A:D,3,0))</f>
        <v/>
      </c>
      <c r="I34" s="242" t="str">
        <f>IFERROR(VLOOKUP(G34,Spieler!AE:AF,2),"")</f>
        <v/>
      </c>
      <c r="J34" s="232"/>
      <c r="K34" s="232"/>
      <c r="L34" s="232"/>
      <c r="M34" s="232"/>
      <c r="N34" s="232"/>
      <c r="O34" s="232"/>
      <c r="P34" s="232"/>
      <c r="Q34" s="232"/>
      <c r="R34" s="232"/>
      <c r="S34" s="232"/>
      <c r="T34" s="232"/>
      <c r="U34" s="232"/>
      <c r="V34" s="232"/>
      <c r="W34" s="232"/>
      <c r="X34" s="232"/>
      <c r="Y34" s="232"/>
      <c r="Z34" s="232"/>
    </row>
    <row r="35" ht="26.25" hidden="1" customHeight="1">
      <c r="A35" s="241">
        <v>51.0</v>
      </c>
      <c r="B35" s="241" t="str">
        <f>VLOOKUP(A35,Spieler!AG:AI,3,0)</f>
        <v/>
      </c>
      <c r="C35" s="241" t="str">
        <f>IF(D35="","",VLOOKUP(B35,Spieler!A:D,3,0))</f>
        <v/>
      </c>
      <c r="D35" s="242" t="str">
        <f>IFERROR(VLOOKUP(B35,Spieler!AE:AF,2),"")</f>
        <v/>
      </c>
      <c r="E35" s="239"/>
      <c r="F35" s="241">
        <v>72.0</v>
      </c>
      <c r="G35" s="241" t="str">
        <f>VLOOKUP(F35,Spieler!AG:AI,3,0)</f>
        <v/>
      </c>
      <c r="H35" s="241" t="str">
        <f>IF(I35="","",VLOOKUP(G35,Spieler!A:D,3,0))</f>
        <v/>
      </c>
      <c r="I35" s="242" t="str">
        <f>IFERROR(VLOOKUP(G35,Spieler!AE:AF,2),"")</f>
        <v/>
      </c>
      <c r="J35" s="232"/>
      <c r="K35" s="232"/>
      <c r="L35" s="232"/>
      <c r="M35" s="232"/>
      <c r="N35" s="232"/>
      <c r="O35" s="232"/>
      <c r="P35" s="232"/>
      <c r="Q35" s="232"/>
      <c r="R35" s="232"/>
      <c r="S35" s="232"/>
      <c r="T35" s="232"/>
      <c r="U35" s="232"/>
      <c r="V35" s="232"/>
      <c r="W35" s="232"/>
      <c r="X35" s="232"/>
      <c r="Y35" s="232"/>
      <c r="Z35" s="232"/>
    </row>
    <row r="36" ht="26.25" hidden="1" customHeight="1">
      <c r="A36" s="241">
        <v>52.0</v>
      </c>
      <c r="B36" s="241" t="str">
        <f>VLOOKUP(A36,Spieler!AG:AI,3,0)</f>
        <v/>
      </c>
      <c r="C36" s="241" t="str">
        <f>IF(D36="","",VLOOKUP(B36,Spieler!A:D,3,0))</f>
        <v/>
      </c>
      <c r="D36" s="242" t="str">
        <f>IFERROR(VLOOKUP(B36,Spieler!AE:AF,2),"")</f>
        <v/>
      </c>
      <c r="E36" s="239"/>
      <c r="F36" s="241">
        <v>73.0</v>
      </c>
      <c r="G36" s="241" t="str">
        <f>VLOOKUP(F36,Spieler!AG:AI,3,0)</f>
        <v/>
      </c>
      <c r="H36" s="241" t="str">
        <f>IF(I36="","",VLOOKUP(G36,Spieler!A:D,3,0))</f>
        <v/>
      </c>
      <c r="I36" s="242" t="str">
        <f>IFERROR(VLOOKUP(G36,Spieler!AE:AF,2),"")</f>
        <v/>
      </c>
      <c r="J36" s="232"/>
      <c r="K36" s="232"/>
      <c r="L36" s="232"/>
      <c r="M36" s="232"/>
      <c r="N36" s="232"/>
      <c r="O36" s="232"/>
      <c r="P36" s="232"/>
      <c r="Q36" s="232"/>
      <c r="R36" s="232"/>
      <c r="S36" s="232"/>
      <c r="T36" s="232"/>
      <c r="U36" s="232"/>
      <c r="V36" s="232"/>
      <c r="W36" s="232"/>
      <c r="X36" s="232"/>
      <c r="Y36" s="232"/>
      <c r="Z36" s="232"/>
    </row>
    <row r="37" ht="26.25" hidden="1" customHeight="1">
      <c r="A37" s="241">
        <v>53.0</v>
      </c>
      <c r="B37" s="241" t="str">
        <f>VLOOKUP(A37,Spieler!AG:AI,3,0)</f>
        <v/>
      </c>
      <c r="C37" s="241" t="str">
        <f>IF(D37="","",VLOOKUP(B37,Spieler!A:D,3,0))</f>
        <v/>
      </c>
      <c r="D37" s="242" t="str">
        <f>IFERROR(VLOOKUP(B37,Spieler!AE:AF,2),"")</f>
        <v/>
      </c>
      <c r="E37" s="239"/>
      <c r="F37" s="241">
        <v>74.0</v>
      </c>
      <c r="G37" s="241" t="str">
        <f>VLOOKUP(F37,Spieler!AG:AI,3,0)</f>
        <v/>
      </c>
      <c r="H37" s="241" t="str">
        <f>IF(I37="","",VLOOKUP(G37,Spieler!A:D,3,0))</f>
        <v/>
      </c>
      <c r="I37" s="242" t="str">
        <f>IFERROR(VLOOKUP(G37,Spieler!AE:AF,2),"")</f>
        <v/>
      </c>
      <c r="J37" s="232"/>
      <c r="K37" s="232"/>
      <c r="L37" s="232"/>
      <c r="M37" s="232"/>
      <c r="N37" s="232"/>
      <c r="O37" s="232"/>
      <c r="P37" s="232"/>
      <c r="Q37" s="232"/>
      <c r="R37" s="232"/>
      <c r="S37" s="232"/>
      <c r="T37" s="232"/>
      <c r="U37" s="232"/>
      <c r="V37" s="232"/>
      <c r="W37" s="232"/>
      <c r="X37" s="232"/>
      <c r="Y37" s="232"/>
      <c r="Z37" s="232"/>
    </row>
    <row r="38" ht="26.25" hidden="1" customHeight="1">
      <c r="A38" s="241">
        <v>54.0</v>
      </c>
      <c r="B38" s="241" t="str">
        <f>VLOOKUP(A38,Spieler!AG:AI,3,0)</f>
        <v/>
      </c>
      <c r="C38" s="241" t="str">
        <f>IF(D38="","",VLOOKUP(B38,Spieler!A:D,3,0))</f>
        <v/>
      </c>
      <c r="D38" s="242" t="str">
        <f>IFERROR(VLOOKUP(B38,Spieler!AE:AF,2),"")</f>
        <v/>
      </c>
      <c r="E38" s="239"/>
      <c r="F38" s="241">
        <v>75.0</v>
      </c>
      <c r="G38" s="241" t="str">
        <f>VLOOKUP(F38,Spieler!AG:AI,3,0)</f>
        <v/>
      </c>
      <c r="H38" s="241" t="str">
        <f>IF(I38="","",VLOOKUP(G38,Spieler!A:D,3,0))</f>
        <v/>
      </c>
      <c r="I38" s="242" t="str">
        <f>IFERROR(VLOOKUP(G38,Spieler!AE:AF,2),"")</f>
        <v/>
      </c>
      <c r="J38" s="232"/>
      <c r="K38" s="232"/>
      <c r="L38" s="232"/>
      <c r="M38" s="232"/>
      <c r="N38" s="232"/>
      <c r="O38" s="232"/>
      <c r="P38" s="232"/>
      <c r="Q38" s="232"/>
      <c r="R38" s="232"/>
      <c r="S38" s="232"/>
      <c r="T38" s="232"/>
      <c r="U38" s="232"/>
      <c r="V38" s="232"/>
      <c r="W38" s="232"/>
      <c r="X38" s="232"/>
      <c r="Y38" s="232"/>
      <c r="Z38" s="232"/>
    </row>
    <row r="39" ht="26.25" hidden="1" customHeight="1">
      <c r="A39" s="241">
        <v>55.0</v>
      </c>
      <c r="B39" s="241" t="str">
        <f>VLOOKUP(A39,Spieler!AG:AI,3,0)</f>
        <v/>
      </c>
      <c r="C39" s="241" t="str">
        <f>IF(D39="","",VLOOKUP(B39,Spieler!A:D,3,0))</f>
        <v/>
      </c>
      <c r="D39" s="242" t="str">
        <f>IFERROR(VLOOKUP(B39,Spieler!AE:AF,2),"")</f>
        <v/>
      </c>
      <c r="E39" s="239"/>
      <c r="F39" s="241">
        <v>76.0</v>
      </c>
      <c r="G39" s="241" t="str">
        <f>VLOOKUP(F39,Spieler!AG:AI,3,0)</f>
        <v/>
      </c>
      <c r="H39" s="241" t="str">
        <f>IF(I39="","",VLOOKUP(G39,Spieler!A:D,3,0))</f>
        <v/>
      </c>
      <c r="I39" s="242" t="str">
        <f>IFERROR(VLOOKUP(G39,Spieler!AE:AF,2),"")</f>
        <v/>
      </c>
      <c r="J39" s="232"/>
      <c r="K39" s="232"/>
      <c r="L39" s="232"/>
      <c r="M39" s="232"/>
      <c r="N39" s="232"/>
      <c r="O39" s="232"/>
      <c r="P39" s="232"/>
      <c r="Q39" s="232"/>
      <c r="R39" s="232"/>
      <c r="S39" s="232"/>
      <c r="T39" s="232"/>
      <c r="U39" s="232"/>
      <c r="V39" s="232"/>
      <c r="W39" s="232"/>
      <c r="X39" s="232"/>
      <c r="Y39" s="232"/>
      <c r="Z39" s="232"/>
    </row>
    <row r="40" ht="26.25" hidden="1" customHeight="1">
      <c r="A40" s="241">
        <v>56.0</v>
      </c>
      <c r="B40" s="241" t="str">
        <f>VLOOKUP(A40,Spieler!AG:AI,3,0)</f>
        <v/>
      </c>
      <c r="C40" s="241" t="str">
        <f>IF(D40="","",VLOOKUP(B40,Spieler!A:D,3,0))</f>
        <v/>
      </c>
      <c r="D40" s="242" t="str">
        <f>IFERROR(VLOOKUP(B40,Spieler!AE:AF,2),"")</f>
        <v/>
      </c>
      <c r="E40" s="239"/>
      <c r="F40" s="241">
        <v>77.0</v>
      </c>
      <c r="G40" s="241" t="str">
        <f>VLOOKUP(F40,Spieler!AG:AI,3,0)</f>
        <v/>
      </c>
      <c r="H40" s="241" t="str">
        <f>IF(I40="","",VLOOKUP(G40,Spieler!A:D,3,0))</f>
        <v/>
      </c>
      <c r="I40" s="242" t="str">
        <f>IFERROR(VLOOKUP(G40,Spieler!AE:AF,2),"")</f>
        <v/>
      </c>
      <c r="J40" s="232"/>
      <c r="K40" s="232"/>
      <c r="L40" s="232"/>
      <c r="M40" s="232"/>
      <c r="N40" s="232"/>
      <c r="O40" s="232"/>
      <c r="P40" s="232"/>
      <c r="Q40" s="232"/>
      <c r="R40" s="232"/>
      <c r="S40" s="232"/>
      <c r="T40" s="232"/>
      <c r="U40" s="232"/>
      <c r="V40" s="232"/>
      <c r="W40" s="232"/>
      <c r="X40" s="232"/>
      <c r="Y40" s="232"/>
      <c r="Z40" s="232"/>
    </row>
    <row r="41" ht="26.25" hidden="1" customHeight="1">
      <c r="A41" s="241">
        <v>57.0</v>
      </c>
      <c r="B41" s="241" t="str">
        <f>VLOOKUP(A41,Spieler!AG:AI,3,0)</f>
        <v/>
      </c>
      <c r="C41" s="241" t="str">
        <f>IF(D41="","",VLOOKUP(B41,Spieler!A:D,3,0))</f>
        <v/>
      </c>
      <c r="D41" s="242" t="str">
        <f>IFERROR(VLOOKUP(B41,Spieler!AE:AF,2),"")</f>
        <v/>
      </c>
      <c r="E41" s="239"/>
      <c r="F41" s="241">
        <v>78.0</v>
      </c>
      <c r="G41" s="241" t="str">
        <f>VLOOKUP(F41,Spieler!AG:AI,3,0)</f>
        <v/>
      </c>
      <c r="H41" s="241" t="str">
        <f>IF(I41="","",VLOOKUP(G41,Spieler!A:D,3,0))</f>
        <v/>
      </c>
      <c r="I41" s="242" t="str">
        <f>IFERROR(VLOOKUP(G41,Spieler!AE:AF,2),"")</f>
        <v/>
      </c>
      <c r="J41" s="232"/>
      <c r="K41" s="232"/>
      <c r="L41" s="232"/>
      <c r="M41" s="232"/>
      <c r="N41" s="232"/>
      <c r="O41" s="232"/>
      <c r="P41" s="232"/>
      <c r="Q41" s="232"/>
      <c r="R41" s="232"/>
      <c r="S41" s="232"/>
      <c r="T41" s="232"/>
      <c r="U41" s="232"/>
      <c r="V41" s="232"/>
      <c r="W41" s="232"/>
      <c r="X41" s="232"/>
      <c r="Y41" s="232"/>
      <c r="Z41" s="232"/>
    </row>
    <row r="42" ht="26.25" hidden="1" customHeight="1">
      <c r="A42" s="241">
        <v>58.0</v>
      </c>
      <c r="B42" s="241" t="str">
        <f>VLOOKUP(A42,Spieler!AG:AI,3,0)</f>
        <v/>
      </c>
      <c r="C42" s="241" t="str">
        <f>IF(D42="","",VLOOKUP(B42,Spieler!A:D,3,0))</f>
        <v/>
      </c>
      <c r="D42" s="242" t="str">
        <f>IFERROR(VLOOKUP(B42,Spieler!AE:AF,2),"")</f>
        <v/>
      </c>
      <c r="E42" s="239"/>
      <c r="F42" s="241">
        <v>79.0</v>
      </c>
      <c r="G42" s="241" t="str">
        <f>VLOOKUP(F42,Spieler!AG:AI,3,0)</f>
        <v/>
      </c>
      <c r="H42" s="241" t="str">
        <f>IF(I42="","",VLOOKUP(G42,Spieler!A:D,3,0))</f>
        <v/>
      </c>
      <c r="I42" s="242" t="str">
        <f>IFERROR(VLOOKUP(G42,Spieler!AE:AF,2),"")</f>
        <v/>
      </c>
      <c r="J42" s="232"/>
      <c r="K42" s="232"/>
      <c r="L42" s="232"/>
      <c r="M42" s="232"/>
      <c r="N42" s="232"/>
      <c r="O42" s="232"/>
      <c r="P42" s="232"/>
      <c r="Q42" s="232"/>
      <c r="R42" s="232"/>
      <c r="S42" s="232"/>
      <c r="T42" s="232"/>
      <c r="U42" s="232"/>
      <c r="V42" s="232"/>
      <c r="W42" s="232"/>
      <c r="X42" s="232"/>
      <c r="Y42" s="232"/>
      <c r="Z42" s="232"/>
    </row>
    <row r="43" ht="26.25" hidden="1" customHeight="1">
      <c r="A43" s="241">
        <v>59.0</v>
      </c>
      <c r="B43" s="241" t="str">
        <f>VLOOKUP(A43,Spieler!AG:AI,3,0)</f>
        <v/>
      </c>
      <c r="C43" s="241" t="str">
        <f>IF(D43="","",VLOOKUP(B43,Spieler!A:D,3,0))</f>
        <v/>
      </c>
      <c r="D43" s="242" t="str">
        <f>IFERROR(VLOOKUP(B43,Spieler!AE:AF,2),"")</f>
        <v/>
      </c>
      <c r="E43" s="239"/>
      <c r="F43" s="241">
        <v>80.0</v>
      </c>
      <c r="G43" s="241" t="str">
        <f>VLOOKUP(F43,Spieler!AG:AI,3,0)</f>
        <v/>
      </c>
      <c r="H43" s="241" t="str">
        <f>IF(I43="","",VLOOKUP(G43,Spieler!A:D,3,0))</f>
        <v/>
      </c>
      <c r="I43" s="242" t="str">
        <f>IFERROR(VLOOKUP(G43,Spieler!AE:AF,2),"")</f>
        <v/>
      </c>
      <c r="J43" s="232"/>
      <c r="K43" s="232"/>
      <c r="L43" s="232"/>
      <c r="M43" s="232"/>
      <c r="N43" s="232"/>
      <c r="O43" s="232"/>
      <c r="P43" s="232"/>
      <c r="Q43" s="232"/>
      <c r="R43" s="232"/>
      <c r="S43" s="232"/>
      <c r="T43" s="232"/>
      <c r="U43" s="232"/>
      <c r="V43" s="232"/>
      <c r="W43" s="232"/>
      <c r="X43" s="232"/>
      <c r="Y43" s="232"/>
      <c r="Z43" s="232"/>
    </row>
    <row r="44" ht="26.25" hidden="1" customHeight="1">
      <c r="A44" s="241">
        <v>60.0</v>
      </c>
      <c r="B44" s="241" t="str">
        <f>VLOOKUP(A44,Spieler!AG:AI,3,0)</f>
        <v/>
      </c>
      <c r="C44" s="241" t="str">
        <f>IF(D44="","",VLOOKUP(B44,Spieler!A:D,3,0))</f>
        <v/>
      </c>
      <c r="D44" s="242" t="str">
        <f>IFERROR(VLOOKUP(B44,Spieler!AE:AF,2),"")</f>
        <v/>
      </c>
      <c r="E44" s="239"/>
      <c r="F44" s="241">
        <v>81.0</v>
      </c>
      <c r="G44" s="241" t="str">
        <f>VLOOKUP(F44,Spieler!AG:AI,3,0)</f>
        <v/>
      </c>
      <c r="H44" s="241" t="str">
        <f>IF(I44="","",VLOOKUP(G44,Spieler!A:D,3,0))</f>
        <v/>
      </c>
      <c r="I44" s="242" t="str">
        <f>IFERROR(VLOOKUP(G44,Spieler!AE:AF,2),"")</f>
        <v/>
      </c>
      <c r="J44" s="232"/>
      <c r="K44" s="232"/>
      <c r="L44" s="232"/>
      <c r="M44" s="232"/>
      <c r="N44" s="232"/>
      <c r="O44" s="232"/>
      <c r="P44" s="232"/>
      <c r="Q44" s="232"/>
      <c r="R44" s="232"/>
      <c r="S44" s="232"/>
      <c r="T44" s="232"/>
      <c r="U44" s="232"/>
      <c r="V44" s="232"/>
      <c r="W44" s="232"/>
      <c r="X44" s="232"/>
      <c r="Y44" s="232"/>
      <c r="Z44" s="232"/>
    </row>
    <row r="45" ht="26.25" hidden="1" customHeight="1">
      <c r="A45" s="241">
        <v>61.0</v>
      </c>
      <c r="B45" s="241" t="str">
        <f>VLOOKUP(A45,Spieler!AG:AI,3,0)</f>
        <v/>
      </c>
      <c r="C45" s="241" t="str">
        <f>IF(D45="","",VLOOKUP(B45,Spieler!A:D,3,0))</f>
        <v/>
      </c>
      <c r="D45" s="242" t="str">
        <f>IFERROR(VLOOKUP(B45,Spieler!AE:AF,2),"")</f>
        <v/>
      </c>
      <c r="E45" s="239"/>
      <c r="F45" s="241">
        <v>82.0</v>
      </c>
      <c r="G45" s="241" t="str">
        <f>VLOOKUP(F45,Spieler!AG:AI,3,0)</f>
        <v/>
      </c>
      <c r="H45" s="241" t="str">
        <f>IF(I45="","",VLOOKUP(G45,Spieler!A:D,3,0))</f>
        <v/>
      </c>
      <c r="I45" s="242" t="str">
        <f>IFERROR(VLOOKUP(G45,Spieler!AE:AF,2),"")</f>
        <v/>
      </c>
      <c r="J45" s="232"/>
      <c r="K45" s="232"/>
      <c r="L45" s="232"/>
      <c r="M45" s="232"/>
      <c r="N45" s="232"/>
      <c r="O45" s="232"/>
      <c r="P45" s="232"/>
      <c r="Q45" s="232"/>
      <c r="R45" s="232"/>
      <c r="S45" s="232"/>
      <c r="T45" s="232"/>
      <c r="U45" s="232"/>
      <c r="V45" s="232"/>
      <c r="W45" s="232"/>
      <c r="X45" s="232"/>
      <c r="Y45" s="232"/>
      <c r="Z45" s="232"/>
    </row>
    <row r="46" ht="26.25" hidden="1" customHeight="1">
      <c r="A46" s="241">
        <v>62.0</v>
      </c>
      <c r="B46" s="241" t="str">
        <f>VLOOKUP(A46,Spieler!AG:AI,3,0)</f>
        <v/>
      </c>
      <c r="C46" s="241" t="str">
        <f>IF(D46="","",VLOOKUP(B46,Spieler!A:D,3,0))</f>
        <v/>
      </c>
      <c r="D46" s="242" t="str">
        <f>IFERROR(VLOOKUP(B46,Spieler!AE:AF,2),"")</f>
        <v/>
      </c>
      <c r="E46" s="239"/>
      <c r="F46" s="241">
        <v>83.0</v>
      </c>
      <c r="G46" s="241" t="str">
        <f>VLOOKUP(F46,Spieler!AG:AI,3,0)</f>
        <v/>
      </c>
      <c r="H46" s="241" t="str">
        <f>IF(I46="","",VLOOKUP(G46,Spieler!A:D,3,0))</f>
        <v/>
      </c>
      <c r="I46" s="242" t="str">
        <f>IFERROR(VLOOKUP(G46,Spieler!AE:AF,2),"")</f>
        <v/>
      </c>
      <c r="J46" s="232"/>
      <c r="K46" s="232"/>
      <c r="L46" s="232"/>
      <c r="M46" s="232"/>
      <c r="N46" s="232"/>
      <c r="O46" s="232"/>
      <c r="P46" s="232"/>
      <c r="Q46" s="232"/>
      <c r="R46" s="232"/>
      <c r="S46" s="232"/>
      <c r="T46" s="232"/>
      <c r="U46" s="232"/>
      <c r="V46" s="232"/>
      <c r="W46" s="232"/>
      <c r="X46" s="232"/>
      <c r="Y46" s="232"/>
      <c r="Z46" s="232"/>
    </row>
    <row r="47" ht="26.25" hidden="1" customHeight="1">
      <c r="A47" s="241">
        <v>63.0</v>
      </c>
      <c r="B47" s="241" t="str">
        <f>VLOOKUP(A47,Spieler!AG:AI,3,0)</f>
        <v/>
      </c>
      <c r="C47" s="241" t="str">
        <f>IF(D47="","",VLOOKUP(B47,Spieler!A:D,3,0))</f>
        <v/>
      </c>
      <c r="D47" s="242" t="str">
        <f>IFERROR(VLOOKUP(B47,Spieler!AE:AF,2),"")</f>
        <v/>
      </c>
      <c r="E47" s="239"/>
      <c r="F47" s="241">
        <v>84.0</v>
      </c>
      <c r="G47" s="241" t="str">
        <f>VLOOKUP(F47,Spieler!AG:AI,3,0)</f>
        <v/>
      </c>
      <c r="H47" s="241" t="str">
        <f>IF(I47="","",VLOOKUP(G47,Spieler!A:D,3,0))</f>
        <v/>
      </c>
      <c r="I47" s="242" t="str">
        <f>IFERROR(VLOOKUP(G47,Spieler!AE:AF,2),"")</f>
        <v/>
      </c>
      <c r="J47" s="232"/>
      <c r="K47" s="232"/>
      <c r="L47" s="232"/>
      <c r="M47" s="232"/>
      <c r="N47" s="232"/>
      <c r="O47" s="232"/>
      <c r="P47" s="232"/>
      <c r="Q47" s="232"/>
      <c r="R47" s="232"/>
      <c r="S47" s="232"/>
      <c r="T47" s="232"/>
      <c r="U47" s="232"/>
      <c r="V47" s="232"/>
      <c r="W47" s="232"/>
      <c r="X47" s="232"/>
      <c r="Y47" s="232"/>
      <c r="Z47" s="232"/>
    </row>
    <row r="48" ht="26.25" hidden="1" customHeight="1">
      <c r="A48" s="232"/>
      <c r="B48" s="232"/>
      <c r="C48" s="232"/>
      <c r="D48" s="232"/>
      <c r="E48" s="232"/>
      <c r="F48" s="232"/>
      <c r="G48" s="232"/>
      <c r="H48" s="232"/>
      <c r="I48" s="232"/>
      <c r="J48" s="232"/>
      <c r="K48" s="232"/>
      <c r="L48" s="232"/>
      <c r="M48" s="232"/>
      <c r="N48" s="232"/>
      <c r="O48" s="232"/>
      <c r="P48" s="232"/>
      <c r="Q48" s="232"/>
      <c r="R48" s="232"/>
      <c r="S48" s="232"/>
      <c r="T48" s="232"/>
      <c r="U48" s="232"/>
      <c r="V48" s="232"/>
      <c r="W48" s="232"/>
      <c r="X48" s="232"/>
      <c r="Y48" s="232"/>
      <c r="Z48" s="232"/>
    </row>
    <row r="49" ht="26.25" hidden="1" customHeight="1">
      <c r="A49" s="232"/>
      <c r="B49" s="232"/>
      <c r="C49" s="232"/>
      <c r="D49" s="232"/>
      <c r="E49" s="232"/>
      <c r="F49" s="232"/>
      <c r="G49" s="232"/>
      <c r="H49" s="232"/>
      <c r="I49" s="232"/>
      <c r="J49" s="232"/>
      <c r="K49" s="232"/>
      <c r="L49" s="232"/>
      <c r="M49" s="232"/>
      <c r="N49" s="232"/>
      <c r="O49" s="232"/>
      <c r="P49" s="232"/>
      <c r="Q49" s="232"/>
      <c r="R49" s="232"/>
      <c r="S49" s="232"/>
      <c r="T49" s="232"/>
      <c r="U49" s="232"/>
      <c r="V49" s="232"/>
      <c r="W49" s="232"/>
      <c r="X49" s="232"/>
      <c r="Y49" s="232"/>
      <c r="Z49" s="232"/>
    </row>
    <row r="50" ht="26.25" hidden="1" customHeight="1">
      <c r="A50" s="232"/>
      <c r="B50" s="232"/>
      <c r="C50" s="232"/>
      <c r="D50" s="232"/>
      <c r="E50" s="232"/>
      <c r="F50" s="232"/>
      <c r="G50" s="232"/>
      <c r="H50" s="232"/>
      <c r="I50" s="232"/>
      <c r="J50" s="232"/>
      <c r="K50" s="232"/>
      <c r="L50" s="232"/>
      <c r="M50" s="232"/>
      <c r="N50" s="232"/>
      <c r="O50" s="232"/>
      <c r="P50" s="232"/>
      <c r="Q50" s="232"/>
      <c r="R50" s="232"/>
      <c r="S50" s="232"/>
      <c r="T50" s="232"/>
      <c r="U50" s="232"/>
      <c r="V50" s="232"/>
      <c r="W50" s="232"/>
      <c r="X50" s="232"/>
      <c r="Y50" s="232"/>
      <c r="Z50" s="232"/>
    </row>
    <row r="51" ht="26.25" hidden="1" customHeight="1">
      <c r="A51" s="231" t="s">
        <v>2478</v>
      </c>
      <c r="B51" s="231" t="s">
        <v>2608</v>
      </c>
      <c r="C51" s="231" t="s">
        <v>2464</v>
      </c>
      <c r="D51" s="231" t="s">
        <v>2609</v>
      </c>
      <c r="E51" s="230"/>
      <c r="F51" s="231" t="s">
        <v>2478</v>
      </c>
      <c r="G51" s="231" t="s">
        <v>2477</v>
      </c>
      <c r="H51" s="231" t="s">
        <v>2464</v>
      </c>
      <c r="I51" s="231" t="s">
        <v>2609</v>
      </c>
      <c r="J51" s="232"/>
      <c r="K51" s="232"/>
      <c r="L51" s="232"/>
      <c r="M51" s="232"/>
      <c r="N51" s="232"/>
      <c r="O51" s="232"/>
      <c r="P51" s="232"/>
      <c r="Q51" s="232"/>
      <c r="R51" s="232"/>
      <c r="S51" s="232"/>
      <c r="T51" s="232"/>
      <c r="U51" s="232"/>
      <c r="V51" s="232"/>
      <c r="W51" s="232"/>
      <c r="X51" s="232"/>
      <c r="Y51" s="232"/>
      <c r="Z51" s="232"/>
    </row>
    <row r="52" ht="26.25" hidden="1" customHeight="1">
      <c r="A52" s="241">
        <v>85.0</v>
      </c>
      <c r="B52" s="241" t="str">
        <f>VLOOKUP(A52,Spieler!AG:AI,3,0)</f>
        <v/>
      </c>
      <c r="C52" s="241" t="str">
        <f>IF(D52="","",VLOOKUP(B52,Spieler!A:D,3,0))</f>
        <v/>
      </c>
      <c r="D52" s="242" t="str">
        <f>IFERROR(VLOOKUP(B52,Spieler!AE:AF,2),"")</f>
        <v/>
      </c>
      <c r="E52" s="236"/>
      <c r="F52" s="241">
        <v>106.0</v>
      </c>
      <c r="G52" s="241" t="str">
        <f>VLOOKUP(F52,Spieler!AG:AI,3,0)</f>
        <v/>
      </c>
      <c r="H52" s="241" t="str">
        <f>IF(I52="","",VLOOKUP(G52,Spieler!A:D,3,0))</f>
        <v/>
      </c>
      <c r="I52" s="242" t="str">
        <f>IFERROR(VLOOKUP(G52,Spieler!AE:AF,2),"")</f>
        <v/>
      </c>
      <c r="J52" s="232"/>
      <c r="K52" s="232"/>
      <c r="L52" s="232"/>
      <c r="M52" s="232"/>
      <c r="N52" s="232"/>
      <c r="O52" s="232"/>
      <c r="P52" s="232"/>
      <c r="Q52" s="232"/>
      <c r="R52" s="232"/>
      <c r="S52" s="232"/>
      <c r="T52" s="232"/>
      <c r="U52" s="232"/>
      <c r="V52" s="232"/>
      <c r="W52" s="232"/>
      <c r="X52" s="232"/>
      <c r="Y52" s="232"/>
      <c r="Z52" s="232"/>
    </row>
    <row r="53" ht="26.25" hidden="1" customHeight="1">
      <c r="A53" s="241">
        <v>86.0</v>
      </c>
      <c r="B53" s="241" t="str">
        <f>VLOOKUP(A53,Spieler!AG:AI,3,0)</f>
        <v/>
      </c>
      <c r="C53" s="241" t="str">
        <f>IF(D53="","",VLOOKUP(B53,Spieler!A:D,3,0))</f>
        <v/>
      </c>
      <c r="D53" s="242" t="str">
        <f>IFERROR(VLOOKUP(B53,Spieler!AE:AF,2),"")</f>
        <v/>
      </c>
      <c r="E53" s="237"/>
      <c r="F53" s="241">
        <v>107.0</v>
      </c>
      <c r="G53" s="241" t="str">
        <f>VLOOKUP(F53,Spieler!AG:AI,3,0)</f>
        <v/>
      </c>
      <c r="H53" s="241" t="str">
        <f>IF(I53="","",VLOOKUP(G53,Spieler!A:D,3,0))</f>
        <v/>
      </c>
      <c r="I53" s="242" t="str">
        <f>IFERROR(VLOOKUP(G53,Spieler!AE:AF,2),"")</f>
        <v/>
      </c>
      <c r="J53" s="232"/>
      <c r="K53" s="232"/>
      <c r="L53" s="232"/>
      <c r="M53" s="232"/>
      <c r="N53" s="232"/>
      <c r="O53" s="232"/>
      <c r="P53" s="232"/>
      <c r="Q53" s="232"/>
      <c r="R53" s="232"/>
      <c r="S53" s="232"/>
      <c r="T53" s="232"/>
      <c r="U53" s="232"/>
      <c r="V53" s="232"/>
      <c r="W53" s="232"/>
      <c r="X53" s="232"/>
      <c r="Y53" s="232"/>
      <c r="Z53" s="232"/>
    </row>
    <row r="54" ht="26.25" hidden="1" customHeight="1">
      <c r="A54" s="241">
        <v>87.0</v>
      </c>
      <c r="B54" s="241" t="str">
        <f>VLOOKUP(A54,Spieler!AG:AI,3,0)</f>
        <v/>
      </c>
      <c r="C54" s="241" t="str">
        <f>IF(D54="","",VLOOKUP(B54,Spieler!A:D,3,0))</f>
        <v/>
      </c>
      <c r="D54" s="242" t="str">
        <f>IFERROR(VLOOKUP(B54,Spieler!AE:AF,2),"")</f>
        <v/>
      </c>
      <c r="E54" s="237"/>
      <c r="F54" s="241">
        <v>108.0</v>
      </c>
      <c r="G54" s="241" t="str">
        <f>VLOOKUP(F54,Spieler!AG:AI,3,0)</f>
        <v/>
      </c>
      <c r="H54" s="241" t="str">
        <f>IF(I54="","",VLOOKUP(G54,Spieler!A:D,3,0))</f>
        <v/>
      </c>
      <c r="I54" s="242" t="str">
        <f>IFERROR(VLOOKUP(G54,Spieler!AE:AF,2),"")</f>
        <v/>
      </c>
      <c r="J54" s="232"/>
      <c r="K54" s="232"/>
      <c r="L54" s="232"/>
      <c r="M54" s="232"/>
      <c r="N54" s="232"/>
      <c r="O54" s="232"/>
      <c r="P54" s="232"/>
      <c r="Q54" s="232"/>
      <c r="R54" s="232"/>
      <c r="S54" s="232"/>
      <c r="T54" s="232"/>
      <c r="U54" s="232"/>
      <c r="V54" s="232"/>
      <c r="W54" s="232"/>
      <c r="X54" s="232"/>
      <c r="Y54" s="232"/>
      <c r="Z54" s="232"/>
    </row>
    <row r="55" ht="26.25" hidden="1" customHeight="1">
      <c r="A55" s="241">
        <v>88.0</v>
      </c>
      <c r="B55" s="241" t="str">
        <f>VLOOKUP(A55,Spieler!AG:AI,3,0)</f>
        <v/>
      </c>
      <c r="C55" s="241" t="str">
        <f>IF(D55="","",VLOOKUP(B55,Spieler!A:D,3,0))</f>
        <v/>
      </c>
      <c r="D55" s="242" t="str">
        <f>IFERROR(VLOOKUP(B55,Spieler!AE:AF,2),"")</f>
        <v/>
      </c>
      <c r="E55" s="238" t="str">
        <f>CONCATENATE(Optionen!B3,"
 ", Optionen!B4)</f>
        <v>Bayerische Meisterschaft
 Frauen Einzel </v>
      </c>
      <c r="F55" s="241">
        <v>109.0</v>
      </c>
      <c r="G55" s="241" t="str">
        <f>VLOOKUP(F55,Spieler!AG:AI,3,0)</f>
        <v/>
      </c>
      <c r="H55" s="241" t="str">
        <f>IF(I55="","",VLOOKUP(G55,Spieler!A:D,3,0))</f>
        <v/>
      </c>
      <c r="I55" s="242" t="str">
        <f>IFERROR(VLOOKUP(G55,Spieler!AE:AF,2),"")</f>
        <v/>
      </c>
      <c r="J55" s="232"/>
      <c r="K55" s="232"/>
      <c r="L55" s="232"/>
      <c r="M55" s="232"/>
      <c r="N55" s="232"/>
      <c r="O55" s="232"/>
      <c r="P55" s="232"/>
      <c r="Q55" s="232"/>
      <c r="R55" s="232"/>
      <c r="S55" s="232"/>
      <c r="T55" s="232"/>
      <c r="U55" s="232"/>
      <c r="V55" s="232"/>
      <c r="W55" s="232"/>
      <c r="X55" s="232"/>
      <c r="Y55" s="232"/>
      <c r="Z55" s="232"/>
    </row>
    <row r="56" ht="26.25" hidden="1" customHeight="1">
      <c r="A56" s="241">
        <v>89.0</v>
      </c>
      <c r="B56" s="241" t="str">
        <f>VLOOKUP(A56,Spieler!AG:AI,3,0)</f>
        <v/>
      </c>
      <c r="C56" s="241" t="str">
        <f>IF(D56="","",VLOOKUP(B56,Spieler!A:D,3,0))</f>
        <v/>
      </c>
      <c r="D56" s="242" t="str">
        <f>IFERROR(VLOOKUP(B56,Spieler!AE:AF,2),"")</f>
        <v/>
      </c>
      <c r="E56" s="239"/>
      <c r="F56" s="241">
        <v>110.0</v>
      </c>
      <c r="G56" s="241" t="str">
        <f>VLOOKUP(F56,Spieler!AG:AI,3,0)</f>
        <v/>
      </c>
      <c r="H56" s="241" t="str">
        <f>IF(I56="","",VLOOKUP(G56,Spieler!A:D,3,0))</f>
        <v/>
      </c>
      <c r="I56" s="242" t="str">
        <f>IFERROR(VLOOKUP(G56,Spieler!AE:AF,2),"")</f>
        <v/>
      </c>
      <c r="J56" s="232"/>
      <c r="K56" s="232"/>
      <c r="L56" s="232"/>
      <c r="M56" s="232"/>
      <c r="N56" s="232"/>
      <c r="O56" s="232"/>
      <c r="P56" s="232"/>
      <c r="Q56" s="232"/>
      <c r="R56" s="232"/>
      <c r="S56" s="232"/>
      <c r="T56" s="232"/>
      <c r="U56" s="232"/>
      <c r="V56" s="232"/>
      <c r="W56" s="232"/>
      <c r="X56" s="232"/>
      <c r="Y56" s="232"/>
      <c r="Z56" s="232"/>
    </row>
    <row r="57" ht="26.25" hidden="1" customHeight="1">
      <c r="A57" s="241">
        <v>90.0</v>
      </c>
      <c r="B57" s="241" t="str">
        <f>VLOOKUP(A57,Spieler!AG:AI,3,0)</f>
        <v/>
      </c>
      <c r="C57" s="241" t="str">
        <f>IF(D57="","",VLOOKUP(B57,Spieler!A:D,3,0))</f>
        <v/>
      </c>
      <c r="D57" s="242" t="str">
        <f>IFERROR(VLOOKUP(B57,Spieler!AE:AF,2),"")</f>
        <v/>
      </c>
      <c r="E57" s="239"/>
      <c r="F57" s="241">
        <v>111.0</v>
      </c>
      <c r="G57" s="241" t="str">
        <f>VLOOKUP(F57,Spieler!AG:AI,3,0)</f>
        <v/>
      </c>
      <c r="H57" s="241" t="str">
        <f>IF(I57="","",VLOOKUP(G57,Spieler!A:D,3,0))</f>
        <v/>
      </c>
      <c r="I57" s="242" t="str">
        <f>IFERROR(VLOOKUP(G57,Spieler!AE:AF,2),"")</f>
        <v/>
      </c>
      <c r="J57" s="232"/>
      <c r="K57" s="232"/>
      <c r="L57" s="232"/>
      <c r="M57" s="232"/>
      <c r="N57" s="232"/>
      <c r="O57" s="232"/>
      <c r="P57" s="232"/>
      <c r="Q57" s="232"/>
      <c r="R57" s="232"/>
      <c r="S57" s="232"/>
      <c r="T57" s="232"/>
      <c r="U57" s="232"/>
      <c r="V57" s="232"/>
      <c r="W57" s="232"/>
      <c r="X57" s="232"/>
      <c r="Y57" s="232"/>
      <c r="Z57" s="232"/>
    </row>
    <row r="58" ht="26.25" hidden="1" customHeight="1">
      <c r="A58" s="241">
        <v>91.0</v>
      </c>
      <c r="B58" s="241" t="str">
        <f>VLOOKUP(A58,Spieler!AG:AI,3,0)</f>
        <v/>
      </c>
      <c r="C58" s="241" t="str">
        <f>IF(D58="","",VLOOKUP(B58,Spieler!A:D,3,0))</f>
        <v/>
      </c>
      <c r="D58" s="242" t="str">
        <f>IFERROR(VLOOKUP(B58,Spieler!AE:AF,2),"")</f>
        <v/>
      </c>
      <c r="E58" s="239"/>
      <c r="F58" s="241">
        <v>112.0</v>
      </c>
      <c r="G58" s="241" t="str">
        <f>VLOOKUP(F58,Spieler!AG:AI,3,0)</f>
        <v/>
      </c>
      <c r="H58" s="241" t="str">
        <f>IF(I58="","",VLOOKUP(G58,Spieler!A:D,3,0))</f>
        <v/>
      </c>
      <c r="I58" s="242" t="str">
        <f>IFERROR(VLOOKUP(G58,Spieler!AE:AF,2),"")</f>
        <v/>
      </c>
      <c r="J58" s="232"/>
      <c r="K58" s="232"/>
      <c r="L58" s="232"/>
      <c r="M58" s="232"/>
      <c r="N58" s="232"/>
      <c r="O58" s="232"/>
      <c r="P58" s="232"/>
      <c r="Q58" s="232"/>
      <c r="R58" s="232"/>
      <c r="S58" s="232"/>
      <c r="T58" s="232"/>
      <c r="U58" s="232"/>
      <c r="V58" s="232"/>
      <c r="W58" s="232"/>
      <c r="X58" s="232"/>
      <c r="Y58" s="232"/>
      <c r="Z58" s="232"/>
    </row>
    <row r="59" ht="26.25" hidden="1" customHeight="1">
      <c r="A59" s="241">
        <v>92.0</v>
      </c>
      <c r="B59" s="241" t="str">
        <f>VLOOKUP(A59,Spieler!AG:AI,3,0)</f>
        <v/>
      </c>
      <c r="C59" s="241" t="str">
        <f>IF(D59="","",VLOOKUP(B59,Spieler!A:D,3,0))</f>
        <v/>
      </c>
      <c r="D59" s="242" t="str">
        <f>IFERROR(VLOOKUP(B59,Spieler!AE:AF,2),"")</f>
        <v/>
      </c>
      <c r="E59" s="239"/>
      <c r="F59" s="241">
        <v>113.0</v>
      </c>
      <c r="G59" s="241" t="str">
        <f>VLOOKUP(F59,Spieler!AG:AI,3,0)</f>
        <v/>
      </c>
      <c r="H59" s="241" t="str">
        <f>IF(I59="","",VLOOKUP(G59,Spieler!A:D,3,0))</f>
        <v/>
      </c>
      <c r="I59" s="242" t="str">
        <f>IFERROR(VLOOKUP(G59,Spieler!AE:AF,2),"")</f>
        <v/>
      </c>
      <c r="J59" s="232"/>
      <c r="K59" s="232"/>
      <c r="L59" s="232"/>
      <c r="M59" s="232"/>
      <c r="N59" s="232"/>
      <c r="O59" s="232"/>
      <c r="P59" s="232"/>
      <c r="Q59" s="232"/>
      <c r="R59" s="232"/>
      <c r="S59" s="232"/>
      <c r="T59" s="232"/>
      <c r="U59" s="232"/>
      <c r="V59" s="232"/>
      <c r="W59" s="232"/>
      <c r="X59" s="232"/>
      <c r="Y59" s="232"/>
      <c r="Z59" s="232"/>
    </row>
    <row r="60" ht="26.25" hidden="1" customHeight="1">
      <c r="A60" s="241">
        <v>93.0</v>
      </c>
      <c r="B60" s="241" t="str">
        <f>VLOOKUP(A60,Spieler!AG:AI,3,0)</f>
        <v/>
      </c>
      <c r="C60" s="241" t="str">
        <f>IF(D60="","",VLOOKUP(B60,Spieler!A:D,3,0))</f>
        <v/>
      </c>
      <c r="D60" s="242" t="str">
        <f>IFERROR(VLOOKUP(B60,Spieler!AE:AF,2),"")</f>
        <v/>
      </c>
      <c r="E60" s="239"/>
      <c r="F60" s="241">
        <v>114.0</v>
      </c>
      <c r="G60" s="241" t="str">
        <f>VLOOKUP(F60,Spieler!AG:AI,3,0)</f>
        <v/>
      </c>
      <c r="H60" s="241" t="str">
        <f>IF(I60="","",VLOOKUP(G60,Spieler!A:D,3,0))</f>
        <v/>
      </c>
      <c r="I60" s="242" t="str">
        <f>IFERROR(VLOOKUP(G60,Spieler!AE:AF,2),"")</f>
        <v/>
      </c>
      <c r="J60" s="232"/>
      <c r="K60" s="232"/>
      <c r="L60" s="232"/>
      <c r="M60" s="232"/>
      <c r="N60" s="232"/>
      <c r="O60" s="232"/>
      <c r="P60" s="232"/>
      <c r="Q60" s="232"/>
      <c r="R60" s="232"/>
      <c r="S60" s="232"/>
      <c r="T60" s="232"/>
      <c r="U60" s="232"/>
      <c r="V60" s="232"/>
      <c r="W60" s="232"/>
      <c r="X60" s="232"/>
      <c r="Y60" s="232"/>
      <c r="Z60" s="232"/>
    </row>
    <row r="61" ht="26.25" hidden="1" customHeight="1">
      <c r="A61" s="241">
        <v>94.0</v>
      </c>
      <c r="B61" s="241" t="str">
        <f>VLOOKUP(A61,Spieler!AG:AI,3,0)</f>
        <v/>
      </c>
      <c r="C61" s="241" t="str">
        <f>IF(D61="","",VLOOKUP(B61,Spieler!A:D,3,0))</f>
        <v/>
      </c>
      <c r="D61" s="242" t="str">
        <f>IFERROR(VLOOKUP(B61,Spieler!AE:AF,2),"")</f>
        <v/>
      </c>
      <c r="E61" s="239"/>
      <c r="F61" s="241">
        <v>115.0</v>
      </c>
      <c r="G61" s="241" t="str">
        <f>VLOOKUP(F61,Spieler!AG:AI,3,0)</f>
        <v/>
      </c>
      <c r="H61" s="241" t="str">
        <f>IF(I61="","",VLOOKUP(G61,Spieler!A:D,3,0))</f>
        <v/>
      </c>
      <c r="I61" s="242" t="str">
        <f>IFERROR(VLOOKUP(G61,Spieler!AE:AF,2),"")</f>
        <v/>
      </c>
      <c r="J61" s="232"/>
      <c r="K61" s="232"/>
      <c r="L61" s="232"/>
      <c r="M61" s="232"/>
      <c r="N61" s="232"/>
      <c r="O61" s="232"/>
      <c r="P61" s="232"/>
      <c r="Q61" s="232"/>
      <c r="R61" s="232"/>
      <c r="S61" s="232"/>
      <c r="T61" s="232"/>
      <c r="U61" s="232"/>
      <c r="V61" s="232"/>
      <c r="W61" s="232"/>
      <c r="X61" s="232"/>
      <c r="Y61" s="232"/>
      <c r="Z61" s="232"/>
    </row>
    <row r="62" ht="26.25" hidden="1" customHeight="1">
      <c r="A62" s="241">
        <v>95.0</v>
      </c>
      <c r="B62" s="241" t="str">
        <f>VLOOKUP(A62,Spieler!AG:AI,3,0)</f>
        <v/>
      </c>
      <c r="C62" s="241" t="str">
        <f>IF(D62="","",VLOOKUP(B62,Spieler!A:D,3,0))</f>
        <v/>
      </c>
      <c r="D62" s="242" t="str">
        <f>IFERROR(VLOOKUP(B62,Spieler!AE:AF,2),"")</f>
        <v/>
      </c>
      <c r="E62" s="239"/>
      <c r="F62" s="241">
        <v>116.0</v>
      </c>
      <c r="G62" s="241" t="str">
        <f>VLOOKUP(F62,Spieler!AG:AI,3,0)</f>
        <v/>
      </c>
      <c r="H62" s="241" t="str">
        <f>IF(I62="","",VLOOKUP(G62,Spieler!A:D,3,0))</f>
        <v/>
      </c>
      <c r="I62" s="242" t="str">
        <f>IFERROR(VLOOKUP(G62,Spieler!AE:AF,2),"")</f>
        <v/>
      </c>
      <c r="J62" s="232"/>
      <c r="K62" s="232"/>
      <c r="L62" s="232"/>
      <c r="M62" s="232"/>
      <c r="N62" s="232"/>
      <c r="O62" s="232"/>
      <c r="P62" s="232"/>
      <c r="Q62" s="232"/>
      <c r="R62" s="232"/>
      <c r="S62" s="232"/>
      <c r="T62" s="232"/>
      <c r="U62" s="232"/>
      <c r="V62" s="232"/>
      <c r="W62" s="232"/>
      <c r="X62" s="232"/>
      <c r="Y62" s="232"/>
      <c r="Z62" s="232"/>
    </row>
    <row r="63" ht="26.25" hidden="1" customHeight="1">
      <c r="A63" s="241">
        <v>96.0</v>
      </c>
      <c r="B63" s="241" t="str">
        <f>VLOOKUP(A63,Spieler!AG:AI,3,0)</f>
        <v/>
      </c>
      <c r="C63" s="241" t="str">
        <f>IF(D63="","",VLOOKUP(B63,Spieler!A:D,3,0))</f>
        <v/>
      </c>
      <c r="D63" s="242" t="str">
        <f>IFERROR(VLOOKUP(B63,Spieler!AE:AF,2),"")</f>
        <v/>
      </c>
      <c r="E63" s="239"/>
      <c r="F63" s="241">
        <v>117.0</v>
      </c>
      <c r="G63" s="241" t="str">
        <f>VLOOKUP(F63,Spieler!AG:AI,3,0)</f>
        <v/>
      </c>
      <c r="H63" s="241" t="str">
        <f>IF(I63="","",VLOOKUP(G63,Spieler!A:D,3,0))</f>
        <v/>
      </c>
      <c r="I63" s="242" t="str">
        <f>IFERROR(VLOOKUP(G63,Spieler!AE:AF,2),"")</f>
        <v/>
      </c>
      <c r="J63" s="232"/>
      <c r="K63" s="232"/>
      <c r="L63" s="232"/>
      <c r="M63" s="232"/>
      <c r="N63" s="232"/>
      <c r="O63" s="232"/>
      <c r="P63" s="232"/>
      <c r="Q63" s="232"/>
      <c r="R63" s="232"/>
      <c r="S63" s="232"/>
      <c r="T63" s="232"/>
      <c r="U63" s="232"/>
      <c r="V63" s="232"/>
      <c r="W63" s="232"/>
      <c r="X63" s="232"/>
      <c r="Y63" s="232"/>
      <c r="Z63" s="232"/>
    </row>
    <row r="64" ht="26.25" hidden="1" customHeight="1">
      <c r="A64" s="241">
        <v>97.0</v>
      </c>
      <c r="B64" s="241" t="str">
        <f>VLOOKUP(A64,Spieler!AG:AI,3,0)</f>
        <v/>
      </c>
      <c r="C64" s="241" t="str">
        <f>IF(D64="","",VLOOKUP(B64,Spieler!A:D,3,0))</f>
        <v/>
      </c>
      <c r="D64" s="242" t="str">
        <f>IFERROR(VLOOKUP(B64,Spieler!AE:AF,2),"")</f>
        <v/>
      </c>
      <c r="E64" s="239"/>
      <c r="F64" s="241">
        <v>118.0</v>
      </c>
      <c r="G64" s="241" t="str">
        <f>VLOOKUP(F64,Spieler!AG:AI,3,0)</f>
        <v/>
      </c>
      <c r="H64" s="241" t="str">
        <f>IF(I64="","",VLOOKUP(G64,Spieler!A:D,3,0))</f>
        <v/>
      </c>
      <c r="I64" s="242" t="str">
        <f>IFERROR(VLOOKUP(G64,Spieler!AE:AF,2),"")</f>
        <v/>
      </c>
      <c r="J64" s="232"/>
      <c r="K64" s="232"/>
      <c r="L64" s="232"/>
      <c r="M64" s="232"/>
      <c r="N64" s="232"/>
      <c r="O64" s="232"/>
      <c r="P64" s="232"/>
      <c r="Q64" s="232"/>
      <c r="R64" s="232"/>
      <c r="S64" s="232"/>
      <c r="T64" s="232"/>
      <c r="U64" s="232"/>
      <c r="V64" s="232"/>
      <c r="W64" s="232"/>
      <c r="X64" s="232"/>
      <c r="Y64" s="232"/>
      <c r="Z64" s="232"/>
    </row>
    <row r="65" ht="26.25" hidden="1" customHeight="1">
      <c r="A65" s="241">
        <v>98.0</v>
      </c>
      <c r="B65" s="241" t="str">
        <f>VLOOKUP(A65,Spieler!AG:AI,3,0)</f>
        <v/>
      </c>
      <c r="C65" s="241" t="str">
        <f>IF(D65="","",VLOOKUP(B65,Spieler!A:D,3,0))</f>
        <v/>
      </c>
      <c r="D65" s="242" t="str">
        <f>IFERROR(VLOOKUP(B65,Spieler!AE:AF,2),"")</f>
        <v/>
      </c>
      <c r="E65" s="239"/>
      <c r="F65" s="241">
        <v>119.0</v>
      </c>
      <c r="G65" s="241" t="str">
        <f>VLOOKUP(F65,Spieler!AG:AI,3,0)</f>
        <v/>
      </c>
      <c r="H65" s="241" t="str">
        <f>IF(I65="","",VLOOKUP(G65,Spieler!A:D,3,0))</f>
        <v/>
      </c>
      <c r="I65" s="242" t="str">
        <f>IFERROR(VLOOKUP(G65,Spieler!AE:AF,2),"")</f>
        <v/>
      </c>
      <c r="J65" s="232"/>
      <c r="K65" s="232"/>
      <c r="L65" s="232"/>
      <c r="M65" s="232"/>
      <c r="N65" s="232"/>
      <c r="O65" s="232"/>
      <c r="P65" s="232"/>
      <c r="Q65" s="232"/>
      <c r="R65" s="232"/>
      <c r="S65" s="232"/>
      <c r="T65" s="232"/>
      <c r="U65" s="232"/>
      <c r="V65" s="232"/>
      <c r="W65" s="232"/>
      <c r="X65" s="232"/>
      <c r="Y65" s="232"/>
      <c r="Z65" s="232"/>
    </row>
    <row r="66" ht="26.25" hidden="1" customHeight="1">
      <c r="A66" s="241">
        <v>99.0</v>
      </c>
      <c r="B66" s="241" t="str">
        <f>VLOOKUP(A66,Spieler!AG:AI,3,0)</f>
        <v/>
      </c>
      <c r="C66" s="241" t="str">
        <f>IF(D66="","",VLOOKUP(B66,Spieler!A:D,3,0))</f>
        <v/>
      </c>
      <c r="D66" s="242" t="str">
        <f>IFERROR(VLOOKUP(B66,Spieler!AE:AF,2),"")</f>
        <v/>
      </c>
      <c r="E66" s="239"/>
      <c r="F66" s="241">
        <v>120.0</v>
      </c>
      <c r="G66" s="241" t="str">
        <f>VLOOKUP(F66,Spieler!AG:AI,3,0)</f>
        <v/>
      </c>
      <c r="H66" s="241" t="str">
        <f>IF(I66="","",VLOOKUP(G66,Spieler!A:D,3,0))</f>
        <v/>
      </c>
      <c r="I66" s="242" t="str">
        <f>IFERROR(VLOOKUP(G66,Spieler!AE:AF,2),"")</f>
        <v/>
      </c>
      <c r="J66" s="232"/>
      <c r="K66" s="232"/>
      <c r="L66" s="232"/>
      <c r="M66" s="232"/>
      <c r="N66" s="232"/>
      <c r="O66" s="232"/>
      <c r="P66" s="232"/>
      <c r="Q66" s="232"/>
      <c r="R66" s="232"/>
      <c r="S66" s="232"/>
      <c r="T66" s="232"/>
      <c r="U66" s="232"/>
      <c r="V66" s="232"/>
      <c r="W66" s="232"/>
      <c r="X66" s="232"/>
      <c r="Y66" s="232"/>
      <c r="Z66" s="232"/>
    </row>
    <row r="67" ht="26.25" hidden="1" customHeight="1">
      <c r="A67" s="241">
        <v>100.0</v>
      </c>
      <c r="B67" s="241" t="str">
        <f>VLOOKUP(A67,Spieler!AG:AI,3,0)</f>
        <v/>
      </c>
      <c r="C67" s="241" t="str">
        <f>IF(D67="","",VLOOKUP(B67,Spieler!A:D,3,0))</f>
        <v/>
      </c>
      <c r="D67" s="242" t="str">
        <f>IFERROR(VLOOKUP(B67,Spieler!AE:AF,2),"")</f>
        <v/>
      </c>
      <c r="E67" s="239"/>
      <c r="F67" s="241">
        <v>121.0</v>
      </c>
      <c r="G67" s="241" t="str">
        <f>VLOOKUP(F67,Spieler!AG:AI,3,0)</f>
        <v/>
      </c>
      <c r="H67" s="241" t="str">
        <f>IF(I67="","",VLOOKUP(G67,Spieler!A:D,3,0))</f>
        <v/>
      </c>
      <c r="I67" s="242" t="str">
        <f>IFERROR(VLOOKUP(G67,Spieler!AE:AF,2),"")</f>
        <v/>
      </c>
      <c r="J67" s="232"/>
      <c r="K67" s="232"/>
      <c r="L67" s="232"/>
      <c r="M67" s="232"/>
      <c r="N67" s="232"/>
      <c r="O67" s="232"/>
      <c r="P67" s="232"/>
      <c r="Q67" s="232"/>
      <c r="R67" s="232"/>
      <c r="S67" s="232"/>
      <c r="T67" s="232"/>
      <c r="U67" s="232"/>
      <c r="V67" s="232"/>
      <c r="W67" s="232"/>
      <c r="X67" s="232"/>
      <c r="Y67" s="232"/>
      <c r="Z67" s="232"/>
    </row>
    <row r="68" ht="26.25" hidden="1" customHeight="1">
      <c r="A68" s="241">
        <v>101.0</v>
      </c>
      <c r="B68" s="241" t="str">
        <f>VLOOKUP(A68,Spieler!AG:AI,3,0)</f>
        <v/>
      </c>
      <c r="C68" s="241" t="str">
        <f>IF(D68="","",VLOOKUP(B68,Spieler!A:D,3,0))</f>
        <v/>
      </c>
      <c r="D68" s="242" t="str">
        <f>IFERROR(VLOOKUP(B68,Spieler!AE:AF,2),"")</f>
        <v/>
      </c>
      <c r="E68" s="239"/>
      <c r="F68" s="241">
        <v>122.0</v>
      </c>
      <c r="G68" s="241" t="str">
        <f>VLOOKUP(F68,Spieler!AG:AI,3,0)</f>
        <v/>
      </c>
      <c r="H68" s="241" t="str">
        <f>IF(I68="","",VLOOKUP(G68,Spieler!A:D,3,0))</f>
        <v/>
      </c>
      <c r="I68" s="242" t="str">
        <f>IFERROR(VLOOKUP(G68,Spieler!AE:AF,2),"")</f>
        <v/>
      </c>
      <c r="J68" s="232"/>
      <c r="K68" s="232"/>
      <c r="L68" s="232"/>
      <c r="M68" s="232"/>
      <c r="N68" s="232"/>
      <c r="O68" s="232"/>
      <c r="P68" s="232"/>
      <c r="Q68" s="232"/>
      <c r="R68" s="232"/>
      <c r="S68" s="232"/>
      <c r="T68" s="232"/>
      <c r="U68" s="232"/>
      <c r="V68" s="232"/>
      <c r="W68" s="232"/>
      <c r="X68" s="232"/>
      <c r="Y68" s="232"/>
      <c r="Z68" s="232"/>
    </row>
    <row r="69" ht="26.25" hidden="1" customHeight="1">
      <c r="A69" s="241">
        <v>102.0</v>
      </c>
      <c r="B69" s="241" t="str">
        <f>VLOOKUP(A69,Spieler!AG:AI,3,0)</f>
        <v/>
      </c>
      <c r="C69" s="241" t="str">
        <f>IF(D69="","",VLOOKUP(B69,Spieler!A:D,3,0))</f>
        <v/>
      </c>
      <c r="D69" s="242" t="str">
        <f>IFERROR(VLOOKUP(B69,Spieler!AE:AF,2),"")</f>
        <v/>
      </c>
      <c r="E69" s="239"/>
      <c r="F69" s="241">
        <v>123.0</v>
      </c>
      <c r="G69" s="241" t="str">
        <f>VLOOKUP(F69,Spieler!AG:AI,3,0)</f>
        <v/>
      </c>
      <c r="H69" s="241" t="str">
        <f>IF(I69="","",VLOOKUP(G69,Spieler!A:D,3,0))</f>
        <v/>
      </c>
      <c r="I69" s="242" t="str">
        <f>IFERROR(VLOOKUP(G69,Spieler!AE:AF,2),"")</f>
        <v/>
      </c>
      <c r="J69" s="232"/>
      <c r="K69" s="232"/>
      <c r="L69" s="232"/>
      <c r="M69" s="232"/>
      <c r="N69" s="232"/>
      <c r="O69" s="232"/>
      <c r="P69" s="232"/>
      <c r="Q69" s="232"/>
      <c r="R69" s="232"/>
      <c r="S69" s="232"/>
      <c r="T69" s="232"/>
      <c r="U69" s="232"/>
      <c r="V69" s="232"/>
      <c r="W69" s="232"/>
      <c r="X69" s="232"/>
      <c r="Y69" s="232"/>
      <c r="Z69" s="232"/>
    </row>
    <row r="70" ht="26.25" hidden="1" customHeight="1">
      <c r="A70" s="241">
        <v>103.0</v>
      </c>
      <c r="B70" s="241" t="str">
        <f>VLOOKUP(A70,Spieler!AG:AI,3,0)</f>
        <v/>
      </c>
      <c r="C70" s="241" t="str">
        <f>IF(D70="","",VLOOKUP(B70,Spieler!A:D,3,0))</f>
        <v/>
      </c>
      <c r="D70" s="242" t="str">
        <f>IFERROR(VLOOKUP(B70,Spieler!AE:AF,2),"")</f>
        <v/>
      </c>
      <c r="E70" s="239"/>
      <c r="F70" s="241">
        <v>124.0</v>
      </c>
      <c r="G70" s="241" t="str">
        <f>VLOOKUP(F70,Spieler!AG:AI,3,0)</f>
        <v/>
      </c>
      <c r="H70" s="241" t="str">
        <f>IF(I70="","",VLOOKUP(G70,Spieler!A:D,3,0))</f>
        <v/>
      </c>
      <c r="I70" s="242" t="str">
        <f>IFERROR(VLOOKUP(G70,Spieler!AE:AF,2),"")</f>
        <v/>
      </c>
      <c r="J70" s="232"/>
      <c r="K70" s="232"/>
      <c r="L70" s="232"/>
      <c r="M70" s="232"/>
      <c r="N70" s="232"/>
      <c r="O70" s="232"/>
      <c r="P70" s="232"/>
      <c r="Q70" s="232"/>
      <c r="R70" s="232"/>
      <c r="S70" s="232"/>
      <c r="T70" s="232"/>
      <c r="U70" s="232"/>
      <c r="V70" s="232"/>
      <c r="W70" s="232"/>
      <c r="X70" s="232"/>
      <c r="Y70" s="232"/>
      <c r="Z70" s="232"/>
    </row>
    <row r="71" ht="26.25" hidden="1" customHeight="1">
      <c r="A71" s="241">
        <v>104.0</v>
      </c>
      <c r="B71" s="241" t="str">
        <f>VLOOKUP(A71,Spieler!AG:AI,3,0)</f>
        <v/>
      </c>
      <c r="C71" s="241" t="str">
        <f>IF(D71="","",VLOOKUP(B71,Spieler!A:D,3,0))</f>
        <v/>
      </c>
      <c r="D71" s="242" t="str">
        <f>IFERROR(VLOOKUP(B71,Spieler!AE:AF,2),"")</f>
        <v/>
      </c>
      <c r="E71" s="239"/>
      <c r="F71" s="241">
        <v>125.0</v>
      </c>
      <c r="G71" s="241" t="str">
        <f>VLOOKUP(F71,Spieler!AG:AI,3,0)</f>
        <v/>
      </c>
      <c r="H71" s="241" t="str">
        <f>IF(I71="","",VLOOKUP(G71,Spieler!A:D,3,0))</f>
        <v/>
      </c>
      <c r="I71" s="242" t="str">
        <f>IFERROR(VLOOKUP(G71,Spieler!AE:AF,2),"")</f>
        <v/>
      </c>
      <c r="J71" s="232"/>
      <c r="K71" s="232"/>
      <c r="L71" s="232"/>
      <c r="M71" s="232"/>
      <c r="N71" s="232"/>
      <c r="O71" s="232"/>
      <c r="P71" s="232"/>
      <c r="Q71" s="232"/>
      <c r="R71" s="232"/>
      <c r="S71" s="232"/>
      <c r="T71" s="232"/>
      <c r="U71" s="232"/>
      <c r="V71" s="232"/>
      <c r="W71" s="232"/>
      <c r="X71" s="232"/>
      <c r="Y71" s="232"/>
      <c r="Z71" s="232"/>
    </row>
    <row r="72" ht="26.25" hidden="1" customHeight="1">
      <c r="A72" s="241">
        <v>105.0</v>
      </c>
      <c r="B72" s="241" t="str">
        <f>VLOOKUP(A72,Spieler!AG:AI,3,0)</f>
        <v/>
      </c>
      <c r="C72" s="241" t="str">
        <f>IF(D72="","",VLOOKUP(B72,Spieler!A:D,3,0))</f>
        <v/>
      </c>
      <c r="D72" s="242" t="str">
        <f>IFERROR(VLOOKUP(B72,Spieler!AE:AF,2),"")</f>
        <v/>
      </c>
      <c r="E72" s="239"/>
      <c r="F72" s="241">
        <v>126.0</v>
      </c>
      <c r="G72" s="241" t="str">
        <f>VLOOKUP(F72,Spieler!AG:AI,3,0)</f>
        <v/>
      </c>
      <c r="H72" s="241" t="str">
        <f>IF(I72="","",VLOOKUP(G72,Spieler!A:D,3,0))</f>
        <v/>
      </c>
      <c r="I72" s="242" t="str">
        <f>IFERROR(VLOOKUP(G72,Spieler!AE:AF,2),"")</f>
        <v/>
      </c>
      <c r="J72" s="232"/>
      <c r="K72" s="232"/>
      <c r="L72" s="232"/>
      <c r="M72" s="232"/>
      <c r="N72" s="232"/>
      <c r="O72" s="232"/>
      <c r="P72" s="232"/>
      <c r="Q72" s="232"/>
      <c r="R72" s="232"/>
      <c r="S72" s="232"/>
      <c r="T72" s="232"/>
      <c r="U72" s="232"/>
      <c r="V72" s="232"/>
      <c r="W72" s="232"/>
      <c r="X72" s="232"/>
      <c r="Y72" s="232"/>
      <c r="Z72" s="232"/>
    </row>
    <row r="73" hidden="1">
      <c r="A73" s="243"/>
      <c r="B73" s="243"/>
      <c r="C73" s="243"/>
      <c r="D73" s="243"/>
      <c r="E73" s="243"/>
      <c r="F73" s="243"/>
      <c r="G73" s="243"/>
      <c r="H73" s="243"/>
      <c r="I73" s="243"/>
      <c r="J73" s="243"/>
      <c r="K73" s="243"/>
      <c r="L73" s="243"/>
      <c r="M73" s="243"/>
      <c r="N73" s="243"/>
      <c r="O73" s="243"/>
      <c r="P73" s="243"/>
      <c r="Q73" s="243"/>
      <c r="R73" s="243"/>
      <c r="S73" s="243"/>
      <c r="T73" s="243"/>
      <c r="U73" s="243"/>
      <c r="V73" s="243"/>
      <c r="W73" s="243"/>
      <c r="X73" s="243"/>
      <c r="Y73" s="243"/>
      <c r="Z73" s="243"/>
    </row>
    <row r="74" hidden="1">
      <c r="A74" s="243"/>
      <c r="B74" s="243"/>
      <c r="C74" s="243"/>
      <c r="D74" s="243"/>
      <c r="E74" s="243"/>
      <c r="F74" s="243"/>
      <c r="G74" s="243"/>
      <c r="H74" s="243"/>
      <c r="I74" s="243"/>
      <c r="J74" s="243"/>
      <c r="K74" s="243"/>
      <c r="L74" s="243"/>
      <c r="M74" s="243"/>
      <c r="N74" s="243"/>
      <c r="O74" s="243"/>
      <c r="P74" s="243"/>
      <c r="Q74" s="243"/>
      <c r="R74" s="243"/>
      <c r="S74" s="243"/>
      <c r="T74" s="243"/>
      <c r="U74" s="243"/>
      <c r="V74" s="243"/>
      <c r="W74" s="243"/>
      <c r="X74" s="243"/>
      <c r="Y74" s="243"/>
      <c r="Z74" s="243"/>
    </row>
    <row r="75">
      <c r="A75" s="243"/>
      <c r="B75" s="243"/>
      <c r="C75" s="243"/>
      <c r="D75" s="243"/>
      <c r="E75" s="243"/>
      <c r="F75" s="243"/>
      <c r="G75" s="243"/>
      <c r="H75" s="243"/>
      <c r="I75" s="243"/>
      <c r="J75" s="243"/>
      <c r="K75" s="243"/>
      <c r="L75" s="243"/>
      <c r="M75" s="243"/>
      <c r="N75" s="243"/>
      <c r="O75" s="243"/>
      <c r="P75" s="243"/>
      <c r="Q75" s="243"/>
      <c r="R75" s="243"/>
      <c r="S75" s="243"/>
      <c r="T75" s="243"/>
      <c r="U75" s="243"/>
      <c r="V75" s="243"/>
      <c r="W75" s="243"/>
      <c r="X75" s="243"/>
      <c r="Y75" s="243"/>
      <c r="Z75" s="243"/>
    </row>
    <row r="76">
      <c r="A76" s="243"/>
      <c r="B76" s="243"/>
      <c r="C76" s="243"/>
      <c r="D76" s="243"/>
      <c r="E76" s="243"/>
      <c r="F76" s="243"/>
      <c r="G76" s="243"/>
      <c r="H76" s="243"/>
      <c r="I76" s="243"/>
      <c r="J76" s="243"/>
      <c r="K76" s="243"/>
      <c r="L76" s="243"/>
      <c r="M76" s="243"/>
      <c r="N76" s="243"/>
      <c r="O76" s="243"/>
      <c r="P76" s="243"/>
      <c r="Q76" s="243"/>
      <c r="R76" s="243"/>
      <c r="S76" s="243"/>
      <c r="T76" s="243"/>
      <c r="U76" s="243"/>
      <c r="V76" s="243"/>
      <c r="W76" s="243"/>
      <c r="X76" s="243"/>
      <c r="Y76" s="243"/>
      <c r="Z76" s="243"/>
    </row>
    <row r="77">
      <c r="A77" s="243"/>
      <c r="B77" s="243"/>
      <c r="C77" s="243"/>
      <c r="D77" s="243"/>
      <c r="E77" s="243"/>
      <c r="F77" s="243"/>
      <c r="G77" s="243"/>
      <c r="H77" s="243"/>
      <c r="I77" s="243"/>
      <c r="J77" s="243"/>
      <c r="K77" s="243"/>
      <c r="L77" s="243"/>
      <c r="M77" s="243"/>
      <c r="N77" s="243"/>
      <c r="O77" s="243"/>
      <c r="P77" s="243"/>
      <c r="Q77" s="243"/>
      <c r="R77" s="243"/>
      <c r="S77" s="243"/>
      <c r="T77" s="243"/>
      <c r="U77" s="243"/>
      <c r="V77" s="243"/>
      <c r="W77" s="243"/>
      <c r="X77" s="243"/>
      <c r="Y77" s="243"/>
      <c r="Z77" s="243"/>
    </row>
    <row r="78">
      <c r="A78" s="243"/>
      <c r="B78" s="243"/>
      <c r="C78" s="243"/>
      <c r="D78" s="243"/>
      <c r="E78" s="243"/>
      <c r="F78" s="243"/>
      <c r="G78" s="243"/>
      <c r="H78" s="243"/>
      <c r="I78" s="243"/>
      <c r="J78" s="243"/>
      <c r="K78" s="243"/>
      <c r="L78" s="243"/>
      <c r="M78" s="243"/>
      <c r="N78" s="243"/>
      <c r="O78" s="243"/>
      <c r="P78" s="243"/>
      <c r="Q78" s="243"/>
      <c r="R78" s="243"/>
      <c r="S78" s="243"/>
      <c r="T78" s="243"/>
      <c r="U78" s="243"/>
      <c r="V78" s="243"/>
      <c r="W78" s="243"/>
      <c r="X78" s="243"/>
      <c r="Y78" s="243"/>
      <c r="Z78" s="243"/>
    </row>
    <row r="79">
      <c r="A79" s="243"/>
      <c r="B79" s="243"/>
      <c r="C79" s="243"/>
      <c r="D79" s="243"/>
      <c r="E79" s="243"/>
      <c r="F79" s="243"/>
      <c r="G79" s="243"/>
      <c r="H79" s="243"/>
      <c r="I79" s="243"/>
      <c r="J79" s="243"/>
      <c r="K79" s="243"/>
      <c r="L79" s="243"/>
      <c r="M79" s="243"/>
      <c r="N79" s="243"/>
      <c r="O79" s="243"/>
      <c r="P79" s="243"/>
      <c r="Q79" s="243"/>
      <c r="R79" s="243"/>
      <c r="S79" s="243"/>
      <c r="T79" s="243"/>
      <c r="U79" s="243"/>
      <c r="V79" s="243"/>
      <c r="W79" s="243"/>
      <c r="X79" s="243"/>
      <c r="Y79" s="243"/>
      <c r="Z79" s="243"/>
    </row>
    <row r="80">
      <c r="A80" s="243"/>
      <c r="B80" s="243"/>
      <c r="C80" s="243"/>
      <c r="D80" s="243"/>
      <c r="E80" s="243"/>
      <c r="F80" s="243"/>
      <c r="G80" s="243"/>
      <c r="H80" s="243"/>
      <c r="I80" s="243"/>
      <c r="J80" s="243"/>
      <c r="K80" s="243"/>
      <c r="L80" s="243"/>
      <c r="M80" s="243"/>
      <c r="N80" s="243"/>
      <c r="O80" s="243"/>
      <c r="P80" s="243"/>
      <c r="Q80" s="243"/>
      <c r="R80" s="243"/>
      <c r="S80" s="243"/>
      <c r="T80" s="243"/>
      <c r="U80" s="243"/>
      <c r="V80" s="243"/>
      <c r="W80" s="243"/>
      <c r="X80" s="243"/>
      <c r="Y80" s="243"/>
      <c r="Z80" s="243"/>
    </row>
    <row r="81">
      <c r="A81" s="243"/>
      <c r="B81" s="243"/>
      <c r="C81" s="243"/>
      <c r="D81" s="243"/>
      <c r="E81" s="243"/>
      <c r="F81" s="243"/>
      <c r="G81" s="243"/>
      <c r="H81" s="243"/>
      <c r="I81" s="243"/>
      <c r="J81" s="243"/>
      <c r="K81" s="243"/>
      <c r="L81" s="243"/>
      <c r="M81" s="243"/>
      <c r="N81" s="243"/>
      <c r="O81" s="243"/>
      <c r="P81" s="243"/>
      <c r="Q81" s="243"/>
      <c r="R81" s="243"/>
      <c r="S81" s="243"/>
      <c r="T81" s="243"/>
      <c r="U81" s="243"/>
      <c r="V81" s="243"/>
      <c r="W81" s="243"/>
      <c r="X81" s="243"/>
      <c r="Y81" s="243"/>
      <c r="Z81" s="243"/>
    </row>
    <row r="82">
      <c r="A82" s="243"/>
      <c r="B82" s="243"/>
      <c r="C82" s="243"/>
      <c r="D82" s="243"/>
      <c r="E82" s="243"/>
      <c r="F82" s="243"/>
      <c r="G82" s="243"/>
      <c r="H82" s="243"/>
      <c r="I82" s="243"/>
      <c r="J82" s="243"/>
      <c r="K82" s="243"/>
      <c r="L82" s="243"/>
      <c r="M82" s="243"/>
      <c r="N82" s="243"/>
      <c r="O82" s="243"/>
      <c r="P82" s="243"/>
      <c r="Q82" s="243"/>
      <c r="R82" s="243"/>
      <c r="S82" s="243"/>
      <c r="T82" s="243"/>
      <c r="U82" s="243"/>
      <c r="V82" s="243"/>
      <c r="W82" s="243"/>
      <c r="X82" s="243"/>
      <c r="Y82" s="243"/>
      <c r="Z82" s="243"/>
    </row>
    <row r="83">
      <c r="A83" s="243"/>
      <c r="B83" s="243"/>
      <c r="C83" s="243"/>
      <c r="D83" s="243"/>
      <c r="E83" s="243"/>
      <c r="F83" s="243"/>
      <c r="G83" s="243"/>
      <c r="H83" s="243"/>
      <c r="I83" s="243"/>
      <c r="J83" s="243"/>
      <c r="K83" s="243"/>
      <c r="L83" s="243"/>
      <c r="M83" s="243"/>
      <c r="N83" s="243"/>
      <c r="O83" s="243"/>
      <c r="P83" s="243"/>
      <c r="Q83" s="243"/>
      <c r="R83" s="243"/>
      <c r="S83" s="243"/>
      <c r="T83" s="243"/>
      <c r="U83" s="243"/>
      <c r="V83" s="243"/>
      <c r="W83" s="243"/>
      <c r="X83" s="243"/>
      <c r="Y83" s="243"/>
      <c r="Z83" s="243"/>
    </row>
    <row r="84">
      <c r="A84" s="243"/>
      <c r="B84" s="243"/>
      <c r="C84" s="243"/>
      <c r="D84" s="243"/>
      <c r="E84" s="243"/>
      <c r="F84" s="243"/>
      <c r="G84" s="243"/>
      <c r="H84" s="243"/>
      <c r="I84" s="243"/>
      <c r="J84" s="243"/>
      <c r="K84" s="243"/>
      <c r="L84" s="243"/>
      <c r="M84" s="243"/>
      <c r="N84" s="243"/>
      <c r="O84" s="243"/>
      <c r="P84" s="243"/>
      <c r="Q84" s="243"/>
      <c r="R84" s="243"/>
      <c r="S84" s="243"/>
      <c r="T84" s="243"/>
      <c r="U84" s="243"/>
      <c r="V84" s="243"/>
      <c r="W84" s="243"/>
      <c r="X84" s="243"/>
      <c r="Y84" s="243"/>
      <c r="Z84" s="243"/>
    </row>
    <row r="85">
      <c r="A85" s="243"/>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c r="Z85" s="243"/>
    </row>
    <row r="86">
      <c r="A86" s="243"/>
      <c r="B86" s="243"/>
      <c r="C86" s="243"/>
      <c r="D86" s="243"/>
      <c r="E86" s="243"/>
      <c r="F86" s="243"/>
      <c r="G86" s="243"/>
      <c r="H86" s="243"/>
      <c r="I86" s="243"/>
      <c r="J86" s="243"/>
      <c r="K86" s="243"/>
      <c r="L86" s="243"/>
      <c r="M86" s="243"/>
      <c r="N86" s="243"/>
      <c r="O86" s="243"/>
      <c r="P86" s="243"/>
      <c r="Q86" s="243"/>
      <c r="R86" s="243"/>
      <c r="S86" s="243"/>
      <c r="T86" s="243"/>
      <c r="U86" s="243"/>
      <c r="V86" s="243"/>
      <c r="W86" s="243"/>
      <c r="X86" s="243"/>
      <c r="Y86" s="243"/>
      <c r="Z86" s="243"/>
    </row>
    <row r="87">
      <c r="A87" s="243"/>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c r="Z87" s="243"/>
    </row>
    <row r="88">
      <c r="A88" s="243"/>
      <c r="B88" s="243"/>
      <c r="C88" s="243"/>
      <c r="D88" s="243"/>
      <c r="E88" s="243"/>
      <c r="F88" s="243"/>
      <c r="G88" s="243"/>
      <c r="H88" s="243"/>
      <c r="I88" s="243"/>
      <c r="J88" s="243"/>
      <c r="K88" s="243"/>
      <c r="L88" s="243"/>
      <c r="M88" s="243"/>
      <c r="N88" s="243"/>
      <c r="O88" s="243"/>
      <c r="P88" s="243"/>
      <c r="Q88" s="243"/>
      <c r="R88" s="243"/>
      <c r="S88" s="243"/>
      <c r="T88" s="243"/>
      <c r="U88" s="243"/>
      <c r="V88" s="243"/>
      <c r="W88" s="243"/>
      <c r="X88" s="243"/>
      <c r="Y88" s="243"/>
      <c r="Z88" s="243"/>
    </row>
    <row r="89">
      <c r="A89" s="243"/>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243"/>
    </row>
    <row r="90">
      <c r="A90" s="243"/>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c r="Z90" s="243"/>
    </row>
    <row r="91">
      <c r="A91" s="243"/>
      <c r="B91" s="243"/>
      <c r="C91" s="243"/>
      <c r="D91" s="243"/>
      <c r="E91" s="243"/>
      <c r="F91" s="243"/>
      <c r="G91" s="243"/>
      <c r="H91" s="243"/>
      <c r="I91" s="243"/>
      <c r="J91" s="243"/>
      <c r="K91" s="243"/>
      <c r="L91" s="243"/>
      <c r="M91" s="243"/>
      <c r="N91" s="243"/>
      <c r="O91" s="243"/>
      <c r="P91" s="243"/>
      <c r="Q91" s="243"/>
      <c r="R91" s="243"/>
      <c r="S91" s="243"/>
      <c r="T91" s="243"/>
      <c r="U91" s="243"/>
      <c r="V91" s="243"/>
      <c r="W91" s="243"/>
      <c r="X91" s="243"/>
      <c r="Y91" s="243"/>
      <c r="Z91" s="243"/>
    </row>
    <row r="92">
      <c r="A92" s="243"/>
      <c r="B92" s="243"/>
      <c r="C92" s="243"/>
      <c r="D92" s="243"/>
      <c r="E92" s="243"/>
      <c r="F92" s="243"/>
      <c r="G92" s="243"/>
      <c r="H92" s="243"/>
      <c r="I92" s="243"/>
      <c r="J92" s="243"/>
      <c r="K92" s="243"/>
      <c r="L92" s="243"/>
      <c r="M92" s="243"/>
      <c r="N92" s="243"/>
      <c r="O92" s="243"/>
      <c r="P92" s="243"/>
      <c r="Q92" s="243"/>
      <c r="R92" s="243"/>
      <c r="S92" s="243"/>
      <c r="T92" s="243"/>
      <c r="U92" s="243"/>
      <c r="V92" s="243"/>
      <c r="W92" s="243"/>
      <c r="X92" s="243"/>
      <c r="Y92" s="243"/>
      <c r="Z92" s="243"/>
    </row>
    <row r="93">
      <c r="A93" s="243"/>
      <c r="B93" s="243"/>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3"/>
    </row>
    <row r="94">
      <c r="A94" s="243"/>
      <c r="B94" s="243"/>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243"/>
    </row>
    <row r="95">
      <c r="A95" s="243"/>
      <c r="B95" s="243"/>
      <c r="C95" s="243"/>
      <c r="D95" s="243"/>
      <c r="E95" s="243"/>
      <c r="F95" s="243"/>
      <c r="G95" s="243"/>
      <c r="H95" s="243"/>
      <c r="I95" s="243"/>
      <c r="J95" s="243"/>
      <c r="K95" s="243"/>
      <c r="L95" s="243"/>
      <c r="M95" s="243"/>
      <c r="N95" s="243"/>
      <c r="O95" s="243"/>
      <c r="P95" s="243"/>
      <c r="Q95" s="243"/>
      <c r="R95" s="243"/>
      <c r="S95" s="243"/>
      <c r="T95" s="243"/>
      <c r="U95" s="243"/>
      <c r="V95" s="243"/>
      <c r="W95" s="243"/>
      <c r="X95" s="243"/>
      <c r="Y95" s="243"/>
      <c r="Z95" s="243"/>
    </row>
    <row r="96">
      <c r="A96" s="243"/>
      <c r="B96" s="243"/>
      <c r="C96" s="243"/>
      <c r="D96" s="243"/>
      <c r="E96" s="243"/>
      <c r="F96" s="243"/>
      <c r="G96" s="243"/>
      <c r="H96" s="243"/>
      <c r="I96" s="243"/>
      <c r="J96" s="243"/>
      <c r="K96" s="243"/>
      <c r="L96" s="243"/>
      <c r="M96" s="243"/>
      <c r="N96" s="243"/>
      <c r="O96" s="243"/>
      <c r="P96" s="243"/>
      <c r="Q96" s="243"/>
      <c r="R96" s="243"/>
      <c r="S96" s="243"/>
      <c r="T96" s="243"/>
      <c r="U96" s="243"/>
      <c r="V96" s="243"/>
      <c r="W96" s="243"/>
      <c r="X96" s="243"/>
      <c r="Y96" s="243"/>
      <c r="Z96" s="243"/>
    </row>
    <row r="97">
      <c r="A97" s="243"/>
      <c r="B97" s="243"/>
      <c r="C97" s="243"/>
      <c r="D97" s="243"/>
      <c r="E97" s="243"/>
      <c r="F97" s="243"/>
      <c r="G97" s="243"/>
      <c r="H97" s="243"/>
      <c r="I97" s="243"/>
      <c r="J97" s="243"/>
      <c r="K97" s="243"/>
      <c r="L97" s="243"/>
      <c r="M97" s="243"/>
      <c r="N97" s="243"/>
      <c r="O97" s="243"/>
      <c r="P97" s="243"/>
      <c r="Q97" s="243"/>
      <c r="R97" s="243"/>
      <c r="S97" s="243"/>
      <c r="T97" s="243"/>
      <c r="U97" s="243"/>
      <c r="V97" s="243"/>
      <c r="W97" s="243"/>
      <c r="X97" s="243"/>
      <c r="Y97" s="243"/>
      <c r="Z97" s="243"/>
    </row>
    <row r="98">
      <c r="A98" s="243"/>
      <c r="B98" s="243"/>
      <c r="C98" s="243"/>
      <c r="D98" s="243"/>
      <c r="E98" s="243"/>
      <c r="F98" s="243"/>
      <c r="G98" s="243"/>
      <c r="H98" s="243"/>
      <c r="I98" s="243"/>
      <c r="J98" s="243"/>
      <c r="K98" s="243"/>
      <c r="L98" s="243"/>
      <c r="M98" s="243"/>
      <c r="N98" s="243"/>
      <c r="O98" s="243"/>
      <c r="P98" s="243"/>
      <c r="Q98" s="243"/>
      <c r="R98" s="243"/>
      <c r="S98" s="243"/>
      <c r="T98" s="243"/>
      <c r="U98" s="243"/>
      <c r="V98" s="243"/>
      <c r="W98" s="243"/>
      <c r="X98" s="243"/>
      <c r="Y98" s="243"/>
      <c r="Z98" s="243"/>
    </row>
    <row r="99">
      <c r="A99" s="243"/>
      <c r="B99" s="243"/>
      <c r="C99" s="243"/>
      <c r="D99" s="243"/>
      <c r="E99" s="243"/>
      <c r="F99" s="243"/>
      <c r="G99" s="243"/>
      <c r="H99" s="243"/>
      <c r="I99" s="243"/>
      <c r="J99" s="243"/>
      <c r="K99" s="243"/>
      <c r="L99" s="243"/>
      <c r="M99" s="243"/>
      <c r="N99" s="243"/>
      <c r="O99" s="243"/>
      <c r="P99" s="243"/>
      <c r="Q99" s="243"/>
      <c r="R99" s="243"/>
      <c r="S99" s="243"/>
      <c r="T99" s="243"/>
      <c r="U99" s="243"/>
      <c r="V99" s="243"/>
      <c r="W99" s="243"/>
      <c r="X99" s="243"/>
      <c r="Y99" s="243"/>
      <c r="Z99" s="243"/>
    </row>
    <row r="100">
      <c r="A100" s="243"/>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c r="Z100" s="243"/>
    </row>
    <row r="101">
      <c r="A101" s="243"/>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243"/>
    </row>
    <row r="102">
      <c r="A102" s="243"/>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c r="Z102" s="243"/>
    </row>
    <row r="103">
      <c r="A103" s="243"/>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3"/>
    </row>
    <row r="104">
      <c r="A104" s="243"/>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c r="Z104" s="243"/>
    </row>
    <row r="105">
      <c r="A105" s="243"/>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c r="Z105" s="243"/>
    </row>
    <row r="106">
      <c r="A106" s="243"/>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c r="Z106" s="243"/>
    </row>
    <row r="107">
      <c r="A107" s="243"/>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c r="Z107" s="243"/>
    </row>
    <row r="108">
      <c r="A108" s="243"/>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c r="Z108" s="243"/>
    </row>
    <row r="109">
      <c r="A109" s="243"/>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c r="Z109" s="243"/>
    </row>
    <row r="110">
      <c r="A110" s="243"/>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c r="Z110" s="243"/>
    </row>
    <row r="111">
      <c r="A111" s="243"/>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243"/>
    </row>
    <row r="112">
      <c r="A112" s="243"/>
      <c r="B112" s="243"/>
      <c r="C112" s="243"/>
      <c r="D112" s="243"/>
      <c r="E112" s="243"/>
      <c r="F112" s="243"/>
      <c r="G112" s="243"/>
      <c r="H112" s="243"/>
      <c r="I112" s="243"/>
      <c r="J112" s="243"/>
      <c r="K112" s="243"/>
      <c r="L112" s="243"/>
      <c r="M112" s="243"/>
      <c r="N112" s="243"/>
      <c r="O112" s="243"/>
      <c r="P112" s="243"/>
      <c r="Q112" s="243"/>
      <c r="R112" s="243"/>
      <c r="S112" s="243"/>
      <c r="T112" s="243"/>
      <c r="U112" s="243"/>
      <c r="V112" s="243"/>
      <c r="W112" s="243"/>
      <c r="X112" s="243"/>
      <c r="Y112" s="243"/>
      <c r="Z112" s="243"/>
    </row>
    <row r="113">
      <c r="A113" s="243"/>
      <c r="B113" s="243"/>
      <c r="C113" s="243"/>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c r="Z113" s="243"/>
    </row>
    <row r="114">
      <c r="A114" s="243"/>
      <c r="B114" s="243"/>
      <c r="C114" s="243"/>
      <c r="D114" s="243"/>
      <c r="E114" s="243"/>
      <c r="F114" s="243"/>
      <c r="G114" s="243"/>
      <c r="H114" s="243"/>
      <c r="I114" s="243"/>
      <c r="J114" s="243"/>
      <c r="K114" s="243"/>
      <c r="L114" s="243"/>
      <c r="M114" s="243"/>
      <c r="N114" s="243"/>
      <c r="O114" s="243"/>
      <c r="P114" s="243"/>
      <c r="Q114" s="243"/>
      <c r="R114" s="243"/>
      <c r="S114" s="243"/>
      <c r="T114" s="243"/>
      <c r="U114" s="243"/>
      <c r="V114" s="243"/>
      <c r="W114" s="243"/>
      <c r="X114" s="243"/>
      <c r="Y114" s="243"/>
      <c r="Z114" s="243"/>
    </row>
    <row r="115">
      <c r="A115" s="243"/>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c r="Z115" s="243"/>
    </row>
    <row r="116">
      <c r="A116" s="243"/>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row>
    <row r="117">
      <c r="A117" s="243"/>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3"/>
    </row>
    <row r="118">
      <c r="A118" s="243"/>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3"/>
    </row>
    <row r="119">
      <c r="A119" s="243"/>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3"/>
    </row>
    <row r="120">
      <c r="A120" s="243"/>
      <c r="B120" s="243"/>
      <c r="C120" s="243"/>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243"/>
    </row>
    <row r="121">
      <c r="A121" s="243"/>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3"/>
    </row>
    <row r="122">
      <c r="A122" s="243"/>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row>
    <row r="123">
      <c r="A123" s="243"/>
      <c r="B123" s="243"/>
      <c r="C123" s="243"/>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243"/>
    </row>
    <row r="124">
      <c r="A124" s="243"/>
      <c r="B124" s="243"/>
      <c r="C124" s="243"/>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243"/>
    </row>
    <row r="125">
      <c r="A125" s="243"/>
      <c r="B125" s="243"/>
      <c r="C125" s="243"/>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row>
    <row r="126">
      <c r="A126" s="243"/>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row>
    <row r="127">
      <c r="A127" s="243"/>
      <c r="B127" s="243"/>
      <c r="C127" s="243"/>
      <c r="D127" s="243"/>
      <c r="E127" s="243"/>
      <c r="F127" s="243"/>
      <c r="G127" s="243"/>
      <c r="H127" s="243"/>
      <c r="I127" s="243"/>
      <c r="J127" s="243"/>
      <c r="K127" s="243"/>
      <c r="L127" s="243"/>
      <c r="M127" s="243"/>
      <c r="N127" s="243"/>
      <c r="O127" s="243"/>
      <c r="P127" s="243"/>
      <c r="Q127" s="243"/>
      <c r="R127" s="243"/>
      <c r="S127" s="243"/>
      <c r="T127" s="243"/>
      <c r="U127" s="243"/>
      <c r="V127" s="243"/>
      <c r="W127" s="243"/>
      <c r="X127" s="243"/>
      <c r="Y127" s="243"/>
      <c r="Z127" s="243"/>
    </row>
    <row r="128">
      <c r="A128" s="243"/>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c r="Z128" s="243"/>
    </row>
    <row r="129">
      <c r="A129" s="243"/>
      <c r="B129" s="243"/>
      <c r="C129" s="243"/>
      <c r="D129" s="243"/>
      <c r="E129" s="243"/>
      <c r="F129" s="243"/>
      <c r="G129" s="243"/>
      <c r="H129" s="243"/>
      <c r="I129" s="243"/>
      <c r="J129" s="243"/>
      <c r="K129" s="243"/>
      <c r="L129" s="243"/>
      <c r="M129" s="243"/>
      <c r="N129" s="243"/>
      <c r="O129" s="243"/>
      <c r="P129" s="243"/>
      <c r="Q129" s="243"/>
      <c r="R129" s="243"/>
      <c r="S129" s="243"/>
      <c r="T129" s="243"/>
      <c r="U129" s="243"/>
      <c r="V129" s="243"/>
      <c r="W129" s="243"/>
      <c r="X129" s="243"/>
      <c r="Y129" s="243"/>
      <c r="Z129" s="243"/>
    </row>
    <row r="130">
      <c r="A130" s="243"/>
      <c r="B130" s="243"/>
      <c r="C130" s="243"/>
      <c r="D130" s="243"/>
      <c r="E130" s="243"/>
      <c r="F130" s="243"/>
      <c r="G130" s="243"/>
      <c r="H130" s="243"/>
      <c r="I130" s="243"/>
      <c r="J130" s="243"/>
      <c r="K130" s="243"/>
      <c r="L130" s="243"/>
      <c r="M130" s="243"/>
      <c r="N130" s="243"/>
      <c r="O130" s="243"/>
      <c r="P130" s="243"/>
      <c r="Q130" s="243"/>
      <c r="R130" s="243"/>
      <c r="S130" s="243"/>
      <c r="T130" s="243"/>
      <c r="U130" s="243"/>
      <c r="V130" s="243"/>
      <c r="W130" s="243"/>
      <c r="X130" s="243"/>
      <c r="Y130" s="243"/>
      <c r="Z130" s="243"/>
    </row>
    <row r="131">
      <c r="A131" s="243"/>
      <c r="B131" s="243"/>
      <c r="C131" s="243"/>
      <c r="D131" s="243"/>
      <c r="E131" s="243"/>
      <c r="F131" s="243"/>
      <c r="G131" s="243"/>
      <c r="H131" s="243"/>
      <c r="I131" s="243"/>
      <c r="J131" s="243"/>
      <c r="K131" s="243"/>
      <c r="L131" s="243"/>
      <c r="M131" s="243"/>
      <c r="N131" s="243"/>
      <c r="O131" s="243"/>
      <c r="P131" s="243"/>
      <c r="Q131" s="243"/>
      <c r="R131" s="243"/>
      <c r="S131" s="243"/>
      <c r="T131" s="243"/>
      <c r="U131" s="243"/>
      <c r="V131" s="243"/>
      <c r="W131" s="243"/>
      <c r="X131" s="243"/>
      <c r="Y131" s="243"/>
      <c r="Z131" s="243"/>
    </row>
    <row r="132">
      <c r="A132" s="243"/>
      <c r="B132" s="243"/>
      <c r="C132" s="243"/>
      <c r="D132" s="243"/>
      <c r="E132" s="243"/>
      <c r="F132" s="243"/>
      <c r="G132" s="243"/>
      <c r="H132" s="243"/>
      <c r="I132" s="243"/>
      <c r="J132" s="243"/>
      <c r="K132" s="243"/>
      <c r="L132" s="243"/>
      <c r="M132" s="243"/>
      <c r="N132" s="243"/>
      <c r="O132" s="243"/>
      <c r="P132" s="243"/>
      <c r="Q132" s="243"/>
      <c r="R132" s="243"/>
      <c r="S132" s="243"/>
      <c r="T132" s="243"/>
      <c r="U132" s="243"/>
      <c r="V132" s="243"/>
      <c r="W132" s="243"/>
      <c r="X132" s="243"/>
      <c r="Y132" s="243"/>
      <c r="Z132" s="243"/>
    </row>
    <row r="133">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3"/>
      <c r="W133" s="243"/>
      <c r="X133" s="243"/>
      <c r="Y133" s="243"/>
      <c r="Z133" s="243"/>
    </row>
    <row r="134">
      <c r="A134" s="243"/>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c r="Z134" s="243"/>
    </row>
    <row r="135">
      <c r="A135" s="243"/>
      <c r="B135" s="243"/>
      <c r="C135" s="243"/>
      <c r="D135" s="243"/>
      <c r="E135" s="243"/>
      <c r="F135" s="243"/>
      <c r="G135" s="243"/>
      <c r="H135" s="243"/>
      <c r="I135" s="243"/>
      <c r="J135" s="243"/>
      <c r="K135" s="243"/>
      <c r="L135" s="243"/>
      <c r="M135" s="243"/>
      <c r="N135" s="243"/>
      <c r="O135" s="243"/>
      <c r="P135" s="243"/>
      <c r="Q135" s="243"/>
      <c r="R135" s="243"/>
      <c r="S135" s="243"/>
      <c r="T135" s="243"/>
      <c r="U135" s="243"/>
      <c r="V135" s="243"/>
      <c r="W135" s="243"/>
      <c r="X135" s="243"/>
      <c r="Y135" s="243"/>
      <c r="Z135" s="243"/>
    </row>
    <row r="136">
      <c r="A136" s="243"/>
      <c r="B136" s="243"/>
      <c r="C136" s="243"/>
      <c r="D136" s="243"/>
      <c r="E136" s="243"/>
      <c r="F136" s="243"/>
      <c r="G136" s="243"/>
      <c r="H136" s="243"/>
      <c r="I136" s="243"/>
      <c r="J136" s="243"/>
      <c r="K136" s="243"/>
      <c r="L136" s="243"/>
      <c r="M136" s="243"/>
      <c r="N136" s="243"/>
      <c r="O136" s="243"/>
      <c r="P136" s="243"/>
      <c r="Q136" s="243"/>
      <c r="R136" s="243"/>
      <c r="S136" s="243"/>
      <c r="T136" s="243"/>
      <c r="U136" s="243"/>
      <c r="V136" s="243"/>
      <c r="W136" s="243"/>
      <c r="X136" s="243"/>
      <c r="Y136" s="243"/>
      <c r="Z136" s="243"/>
    </row>
    <row r="137">
      <c r="A137" s="243"/>
      <c r="B137" s="243"/>
      <c r="C137" s="243"/>
      <c r="D137" s="243"/>
      <c r="E137" s="243"/>
      <c r="F137" s="243"/>
      <c r="G137" s="243"/>
      <c r="H137" s="243"/>
      <c r="I137" s="243"/>
      <c r="J137" s="243"/>
      <c r="K137" s="243"/>
      <c r="L137" s="243"/>
      <c r="M137" s="243"/>
      <c r="N137" s="243"/>
      <c r="O137" s="243"/>
      <c r="P137" s="243"/>
      <c r="Q137" s="243"/>
      <c r="R137" s="243"/>
      <c r="S137" s="243"/>
      <c r="T137" s="243"/>
      <c r="U137" s="243"/>
      <c r="V137" s="243"/>
      <c r="W137" s="243"/>
      <c r="X137" s="243"/>
      <c r="Y137" s="243"/>
      <c r="Z137" s="243"/>
    </row>
    <row r="138">
      <c r="A138" s="243"/>
      <c r="B138" s="243"/>
      <c r="C138" s="243"/>
      <c r="D138" s="243"/>
      <c r="E138" s="243"/>
      <c r="F138" s="243"/>
      <c r="G138" s="243"/>
      <c r="H138" s="243"/>
      <c r="I138" s="243"/>
      <c r="J138" s="243"/>
      <c r="K138" s="243"/>
      <c r="L138" s="243"/>
      <c r="M138" s="243"/>
      <c r="N138" s="243"/>
      <c r="O138" s="243"/>
      <c r="P138" s="243"/>
      <c r="Q138" s="243"/>
      <c r="R138" s="243"/>
      <c r="S138" s="243"/>
      <c r="T138" s="243"/>
      <c r="U138" s="243"/>
      <c r="V138" s="243"/>
      <c r="W138" s="243"/>
      <c r="X138" s="243"/>
      <c r="Y138" s="243"/>
      <c r="Z138" s="243"/>
    </row>
    <row r="139">
      <c r="A139" s="243"/>
      <c r="B139" s="243"/>
      <c r="C139" s="243"/>
      <c r="D139" s="243"/>
      <c r="E139" s="243"/>
      <c r="F139" s="243"/>
      <c r="G139" s="243"/>
      <c r="H139" s="243"/>
      <c r="I139" s="243"/>
      <c r="J139" s="243"/>
      <c r="K139" s="243"/>
      <c r="L139" s="243"/>
      <c r="M139" s="243"/>
      <c r="N139" s="243"/>
      <c r="O139" s="243"/>
      <c r="P139" s="243"/>
      <c r="Q139" s="243"/>
      <c r="R139" s="243"/>
      <c r="S139" s="243"/>
      <c r="T139" s="243"/>
      <c r="U139" s="243"/>
      <c r="V139" s="243"/>
      <c r="W139" s="243"/>
      <c r="X139" s="243"/>
      <c r="Y139" s="243"/>
      <c r="Z139" s="243"/>
    </row>
    <row r="140">
      <c r="A140" s="243"/>
      <c r="B140" s="243"/>
      <c r="C140" s="243"/>
      <c r="D140" s="243"/>
      <c r="E140" s="243"/>
      <c r="F140" s="243"/>
      <c r="G140" s="243"/>
      <c r="H140" s="243"/>
      <c r="I140" s="243"/>
      <c r="J140" s="243"/>
      <c r="K140" s="243"/>
      <c r="L140" s="243"/>
      <c r="M140" s="243"/>
      <c r="N140" s="243"/>
      <c r="O140" s="243"/>
      <c r="P140" s="243"/>
      <c r="Q140" s="243"/>
      <c r="R140" s="243"/>
      <c r="S140" s="243"/>
      <c r="T140" s="243"/>
      <c r="U140" s="243"/>
      <c r="V140" s="243"/>
      <c r="W140" s="243"/>
      <c r="X140" s="243"/>
      <c r="Y140" s="243"/>
      <c r="Z140" s="243"/>
    </row>
    <row r="141">
      <c r="A141" s="243"/>
      <c r="B141" s="243"/>
      <c r="C141" s="243"/>
      <c r="D141" s="243"/>
      <c r="E141" s="243"/>
      <c r="F141" s="243"/>
      <c r="G141" s="243"/>
      <c r="H141" s="243"/>
      <c r="I141" s="243"/>
      <c r="J141" s="243"/>
      <c r="K141" s="243"/>
      <c r="L141" s="243"/>
      <c r="M141" s="243"/>
      <c r="N141" s="243"/>
      <c r="O141" s="243"/>
      <c r="P141" s="243"/>
      <c r="Q141" s="243"/>
      <c r="R141" s="243"/>
      <c r="S141" s="243"/>
      <c r="T141" s="243"/>
      <c r="U141" s="243"/>
      <c r="V141" s="243"/>
      <c r="W141" s="243"/>
      <c r="X141" s="243"/>
      <c r="Y141" s="243"/>
      <c r="Z141" s="243"/>
    </row>
    <row r="142">
      <c r="A142" s="243"/>
      <c r="B142" s="243"/>
      <c r="C142" s="243"/>
      <c r="D142" s="243"/>
      <c r="E142" s="243"/>
      <c r="F142" s="243"/>
      <c r="G142" s="243"/>
      <c r="H142" s="243"/>
      <c r="I142" s="243"/>
      <c r="J142" s="243"/>
      <c r="K142" s="243"/>
      <c r="L142" s="243"/>
      <c r="M142" s="243"/>
      <c r="N142" s="243"/>
      <c r="O142" s="243"/>
      <c r="P142" s="243"/>
      <c r="Q142" s="243"/>
      <c r="R142" s="243"/>
      <c r="S142" s="243"/>
      <c r="T142" s="243"/>
      <c r="U142" s="243"/>
      <c r="V142" s="243"/>
      <c r="W142" s="243"/>
      <c r="X142" s="243"/>
      <c r="Y142" s="243"/>
      <c r="Z142" s="243"/>
    </row>
    <row r="143">
      <c r="A143" s="243"/>
      <c r="B143" s="243"/>
      <c r="C143" s="243"/>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c r="Z143" s="243"/>
    </row>
    <row r="144">
      <c r="A144" s="243"/>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c r="Z144" s="243"/>
    </row>
    <row r="145">
      <c r="A145" s="243"/>
      <c r="B145" s="243"/>
      <c r="C145" s="243"/>
      <c r="D145" s="243"/>
      <c r="E145" s="243"/>
      <c r="F145" s="243"/>
      <c r="G145" s="243"/>
      <c r="H145" s="243"/>
      <c r="I145" s="243"/>
      <c r="J145" s="243"/>
      <c r="K145" s="243"/>
      <c r="L145" s="243"/>
      <c r="M145" s="243"/>
      <c r="N145" s="243"/>
      <c r="O145" s="243"/>
      <c r="P145" s="243"/>
      <c r="Q145" s="243"/>
      <c r="R145" s="243"/>
      <c r="S145" s="243"/>
      <c r="T145" s="243"/>
      <c r="U145" s="243"/>
      <c r="V145" s="243"/>
      <c r="W145" s="243"/>
      <c r="X145" s="243"/>
      <c r="Y145" s="243"/>
      <c r="Z145" s="243"/>
    </row>
    <row r="146">
      <c r="A146" s="243"/>
      <c r="B146" s="24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c r="Z146" s="243"/>
    </row>
    <row r="147">
      <c r="A147" s="243"/>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c r="Z147" s="243"/>
    </row>
    <row r="148">
      <c r="A148" s="243"/>
      <c r="B148" s="243"/>
      <c r="C148" s="243"/>
      <c r="D148" s="243"/>
      <c r="E148" s="243"/>
      <c r="F148" s="243"/>
      <c r="G148" s="243"/>
      <c r="H148" s="243"/>
      <c r="I148" s="243"/>
      <c r="J148" s="243"/>
      <c r="K148" s="243"/>
      <c r="L148" s="243"/>
      <c r="M148" s="243"/>
      <c r="N148" s="243"/>
      <c r="O148" s="243"/>
      <c r="P148" s="243"/>
      <c r="Q148" s="243"/>
      <c r="R148" s="243"/>
      <c r="S148" s="243"/>
      <c r="T148" s="243"/>
      <c r="U148" s="243"/>
      <c r="V148" s="243"/>
      <c r="W148" s="243"/>
      <c r="X148" s="243"/>
      <c r="Y148" s="243"/>
      <c r="Z148" s="243"/>
    </row>
    <row r="149">
      <c r="A149" s="243"/>
      <c r="B149" s="243"/>
      <c r="C149" s="243"/>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c r="Z149" s="243"/>
    </row>
    <row r="150">
      <c r="A150" s="243"/>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c r="Z150" s="243"/>
    </row>
    <row r="151">
      <c r="A151" s="243"/>
      <c r="B151" s="243"/>
      <c r="C151" s="243"/>
      <c r="D151" s="243"/>
      <c r="E151" s="243"/>
      <c r="F151" s="243"/>
      <c r="G151" s="243"/>
      <c r="H151" s="243"/>
      <c r="I151" s="243"/>
      <c r="J151" s="243"/>
      <c r="K151" s="243"/>
      <c r="L151" s="243"/>
      <c r="M151" s="243"/>
      <c r="N151" s="243"/>
      <c r="O151" s="243"/>
      <c r="P151" s="243"/>
      <c r="Q151" s="243"/>
      <c r="R151" s="243"/>
      <c r="S151" s="243"/>
      <c r="T151" s="243"/>
      <c r="U151" s="243"/>
      <c r="V151" s="243"/>
      <c r="W151" s="243"/>
      <c r="X151" s="243"/>
      <c r="Y151" s="243"/>
      <c r="Z151" s="243"/>
    </row>
    <row r="152">
      <c r="A152" s="243"/>
      <c r="B152" s="243"/>
      <c r="C152" s="243"/>
      <c r="D152" s="243"/>
      <c r="E152" s="243"/>
      <c r="F152" s="243"/>
      <c r="G152" s="243"/>
      <c r="H152" s="243"/>
      <c r="I152" s="243"/>
      <c r="J152" s="243"/>
      <c r="K152" s="243"/>
      <c r="L152" s="243"/>
      <c r="M152" s="243"/>
      <c r="N152" s="243"/>
      <c r="O152" s="243"/>
      <c r="P152" s="243"/>
      <c r="Q152" s="243"/>
      <c r="R152" s="243"/>
      <c r="S152" s="243"/>
      <c r="T152" s="243"/>
      <c r="U152" s="243"/>
      <c r="V152" s="243"/>
      <c r="W152" s="243"/>
      <c r="X152" s="243"/>
      <c r="Y152" s="243"/>
      <c r="Z152" s="243"/>
    </row>
    <row r="153">
      <c r="A153" s="243"/>
      <c r="B153" s="243"/>
      <c r="C153" s="243"/>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c r="Z153" s="243"/>
    </row>
    <row r="154">
      <c r="A154" s="243"/>
      <c r="B154" s="243"/>
      <c r="C154" s="243"/>
      <c r="D154" s="243"/>
      <c r="E154" s="243"/>
      <c r="F154" s="243"/>
      <c r="G154" s="243"/>
      <c r="H154" s="243"/>
      <c r="I154" s="243"/>
      <c r="J154" s="243"/>
      <c r="K154" s="243"/>
      <c r="L154" s="243"/>
      <c r="M154" s="243"/>
      <c r="N154" s="243"/>
      <c r="O154" s="243"/>
      <c r="P154" s="243"/>
      <c r="Q154" s="243"/>
      <c r="R154" s="243"/>
      <c r="S154" s="243"/>
      <c r="T154" s="243"/>
      <c r="U154" s="243"/>
      <c r="V154" s="243"/>
      <c r="W154" s="243"/>
      <c r="X154" s="243"/>
      <c r="Y154" s="243"/>
      <c r="Z154" s="243"/>
    </row>
    <row r="155">
      <c r="A155" s="243"/>
      <c r="B155" s="243"/>
      <c r="C155" s="243"/>
      <c r="D155" s="243"/>
      <c r="E155" s="243"/>
      <c r="F155" s="243"/>
      <c r="G155" s="243"/>
      <c r="H155" s="243"/>
      <c r="I155" s="243"/>
      <c r="J155" s="243"/>
      <c r="K155" s="243"/>
      <c r="L155" s="243"/>
      <c r="M155" s="243"/>
      <c r="N155" s="243"/>
      <c r="O155" s="243"/>
      <c r="P155" s="243"/>
      <c r="Q155" s="243"/>
      <c r="R155" s="243"/>
      <c r="S155" s="243"/>
      <c r="T155" s="243"/>
      <c r="U155" s="243"/>
      <c r="V155" s="243"/>
      <c r="W155" s="243"/>
      <c r="X155" s="243"/>
      <c r="Y155" s="243"/>
      <c r="Z155" s="243"/>
    </row>
    <row r="156">
      <c r="A156" s="243"/>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c r="Z156" s="243"/>
    </row>
    <row r="157">
      <c r="A157" s="243"/>
      <c r="B157" s="243"/>
      <c r="C157" s="243"/>
      <c r="D157" s="243"/>
      <c r="E157" s="243"/>
      <c r="F157" s="243"/>
      <c r="G157" s="243"/>
      <c r="H157" s="243"/>
      <c r="I157" s="243"/>
      <c r="J157" s="243"/>
      <c r="K157" s="243"/>
      <c r="L157" s="243"/>
      <c r="M157" s="243"/>
      <c r="N157" s="243"/>
      <c r="O157" s="243"/>
      <c r="P157" s="243"/>
      <c r="Q157" s="243"/>
      <c r="R157" s="243"/>
      <c r="S157" s="243"/>
      <c r="T157" s="243"/>
      <c r="U157" s="243"/>
      <c r="V157" s="243"/>
      <c r="W157" s="243"/>
      <c r="X157" s="243"/>
      <c r="Y157" s="243"/>
      <c r="Z157" s="243"/>
    </row>
    <row r="158">
      <c r="A158" s="243"/>
      <c r="B158" s="243"/>
      <c r="C158" s="243"/>
      <c r="D158" s="243"/>
      <c r="E158" s="243"/>
      <c r="F158" s="243"/>
      <c r="G158" s="243"/>
      <c r="H158" s="243"/>
      <c r="I158" s="243"/>
      <c r="J158" s="243"/>
      <c r="K158" s="243"/>
      <c r="L158" s="243"/>
      <c r="M158" s="243"/>
      <c r="N158" s="243"/>
      <c r="O158" s="243"/>
      <c r="P158" s="243"/>
      <c r="Q158" s="243"/>
      <c r="R158" s="243"/>
      <c r="S158" s="243"/>
      <c r="T158" s="243"/>
      <c r="U158" s="243"/>
      <c r="V158" s="243"/>
      <c r="W158" s="243"/>
      <c r="X158" s="243"/>
      <c r="Y158" s="243"/>
      <c r="Z158" s="243"/>
    </row>
    <row r="159">
      <c r="A159" s="243"/>
      <c r="B159" s="243"/>
      <c r="C159" s="243"/>
      <c r="D159" s="243"/>
      <c r="E159" s="243"/>
      <c r="F159" s="243"/>
      <c r="G159" s="243"/>
      <c r="H159" s="243"/>
      <c r="I159" s="243"/>
      <c r="J159" s="243"/>
      <c r="K159" s="243"/>
      <c r="L159" s="243"/>
      <c r="M159" s="243"/>
      <c r="N159" s="243"/>
      <c r="O159" s="243"/>
      <c r="P159" s="243"/>
      <c r="Q159" s="243"/>
      <c r="R159" s="243"/>
      <c r="S159" s="243"/>
      <c r="T159" s="243"/>
      <c r="U159" s="243"/>
      <c r="V159" s="243"/>
      <c r="W159" s="243"/>
      <c r="X159" s="243"/>
      <c r="Y159" s="243"/>
      <c r="Z159" s="243"/>
    </row>
    <row r="160">
      <c r="A160" s="243"/>
      <c r="B160" s="243"/>
      <c r="C160" s="243"/>
      <c r="D160" s="243"/>
      <c r="E160" s="243"/>
      <c r="F160" s="243"/>
      <c r="G160" s="243"/>
      <c r="H160" s="243"/>
      <c r="I160" s="243"/>
      <c r="J160" s="243"/>
      <c r="K160" s="243"/>
      <c r="L160" s="243"/>
      <c r="M160" s="243"/>
      <c r="N160" s="243"/>
      <c r="O160" s="243"/>
      <c r="P160" s="243"/>
      <c r="Q160" s="243"/>
      <c r="R160" s="243"/>
      <c r="S160" s="243"/>
      <c r="T160" s="243"/>
      <c r="U160" s="243"/>
      <c r="V160" s="243"/>
      <c r="W160" s="243"/>
      <c r="X160" s="243"/>
      <c r="Y160" s="243"/>
      <c r="Z160" s="243"/>
    </row>
    <row r="161">
      <c r="A161" s="243"/>
      <c r="B161" s="243"/>
      <c r="C161" s="243"/>
      <c r="D161" s="243"/>
      <c r="E161" s="243"/>
      <c r="F161" s="243"/>
      <c r="G161" s="243"/>
      <c r="H161" s="243"/>
      <c r="I161" s="243"/>
      <c r="J161" s="243"/>
      <c r="K161" s="243"/>
      <c r="L161" s="243"/>
      <c r="M161" s="243"/>
      <c r="N161" s="243"/>
      <c r="O161" s="243"/>
      <c r="P161" s="243"/>
      <c r="Q161" s="243"/>
      <c r="R161" s="243"/>
      <c r="S161" s="243"/>
      <c r="T161" s="243"/>
      <c r="U161" s="243"/>
      <c r="V161" s="243"/>
      <c r="W161" s="243"/>
      <c r="X161" s="243"/>
      <c r="Y161" s="243"/>
      <c r="Z161" s="243"/>
    </row>
    <row r="162">
      <c r="A162" s="243"/>
      <c r="B162" s="243"/>
      <c r="C162" s="243"/>
      <c r="D162" s="243"/>
      <c r="E162" s="243"/>
      <c r="F162" s="243"/>
      <c r="G162" s="243"/>
      <c r="H162" s="243"/>
      <c r="I162" s="243"/>
      <c r="J162" s="243"/>
      <c r="K162" s="243"/>
      <c r="L162" s="243"/>
      <c r="M162" s="243"/>
      <c r="N162" s="243"/>
      <c r="O162" s="243"/>
      <c r="P162" s="243"/>
      <c r="Q162" s="243"/>
      <c r="R162" s="243"/>
      <c r="S162" s="243"/>
      <c r="T162" s="243"/>
      <c r="U162" s="243"/>
      <c r="V162" s="243"/>
      <c r="W162" s="243"/>
      <c r="X162" s="243"/>
      <c r="Y162" s="243"/>
      <c r="Z162" s="243"/>
    </row>
    <row r="163">
      <c r="A163" s="243"/>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c r="Z163" s="243"/>
    </row>
    <row r="164">
      <c r="A164" s="243"/>
      <c r="B164" s="243"/>
      <c r="C164" s="243"/>
      <c r="D164" s="243"/>
      <c r="E164" s="243"/>
      <c r="F164" s="243"/>
      <c r="G164" s="243"/>
      <c r="H164" s="243"/>
      <c r="I164" s="243"/>
      <c r="J164" s="243"/>
      <c r="K164" s="243"/>
      <c r="L164" s="243"/>
      <c r="M164" s="243"/>
      <c r="N164" s="243"/>
      <c r="O164" s="243"/>
      <c r="P164" s="243"/>
      <c r="Q164" s="243"/>
      <c r="R164" s="243"/>
      <c r="S164" s="243"/>
      <c r="T164" s="243"/>
      <c r="U164" s="243"/>
      <c r="V164" s="243"/>
      <c r="W164" s="243"/>
      <c r="X164" s="243"/>
      <c r="Y164" s="243"/>
      <c r="Z164" s="243"/>
    </row>
    <row r="165">
      <c r="A165" s="243"/>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c r="Z165" s="243"/>
    </row>
    <row r="166">
      <c r="A166" s="243"/>
      <c r="B166" s="243"/>
      <c r="C166" s="243"/>
      <c r="D166" s="243"/>
      <c r="E166" s="243"/>
      <c r="F166" s="243"/>
      <c r="G166" s="243"/>
      <c r="H166" s="243"/>
      <c r="I166" s="243"/>
      <c r="J166" s="243"/>
      <c r="K166" s="243"/>
      <c r="L166" s="243"/>
      <c r="M166" s="243"/>
      <c r="N166" s="243"/>
      <c r="O166" s="243"/>
      <c r="P166" s="243"/>
      <c r="Q166" s="243"/>
      <c r="R166" s="243"/>
      <c r="S166" s="243"/>
      <c r="T166" s="243"/>
      <c r="U166" s="243"/>
      <c r="V166" s="243"/>
      <c r="W166" s="243"/>
      <c r="X166" s="243"/>
      <c r="Y166" s="243"/>
      <c r="Z166" s="243"/>
    </row>
    <row r="167">
      <c r="A167" s="243"/>
      <c r="B167" s="243"/>
      <c r="C167" s="243"/>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c r="Z167" s="243"/>
    </row>
    <row r="168">
      <c r="A168" s="243"/>
      <c r="B168" s="243"/>
      <c r="C168" s="243"/>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c r="Z168" s="243"/>
    </row>
    <row r="169">
      <c r="A169" s="243"/>
      <c r="B169" s="243"/>
      <c r="C169" s="243"/>
      <c r="D169" s="243"/>
      <c r="E169" s="243"/>
      <c r="F169" s="243"/>
      <c r="G169" s="243"/>
      <c r="H169" s="243"/>
      <c r="I169" s="243"/>
      <c r="J169" s="243"/>
      <c r="K169" s="243"/>
      <c r="L169" s="243"/>
      <c r="M169" s="243"/>
      <c r="N169" s="243"/>
      <c r="O169" s="243"/>
      <c r="P169" s="243"/>
      <c r="Q169" s="243"/>
      <c r="R169" s="243"/>
      <c r="S169" s="243"/>
      <c r="T169" s="243"/>
      <c r="U169" s="243"/>
      <c r="V169" s="243"/>
      <c r="W169" s="243"/>
      <c r="X169" s="243"/>
      <c r="Y169" s="243"/>
      <c r="Z169" s="243"/>
    </row>
    <row r="170">
      <c r="A170" s="243"/>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c r="Z170" s="243"/>
    </row>
    <row r="171">
      <c r="A171" s="243"/>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c r="Z171" s="243"/>
    </row>
    <row r="172">
      <c r="A172" s="243"/>
      <c r="B172" s="243"/>
      <c r="C172" s="243"/>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c r="Z172" s="243"/>
    </row>
    <row r="173">
      <c r="A173" s="243"/>
      <c r="B173" s="243"/>
      <c r="C173" s="243"/>
      <c r="D173" s="243"/>
      <c r="E173" s="243"/>
      <c r="F173" s="243"/>
      <c r="G173" s="243"/>
      <c r="H173" s="243"/>
      <c r="I173" s="243"/>
      <c r="J173" s="243"/>
      <c r="K173" s="243"/>
      <c r="L173" s="243"/>
      <c r="M173" s="243"/>
      <c r="N173" s="243"/>
      <c r="O173" s="243"/>
      <c r="P173" s="243"/>
      <c r="Q173" s="243"/>
      <c r="R173" s="243"/>
      <c r="S173" s="243"/>
      <c r="T173" s="243"/>
      <c r="U173" s="243"/>
      <c r="V173" s="243"/>
      <c r="W173" s="243"/>
      <c r="X173" s="243"/>
      <c r="Y173" s="243"/>
      <c r="Z173" s="243"/>
    </row>
    <row r="174">
      <c r="A174" s="243"/>
      <c r="B174" s="243"/>
      <c r="C174" s="243"/>
      <c r="D174" s="243"/>
      <c r="E174" s="243"/>
      <c r="F174" s="243"/>
      <c r="G174" s="243"/>
      <c r="H174" s="243"/>
      <c r="I174" s="243"/>
      <c r="J174" s="243"/>
      <c r="K174" s="243"/>
      <c r="L174" s="243"/>
      <c r="M174" s="243"/>
      <c r="N174" s="243"/>
      <c r="O174" s="243"/>
      <c r="P174" s="243"/>
      <c r="Q174" s="243"/>
      <c r="R174" s="243"/>
      <c r="S174" s="243"/>
      <c r="T174" s="243"/>
      <c r="U174" s="243"/>
      <c r="V174" s="243"/>
      <c r="W174" s="243"/>
      <c r="X174" s="243"/>
      <c r="Y174" s="243"/>
      <c r="Z174" s="243"/>
    </row>
    <row r="175">
      <c r="A175" s="243"/>
      <c r="B175" s="243"/>
      <c r="C175" s="243"/>
      <c r="D175" s="243"/>
      <c r="E175" s="243"/>
      <c r="F175" s="243"/>
      <c r="G175" s="243"/>
      <c r="H175" s="243"/>
      <c r="I175" s="243"/>
      <c r="J175" s="243"/>
      <c r="K175" s="243"/>
      <c r="L175" s="243"/>
      <c r="M175" s="243"/>
      <c r="N175" s="243"/>
      <c r="O175" s="243"/>
      <c r="P175" s="243"/>
      <c r="Q175" s="243"/>
      <c r="R175" s="243"/>
      <c r="S175" s="243"/>
      <c r="T175" s="243"/>
      <c r="U175" s="243"/>
      <c r="V175" s="243"/>
      <c r="W175" s="243"/>
      <c r="X175" s="243"/>
      <c r="Y175" s="243"/>
      <c r="Z175" s="243"/>
    </row>
    <row r="176">
      <c r="A176" s="243"/>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c r="Z176" s="243"/>
    </row>
    <row r="177">
      <c r="A177" s="243"/>
      <c r="B177" s="243"/>
      <c r="C177" s="243"/>
      <c r="D177" s="243"/>
      <c r="E177" s="243"/>
      <c r="F177" s="243"/>
      <c r="G177" s="243"/>
      <c r="H177" s="243"/>
      <c r="I177" s="243"/>
      <c r="J177" s="243"/>
      <c r="K177" s="243"/>
      <c r="L177" s="243"/>
      <c r="M177" s="243"/>
      <c r="N177" s="243"/>
      <c r="O177" s="243"/>
      <c r="P177" s="243"/>
      <c r="Q177" s="243"/>
      <c r="R177" s="243"/>
      <c r="S177" s="243"/>
      <c r="T177" s="243"/>
      <c r="U177" s="243"/>
      <c r="V177" s="243"/>
      <c r="W177" s="243"/>
      <c r="X177" s="243"/>
      <c r="Y177" s="243"/>
      <c r="Z177" s="243"/>
    </row>
    <row r="178">
      <c r="A178" s="243"/>
      <c r="B178" s="243"/>
      <c r="C178" s="243"/>
      <c r="D178" s="243"/>
      <c r="E178" s="243"/>
      <c r="F178" s="243"/>
      <c r="G178" s="243"/>
      <c r="H178" s="243"/>
      <c r="I178" s="243"/>
      <c r="J178" s="243"/>
      <c r="K178" s="243"/>
      <c r="L178" s="243"/>
      <c r="M178" s="243"/>
      <c r="N178" s="243"/>
      <c r="O178" s="243"/>
      <c r="P178" s="243"/>
      <c r="Q178" s="243"/>
      <c r="R178" s="243"/>
      <c r="S178" s="243"/>
      <c r="T178" s="243"/>
      <c r="U178" s="243"/>
      <c r="V178" s="243"/>
      <c r="W178" s="243"/>
      <c r="X178" s="243"/>
      <c r="Y178" s="243"/>
      <c r="Z178" s="243"/>
    </row>
    <row r="179">
      <c r="A179" s="243"/>
      <c r="B179" s="243"/>
      <c r="C179" s="243"/>
      <c r="D179" s="243"/>
      <c r="E179" s="243"/>
      <c r="F179" s="243"/>
      <c r="G179" s="243"/>
      <c r="H179" s="243"/>
      <c r="I179" s="243"/>
      <c r="J179" s="243"/>
      <c r="K179" s="243"/>
      <c r="L179" s="243"/>
      <c r="M179" s="243"/>
      <c r="N179" s="243"/>
      <c r="O179" s="243"/>
      <c r="P179" s="243"/>
      <c r="Q179" s="243"/>
      <c r="R179" s="243"/>
      <c r="S179" s="243"/>
      <c r="T179" s="243"/>
      <c r="U179" s="243"/>
      <c r="V179" s="243"/>
      <c r="W179" s="243"/>
      <c r="X179" s="243"/>
      <c r="Y179" s="243"/>
      <c r="Z179" s="243"/>
    </row>
    <row r="180">
      <c r="A180" s="243"/>
      <c r="B180" s="243"/>
      <c r="C180" s="243"/>
      <c r="D180" s="243"/>
      <c r="E180" s="243"/>
      <c r="F180" s="243"/>
      <c r="G180" s="243"/>
      <c r="H180" s="243"/>
      <c r="I180" s="243"/>
      <c r="J180" s="243"/>
      <c r="K180" s="243"/>
      <c r="L180" s="243"/>
      <c r="M180" s="243"/>
      <c r="N180" s="243"/>
      <c r="O180" s="243"/>
      <c r="P180" s="243"/>
      <c r="Q180" s="243"/>
      <c r="R180" s="243"/>
      <c r="S180" s="243"/>
      <c r="T180" s="243"/>
      <c r="U180" s="243"/>
      <c r="V180" s="243"/>
      <c r="W180" s="243"/>
      <c r="X180" s="243"/>
      <c r="Y180" s="243"/>
      <c r="Z180" s="243"/>
    </row>
    <row r="181">
      <c r="A181" s="243"/>
      <c r="B181" s="243"/>
      <c r="C181" s="243"/>
      <c r="D181" s="243"/>
      <c r="E181" s="243"/>
      <c r="F181" s="243"/>
      <c r="G181" s="243"/>
      <c r="H181" s="243"/>
      <c r="I181" s="243"/>
      <c r="J181" s="243"/>
      <c r="K181" s="243"/>
      <c r="L181" s="243"/>
      <c r="M181" s="243"/>
      <c r="N181" s="243"/>
      <c r="O181" s="243"/>
      <c r="P181" s="243"/>
      <c r="Q181" s="243"/>
      <c r="R181" s="243"/>
      <c r="S181" s="243"/>
      <c r="T181" s="243"/>
      <c r="U181" s="243"/>
      <c r="V181" s="243"/>
      <c r="W181" s="243"/>
      <c r="X181" s="243"/>
      <c r="Y181" s="243"/>
      <c r="Z181" s="243"/>
    </row>
    <row r="182">
      <c r="A182" s="243"/>
      <c r="B182" s="243"/>
      <c r="C182" s="243"/>
      <c r="D182" s="243"/>
      <c r="E182" s="243"/>
      <c r="F182" s="243"/>
      <c r="G182" s="243"/>
      <c r="H182" s="243"/>
      <c r="I182" s="243"/>
      <c r="J182" s="243"/>
      <c r="K182" s="243"/>
      <c r="L182" s="243"/>
      <c r="M182" s="243"/>
      <c r="N182" s="243"/>
      <c r="O182" s="243"/>
      <c r="P182" s="243"/>
      <c r="Q182" s="243"/>
      <c r="R182" s="243"/>
      <c r="S182" s="243"/>
      <c r="T182" s="243"/>
      <c r="U182" s="243"/>
      <c r="V182" s="243"/>
      <c r="W182" s="243"/>
      <c r="X182" s="243"/>
      <c r="Y182" s="243"/>
      <c r="Z182" s="243"/>
    </row>
    <row r="183">
      <c r="A183" s="243"/>
      <c r="B183" s="243"/>
      <c r="C183" s="243"/>
      <c r="D183" s="243"/>
      <c r="E183" s="243"/>
      <c r="F183" s="243"/>
      <c r="G183" s="243"/>
      <c r="H183" s="243"/>
      <c r="I183" s="243"/>
      <c r="J183" s="243"/>
      <c r="K183" s="243"/>
      <c r="L183" s="243"/>
      <c r="M183" s="243"/>
      <c r="N183" s="243"/>
      <c r="O183" s="243"/>
      <c r="P183" s="243"/>
      <c r="Q183" s="243"/>
      <c r="R183" s="243"/>
      <c r="S183" s="243"/>
      <c r="T183" s="243"/>
      <c r="U183" s="243"/>
      <c r="V183" s="243"/>
      <c r="W183" s="243"/>
      <c r="X183" s="243"/>
      <c r="Y183" s="243"/>
      <c r="Z183" s="243"/>
    </row>
    <row r="184">
      <c r="A184" s="243"/>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c r="Z184" s="243"/>
    </row>
    <row r="185">
      <c r="A185" s="243"/>
      <c r="B185" s="243"/>
      <c r="C185" s="243"/>
      <c r="D185" s="243"/>
      <c r="E185" s="243"/>
      <c r="F185" s="243"/>
      <c r="G185" s="243"/>
      <c r="H185" s="243"/>
      <c r="I185" s="243"/>
      <c r="J185" s="243"/>
      <c r="K185" s="243"/>
      <c r="L185" s="243"/>
      <c r="M185" s="243"/>
      <c r="N185" s="243"/>
      <c r="O185" s="243"/>
      <c r="P185" s="243"/>
      <c r="Q185" s="243"/>
      <c r="R185" s="243"/>
      <c r="S185" s="243"/>
      <c r="T185" s="243"/>
      <c r="U185" s="243"/>
      <c r="V185" s="243"/>
      <c r="W185" s="243"/>
      <c r="X185" s="243"/>
      <c r="Y185" s="243"/>
      <c r="Z185" s="243"/>
    </row>
    <row r="186">
      <c r="A186" s="243"/>
      <c r="B186" s="243"/>
      <c r="C186" s="243"/>
      <c r="D186" s="243"/>
      <c r="E186" s="243"/>
      <c r="F186" s="243"/>
      <c r="G186" s="243"/>
      <c r="H186" s="243"/>
      <c r="I186" s="243"/>
      <c r="J186" s="243"/>
      <c r="K186" s="243"/>
      <c r="L186" s="243"/>
      <c r="M186" s="243"/>
      <c r="N186" s="243"/>
      <c r="O186" s="243"/>
      <c r="P186" s="243"/>
      <c r="Q186" s="243"/>
      <c r="R186" s="243"/>
      <c r="S186" s="243"/>
      <c r="T186" s="243"/>
      <c r="U186" s="243"/>
      <c r="V186" s="243"/>
      <c r="W186" s="243"/>
      <c r="X186" s="243"/>
      <c r="Y186" s="243"/>
      <c r="Z186" s="243"/>
    </row>
    <row r="187">
      <c r="A187" s="243"/>
      <c r="B187" s="243"/>
      <c r="C187" s="243"/>
      <c r="D187" s="243"/>
      <c r="E187" s="243"/>
      <c r="F187" s="243"/>
      <c r="G187" s="243"/>
      <c r="H187" s="243"/>
      <c r="I187" s="243"/>
      <c r="J187" s="243"/>
      <c r="K187" s="243"/>
      <c r="L187" s="243"/>
      <c r="M187" s="243"/>
      <c r="N187" s="243"/>
      <c r="O187" s="243"/>
      <c r="P187" s="243"/>
      <c r="Q187" s="243"/>
      <c r="R187" s="243"/>
      <c r="S187" s="243"/>
      <c r="T187" s="243"/>
      <c r="U187" s="243"/>
      <c r="V187" s="243"/>
      <c r="W187" s="243"/>
      <c r="X187" s="243"/>
      <c r="Y187" s="243"/>
      <c r="Z187" s="243"/>
    </row>
    <row r="188">
      <c r="A188" s="243"/>
      <c r="B188" s="243"/>
      <c r="C188" s="243"/>
      <c r="D188" s="243"/>
      <c r="E188" s="243"/>
      <c r="F188" s="243"/>
      <c r="G188" s="243"/>
      <c r="H188" s="243"/>
      <c r="I188" s="243"/>
      <c r="J188" s="243"/>
      <c r="K188" s="243"/>
      <c r="L188" s="243"/>
      <c r="M188" s="243"/>
      <c r="N188" s="243"/>
      <c r="O188" s="243"/>
      <c r="P188" s="243"/>
      <c r="Q188" s="243"/>
      <c r="R188" s="243"/>
      <c r="S188" s="243"/>
      <c r="T188" s="243"/>
      <c r="U188" s="243"/>
      <c r="V188" s="243"/>
      <c r="W188" s="243"/>
      <c r="X188" s="243"/>
      <c r="Y188" s="243"/>
      <c r="Z188" s="243"/>
    </row>
    <row r="189">
      <c r="A189" s="243"/>
      <c r="B189" s="243"/>
      <c r="C189" s="243"/>
      <c r="D189" s="243"/>
      <c r="E189" s="243"/>
      <c r="F189" s="243"/>
      <c r="G189" s="243"/>
      <c r="H189" s="243"/>
      <c r="I189" s="243"/>
      <c r="J189" s="243"/>
      <c r="K189" s="243"/>
      <c r="L189" s="243"/>
      <c r="M189" s="243"/>
      <c r="N189" s="243"/>
      <c r="O189" s="243"/>
      <c r="P189" s="243"/>
      <c r="Q189" s="243"/>
      <c r="R189" s="243"/>
      <c r="S189" s="243"/>
      <c r="T189" s="243"/>
      <c r="U189" s="243"/>
      <c r="V189" s="243"/>
      <c r="W189" s="243"/>
      <c r="X189" s="243"/>
      <c r="Y189" s="243"/>
      <c r="Z189" s="243"/>
    </row>
    <row r="190">
      <c r="A190" s="243"/>
      <c r="B190" s="243"/>
      <c r="C190" s="243"/>
      <c r="D190" s="243"/>
      <c r="E190" s="243"/>
      <c r="F190" s="243"/>
      <c r="G190" s="243"/>
      <c r="H190" s="243"/>
      <c r="I190" s="243"/>
      <c r="J190" s="243"/>
      <c r="K190" s="243"/>
      <c r="L190" s="243"/>
      <c r="M190" s="243"/>
      <c r="N190" s="243"/>
      <c r="O190" s="243"/>
      <c r="P190" s="243"/>
      <c r="Q190" s="243"/>
      <c r="R190" s="243"/>
      <c r="S190" s="243"/>
      <c r="T190" s="243"/>
      <c r="U190" s="243"/>
      <c r="V190" s="243"/>
      <c r="W190" s="243"/>
      <c r="X190" s="243"/>
      <c r="Y190" s="243"/>
      <c r="Z190" s="243"/>
    </row>
    <row r="191">
      <c r="A191" s="243"/>
      <c r="B191" s="243"/>
      <c r="C191" s="243"/>
      <c r="D191" s="243"/>
      <c r="E191" s="243"/>
      <c r="F191" s="243"/>
      <c r="G191" s="243"/>
      <c r="H191" s="243"/>
      <c r="I191" s="243"/>
      <c r="J191" s="243"/>
      <c r="K191" s="243"/>
      <c r="L191" s="243"/>
      <c r="M191" s="243"/>
      <c r="N191" s="243"/>
      <c r="O191" s="243"/>
      <c r="P191" s="243"/>
      <c r="Q191" s="243"/>
      <c r="R191" s="243"/>
      <c r="S191" s="243"/>
      <c r="T191" s="243"/>
      <c r="U191" s="243"/>
      <c r="V191" s="243"/>
      <c r="W191" s="243"/>
      <c r="X191" s="243"/>
      <c r="Y191" s="243"/>
      <c r="Z191" s="243"/>
    </row>
    <row r="192">
      <c r="A192" s="24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c r="Z192" s="243"/>
    </row>
    <row r="193">
      <c r="A193" s="24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c r="Z193" s="243"/>
    </row>
    <row r="194">
      <c r="A194" s="24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c r="Z194" s="243"/>
    </row>
    <row r="195">
      <c r="A195" s="243"/>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c r="Z195" s="243"/>
    </row>
    <row r="196">
      <c r="A196" s="243"/>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c r="Z196" s="243"/>
    </row>
    <row r="197">
      <c r="A197" s="243"/>
      <c r="B197" s="243"/>
      <c r="C197" s="243"/>
      <c r="D197" s="243"/>
      <c r="E197" s="243"/>
      <c r="F197" s="243"/>
      <c r="G197" s="243"/>
      <c r="H197" s="243"/>
      <c r="I197" s="243"/>
      <c r="J197" s="243"/>
      <c r="K197" s="243"/>
      <c r="L197" s="243"/>
      <c r="M197" s="243"/>
      <c r="N197" s="243"/>
      <c r="O197" s="243"/>
      <c r="P197" s="243"/>
      <c r="Q197" s="243"/>
      <c r="R197" s="243"/>
      <c r="S197" s="243"/>
      <c r="T197" s="243"/>
      <c r="U197" s="243"/>
      <c r="V197" s="243"/>
      <c r="W197" s="243"/>
      <c r="X197" s="243"/>
      <c r="Y197" s="243"/>
      <c r="Z197" s="243"/>
    </row>
    <row r="198">
      <c r="A198" s="243"/>
      <c r="B198" s="243"/>
      <c r="C198" s="243"/>
      <c r="D198" s="243"/>
      <c r="E198" s="243"/>
      <c r="F198" s="243"/>
      <c r="G198" s="243"/>
      <c r="H198" s="243"/>
      <c r="I198" s="243"/>
      <c r="J198" s="243"/>
      <c r="K198" s="243"/>
      <c r="L198" s="243"/>
      <c r="M198" s="243"/>
      <c r="N198" s="243"/>
      <c r="O198" s="243"/>
      <c r="P198" s="243"/>
      <c r="Q198" s="243"/>
      <c r="R198" s="243"/>
      <c r="S198" s="243"/>
      <c r="T198" s="243"/>
      <c r="U198" s="243"/>
      <c r="V198" s="243"/>
      <c r="W198" s="243"/>
      <c r="X198" s="243"/>
      <c r="Y198" s="243"/>
      <c r="Z198" s="243"/>
    </row>
    <row r="199">
      <c r="A199" s="243"/>
      <c r="B199" s="243"/>
      <c r="C199" s="243"/>
      <c r="D199" s="243"/>
      <c r="E199" s="243"/>
      <c r="F199" s="243"/>
      <c r="G199" s="243"/>
      <c r="H199" s="243"/>
      <c r="I199" s="243"/>
      <c r="J199" s="243"/>
      <c r="K199" s="243"/>
      <c r="L199" s="243"/>
      <c r="M199" s="243"/>
      <c r="N199" s="243"/>
      <c r="O199" s="243"/>
      <c r="P199" s="243"/>
      <c r="Q199" s="243"/>
      <c r="R199" s="243"/>
      <c r="S199" s="243"/>
      <c r="T199" s="243"/>
      <c r="U199" s="243"/>
      <c r="V199" s="243"/>
      <c r="W199" s="243"/>
      <c r="X199" s="243"/>
      <c r="Y199" s="243"/>
      <c r="Z199" s="243"/>
    </row>
    <row r="200">
      <c r="A200" s="243"/>
      <c r="B200" s="243"/>
      <c r="C200" s="243"/>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c r="Z200" s="243"/>
    </row>
    <row r="201">
      <c r="A201" s="243"/>
      <c r="B201" s="243"/>
      <c r="C201" s="243"/>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c r="Z201" s="243"/>
    </row>
    <row r="202">
      <c r="A202" s="243"/>
      <c r="B202" s="243"/>
      <c r="C202" s="243"/>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c r="Z202" s="243"/>
    </row>
    <row r="203">
      <c r="A203" s="243"/>
      <c r="B203" s="243"/>
      <c r="C203" s="243"/>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c r="Z203" s="243"/>
    </row>
    <row r="204">
      <c r="A204" s="243"/>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c r="Z204" s="243"/>
    </row>
    <row r="205">
      <c r="A205" s="243"/>
      <c r="B205" s="243"/>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c r="Z205" s="243"/>
    </row>
    <row r="206">
      <c r="A206" s="243"/>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243"/>
    </row>
    <row r="207">
      <c r="A207" s="243"/>
      <c r="B207" s="243"/>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row>
    <row r="208">
      <c r="A208" s="243"/>
      <c r="B208" s="243"/>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row>
    <row r="209">
      <c r="A209" s="243"/>
      <c r="B209" s="243"/>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243"/>
    </row>
    <row r="210">
      <c r="A210" s="243"/>
      <c r="B210" s="243"/>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243"/>
    </row>
    <row r="211">
      <c r="A211" s="243"/>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c r="Z211" s="243"/>
    </row>
    <row r="212">
      <c r="A212" s="243"/>
      <c r="B212" s="243"/>
      <c r="C212" s="243"/>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c r="Z212" s="243"/>
    </row>
    <row r="213">
      <c r="A213" s="243"/>
      <c r="B213" s="243"/>
      <c r="C213" s="243"/>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c r="Z213" s="243"/>
    </row>
    <row r="214">
      <c r="A214" s="243"/>
      <c r="B214" s="243"/>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c r="Z214" s="243"/>
    </row>
    <row r="215">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row>
    <row r="216">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243"/>
    </row>
    <row r="217">
      <c r="A217" s="243"/>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c r="Z217" s="243"/>
    </row>
    <row r="218">
      <c r="A218" s="243"/>
      <c r="B218" s="243"/>
      <c r="C218" s="243"/>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c r="Z218" s="243"/>
    </row>
    <row r="219">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c r="Z219" s="243"/>
    </row>
    <row r="220">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c r="Z220" s="243"/>
    </row>
    <row r="221">
      <c r="A221" s="243"/>
      <c r="B221" s="243"/>
      <c r="C221" s="243"/>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c r="Z221" s="243"/>
    </row>
    <row r="222">
      <c r="A222" s="243"/>
      <c r="B222" s="243"/>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c r="Z222" s="243"/>
    </row>
    <row r="223">
      <c r="A223" s="243"/>
      <c r="B223" s="243"/>
      <c r="C223" s="243"/>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c r="Z223" s="243"/>
    </row>
    <row r="224">
      <c r="A224" s="243"/>
      <c r="B224" s="243"/>
      <c r="C224" s="243"/>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c r="Z224" s="243"/>
    </row>
    <row r="225">
      <c r="A225" s="243"/>
      <c r="B225" s="243"/>
      <c r="C225" s="243"/>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c r="Z225" s="243"/>
    </row>
    <row r="226">
      <c r="A226" s="243"/>
      <c r="B226" s="243"/>
      <c r="C226" s="243"/>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c r="Z226" s="243"/>
    </row>
    <row r="227">
      <c r="A227" s="243"/>
      <c r="B227" s="243"/>
      <c r="C227" s="243"/>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c r="Z227" s="243"/>
    </row>
    <row r="228">
      <c r="A228" s="243"/>
      <c r="B228" s="243"/>
      <c r="C228" s="243"/>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c r="Z228" s="243"/>
    </row>
    <row r="229">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c r="Z229" s="243"/>
    </row>
    <row r="230">
      <c r="A230" s="243"/>
      <c r="B230" s="243"/>
      <c r="C230" s="243"/>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c r="Z230" s="243"/>
    </row>
    <row r="231">
      <c r="A231" s="243"/>
      <c r="B231" s="243"/>
      <c r="C231" s="243"/>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c r="Z231" s="243"/>
    </row>
    <row r="232">
      <c r="A232" s="243"/>
      <c r="B232" s="243"/>
      <c r="C232" s="243"/>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c r="Z232" s="243"/>
    </row>
    <row r="233">
      <c r="A233" s="243"/>
      <c r="B233" s="243"/>
      <c r="C233" s="243"/>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c r="Z233" s="243"/>
    </row>
    <row r="234">
      <c r="A234" s="243"/>
      <c r="B234" s="243"/>
      <c r="C234" s="243"/>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c r="Z234" s="243"/>
    </row>
    <row r="235">
      <c r="A235" s="243"/>
      <c r="B235" s="243"/>
      <c r="C235" s="243"/>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c r="Z235" s="243"/>
    </row>
    <row r="236">
      <c r="A236" s="243"/>
      <c r="B236" s="243"/>
      <c r="C236" s="243"/>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c r="Z236" s="243"/>
    </row>
    <row r="237">
      <c r="A237" s="243"/>
      <c r="B237" s="243"/>
      <c r="C237" s="243"/>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c r="Z237" s="243"/>
    </row>
    <row r="238">
      <c r="A238" s="243"/>
      <c r="B238" s="243"/>
      <c r="C238" s="243"/>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c r="Z238" s="243"/>
    </row>
    <row r="239">
      <c r="A239" s="243"/>
      <c r="B239" s="243"/>
      <c r="C239" s="243"/>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c r="Z239" s="243"/>
    </row>
    <row r="240">
      <c r="A240" s="243"/>
      <c r="B240" s="243"/>
      <c r="C240" s="243"/>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c r="Z240" s="243"/>
    </row>
    <row r="241">
      <c r="A241" s="243"/>
      <c r="B241" s="243"/>
      <c r="C241" s="243"/>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c r="Z241" s="243"/>
    </row>
    <row r="242">
      <c r="A242" s="243"/>
      <c r="B242" s="243"/>
      <c r="C242" s="243"/>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c r="Z242" s="243"/>
    </row>
    <row r="243">
      <c r="A243" s="243"/>
      <c r="B243" s="243"/>
      <c r="C243" s="243"/>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c r="Z243" s="243"/>
    </row>
    <row r="244">
      <c r="A244" s="243"/>
      <c r="B244" s="243"/>
      <c r="C244" s="243"/>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c r="Z244" s="243"/>
    </row>
    <row r="245">
      <c r="A245" s="243"/>
      <c r="B245" s="243"/>
      <c r="C245" s="243"/>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c r="Z245" s="243"/>
    </row>
    <row r="246">
      <c r="A246" s="243"/>
      <c r="B246" s="243"/>
      <c r="C246" s="243"/>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c r="Z246" s="243"/>
    </row>
    <row r="247">
      <c r="A247" s="243"/>
      <c r="B247" s="243"/>
      <c r="C247" s="243"/>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c r="Z247" s="243"/>
    </row>
    <row r="248">
      <c r="A248" s="243"/>
      <c r="B248" s="243"/>
      <c r="C248" s="243"/>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c r="Z248" s="243"/>
    </row>
    <row r="249">
      <c r="A249" s="243"/>
      <c r="B249" s="243"/>
      <c r="C249" s="243"/>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c r="Z249" s="243"/>
    </row>
    <row r="250">
      <c r="A250" s="243"/>
      <c r="B250" s="243"/>
      <c r="C250" s="243"/>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c r="Z250" s="243"/>
    </row>
    <row r="251">
      <c r="A251" s="243"/>
      <c r="B251" s="243"/>
      <c r="C251" s="243"/>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c r="Z251" s="243"/>
    </row>
    <row r="252">
      <c r="A252" s="243"/>
      <c r="B252" s="243"/>
      <c r="C252" s="243"/>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c r="Z252" s="243"/>
    </row>
    <row r="253">
      <c r="A253" s="243"/>
      <c r="B253" s="243"/>
      <c r="C253" s="243"/>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c r="Z253" s="243"/>
    </row>
    <row r="254">
      <c r="A254" s="243"/>
      <c r="B254" s="243"/>
      <c r="C254" s="243"/>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c r="Z254" s="243"/>
    </row>
    <row r="255">
      <c r="A255" s="243"/>
      <c r="B255" s="243"/>
      <c r="C255" s="243"/>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c r="Z255" s="243"/>
    </row>
    <row r="256">
      <c r="A256" s="243"/>
      <c r="B256" s="243"/>
      <c r="C256" s="243"/>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c r="Z256" s="243"/>
    </row>
    <row r="257">
      <c r="A257" s="243"/>
      <c r="B257" s="243"/>
      <c r="C257" s="243"/>
      <c r="D257" s="243"/>
      <c r="E257" s="243"/>
      <c r="F257" s="243"/>
      <c r="G257" s="243"/>
      <c r="H257" s="243"/>
      <c r="I257" s="243"/>
      <c r="J257" s="243"/>
      <c r="K257" s="243"/>
      <c r="L257" s="243"/>
      <c r="M257" s="243"/>
      <c r="N257" s="243"/>
      <c r="O257" s="243"/>
      <c r="P257" s="243"/>
      <c r="Q257" s="243"/>
      <c r="R257" s="243"/>
      <c r="S257" s="243"/>
      <c r="T257" s="243"/>
      <c r="U257" s="243"/>
      <c r="V257" s="243"/>
      <c r="W257" s="243"/>
      <c r="X257" s="243"/>
      <c r="Y257" s="243"/>
      <c r="Z257" s="243"/>
    </row>
    <row r="258">
      <c r="A258" s="243"/>
      <c r="B258" s="243"/>
      <c r="C258" s="243"/>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c r="Z258" s="243"/>
    </row>
    <row r="259">
      <c r="A259" s="243"/>
      <c r="B259" s="243"/>
      <c r="C259" s="243"/>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c r="Z259" s="243"/>
    </row>
    <row r="260">
      <c r="A260" s="243"/>
      <c r="B260" s="243"/>
      <c r="C260" s="243"/>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c r="Z260" s="243"/>
    </row>
    <row r="261">
      <c r="A261" s="243"/>
      <c r="B261" s="243"/>
      <c r="C261" s="243"/>
      <c r="D261" s="243"/>
      <c r="E261" s="243"/>
      <c r="F261" s="243"/>
      <c r="G261" s="243"/>
      <c r="H261" s="243"/>
      <c r="I261" s="243"/>
      <c r="J261" s="243"/>
      <c r="K261" s="243"/>
      <c r="L261" s="243"/>
      <c r="M261" s="243"/>
      <c r="N261" s="243"/>
      <c r="O261" s="243"/>
      <c r="P261" s="243"/>
      <c r="Q261" s="243"/>
      <c r="R261" s="243"/>
      <c r="S261" s="243"/>
      <c r="T261" s="243"/>
      <c r="U261" s="243"/>
      <c r="V261" s="243"/>
      <c r="W261" s="243"/>
      <c r="X261" s="243"/>
      <c r="Y261" s="243"/>
      <c r="Z261" s="243"/>
    </row>
    <row r="262">
      <c r="A262" s="243"/>
      <c r="B262" s="243"/>
      <c r="C262" s="243"/>
      <c r="D262" s="243"/>
      <c r="E262" s="243"/>
      <c r="F262" s="243"/>
      <c r="G262" s="243"/>
      <c r="H262" s="243"/>
      <c r="I262" s="243"/>
      <c r="J262" s="243"/>
      <c r="K262" s="243"/>
      <c r="L262" s="243"/>
      <c r="M262" s="243"/>
      <c r="N262" s="243"/>
      <c r="O262" s="243"/>
      <c r="P262" s="243"/>
      <c r="Q262" s="243"/>
      <c r="R262" s="243"/>
      <c r="S262" s="243"/>
      <c r="T262" s="243"/>
      <c r="U262" s="243"/>
      <c r="V262" s="243"/>
      <c r="W262" s="243"/>
      <c r="X262" s="243"/>
      <c r="Y262" s="243"/>
      <c r="Z262" s="243"/>
    </row>
    <row r="263">
      <c r="A263" s="243"/>
      <c r="B263" s="243"/>
      <c r="C263" s="243"/>
      <c r="D263" s="243"/>
      <c r="E263" s="243"/>
      <c r="F263" s="243"/>
      <c r="G263" s="243"/>
      <c r="H263" s="243"/>
      <c r="I263" s="243"/>
      <c r="J263" s="243"/>
      <c r="K263" s="243"/>
      <c r="L263" s="243"/>
      <c r="M263" s="243"/>
      <c r="N263" s="243"/>
      <c r="O263" s="243"/>
      <c r="P263" s="243"/>
      <c r="Q263" s="243"/>
      <c r="R263" s="243"/>
      <c r="S263" s="243"/>
      <c r="T263" s="243"/>
      <c r="U263" s="243"/>
      <c r="V263" s="243"/>
      <c r="W263" s="243"/>
      <c r="X263" s="243"/>
      <c r="Y263" s="243"/>
      <c r="Z263" s="243"/>
    </row>
    <row r="264">
      <c r="A264" s="243"/>
      <c r="B264" s="243"/>
      <c r="C264" s="243"/>
      <c r="D264" s="243"/>
      <c r="E264" s="243"/>
      <c r="F264" s="243"/>
      <c r="G264" s="243"/>
      <c r="H264" s="243"/>
      <c r="I264" s="243"/>
      <c r="J264" s="243"/>
      <c r="K264" s="243"/>
      <c r="L264" s="243"/>
      <c r="M264" s="243"/>
      <c r="N264" s="243"/>
      <c r="O264" s="243"/>
      <c r="P264" s="243"/>
      <c r="Q264" s="243"/>
      <c r="R264" s="243"/>
      <c r="S264" s="243"/>
      <c r="T264" s="243"/>
      <c r="U264" s="243"/>
      <c r="V264" s="243"/>
      <c r="W264" s="243"/>
      <c r="X264" s="243"/>
      <c r="Y264" s="243"/>
      <c r="Z264" s="243"/>
    </row>
    <row r="265">
      <c r="A265" s="243"/>
      <c r="B265" s="243"/>
      <c r="C265" s="243"/>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c r="Z265" s="243"/>
    </row>
    <row r="266">
      <c r="A266" s="243"/>
      <c r="B266" s="243"/>
      <c r="C266" s="243"/>
      <c r="D266" s="243"/>
      <c r="E266" s="243"/>
      <c r="F266" s="243"/>
      <c r="G266" s="243"/>
      <c r="H266" s="243"/>
      <c r="I266" s="243"/>
      <c r="J266" s="243"/>
      <c r="K266" s="243"/>
      <c r="L266" s="243"/>
      <c r="M266" s="243"/>
      <c r="N266" s="243"/>
      <c r="O266" s="243"/>
      <c r="P266" s="243"/>
      <c r="Q266" s="243"/>
      <c r="R266" s="243"/>
      <c r="S266" s="243"/>
      <c r="T266" s="243"/>
      <c r="U266" s="243"/>
      <c r="V266" s="243"/>
      <c r="W266" s="243"/>
      <c r="X266" s="243"/>
      <c r="Y266" s="243"/>
      <c r="Z266" s="243"/>
    </row>
    <row r="267">
      <c r="A267" s="243"/>
      <c r="B267" s="243"/>
      <c r="C267" s="243"/>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c r="Z267" s="243"/>
    </row>
    <row r="268">
      <c r="A268" s="243"/>
      <c r="B268" s="243"/>
      <c r="C268" s="243"/>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c r="Z268" s="243"/>
    </row>
    <row r="269">
      <c r="A269" s="243"/>
      <c r="B269" s="243"/>
      <c r="C269" s="243"/>
      <c r="D269" s="243"/>
      <c r="E269" s="243"/>
      <c r="F269" s="243"/>
      <c r="G269" s="243"/>
      <c r="H269" s="243"/>
      <c r="I269" s="243"/>
      <c r="J269" s="243"/>
      <c r="K269" s="243"/>
      <c r="L269" s="243"/>
      <c r="M269" s="243"/>
      <c r="N269" s="243"/>
      <c r="O269" s="243"/>
      <c r="P269" s="243"/>
      <c r="Q269" s="243"/>
      <c r="R269" s="243"/>
      <c r="S269" s="243"/>
      <c r="T269" s="243"/>
      <c r="U269" s="243"/>
      <c r="V269" s="243"/>
      <c r="W269" s="243"/>
      <c r="X269" s="243"/>
      <c r="Y269" s="243"/>
      <c r="Z269" s="243"/>
    </row>
    <row r="270">
      <c r="A270" s="243"/>
      <c r="B270" s="243"/>
      <c r="C270" s="243"/>
      <c r="D270" s="243"/>
      <c r="E270" s="243"/>
      <c r="F270" s="243"/>
      <c r="G270" s="243"/>
      <c r="H270" s="243"/>
      <c r="I270" s="243"/>
      <c r="J270" s="243"/>
      <c r="K270" s="243"/>
      <c r="L270" s="243"/>
      <c r="M270" s="243"/>
      <c r="N270" s="243"/>
      <c r="O270" s="243"/>
      <c r="P270" s="243"/>
      <c r="Q270" s="243"/>
      <c r="R270" s="243"/>
      <c r="S270" s="243"/>
      <c r="T270" s="243"/>
      <c r="U270" s="243"/>
      <c r="V270" s="243"/>
      <c r="W270" s="243"/>
      <c r="X270" s="243"/>
      <c r="Y270" s="243"/>
      <c r="Z270" s="243"/>
    </row>
    <row r="271">
      <c r="A271" s="243"/>
      <c r="B271" s="243"/>
      <c r="C271" s="243"/>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c r="Z271" s="243"/>
    </row>
    <row r="272">
      <c r="A272" s="243"/>
      <c r="B272" s="243"/>
      <c r="C272" s="243"/>
      <c r="D272" s="243"/>
      <c r="E272" s="243"/>
      <c r="F272" s="243"/>
      <c r="G272" s="243"/>
      <c r="H272" s="243"/>
      <c r="I272" s="243"/>
      <c r="J272" s="243"/>
      <c r="K272" s="243"/>
      <c r="L272" s="243"/>
      <c r="M272" s="243"/>
      <c r="N272" s="243"/>
      <c r="O272" s="243"/>
      <c r="P272" s="243"/>
      <c r="Q272" s="243"/>
      <c r="R272" s="243"/>
      <c r="S272" s="243"/>
      <c r="T272" s="243"/>
      <c r="U272" s="243"/>
      <c r="V272" s="243"/>
      <c r="W272" s="243"/>
      <c r="X272" s="243"/>
      <c r="Y272" s="243"/>
      <c r="Z272" s="243"/>
    </row>
    <row r="273">
      <c r="A273" s="243"/>
      <c r="B273" s="243"/>
      <c r="C273" s="243"/>
      <c r="D273" s="243"/>
      <c r="E273" s="243"/>
      <c r="F273" s="243"/>
      <c r="G273" s="243"/>
      <c r="H273" s="243"/>
      <c r="I273" s="243"/>
      <c r="J273" s="243"/>
      <c r="K273" s="243"/>
      <c r="L273" s="243"/>
      <c r="M273" s="243"/>
      <c r="N273" s="243"/>
      <c r="O273" s="243"/>
      <c r="P273" s="243"/>
      <c r="Q273" s="243"/>
      <c r="R273" s="243"/>
      <c r="S273" s="243"/>
      <c r="T273" s="243"/>
      <c r="U273" s="243"/>
      <c r="V273" s="243"/>
      <c r="W273" s="243"/>
      <c r="X273" s="243"/>
      <c r="Y273" s="243"/>
      <c r="Z273" s="243"/>
    </row>
    <row r="274">
      <c r="A274" s="243"/>
      <c r="B274" s="243"/>
      <c r="C274" s="243"/>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c r="Z274" s="243"/>
    </row>
    <row r="275">
      <c r="A275" s="243"/>
      <c r="B275" s="243"/>
      <c r="C275" s="243"/>
      <c r="D275" s="243"/>
      <c r="E275" s="243"/>
      <c r="F275" s="243"/>
      <c r="G275" s="243"/>
      <c r="H275" s="243"/>
      <c r="I275" s="243"/>
      <c r="J275" s="243"/>
      <c r="K275" s="243"/>
      <c r="L275" s="243"/>
      <c r="M275" s="243"/>
      <c r="N275" s="243"/>
      <c r="O275" s="243"/>
      <c r="P275" s="243"/>
      <c r="Q275" s="243"/>
      <c r="R275" s="243"/>
      <c r="S275" s="243"/>
      <c r="T275" s="243"/>
      <c r="U275" s="243"/>
      <c r="V275" s="243"/>
      <c r="W275" s="243"/>
      <c r="X275" s="243"/>
      <c r="Y275" s="243"/>
      <c r="Z275" s="243"/>
    </row>
    <row r="276">
      <c r="A276" s="243"/>
      <c r="B276" s="243"/>
      <c r="C276" s="243"/>
      <c r="D276" s="243"/>
      <c r="E276" s="243"/>
      <c r="F276" s="243"/>
      <c r="G276" s="243"/>
      <c r="H276" s="243"/>
      <c r="I276" s="243"/>
      <c r="J276" s="243"/>
      <c r="K276" s="243"/>
      <c r="L276" s="243"/>
      <c r="M276" s="243"/>
      <c r="N276" s="243"/>
      <c r="O276" s="243"/>
      <c r="P276" s="243"/>
      <c r="Q276" s="243"/>
      <c r="R276" s="243"/>
      <c r="S276" s="243"/>
      <c r="T276" s="243"/>
      <c r="U276" s="243"/>
      <c r="V276" s="243"/>
      <c r="W276" s="243"/>
      <c r="X276" s="243"/>
      <c r="Y276" s="243"/>
      <c r="Z276" s="243"/>
    </row>
    <row r="277">
      <c r="A277" s="243"/>
      <c r="B277" s="243"/>
      <c r="C277" s="243"/>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c r="Z277" s="243"/>
    </row>
    <row r="278">
      <c r="A278" s="243"/>
      <c r="B278" s="243"/>
      <c r="C278" s="243"/>
      <c r="D278" s="243"/>
      <c r="E278" s="243"/>
      <c r="F278" s="243"/>
      <c r="G278" s="243"/>
      <c r="H278" s="243"/>
      <c r="I278" s="243"/>
      <c r="J278" s="243"/>
      <c r="K278" s="243"/>
      <c r="L278" s="243"/>
      <c r="M278" s="243"/>
      <c r="N278" s="243"/>
      <c r="O278" s="243"/>
      <c r="P278" s="243"/>
      <c r="Q278" s="243"/>
      <c r="R278" s="243"/>
      <c r="S278" s="243"/>
      <c r="T278" s="243"/>
      <c r="U278" s="243"/>
      <c r="V278" s="243"/>
      <c r="W278" s="243"/>
      <c r="X278" s="243"/>
      <c r="Y278" s="243"/>
      <c r="Z278" s="243"/>
    </row>
    <row r="279">
      <c r="A279" s="243"/>
      <c r="B279" s="243"/>
      <c r="C279" s="243"/>
      <c r="D279" s="243"/>
      <c r="E279" s="243"/>
      <c r="F279" s="243"/>
      <c r="G279" s="243"/>
      <c r="H279" s="243"/>
      <c r="I279" s="243"/>
      <c r="J279" s="243"/>
      <c r="K279" s="243"/>
      <c r="L279" s="243"/>
      <c r="M279" s="243"/>
      <c r="N279" s="243"/>
      <c r="O279" s="243"/>
      <c r="P279" s="243"/>
      <c r="Q279" s="243"/>
      <c r="R279" s="243"/>
      <c r="S279" s="243"/>
      <c r="T279" s="243"/>
      <c r="U279" s="243"/>
      <c r="V279" s="243"/>
      <c r="W279" s="243"/>
      <c r="X279" s="243"/>
      <c r="Y279" s="243"/>
      <c r="Z279" s="243"/>
    </row>
    <row r="280">
      <c r="A280" s="243"/>
      <c r="B280" s="243"/>
      <c r="C280" s="243"/>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c r="Z280" s="243"/>
    </row>
    <row r="281">
      <c r="A281" s="243"/>
      <c r="B281" s="243"/>
      <c r="C281" s="243"/>
      <c r="D281" s="243"/>
      <c r="E281" s="243"/>
      <c r="F281" s="243"/>
      <c r="G281" s="243"/>
      <c r="H281" s="243"/>
      <c r="I281" s="243"/>
      <c r="J281" s="243"/>
      <c r="K281" s="243"/>
      <c r="L281" s="243"/>
      <c r="M281" s="243"/>
      <c r="N281" s="243"/>
      <c r="O281" s="243"/>
      <c r="P281" s="243"/>
      <c r="Q281" s="243"/>
      <c r="R281" s="243"/>
      <c r="S281" s="243"/>
      <c r="T281" s="243"/>
      <c r="U281" s="243"/>
      <c r="V281" s="243"/>
      <c r="W281" s="243"/>
      <c r="X281" s="243"/>
      <c r="Y281" s="243"/>
      <c r="Z281" s="243"/>
    </row>
    <row r="282">
      <c r="A282" s="243"/>
      <c r="B282" s="243"/>
      <c r="C282" s="243"/>
      <c r="D282" s="243"/>
      <c r="E282" s="243"/>
      <c r="F282" s="243"/>
      <c r="G282" s="243"/>
      <c r="H282" s="243"/>
      <c r="I282" s="243"/>
      <c r="J282" s="243"/>
      <c r="K282" s="243"/>
      <c r="L282" s="243"/>
      <c r="M282" s="243"/>
      <c r="N282" s="243"/>
      <c r="O282" s="243"/>
      <c r="P282" s="243"/>
      <c r="Q282" s="243"/>
      <c r="R282" s="243"/>
      <c r="S282" s="243"/>
      <c r="T282" s="243"/>
      <c r="U282" s="243"/>
      <c r="V282" s="243"/>
      <c r="W282" s="243"/>
      <c r="X282" s="243"/>
      <c r="Y282" s="243"/>
      <c r="Z282" s="243"/>
    </row>
    <row r="283">
      <c r="A283" s="243"/>
      <c r="B283" s="243"/>
      <c r="C283" s="243"/>
      <c r="D283" s="243"/>
      <c r="E283" s="243"/>
      <c r="F283" s="243"/>
      <c r="G283" s="243"/>
      <c r="H283" s="243"/>
      <c r="I283" s="243"/>
      <c r="J283" s="243"/>
      <c r="K283" s="243"/>
      <c r="L283" s="243"/>
      <c r="M283" s="243"/>
      <c r="N283" s="243"/>
      <c r="O283" s="243"/>
      <c r="P283" s="243"/>
      <c r="Q283" s="243"/>
      <c r="R283" s="243"/>
      <c r="S283" s="243"/>
      <c r="T283" s="243"/>
      <c r="U283" s="243"/>
      <c r="V283" s="243"/>
      <c r="W283" s="243"/>
      <c r="X283" s="243"/>
      <c r="Y283" s="243"/>
      <c r="Z283" s="243"/>
    </row>
    <row r="284">
      <c r="A284" s="243"/>
      <c r="B284" s="243"/>
      <c r="C284" s="243"/>
      <c r="D284" s="243"/>
      <c r="E284" s="243"/>
      <c r="F284" s="243"/>
      <c r="G284" s="243"/>
      <c r="H284" s="243"/>
      <c r="I284" s="243"/>
      <c r="J284" s="243"/>
      <c r="K284" s="243"/>
      <c r="L284" s="243"/>
      <c r="M284" s="243"/>
      <c r="N284" s="243"/>
      <c r="O284" s="243"/>
      <c r="P284" s="243"/>
      <c r="Q284" s="243"/>
      <c r="R284" s="243"/>
      <c r="S284" s="243"/>
      <c r="T284" s="243"/>
      <c r="U284" s="243"/>
      <c r="V284" s="243"/>
      <c r="W284" s="243"/>
      <c r="X284" s="243"/>
      <c r="Y284" s="243"/>
      <c r="Z284" s="243"/>
    </row>
    <row r="285">
      <c r="A285" s="243"/>
      <c r="B285" s="243"/>
      <c r="C285" s="243"/>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c r="Z285" s="243"/>
    </row>
    <row r="286">
      <c r="A286" s="243"/>
      <c r="B286" s="243"/>
      <c r="C286" s="243"/>
      <c r="D286" s="243"/>
      <c r="E286" s="243"/>
      <c r="F286" s="243"/>
      <c r="G286" s="243"/>
      <c r="H286" s="243"/>
      <c r="I286" s="243"/>
      <c r="J286" s="243"/>
      <c r="K286" s="243"/>
      <c r="L286" s="243"/>
      <c r="M286" s="243"/>
      <c r="N286" s="243"/>
      <c r="O286" s="243"/>
      <c r="P286" s="243"/>
      <c r="Q286" s="243"/>
      <c r="R286" s="243"/>
      <c r="S286" s="243"/>
      <c r="T286" s="243"/>
      <c r="U286" s="243"/>
      <c r="V286" s="243"/>
      <c r="W286" s="243"/>
      <c r="X286" s="243"/>
      <c r="Y286" s="243"/>
      <c r="Z286" s="243"/>
    </row>
    <row r="287">
      <c r="A287" s="243"/>
      <c r="B287" s="243"/>
      <c r="C287" s="243"/>
      <c r="D287" s="243"/>
      <c r="E287" s="243"/>
      <c r="F287" s="243"/>
      <c r="G287" s="243"/>
      <c r="H287" s="243"/>
      <c r="I287" s="243"/>
      <c r="J287" s="243"/>
      <c r="K287" s="243"/>
      <c r="L287" s="243"/>
      <c r="M287" s="243"/>
      <c r="N287" s="243"/>
      <c r="O287" s="243"/>
      <c r="P287" s="243"/>
      <c r="Q287" s="243"/>
      <c r="R287" s="243"/>
      <c r="S287" s="243"/>
      <c r="T287" s="243"/>
      <c r="U287" s="243"/>
      <c r="V287" s="243"/>
      <c r="W287" s="243"/>
      <c r="X287" s="243"/>
      <c r="Y287" s="243"/>
      <c r="Z287" s="243"/>
    </row>
    <row r="288">
      <c r="A288" s="243"/>
      <c r="B288" s="243"/>
      <c r="C288" s="243"/>
      <c r="D288" s="243"/>
      <c r="E288" s="243"/>
      <c r="F288" s="243"/>
      <c r="G288" s="243"/>
      <c r="H288" s="243"/>
      <c r="I288" s="243"/>
      <c r="J288" s="243"/>
      <c r="K288" s="243"/>
      <c r="L288" s="243"/>
      <c r="M288" s="243"/>
      <c r="N288" s="243"/>
      <c r="O288" s="243"/>
      <c r="P288" s="243"/>
      <c r="Q288" s="243"/>
      <c r="R288" s="243"/>
      <c r="S288" s="243"/>
      <c r="T288" s="243"/>
      <c r="U288" s="243"/>
      <c r="V288" s="243"/>
      <c r="W288" s="243"/>
      <c r="X288" s="243"/>
      <c r="Y288" s="243"/>
      <c r="Z288" s="243"/>
    </row>
    <row r="289">
      <c r="A289" s="243"/>
      <c r="B289" s="243"/>
      <c r="C289" s="243"/>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c r="Z289" s="243"/>
    </row>
    <row r="290">
      <c r="A290" s="243"/>
      <c r="B290" s="243"/>
      <c r="C290" s="243"/>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c r="Z290" s="243"/>
    </row>
    <row r="291">
      <c r="A291" s="243"/>
      <c r="B291" s="243"/>
      <c r="C291" s="243"/>
      <c r="D291" s="243"/>
      <c r="E291" s="243"/>
      <c r="F291" s="243"/>
      <c r="G291" s="243"/>
      <c r="H291" s="243"/>
      <c r="I291" s="243"/>
      <c r="J291" s="243"/>
      <c r="K291" s="243"/>
      <c r="L291" s="243"/>
      <c r="M291" s="243"/>
      <c r="N291" s="243"/>
      <c r="O291" s="243"/>
      <c r="P291" s="243"/>
      <c r="Q291" s="243"/>
      <c r="R291" s="243"/>
      <c r="S291" s="243"/>
      <c r="T291" s="243"/>
      <c r="U291" s="243"/>
      <c r="V291" s="243"/>
      <c r="W291" s="243"/>
      <c r="X291" s="243"/>
      <c r="Y291" s="243"/>
      <c r="Z291" s="243"/>
    </row>
    <row r="292">
      <c r="A292" s="243"/>
      <c r="B292" s="243"/>
      <c r="C292" s="243"/>
      <c r="D292" s="243"/>
      <c r="E292" s="243"/>
      <c r="F292" s="243"/>
      <c r="G292" s="243"/>
      <c r="H292" s="243"/>
      <c r="I292" s="243"/>
      <c r="J292" s="243"/>
      <c r="K292" s="243"/>
      <c r="L292" s="243"/>
      <c r="M292" s="243"/>
      <c r="N292" s="243"/>
      <c r="O292" s="243"/>
      <c r="P292" s="243"/>
      <c r="Q292" s="243"/>
      <c r="R292" s="243"/>
      <c r="S292" s="243"/>
      <c r="T292" s="243"/>
      <c r="U292" s="243"/>
      <c r="V292" s="243"/>
      <c r="W292" s="243"/>
      <c r="X292" s="243"/>
      <c r="Y292" s="243"/>
      <c r="Z292" s="243"/>
    </row>
    <row r="293">
      <c r="A293" s="243"/>
      <c r="B293" s="243"/>
      <c r="C293" s="243"/>
      <c r="D293" s="243"/>
      <c r="E293" s="243"/>
      <c r="F293" s="243"/>
      <c r="G293" s="243"/>
      <c r="H293" s="243"/>
      <c r="I293" s="243"/>
      <c r="J293" s="243"/>
      <c r="K293" s="243"/>
      <c r="L293" s="243"/>
      <c r="M293" s="243"/>
      <c r="N293" s="243"/>
      <c r="O293" s="243"/>
      <c r="P293" s="243"/>
      <c r="Q293" s="243"/>
      <c r="R293" s="243"/>
      <c r="S293" s="243"/>
      <c r="T293" s="243"/>
      <c r="U293" s="243"/>
      <c r="V293" s="243"/>
      <c r="W293" s="243"/>
      <c r="X293" s="243"/>
      <c r="Y293" s="243"/>
      <c r="Z293" s="243"/>
    </row>
    <row r="294">
      <c r="A294" s="243"/>
      <c r="B294" s="243"/>
      <c r="C294" s="243"/>
      <c r="D294" s="243"/>
      <c r="E294" s="243"/>
      <c r="F294" s="243"/>
      <c r="G294" s="243"/>
      <c r="H294" s="243"/>
      <c r="I294" s="243"/>
      <c r="J294" s="243"/>
      <c r="K294" s="243"/>
      <c r="L294" s="243"/>
      <c r="M294" s="243"/>
      <c r="N294" s="243"/>
      <c r="O294" s="243"/>
      <c r="P294" s="243"/>
      <c r="Q294" s="243"/>
      <c r="R294" s="243"/>
      <c r="S294" s="243"/>
      <c r="T294" s="243"/>
      <c r="U294" s="243"/>
      <c r="V294" s="243"/>
      <c r="W294" s="243"/>
      <c r="X294" s="243"/>
      <c r="Y294" s="243"/>
      <c r="Z294" s="243"/>
    </row>
    <row r="295">
      <c r="A295" s="243"/>
      <c r="B295" s="243"/>
      <c r="C295" s="243"/>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c r="Z295" s="243"/>
    </row>
    <row r="296">
      <c r="A296" s="243"/>
      <c r="B296" s="243"/>
      <c r="C296" s="243"/>
      <c r="D296" s="243"/>
      <c r="E296" s="243"/>
      <c r="F296" s="243"/>
      <c r="G296" s="243"/>
      <c r="H296" s="243"/>
      <c r="I296" s="243"/>
      <c r="J296" s="243"/>
      <c r="K296" s="243"/>
      <c r="L296" s="243"/>
      <c r="M296" s="243"/>
      <c r="N296" s="243"/>
      <c r="O296" s="243"/>
      <c r="P296" s="243"/>
      <c r="Q296" s="243"/>
      <c r="R296" s="243"/>
      <c r="S296" s="243"/>
      <c r="T296" s="243"/>
      <c r="U296" s="243"/>
      <c r="V296" s="243"/>
      <c r="W296" s="243"/>
      <c r="X296" s="243"/>
      <c r="Y296" s="243"/>
      <c r="Z296" s="243"/>
    </row>
    <row r="297">
      <c r="A297" s="243"/>
      <c r="B297" s="243"/>
      <c r="C297" s="243"/>
      <c r="D297" s="243"/>
      <c r="E297" s="243"/>
      <c r="F297" s="243"/>
      <c r="G297" s="243"/>
      <c r="H297" s="243"/>
      <c r="I297" s="243"/>
      <c r="J297" s="243"/>
      <c r="K297" s="243"/>
      <c r="L297" s="243"/>
      <c r="M297" s="243"/>
      <c r="N297" s="243"/>
      <c r="O297" s="243"/>
      <c r="P297" s="243"/>
      <c r="Q297" s="243"/>
      <c r="R297" s="243"/>
      <c r="S297" s="243"/>
      <c r="T297" s="243"/>
      <c r="U297" s="243"/>
      <c r="V297" s="243"/>
      <c r="W297" s="243"/>
      <c r="X297" s="243"/>
      <c r="Y297" s="243"/>
      <c r="Z297" s="243"/>
    </row>
    <row r="298">
      <c r="A298" s="243"/>
      <c r="B298" s="243"/>
      <c r="C298" s="243"/>
      <c r="D298" s="243"/>
      <c r="E298" s="243"/>
      <c r="F298" s="243"/>
      <c r="G298" s="243"/>
      <c r="H298" s="243"/>
      <c r="I298" s="243"/>
      <c r="J298" s="243"/>
      <c r="K298" s="243"/>
      <c r="L298" s="243"/>
      <c r="M298" s="243"/>
      <c r="N298" s="243"/>
      <c r="O298" s="243"/>
      <c r="P298" s="243"/>
      <c r="Q298" s="243"/>
      <c r="R298" s="243"/>
      <c r="S298" s="243"/>
      <c r="T298" s="243"/>
      <c r="U298" s="243"/>
      <c r="V298" s="243"/>
      <c r="W298" s="243"/>
      <c r="X298" s="243"/>
      <c r="Y298" s="243"/>
      <c r="Z298" s="243"/>
    </row>
    <row r="299">
      <c r="A299" s="243"/>
      <c r="B299" s="243"/>
      <c r="C299" s="243"/>
      <c r="D299" s="243"/>
      <c r="E299" s="243"/>
      <c r="F299" s="243"/>
      <c r="G299" s="243"/>
      <c r="H299" s="243"/>
      <c r="I299" s="243"/>
      <c r="J299" s="243"/>
      <c r="K299" s="243"/>
      <c r="L299" s="243"/>
      <c r="M299" s="243"/>
      <c r="N299" s="243"/>
      <c r="O299" s="243"/>
      <c r="P299" s="243"/>
      <c r="Q299" s="243"/>
      <c r="R299" s="243"/>
      <c r="S299" s="243"/>
      <c r="T299" s="243"/>
      <c r="U299" s="243"/>
      <c r="V299" s="243"/>
      <c r="W299" s="243"/>
      <c r="X299" s="243"/>
      <c r="Y299" s="243"/>
      <c r="Z299" s="243"/>
    </row>
    <row r="300">
      <c r="A300" s="243"/>
      <c r="B300" s="243"/>
      <c r="C300" s="243"/>
      <c r="D300" s="243"/>
      <c r="E300" s="243"/>
      <c r="F300" s="243"/>
      <c r="G300" s="243"/>
      <c r="H300" s="243"/>
      <c r="I300" s="243"/>
      <c r="J300" s="243"/>
      <c r="K300" s="243"/>
      <c r="L300" s="243"/>
      <c r="M300" s="243"/>
      <c r="N300" s="243"/>
      <c r="O300" s="243"/>
      <c r="P300" s="243"/>
      <c r="Q300" s="243"/>
      <c r="R300" s="243"/>
      <c r="S300" s="243"/>
      <c r="T300" s="243"/>
      <c r="U300" s="243"/>
      <c r="V300" s="243"/>
      <c r="W300" s="243"/>
      <c r="X300" s="243"/>
      <c r="Y300" s="243"/>
      <c r="Z300" s="243"/>
    </row>
    <row r="301">
      <c r="A301" s="243"/>
      <c r="B301" s="243"/>
      <c r="C301" s="243"/>
      <c r="D301" s="243"/>
      <c r="E301" s="243"/>
      <c r="F301" s="243"/>
      <c r="G301" s="243"/>
      <c r="H301" s="243"/>
      <c r="I301" s="243"/>
      <c r="J301" s="243"/>
      <c r="K301" s="243"/>
      <c r="L301" s="243"/>
      <c r="M301" s="243"/>
      <c r="N301" s="243"/>
      <c r="O301" s="243"/>
      <c r="P301" s="243"/>
      <c r="Q301" s="243"/>
      <c r="R301" s="243"/>
      <c r="S301" s="243"/>
      <c r="T301" s="243"/>
      <c r="U301" s="243"/>
      <c r="V301" s="243"/>
      <c r="W301" s="243"/>
      <c r="X301" s="243"/>
      <c r="Y301" s="243"/>
      <c r="Z301" s="243"/>
    </row>
    <row r="302">
      <c r="A302" s="243"/>
      <c r="B302" s="243"/>
      <c r="C302" s="243"/>
      <c r="D302" s="243"/>
      <c r="E302" s="243"/>
      <c r="F302" s="243"/>
      <c r="G302" s="243"/>
      <c r="H302" s="243"/>
      <c r="I302" s="243"/>
      <c r="J302" s="243"/>
      <c r="K302" s="243"/>
      <c r="L302" s="243"/>
      <c r="M302" s="243"/>
      <c r="N302" s="243"/>
      <c r="O302" s="243"/>
      <c r="P302" s="243"/>
      <c r="Q302" s="243"/>
      <c r="R302" s="243"/>
      <c r="S302" s="243"/>
      <c r="T302" s="243"/>
      <c r="U302" s="243"/>
      <c r="V302" s="243"/>
      <c r="W302" s="243"/>
      <c r="X302" s="243"/>
      <c r="Y302" s="243"/>
      <c r="Z302" s="243"/>
    </row>
    <row r="303">
      <c r="A303" s="243"/>
      <c r="B303" s="243"/>
      <c r="C303" s="243"/>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c r="Z303" s="243"/>
    </row>
    <row r="304">
      <c r="A304" s="243"/>
      <c r="B304" s="243"/>
      <c r="C304" s="243"/>
      <c r="D304" s="243"/>
      <c r="E304" s="243"/>
      <c r="F304" s="243"/>
      <c r="G304" s="243"/>
      <c r="H304" s="243"/>
      <c r="I304" s="243"/>
      <c r="J304" s="243"/>
      <c r="K304" s="243"/>
      <c r="L304" s="243"/>
      <c r="M304" s="243"/>
      <c r="N304" s="243"/>
      <c r="O304" s="243"/>
      <c r="P304" s="243"/>
      <c r="Q304" s="243"/>
      <c r="R304" s="243"/>
      <c r="S304" s="243"/>
      <c r="T304" s="243"/>
      <c r="U304" s="243"/>
      <c r="V304" s="243"/>
      <c r="W304" s="243"/>
      <c r="X304" s="243"/>
      <c r="Y304" s="243"/>
      <c r="Z304" s="243"/>
    </row>
    <row r="305">
      <c r="A305" s="243"/>
      <c r="B305" s="243"/>
      <c r="C305" s="243"/>
      <c r="D305" s="243"/>
      <c r="E305" s="243"/>
      <c r="F305" s="243"/>
      <c r="G305" s="243"/>
      <c r="H305" s="243"/>
      <c r="I305" s="243"/>
      <c r="J305" s="243"/>
      <c r="K305" s="243"/>
      <c r="L305" s="243"/>
      <c r="M305" s="243"/>
      <c r="N305" s="243"/>
      <c r="O305" s="243"/>
      <c r="P305" s="243"/>
      <c r="Q305" s="243"/>
      <c r="R305" s="243"/>
      <c r="S305" s="243"/>
      <c r="T305" s="243"/>
      <c r="U305" s="243"/>
      <c r="V305" s="243"/>
      <c r="W305" s="243"/>
      <c r="X305" s="243"/>
      <c r="Y305" s="243"/>
      <c r="Z305" s="243"/>
    </row>
    <row r="306">
      <c r="A306" s="243"/>
      <c r="B306" s="243"/>
      <c r="C306" s="243"/>
      <c r="D306" s="243"/>
      <c r="E306" s="243"/>
      <c r="F306" s="243"/>
      <c r="G306" s="243"/>
      <c r="H306" s="243"/>
      <c r="I306" s="243"/>
      <c r="J306" s="243"/>
      <c r="K306" s="243"/>
      <c r="L306" s="243"/>
      <c r="M306" s="243"/>
      <c r="N306" s="243"/>
      <c r="O306" s="243"/>
      <c r="P306" s="243"/>
      <c r="Q306" s="243"/>
      <c r="R306" s="243"/>
      <c r="S306" s="243"/>
      <c r="T306" s="243"/>
      <c r="U306" s="243"/>
      <c r="V306" s="243"/>
      <c r="W306" s="243"/>
      <c r="X306" s="243"/>
      <c r="Y306" s="243"/>
      <c r="Z306" s="243"/>
    </row>
    <row r="307">
      <c r="A307" s="243"/>
      <c r="B307" s="243"/>
      <c r="C307" s="243"/>
      <c r="D307" s="243"/>
      <c r="E307" s="243"/>
      <c r="F307" s="243"/>
      <c r="G307" s="243"/>
      <c r="H307" s="243"/>
      <c r="I307" s="243"/>
      <c r="J307" s="243"/>
      <c r="K307" s="243"/>
      <c r="L307" s="243"/>
      <c r="M307" s="243"/>
      <c r="N307" s="243"/>
      <c r="O307" s="243"/>
      <c r="P307" s="243"/>
      <c r="Q307" s="243"/>
      <c r="R307" s="243"/>
      <c r="S307" s="243"/>
      <c r="T307" s="243"/>
      <c r="U307" s="243"/>
      <c r="V307" s="243"/>
      <c r="W307" s="243"/>
      <c r="X307" s="243"/>
      <c r="Y307" s="243"/>
      <c r="Z307" s="243"/>
    </row>
    <row r="308">
      <c r="A308" s="243"/>
      <c r="B308" s="243"/>
      <c r="C308" s="243"/>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c r="Z308" s="243"/>
    </row>
    <row r="309">
      <c r="A309" s="243"/>
      <c r="B309" s="243"/>
      <c r="C309" s="243"/>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c r="Z309" s="243"/>
    </row>
    <row r="310">
      <c r="A310" s="243"/>
      <c r="B310" s="243"/>
      <c r="C310" s="243"/>
      <c r="D310" s="243"/>
      <c r="E310" s="243"/>
      <c r="F310" s="243"/>
      <c r="G310" s="243"/>
      <c r="H310" s="243"/>
      <c r="I310" s="243"/>
      <c r="J310" s="243"/>
      <c r="K310" s="243"/>
      <c r="L310" s="243"/>
      <c r="M310" s="243"/>
      <c r="N310" s="243"/>
      <c r="O310" s="243"/>
      <c r="P310" s="243"/>
      <c r="Q310" s="243"/>
      <c r="R310" s="243"/>
      <c r="S310" s="243"/>
      <c r="T310" s="243"/>
      <c r="U310" s="243"/>
      <c r="V310" s="243"/>
      <c r="W310" s="243"/>
      <c r="X310" s="243"/>
      <c r="Y310" s="243"/>
      <c r="Z310" s="243"/>
    </row>
    <row r="311">
      <c r="A311" s="243"/>
      <c r="B311" s="243"/>
      <c r="C311" s="243"/>
      <c r="D311" s="243"/>
      <c r="E311" s="243"/>
      <c r="F311" s="243"/>
      <c r="G311" s="243"/>
      <c r="H311" s="243"/>
      <c r="I311" s="243"/>
      <c r="J311" s="243"/>
      <c r="K311" s="243"/>
      <c r="L311" s="243"/>
      <c r="M311" s="243"/>
      <c r="N311" s="243"/>
      <c r="O311" s="243"/>
      <c r="P311" s="243"/>
      <c r="Q311" s="243"/>
      <c r="R311" s="243"/>
      <c r="S311" s="243"/>
      <c r="T311" s="243"/>
      <c r="U311" s="243"/>
      <c r="V311" s="243"/>
      <c r="W311" s="243"/>
      <c r="X311" s="243"/>
      <c r="Y311" s="243"/>
      <c r="Z311" s="243"/>
    </row>
    <row r="312">
      <c r="A312" s="243"/>
      <c r="B312" s="243"/>
      <c r="C312" s="243"/>
      <c r="D312" s="243"/>
      <c r="E312" s="243"/>
      <c r="F312" s="243"/>
      <c r="G312" s="243"/>
      <c r="H312" s="243"/>
      <c r="I312" s="243"/>
      <c r="J312" s="243"/>
      <c r="K312" s="243"/>
      <c r="L312" s="243"/>
      <c r="M312" s="243"/>
      <c r="N312" s="243"/>
      <c r="O312" s="243"/>
      <c r="P312" s="243"/>
      <c r="Q312" s="243"/>
      <c r="R312" s="243"/>
      <c r="S312" s="243"/>
      <c r="T312" s="243"/>
      <c r="U312" s="243"/>
      <c r="V312" s="243"/>
      <c r="W312" s="243"/>
      <c r="X312" s="243"/>
      <c r="Y312" s="243"/>
      <c r="Z312" s="243"/>
    </row>
    <row r="313">
      <c r="A313" s="243"/>
      <c r="B313" s="243"/>
      <c r="C313" s="243"/>
      <c r="D313" s="243"/>
      <c r="E313" s="243"/>
      <c r="F313" s="243"/>
      <c r="G313" s="243"/>
      <c r="H313" s="243"/>
      <c r="I313" s="243"/>
      <c r="J313" s="243"/>
      <c r="K313" s="243"/>
      <c r="L313" s="243"/>
      <c r="M313" s="243"/>
      <c r="N313" s="243"/>
      <c r="O313" s="243"/>
      <c r="P313" s="243"/>
      <c r="Q313" s="243"/>
      <c r="R313" s="243"/>
      <c r="S313" s="243"/>
      <c r="T313" s="243"/>
      <c r="U313" s="243"/>
      <c r="V313" s="243"/>
      <c r="W313" s="243"/>
      <c r="X313" s="243"/>
      <c r="Y313" s="243"/>
      <c r="Z313" s="243"/>
    </row>
    <row r="314">
      <c r="A314" s="243"/>
      <c r="B314" s="243"/>
      <c r="C314" s="243"/>
      <c r="D314" s="243"/>
      <c r="E314" s="243"/>
      <c r="F314" s="243"/>
      <c r="G314" s="243"/>
      <c r="H314" s="243"/>
      <c r="I314" s="243"/>
      <c r="J314" s="243"/>
      <c r="K314" s="243"/>
      <c r="L314" s="243"/>
      <c r="M314" s="243"/>
      <c r="N314" s="243"/>
      <c r="O314" s="243"/>
      <c r="P314" s="243"/>
      <c r="Q314" s="243"/>
      <c r="R314" s="243"/>
      <c r="S314" s="243"/>
      <c r="T314" s="243"/>
      <c r="U314" s="243"/>
      <c r="V314" s="243"/>
      <c r="W314" s="243"/>
      <c r="X314" s="243"/>
      <c r="Y314" s="243"/>
      <c r="Z314" s="243"/>
    </row>
    <row r="315">
      <c r="A315" s="243"/>
      <c r="B315" s="243"/>
      <c r="C315" s="243"/>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c r="Z315" s="243"/>
    </row>
    <row r="316">
      <c r="A316" s="243"/>
      <c r="B316" s="243"/>
      <c r="C316" s="243"/>
      <c r="D316" s="243"/>
      <c r="E316" s="243"/>
      <c r="F316" s="243"/>
      <c r="G316" s="243"/>
      <c r="H316" s="243"/>
      <c r="I316" s="243"/>
      <c r="J316" s="243"/>
      <c r="K316" s="243"/>
      <c r="L316" s="243"/>
      <c r="M316" s="243"/>
      <c r="N316" s="243"/>
      <c r="O316" s="243"/>
      <c r="P316" s="243"/>
      <c r="Q316" s="243"/>
      <c r="R316" s="243"/>
      <c r="S316" s="243"/>
      <c r="T316" s="243"/>
      <c r="U316" s="243"/>
      <c r="V316" s="243"/>
      <c r="W316" s="243"/>
      <c r="X316" s="243"/>
      <c r="Y316" s="243"/>
      <c r="Z316" s="243"/>
    </row>
    <row r="317">
      <c r="A317" s="243"/>
      <c r="B317" s="243"/>
      <c r="C317" s="243"/>
      <c r="D317" s="243"/>
      <c r="E317" s="243"/>
      <c r="F317" s="243"/>
      <c r="G317" s="243"/>
      <c r="H317" s="243"/>
      <c r="I317" s="243"/>
      <c r="J317" s="243"/>
      <c r="K317" s="243"/>
      <c r="L317" s="243"/>
      <c r="M317" s="243"/>
      <c r="N317" s="243"/>
      <c r="O317" s="243"/>
      <c r="P317" s="243"/>
      <c r="Q317" s="243"/>
      <c r="R317" s="243"/>
      <c r="S317" s="243"/>
      <c r="T317" s="243"/>
      <c r="U317" s="243"/>
      <c r="V317" s="243"/>
      <c r="W317" s="243"/>
      <c r="X317" s="243"/>
      <c r="Y317" s="243"/>
      <c r="Z317" s="243"/>
    </row>
    <row r="318">
      <c r="A318" s="243"/>
      <c r="B318" s="243"/>
      <c r="C318" s="243"/>
      <c r="D318" s="243"/>
      <c r="E318" s="243"/>
      <c r="F318" s="243"/>
      <c r="G318" s="243"/>
      <c r="H318" s="243"/>
      <c r="I318" s="243"/>
      <c r="J318" s="243"/>
      <c r="K318" s="243"/>
      <c r="L318" s="243"/>
      <c r="M318" s="243"/>
      <c r="N318" s="243"/>
      <c r="O318" s="243"/>
      <c r="P318" s="243"/>
      <c r="Q318" s="243"/>
      <c r="R318" s="243"/>
      <c r="S318" s="243"/>
      <c r="T318" s="243"/>
      <c r="U318" s="243"/>
      <c r="V318" s="243"/>
      <c r="W318" s="243"/>
      <c r="X318" s="243"/>
      <c r="Y318" s="243"/>
      <c r="Z318" s="243"/>
    </row>
    <row r="319">
      <c r="A319" s="243"/>
      <c r="B319" s="243"/>
      <c r="C319" s="243"/>
      <c r="D319" s="243"/>
      <c r="E319" s="243"/>
      <c r="F319" s="243"/>
      <c r="G319" s="243"/>
      <c r="H319" s="243"/>
      <c r="I319" s="243"/>
      <c r="J319" s="243"/>
      <c r="K319" s="243"/>
      <c r="L319" s="243"/>
      <c r="M319" s="243"/>
      <c r="N319" s="243"/>
      <c r="O319" s="243"/>
      <c r="P319" s="243"/>
      <c r="Q319" s="243"/>
      <c r="R319" s="243"/>
      <c r="S319" s="243"/>
      <c r="T319" s="243"/>
      <c r="U319" s="243"/>
      <c r="V319" s="243"/>
      <c r="W319" s="243"/>
      <c r="X319" s="243"/>
      <c r="Y319" s="243"/>
      <c r="Z319" s="243"/>
    </row>
    <row r="320">
      <c r="A320" s="243"/>
      <c r="B320" s="243"/>
      <c r="C320" s="243"/>
      <c r="D320" s="243"/>
      <c r="E320" s="243"/>
      <c r="F320" s="243"/>
      <c r="G320" s="243"/>
      <c r="H320" s="243"/>
      <c r="I320" s="243"/>
      <c r="J320" s="243"/>
      <c r="K320" s="243"/>
      <c r="L320" s="243"/>
      <c r="M320" s="243"/>
      <c r="N320" s="243"/>
      <c r="O320" s="243"/>
      <c r="P320" s="243"/>
      <c r="Q320" s="243"/>
      <c r="R320" s="243"/>
      <c r="S320" s="243"/>
      <c r="T320" s="243"/>
      <c r="U320" s="243"/>
      <c r="V320" s="243"/>
      <c r="W320" s="243"/>
      <c r="X320" s="243"/>
      <c r="Y320" s="243"/>
      <c r="Z320" s="243"/>
    </row>
    <row r="321">
      <c r="A321" s="243"/>
      <c r="B321" s="243"/>
      <c r="C321" s="243"/>
      <c r="D321" s="243"/>
      <c r="E321" s="243"/>
      <c r="F321" s="243"/>
      <c r="G321" s="243"/>
      <c r="H321" s="243"/>
      <c r="I321" s="243"/>
      <c r="J321" s="243"/>
      <c r="K321" s="243"/>
      <c r="L321" s="243"/>
      <c r="M321" s="243"/>
      <c r="N321" s="243"/>
      <c r="O321" s="243"/>
      <c r="P321" s="243"/>
      <c r="Q321" s="243"/>
      <c r="R321" s="243"/>
      <c r="S321" s="243"/>
      <c r="T321" s="243"/>
      <c r="U321" s="243"/>
      <c r="V321" s="243"/>
      <c r="W321" s="243"/>
      <c r="X321" s="243"/>
      <c r="Y321" s="243"/>
      <c r="Z321" s="243"/>
    </row>
    <row r="322">
      <c r="A322" s="243"/>
      <c r="B322" s="243"/>
      <c r="C322" s="243"/>
      <c r="D322" s="243"/>
      <c r="E322" s="243"/>
      <c r="F322" s="243"/>
      <c r="G322" s="243"/>
      <c r="H322" s="243"/>
      <c r="I322" s="243"/>
      <c r="J322" s="243"/>
      <c r="K322" s="243"/>
      <c r="L322" s="243"/>
      <c r="M322" s="243"/>
      <c r="N322" s="243"/>
      <c r="O322" s="243"/>
      <c r="P322" s="243"/>
      <c r="Q322" s="243"/>
      <c r="R322" s="243"/>
      <c r="S322" s="243"/>
      <c r="T322" s="243"/>
      <c r="U322" s="243"/>
      <c r="V322" s="243"/>
      <c r="W322" s="243"/>
      <c r="X322" s="243"/>
      <c r="Y322" s="243"/>
      <c r="Z322" s="243"/>
    </row>
    <row r="323">
      <c r="A323" s="243"/>
      <c r="B323" s="243"/>
      <c r="C323" s="243"/>
      <c r="D323" s="243"/>
      <c r="E323" s="243"/>
      <c r="F323" s="243"/>
      <c r="G323" s="243"/>
      <c r="H323" s="243"/>
      <c r="I323" s="243"/>
      <c r="J323" s="243"/>
      <c r="K323" s="243"/>
      <c r="L323" s="243"/>
      <c r="M323" s="243"/>
      <c r="N323" s="243"/>
      <c r="O323" s="243"/>
      <c r="P323" s="243"/>
      <c r="Q323" s="243"/>
      <c r="R323" s="243"/>
      <c r="S323" s="243"/>
      <c r="T323" s="243"/>
      <c r="U323" s="243"/>
      <c r="V323" s="243"/>
      <c r="W323" s="243"/>
      <c r="X323" s="243"/>
      <c r="Y323" s="243"/>
      <c r="Z323" s="243"/>
    </row>
    <row r="324">
      <c r="A324" s="243"/>
      <c r="B324" s="243"/>
      <c r="C324" s="243"/>
      <c r="D324" s="243"/>
      <c r="E324" s="243"/>
      <c r="F324" s="243"/>
      <c r="G324" s="243"/>
      <c r="H324" s="243"/>
      <c r="I324" s="243"/>
      <c r="J324" s="243"/>
      <c r="K324" s="243"/>
      <c r="L324" s="243"/>
      <c r="M324" s="243"/>
      <c r="N324" s="243"/>
      <c r="O324" s="243"/>
      <c r="P324" s="243"/>
      <c r="Q324" s="243"/>
      <c r="R324" s="243"/>
      <c r="S324" s="243"/>
      <c r="T324" s="243"/>
      <c r="U324" s="243"/>
      <c r="V324" s="243"/>
      <c r="W324" s="243"/>
      <c r="X324" s="243"/>
      <c r="Y324" s="243"/>
      <c r="Z324" s="243"/>
    </row>
    <row r="325">
      <c r="A325" s="243"/>
      <c r="B325" s="243"/>
      <c r="C325" s="243"/>
      <c r="D325" s="243"/>
      <c r="E325" s="243"/>
      <c r="F325" s="243"/>
      <c r="G325" s="243"/>
      <c r="H325" s="243"/>
      <c r="I325" s="243"/>
      <c r="J325" s="243"/>
      <c r="K325" s="243"/>
      <c r="L325" s="243"/>
      <c r="M325" s="243"/>
      <c r="N325" s="243"/>
      <c r="O325" s="243"/>
      <c r="P325" s="243"/>
      <c r="Q325" s="243"/>
      <c r="R325" s="243"/>
      <c r="S325" s="243"/>
      <c r="T325" s="243"/>
      <c r="U325" s="243"/>
      <c r="V325" s="243"/>
      <c r="W325" s="243"/>
      <c r="X325" s="243"/>
      <c r="Y325" s="243"/>
      <c r="Z325" s="243"/>
    </row>
    <row r="326">
      <c r="A326" s="243"/>
      <c r="B326" s="243"/>
      <c r="C326" s="243"/>
      <c r="D326" s="243"/>
      <c r="E326" s="243"/>
      <c r="F326" s="243"/>
      <c r="G326" s="243"/>
      <c r="H326" s="243"/>
      <c r="I326" s="243"/>
      <c r="J326" s="243"/>
      <c r="K326" s="243"/>
      <c r="L326" s="243"/>
      <c r="M326" s="243"/>
      <c r="N326" s="243"/>
      <c r="O326" s="243"/>
      <c r="P326" s="243"/>
      <c r="Q326" s="243"/>
      <c r="R326" s="243"/>
      <c r="S326" s="243"/>
      <c r="T326" s="243"/>
      <c r="U326" s="243"/>
      <c r="V326" s="243"/>
      <c r="W326" s="243"/>
      <c r="X326" s="243"/>
      <c r="Y326" s="243"/>
      <c r="Z326" s="243"/>
    </row>
    <row r="327">
      <c r="A327" s="243"/>
      <c r="B327" s="243"/>
      <c r="C327" s="243"/>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c r="Z327" s="243"/>
    </row>
    <row r="328">
      <c r="A328" s="243"/>
      <c r="B328" s="243"/>
      <c r="C328" s="243"/>
      <c r="D328" s="243"/>
      <c r="E328" s="243"/>
      <c r="F328" s="243"/>
      <c r="G328" s="243"/>
      <c r="H328" s="243"/>
      <c r="I328" s="243"/>
      <c r="J328" s="243"/>
      <c r="K328" s="243"/>
      <c r="L328" s="243"/>
      <c r="M328" s="243"/>
      <c r="N328" s="243"/>
      <c r="O328" s="243"/>
      <c r="P328" s="243"/>
      <c r="Q328" s="243"/>
      <c r="R328" s="243"/>
      <c r="S328" s="243"/>
      <c r="T328" s="243"/>
      <c r="U328" s="243"/>
      <c r="V328" s="243"/>
      <c r="W328" s="243"/>
      <c r="X328" s="243"/>
      <c r="Y328" s="243"/>
      <c r="Z328" s="243"/>
    </row>
    <row r="329">
      <c r="A329" s="243"/>
      <c r="B329" s="243"/>
      <c r="C329" s="243"/>
      <c r="D329" s="243"/>
      <c r="E329" s="243"/>
      <c r="F329" s="243"/>
      <c r="G329" s="243"/>
      <c r="H329" s="243"/>
      <c r="I329" s="243"/>
      <c r="J329" s="243"/>
      <c r="K329" s="243"/>
      <c r="L329" s="243"/>
      <c r="M329" s="243"/>
      <c r="N329" s="243"/>
      <c r="O329" s="243"/>
      <c r="P329" s="243"/>
      <c r="Q329" s="243"/>
      <c r="R329" s="243"/>
      <c r="S329" s="243"/>
      <c r="T329" s="243"/>
      <c r="U329" s="243"/>
      <c r="V329" s="243"/>
      <c r="W329" s="243"/>
      <c r="X329" s="243"/>
      <c r="Y329" s="243"/>
      <c r="Z329" s="243"/>
    </row>
    <row r="330">
      <c r="A330" s="243"/>
      <c r="B330" s="243"/>
      <c r="C330" s="243"/>
      <c r="D330" s="243"/>
      <c r="E330" s="243"/>
      <c r="F330" s="243"/>
      <c r="G330" s="243"/>
      <c r="H330" s="243"/>
      <c r="I330" s="243"/>
      <c r="J330" s="243"/>
      <c r="K330" s="243"/>
      <c r="L330" s="243"/>
      <c r="M330" s="243"/>
      <c r="N330" s="243"/>
      <c r="O330" s="243"/>
      <c r="P330" s="243"/>
      <c r="Q330" s="243"/>
      <c r="R330" s="243"/>
      <c r="S330" s="243"/>
      <c r="T330" s="243"/>
      <c r="U330" s="243"/>
      <c r="V330" s="243"/>
      <c r="W330" s="243"/>
      <c r="X330" s="243"/>
      <c r="Y330" s="243"/>
      <c r="Z330" s="243"/>
    </row>
    <row r="331">
      <c r="A331" s="243"/>
      <c r="B331" s="243"/>
      <c r="C331" s="243"/>
      <c r="D331" s="243"/>
      <c r="E331" s="243"/>
      <c r="F331" s="243"/>
      <c r="G331" s="243"/>
      <c r="H331" s="243"/>
      <c r="I331" s="243"/>
      <c r="J331" s="243"/>
      <c r="K331" s="243"/>
      <c r="L331" s="243"/>
      <c r="M331" s="243"/>
      <c r="N331" s="243"/>
      <c r="O331" s="243"/>
      <c r="P331" s="243"/>
      <c r="Q331" s="243"/>
      <c r="R331" s="243"/>
      <c r="S331" s="243"/>
      <c r="T331" s="243"/>
      <c r="U331" s="243"/>
      <c r="V331" s="243"/>
      <c r="W331" s="243"/>
      <c r="X331" s="243"/>
      <c r="Y331" s="243"/>
      <c r="Z331" s="243"/>
    </row>
    <row r="332">
      <c r="A332" s="243"/>
      <c r="B332" s="243"/>
      <c r="C332" s="243"/>
      <c r="D332" s="243"/>
      <c r="E332" s="243"/>
      <c r="F332" s="243"/>
      <c r="G332" s="243"/>
      <c r="H332" s="243"/>
      <c r="I332" s="243"/>
      <c r="J332" s="243"/>
      <c r="K332" s="243"/>
      <c r="L332" s="243"/>
      <c r="M332" s="243"/>
      <c r="N332" s="243"/>
      <c r="O332" s="243"/>
      <c r="P332" s="243"/>
      <c r="Q332" s="243"/>
      <c r="R332" s="243"/>
      <c r="S332" s="243"/>
      <c r="T332" s="243"/>
      <c r="U332" s="243"/>
      <c r="V332" s="243"/>
      <c r="W332" s="243"/>
      <c r="X332" s="243"/>
      <c r="Y332" s="243"/>
      <c r="Z332" s="243"/>
    </row>
    <row r="333">
      <c r="A333" s="243"/>
      <c r="B333" s="243"/>
      <c r="C333" s="243"/>
      <c r="D333" s="243"/>
      <c r="E333" s="243"/>
      <c r="F333" s="243"/>
      <c r="G333" s="243"/>
      <c r="H333" s="243"/>
      <c r="I333" s="243"/>
      <c r="J333" s="243"/>
      <c r="K333" s="243"/>
      <c r="L333" s="243"/>
      <c r="M333" s="243"/>
      <c r="N333" s="243"/>
      <c r="O333" s="243"/>
      <c r="P333" s="243"/>
      <c r="Q333" s="243"/>
      <c r="R333" s="243"/>
      <c r="S333" s="243"/>
      <c r="T333" s="243"/>
      <c r="U333" s="243"/>
      <c r="V333" s="243"/>
      <c r="W333" s="243"/>
      <c r="X333" s="243"/>
      <c r="Y333" s="243"/>
      <c r="Z333" s="243"/>
    </row>
    <row r="334">
      <c r="A334" s="243"/>
      <c r="B334" s="243"/>
      <c r="C334" s="243"/>
      <c r="D334" s="243"/>
      <c r="E334" s="243"/>
      <c r="F334" s="243"/>
      <c r="G334" s="243"/>
      <c r="H334" s="243"/>
      <c r="I334" s="243"/>
      <c r="J334" s="243"/>
      <c r="K334" s="243"/>
      <c r="L334" s="243"/>
      <c r="M334" s="243"/>
      <c r="N334" s="243"/>
      <c r="O334" s="243"/>
      <c r="P334" s="243"/>
      <c r="Q334" s="243"/>
      <c r="R334" s="243"/>
      <c r="S334" s="243"/>
      <c r="T334" s="243"/>
      <c r="U334" s="243"/>
      <c r="V334" s="243"/>
      <c r="W334" s="243"/>
      <c r="X334" s="243"/>
      <c r="Y334" s="243"/>
      <c r="Z334" s="243"/>
    </row>
    <row r="335">
      <c r="A335" s="243"/>
      <c r="B335" s="243"/>
      <c r="C335" s="243"/>
      <c r="D335" s="243"/>
      <c r="E335" s="243"/>
      <c r="F335" s="243"/>
      <c r="G335" s="243"/>
      <c r="H335" s="243"/>
      <c r="I335" s="243"/>
      <c r="J335" s="243"/>
      <c r="K335" s="243"/>
      <c r="L335" s="243"/>
      <c r="M335" s="243"/>
      <c r="N335" s="243"/>
      <c r="O335" s="243"/>
      <c r="P335" s="243"/>
      <c r="Q335" s="243"/>
      <c r="R335" s="243"/>
      <c r="S335" s="243"/>
      <c r="T335" s="243"/>
      <c r="U335" s="243"/>
      <c r="V335" s="243"/>
      <c r="W335" s="243"/>
      <c r="X335" s="243"/>
      <c r="Y335" s="243"/>
      <c r="Z335" s="243"/>
    </row>
    <row r="336">
      <c r="A336" s="243"/>
      <c r="B336" s="243"/>
      <c r="C336" s="243"/>
      <c r="D336" s="243"/>
      <c r="E336" s="243"/>
      <c r="F336" s="243"/>
      <c r="G336" s="243"/>
      <c r="H336" s="243"/>
      <c r="I336" s="243"/>
      <c r="J336" s="243"/>
      <c r="K336" s="243"/>
      <c r="L336" s="243"/>
      <c r="M336" s="243"/>
      <c r="N336" s="243"/>
      <c r="O336" s="243"/>
      <c r="P336" s="243"/>
      <c r="Q336" s="243"/>
      <c r="R336" s="243"/>
      <c r="S336" s="243"/>
      <c r="T336" s="243"/>
      <c r="U336" s="243"/>
      <c r="V336" s="243"/>
      <c r="W336" s="243"/>
      <c r="X336" s="243"/>
      <c r="Y336" s="243"/>
      <c r="Z336" s="243"/>
    </row>
    <row r="337">
      <c r="A337" s="243"/>
      <c r="B337" s="243"/>
      <c r="C337" s="243"/>
      <c r="D337" s="243"/>
      <c r="E337" s="243"/>
      <c r="F337" s="243"/>
      <c r="G337" s="243"/>
      <c r="H337" s="243"/>
      <c r="I337" s="243"/>
      <c r="J337" s="243"/>
      <c r="K337" s="243"/>
      <c r="L337" s="243"/>
      <c r="M337" s="243"/>
      <c r="N337" s="243"/>
      <c r="O337" s="243"/>
      <c r="P337" s="243"/>
      <c r="Q337" s="243"/>
      <c r="R337" s="243"/>
      <c r="S337" s="243"/>
      <c r="T337" s="243"/>
      <c r="U337" s="243"/>
      <c r="V337" s="243"/>
      <c r="W337" s="243"/>
      <c r="X337" s="243"/>
      <c r="Y337" s="243"/>
      <c r="Z337" s="243"/>
    </row>
    <row r="338">
      <c r="A338" s="243"/>
      <c r="B338" s="243"/>
      <c r="C338" s="243"/>
      <c r="D338" s="243"/>
      <c r="E338" s="243"/>
      <c r="F338" s="243"/>
      <c r="G338" s="243"/>
      <c r="H338" s="243"/>
      <c r="I338" s="243"/>
      <c r="J338" s="243"/>
      <c r="K338" s="243"/>
      <c r="L338" s="243"/>
      <c r="M338" s="243"/>
      <c r="N338" s="243"/>
      <c r="O338" s="243"/>
      <c r="P338" s="243"/>
      <c r="Q338" s="243"/>
      <c r="R338" s="243"/>
      <c r="S338" s="243"/>
      <c r="T338" s="243"/>
      <c r="U338" s="243"/>
      <c r="V338" s="243"/>
      <c r="W338" s="243"/>
      <c r="X338" s="243"/>
      <c r="Y338" s="243"/>
      <c r="Z338" s="243"/>
    </row>
    <row r="339">
      <c r="A339" s="243"/>
      <c r="B339" s="243"/>
      <c r="C339" s="243"/>
      <c r="D339" s="243"/>
      <c r="E339" s="243"/>
      <c r="F339" s="243"/>
      <c r="G339" s="243"/>
      <c r="H339" s="243"/>
      <c r="I339" s="243"/>
      <c r="J339" s="243"/>
      <c r="K339" s="243"/>
      <c r="L339" s="243"/>
      <c r="M339" s="243"/>
      <c r="N339" s="243"/>
      <c r="O339" s="243"/>
      <c r="P339" s="243"/>
      <c r="Q339" s="243"/>
      <c r="R339" s="243"/>
      <c r="S339" s="243"/>
      <c r="T339" s="243"/>
      <c r="U339" s="243"/>
      <c r="V339" s="243"/>
      <c r="W339" s="243"/>
      <c r="X339" s="243"/>
      <c r="Y339" s="243"/>
      <c r="Z339" s="243"/>
    </row>
    <row r="340">
      <c r="A340" s="243"/>
      <c r="B340" s="243"/>
      <c r="C340" s="243"/>
      <c r="D340" s="243"/>
      <c r="E340" s="243"/>
      <c r="F340" s="243"/>
      <c r="G340" s="243"/>
      <c r="H340" s="243"/>
      <c r="I340" s="243"/>
      <c r="J340" s="243"/>
      <c r="K340" s="243"/>
      <c r="L340" s="243"/>
      <c r="M340" s="243"/>
      <c r="N340" s="243"/>
      <c r="O340" s="243"/>
      <c r="P340" s="243"/>
      <c r="Q340" s="243"/>
      <c r="R340" s="243"/>
      <c r="S340" s="243"/>
      <c r="T340" s="243"/>
      <c r="U340" s="243"/>
      <c r="V340" s="243"/>
      <c r="W340" s="243"/>
      <c r="X340" s="243"/>
      <c r="Y340" s="243"/>
      <c r="Z340" s="243"/>
    </row>
    <row r="341">
      <c r="A341" s="243"/>
      <c r="B341" s="243"/>
      <c r="C341" s="243"/>
      <c r="D341" s="243"/>
      <c r="E341" s="243"/>
      <c r="F341" s="243"/>
      <c r="G341" s="243"/>
      <c r="H341" s="243"/>
      <c r="I341" s="243"/>
      <c r="J341" s="243"/>
      <c r="K341" s="243"/>
      <c r="L341" s="243"/>
      <c r="M341" s="243"/>
      <c r="N341" s="243"/>
      <c r="O341" s="243"/>
      <c r="P341" s="243"/>
      <c r="Q341" s="243"/>
      <c r="R341" s="243"/>
      <c r="S341" s="243"/>
      <c r="T341" s="243"/>
      <c r="U341" s="243"/>
      <c r="V341" s="243"/>
      <c r="W341" s="243"/>
      <c r="X341" s="243"/>
      <c r="Y341" s="243"/>
      <c r="Z341" s="243"/>
    </row>
    <row r="342">
      <c r="A342" s="243"/>
      <c r="B342" s="243"/>
      <c r="C342" s="243"/>
      <c r="D342" s="243"/>
      <c r="E342" s="243"/>
      <c r="F342" s="243"/>
      <c r="G342" s="243"/>
      <c r="H342" s="243"/>
      <c r="I342" s="243"/>
      <c r="J342" s="243"/>
      <c r="K342" s="243"/>
      <c r="L342" s="243"/>
      <c r="M342" s="243"/>
      <c r="N342" s="243"/>
      <c r="O342" s="243"/>
      <c r="P342" s="243"/>
      <c r="Q342" s="243"/>
      <c r="R342" s="243"/>
      <c r="S342" s="243"/>
      <c r="T342" s="243"/>
      <c r="U342" s="243"/>
      <c r="V342" s="243"/>
      <c r="W342" s="243"/>
      <c r="X342" s="243"/>
      <c r="Y342" s="243"/>
      <c r="Z342" s="243"/>
    </row>
    <row r="343">
      <c r="A343" s="243"/>
      <c r="B343" s="243"/>
      <c r="C343" s="243"/>
      <c r="D343" s="243"/>
      <c r="E343" s="243"/>
      <c r="F343" s="243"/>
      <c r="G343" s="243"/>
      <c r="H343" s="243"/>
      <c r="I343" s="243"/>
      <c r="J343" s="243"/>
      <c r="K343" s="243"/>
      <c r="L343" s="243"/>
      <c r="M343" s="243"/>
      <c r="N343" s="243"/>
      <c r="O343" s="243"/>
      <c r="P343" s="243"/>
      <c r="Q343" s="243"/>
      <c r="R343" s="243"/>
      <c r="S343" s="243"/>
      <c r="T343" s="243"/>
      <c r="U343" s="243"/>
      <c r="V343" s="243"/>
      <c r="W343" s="243"/>
      <c r="X343" s="243"/>
      <c r="Y343" s="243"/>
      <c r="Z343" s="243"/>
    </row>
    <row r="344">
      <c r="A344" s="243"/>
      <c r="B344" s="243"/>
      <c r="C344" s="243"/>
      <c r="D344" s="243"/>
      <c r="E344" s="243"/>
      <c r="F344" s="243"/>
      <c r="G344" s="243"/>
      <c r="H344" s="243"/>
      <c r="I344" s="243"/>
      <c r="J344" s="243"/>
      <c r="K344" s="243"/>
      <c r="L344" s="243"/>
      <c r="M344" s="243"/>
      <c r="N344" s="243"/>
      <c r="O344" s="243"/>
      <c r="P344" s="243"/>
      <c r="Q344" s="243"/>
      <c r="R344" s="243"/>
      <c r="S344" s="243"/>
      <c r="T344" s="243"/>
      <c r="U344" s="243"/>
      <c r="V344" s="243"/>
      <c r="W344" s="243"/>
      <c r="X344" s="243"/>
      <c r="Y344" s="243"/>
      <c r="Z344" s="243"/>
    </row>
    <row r="345">
      <c r="A345" s="243"/>
      <c r="B345" s="243"/>
      <c r="C345" s="243"/>
      <c r="D345" s="243"/>
      <c r="E345" s="243"/>
      <c r="F345" s="243"/>
      <c r="G345" s="243"/>
      <c r="H345" s="243"/>
      <c r="I345" s="243"/>
      <c r="J345" s="243"/>
      <c r="K345" s="243"/>
      <c r="L345" s="243"/>
      <c r="M345" s="243"/>
      <c r="N345" s="243"/>
      <c r="O345" s="243"/>
      <c r="P345" s="243"/>
      <c r="Q345" s="243"/>
      <c r="R345" s="243"/>
      <c r="S345" s="243"/>
      <c r="T345" s="243"/>
      <c r="U345" s="243"/>
      <c r="V345" s="243"/>
      <c r="W345" s="243"/>
      <c r="X345" s="243"/>
      <c r="Y345" s="243"/>
      <c r="Z345" s="243"/>
    </row>
    <row r="346">
      <c r="A346" s="243"/>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row>
    <row r="347">
      <c r="A347" s="243"/>
      <c r="B347" s="243"/>
      <c r="C347" s="243"/>
      <c r="D347" s="243"/>
      <c r="E347" s="243"/>
      <c r="F347" s="243"/>
      <c r="G347" s="243"/>
      <c r="H347" s="243"/>
      <c r="I347" s="243"/>
      <c r="J347" s="243"/>
      <c r="K347" s="243"/>
      <c r="L347" s="243"/>
      <c r="M347" s="243"/>
      <c r="N347" s="243"/>
      <c r="O347" s="243"/>
      <c r="P347" s="243"/>
      <c r="Q347" s="243"/>
      <c r="R347" s="243"/>
      <c r="S347" s="243"/>
      <c r="T347" s="243"/>
      <c r="U347" s="243"/>
      <c r="V347" s="243"/>
      <c r="W347" s="243"/>
      <c r="X347" s="243"/>
      <c r="Y347" s="243"/>
      <c r="Z347" s="243"/>
    </row>
    <row r="348">
      <c r="A348" s="243"/>
      <c r="B348" s="243"/>
      <c r="C348" s="243"/>
      <c r="D348" s="243"/>
      <c r="E348" s="243"/>
      <c r="F348" s="243"/>
      <c r="G348" s="243"/>
      <c r="H348" s="243"/>
      <c r="I348" s="243"/>
      <c r="J348" s="243"/>
      <c r="K348" s="243"/>
      <c r="L348" s="243"/>
      <c r="M348" s="243"/>
      <c r="N348" s="243"/>
      <c r="O348" s="243"/>
      <c r="P348" s="243"/>
      <c r="Q348" s="243"/>
      <c r="R348" s="243"/>
      <c r="S348" s="243"/>
      <c r="T348" s="243"/>
      <c r="U348" s="243"/>
      <c r="V348" s="243"/>
      <c r="W348" s="243"/>
      <c r="X348" s="243"/>
      <c r="Y348" s="243"/>
      <c r="Z348" s="243"/>
    </row>
    <row r="349">
      <c r="A349" s="243"/>
      <c r="B349" s="243"/>
      <c r="C349" s="243"/>
      <c r="D349" s="243"/>
      <c r="E349" s="243"/>
      <c r="F349" s="243"/>
      <c r="G349" s="243"/>
      <c r="H349" s="243"/>
      <c r="I349" s="243"/>
      <c r="J349" s="243"/>
      <c r="K349" s="243"/>
      <c r="L349" s="243"/>
      <c r="M349" s="243"/>
      <c r="N349" s="243"/>
      <c r="O349" s="243"/>
      <c r="P349" s="243"/>
      <c r="Q349" s="243"/>
      <c r="R349" s="243"/>
      <c r="S349" s="243"/>
      <c r="T349" s="243"/>
      <c r="U349" s="243"/>
      <c r="V349" s="243"/>
      <c r="W349" s="243"/>
      <c r="X349" s="243"/>
      <c r="Y349" s="243"/>
      <c r="Z349" s="243"/>
    </row>
    <row r="350">
      <c r="A350" s="243"/>
      <c r="B350" s="243"/>
      <c r="C350" s="243"/>
      <c r="D350" s="243"/>
      <c r="E350" s="243"/>
      <c r="F350" s="243"/>
      <c r="G350" s="243"/>
      <c r="H350" s="243"/>
      <c r="I350" s="243"/>
      <c r="J350" s="243"/>
      <c r="K350" s="243"/>
      <c r="L350" s="243"/>
      <c r="M350" s="243"/>
      <c r="N350" s="243"/>
      <c r="O350" s="243"/>
      <c r="P350" s="243"/>
      <c r="Q350" s="243"/>
      <c r="R350" s="243"/>
      <c r="S350" s="243"/>
      <c r="T350" s="243"/>
      <c r="U350" s="243"/>
      <c r="V350" s="243"/>
      <c r="W350" s="243"/>
      <c r="X350" s="243"/>
      <c r="Y350" s="243"/>
      <c r="Z350" s="243"/>
    </row>
    <row r="351">
      <c r="A351" s="243"/>
      <c r="B351" s="243"/>
      <c r="C351" s="243"/>
      <c r="D351" s="243"/>
      <c r="E351" s="243"/>
      <c r="F351" s="243"/>
      <c r="G351" s="243"/>
      <c r="H351" s="243"/>
      <c r="I351" s="243"/>
      <c r="J351" s="243"/>
      <c r="K351" s="243"/>
      <c r="L351" s="243"/>
      <c r="M351" s="243"/>
      <c r="N351" s="243"/>
      <c r="O351" s="243"/>
      <c r="P351" s="243"/>
      <c r="Q351" s="243"/>
      <c r="R351" s="243"/>
      <c r="S351" s="243"/>
      <c r="T351" s="243"/>
      <c r="U351" s="243"/>
      <c r="V351" s="243"/>
      <c r="W351" s="243"/>
      <c r="X351" s="243"/>
      <c r="Y351" s="243"/>
      <c r="Z351" s="243"/>
    </row>
    <row r="352">
      <c r="A352" s="243"/>
      <c r="B352" s="243"/>
      <c r="C352" s="243"/>
      <c r="D352" s="243"/>
      <c r="E352" s="243"/>
      <c r="F352" s="243"/>
      <c r="G352" s="243"/>
      <c r="H352" s="243"/>
      <c r="I352" s="243"/>
      <c r="J352" s="243"/>
      <c r="K352" s="243"/>
      <c r="L352" s="243"/>
      <c r="M352" s="243"/>
      <c r="N352" s="243"/>
      <c r="O352" s="243"/>
      <c r="P352" s="243"/>
      <c r="Q352" s="243"/>
      <c r="R352" s="243"/>
      <c r="S352" s="243"/>
      <c r="T352" s="243"/>
      <c r="U352" s="243"/>
      <c r="V352" s="243"/>
      <c r="W352" s="243"/>
      <c r="X352" s="243"/>
      <c r="Y352" s="243"/>
      <c r="Z352" s="243"/>
    </row>
    <row r="353">
      <c r="A353" s="243"/>
      <c r="B353" s="243"/>
      <c r="C353" s="243"/>
      <c r="D353" s="243"/>
      <c r="E353" s="243"/>
      <c r="F353" s="243"/>
      <c r="G353" s="243"/>
      <c r="H353" s="243"/>
      <c r="I353" s="243"/>
      <c r="J353" s="243"/>
      <c r="K353" s="243"/>
      <c r="L353" s="243"/>
      <c r="M353" s="243"/>
      <c r="N353" s="243"/>
      <c r="O353" s="243"/>
      <c r="P353" s="243"/>
      <c r="Q353" s="243"/>
      <c r="R353" s="243"/>
      <c r="S353" s="243"/>
      <c r="T353" s="243"/>
      <c r="U353" s="243"/>
      <c r="V353" s="243"/>
      <c r="W353" s="243"/>
      <c r="X353" s="243"/>
      <c r="Y353" s="243"/>
      <c r="Z353" s="243"/>
    </row>
    <row r="354">
      <c r="A354" s="243"/>
      <c r="B354" s="243"/>
      <c r="C354" s="243"/>
      <c r="D354" s="243"/>
      <c r="E354" s="243"/>
      <c r="F354" s="243"/>
      <c r="G354" s="243"/>
      <c r="H354" s="243"/>
      <c r="I354" s="243"/>
      <c r="J354" s="243"/>
      <c r="K354" s="243"/>
      <c r="L354" s="243"/>
      <c r="M354" s="243"/>
      <c r="N354" s="243"/>
      <c r="O354" s="243"/>
      <c r="P354" s="243"/>
      <c r="Q354" s="243"/>
      <c r="R354" s="243"/>
      <c r="S354" s="243"/>
      <c r="T354" s="243"/>
      <c r="U354" s="243"/>
      <c r="V354" s="243"/>
      <c r="W354" s="243"/>
      <c r="X354" s="243"/>
      <c r="Y354" s="243"/>
      <c r="Z354" s="243"/>
    </row>
    <row r="355">
      <c r="A355" s="243"/>
      <c r="B355" s="243"/>
      <c r="C355" s="243"/>
      <c r="D355" s="243"/>
      <c r="E355" s="243"/>
      <c r="F355" s="243"/>
      <c r="G355" s="243"/>
      <c r="H355" s="243"/>
      <c r="I355" s="243"/>
      <c r="J355" s="243"/>
      <c r="K355" s="243"/>
      <c r="L355" s="243"/>
      <c r="M355" s="243"/>
      <c r="N355" s="243"/>
      <c r="O355" s="243"/>
      <c r="P355" s="243"/>
      <c r="Q355" s="243"/>
      <c r="R355" s="243"/>
      <c r="S355" s="243"/>
      <c r="T355" s="243"/>
      <c r="U355" s="243"/>
      <c r="V355" s="243"/>
      <c r="W355" s="243"/>
      <c r="X355" s="243"/>
      <c r="Y355" s="243"/>
      <c r="Z355" s="243"/>
    </row>
    <row r="356">
      <c r="A356" s="243"/>
      <c r="B356" s="243"/>
      <c r="C356" s="243"/>
      <c r="D356" s="243"/>
      <c r="E356" s="243"/>
      <c r="F356" s="243"/>
      <c r="G356" s="243"/>
      <c r="H356" s="243"/>
      <c r="I356" s="243"/>
      <c r="J356" s="243"/>
      <c r="K356" s="243"/>
      <c r="L356" s="243"/>
      <c r="M356" s="243"/>
      <c r="N356" s="243"/>
      <c r="O356" s="243"/>
      <c r="P356" s="243"/>
      <c r="Q356" s="243"/>
      <c r="R356" s="243"/>
      <c r="S356" s="243"/>
      <c r="T356" s="243"/>
      <c r="U356" s="243"/>
      <c r="V356" s="243"/>
      <c r="W356" s="243"/>
      <c r="X356" s="243"/>
      <c r="Y356" s="243"/>
      <c r="Z356" s="243"/>
    </row>
    <row r="357">
      <c r="A357" s="243"/>
      <c r="B357" s="243"/>
      <c r="C357" s="243"/>
      <c r="D357" s="243"/>
      <c r="E357" s="243"/>
      <c r="F357" s="243"/>
      <c r="G357" s="243"/>
      <c r="H357" s="243"/>
      <c r="I357" s="243"/>
      <c r="J357" s="243"/>
      <c r="K357" s="243"/>
      <c r="L357" s="243"/>
      <c r="M357" s="243"/>
      <c r="N357" s="243"/>
      <c r="O357" s="243"/>
      <c r="P357" s="243"/>
      <c r="Q357" s="243"/>
      <c r="R357" s="243"/>
      <c r="S357" s="243"/>
      <c r="T357" s="243"/>
      <c r="U357" s="243"/>
      <c r="V357" s="243"/>
      <c r="W357" s="243"/>
      <c r="X357" s="243"/>
      <c r="Y357" s="243"/>
      <c r="Z357" s="243"/>
    </row>
    <row r="358">
      <c r="A358" s="243"/>
      <c r="B358" s="243"/>
      <c r="C358" s="243"/>
      <c r="D358" s="243"/>
      <c r="E358" s="243"/>
      <c r="F358" s="243"/>
      <c r="G358" s="243"/>
      <c r="H358" s="243"/>
      <c r="I358" s="243"/>
      <c r="J358" s="243"/>
      <c r="K358" s="243"/>
      <c r="L358" s="243"/>
      <c r="M358" s="243"/>
      <c r="N358" s="243"/>
      <c r="O358" s="243"/>
      <c r="P358" s="243"/>
      <c r="Q358" s="243"/>
      <c r="R358" s="243"/>
      <c r="S358" s="243"/>
      <c r="T358" s="243"/>
      <c r="U358" s="243"/>
      <c r="V358" s="243"/>
      <c r="W358" s="243"/>
      <c r="X358" s="243"/>
      <c r="Y358" s="243"/>
      <c r="Z358" s="243"/>
    </row>
    <row r="359">
      <c r="A359" s="243"/>
      <c r="B359" s="243"/>
      <c r="C359" s="243"/>
      <c r="D359" s="243"/>
      <c r="E359" s="243"/>
      <c r="F359" s="243"/>
      <c r="G359" s="243"/>
      <c r="H359" s="243"/>
      <c r="I359" s="243"/>
      <c r="J359" s="243"/>
      <c r="K359" s="243"/>
      <c r="L359" s="243"/>
      <c r="M359" s="243"/>
      <c r="N359" s="243"/>
      <c r="O359" s="243"/>
      <c r="P359" s="243"/>
      <c r="Q359" s="243"/>
      <c r="R359" s="243"/>
      <c r="S359" s="243"/>
      <c r="T359" s="243"/>
      <c r="U359" s="243"/>
      <c r="V359" s="243"/>
      <c r="W359" s="243"/>
      <c r="X359" s="243"/>
      <c r="Y359" s="243"/>
      <c r="Z359" s="243"/>
    </row>
    <row r="360">
      <c r="A360" s="243"/>
      <c r="B360" s="243"/>
      <c r="C360" s="243"/>
      <c r="D360" s="243"/>
      <c r="E360" s="243"/>
      <c r="F360" s="243"/>
      <c r="G360" s="243"/>
      <c r="H360" s="243"/>
      <c r="I360" s="243"/>
      <c r="J360" s="243"/>
      <c r="K360" s="243"/>
      <c r="L360" s="243"/>
      <c r="M360" s="243"/>
      <c r="N360" s="243"/>
      <c r="O360" s="243"/>
      <c r="P360" s="243"/>
      <c r="Q360" s="243"/>
      <c r="R360" s="243"/>
      <c r="S360" s="243"/>
      <c r="T360" s="243"/>
      <c r="U360" s="243"/>
      <c r="V360" s="243"/>
      <c r="W360" s="243"/>
      <c r="X360" s="243"/>
      <c r="Y360" s="243"/>
      <c r="Z360" s="243"/>
    </row>
    <row r="361">
      <c r="A361" s="243"/>
      <c r="B361" s="243"/>
      <c r="C361" s="243"/>
      <c r="D361" s="243"/>
      <c r="E361" s="243"/>
      <c r="F361" s="243"/>
      <c r="G361" s="243"/>
      <c r="H361" s="243"/>
      <c r="I361" s="243"/>
      <c r="J361" s="243"/>
      <c r="K361" s="243"/>
      <c r="L361" s="243"/>
      <c r="M361" s="243"/>
      <c r="N361" s="243"/>
      <c r="O361" s="243"/>
      <c r="P361" s="243"/>
      <c r="Q361" s="243"/>
      <c r="R361" s="243"/>
      <c r="S361" s="243"/>
      <c r="T361" s="243"/>
      <c r="U361" s="243"/>
      <c r="V361" s="243"/>
      <c r="W361" s="243"/>
      <c r="X361" s="243"/>
      <c r="Y361" s="243"/>
      <c r="Z361" s="243"/>
    </row>
    <row r="362">
      <c r="A362" s="243"/>
      <c r="B362" s="243"/>
      <c r="C362" s="243"/>
      <c r="D362" s="243"/>
      <c r="E362" s="243"/>
      <c r="F362" s="243"/>
      <c r="G362" s="243"/>
      <c r="H362" s="243"/>
      <c r="I362" s="243"/>
      <c r="J362" s="243"/>
      <c r="K362" s="243"/>
      <c r="L362" s="243"/>
      <c r="M362" s="243"/>
      <c r="N362" s="243"/>
      <c r="O362" s="243"/>
      <c r="P362" s="243"/>
      <c r="Q362" s="243"/>
      <c r="R362" s="243"/>
      <c r="S362" s="243"/>
      <c r="T362" s="243"/>
      <c r="U362" s="243"/>
      <c r="V362" s="243"/>
      <c r="W362" s="243"/>
      <c r="X362" s="243"/>
      <c r="Y362" s="243"/>
      <c r="Z362" s="243"/>
    </row>
    <row r="363">
      <c r="A363" s="243"/>
      <c r="B363" s="243"/>
      <c r="C363" s="243"/>
      <c r="D363" s="243"/>
      <c r="E363" s="243"/>
      <c r="F363" s="243"/>
      <c r="G363" s="243"/>
      <c r="H363" s="243"/>
      <c r="I363" s="243"/>
      <c r="J363" s="243"/>
      <c r="K363" s="243"/>
      <c r="L363" s="243"/>
      <c r="M363" s="243"/>
      <c r="N363" s="243"/>
      <c r="O363" s="243"/>
      <c r="P363" s="243"/>
      <c r="Q363" s="243"/>
      <c r="R363" s="243"/>
      <c r="S363" s="243"/>
      <c r="T363" s="243"/>
      <c r="U363" s="243"/>
      <c r="V363" s="243"/>
      <c r="W363" s="243"/>
      <c r="X363" s="243"/>
      <c r="Y363" s="243"/>
      <c r="Z363" s="243"/>
    </row>
    <row r="364">
      <c r="A364" s="243"/>
      <c r="B364" s="243"/>
      <c r="C364" s="243"/>
      <c r="D364" s="243"/>
      <c r="E364" s="243"/>
      <c r="F364" s="243"/>
      <c r="G364" s="243"/>
      <c r="H364" s="243"/>
      <c r="I364" s="243"/>
      <c r="J364" s="243"/>
      <c r="K364" s="243"/>
      <c r="L364" s="243"/>
      <c r="M364" s="243"/>
      <c r="N364" s="243"/>
      <c r="O364" s="243"/>
      <c r="P364" s="243"/>
      <c r="Q364" s="243"/>
      <c r="R364" s="243"/>
      <c r="S364" s="243"/>
      <c r="T364" s="243"/>
      <c r="U364" s="243"/>
      <c r="V364" s="243"/>
      <c r="W364" s="243"/>
      <c r="X364" s="243"/>
      <c r="Y364" s="243"/>
      <c r="Z364" s="243"/>
    </row>
    <row r="365">
      <c r="A365" s="243"/>
      <c r="B365" s="243"/>
      <c r="C365" s="243"/>
      <c r="D365" s="243"/>
      <c r="E365" s="243"/>
      <c r="F365" s="243"/>
      <c r="G365" s="243"/>
      <c r="H365" s="243"/>
      <c r="I365" s="243"/>
      <c r="J365" s="243"/>
      <c r="K365" s="243"/>
      <c r="L365" s="243"/>
      <c r="M365" s="243"/>
      <c r="N365" s="243"/>
      <c r="O365" s="243"/>
      <c r="P365" s="243"/>
      <c r="Q365" s="243"/>
      <c r="R365" s="243"/>
      <c r="S365" s="243"/>
      <c r="T365" s="243"/>
      <c r="U365" s="243"/>
      <c r="V365" s="243"/>
      <c r="W365" s="243"/>
      <c r="X365" s="243"/>
      <c r="Y365" s="243"/>
      <c r="Z365" s="243"/>
    </row>
    <row r="366">
      <c r="A366" s="243"/>
      <c r="B366" s="243"/>
      <c r="C366" s="243"/>
      <c r="D366" s="243"/>
      <c r="E366" s="243"/>
      <c r="F366" s="243"/>
      <c r="G366" s="243"/>
      <c r="H366" s="243"/>
      <c r="I366" s="243"/>
      <c r="J366" s="243"/>
      <c r="K366" s="243"/>
      <c r="L366" s="243"/>
      <c r="M366" s="243"/>
      <c r="N366" s="243"/>
      <c r="O366" s="243"/>
      <c r="P366" s="243"/>
      <c r="Q366" s="243"/>
      <c r="R366" s="243"/>
      <c r="S366" s="243"/>
      <c r="T366" s="243"/>
      <c r="U366" s="243"/>
      <c r="V366" s="243"/>
      <c r="W366" s="243"/>
      <c r="X366" s="243"/>
      <c r="Y366" s="243"/>
      <c r="Z366" s="243"/>
    </row>
    <row r="367">
      <c r="A367" s="243"/>
      <c r="B367" s="243"/>
      <c r="C367" s="243"/>
      <c r="D367" s="243"/>
      <c r="E367" s="243"/>
      <c r="F367" s="243"/>
      <c r="G367" s="243"/>
      <c r="H367" s="243"/>
      <c r="I367" s="243"/>
      <c r="J367" s="243"/>
      <c r="K367" s="243"/>
      <c r="L367" s="243"/>
      <c r="M367" s="243"/>
      <c r="N367" s="243"/>
      <c r="O367" s="243"/>
      <c r="P367" s="243"/>
      <c r="Q367" s="243"/>
      <c r="R367" s="243"/>
      <c r="S367" s="243"/>
      <c r="T367" s="243"/>
      <c r="U367" s="243"/>
      <c r="V367" s="243"/>
      <c r="W367" s="243"/>
      <c r="X367" s="243"/>
      <c r="Y367" s="243"/>
      <c r="Z367" s="243"/>
    </row>
    <row r="368">
      <c r="A368" s="243"/>
      <c r="B368" s="243"/>
      <c r="C368" s="243"/>
      <c r="D368" s="243"/>
      <c r="E368" s="243"/>
      <c r="F368" s="243"/>
      <c r="G368" s="243"/>
      <c r="H368" s="243"/>
      <c r="I368" s="243"/>
      <c r="J368" s="243"/>
      <c r="K368" s="243"/>
      <c r="L368" s="243"/>
      <c r="M368" s="243"/>
      <c r="N368" s="243"/>
      <c r="O368" s="243"/>
      <c r="P368" s="243"/>
      <c r="Q368" s="243"/>
      <c r="R368" s="243"/>
      <c r="S368" s="243"/>
      <c r="T368" s="243"/>
      <c r="U368" s="243"/>
      <c r="V368" s="243"/>
      <c r="W368" s="243"/>
      <c r="X368" s="243"/>
      <c r="Y368" s="243"/>
      <c r="Z368" s="243"/>
    </row>
    <row r="369">
      <c r="A369" s="243"/>
      <c r="B369" s="243"/>
      <c r="C369" s="243"/>
      <c r="D369" s="243"/>
      <c r="E369" s="243"/>
      <c r="F369" s="243"/>
      <c r="G369" s="243"/>
      <c r="H369" s="243"/>
      <c r="I369" s="243"/>
      <c r="J369" s="243"/>
      <c r="K369" s="243"/>
      <c r="L369" s="243"/>
      <c r="M369" s="243"/>
      <c r="N369" s="243"/>
      <c r="O369" s="243"/>
      <c r="P369" s="243"/>
      <c r="Q369" s="243"/>
      <c r="R369" s="243"/>
      <c r="S369" s="243"/>
      <c r="T369" s="243"/>
      <c r="U369" s="243"/>
      <c r="V369" s="243"/>
      <c r="W369" s="243"/>
      <c r="X369" s="243"/>
      <c r="Y369" s="243"/>
      <c r="Z369" s="243"/>
    </row>
    <row r="370">
      <c r="A370" s="243"/>
      <c r="B370" s="243"/>
      <c r="C370" s="243"/>
      <c r="D370" s="243"/>
      <c r="E370" s="243"/>
      <c r="F370" s="243"/>
      <c r="G370" s="243"/>
      <c r="H370" s="243"/>
      <c r="I370" s="243"/>
      <c r="J370" s="243"/>
      <c r="K370" s="243"/>
      <c r="L370" s="243"/>
      <c r="M370" s="243"/>
      <c r="N370" s="243"/>
      <c r="O370" s="243"/>
      <c r="P370" s="243"/>
      <c r="Q370" s="243"/>
      <c r="R370" s="243"/>
      <c r="S370" s="243"/>
      <c r="T370" s="243"/>
      <c r="U370" s="243"/>
      <c r="V370" s="243"/>
      <c r="W370" s="243"/>
      <c r="X370" s="243"/>
      <c r="Y370" s="243"/>
      <c r="Z370" s="243"/>
    </row>
    <row r="371">
      <c r="A371" s="243"/>
      <c r="B371" s="243"/>
      <c r="C371" s="243"/>
      <c r="D371" s="243"/>
      <c r="E371" s="243"/>
      <c r="F371" s="243"/>
      <c r="G371" s="243"/>
      <c r="H371" s="243"/>
      <c r="I371" s="243"/>
      <c r="J371" s="243"/>
      <c r="K371" s="243"/>
      <c r="L371" s="243"/>
      <c r="M371" s="243"/>
      <c r="N371" s="243"/>
      <c r="O371" s="243"/>
      <c r="P371" s="243"/>
      <c r="Q371" s="243"/>
      <c r="R371" s="243"/>
      <c r="S371" s="243"/>
      <c r="T371" s="243"/>
      <c r="U371" s="243"/>
      <c r="V371" s="243"/>
      <c r="W371" s="243"/>
      <c r="X371" s="243"/>
      <c r="Y371" s="243"/>
      <c r="Z371" s="243"/>
    </row>
    <row r="372">
      <c r="A372" s="243"/>
      <c r="B372" s="243"/>
      <c r="C372" s="243"/>
      <c r="D372" s="243"/>
      <c r="E372" s="243"/>
      <c r="F372" s="243"/>
      <c r="G372" s="243"/>
      <c r="H372" s="243"/>
      <c r="I372" s="243"/>
      <c r="J372" s="243"/>
      <c r="K372" s="243"/>
      <c r="L372" s="243"/>
      <c r="M372" s="243"/>
      <c r="N372" s="243"/>
      <c r="O372" s="243"/>
      <c r="P372" s="243"/>
      <c r="Q372" s="243"/>
      <c r="R372" s="243"/>
      <c r="S372" s="243"/>
      <c r="T372" s="243"/>
      <c r="U372" s="243"/>
      <c r="V372" s="243"/>
      <c r="W372" s="243"/>
      <c r="X372" s="243"/>
      <c r="Y372" s="243"/>
      <c r="Z372" s="243"/>
    </row>
    <row r="373">
      <c r="A373" s="243"/>
      <c r="B373" s="243"/>
      <c r="C373" s="243"/>
      <c r="D373" s="243"/>
      <c r="E373" s="243"/>
      <c r="F373" s="243"/>
      <c r="G373" s="243"/>
      <c r="H373" s="243"/>
      <c r="I373" s="243"/>
      <c r="J373" s="243"/>
      <c r="K373" s="243"/>
      <c r="L373" s="243"/>
      <c r="M373" s="243"/>
      <c r="N373" s="243"/>
      <c r="O373" s="243"/>
      <c r="P373" s="243"/>
      <c r="Q373" s="243"/>
      <c r="R373" s="243"/>
      <c r="S373" s="243"/>
      <c r="T373" s="243"/>
      <c r="U373" s="243"/>
      <c r="V373" s="243"/>
      <c r="W373" s="243"/>
      <c r="X373" s="243"/>
      <c r="Y373" s="243"/>
      <c r="Z373" s="243"/>
    </row>
    <row r="374">
      <c r="A374" s="243"/>
      <c r="B374" s="243"/>
      <c r="C374" s="243"/>
      <c r="D374" s="243"/>
      <c r="E374" s="243"/>
      <c r="F374" s="243"/>
      <c r="G374" s="243"/>
      <c r="H374" s="243"/>
      <c r="I374" s="243"/>
      <c r="J374" s="243"/>
      <c r="K374" s="243"/>
      <c r="L374" s="243"/>
      <c r="M374" s="243"/>
      <c r="N374" s="243"/>
      <c r="O374" s="243"/>
      <c r="P374" s="243"/>
      <c r="Q374" s="243"/>
      <c r="R374" s="243"/>
      <c r="S374" s="243"/>
      <c r="T374" s="243"/>
      <c r="U374" s="243"/>
      <c r="V374" s="243"/>
      <c r="W374" s="243"/>
      <c r="X374" s="243"/>
      <c r="Y374" s="243"/>
      <c r="Z374" s="243"/>
    </row>
    <row r="375">
      <c r="A375" s="243"/>
      <c r="B375" s="243"/>
      <c r="C375" s="243"/>
      <c r="D375" s="243"/>
      <c r="E375" s="243"/>
      <c r="F375" s="243"/>
      <c r="G375" s="243"/>
      <c r="H375" s="243"/>
      <c r="I375" s="243"/>
      <c r="J375" s="243"/>
      <c r="K375" s="243"/>
      <c r="L375" s="243"/>
      <c r="M375" s="243"/>
      <c r="N375" s="243"/>
      <c r="O375" s="243"/>
      <c r="P375" s="243"/>
      <c r="Q375" s="243"/>
      <c r="R375" s="243"/>
      <c r="S375" s="243"/>
      <c r="T375" s="243"/>
      <c r="U375" s="243"/>
      <c r="V375" s="243"/>
      <c r="W375" s="243"/>
      <c r="X375" s="243"/>
      <c r="Y375" s="243"/>
      <c r="Z375" s="243"/>
    </row>
    <row r="376">
      <c r="A376" s="243"/>
      <c r="B376" s="243"/>
      <c r="C376" s="243"/>
      <c r="D376" s="243"/>
      <c r="E376" s="243"/>
      <c r="F376" s="243"/>
      <c r="G376" s="243"/>
      <c r="H376" s="243"/>
      <c r="I376" s="243"/>
      <c r="J376" s="243"/>
      <c r="K376" s="243"/>
      <c r="L376" s="243"/>
      <c r="M376" s="243"/>
      <c r="N376" s="243"/>
      <c r="O376" s="243"/>
      <c r="P376" s="243"/>
      <c r="Q376" s="243"/>
      <c r="R376" s="243"/>
      <c r="S376" s="243"/>
      <c r="T376" s="243"/>
      <c r="U376" s="243"/>
      <c r="V376" s="243"/>
      <c r="W376" s="243"/>
      <c r="X376" s="243"/>
      <c r="Y376" s="243"/>
      <c r="Z376" s="243"/>
    </row>
    <row r="377">
      <c r="A377" s="243"/>
      <c r="B377" s="243"/>
      <c r="C377" s="243"/>
      <c r="D377" s="243"/>
      <c r="E377" s="243"/>
      <c r="F377" s="243"/>
      <c r="G377" s="243"/>
      <c r="H377" s="243"/>
      <c r="I377" s="243"/>
      <c r="J377" s="243"/>
      <c r="K377" s="243"/>
      <c r="L377" s="243"/>
      <c r="M377" s="243"/>
      <c r="N377" s="243"/>
      <c r="O377" s="243"/>
      <c r="P377" s="243"/>
      <c r="Q377" s="243"/>
      <c r="R377" s="243"/>
      <c r="S377" s="243"/>
      <c r="T377" s="243"/>
      <c r="U377" s="243"/>
      <c r="V377" s="243"/>
      <c r="W377" s="243"/>
      <c r="X377" s="243"/>
      <c r="Y377" s="243"/>
      <c r="Z377" s="243"/>
    </row>
    <row r="378">
      <c r="A378" s="243"/>
      <c r="B378" s="243"/>
      <c r="C378" s="243"/>
      <c r="D378" s="243"/>
      <c r="E378" s="243"/>
      <c r="F378" s="243"/>
      <c r="G378" s="243"/>
      <c r="H378" s="243"/>
      <c r="I378" s="243"/>
      <c r="J378" s="243"/>
      <c r="K378" s="243"/>
      <c r="L378" s="243"/>
      <c r="M378" s="243"/>
      <c r="N378" s="243"/>
      <c r="O378" s="243"/>
      <c r="P378" s="243"/>
      <c r="Q378" s="243"/>
      <c r="R378" s="243"/>
      <c r="S378" s="243"/>
      <c r="T378" s="243"/>
      <c r="U378" s="243"/>
      <c r="V378" s="243"/>
      <c r="W378" s="243"/>
      <c r="X378" s="243"/>
      <c r="Y378" s="243"/>
      <c r="Z378" s="243"/>
    </row>
    <row r="379">
      <c r="A379" s="243"/>
      <c r="B379" s="243"/>
      <c r="C379" s="243"/>
      <c r="D379" s="243"/>
      <c r="E379" s="243"/>
      <c r="F379" s="243"/>
      <c r="G379" s="243"/>
      <c r="H379" s="243"/>
      <c r="I379" s="243"/>
      <c r="J379" s="243"/>
      <c r="K379" s="243"/>
      <c r="L379" s="243"/>
      <c r="M379" s="243"/>
      <c r="N379" s="243"/>
      <c r="O379" s="243"/>
      <c r="P379" s="243"/>
      <c r="Q379" s="243"/>
      <c r="R379" s="243"/>
      <c r="S379" s="243"/>
      <c r="T379" s="243"/>
      <c r="U379" s="243"/>
      <c r="V379" s="243"/>
      <c r="W379" s="243"/>
      <c r="X379" s="243"/>
      <c r="Y379" s="243"/>
      <c r="Z379" s="243"/>
    </row>
    <row r="380">
      <c r="A380" s="243"/>
      <c r="B380" s="243"/>
      <c r="C380" s="243"/>
      <c r="D380" s="243"/>
      <c r="E380" s="243"/>
      <c r="F380" s="243"/>
      <c r="G380" s="243"/>
      <c r="H380" s="243"/>
      <c r="I380" s="243"/>
      <c r="J380" s="243"/>
      <c r="K380" s="243"/>
      <c r="L380" s="243"/>
      <c r="M380" s="243"/>
      <c r="N380" s="243"/>
      <c r="O380" s="243"/>
      <c r="P380" s="243"/>
      <c r="Q380" s="243"/>
      <c r="R380" s="243"/>
      <c r="S380" s="243"/>
      <c r="T380" s="243"/>
      <c r="U380" s="243"/>
      <c r="V380" s="243"/>
      <c r="W380" s="243"/>
      <c r="X380" s="243"/>
      <c r="Y380" s="243"/>
      <c r="Z380" s="243"/>
    </row>
    <row r="381">
      <c r="A381" s="243"/>
      <c r="B381" s="243"/>
      <c r="C381" s="243"/>
      <c r="D381" s="243"/>
      <c r="E381" s="243"/>
      <c r="F381" s="243"/>
      <c r="G381" s="243"/>
      <c r="H381" s="243"/>
      <c r="I381" s="243"/>
      <c r="J381" s="243"/>
      <c r="K381" s="243"/>
      <c r="L381" s="243"/>
      <c r="M381" s="243"/>
      <c r="N381" s="243"/>
      <c r="O381" s="243"/>
      <c r="P381" s="243"/>
      <c r="Q381" s="243"/>
      <c r="R381" s="243"/>
      <c r="S381" s="243"/>
      <c r="T381" s="243"/>
      <c r="U381" s="243"/>
      <c r="V381" s="243"/>
      <c r="W381" s="243"/>
      <c r="X381" s="243"/>
      <c r="Y381" s="243"/>
      <c r="Z381" s="243"/>
    </row>
    <row r="382">
      <c r="A382" s="243"/>
      <c r="B382" s="243"/>
      <c r="C382" s="243"/>
      <c r="D382" s="243"/>
      <c r="E382" s="243"/>
      <c r="F382" s="243"/>
      <c r="G382" s="243"/>
      <c r="H382" s="243"/>
      <c r="I382" s="243"/>
      <c r="J382" s="243"/>
      <c r="K382" s="243"/>
      <c r="L382" s="243"/>
      <c r="M382" s="243"/>
      <c r="N382" s="243"/>
      <c r="O382" s="243"/>
      <c r="P382" s="243"/>
      <c r="Q382" s="243"/>
      <c r="R382" s="243"/>
      <c r="S382" s="243"/>
      <c r="T382" s="243"/>
      <c r="U382" s="243"/>
      <c r="V382" s="243"/>
      <c r="W382" s="243"/>
      <c r="X382" s="243"/>
      <c r="Y382" s="243"/>
      <c r="Z382" s="243"/>
    </row>
    <row r="383">
      <c r="A383" s="243"/>
      <c r="B383" s="243"/>
      <c r="C383" s="243"/>
      <c r="D383" s="243"/>
      <c r="E383" s="243"/>
      <c r="F383" s="243"/>
      <c r="G383" s="243"/>
      <c r="H383" s="243"/>
      <c r="I383" s="243"/>
      <c r="J383" s="243"/>
      <c r="K383" s="243"/>
      <c r="L383" s="243"/>
      <c r="M383" s="243"/>
      <c r="N383" s="243"/>
      <c r="O383" s="243"/>
      <c r="P383" s="243"/>
      <c r="Q383" s="243"/>
      <c r="R383" s="243"/>
      <c r="S383" s="243"/>
      <c r="T383" s="243"/>
      <c r="U383" s="243"/>
      <c r="V383" s="243"/>
      <c r="W383" s="243"/>
      <c r="X383" s="243"/>
      <c r="Y383" s="243"/>
      <c r="Z383" s="243"/>
    </row>
    <row r="384">
      <c r="A384" s="243"/>
      <c r="B384" s="243"/>
      <c r="C384" s="243"/>
      <c r="D384" s="243"/>
      <c r="E384" s="243"/>
      <c r="F384" s="243"/>
      <c r="G384" s="243"/>
      <c r="H384" s="243"/>
      <c r="I384" s="243"/>
      <c r="J384" s="243"/>
      <c r="K384" s="243"/>
      <c r="L384" s="243"/>
      <c r="M384" s="243"/>
      <c r="N384" s="243"/>
      <c r="O384" s="243"/>
      <c r="P384" s="243"/>
      <c r="Q384" s="243"/>
      <c r="R384" s="243"/>
      <c r="S384" s="243"/>
      <c r="T384" s="243"/>
      <c r="U384" s="243"/>
      <c r="V384" s="243"/>
      <c r="W384" s="243"/>
      <c r="X384" s="243"/>
      <c r="Y384" s="243"/>
      <c r="Z384" s="243"/>
    </row>
    <row r="385">
      <c r="A385" s="243"/>
      <c r="B385" s="243"/>
      <c r="C385" s="243"/>
      <c r="D385" s="243"/>
      <c r="E385" s="243"/>
      <c r="F385" s="243"/>
      <c r="G385" s="243"/>
      <c r="H385" s="243"/>
      <c r="I385" s="243"/>
      <c r="J385" s="243"/>
      <c r="K385" s="243"/>
      <c r="L385" s="243"/>
      <c r="M385" s="243"/>
      <c r="N385" s="243"/>
      <c r="O385" s="243"/>
      <c r="P385" s="243"/>
      <c r="Q385" s="243"/>
      <c r="R385" s="243"/>
      <c r="S385" s="243"/>
      <c r="T385" s="243"/>
      <c r="U385" s="243"/>
      <c r="V385" s="243"/>
      <c r="W385" s="243"/>
      <c r="X385" s="243"/>
      <c r="Y385" s="243"/>
      <c r="Z385" s="243"/>
    </row>
    <row r="386">
      <c r="A386" s="243"/>
      <c r="B386" s="243"/>
      <c r="C386" s="243"/>
      <c r="D386" s="243"/>
      <c r="E386" s="243"/>
      <c r="F386" s="243"/>
      <c r="G386" s="243"/>
      <c r="H386" s="243"/>
      <c r="I386" s="243"/>
      <c r="J386" s="243"/>
      <c r="K386" s="243"/>
      <c r="L386" s="243"/>
      <c r="M386" s="243"/>
      <c r="N386" s="243"/>
      <c r="O386" s="243"/>
      <c r="P386" s="243"/>
      <c r="Q386" s="243"/>
      <c r="R386" s="243"/>
      <c r="S386" s="243"/>
      <c r="T386" s="243"/>
      <c r="U386" s="243"/>
      <c r="V386" s="243"/>
      <c r="W386" s="243"/>
      <c r="X386" s="243"/>
      <c r="Y386" s="243"/>
      <c r="Z386" s="243"/>
    </row>
    <row r="387">
      <c r="A387" s="243"/>
      <c r="B387" s="243"/>
      <c r="C387" s="243"/>
      <c r="D387" s="243"/>
      <c r="E387" s="243"/>
      <c r="F387" s="243"/>
      <c r="G387" s="243"/>
      <c r="H387" s="243"/>
      <c r="I387" s="243"/>
      <c r="J387" s="243"/>
      <c r="K387" s="243"/>
      <c r="L387" s="243"/>
      <c r="M387" s="243"/>
      <c r="N387" s="243"/>
      <c r="O387" s="243"/>
      <c r="P387" s="243"/>
      <c r="Q387" s="243"/>
      <c r="R387" s="243"/>
      <c r="S387" s="243"/>
      <c r="T387" s="243"/>
      <c r="U387" s="243"/>
      <c r="V387" s="243"/>
      <c r="W387" s="243"/>
      <c r="X387" s="243"/>
      <c r="Y387" s="243"/>
      <c r="Z387" s="243"/>
    </row>
    <row r="388">
      <c r="A388" s="243"/>
      <c r="B388" s="243"/>
      <c r="C388" s="243"/>
      <c r="D388" s="243"/>
      <c r="E388" s="243"/>
      <c r="F388" s="243"/>
      <c r="G388" s="243"/>
      <c r="H388" s="243"/>
      <c r="I388" s="243"/>
      <c r="J388" s="243"/>
      <c r="K388" s="243"/>
      <c r="L388" s="243"/>
      <c r="M388" s="243"/>
      <c r="N388" s="243"/>
      <c r="O388" s="243"/>
      <c r="P388" s="243"/>
      <c r="Q388" s="243"/>
      <c r="R388" s="243"/>
      <c r="S388" s="243"/>
      <c r="T388" s="243"/>
      <c r="U388" s="243"/>
      <c r="V388" s="243"/>
      <c r="W388" s="243"/>
      <c r="X388" s="243"/>
      <c r="Y388" s="243"/>
      <c r="Z388" s="243"/>
    </row>
    <row r="389">
      <c r="A389" s="243"/>
      <c r="B389" s="243"/>
      <c r="C389" s="243"/>
      <c r="D389" s="243"/>
      <c r="E389" s="243"/>
      <c r="F389" s="243"/>
      <c r="G389" s="243"/>
      <c r="H389" s="243"/>
      <c r="I389" s="243"/>
      <c r="J389" s="243"/>
      <c r="K389" s="243"/>
      <c r="L389" s="243"/>
      <c r="M389" s="243"/>
      <c r="N389" s="243"/>
      <c r="O389" s="243"/>
      <c r="P389" s="243"/>
      <c r="Q389" s="243"/>
      <c r="R389" s="243"/>
      <c r="S389" s="243"/>
      <c r="T389" s="243"/>
      <c r="U389" s="243"/>
      <c r="V389" s="243"/>
      <c r="W389" s="243"/>
      <c r="X389" s="243"/>
      <c r="Y389" s="243"/>
      <c r="Z389" s="243"/>
    </row>
    <row r="390">
      <c r="A390" s="243"/>
      <c r="B390" s="243"/>
      <c r="C390" s="243"/>
      <c r="D390" s="243"/>
      <c r="E390" s="243"/>
      <c r="F390" s="243"/>
      <c r="G390" s="243"/>
      <c r="H390" s="243"/>
      <c r="I390" s="243"/>
      <c r="J390" s="243"/>
      <c r="K390" s="243"/>
      <c r="L390" s="243"/>
      <c r="M390" s="243"/>
      <c r="N390" s="243"/>
      <c r="O390" s="243"/>
      <c r="P390" s="243"/>
      <c r="Q390" s="243"/>
      <c r="R390" s="243"/>
      <c r="S390" s="243"/>
      <c r="T390" s="243"/>
      <c r="U390" s="243"/>
      <c r="V390" s="243"/>
      <c r="W390" s="243"/>
      <c r="X390" s="243"/>
      <c r="Y390" s="243"/>
      <c r="Z390" s="243"/>
    </row>
    <row r="391">
      <c r="A391" s="243"/>
      <c r="B391" s="243"/>
      <c r="C391" s="243"/>
      <c r="D391" s="243"/>
      <c r="E391" s="243"/>
      <c r="F391" s="243"/>
      <c r="G391" s="243"/>
      <c r="H391" s="243"/>
      <c r="I391" s="243"/>
      <c r="J391" s="243"/>
      <c r="K391" s="243"/>
      <c r="L391" s="243"/>
      <c r="M391" s="243"/>
      <c r="N391" s="243"/>
      <c r="O391" s="243"/>
      <c r="P391" s="243"/>
      <c r="Q391" s="243"/>
      <c r="R391" s="243"/>
      <c r="S391" s="243"/>
      <c r="T391" s="243"/>
      <c r="U391" s="243"/>
      <c r="V391" s="243"/>
      <c r="W391" s="243"/>
      <c r="X391" s="243"/>
      <c r="Y391" s="243"/>
      <c r="Z391" s="243"/>
    </row>
    <row r="392">
      <c r="A392" s="243"/>
      <c r="B392" s="243"/>
      <c r="C392" s="243"/>
      <c r="D392" s="243"/>
      <c r="E392" s="243"/>
      <c r="F392" s="243"/>
      <c r="G392" s="243"/>
      <c r="H392" s="243"/>
      <c r="I392" s="243"/>
      <c r="J392" s="243"/>
      <c r="K392" s="243"/>
      <c r="L392" s="243"/>
      <c r="M392" s="243"/>
      <c r="N392" s="243"/>
      <c r="O392" s="243"/>
      <c r="P392" s="243"/>
      <c r="Q392" s="243"/>
      <c r="R392" s="243"/>
      <c r="S392" s="243"/>
      <c r="T392" s="243"/>
      <c r="U392" s="243"/>
      <c r="V392" s="243"/>
      <c r="W392" s="243"/>
      <c r="X392" s="243"/>
      <c r="Y392" s="243"/>
      <c r="Z392" s="243"/>
    </row>
    <row r="393">
      <c r="A393" s="243"/>
      <c r="B393" s="243"/>
      <c r="C393" s="243"/>
      <c r="D393" s="243"/>
      <c r="E393" s="243"/>
      <c r="F393" s="243"/>
      <c r="G393" s="243"/>
      <c r="H393" s="243"/>
      <c r="I393" s="243"/>
      <c r="J393" s="243"/>
      <c r="K393" s="243"/>
      <c r="L393" s="243"/>
      <c r="M393" s="243"/>
      <c r="N393" s="243"/>
      <c r="O393" s="243"/>
      <c r="P393" s="243"/>
      <c r="Q393" s="243"/>
      <c r="R393" s="243"/>
      <c r="S393" s="243"/>
      <c r="T393" s="243"/>
      <c r="U393" s="243"/>
      <c r="V393" s="243"/>
      <c r="W393" s="243"/>
      <c r="X393" s="243"/>
      <c r="Y393" s="243"/>
      <c r="Z393" s="243"/>
    </row>
    <row r="394">
      <c r="A394" s="243"/>
      <c r="B394" s="243"/>
      <c r="C394" s="243"/>
      <c r="D394" s="243"/>
      <c r="E394" s="243"/>
      <c r="F394" s="243"/>
      <c r="G394" s="243"/>
      <c r="H394" s="243"/>
      <c r="I394" s="243"/>
      <c r="J394" s="243"/>
      <c r="K394" s="243"/>
      <c r="L394" s="243"/>
      <c r="M394" s="243"/>
      <c r="N394" s="243"/>
      <c r="O394" s="243"/>
      <c r="P394" s="243"/>
      <c r="Q394" s="243"/>
      <c r="R394" s="243"/>
      <c r="S394" s="243"/>
      <c r="T394" s="243"/>
      <c r="U394" s="243"/>
      <c r="V394" s="243"/>
      <c r="W394" s="243"/>
      <c r="X394" s="243"/>
      <c r="Y394" s="243"/>
      <c r="Z394" s="243"/>
    </row>
    <row r="395">
      <c r="A395" s="243"/>
      <c r="B395" s="243"/>
      <c r="C395" s="243"/>
      <c r="D395" s="243"/>
      <c r="E395" s="243"/>
      <c r="F395" s="243"/>
      <c r="G395" s="243"/>
      <c r="H395" s="243"/>
      <c r="I395" s="243"/>
      <c r="J395" s="243"/>
      <c r="K395" s="243"/>
      <c r="L395" s="243"/>
      <c r="M395" s="243"/>
      <c r="N395" s="243"/>
      <c r="O395" s="243"/>
      <c r="P395" s="243"/>
      <c r="Q395" s="243"/>
      <c r="R395" s="243"/>
      <c r="S395" s="243"/>
      <c r="T395" s="243"/>
      <c r="U395" s="243"/>
      <c r="V395" s="243"/>
      <c r="W395" s="243"/>
      <c r="X395" s="243"/>
      <c r="Y395" s="243"/>
      <c r="Z395" s="243"/>
    </row>
    <row r="396">
      <c r="A396" s="243"/>
      <c r="B396" s="243"/>
      <c r="C396" s="243"/>
      <c r="D396" s="243"/>
      <c r="E396" s="243"/>
      <c r="F396" s="243"/>
      <c r="G396" s="243"/>
      <c r="H396" s="243"/>
      <c r="I396" s="243"/>
      <c r="J396" s="243"/>
      <c r="K396" s="243"/>
      <c r="L396" s="243"/>
      <c r="M396" s="243"/>
      <c r="N396" s="243"/>
      <c r="O396" s="243"/>
      <c r="P396" s="243"/>
      <c r="Q396" s="243"/>
      <c r="R396" s="243"/>
      <c r="S396" s="243"/>
      <c r="T396" s="243"/>
      <c r="U396" s="243"/>
      <c r="V396" s="243"/>
      <c r="W396" s="243"/>
      <c r="X396" s="243"/>
      <c r="Y396" s="243"/>
      <c r="Z396" s="243"/>
    </row>
    <row r="397">
      <c r="A397" s="243"/>
      <c r="B397" s="243"/>
      <c r="C397" s="243"/>
      <c r="D397" s="243"/>
      <c r="E397" s="243"/>
      <c r="F397" s="243"/>
      <c r="G397" s="243"/>
      <c r="H397" s="243"/>
      <c r="I397" s="243"/>
      <c r="J397" s="243"/>
      <c r="K397" s="243"/>
      <c r="L397" s="243"/>
      <c r="M397" s="243"/>
      <c r="N397" s="243"/>
      <c r="O397" s="243"/>
      <c r="P397" s="243"/>
      <c r="Q397" s="243"/>
      <c r="R397" s="243"/>
      <c r="S397" s="243"/>
      <c r="T397" s="243"/>
      <c r="U397" s="243"/>
      <c r="V397" s="243"/>
      <c r="W397" s="243"/>
      <c r="X397" s="243"/>
      <c r="Y397" s="243"/>
      <c r="Z397" s="243"/>
    </row>
    <row r="398">
      <c r="A398" s="243"/>
      <c r="B398" s="243"/>
      <c r="C398" s="243"/>
      <c r="D398" s="243"/>
      <c r="E398" s="243"/>
      <c r="F398" s="243"/>
      <c r="G398" s="243"/>
      <c r="H398" s="243"/>
      <c r="I398" s="243"/>
      <c r="J398" s="243"/>
      <c r="K398" s="243"/>
      <c r="L398" s="243"/>
      <c r="M398" s="243"/>
      <c r="N398" s="243"/>
      <c r="O398" s="243"/>
      <c r="P398" s="243"/>
      <c r="Q398" s="243"/>
      <c r="R398" s="243"/>
      <c r="S398" s="243"/>
      <c r="T398" s="243"/>
      <c r="U398" s="243"/>
      <c r="V398" s="243"/>
      <c r="W398" s="243"/>
      <c r="X398" s="243"/>
      <c r="Y398" s="243"/>
      <c r="Z398" s="243"/>
    </row>
    <row r="399">
      <c r="A399" s="243"/>
      <c r="B399" s="243"/>
      <c r="C399" s="243"/>
      <c r="D399" s="243"/>
      <c r="E399" s="243"/>
      <c r="F399" s="243"/>
      <c r="G399" s="243"/>
      <c r="H399" s="243"/>
      <c r="I399" s="243"/>
      <c r="J399" s="243"/>
      <c r="K399" s="243"/>
      <c r="L399" s="243"/>
      <c r="M399" s="243"/>
      <c r="N399" s="243"/>
      <c r="O399" s="243"/>
      <c r="P399" s="243"/>
      <c r="Q399" s="243"/>
      <c r="R399" s="243"/>
      <c r="S399" s="243"/>
      <c r="T399" s="243"/>
      <c r="U399" s="243"/>
      <c r="V399" s="243"/>
      <c r="W399" s="243"/>
      <c r="X399" s="243"/>
      <c r="Y399" s="243"/>
      <c r="Z399" s="243"/>
    </row>
    <row r="400">
      <c r="A400" s="243"/>
      <c r="B400" s="243"/>
      <c r="C400" s="243"/>
      <c r="D400" s="243"/>
      <c r="E400" s="243"/>
      <c r="F400" s="243"/>
      <c r="G400" s="243"/>
      <c r="H400" s="243"/>
      <c r="I400" s="243"/>
      <c r="J400" s="243"/>
      <c r="K400" s="243"/>
      <c r="L400" s="243"/>
      <c r="M400" s="243"/>
      <c r="N400" s="243"/>
      <c r="O400" s="243"/>
      <c r="P400" s="243"/>
      <c r="Q400" s="243"/>
      <c r="R400" s="243"/>
      <c r="S400" s="243"/>
      <c r="T400" s="243"/>
      <c r="U400" s="243"/>
      <c r="V400" s="243"/>
      <c r="W400" s="243"/>
      <c r="X400" s="243"/>
      <c r="Y400" s="243"/>
      <c r="Z400" s="243"/>
    </row>
    <row r="401">
      <c r="A401" s="243"/>
      <c r="B401" s="243"/>
      <c r="C401" s="243"/>
      <c r="D401" s="243"/>
      <c r="E401" s="243"/>
      <c r="F401" s="243"/>
      <c r="G401" s="243"/>
      <c r="H401" s="243"/>
      <c r="I401" s="243"/>
      <c r="J401" s="243"/>
      <c r="K401" s="243"/>
      <c r="L401" s="243"/>
      <c r="M401" s="243"/>
      <c r="N401" s="243"/>
      <c r="O401" s="243"/>
      <c r="P401" s="243"/>
      <c r="Q401" s="243"/>
      <c r="R401" s="243"/>
      <c r="S401" s="243"/>
      <c r="T401" s="243"/>
      <c r="U401" s="243"/>
      <c r="V401" s="243"/>
      <c r="W401" s="243"/>
      <c r="X401" s="243"/>
      <c r="Y401" s="243"/>
      <c r="Z401" s="243"/>
    </row>
    <row r="402">
      <c r="A402" s="243"/>
      <c r="B402" s="243"/>
      <c r="C402" s="243"/>
      <c r="D402" s="243"/>
      <c r="E402" s="243"/>
      <c r="F402" s="243"/>
      <c r="G402" s="243"/>
      <c r="H402" s="243"/>
      <c r="I402" s="243"/>
      <c r="J402" s="243"/>
      <c r="K402" s="243"/>
      <c r="L402" s="243"/>
      <c r="M402" s="243"/>
      <c r="N402" s="243"/>
      <c r="O402" s="243"/>
      <c r="P402" s="243"/>
      <c r="Q402" s="243"/>
      <c r="R402" s="243"/>
      <c r="S402" s="243"/>
      <c r="T402" s="243"/>
      <c r="U402" s="243"/>
      <c r="V402" s="243"/>
      <c r="W402" s="243"/>
      <c r="X402" s="243"/>
      <c r="Y402" s="243"/>
      <c r="Z402" s="243"/>
    </row>
    <row r="403">
      <c r="A403" s="243"/>
      <c r="B403" s="243"/>
      <c r="C403" s="243"/>
      <c r="D403" s="243"/>
      <c r="E403" s="243"/>
      <c r="F403" s="243"/>
      <c r="G403" s="243"/>
      <c r="H403" s="243"/>
      <c r="I403" s="243"/>
      <c r="J403" s="243"/>
      <c r="K403" s="243"/>
      <c r="L403" s="243"/>
      <c r="M403" s="243"/>
      <c r="N403" s="243"/>
      <c r="O403" s="243"/>
      <c r="P403" s="243"/>
      <c r="Q403" s="243"/>
      <c r="R403" s="243"/>
      <c r="S403" s="243"/>
      <c r="T403" s="243"/>
      <c r="U403" s="243"/>
      <c r="V403" s="243"/>
      <c r="W403" s="243"/>
      <c r="X403" s="243"/>
      <c r="Y403" s="243"/>
      <c r="Z403" s="243"/>
    </row>
    <row r="404">
      <c r="A404" s="243"/>
      <c r="B404" s="243"/>
      <c r="C404" s="243"/>
      <c r="D404" s="243"/>
      <c r="E404" s="243"/>
      <c r="F404" s="243"/>
      <c r="G404" s="243"/>
      <c r="H404" s="243"/>
      <c r="I404" s="243"/>
      <c r="J404" s="243"/>
      <c r="K404" s="243"/>
      <c r="L404" s="243"/>
      <c r="M404" s="243"/>
      <c r="N404" s="243"/>
      <c r="O404" s="243"/>
      <c r="P404" s="243"/>
      <c r="Q404" s="243"/>
      <c r="R404" s="243"/>
      <c r="S404" s="243"/>
      <c r="T404" s="243"/>
      <c r="U404" s="243"/>
      <c r="V404" s="243"/>
      <c r="W404" s="243"/>
      <c r="X404" s="243"/>
      <c r="Y404" s="243"/>
      <c r="Z404" s="243"/>
    </row>
    <row r="405">
      <c r="A405" s="243"/>
      <c r="B405" s="243"/>
      <c r="C405" s="243"/>
      <c r="D405" s="243"/>
      <c r="E405" s="243"/>
      <c r="F405" s="243"/>
      <c r="G405" s="243"/>
      <c r="H405" s="243"/>
      <c r="I405" s="243"/>
      <c r="J405" s="243"/>
      <c r="K405" s="243"/>
      <c r="L405" s="243"/>
      <c r="M405" s="243"/>
      <c r="N405" s="243"/>
      <c r="O405" s="243"/>
      <c r="P405" s="243"/>
      <c r="Q405" s="243"/>
      <c r="R405" s="243"/>
      <c r="S405" s="243"/>
      <c r="T405" s="243"/>
      <c r="U405" s="243"/>
      <c r="V405" s="243"/>
      <c r="W405" s="243"/>
      <c r="X405" s="243"/>
      <c r="Y405" s="243"/>
      <c r="Z405" s="243"/>
    </row>
    <row r="406">
      <c r="A406" s="243"/>
      <c r="B406" s="243"/>
      <c r="C406" s="243"/>
      <c r="D406" s="243"/>
      <c r="E406" s="243"/>
      <c r="F406" s="243"/>
      <c r="G406" s="243"/>
      <c r="H406" s="243"/>
      <c r="I406" s="243"/>
      <c r="J406" s="243"/>
      <c r="K406" s="243"/>
      <c r="L406" s="243"/>
      <c r="M406" s="243"/>
      <c r="N406" s="243"/>
      <c r="O406" s="243"/>
      <c r="P406" s="243"/>
      <c r="Q406" s="243"/>
      <c r="R406" s="243"/>
      <c r="S406" s="243"/>
      <c r="T406" s="243"/>
      <c r="U406" s="243"/>
      <c r="V406" s="243"/>
      <c r="W406" s="243"/>
      <c r="X406" s="243"/>
      <c r="Y406" s="243"/>
      <c r="Z406" s="243"/>
    </row>
    <row r="407">
      <c r="A407" s="243"/>
      <c r="B407" s="243"/>
      <c r="C407" s="243"/>
      <c r="D407" s="243"/>
      <c r="E407" s="243"/>
      <c r="F407" s="243"/>
      <c r="G407" s="243"/>
      <c r="H407" s="243"/>
      <c r="I407" s="243"/>
      <c r="J407" s="243"/>
      <c r="K407" s="243"/>
      <c r="L407" s="243"/>
      <c r="M407" s="243"/>
      <c r="N407" s="243"/>
      <c r="O407" s="243"/>
      <c r="P407" s="243"/>
      <c r="Q407" s="243"/>
      <c r="R407" s="243"/>
      <c r="S407" s="243"/>
      <c r="T407" s="243"/>
      <c r="U407" s="243"/>
      <c r="V407" s="243"/>
      <c r="W407" s="243"/>
      <c r="X407" s="243"/>
      <c r="Y407" s="243"/>
      <c r="Z407" s="243"/>
    </row>
    <row r="408">
      <c r="A408" s="243"/>
      <c r="B408" s="243"/>
      <c r="C408" s="243"/>
      <c r="D408" s="243"/>
      <c r="E408" s="243"/>
      <c r="F408" s="243"/>
      <c r="G408" s="243"/>
      <c r="H408" s="243"/>
      <c r="I408" s="243"/>
      <c r="J408" s="243"/>
      <c r="K408" s="243"/>
      <c r="L408" s="243"/>
      <c r="M408" s="243"/>
      <c r="N408" s="243"/>
      <c r="O408" s="243"/>
      <c r="P408" s="243"/>
      <c r="Q408" s="243"/>
      <c r="R408" s="243"/>
      <c r="S408" s="243"/>
      <c r="T408" s="243"/>
      <c r="U408" s="243"/>
      <c r="V408" s="243"/>
      <c r="W408" s="243"/>
      <c r="X408" s="243"/>
      <c r="Y408" s="243"/>
      <c r="Z408" s="243"/>
    </row>
    <row r="409">
      <c r="A409" s="243"/>
      <c r="B409" s="243"/>
      <c r="C409" s="243"/>
      <c r="D409" s="243"/>
      <c r="E409" s="243"/>
      <c r="F409" s="243"/>
      <c r="G409" s="243"/>
      <c r="H409" s="243"/>
      <c r="I409" s="243"/>
      <c r="J409" s="243"/>
      <c r="K409" s="243"/>
      <c r="L409" s="243"/>
      <c r="M409" s="243"/>
      <c r="N409" s="243"/>
      <c r="O409" s="243"/>
      <c r="P409" s="243"/>
      <c r="Q409" s="243"/>
      <c r="R409" s="243"/>
      <c r="S409" s="243"/>
      <c r="T409" s="243"/>
      <c r="U409" s="243"/>
      <c r="V409" s="243"/>
      <c r="W409" s="243"/>
      <c r="X409" s="243"/>
      <c r="Y409" s="243"/>
      <c r="Z409" s="243"/>
    </row>
    <row r="410">
      <c r="A410" s="243"/>
      <c r="B410" s="243"/>
      <c r="C410" s="243"/>
      <c r="D410" s="243"/>
      <c r="E410" s="243"/>
      <c r="F410" s="243"/>
      <c r="G410" s="243"/>
      <c r="H410" s="243"/>
      <c r="I410" s="243"/>
      <c r="J410" s="243"/>
      <c r="K410" s="243"/>
      <c r="L410" s="243"/>
      <c r="M410" s="243"/>
      <c r="N410" s="243"/>
      <c r="O410" s="243"/>
      <c r="P410" s="243"/>
      <c r="Q410" s="243"/>
      <c r="R410" s="243"/>
      <c r="S410" s="243"/>
      <c r="T410" s="243"/>
      <c r="U410" s="243"/>
      <c r="V410" s="243"/>
      <c r="W410" s="243"/>
      <c r="X410" s="243"/>
      <c r="Y410" s="243"/>
      <c r="Z410" s="243"/>
    </row>
    <row r="411">
      <c r="A411" s="243"/>
      <c r="B411" s="243"/>
      <c r="C411" s="243"/>
      <c r="D411" s="243"/>
      <c r="E411" s="243"/>
      <c r="F411" s="243"/>
      <c r="G411" s="243"/>
      <c r="H411" s="243"/>
      <c r="I411" s="243"/>
      <c r="J411" s="243"/>
      <c r="K411" s="243"/>
      <c r="L411" s="243"/>
      <c r="M411" s="243"/>
      <c r="N411" s="243"/>
      <c r="O411" s="243"/>
      <c r="P411" s="243"/>
      <c r="Q411" s="243"/>
      <c r="R411" s="243"/>
      <c r="S411" s="243"/>
      <c r="T411" s="243"/>
      <c r="U411" s="243"/>
      <c r="V411" s="243"/>
      <c r="W411" s="243"/>
      <c r="X411" s="243"/>
      <c r="Y411" s="243"/>
      <c r="Z411" s="243"/>
    </row>
    <row r="412">
      <c r="A412" s="243"/>
      <c r="B412" s="243"/>
      <c r="C412" s="243"/>
      <c r="D412" s="243"/>
      <c r="E412" s="243"/>
      <c r="F412" s="243"/>
      <c r="G412" s="243"/>
      <c r="H412" s="243"/>
      <c r="I412" s="243"/>
      <c r="J412" s="243"/>
      <c r="K412" s="243"/>
      <c r="L412" s="243"/>
      <c r="M412" s="243"/>
      <c r="N412" s="243"/>
      <c r="O412" s="243"/>
      <c r="P412" s="243"/>
      <c r="Q412" s="243"/>
      <c r="R412" s="243"/>
      <c r="S412" s="243"/>
      <c r="T412" s="243"/>
      <c r="U412" s="243"/>
      <c r="V412" s="243"/>
      <c r="W412" s="243"/>
      <c r="X412" s="243"/>
      <c r="Y412" s="243"/>
      <c r="Z412" s="243"/>
    </row>
    <row r="413">
      <c r="A413" s="243"/>
      <c r="B413" s="243"/>
      <c r="C413" s="243"/>
      <c r="D413" s="243"/>
      <c r="E413" s="243"/>
      <c r="F413" s="243"/>
      <c r="G413" s="243"/>
      <c r="H413" s="243"/>
      <c r="I413" s="243"/>
      <c r="J413" s="243"/>
      <c r="K413" s="243"/>
      <c r="L413" s="243"/>
      <c r="M413" s="243"/>
      <c r="N413" s="243"/>
      <c r="O413" s="243"/>
      <c r="P413" s="243"/>
      <c r="Q413" s="243"/>
      <c r="R413" s="243"/>
      <c r="S413" s="243"/>
      <c r="T413" s="243"/>
      <c r="U413" s="243"/>
      <c r="V413" s="243"/>
      <c r="W413" s="243"/>
      <c r="X413" s="243"/>
      <c r="Y413" s="243"/>
      <c r="Z413" s="243"/>
    </row>
    <row r="414">
      <c r="A414" s="243"/>
      <c r="B414" s="243"/>
      <c r="C414" s="243"/>
      <c r="D414" s="243"/>
      <c r="E414" s="243"/>
      <c r="F414" s="243"/>
      <c r="G414" s="243"/>
      <c r="H414" s="243"/>
      <c r="I414" s="243"/>
      <c r="J414" s="243"/>
      <c r="K414" s="243"/>
      <c r="L414" s="243"/>
      <c r="M414" s="243"/>
      <c r="N414" s="243"/>
      <c r="O414" s="243"/>
      <c r="P414" s="243"/>
      <c r="Q414" s="243"/>
      <c r="R414" s="243"/>
      <c r="S414" s="243"/>
      <c r="T414" s="243"/>
      <c r="U414" s="243"/>
      <c r="V414" s="243"/>
      <c r="W414" s="243"/>
      <c r="X414" s="243"/>
      <c r="Y414" s="243"/>
      <c r="Z414" s="243"/>
    </row>
    <row r="415">
      <c r="A415" s="243"/>
      <c r="B415" s="243"/>
      <c r="C415" s="243"/>
      <c r="D415" s="243"/>
      <c r="E415" s="243"/>
      <c r="F415" s="243"/>
      <c r="G415" s="243"/>
      <c r="H415" s="243"/>
      <c r="I415" s="243"/>
      <c r="J415" s="243"/>
      <c r="K415" s="243"/>
      <c r="L415" s="243"/>
      <c r="M415" s="243"/>
      <c r="N415" s="243"/>
      <c r="O415" s="243"/>
      <c r="P415" s="243"/>
      <c r="Q415" s="243"/>
      <c r="R415" s="243"/>
      <c r="S415" s="243"/>
      <c r="T415" s="243"/>
      <c r="U415" s="243"/>
      <c r="V415" s="243"/>
      <c r="W415" s="243"/>
      <c r="X415" s="243"/>
      <c r="Y415" s="243"/>
      <c r="Z415" s="243"/>
    </row>
    <row r="416">
      <c r="A416" s="243"/>
      <c r="B416" s="243"/>
      <c r="C416" s="243"/>
      <c r="D416" s="243"/>
      <c r="E416" s="243"/>
      <c r="F416" s="243"/>
      <c r="G416" s="243"/>
      <c r="H416" s="243"/>
      <c r="I416" s="243"/>
      <c r="J416" s="243"/>
      <c r="K416" s="243"/>
      <c r="L416" s="243"/>
      <c r="M416" s="243"/>
      <c r="N416" s="243"/>
      <c r="O416" s="243"/>
      <c r="P416" s="243"/>
      <c r="Q416" s="243"/>
      <c r="R416" s="243"/>
      <c r="S416" s="243"/>
      <c r="T416" s="243"/>
      <c r="U416" s="243"/>
      <c r="V416" s="243"/>
      <c r="W416" s="243"/>
      <c r="X416" s="243"/>
      <c r="Y416" s="243"/>
      <c r="Z416" s="243"/>
    </row>
    <row r="417">
      <c r="A417" s="243"/>
      <c r="B417" s="243"/>
      <c r="C417" s="243"/>
      <c r="D417" s="243"/>
      <c r="E417" s="243"/>
      <c r="F417" s="243"/>
      <c r="G417" s="243"/>
      <c r="H417" s="243"/>
      <c r="I417" s="243"/>
      <c r="J417" s="243"/>
      <c r="K417" s="243"/>
      <c r="L417" s="243"/>
      <c r="M417" s="243"/>
      <c r="N417" s="243"/>
      <c r="O417" s="243"/>
      <c r="P417" s="243"/>
      <c r="Q417" s="243"/>
      <c r="R417" s="243"/>
      <c r="S417" s="243"/>
      <c r="T417" s="243"/>
      <c r="U417" s="243"/>
      <c r="V417" s="243"/>
      <c r="W417" s="243"/>
      <c r="X417" s="243"/>
      <c r="Y417" s="243"/>
      <c r="Z417" s="243"/>
    </row>
    <row r="418">
      <c r="A418" s="243"/>
      <c r="B418" s="243"/>
      <c r="C418" s="243"/>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c r="Z418" s="243"/>
    </row>
    <row r="419">
      <c r="A419" s="243"/>
      <c r="B419" s="243"/>
      <c r="C419" s="243"/>
      <c r="D419" s="243"/>
      <c r="E419" s="243"/>
      <c r="F419" s="243"/>
      <c r="G419" s="243"/>
      <c r="H419" s="243"/>
      <c r="I419" s="243"/>
      <c r="J419" s="243"/>
      <c r="K419" s="243"/>
      <c r="L419" s="243"/>
      <c r="M419" s="243"/>
      <c r="N419" s="243"/>
      <c r="O419" s="243"/>
      <c r="P419" s="243"/>
      <c r="Q419" s="243"/>
      <c r="R419" s="243"/>
      <c r="S419" s="243"/>
      <c r="T419" s="243"/>
      <c r="U419" s="243"/>
      <c r="V419" s="243"/>
      <c r="W419" s="243"/>
      <c r="X419" s="243"/>
      <c r="Y419" s="243"/>
      <c r="Z419" s="243"/>
    </row>
    <row r="420">
      <c r="A420" s="243"/>
      <c r="B420" s="243"/>
      <c r="C420" s="243"/>
      <c r="D420" s="243"/>
      <c r="E420" s="243"/>
      <c r="F420" s="243"/>
      <c r="G420" s="243"/>
      <c r="H420" s="243"/>
      <c r="I420" s="243"/>
      <c r="J420" s="243"/>
      <c r="K420" s="243"/>
      <c r="L420" s="243"/>
      <c r="M420" s="243"/>
      <c r="N420" s="243"/>
      <c r="O420" s="243"/>
      <c r="P420" s="243"/>
      <c r="Q420" s="243"/>
      <c r="R420" s="243"/>
      <c r="S420" s="243"/>
      <c r="T420" s="243"/>
      <c r="U420" s="243"/>
      <c r="V420" s="243"/>
      <c r="W420" s="243"/>
      <c r="X420" s="243"/>
      <c r="Y420" s="243"/>
      <c r="Z420" s="243"/>
    </row>
    <row r="421">
      <c r="A421" s="243"/>
      <c r="B421" s="243"/>
      <c r="C421" s="243"/>
      <c r="D421" s="243"/>
      <c r="E421" s="243"/>
      <c r="F421" s="243"/>
      <c r="G421" s="243"/>
      <c r="H421" s="243"/>
      <c r="I421" s="243"/>
      <c r="J421" s="243"/>
      <c r="K421" s="243"/>
      <c r="L421" s="243"/>
      <c r="M421" s="243"/>
      <c r="N421" s="243"/>
      <c r="O421" s="243"/>
      <c r="P421" s="243"/>
      <c r="Q421" s="243"/>
      <c r="R421" s="243"/>
      <c r="S421" s="243"/>
      <c r="T421" s="243"/>
      <c r="U421" s="243"/>
      <c r="V421" s="243"/>
      <c r="W421" s="243"/>
      <c r="X421" s="243"/>
      <c r="Y421" s="243"/>
      <c r="Z421" s="243"/>
    </row>
    <row r="422">
      <c r="A422" s="243"/>
      <c r="B422" s="243"/>
      <c r="C422" s="243"/>
      <c r="D422" s="243"/>
      <c r="E422" s="243"/>
      <c r="F422" s="243"/>
      <c r="G422" s="243"/>
      <c r="H422" s="243"/>
      <c r="I422" s="243"/>
      <c r="J422" s="243"/>
      <c r="K422" s="243"/>
      <c r="L422" s="243"/>
      <c r="M422" s="243"/>
      <c r="N422" s="243"/>
      <c r="O422" s="243"/>
      <c r="P422" s="243"/>
      <c r="Q422" s="243"/>
      <c r="R422" s="243"/>
      <c r="S422" s="243"/>
      <c r="T422" s="243"/>
      <c r="U422" s="243"/>
      <c r="V422" s="243"/>
      <c r="W422" s="243"/>
      <c r="X422" s="243"/>
      <c r="Y422" s="243"/>
      <c r="Z422" s="243"/>
    </row>
    <row r="423">
      <c r="A423" s="243"/>
      <c r="B423" s="243"/>
      <c r="C423" s="243"/>
      <c r="D423" s="243"/>
      <c r="E423" s="243"/>
      <c r="F423" s="243"/>
      <c r="G423" s="243"/>
      <c r="H423" s="243"/>
      <c r="I423" s="243"/>
      <c r="J423" s="243"/>
      <c r="K423" s="243"/>
      <c r="L423" s="243"/>
      <c r="M423" s="243"/>
      <c r="N423" s="243"/>
      <c r="O423" s="243"/>
      <c r="P423" s="243"/>
      <c r="Q423" s="243"/>
      <c r="R423" s="243"/>
      <c r="S423" s="243"/>
      <c r="T423" s="243"/>
      <c r="U423" s="243"/>
      <c r="V423" s="243"/>
      <c r="W423" s="243"/>
      <c r="X423" s="243"/>
      <c r="Y423" s="243"/>
      <c r="Z423" s="243"/>
    </row>
    <row r="424">
      <c r="A424" s="243"/>
      <c r="B424" s="243"/>
      <c r="C424" s="243"/>
      <c r="D424" s="243"/>
      <c r="E424" s="243"/>
      <c r="F424" s="243"/>
      <c r="G424" s="243"/>
      <c r="H424" s="243"/>
      <c r="I424" s="243"/>
      <c r="J424" s="243"/>
      <c r="K424" s="243"/>
      <c r="L424" s="243"/>
      <c r="M424" s="243"/>
      <c r="N424" s="243"/>
      <c r="O424" s="243"/>
      <c r="P424" s="243"/>
      <c r="Q424" s="243"/>
      <c r="R424" s="243"/>
      <c r="S424" s="243"/>
      <c r="T424" s="243"/>
      <c r="U424" s="243"/>
      <c r="V424" s="243"/>
      <c r="W424" s="243"/>
      <c r="X424" s="243"/>
      <c r="Y424" s="243"/>
      <c r="Z424" s="243"/>
    </row>
    <row r="425">
      <c r="A425" s="243"/>
      <c r="B425" s="243"/>
      <c r="C425" s="243"/>
      <c r="D425" s="243"/>
      <c r="E425" s="243"/>
      <c r="F425" s="243"/>
      <c r="G425" s="243"/>
      <c r="H425" s="243"/>
      <c r="I425" s="243"/>
      <c r="J425" s="243"/>
      <c r="K425" s="243"/>
      <c r="L425" s="243"/>
      <c r="M425" s="243"/>
      <c r="N425" s="243"/>
      <c r="O425" s="243"/>
      <c r="P425" s="243"/>
      <c r="Q425" s="243"/>
      <c r="R425" s="243"/>
      <c r="S425" s="243"/>
      <c r="T425" s="243"/>
      <c r="U425" s="243"/>
      <c r="V425" s="243"/>
      <c r="W425" s="243"/>
      <c r="X425" s="243"/>
      <c r="Y425" s="243"/>
      <c r="Z425" s="243"/>
    </row>
    <row r="426">
      <c r="A426" s="243"/>
      <c r="B426" s="243"/>
      <c r="C426" s="243"/>
      <c r="D426" s="243"/>
      <c r="E426" s="243"/>
      <c r="F426" s="243"/>
      <c r="G426" s="243"/>
      <c r="H426" s="243"/>
      <c r="I426" s="243"/>
      <c r="J426" s="243"/>
      <c r="K426" s="243"/>
      <c r="L426" s="243"/>
      <c r="M426" s="243"/>
      <c r="N426" s="243"/>
      <c r="O426" s="243"/>
      <c r="P426" s="243"/>
      <c r="Q426" s="243"/>
      <c r="R426" s="243"/>
      <c r="S426" s="243"/>
      <c r="T426" s="243"/>
      <c r="U426" s="243"/>
      <c r="V426" s="243"/>
      <c r="W426" s="243"/>
      <c r="X426" s="243"/>
      <c r="Y426" s="243"/>
      <c r="Z426" s="243"/>
    </row>
    <row r="427">
      <c r="A427" s="243"/>
      <c r="B427" s="243"/>
      <c r="C427" s="243"/>
      <c r="D427" s="243"/>
      <c r="E427" s="243"/>
      <c r="F427" s="243"/>
      <c r="G427" s="243"/>
      <c r="H427" s="243"/>
      <c r="I427" s="243"/>
      <c r="J427" s="243"/>
      <c r="K427" s="243"/>
      <c r="L427" s="243"/>
      <c r="M427" s="243"/>
      <c r="N427" s="243"/>
      <c r="O427" s="243"/>
      <c r="P427" s="243"/>
      <c r="Q427" s="243"/>
      <c r="R427" s="243"/>
      <c r="S427" s="243"/>
      <c r="T427" s="243"/>
      <c r="U427" s="243"/>
      <c r="V427" s="243"/>
      <c r="W427" s="243"/>
      <c r="X427" s="243"/>
      <c r="Y427" s="243"/>
      <c r="Z427" s="243"/>
    </row>
    <row r="428">
      <c r="A428" s="243"/>
      <c r="B428" s="243"/>
      <c r="C428" s="243"/>
      <c r="D428" s="243"/>
      <c r="E428" s="243"/>
      <c r="F428" s="243"/>
      <c r="G428" s="243"/>
      <c r="H428" s="243"/>
      <c r="I428" s="243"/>
      <c r="J428" s="243"/>
      <c r="K428" s="243"/>
      <c r="L428" s="243"/>
      <c r="M428" s="243"/>
      <c r="N428" s="243"/>
      <c r="O428" s="243"/>
      <c r="P428" s="243"/>
      <c r="Q428" s="243"/>
      <c r="R428" s="243"/>
      <c r="S428" s="243"/>
      <c r="T428" s="243"/>
      <c r="U428" s="243"/>
      <c r="V428" s="243"/>
      <c r="W428" s="243"/>
      <c r="X428" s="243"/>
      <c r="Y428" s="243"/>
      <c r="Z428" s="243"/>
    </row>
    <row r="429">
      <c r="A429" s="243"/>
      <c r="B429" s="243"/>
      <c r="C429" s="243"/>
      <c r="D429" s="243"/>
      <c r="E429" s="243"/>
      <c r="F429" s="243"/>
      <c r="G429" s="243"/>
      <c r="H429" s="243"/>
      <c r="I429" s="243"/>
      <c r="J429" s="243"/>
      <c r="K429" s="243"/>
      <c r="L429" s="243"/>
      <c r="M429" s="243"/>
      <c r="N429" s="243"/>
      <c r="O429" s="243"/>
      <c r="P429" s="243"/>
      <c r="Q429" s="243"/>
      <c r="R429" s="243"/>
      <c r="S429" s="243"/>
      <c r="T429" s="243"/>
      <c r="U429" s="243"/>
      <c r="V429" s="243"/>
      <c r="W429" s="243"/>
      <c r="X429" s="243"/>
      <c r="Y429" s="243"/>
      <c r="Z429" s="243"/>
    </row>
    <row r="430">
      <c r="A430" s="243"/>
      <c r="B430" s="243"/>
      <c r="C430" s="243"/>
      <c r="D430" s="243"/>
      <c r="E430" s="243"/>
      <c r="F430" s="243"/>
      <c r="G430" s="243"/>
      <c r="H430" s="243"/>
      <c r="I430" s="243"/>
      <c r="J430" s="243"/>
      <c r="K430" s="243"/>
      <c r="L430" s="243"/>
      <c r="M430" s="243"/>
      <c r="N430" s="243"/>
      <c r="O430" s="243"/>
      <c r="P430" s="243"/>
      <c r="Q430" s="243"/>
      <c r="R430" s="243"/>
      <c r="S430" s="243"/>
      <c r="T430" s="243"/>
      <c r="U430" s="243"/>
      <c r="V430" s="243"/>
      <c r="W430" s="243"/>
      <c r="X430" s="243"/>
      <c r="Y430" s="243"/>
      <c r="Z430" s="243"/>
    </row>
    <row r="431">
      <c r="A431" s="243"/>
      <c r="B431" s="243"/>
      <c r="C431" s="243"/>
      <c r="D431" s="243"/>
      <c r="E431" s="243"/>
      <c r="F431" s="243"/>
      <c r="G431" s="243"/>
      <c r="H431" s="243"/>
      <c r="I431" s="243"/>
      <c r="J431" s="243"/>
      <c r="K431" s="243"/>
      <c r="L431" s="243"/>
      <c r="M431" s="243"/>
      <c r="N431" s="243"/>
      <c r="O431" s="243"/>
      <c r="P431" s="243"/>
      <c r="Q431" s="243"/>
      <c r="R431" s="243"/>
      <c r="S431" s="243"/>
      <c r="T431" s="243"/>
      <c r="U431" s="243"/>
      <c r="V431" s="243"/>
      <c r="W431" s="243"/>
      <c r="X431" s="243"/>
      <c r="Y431" s="243"/>
      <c r="Z431" s="243"/>
    </row>
    <row r="432">
      <c r="A432" s="243"/>
      <c r="B432" s="243"/>
      <c r="C432" s="243"/>
      <c r="D432" s="243"/>
      <c r="E432" s="243"/>
      <c r="F432" s="243"/>
      <c r="G432" s="243"/>
      <c r="H432" s="243"/>
      <c r="I432" s="243"/>
      <c r="J432" s="243"/>
      <c r="K432" s="243"/>
      <c r="L432" s="243"/>
      <c r="M432" s="243"/>
      <c r="N432" s="243"/>
      <c r="O432" s="243"/>
      <c r="P432" s="243"/>
      <c r="Q432" s="243"/>
      <c r="R432" s="243"/>
      <c r="S432" s="243"/>
      <c r="T432" s="243"/>
      <c r="U432" s="243"/>
      <c r="V432" s="243"/>
      <c r="W432" s="243"/>
      <c r="X432" s="243"/>
      <c r="Y432" s="243"/>
      <c r="Z432" s="243"/>
    </row>
    <row r="433">
      <c r="A433" s="243"/>
      <c r="B433" s="243"/>
      <c r="C433" s="243"/>
      <c r="D433" s="243"/>
      <c r="E433" s="243"/>
      <c r="F433" s="243"/>
      <c r="G433" s="243"/>
      <c r="H433" s="243"/>
      <c r="I433" s="243"/>
      <c r="J433" s="243"/>
      <c r="K433" s="243"/>
      <c r="L433" s="243"/>
      <c r="M433" s="243"/>
      <c r="N433" s="243"/>
      <c r="O433" s="243"/>
      <c r="P433" s="243"/>
      <c r="Q433" s="243"/>
      <c r="R433" s="243"/>
      <c r="S433" s="243"/>
      <c r="T433" s="243"/>
      <c r="U433" s="243"/>
      <c r="V433" s="243"/>
      <c r="W433" s="243"/>
      <c r="X433" s="243"/>
      <c r="Y433" s="243"/>
      <c r="Z433" s="243"/>
    </row>
    <row r="434">
      <c r="A434" s="243"/>
      <c r="B434" s="243"/>
      <c r="C434" s="243"/>
      <c r="D434" s="243"/>
      <c r="E434" s="243"/>
      <c r="F434" s="243"/>
      <c r="G434" s="243"/>
      <c r="H434" s="243"/>
      <c r="I434" s="243"/>
      <c r="J434" s="243"/>
      <c r="K434" s="243"/>
      <c r="L434" s="243"/>
      <c r="M434" s="243"/>
      <c r="N434" s="243"/>
      <c r="O434" s="243"/>
      <c r="P434" s="243"/>
      <c r="Q434" s="243"/>
      <c r="R434" s="243"/>
      <c r="S434" s="243"/>
      <c r="T434" s="243"/>
      <c r="U434" s="243"/>
      <c r="V434" s="243"/>
      <c r="W434" s="243"/>
      <c r="X434" s="243"/>
      <c r="Y434" s="243"/>
      <c r="Z434" s="243"/>
    </row>
    <row r="435">
      <c r="A435" s="243"/>
      <c r="B435" s="243"/>
      <c r="C435" s="243"/>
      <c r="D435" s="243"/>
      <c r="E435" s="243"/>
      <c r="F435" s="243"/>
      <c r="G435" s="243"/>
      <c r="H435" s="243"/>
      <c r="I435" s="243"/>
      <c r="J435" s="243"/>
      <c r="K435" s="243"/>
      <c r="L435" s="243"/>
      <c r="M435" s="243"/>
      <c r="N435" s="243"/>
      <c r="O435" s="243"/>
      <c r="P435" s="243"/>
      <c r="Q435" s="243"/>
      <c r="R435" s="243"/>
      <c r="S435" s="243"/>
      <c r="T435" s="243"/>
      <c r="U435" s="243"/>
      <c r="V435" s="243"/>
      <c r="W435" s="243"/>
      <c r="X435" s="243"/>
      <c r="Y435" s="243"/>
      <c r="Z435" s="243"/>
    </row>
    <row r="436">
      <c r="A436" s="243"/>
      <c r="B436" s="243"/>
      <c r="C436" s="243"/>
      <c r="D436" s="243"/>
      <c r="E436" s="243"/>
      <c r="F436" s="243"/>
      <c r="G436" s="243"/>
      <c r="H436" s="243"/>
      <c r="I436" s="243"/>
      <c r="J436" s="243"/>
      <c r="K436" s="243"/>
      <c r="L436" s="243"/>
      <c r="M436" s="243"/>
      <c r="N436" s="243"/>
      <c r="O436" s="243"/>
      <c r="P436" s="243"/>
      <c r="Q436" s="243"/>
      <c r="R436" s="243"/>
      <c r="S436" s="243"/>
      <c r="T436" s="243"/>
      <c r="U436" s="243"/>
      <c r="V436" s="243"/>
      <c r="W436" s="243"/>
      <c r="X436" s="243"/>
      <c r="Y436" s="243"/>
      <c r="Z436" s="243"/>
    </row>
    <row r="437">
      <c r="A437" s="243"/>
      <c r="B437" s="243"/>
      <c r="C437" s="243"/>
      <c r="D437" s="243"/>
      <c r="E437" s="243"/>
      <c r="F437" s="243"/>
      <c r="G437" s="243"/>
      <c r="H437" s="243"/>
      <c r="I437" s="243"/>
      <c r="J437" s="243"/>
      <c r="K437" s="243"/>
      <c r="L437" s="243"/>
      <c r="M437" s="243"/>
      <c r="N437" s="243"/>
      <c r="O437" s="243"/>
      <c r="P437" s="243"/>
      <c r="Q437" s="243"/>
      <c r="R437" s="243"/>
      <c r="S437" s="243"/>
      <c r="T437" s="243"/>
      <c r="U437" s="243"/>
      <c r="V437" s="243"/>
      <c r="W437" s="243"/>
      <c r="X437" s="243"/>
      <c r="Y437" s="243"/>
      <c r="Z437" s="243"/>
    </row>
    <row r="438">
      <c r="A438" s="243"/>
      <c r="B438" s="243"/>
      <c r="C438" s="243"/>
      <c r="D438" s="243"/>
      <c r="E438" s="243"/>
      <c r="F438" s="243"/>
      <c r="G438" s="243"/>
      <c r="H438" s="243"/>
      <c r="I438" s="243"/>
      <c r="J438" s="243"/>
      <c r="K438" s="243"/>
      <c r="L438" s="243"/>
      <c r="M438" s="243"/>
      <c r="N438" s="243"/>
      <c r="O438" s="243"/>
      <c r="P438" s="243"/>
      <c r="Q438" s="243"/>
      <c r="R438" s="243"/>
      <c r="S438" s="243"/>
      <c r="T438" s="243"/>
      <c r="U438" s="243"/>
      <c r="V438" s="243"/>
      <c r="W438" s="243"/>
      <c r="X438" s="243"/>
      <c r="Y438" s="243"/>
      <c r="Z438" s="243"/>
    </row>
    <row r="439">
      <c r="A439" s="243"/>
      <c r="B439" s="243"/>
      <c r="C439" s="243"/>
      <c r="D439" s="243"/>
      <c r="E439" s="243"/>
      <c r="F439" s="243"/>
      <c r="G439" s="243"/>
      <c r="H439" s="243"/>
      <c r="I439" s="243"/>
      <c r="J439" s="243"/>
      <c r="K439" s="243"/>
      <c r="L439" s="243"/>
      <c r="M439" s="243"/>
      <c r="N439" s="243"/>
      <c r="O439" s="243"/>
      <c r="P439" s="243"/>
      <c r="Q439" s="243"/>
      <c r="R439" s="243"/>
      <c r="S439" s="243"/>
      <c r="T439" s="243"/>
      <c r="U439" s="243"/>
      <c r="V439" s="243"/>
      <c r="W439" s="243"/>
      <c r="X439" s="243"/>
      <c r="Y439" s="243"/>
      <c r="Z439" s="243"/>
    </row>
    <row r="440">
      <c r="A440" s="243"/>
      <c r="B440" s="243"/>
      <c r="C440" s="243"/>
      <c r="D440" s="243"/>
      <c r="E440" s="243"/>
      <c r="F440" s="243"/>
      <c r="G440" s="243"/>
      <c r="H440" s="243"/>
      <c r="I440" s="243"/>
      <c r="J440" s="243"/>
      <c r="K440" s="243"/>
      <c r="L440" s="243"/>
      <c r="M440" s="243"/>
      <c r="N440" s="243"/>
      <c r="O440" s="243"/>
      <c r="P440" s="243"/>
      <c r="Q440" s="243"/>
      <c r="R440" s="243"/>
      <c r="S440" s="243"/>
      <c r="T440" s="243"/>
      <c r="U440" s="243"/>
      <c r="V440" s="243"/>
      <c r="W440" s="243"/>
      <c r="X440" s="243"/>
      <c r="Y440" s="243"/>
      <c r="Z440" s="243"/>
    </row>
    <row r="441">
      <c r="A441" s="243"/>
      <c r="B441" s="243"/>
      <c r="C441" s="243"/>
      <c r="D441" s="243"/>
      <c r="E441" s="243"/>
      <c r="F441" s="243"/>
      <c r="G441" s="243"/>
      <c r="H441" s="243"/>
      <c r="I441" s="243"/>
      <c r="J441" s="243"/>
      <c r="K441" s="243"/>
      <c r="L441" s="243"/>
      <c r="M441" s="243"/>
      <c r="N441" s="243"/>
      <c r="O441" s="243"/>
      <c r="P441" s="243"/>
      <c r="Q441" s="243"/>
      <c r="R441" s="243"/>
      <c r="S441" s="243"/>
      <c r="T441" s="243"/>
      <c r="U441" s="243"/>
      <c r="V441" s="243"/>
      <c r="W441" s="243"/>
      <c r="X441" s="243"/>
      <c r="Y441" s="243"/>
      <c r="Z441" s="243"/>
    </row>
    <row r="442">
      <c r="A442" s="243"/>
      <c r="B442" s="243"/>
      <c r="C442" s="243"/>
      <c r="D442" s="243"/>
      <c r="E442" s="243"/>
      <c r="F442" s="243"/>
      <c r="G442" s="243"/>
      <c r="H442" s="243"/>
      <c r="I442" s="243"/>
      <c r="J442" s="243"/>
      <c r="K442" s="243"/>
      <c r="L442" s="243"/>
      <c r="M442" s="243"/>
      <c r="N442" s="243"/>
      <c r="O442" s="243"/>
      <c r="P442" s="243"/>
      <c r="Q442" s="243"/>
      <c r="R442" s="243"/>
      <c r="S442" s="243"/>
      <c r="T442" s="243"/>
      <c r="U442" s="243"/>
      <c r="V442" s="243"/>
      <c r="W442" s="243"/>
      <c r="X442" s="243"/>
      <c r="Y442" s="243"/>
      <c r="Z442" s="243"/>
    </row>
    <row r="443">
      <c r="A443" s="243"/>
      <c r="B443" s="243"/>
      <c r="C443" s="243"/>
      <c r="D443" s="243"/>
      <c r="E443" s="243"/>
      <c r="F443" s="243"/>
      <c r="G443" s="243"/>
      <c r="H443" s="243"/>
      <c r="I443" s="243"/>
      <c r="J443" s="243"/>
      <c r="K443" s="243"/>
      <c r="L443" s="243"/>
      <c r="M443" s="243"/>
      <c r="N443" s="243"/>
      <c r="O443" s="243"/>
      <c r="P443" s="243"/>
      <c r="Q443" s="243"/>
      <c r="R443" s="243"/>
      <c r="S443" s="243"/>
      <c r="T443" s="243"/>
      <c r="U443" s="243"/>
      <c r="V443" s="243"/>
      <c r="W443" s="243"/>
      <c r="X443" s="243"/>
      <c r="Y443" s="243"/>
      <c r="Z443" s="243"/>
    </row>
    <row r="444">
      <c r="A444" s="243"/>
      <c r="B444" s="243"/>
      <c r="C444" s="243"/>
      <c r="D444" s="243"/>
      <c r="E444" s="243"/>
      <c r="F444" s="243"/>
      <c r="G444" s="243"/>
      <c r="H444" s="243"/>
      <c r="I444" s="243"/>
      <c r="J444" s="243"/>
      <c r="K444" s="243"/>
      <c r="L444" s="243"/>
      <c r="M444" s="243"/>
      <c r="N444" s="243"/>
      <c r="O444" s="243"/>
      <c r="P444" s="243"/>
      <c r="Q444" s="243"/>
      <c r="R444" s="243"/>
      <c r="S444" s="243"/>
      <c r="T444" s="243"/>
      <c r="U444" s="243"/>
      <c r="V444" s="243"/>
      <c r="W444" s="243"/>
      <c r="X444" s="243"/>
      <c r="Y444" s="243"/>
      <c r="Z444" s="243"/>
    </row>
    <row r="445">
      <c r="A445" s="243"/>
      <c r="B445" s="243"/>
      <c r="C445" s="243"/>
      <c r="D445" s="243"/>
      <c r="E445" s="243"/>
      <c r="F445" s="243"/>
      <c r="G445" s="243"/>
      <c r="H445" s="243"/>
      <c r="I445" s="243"/>
      <c r="J445" s="243"/>
      <c r="K445" s="243"/>
      <c r="L445" s="243"/>
      <c r="M445" s="243"/>
      <c r="N445" s="243"/>
      <c r="O445" s="243"/>
      <c r="P445" s="243"/>
      <c r="Q445" s="243"/>
      <c r="R445" s="243"/>
      <c r="S445" s="243"/>
      <c r="T445" s="243"/>
      <c r="U445" s="243"/>
      <c r="V445" s="243"/>
      <c r="W445" s="243"/>
      <c r="X445" s="243"/>
      <c r="Y445" s="243"/>
      <c r="Z445" s="243"/>
    </row>
    <row r="446">
      <c r="A446" s="243"/>
      <c r="B446" s="243"/>
      <c r="C446" s="243"/>
      <c r="D446" s="243"/>
      <c r="E446" s="243"/>
      <c r="F446" s="243"/>
      <c r="G446" s="243"/>
      <c r="H446" s="243"/>
      <c r="I446" s="243"/>
      <c r="J446" s="243"/>
      <c r="K446" s="243"/>
      <c r="L446" s="243"/>
      <c r="M446" s="243"/>
      <c r="N446" s="243"/>
      <c r="O446" s="243"/>
      <c r="P446" s="243"/>
      <c r="Q446" s="243"/>
      <c r="R446" s="243"/>
      <c r="S446" s="243"/>
      <c r="T446" s="243"/>
      <c r="U446" s="243"/>
      <c r="V446" s="243"/>
      <c r="W446" s="243"/>
      <c r="X446" s="243"/>
      <c r="Y446" s="243"/>
      <c r="Z446" s="243"/>
    </row>
    <row r="447">
      <c r="A447" s="243"/>
      <c r="B447" s="243"/>
      <c r="C447" s="243"/>
      <c r="D447" s="243"/>
      <c r="E447" s="243"/>
      <c r="F447" s="243"/>
      <c r="G447" s="243"/>
      <c r="H447" s="243"/>
      <c r="I447" s="243"/>
      <c r="J447" s="243"/>
      <c r="K447" s="243"/>
      <c r="L447" s="243"/>
      <c r="M447" s="243"/>
      <c r="N447" s="243"/>
      <c r="O447" s="243"/>
      <c r="P447" s="243"/>
      <c r="Q447" s="243"/>
      <c r="R447" s="243"/>
      <c r="S447" s="243"/>
      <c r="T447" s="243"/>
      <c r="U447" s="243"/>
      <c r="V447" s="243"/>
      <c r="W447" s="243"/>
      <c r="X447" s="243"/>
      <c r="Y447" s="243"/>
      <c r="Z447" s="243"/>
    </row>
    <row r="448">
      <c r="A448" s="243"/>
      <c r="B448" s="243"/>
      <c r="C448" s="243"/>
      <c r="D448" s="243"/>
      <c r="E448" s="243"/>
      <c r="F448" s="243"/>
      <c r="G448" s="243"/>
      <c r="H448" s="243"/>
      <c r="I448" s="243"/>
      <c r="J448" s="243"/>
      <c r="K448" s="243"/>
      <c r="L448" s="243"/>
      <c r="M448" s="243"/>
      <c r="N448" s="243"/>
      <c r="O448" s="243"/>
      <c r="P448" s="243"/>
      <c r="Q448" s="243"/>
      <c r="R448" s="243"/>
      <c r="S448" s="243"/>
      <c r="T448" s="243"/>
      <c r="U448" s="243"/>
      <c r="V448" s="243"/>
      <c r="W448" s="243"/>
      <c r="X448" s="243"/>
      <c r="Y448" s="243"/>
      <c r="Z448" s="243"/>
    </row>
    <row r="449">
      <c r="A449" s="243"/>
      <c r="B449" s="243"/>
      <c r="C449" s="243"/>
      <c r="D449" s="243"/>
      <c r="E449" s="243"/>
      <c r="F449" s="243"/>
      <c r="G449" s="243"/>
      <c r="H449" s="243"/>
      <c r="I449" s="243"/>
      <c r="J449" s="243"/>
      <c r="K449" s="243"/>
      <c r="L449" s="243"/>
      <c r="M449" s="243"/>
      <c r="N449" s="243"/>
      <c r="O449" s="243"/>
      <c r="P449" s="243"/>
      <c r="Q449" s="243"/>
      <c r="R449" s="243"/>
      <c r="S449" s="243"/>
      <c r="T449" s="243"/>
      <c r="U449" s="243"/>
      <c r="V449" s="243"/>
      <c r="W449" s="243"/>
      <c r="X449" s="243"/>
      <c r="Y449" s="243"/>
      <c r="Z449" s="243"/>
    </row>
    <row r="450">
      <c r="A450" s="243"/>
      <c r="B450" s="243"/>
      <c r="C450" s="243"/>
      <c r="D450" s="243"/>
      <c r="E450" s="243"/>
      <c r="F450" s="243"/>
      <c r="G450" s="243"/>
      <c r="H450" s="243"/>
      <c r="I450" s="243"/>
      <c r="J450" s="243"/>
      <c r="K450" s="243"/>
      <c r="L450" s="243"/>
      <c r="M450" s="243"/>
      <c r="N450" s="243"/>
      <c r="O450" s="243"/>
      <c r="P450" s="243"/>
      <c r="Q450" s="243"/>
      <c r="R450" s="243"/>
      <c r="S450" s="243"/>
      <c r="T450" s="243"/>
      <c r="U450" s="243"/>
      <c r="V450" s="243"/>
      <c r="W450" s="243"/>
      <c r="X450" s="243"/>
      <c r="Y450" s="243"/>
      <c r="Z450" s="243"/>
    </row>
    <row r="451">
      <c r="A451" s="243"/>
      <c r="B451" s="243"/>
      <c r="C451" s="243"/>
      <c r="D451" s="243"/>
      <c r="E451" s="243"/>
      <c r="F451" s="243"/>
      <c r="G451" s="243"/>
      <c r="H451" s="243"/>
      <c r="I451" s="243"/>
      <c r="J451" s="243"/>
      <c r="K451" s="243"/>
      <c r="L451" s="243"/>
      <c r="M451" s="243"/>
      <c r="N451" s="243"/>
      <c r="O451" s="243"/>
      <c r="P451" s="243"/>
      <c r="Q451" s="243"/>
      <c r="R451" s="243"/>
      <c r="S451" s="243"/>
      <c r="T451" s="243"/>
      <c r="U451" s="243"/>
      <c r="V451" s="243"/>
      <c r="W451" s="243"/>
      <c r="X451" s="243"/>
      <c r="Y451" s="243"/>
      <c r="Z451" s="243"/>
    </row>
    <row r="452">
      <c r="A452" s="243"/>
      <c r="B452" s="243"/>
      <c r="C452" s="243"/>
      <c r="D452" s="243"/>
      <c r="E452" s="243"/>
      <c r="F452" s="243"/>
      <c r="G452" s="243"/>
      <c r="H452" s="243"/>
      <c r="I452" s="243"/>
      <c r="J452" s="243"/>
      <c r="K452" s="243"/>
      <c r="L452" s="243"/>
      <c r="M452" s="243"/>
      <c r="N452" s="243"/>
      <c r="O452" s="243"/>
      <c r="P452" s="243"/>
      <c r="Q452" s="243"/>
      <c r="R452" s="243"/>
      <c r="S452" s="243"/>
      <c r="T452" s="243"/>
      <c r="U452" s="243"/>
      <c r="V452" s="243"/>
      <c r="W452" s="243"/>
      <c r="X452" s="243"/>
      <c r="Y452" s="243"/>
      <c r="Z452" s="243"/>
    </row>
    <row r="453">
      <c r="A453" s="243"/>
      <c r="B453" s="243"/>
      <c r="C453" s="243"/>
      <c r="D453" s="243"/>
      <c r="E453" s="243"/>
      <c r="F453" s="243"/>
      <c r="G453" s="243"/>
      <c r="H453" s="243"/>
      <c r="I453" s="243"/>
      <c r="J453" s="243"/>
      <c r="K453" s="243"/>
      <c r="L453" s="243"/>
      <c r="M453" s="243"/>
      <c r="N453" s="243"/>
      <c r="O453" s="243"/>
      <c r="P453" s="243"/>
      <c r="Q453" s="243"/>
      <c r="R453" s="243"/>
      <c r="S453" s="243"/>
      <c r="T453" s="243"/>
      <c r="U453" s="243"/>
      <c r="V453" s="243"/>
      <c r="W453" s="243"/>
      <c r="X453" s="243"/>
      <c r="Y453" s="243"/>
      <c r="Z453" s="243"/>
    </row>
    <row r="454">
      <c r="A454" s="243"/>
      <c r="B454" s="243"/>
      <c r="C454" s="243"/>
      <c r="D454" s="243"/>
      <c r="E454" s="243"/>
      <c r="F454" s="243"/>
      <c r="G454" s="243"/>
      <c r="H454" s="243"/>
      <c r="I454" s="243"/>
      <c r="J454" s="243"/>
      <c r="K454" s="243"/>
      <c r="L454" s="243"/>
      <c r="M454" s="243"/>
      <c r="N454" s="243"/>
      <c r="O454" s="243"/>
      <c r="P454" s="243"/>
      <c r="Q454" s="243"/>
      <c r="R454" s="243"/>
      <c r="S454" s="243"/>
      <c r="T454" s="243"/>
      <c r="U454" s="243"/>
      <c r="V454" s="243"/>
      <c r="W454" s="243"/>
      <c r="X454" s="243"/>
      <c r="Y454" s="243"/>
      <c r="Z454" s="243"/>
    </row>
    <row r="455">
      <c r="A455" s="243"/>
      <c r="B455" s="243"/>
      <c r="C455" s="243"/>
      <c r="D455" s="243"/>
      <c r="E455" s="243"/>
      <c r="F455" s="243"/>
      <c r="G455" s="243"/>
      <c r="H455" s="243"/>
      <c r="I455" s="243"/>
      <c r="J455" s="243"/>
      <c r="K455" s="243"/>
      <c r="L455" s="243"/>
      <c r="M455" s="243"/>
      <c r="N455" s="243"/>
      <c r="O455" s="243"/>
      <c r="P455" s="243"/>
      <c r="Q455" s="243"/>
      <c r="R455" s="243"/>
      <c r="S455" s="243"/>
      <c r="T455" s="243"/>
      <c r="U455" s="243"/>
      <c r="V455" s="243"/>
      <c r="W455" s="243"/>
      <c r="X455" s="243"/>
      <c r="Y455" s="243"/>
      <c r="Z455" s="243"/>
    </row>
    <row r="456">
      <c r="A456" s="243"/>
      <c r="B456" s="243"/>
      <c r="C456" s="243"/>
      <c r="D456" s="243"/>
      <c r="E456" s="243"/>
      <c r="F456" s="243"/>
      <c r="G456" s="243"/>
      <c r="H456" s="243"/>
      <c r="I456" s="243"/>
      <c r="J456" s="243"/>
      <c r="K456" s="243"/>
      <c r="L456" s="243"/>
      <c r="M456" s="243"/>
      <c r="N456" s="243"/>
      <c r="O456" s="243"/>
      <c r="P456" s="243"/>
      <c r="Q456" s="243"/>
      <c r="R456" s="243"/>
      <c r="S456" s="243"/>
      <c r="T456" s="243"/>
      <c r="U456" s="243"/>
      <c r="V456" s="243"/>
      <c r="W456" s="243"/>
      <c r="X456" s="243"/>
      <c r="Y456" s="243"/>
      <c r="Z456" s="243"/>
    </row>
    <row r="457">
      <c r="A457" s="243"/>
      <c r="B457" s="243"/>
      <c r="C457" s="243"/>
      <c r="D457" s="243"/>
      <c r="E457" s="243"/>
      <c r="F457" s="243"/>
      <c r="G457" s="243"/>
      <c r="H457" s="243"/>
      <c r="I457" s="243"/>
      <c r="J457" s="243"/>
      <c r="K457" s="243"/>
      <c r="L457" s="243"/>
      <c r="M457" s="243"/>
      <c r="N457" s="243"/>
      <c r="O457" s="243"/>
      <c r="P457" s="243"/>
      <c r="Q457" s="243"/>
      <c r="R457" s="243"/>
      <c r="S457" s="243"/>
      <c r="T457" s="243"/>
      <c r="U457" s="243"/>
      <c r="V457" s="243"/>
      <c r="W457" s="243"/>
      <c r="X457" s="243"/>
      <c r="Y457" s="243"/>
      <c r="Z457" s="243"/>
    </row>
    <row r="458">
      <c r="A458" s="243"/>
      <c r="B458" s="243"/>
      <c r="C458" s="243"/>
      <c r="D458" s="243"/>
      <c r="E458" s="243"/>
      <c r="F458" s="243"/>
      <c r="G458" s="243"/>
      <c r="H458" s="243"/>
      <c r="I458" s="243"/>
      <c r="J458" s="243"/>
      <c r="K458" s="243"/>
      <c r="L458" s="243"/>
      <c r="M458" s="243"/>
      <c r="N458" s="243"/>
      <c r="O458" s="243"/>
      <c r="P458" s="243"/>
      <c r="Q458" s="243"/>
      <c r="R458" s="243"/>
      <c r="S458" s="243"/>
      <c r="T458" s="243"/>
      <c r="U458" s="243"/>
      <c r="V458" s="243"/>
      <c r="W458" s="243"/>
      <c r="X458" s="243"/>
      <c r="Y458" s="243"/>
      <c r="Z458" s="243"/>
    </row>
    <row r="459">
      <c r="A459" s="243"/>
      <c r="B459" s="243"/>
      <c r="C459" s="243"/>
      <c r="D459" s="243"/>
      <c r="E459" s="243"/>
      <c r="F459" s="243"/>
      <c r="G459" s="243"/>
      <c r="H459" s="243"/>
      <c r="I459" s="243"/>
      <c r="J459" s="243"/>
      <c r="K459" s="243"/>
      <c r="L459" s="243"/>
      <c r="M459" s="243"/>
      <c r="N459" s="243"/>
      <c r="O459" s="243"/>
      <c r="P459" s="243"/>
      <c r="Q459" s="243"/>
      <c r="R459" s="243"/>
      <c r="S459" s="243"/>
      <c r="T459" s="243"/>
      <c r="U459" s="243"/>
      <c r="V459" s="243"/>
      <c r="W459" s="243"/>
      <c r="X459" s="243"/>
      <c r="Y459" s="243"/>
      <c r="Z459" s="243"/>
    </row>
    <row r="460">
      <c r="A460" s="243"/>
      <c r="B460" s="243"/>
      <c r="C460" s="243"/>
      <c r="D460" s="243"/>
      <c r="E460" s="243"/>
      <c r="F460" s="243"/>
      <c r="G460" s="243"/>
      <c r="H460" s="243"/>
      <c r="I460" s="243"/>
      <c r="J460" s="243"/>
      <c r="K460" s="243"/>
      <c r="L460" s="243"/>
      <c r="M460" s="243"/>
      <c r="N460" s="243"/>
      <c r="O460" s="243"/>
      <c r="P460" s="243"/>
      <c r="Q460" s="243"/>
      <c r="R460" s="243"/>
      <c r="S460" s="243"/>
      <c r="T460" s="243"/>
      <c r="U460" s="243"/>
      <c r="V460" s="243"/>
      <c r="W460" s="243"/>
      <c r="X460" s="243"/>
      <c r="Y460" s="243"/>
      <c r="Z460" s="243"/>
    </row>
    <row r="461">
      <c r="A461" s="243"/>
      <c r="B461" s="243"/>
      <c r="C461" s="243"/>
      <c r="D461" s="243"/>
      <c r="E461" s="243"/>
      <c r="F461" s="243"/>
      <c r="G461" s="243"/>
      <c r="H461" s="243"/>
      <c r="I461" s="243"/>
      <c r="J461" s="243"/>
      <c r="K461" s="243"/>
      <c r="L461" s="243"/>
      <c r="M461" s="243"/>
      <c r="N461" s="243"/>
      <c r="O461" s="243"/>
      <c r="P461" s="243"/>
      <c r="Q461" s="243"/>
      <c r="R461" s="243"/>
      <c r="S461" s="243"/>
      <c r="T461" s="243"/>
      <c r="U461" s="243"/>
      <c r="V461" s="243"/>
      <c r="W461" s="243"/>
      <c r="X461" s="243"/>
      <c r="Y461" s="243"/>
      <c r="Z461" s="243"/>
    </row>
    <row r="462">
      <c r="A462" s="243"/>
      <c r="B462" s="243"/>
      <c r="C462" s="243"/>
      <c r="D462" s="243"/>
      <c r="E462" s="243"/>
      <c r="F462" s="243"/>
      <c r="G462" s="243"/>
      <c r="H462" s="243"/>
      <c r="I462" s="243"/>
      <c r="J462" s="243"/>
      <c r="K462" s="243"/>
      <c r="L462" s="243"/>
      <c r="M462" s="243"/>
      <c r="N462" s="243"/>
      <c r="O462" s="243"/>
      <c r="P462" s="243"/>
      <c r="Q462" s="243"/>
      <c r="R462" s="243"/>
      <c r="S462" s="243"/>
      <c r="T462" s="243"/>
      <c r="U462" s="243"/>
      <c r="V462" s="243"/>
      <c r="W462" s="243"/>
      <c r="X462" s="243"/>
      <c r="Y462" s="243"/>
      <c r="Z462" s="243"/>
    </row>
    <row r="463">
      <c r="A463" s="243"/>
      <c r="B463" s="243"/>
      <c r="C463" s="243"/>
      <c r="D463" s="243"/>
      <c r="E463" s="243"/>
      <c r="F463" s="243"/>
      <c r="G463" s="243"/>
      <c r="H463" s="243"/>
      <c r="I463" s="243"/>
      <c r="J463" s="243"/>
      <c r="K463" s="243"/>
      <c r="L463" s="243"/>
      <c r="M463" s="243"/>
      <c r="N463" s="243"/>
      <c r="O463" s="243"/>
      <c r="P463" s="243"/>
      <c r="Q463" s="243"/>
      <c r="R463" s="243"/>
      <c r="S463" s="243"/>
      <c r="T463" s="243"/>
      <c r="U463" s="243"/>
      <c r="V463" s="243"/>
      <c r="W463" s="243"/>
      <c r="X463" s="243"/>
      <c r="Y463" s="243"/>
      <c r="Z463" s="243"/>
    </row>
    <row r="464">
      <c r="A464" s="243"/>
      <c r="B464" s="243"/>
      <c r="C464" s="243"/>
      <c r="D464" s="243"/>
      <c r="E464" s="243"/>
      <c r="F464" s="243"/>
      <c r="G464" s="243"/>
      <c r="H464" s="243"/>
      <c r="I464" s="243"/>
      <c r="J464" s="243"/>
      <c r="K464" s="243"/>
      <c r="L464" s="243"/>
      <c r="M464" s="243"/>
      <c r="N464" s="243"/>
      <c r="O464" s="243"/>
      <c r="P464" s="243"/>
      <c r="Q464" s="243"/>
      <c r="R464" s="243"/>
      <c r="S464" s="243"/>
      <c r="T464" s="243"/>
      <c r="U464" s="243"/>
      <c r="V464" s="243"/>
      <c r="W464" s="243"/>
      <c r="X464" s="243"/>
      <c r="Y464" s="243"/>
      <c r="Z464" s="243"/>
    </row>
    <row r="465">
      <c r="A465" s="243"/>
      <c r="B465" s="243"/>
      <c r="C465" s="243"/>
      <c r="D465" s="243"/>
      <c r="E465" s="243"/>
      <c r="F465" s="243"/>
      <c r="G465" s="243"/>
      <c r="H465" s="243"/>
      <c r="I465" s="243"/>
      <c r="J465" s="243"/>
      <c r="K465" s="243"/>
      <c r="L465" s="243"/>
      <c r="M465" s="243"/>
      <c r="N465" s="243"/>
      <c r="O465" s="243"/>
      <c r="P465" s="243"/>
      <c r="Q465" s="243"/>
      <c r="R465" s="243"/>
      <c r="S465" s="243"/>
      <c r="T465" s="243"/>
      <c r="U465" s="243"/>
      <c r="V465" s="243"/>
      <c r="W465" s="243"/>
      <c r="X465" s="243"/>
      <c r="Y465" s="243"/>
      <c r="Z465" s="243"/>
    </row>
    <row r="466">
      <c r="A466" s="243"/>
      <c r="B466" s="243"/>
      <c r="C466" s="243"/>
      <c r="D466" s="243"/>
      <c r="E466" s="243"/>
      <c r="F466" s="243"/>
      <c r="G466" s="243"/>
      <c r="H466" s="243"/>
      <c r="I466" s="243"/>
      <c r="J466" s="243"/>
      <c r="K466" s="243"/>
      <c r="L466" s="243"/>
      <c r="M466" s="243"/>
      <c r="N466" s="243"/>
      <c r="O466" s="243"/>
      <c r="P466" s="243"/>
      <c r="Q466" s="243"/>
      <c r="R466" s="243"/>
      <c r="S466" s="243"/>
      <c r="T466" s="243"/>
      <c r="U466" s="243"/>
      <c r="V466" s="243"/>
      <c r="W466" s="243"/>
      <c r="X466" s="243"/>
      <c r="Y466" s="243"/>
      <c r="Z466" s="243"/>
    </row>
    <row r="467">
      <c r="A467" s="243"/>
      <c r="B467" s="243"/>
      <c r="C467" s="243"/>
      <c r="D467" s="243"/>
      <c r="E467" s="243"/>
      <c r="F467" s="243"/>
      <c r="G467" s="243"/>
      <c r="H467" s="243"/>
      <c r="I467" s="243"/>
      <c r="J467" s="243"/>
      <c r="K467" s="243"/>
      <c r="L467" s="243"/>
      <c r="M467" s="243"/>
      <c r="N467" s="243"/>
      <c r="O467" s="243"/>
      <c r="P467" s="243"/>
      <c r="Q467" s="243"/>
      <c r="R467" s="243"/>
      <c r="S467" s="243"/>
      <c r="T467" s="243"/>
      <c r="U467" s="243"/>
      <c r="V467" s="243"/>
      <c r="W467" s="243"/>
      <c r="X467" s="243"/>
      <c r="Y467" s="243"/>
      <c r="Z467" s="243"/>
    </row>
    <row r="468">
      <c r="A468" s="243"/>
      <c r="B468" s="243"/>
      <c r="C468" s="243"/>
      <c r="D468" s="243"/>
      <c r="E468" s="243"/>
      <c r="F468" s="243"/>
      <c r="G468" s="243"/>
      <c r="H468" s="243"/>
      <c r="I468" s="243"/>
      <c r="J468" s="243"/>
      <c r="K468" s="243"/>
      <c r="L468" s="243"/>
      <c r="M468" s="243"/>
      <c r="N468" s="243"/>
      <c r="O468" s="243"/>
      <c r="P468" s="243"/>
      <c r="Q468" s="243"/>
      <c r="R468" s="243"/>
      <c r="S468" s="243"/>
      <c r="T468" s="243"/>
      <c r="U468" s="243"/>
      <c r="V468" s="243"/>
      <c r="W468" s="243"/>
      <c r="X468" s="243"/>
      <c r="Y468" s="243"/>
      <c r="Z468" s="243"/>
    </row>
    <row r="469">
      <c r="A469" s="243"/>
      <c r="B469" s="243"/>
      <c r="C469" s="243"/>
      <c r="D469" s="243"/>
      <c r="E469" s="243"/>
      <c r="F469" s="243"/>
      <c r="G469" s="243"/>
      <c r="H469" s="243"/>
      <c r="I469" s="243"/>
      <c r="J469" s="243"/>
      <c r="K469" s="243"/>
      <c r="L469" s="243"/>
      <c r="M469" s="243"/>
      <c r="N469" s="243"/>
      <c r="O469" s="243"/>
      <c r="P469" s="243"/>
      <c r="Q469" s="243"/>
      <c r="R469" s="243"/>
      <c r="S469" s="243"/>
      <c r="T469" s="243"/>
      <c r="U469" s="243"/>
      <c r="V469" s="243"/>
      <c r="W469" s="243"/>
      <c r="X469" s="243"/>
      <c r="Y469" s="243"/>
      <c r="Z469" s="243"/>
    </row>
    <row r="470">
      <c r="A470" s="243"/>
      <c r="B470" s="243"/>
      <c r="C470" s="243"/>
      <c r="D470" s="243"/>
      <c r="E470" s="243"/>
      <c r="F470" s="243"/>
      <c r="G470" s="243"/>
      <c r="H470" s="243"/>
      <c r="I470" s="243"/>
      <c r="J470" s="243"/>
      <c r="K470" s="243"/>
      <c r="L470" s="243"/>
      <c r="M470" s="243"/>
      <c r="N470" s="243"/>
      <c r="O470" s="243"/>
      <c r="P470" s="243"/>
      <c r="Q470" s="243"/>
      <c r="R470" s="243"/>
      <c r="S470" s="243"/>
      <c r="T470" s="243"/>
      <c r="U470" s="243"/>
      <c r="V470" s="243"/>
      <c r="W470" s="243"/>
      <c r="X470" s="243"/>
      <c r="Y470" s="243"/>
      <c r="Z470" s="243"/>
    </row>
    <row r="471">
      <c r="A471" s="243"/>
      <c r="B471" s="243"/>
      <c r="C471" s="243"/>
      <c r="D471" s="243"/>
      <c r="E471" s="243"/>
      <c r="F471" s="243"/>
      <c r="G471" s="243"/>
      <c r="H471" s="243"/>
      <c r="I471" s="243"/>
      <c r="J471" s="243"/>
      <c r="K471" s="243"/>
      <c r="L471" s="243"/>
      <c r="M471" s="243"/>
      <c r="N471" s="243"/>
      <c r="O471" s="243"/>
      <c r="P471" s="243"/>
      <c r="Q471" s="243"/>
      <c r="R471" s="243"/>
      <c r="S471" s="243"/>
      <c r="T471" s="243"/>
      <c r="U471" s="243"/>
      <c r="V471" s="243"/>
      <c r="W471" s="243"/>
      <c r="X471" s="243"/>
      <c r="Y471" s="243"/>
      <c r="Z471" s="243"/>
    </row>
    <row r="472">
      <c r="A472" s="243"/>
      <c r="B472" s="243"/>
      <c r="C472" s="243"/>
      <c r="D472" s="243"/>
      <c r="E472" s="243"/>
      <c r="F472" s="243"/>
      <c r="G472" s="243"/>
      <c r="H472" s="243"/>
      <c r="I472" s="243"/>
      <c r="J472" s="243"/>
      <c r="K472" s="243"/>
      <c r="L472" s="243"/>
      <c r="M472" s="243"/>
      <c r="N472" s="243"/>
      <c r="O472" s="243"/>
      <c r="P472" s="243"/>
      <c r="Q472" s="243"/>
      <c r="R472" s="243"/>
      <c r="S472" s="243"/>
      <c r="T472" s="243"/>
      <c r="U472" s="243"/>
      <c r="V472" s="243"/>
      <c r="W472" s="243"/>
      <c r="X472" s="243"/>
      <c r="Y472" s="243"/>
      <c r="Z472" s="243"/>
    </row>
    <row r="473">
      <c r="A473" s="243"/>
      <c r="B473" s="243"/>
      <c r="C473" s="243"/>
      <c r="D473" s="243"/>
      <c r="E473" s="243"/>
      <c r="F473" s="243"/>
      <c r="G473" s="243"/>
      <c r="H473" s="243"/>
      <c r="I473" s="243"/>
      <c r="J473" s="243"/>
      <c r="K473" s="243"/>
      <c r="L473" s="243"/>
      <c r="M473" s="243"/>
      <c r="N473" s="243"/>
      <c r="O473" s="243"/>
      <c r="P473" s="243"/>
      <c r="Q473" s="243"/>
      <c r="R473" s="243"/>
      <c r="S473" s="243"/>
      <c r="T473" s="243"/>
      <c r="U473" s="243"/>
      <c r="V473" s="243"/>
      <c r="W473" s="243"/>
      <c r="X473" s="243"/>
      <c r="Y473" s="243"/>
      <c r="Z473" s="243"/>
    </row>
    <row r="474">
      <c r="A474" s="243"/>
      <c r="B474" s="243"/>
      <c r="C474" s="243"/>
      <c r="D474" s="243"/>
      <c r="E474" s="243"/>
      <c r="F474" s="243"/>
      <c r="G474" s="243"/>
      <c r="H474" s="243"/>
      <c r="I474" s="243"/>
      <c r="J474" s="243"/>
      <c r="K474" s="243"/>
      <c r="L474" s="243"/>
      <c r="M474" s="243"/>
      <c r="N474" s="243"/>
      <c r="O474" s="243"/>
      <c r="P474" s="243"/>
      <c r="Q474" s="243"/>
      <c r="R474" s="243"/>
      <c r="S474" s="243"/>
      <c r="T474" s="243"/>
      <c r="U474" s="243"/>
      <c r="V474" s="243"/>
      <c r="W474" s="243"/>
      <c r="X474" s="243"/>
      <c r="Y474" s="243"/>
      <c r="Z474" s="243"/>
    </row>
    <row r="475">
      <c r="A475" s="243"/>
      <c r="B475" s="243"/>
      <c r="C475" s="243"/>
      <c r="D475" s="243"/>
      <c r="E475" s="243"/>
      <c r="F475" s="243"/>
      <c r="G475" s="243"/>
      <c r="H475" s="243"/>
      <c r="I475" s="243"/>
      <c r="J475" s="243"/>
      <c r="K475" s="243"/>
      <c r="L475" s="243"/>
      <c r="M475" s="243"/>
      <c r="N475" s="243"/>
      <c r="O475" s="243"/>
      <c r="P475" s="243"/>
      <c r="Q475" s="243"/>
      <c r="R475" s="243"/>
      <c r="S475" s="243"/>
      <c r="T475" s="243"/>
      <c r="U475" s="243"/>
      <c r="V475" s="243"/>
      <c r="W475" s="243"/>
      <c r="X475" s="243"/>
      <c r="Y475" s="243"/>
      <c r="Z475" s="243"/>
    </row>
    <row r="476">
      <c r="A476" s="243"/>
      <c r="B476" s="243"/>
      <c r="C476" s="243"/>
      <c r="D476" s="243"/>
      <c r="E476" s="243"/>
      <c r="F476" s="243"/>
      <c r="G476" s="243"/>
      <c r="H476" s="243"/>
      <c r="I476" s="243"/>
      <c r="J476" s="243"/>
      <c r="K476" s="243"/>
      <c r="L476" s="243"/>
      <c r="M476" s="243"/>
      <c r="N476" s="243"/>
      <c r="O476" s="243"/>
      <c r="P476" s="243"/>
      <c r="Q476" s="243"/>
      <c r="R476" s="243"/>
      <c r="S476" s="243"/>
      <c r="T476" s="243"/>
      <c r="U476" s="243"/>
      <c r="V476" s="243"/>
      <c r="W476" s="243"/>
      <c r="X476" s="243"/>
      <c r="Y476" s="243"/>
      <c r="Z476" s="243"/>
    </row>
    <row r="477">
      <c r="A477" s="243"/>
      <c r="B477" s="243"/>
      <c r="C477" s="243"/>
      <c r="D477" s="243"/>
      <c r="E477" s="243"/>
      <c r="F477" s="243"/>
      <c r="G477" s="243"/>
      <c r="H477" s="243"/>
      <c r="I477" s="243"/>
      <c r="J477" s="243"/>
      <c r="K477" s="243"/>
      <c r="L477" s="243"/>
      <c r="M477" s="243"/>
      <c r="N477" s="243"/>
      <c r="O477" s="243"/>
      <c r="P477" s="243"/>
      <c r="Q477" s="243"/>
      <c r="R477" s="243"/>
      <c r="S477" s="243"/>
      <c r="T477" s="243"/>
      <c r="U477" s="243"/>
      <c r="V477" s="243"/>
      <c r="W477" s="243"/>
      <c r="X477" s="243"/>
      <c r="Y477" s="243"/>
      <c r="Z477" s="243"/>
    </row>
    <row r="478">
      <c r="A478" s="243"/>
      <c r="B478" s="243"/>
      <c r="C478" s="243"/>
      <c r="D478" s="243"/>
      <c r="E478" s="243"/>
      <c r="F478" s="243"/>
      <c r="G478" s="243"/>
      <c r="H478" s="243"/>
      <c r="I478" s="243"/>
      <c r="J478" s="243"/>
      <c r="K478" s="243"/>
      <c r="L478" s="243"/>
      <c r="M478" s="243"/>
      <c r="N478" s="243"/>
      <c r="O478" s="243"/>
      <c r="P478" s="243"/>
      <c r="Q478" s="243"/>
      <c r="R478" s="243"/>
      <c r="S478" s="243"/>
      <c r="T478" s="243"/>
      <c r="U478" s="243"/>
      <c r="V478" s="243"/>
      <c r="W478" s="243"/>
      <c r="X478" s="243"/>
      <c r="Y478" s="243"/>
      <c r="Z478" s="243"/>
    </row>
    <row r="479">
      <c r="A479" s="243"/>
      <c r="B479" s="243"/>
      <c r="C479" s="243"/>
      <c r="D479" s="243"/>
      <c r="E479" s="243"/>
      <c r="F479" s="243"/>
      <c r="G479" s="243"/>
      <c r="H479" s="243"/>
      <c r="I479" s="243"/>
      <c r="J479" s="243"/>
      <c r="K479" s="243"/>
      <c r="L479" s="243"/>
      <c r="M479" s="243"/>
      <c r="N479" s="243"/>
      <c r="O479" s="243"/>
      <c r="P479" s="243"/>
      <c r="Q479" s="243"/>
      <c r="R479" s="243"/>
      <c r="S479" s="243"/>
      <c r="T479" s="243"/>
      <c r="U479" s="243"/>
      <c r="V479" s="243"/>
      <c r="W479" s="243"/>
      <c r="X479" s="243"/>
      <c r="Y479" s="243"/>
      <c r="Z479" s="243"/>
    </row>
    <row r="480">
      <c r="A480" s="243"/>
      <c r="B480" s="243"/>
      <c r="C480" s="243"/>
      <c r="D480" s="243"/>
      <c r="E480" s="243"/>
      <c r="F480" s="243"/>
      <c r="G480" s="243"/>
      <c r="H480" s="243"/>
      <c r="I480" s="243"/>
      <c r="J480" s="243"/>
      <c r="K480" s="243"/>
      <c r="L480" s="243"/>
      <c r="M480" s="243"/>
      <c r="N480" s="243"/>
      <c r="O480" s="243"/>
      <c r="P480" s="243"/>
      <c r="Q480" s="243"/>
      <c r="R480" s="243"/>
      <c r="S480" s="243"/>
      <c r="T480" s="243"/>
      <c r="U480" s="243"/>
      <c r="V480" s="243"/>
      <c r="W480" s="243"/>
      <c r="X480" s="243"/>
      <c r="Y480" s="243"/>
      <c r="Z480" s="243"/>
    </row>
    <row r="481">
      <c r="A481" s="243"/>
      <c r="B481" s="243"/>
      <c r="C481" s="243"/>
      <c r="D481" s="243"/>
      <c r="E481" s="243"/>
      <c r="F481" s="243"/>
      <c r="G481" s="243"/>
      <c r="H481" s="243"/>
      <c r="I481" s="243"/>
      <c r="J481" s="243"/>
      <c r="K481" s="243"/>
      <c r="L481" s="243"/>
      <c r="M481" s="243"/>
      <c r="N481" s="243"/>
      <c r="O481" s="243"/>
      <c r="P481" s="243"/>
      <c r="Q481" s="243"/>
      <c r="R481" s="243"/>
      <c r="S481" s="243"/>
      <c r="T481" s="243"/>
      <c r="U481" s="243"/>
      <c r="V481" s="243"/>
      <c r="W481" s="243"/>
      <c r="X481" s="243"/>
      <c r="Y481" s="243"/>
      <c r="Z481" s="243"/>
    </row>
    <row r="482">
      <c r="A482" s="243"/>
      <c r="B482" s="243"/>
      <c r="C482" s="243"/>
      <c r="D482" s="243"/>
      <c r="E482" s="243"/>
      <c r="F482" s="243"/>
      <c r="G482" s="243"/>
      <c r="H482" s="243"/>
      <c r="I482" s="243"/>
      <c r="J482" s="243"/>
      <c r="K482" s="243"/>
      <c r="L482" s="243"/>
      <c r="M482" s="243"/>
      <c r="N482" s="243"/>
      <c r="O482" s="243"/>
      <c r="P482" s="243"/>
      <c r="Q482" s="243"/>
      <c r="R482" s="243"/>
      <c r="S482" s="243"/>
      <c r="T482" s="243"/>
      <c r="U482" s="243"/>
      <c r="V482" s="243"/>
      <c r="W482" s="243"/>
      <c r="X482" s="243"/>
      <c r="Y482" s="243"/>
      <c r="Z482" s="243"/>
    </row>
    <row r="483">
      <c r="A483" s="243"/>
      <c r="B483" s="243"/>
      <c r="C483" s="243"/>
      <c r="D483" s="243"/>
      <c r="E483" s="243"/>
      <c r="F483" s="243"/>
      <c r="G483" s="243"/>
      <c r="H483" s="243"/>
      <c r="I483" s="243"/>
      <c r="J483" s="243"/>
      <c r="K483" s="243"/>
      <c r="L483" s="243"/>
      <c r="M483" s="243"/>
      <c r="N483" s="243"/>
      <c r="O483" s="243"/>
      <c r="P483" s="243"/>
      <c r="Q483" s="243"/>
      <c r="R483" s="243"/>
      <c r="S483" s="243"/>
      <c r="T483" s="243"/>
      <c r="U483" s="243"/>
      <c r="V483" s="243"/>
      <c r="W483" s="243"/>
      <c r="X483" s="243"/>
      <c r="Y483" s="243"/>
      <c r="Z483" s="243"/>
    </row>
    <row r="484">
      <c r="A484" s="243"/>
      <c r="B484" s="243"/>
      <c r="C484" s="243"/>
      <c r="D484" s="243"/>
      <c r="E484" s="243"/>
      <c r="F484" s="243"/>
      <c r="G484" s="243"/>
      <c r="H484" s="243"/>
      <c r="I484" s="243"/>
      <c r="J484" s="243"/>
      <c r="K484" s="243"/>
      <c r="L484" s="243"/>
      <c r="M484" s="243"/>
      <c r="N484" s="243"/>
      <c r="O484" s="243"/>
      <c r="P484" s="243"/>
      <c r="Q484" s="243"/>
      <c r="R484" s="243"/>
      <c r="S484" s="243"/>
      <c r="T484" s="243"/>
      <c r="U484" s="243"/>
      <c r="V484" s="243"/>
      <c r="W484" s="243"/>
      <c r="X484" s="243"/>
      <c r="Y484" s="243"/>
      <c r="Z484" s="243"/>
    </row>
    <row r="485">
      <c r="A485" s="243"/>
      <c r="B485" s="243"/>
      <c r="C485" s="243"/>
      <c r="D485" s="243"/>
      <c r="E485" s="243"/>
      <c r="F485" s="243"/>
      <c r="G485" s="243"/>
      <c r="H485" s="243"/>
      <c r="I485" s="243"/>
      <c r="J485" s="243"/>
      <c r="K485" s="243"/>
      <c r="L485" s="243"/>
      <c r="M485" s="243"/>
      <c r="N485" s="243"/>
      <c r="O485" s="243"/>
      <c r="P485" s="243"/>
      <c r="Q485" s="243"/>
      <c r="R485" s="243"/>
      <c r="S485" s="243"/>
      <c r="T485" s="243"/>
      <c r="U485" s="243"/>
      <c r="V485" s="243"/>
      <c r="W485" s="243"/>
      <c r="X485" s="243"/>
      <c r="Y485" s="243"/>
      <c r="Z485" s="243"/>
    </row>
    <row r="486">
      <c r="A486" s="243"/>
      <c r="B486" s="243"/>
      <c r="C486" s="243"/>
      <c r="D486" s="243"/>
      <c r="E486" s="243"/>
      <c r="F486" s="243"/>
      <c r="G486" s="243"/>
      <c r="H486" s="243"/>
      <c r="I486" s="243"/>
      <c r="J486" s="243"/>
      <c r="K486" s="243"/>
      <c r="L486" s="243"/>
      <c r="M486" s="243"/>
      <c r="N486" s="243"/>
      <c r="O486" s="243"/>
      <c r="P486" s="243"/>
      <c r="Q486" s="243"/>
      <c r="R486" s="243"/>
      <c r="S486" s="243"/>
      <c r="T486" s="243"/>
      <c r="U486" s="243"/>
      <c r="V486" s="243"/>
      <c r="W486" s="243"/>
      <c r="X486" s="243"/>
      <c r="Y486" s="243"/>
      <c r="Z486" s="243"/>
    </row>
    <row r="487">
      <c r="A487" s="243"/>
      <c r="B487" s="243"/>
      <c r="C487" s="243"/>
      <c r="D487" s="243"/>
      <c r="E487" s="243"/>
      <c r="F487" s="243"/>
      <c r="G487" s="243"/>
      <c r="H487" s="243"/>
      <c r="I487" s="243"/>
      <c r="J487" s="243"/>
      <c r="K487" s="243"/>
      <c r="L487" s="243"/>
      <c r="M487" s="243"/>
      <c r="N487" s="243"/>
      <c r="O487" s="243"/>
      <c r="P487" s="243"/>
      <c r="Q487" s="243"/>
      <c r="R487" s="243"/>
      <c r="S487" s="243"/>
      <c r="T487" s="243"/>
      <c r="U487" s="243"/>
      <c r="V487" s="243"/>
      <c r="W487" s="243"/>
      <c r="X487" s="243"/>
      <c r="Y487" s="243"/>
      <c r="Z487" s="243"/>
    </row>
    <row r="488">
      <c r="A488" s="243"/>
      <c r="B488" s="243"/>
      <c r="C488" s="243"/>
      <c r="D488" s="243"/>
      <c r="E488" s="243"/>
      <c r="F488" s="243"/>
      <c r="G488" s="243"/>
      <c r="H488" s="243"/>
      <c r="I488" s="243"/>
      <c r="J488" s="243"/>
      <c r="K488" s="243"/>
      <c r="L488" s="243"/>
      <c r="M488" s="243"/>
      <c r="N488" s="243"/>
      <c r="O488" s="243"/>
      <c r="P488" s="243"/>
      <c r="Q488" s="243"/>
      <c r="R488" s="243"/>
      <c r="S488" s="243"/>
      <c r="T488" s="243"/>
      <c r="U488" s="243"/>
      <c r="V488" s="243"/>
      <c r="W488" s="243"/>
      <c r="X488" s="243"/>
      <c r="Y488" s="243"/>
      <c r="Z488" s="243"/>
    </row>
    <row r="489">
      <c r="A489" s="243"/>
      <c r="B489" s="243"/>
      <c r="C489" s="243"/>
      <c r="D489" s="243"/>
      <c r="E489" s="243"/>
      <c r="F489" s="243"/>
      <c r="G489" s="243"/>
      <c r="H489" s="243"/>
      <c r="I489" s="243"/>
      <c r="J489" s="243"/>
      <c r="K489" s="243"/>
      <c r="L489" s="243"/>
      <c r="M489" s="243"/>
      <c r="N489" s="243"/>
      <c r="O489" s="243"/>
      <c r="P489" s="243"/>
      <c r="Q489" s="243"/>
      <c r="R489" s="243"/>
      <c r="S489" s="243"/>
      <c r="T489" s="243"/>
      <c r="U489" s="243"/>
      <c r="V489" s="243"/>
      <c r="W489" s="243"/>
      <c r="X489" s="243"/>
      <c r="Y489" s="243"/>
      <c r="Z489" s="243"/>
    </row>
    <row r="490">
      <c r="A490" s="243"/>
      <c r="B490" s="243"/>
      <c r="C490" s="243"/>
      <c r="D490" s="243"/>
      <c r="E490" s="243"/>
      <c r="F490" s="243"/>
      <c r="G490" s="243"/>
      <c r="H490" s="243"/>
      <c r="I490" s="243"/>
      <c r="J490" s="243"/>
      <c r="K490" s="243"/>
      <c r="L490" s="243"/>
      <c r="M490" s="243"/>
      <c r="N490" s="243"/>
      <c r="O490" s="243"/>
      <c r="P490" s="243"/>
      <c r="Q490" s="243"/>
      <c r="R490" s="243"/>
      <c r="S490" s="243"/>
      <c r="T490" s="243"/>
      <c r="U490" s="243"/>
      <c r="V490" s="243"/>
      <c r="W490" s="243"/>
      <c r="X490" s="243"/>
      <c r="Y490" s="243"/>
      <c r="Z490" s="243"/>
    </row>
    <row r="491">
      <c r="A491" s="243"/>
      <c r="B491" s="243"/>
      <c r="C491" s="243"/>
      <c r="D491" s="243"/>
      <c r="E491" s="243"/>
      <c r="F491" s="243"/>
      <c r="G491" s="243"/>
      <c r="H491" s="243"/>
      <c r="I491" s="243"/>
      <c r="J491" s="243"/>
      <c r="K491" s="243"/>
      <c r="L491" s="243"/>
      <c r="M491" s="243"/>
      <c r="N491" s="243"/>
      <c r="O491" s="243"/>
      <c r="P491" s="243"/>
      <c r="Q491" s="243"/>
      <c r="R491" s="243"/>
      <c r="S491" s="243"/>
      <c r="T491" s="243"/>
      <c r="U491" s="243"/>
      <c r="V491" s="243"/>
      <c r="W491" s="243"/>
      <c r="X491" s="243"/>
      <c r="Y491" s="243"/>
      <c r="Z491" s="243"/>
    </row>
    <row r="492">
      <c r="A492" s="243"/>
      <c r="B492" s="243"/>
      <c r="C492" s="243"/>
      <c r="D492" s="243"/>
      <c r="E492" s="243"/>
      <c r="F492" s="243"/>
      <c r="G492" s="243"/>
      <c r="H492" s="243"/>
      <c r="I492" s="243"/>
      <c r="J492" s="243"/>
      <c r="K492" s="243"/>
      <c r="L492" s="243"/>
      <c r="M492" s="243"/>
      <c r="N492" s="243"/>
      <c r="O492" s="243"/>
      <c r="P492" s="243"/>
      <c r="Q492" s="243"/>
      <c r="R492" s="243"/>
      <c r="S492" s="243"/>
      <c r="T492" s="243"/>
      <c r="U492" s="243"/>
      <c r="V492" s="243"/>
      <c r="W492" s="243"/>
      <c r="X492" s="243"/>
      <c r="Y492" s="243"/>
      <c r="Z492" s="243"/>
    </row>
    <row r="493">
      <c r="A493" s="243"/>
      <c r="B493" s="243"/>
      <c r="C493" s="243"/>
      <c r="D493" s="243"/>
      <c r="E493" s="243"/>
      <c r="F493" s="243"/>
      <c r="G493" s="243"/>
      <c r="H493" s="243"/>
      <c r="I493" s="243"/>
      <c r="J493" s="243"/>
      <c r="K493" s="243"/>
      <c r="L493" s="243"/>
      <c r="M493" s="243"/>
      <c r="N493" s="243"/>
      <c r="O493" s="243"/>
      <c r="P493" s="243"/>
      <c r="Q493" s="243"/>
      <c r="R493" s="243"/>
      <c r="S493" s="243"/>
      <c r="T493" s="243"/>
      <c r="U493" s="243"/>
      <c r="V493" s="243"/>
      <c r="W493" s="243"/>
      <c r="X493" s="243"/>
      <c r="Y493" s="243"/>
      <c r="Z493" s="243"/>
    </row>
    <row r="494">
      <c r="A494" s="243"/>
      <c r="B494" s="243"/>
      <c r="C494" s="243"/>
      <c r="D494" s="243"/>
      <c r="E494" s="243"/>
      <c r="F494" s="243"/>
      <c r="G494" s="243"/>
      <c r="H494" s="243"/>
      <c r="I494" s="243"/>
      <c r="J494" s="243"/>
      <c r="K494" s="243"/>
      <c r="L494" s="243"/>
      <c r="M494" s="243"/>
      <c r="N494" s="243"/>
      <c r="O494" s="243"/>
      <c r="P494" s="243"/>
      <c r="Q494" s="243"/>
      <c r="R494" s="243"/>
      <c r="S494" s="243"/>
      <c r="T494" s="243"/>
      <c r="U494" s="243"/>
      <c r="V494" s="243"/>
      <c r="W494" s="243"/>
      <c r="X494" s="243"/>
      <c r="Y494" s="243"/>
      <c r="Z494" s="243"/>
    </row>
    <row r="495">
      <c r="A495" s="243"/>
      <c r="B495" s="243"/>
      <c r="C495" s="243"/>
      <c r="D495" s="243"/>
      <c r="E495" s="243"/>
      <c r="F495" s="243"/>
      <c r="G495" s="243"/>
      <c r="H495" s="243"/>
      <c r="I495" s="243"/>
      <c r="J495" s="243"/>
      <c r="K495" s="243"/>
      <c r="L495" s="243"/>
      <c r="M495" s="243"/>
      <c r="N495" s="243"/>
      <c r="O495" s="243"/>
      <c r="P495" s="243"/>
      <c r="Q495" s="243"/>
      <c r="R495" s="243"/>
      <c r="S495" s="243"/>
      <c r="T495" s="243"/>
      <c r="U495" s="243"/>
      <c r="V495" s="243"/>
      <c r="W495" s="243"/>
      <c r="X495" s="243"/>
      <c r="Y495" s="243"/>
      <c r="Z495" s="243"/>
    </row>
    <row r="496">
      <c r="A496" s="243"/>
      <c r="B496" s="243"/>
      <c r="C496" s="243"/>
      <c r="D496" s="243"/>
      <c r="E496" s="243"/>
      <c r="F496" s="243"/>
      <c r="G496" s="243"/>
      <c r="H496" s="243"/>
      <c r="I496" s="243"/>
      <c r="J496" s="243"/>
      <c r="K496" s="243"/>
      <c r="L496" s="243"/>
      <c r="M496" s="243"/>
      <c r="N496" s="243"/>
      <c r="O496" s="243"/>
      <c r="P496" s="243"/>
      <c r="Q496" s="243"/>
      <c r="R496" s="243"/>
      <c r="S496" s="243"/>
      <c r="T496" s="243"/>
      <c r="U496" s="243"/>
      <c r="V496" s="243"/>
      <c r="W496" s="243"/>
      <c r="X496" s="243"/>
      <c r="Y496" s="243"/>
      <c r="Z496" s="243"/>
    </row>
    <row r="497">
      <c r="A497" s="243"/>
      <c r="B497" s="243"/>
      <c r="C497" s="243"/>
      <c r="D497" s="243"/>
      <c r="E497" s="243"/>
      <c r="F497" s="243"/>
      <c r="G497" s="243"/>
      <c r="H497" s="243"/>
      <c r="I497" s="243"/>
      <c r="J497" s="243"/>
      <c r="K497" s="243"/>
      <c r="L497" s="243"/>
      <c r="M497" s="243"/>
      <c r="N497" s="243"/>
      <c r="O497" s="243"/>
      <c r="P497" s="243"/>
      <c r="Q497" s="243"/>
      <c r="R497" s="243"/>
      <c r="S497" s="243"/>
      <c r="T497" s="243"/>
      <c r="U497" s="243"/>
      <c r="V497" s="243"/>
      <c r="W497" s="243"/>
      <c r="X497" s="243"/>
      <c r="Y497" s="243"/>
      <c r="Z497" s="243"/>
    </row>
    <row r="498">
      <c r="A498" s="243"/>
      <c r="B498" s="243"/>
      <c r="C498" s="243"/>
      <c r="D498" s="243"/>
      <c r="E498" s="243"/>
      <c r="F498" s="243"/>
      <c r="G498" s="243"/>
      <c r="H498" s="243"/>
      <c r="I498" s="243"/>
      <c r="J498" s="243"/>
      <c r="K498" s="243"/>
      <c r="L498" s="243"/>
      <c r="M498" s="243"/>
      <c r="N498" s="243"/>
      <c r="O498" s="243"/>
      <c r="P498" s="243"/>
      <c r="Q498" s="243"/>
      <c r="R498" s="243"/>
      <c r="S498" s="243"/>
      <c r="T498" s="243"/>
      <c r="U498" s="243"/>
      <c r="V498" s="243"/>
      <c r="W498" s="243"/>
      <c r="X498" s="243"/>
      <c r="Y498" s="243"/>
      <c r="Z498" s="243"/>
    </row>
    <row r="499">
      <c r="A499" s="243"/>
      <c r="B499" s="243"/>
      <c r="C499" s="243"/>
      <c r="D499" s="243"/>
      <c r="E499" s="243"/>
      <c r="F499" s="243"/>
      <c r="G499" s="243"/>
      <c r="H499" s="243"/>
      <c r="I499" s="243"/>
      <c r="J499" s="243"/>
      <c r="K499" s="243"/>
      <c r="L499" s="243"/>
      <c r="M499" s="243"/>
      <c r="N499" s="243"/>
      <c r="O499" s="243"/>
      <c r="P499" s="243"/>
      <c r="Q499" s="243"/>
      <c r="R499" s="243"/>
      <c r="S499" s="243"/>
      <c r="T499" s="243"/>
      <c r="U499" s="243"/>
      <c r="V499" s="243"/>
      <c r="W499" s="243"/>
      <c r="X499" s="243"/>
      <c r="Y499" s="243"/>
      <c r="Z499" s="243"/>
    </row>
    <row r="500">
      <c r="A500" s="243"/>
      <c r="B500" s="243"/>
      <c r="C500" s="243"/>
      <c r="D500" s="243"/>
      <c r="E500" s="243"/>
      <c r="F500" s="243"/>
      <c r="G500" s="243"/>
      <c r="H500" s="243"/>
      <c r="I500" s="243"/>
      <c r="J500" s="243"/>
      <c r="K500" s="243"/>
      <c r="L500" s="243"/>
      <c r="M500" s="243"/>
      <c r="N500" s="243"/>
      <c r="O500" s="243"/>
      <c r="P500" s="243"/>
      <c r="Q500" s="243"/>
      <c r="R500" s="243"/>
      <c r="S500" s="243"/>
      <c r="T500" s="243"/>
      <c r="U500" s="243"/>
      <c r="V500" s="243"/>
      <c r="W500" s="243"/>
      <c r="X500" s="243"/>
      <c r="Y500" s="243"/>
      <c r="Z500" s="243"/>
    </row>
    <row r="501">
      <c r="A501" s="243"/>
      <c r="B501" s="243"/>
      <c r="C501" s="243"/>
      <c r="D501" s="243"/>
      <c r="E501" s="243"/>
      <c r="F501" s="243"/>
      <c r="G501" s="243"/>
      <c r="H501" s="243"/>
      <c r="I501" s="243"/>
      <c r="J501" s="243"/>
      <c r="K501" s="243"/>
      <c r="L501" s="243"/>
      <c r="M501" s="243"/>
      <c r="N501" s="243"/>
      <c r="O501" s="243"/>
      <c r="P501" s="243"/>
      <c r="Q501" s="243"/>
      <c r="R501" s="243"/>
      <c r="S501" s="243"/>
      <c r="T501" s="243"/>
      <c r="U501" s="243"/>
      <c r="V501" s="243"/>
      <c r="W501" s="243"/>
      <c r="X501" s="243"/>
      <c r="Y501" s="243"/>
      <c r="Z501" s="243"/>
    </row>
    <row r="502">
      <c r="A502" s="243"/>
      <c r="B502" s="243"/>
      <c r="C502" s="243"/>
      <c r="D502" s="243"/>
      <c r="E502" s="243"/>
      <c r="F502" s="243"/>
      <c r="G502" s="243"/>
      <c r="H502" s="243"/>
      <c r="I502" s="243"/>
      <c r="J502" s="243"/>
      <c r="K502" s="243"/>
      <c r="L502" s="243"/>
      <c r="M502" s="243"/>
      <c r="N502" s="243"/>
      <c r="O502" s="243"/>
      <c r="P502" s="243"/>
      <c r="Q502" s="243"/>
      <c r="R502" s="243"/>
      <c r="S502" s="243"/>
      <c r="T502" s="243"/>
      <c r="U502" s="243"/>
      <c r="V502" s="243"/>
      <c r="W502" s="243"/>
      <c r="X502" s="243"/>
      <c r="Y502" s="243"/>
      <c r="Z502" s="243"/>
    </row>
    <row r="503">
      <c r="A503" s="243"/>
      <c r="B503" s="243"/>
      <c r="C503" s="243"/>
      <c r="D503" s="243"/>
      <c r="E503" s="243"/>
      <c r="F503" s="243"/>
      <c r="G503" s="243"/>
      <c r="H503" s="243"/>
      <c r="I503" s="243"/>
      <c r="J503" s="243"/>
      <c r="K503" s="243"/>
      <c r="L503" s="243"/>
      <c r="M503" s="243"/>
      <c r="N503" s="243"/>
      <c r="O503" s="243"/>
      <c r="P503" s="243"/>
      <c r="Q503" s="243"/>
      <c r="R503" s="243"/>
      <c r="S503" s="243"/>
      <c r="T503" s="243"/>
      <c r="U503" s="243"/>
      <c r="V503" s="243"/>
      <c r="W503" s="243"/>
      <c r="X503" s="243"/>
      <c r="Y503" s="243"/>
      <c r="Z503" s="243"/>
    </row>
    <row r="504">
      <c r="A504" s="243"/>
      <c r="B504" s="243"/>
      <c r="C504" s="243"/>
      <c r="D504" s="243"/>
      <c r="E504" s="243"/>
      <c r="F504" s="243"/>
      <c r="G504" s="243"/>
      <c r="H504" s="243"/>
      <c r="I504" s="243"/>
      <c r="J504" s="243"/>
      <c r="K504" s="243"/>
      <c r="L504" s="243"/>
      <c r="M504" s="243"/>
      <c r="N504" s="243"/>
      <c r="O504" s="243"/>
      <c r="P504" s="243"/>
      <c r="Q504" s="243"/>
      <c r="R504" s="243"/>
      <c r="S504" s="243"/>
      <c r="T504" s="243"/>
      <c r="U504" s="243"/>
      <c r="V504" s="243"/>
      <c r="W504" s="243"/>
      <c r="X504" s="243"/>
      <c r="Y504" s="243"/>
      <c r="Z504" s="243"/>
    </row>
    <row r="505">
      <c r="A505" s="243"/>
      <c r="B505" s="243"/>
      <c r="C505" s="243"/>
      <c r="D505" s="243"/>
      <c r="E505" s="243"/>
      <c r="F505" s="243"/>
      <c r="G505" s="243"/>
      <c r="H505" s="243"/>
      <c r="I505" s="243"/>
      <c r="J505" s="243"/>
      <c r="K505" s="243"/>
      <c r="L505" s="243"/>
      <c r="M505" s="243"/>
      <c r="N505" s="243"/>
      <c r="O505" s="243"/>
      <c r="P505" s="243"/>
      <c r="Q505" s="243"/>
      <c r="R505" s="243"/>
      <c r="S505" s="243"/>
      <c r="T505" s="243"/>
      <c r="U505" s="243"/>
      <c r="V505" s="243"/>
      <c r="W505" s="243"/>
      <c r="X505" s="243"/>
      <c r="Y505" s="243"/>
      <c r="Z505" s="243"/>
    </row>
    <row r="506">
      <c r="A506" s="243"/>
      <c r="B506" s="243"/>
      <c r="C506" s="243"/>
      <c r="D506" s="243"/>
      <c r="E506" s="243"/>
      <c r="F506" s="243"/>
      <c r="G506" s="243"/>
      <c r="H506" s="243"/>
      <c r="I506" s="243"/>
      <c r="J506" s="243"/>
      <c r="K506" s="243"/>
      <c r="L506" s="243"/>
      <c r="M506" s="243"/>
      <c r="N506" s="243"/>
      <c r="O506" s="243"/>
      <c r="P506" s="243"/>
      <c r="Q506" s="243"/>
      <c r="R506" s="243"/>
      <c r="S506" s="243"/>
      <c r="T506" s="243"/>
      <c r="U506" s="243"/>
      <c r="V506" s="243"/>
      <c r="W506" s="243"/>
      <c r="X506" s="243"/>
      <c r="Y506" s="243"/>
      <c r="Z506" s="243"/>
    </row>
    <row r="507">
      <c r="A507" s="243"/>
      <c r="B507" s="243"/>
      <c r="C507" s="243"/>
      <c r="D507" s="243"/>
      <c r="E507" s="243"/>
      <c r="F507" s="243"/>
      <c r="G507" s="243"/>
      <c r="H507" s="243"/>
      <c r="I507" s="243"/>
      <c r="J507" s="243"/>
      <c r="K507" s="243"/>
      <c r="L507" s="243"/>
      <c r="M507" s="243"/>
      <c r="N507" s="243"/>
      <c r="O507" s="243"/>
      <c r="P507" s="243"/>
      <c r="Q507" s="243"/>
      <c r="R507" s="243"/>
      <c r="S507" s="243"/>
      <c r="T507" s="243"/>
      <c r="U507" s="243"/>
      <c r="V507" s="243"/>
      <c r="W507" s="243"/>
      <c r="X507" s="243"/>
      <c r="Y507" s="243"/>
      <c r="Z507" s="243"/>
    </row>
    <row r="508">
      <c r="A508" s="243"/>
      <c r="B508" s="243"/>
      <c r="C508" s="243"/>
      <c r="D508" s="243"/>
      <c r="E508" s="243"/>
      <c r="F508" s="243"/>
      <c r="G508" s="243"/>
      <c r="H508" s="243"/>
      <c r="I508" s="243"/>
      <c r="J508" s="243"/>
      <c r="K508" s="243"/>
      <c r="L508" s="243"/>
      <c r="M508" s="243"/>
      <c r="N508" s="243"/>
      <c r="O508" s="243"/>
      <c r="P508" s="243"/>
      <c r="Q508" s="243"/>
      <c r="R508" s="243"/>
      <c r="S508" s="243"/>
      <c r="T508" s="243"/>
      <c r="U508" s="243"/>
      <c r="V508" s="243"/>
      <c r="W508" s="243"/>
      <c r="X508" s="243"/>
      <c r="Y508" s="243"/>
      <c r="Z508" s="243"/>
    </row>
    <row r="509">
      <c r="A509" s="243"/>
      <c r="B509" s="243"/>
      <c r="C509" s="243"/>
      <c r="D509" s="243"/>
      <c r="E509" s="243"/>
      <c r="F509" s="243"/>
      <c r="G509" s="243"/>
      <c r="H509" s="243"/>
      <c r="I509" s="243"/>
      <c r="J509" s="243"/>
      <c r="K509" s="243"/>
      <c r="L509" s="243"/>
      <c r="M509" s="243"/>
      <c r="N509" s="243"/>
      <c r="O509" s="243"/>
      <c r="P509" s="243"/>
      <c r="Q509" s="243"/>
      <c r="R509" s="243"/>
      <c r="S509" s="243"/>
      <c r="T509" s="243"/>
      <c r="U509" s="243"/>
      <c r="V509" s="243"/>
      <c r="W509" s="243"/>
      <c r="X509" s="243"/>
      <c r="Y509" s="243"/>
      <c r="Z509" s="243"/>
    </row>
    <row r="510">
      <c r="A510" s="243"/>
      <c r="B510" s="243"/>
      <c r="C510" s="243"/>
      <c r="D510" s="243"/>
      <c r="E510" s="243"/>
      <c r="F510" s="243"/>
      <c r="G510" s="243"/>
      <c r="H510" s="243"/>
      <c r="I510" s="243"/>
      <c r="J510" s="243"/>
      <c r="K510" s="243"/>
      <c r="L510" s="243"/>
      <c r="M510" s="243"/>
      <c r="N510" s="243"/>
      <c r="O510" s="243"/>
      <c r="P510" s="243"/>
      <c r="Q510" s="243"/>
      <c r="R510" s="243"/>
      <c r="S510" s="243"/>
      <c r="T510" s="243"/>
      <c r="U510" s="243"/>
      <c r="V510" s="243"/>
      <c r="W510" s="243"/>
      <c r="X510" s="243"/>
      <c r="Y510" s="243"/>
      <c r="Z510" s="243"/>
    </row>
    <row r="511">
      <c r="A511" s="243"/>
      <c r="B511" s="243"/>
      <c r="C511" s="243"/>
      <c r="D511" s="243"/>
      <c r="E511" s="243"/>
      <c r="F511" s="243"/>
      <c r="G511" s="243"/>
      <c r="H511" s="243"/>
      <c r="I511" s="243"/>
      <c r="J511" s="243"/>
      <c r="K511" s="243"/>
      <c r="L511" s="243"/>
      <c r="M511" s="243"/>
      <c r="N511" s="243"/>
      <c r="O511" s="243"/>
      <c r="P511" s="243"/>
      <c r="Q511" s="243"/>
      <c r="R511" s="243"/>
      <c r="S511" s="243"/>
      <c r="T511" s="243"/>
      <c r="U511" s="243"/>
      <c r="V511" s="243"/>
      <c r="W511" s="243"/>
      <c r="X511" s="243"/>
      <c r="Y511" s="243"/>
      <c r="Z511" s="243"/>
    </row>
    <row r="512">
      <c r="A512" s="243"/>
      <c r="B512" s="243"/>
      <c r="C512" s="243"/>
      <c r="D512" s="243"/>
      <c r="E512" s="243"/>
      <c r="F512" s="243"/>
      <c r="G512" s="243"/>
      <c r="H512" s="243"/>
      <c r="I512" s="243"/>
      <c r="J512" s="243"/>
      <c r="K512" s="243"/>
      <c r="L512" s="243"/>
      <c r="M512" s="243"/>
      <c r="N512" s="243"/>
      <c r="O512" s="243"/>
      <c r="P512" s="243"/>
      <c r="Q512" s="243"/>
      <c r="R512" s="243"/>
      <c r="S512" s="243"/>
      <c r="T512" s="243"/>
      <c r="U512" s="243"/>
      <c r="V512" s="243"/>
      <c r="W512" s="243"/>
      <c r="X512" s="243"/>
      <c r="Y512" s="243"/>
      <c r="Z512" s="243"/>
    </row>
    <row r="513">
      <c r="A513" s="243"/>
      <c r="B513" s="243"/>
      <c r="C513" s="243"/>
      <c r="D513" s="243"/>
      <c r="E513" s="243"/>
      <c r="F513" s="243"/>
      <c r="G513" s="243"/>
      <c r="H513" s="243"/>
      <c r="I513" s="243"/>
      <c r="J513" s="243"/>
      <c r="K513" s="243"/>
      <c r="L513" s="243"/>
      <c r="M513" s="243"/>
      <c r="N513" s="243"/>
      <c r="O513" s="243"/>
      <c r="P513" s="243"/>
      <c r="Q513" s="243"/>
      <c r="R513" s="243"/>
      <c r="S513" s="243"/>
      <c r="T513" s="243"/>
      <c r="U513" s="243"/>
      <c r="V513" s="243"/>
      <c r="W513" s="243"/>
      <c r="X513" s="243"/>
      <c r="Y513" s="243"/>
      <c r="Z513" s="243"/>
    </row>
    <row r="514">
      <c r="A514" s="243"/>
      <c r="B514" s="243"/>
      <c r="C514" s="243"/>
      <c r="D514" s="243"/>
      <c r="E514" s="243"/>
      <c r="F514" s="243"/>
      <c r="G514" s="243"/>
      <c r="H514" s="243"/>
      <c r="I514" s="243"/>
      <c r="J514" s="243"/>
      <c r="K514" s="243"/>
      <c r="L514" s="243"/>
      <c r="M514" s="243"/>
      <c r="N514" s="243"/>
      <c r="O514" s="243"/>
      <c r="P514" s="243"/>
      <c r="Q514" s="243"/>
      <c r="R514" s="243"/>
      <c r="S514" s="243"/>
      <c r="T514" s="243"/>
      <c r="U514" s="243"/>
      <c r="V514" s="243"/>
      <c r="W514" s="243"/>
      <c r="X514" s="243"/>
      <c r="Y514" s="243"/>
      <c r="Z514" s="243"/>
    </row>
    <row r="515">
      <c r="A515" s="243"/>
      <c r="B515" s="243"/>
      <c r="C515" s="243"/>
      <c r="D515" s="243"/>
      <c r="E515" s="243"/>
      <c r="F515" s="243"/>
      <c r="G515" s="243"/>
      <c r="H515" s="243"/>
      <c r="I515" s="243"/>
      <c r="J515" s="243"/>
      <c r="K515" s="243"/>
      <c r="L515" s="243"/>
      <c r="M515" s="243"/>
      <c r="N515" s="243"/>
      <c r="O515" s="243"/>
      <c r="P515" s="243"/>
      <c r="Q515" s="243"/>
      <c r="R515" s="243"/>
      <c r="S515" s="243"/>
      <c r="T515" s="243"/>
      <c r="U515" s="243"/>
      <c r="V515" s="243"/>
      <c r="W515" s="243"/>
      <c r="X515" s="243"/>
      <c r="Y515" s="243"/>
      <c r="Z515" s="243"/>
    </row>
    <row r="516">
      <c r="A516" s="243"/>
      <c r="B516" s="243"/>
      <c r="C516" s="243"/>
      <c r="D516" s="243"/>
      <c r="E516" s="243"/>
      <c r="F516" s="243"/>
      <c r="G516" s="243"/>
      <c r="H516" s="243"/>
      <c r="I516" s="243"/>
      <c r="J516" s="243"/>
      <c r="K516" s="243"/>
      <c r="L516" s="243"/>
      <c r="M516" s="243"/>
      <c r="N516" s="243"/>
      <c r="O516" s="243"/>
      <c r="P516" s="243"/>
      <c r="Q516" s="243"/>
      <c r="R516" s="243"/>
      <c r="S516" s="243"/>
      <c r="T516" s="243"/>
      <c r="U516" s="243"/>
      <c r="V516" s="243"/>
      <c r="W516" s="243"/>
      <c r="X516" s="243"/>
      <c r="Y516" s="243"/>
      <c r="Z516" s="243"/>
    </row>
    <row r="517">
      <c r="A517" s="243"/>
      <c r="B517" s="243"/>
      <c r="C517" s="243"/>
      <c r="D517" s="243"/>
      <c r="E517" s="243"/>
      <c r="F517" s="243"/>
      <c r="G517" s="243"/>
      <c r="H517" s="243"/>
      <c r="I517" s="243"/>
      <c r="J517" s="243"/>
      <c r="K517" s="243"/>
      <c r="L517" s="243"/>
      <c r="M517" s="243"/>
      <c r="N517" s="243"/>
      <c r="O517" s="243"/>
      <c r="P517" s="243"/>
      <c r="Q517" s="243"/>
      <c r="R517" s="243"/>
      <c r="S517" s="243"/>
      <c r="T517" s="243"/>
      <c r="U517" s="243"/>
      <c r="V517" s="243"/>
      <c r="W517" s="243"/>
      <c r="X517" s="243"/>
      <c r="Y517" s="243"/>
      <c r="Z517" s="243"/>
    </row>
    <row r="518">
      <c r="A518" s="243"/>
      <c r="B518" s="243"/>
      <c r="C518" s="243"/>
      <c r="D518" s="243"/>
      <c r="E518" s="243"/>
      <c r="F518" s="243"/>
      <c r="G518" s="243"/>
      <c r="H518" s="243"/>
      <c r="I518" s="243"/>
      <c r="J518" s="243"/>
      <c r="K518" s="243"/>
      <c r="L518" s="243"/>
      <c r="M518" s="243"/>
      <c r="N518" s="243"/>
      <c r="O518" s="243"/>
      <c r="P518" s="243"/>
      <c r="Q518" s="243"/>
      <c r="R518" s="243"/>
      <c r="S518" s="243"/>
      <c r="T518" s="243"/>
      <c r="U518" s="243"/>
      <c r="V518" s="243"/>
      <c r="W518" s="243"/>
      <c r="X518" s="243"/>
      <c r="Y518" s="243"/>
      <c r="Z518" s="243"/>
    </row>
    <row r="519">
      <c r="A519" s="243"/>
      <c r="B519" s="243"/>
      <c r="C519" s="243"/>
      <c r="D519" s="243"/>
      <c r="E519" s="243"/>
      <c r="F519" s="243"/>
      <c r="G519" s="243"/>
      <c r="H519" s="243"/>
      <c r="I519" s="243"/>
      <c r="J519" s="243"/>
      <c r="K519" s="243"/>
      <c r="L519" s="243"/>
      <c r="M519" s="243"/>
      <c r="N519" s="243"/>
      <c r="O519" s="243"/>
      <c r="P519" s="243"/>
      <c r="Q519" s="243"/>
      <c r="R519" s="243"/>
      <c r="S519" s="243"/>
      <c r="T519" s="243"/>
      <c r="U519" s="243"/>
      <c r="V519" s="243"/>
      <c r="W519" s="243"/>
      <c r="X519" s="243"/>
      <c r="Y519" s="243"/>
      <c r="Z519" s="243"/>
    </row>
    <row r="520">
      <c r="A520" s="243"/>
      <c r="B520" s="243"/>
      <c r="C520" s="243"/>
      <c r="D520" s="243"/>
      <c r="E520" s="243"/>
      <c r="F520" s="243"/>
      <c r="G520" s="243"/>
      <c r="H520" s="243"/>
      <c r="I520" s="243"/>
      <c r="J520" s="243"/>
      <c r="K520" s="243"/>
      <c r="L520" s="243"/>
      <c r="M520" s="243"/>
      <c r="N520" s="243"/>
      <c r="O520" s="243"/>
      <c r="P520" s="243"/>
      <c r="Q520" s="243"/>
      <c r="R520" s="243"/>
      <c r="S520" s="243"/>
      <c r="T520" s="243"/>
      <c r="U520" s="243"/>
      <c r="V520" s="243"/>
      <c r="W520" s="243"/>
      <c r="X520" s="243"/>
      <c r="Y520" s="243"/>
      <c r="Z520" s="243"/>
    </row>
    <row r="521">
      <c r="A521" s="243"/>
      <c r="B521" s="243"/>
      <c r="C521" s="243"/>
      <c r="D521" s="243"/>
      <c r="E521" s="243"/>
      <c r="F521" s="243"/>
      <c r="G521" s="243"/>
      <c r="H521" s="243"/>
      <c r="I521" s="243"/>
      <c r="J521" s="243"/>
      <c r="K521" s="243"/>
      <c r="L521" s="243"/>
      <c r="M521" s="243"/>
      <c r="N521" s="243"/>
      <c r="O521" s="243"/>
      <c r="P521" s="243"/>
      <c r="Q521" s="243"/>
      <c r="R521" s="243"/>
      <c r="S521" s="243"/>
      <c r="T521" s="243"/>
      <c r="U521" s="243"/>
      <c r="V521" s="243"/>
      <c r="W521" s="243"/>
      <c r="X521" s="243"/>
      <c r="Y521" s="243"/>
      <c r="Z521" s="243"/>
    </row>
    <row r="522">
      <c r="A522" s="243"/>
      <c r="B522" s="243"/>
      <c r="C522" s="243"/>
      <c r="D522" s="243"/>
      <c r="E522" s="243"/>
      <c r="F522" s="243"/>
      <c r="G522" s="243"/>
      <c r="H522" s="243"/>
      <c r="I522" s="243"/>
      <c r="J522" s="243"/>
      <c r="K522" s="243"/>
      <c r="L522" s="243"/>
      <c r="M522" s="243"/>
      <c r="N522" s="243"/>
      <c r="O522" s="243"/>
      <c r="P522" s="243"/>
      <c r="Q522" s="243"/>
      <c r="R522" s="243"/>
      <c r="S522" s="243"/>
      <c r="T522" s="243"/>
      <c r="U522" s="243"/>
      <c r="V522" s="243"/>
      <c r="W522" s="243"/>
      <c r="X522" s="243"/>
      <c r="Y522" s="243"/>
      <c r="Z522" s="243"/>
    </row>
    <row r="523">
      <c r="A523" s="243"/>
      <c r="B523" s="243"/>
      <c r="C523" s="243"/>
      <c r="D523" s="243"/>
      <c r="E523" s="243"/>
      <c r="F523" s="243"/>
      <c r="G523" s="243"/>
      <c r="H523" s="243"/>
      <c r="I523" s="243"/>
      <c r="J523" s="243"/>
      <c r="K523" s="243"/>
      <c r="L523" s="243"/>
      <c r="M523" s="243"/>
      <c r="N523" s="243"/>
      <c r="O523" s="243"/>
      <c r="P523" s="243"/>
      <c r="Q523" s="243"/>
      <c r="R523" s="243"/>
      <c r="S523" s="243"/>
      <c r="T523" s="243"/>
      <c r="U523" s="243"/>
      <c r="V523" s="243"/>
      <c r="W523" s="243"/>
      <c r="X523" s="243"/>
      <c r="Y523" s="243"/>
      <c r="Z523" s="243"/>
    </row>
    <row r="524">
      <c r="A524" s="243"/>
      <c r="B524" s="243"/>
      <c r="C524" s="243"/>
      <c r="D524" s="243"/>
      <c r="E524" s="243"/>
      <c r="F524" s="243"/>
      <c r="G524" s="243"/>
      <c r="H524" s="243"/>
      <c r="I524" s="243"/>
      <c r="J524" s="243"/>
      <c r="K524" s="243"/>
      <c r="L524" s="243"/>
      <c r="M524" s="243"/>
      <c r="N524" s="243"/>
      <c r="O524" s="243"/>
      <c r="P524" s="243"/>
      <c r="Q524" s="243"/>
      <c r="R524" s="243"/>
      <c r="S524" s="243"/>
      <c r="T524" s="243"/>
      <c r="U524" s="243"/>
      <c r="V524" s="243"/>
      <c r="W524" s="243"/>
      <c r="X524" s="243"/>
      <c r="Y524" s="243"/>
      <c r="Z524" s="243"/>
    </row>
    <row r="525">
      <c r="A525" s="243"/>
      <c r="B525" s="243"/>
      <c r="C525" s="243"/>
      <c r="D525" s="243"/>
      <c r="E525" s="243"/>
      <c r="F525" s="243"/>
      <c r="G525" s="243"/>
      <c r="H525" s="243"/>
      <c r="I525" s="243"/>
      <c r="J525" s="243"/>
      <c r="K525" s="243"/>
      <c r="L525" s="243"/>
      <c r="M525" s="243"/>
      <c r="N525" s="243"/>
      <c r="O525" s="243"/>
      <c r="P525" s="243"/>
      <c r="Q525" s="243"/>
      <c r="R525" s="243"/>
      <c r="S525" s="243"/>
      <c r="T525" s="243"/>
      <c r="U525" s="243"/>
      <c r="V525" s="243"/>
      <c r="W525" s="243"/>
      <c r="X525" s="243"/>
      <c r="Y525" s="243"/>
      <c r="Z525" s="243"/>
    </row>
    <row r="526">
      <c r="A526" s="243"/>
      <c r="B526" s="243"/>
      <c r="C526" s="243"/>
      <c r="D526" s="243"/>
      <c r="E526" s="243"/>
      <c r="F526" s="243"/>
      <c r="G526" s="243"/>
      <c r="H526" s="243"/>
      <c r="I526" s="243"/>
      <c r="J526" s="243"/>
      <c r="K526" s="243"/>
      <c r="L526" s="243"/>
      <c r="M526" s="243"/>
      <c r="N526" s="243"/>
      <c r="O526" s="243"/>
      <c r="P526" s="243"/>
      <c r="Q526" s="243"/>
      <c r="R526" s="243"/>
      <c r="S526" s="243"/>
      <c r="T526" s="243"/>
      <c r="U526" s="243"/>
      <c r="V526" s="243"/>
      <c r="W526" s="243"/>
      <c r="X526" s="243"/>
      <c r="Y526" s="243"/>
      <c r="Z526" s="243"/>
    </row>
    <row r="527">
      <c r="A527" s="243"/>
      <c r="B527" s="243"/>
      <c r="C527" s="243"/>
      <c r="D527" s="243"/>
      <c r="E527" s="243"/>
      <c r="F527" s="243"/>
      <c r="G527" s="243"/>
      <c r="H527" s="243"/>
      <c r="I527" s="243"/>
      <c r="J527" s="243"/>
      <c r="K527" s="243"/>
      <c r="L527" s="243"/>
      <c r="M527" s="243"/>
      <c r="N527" s="243"/>
      <c r="O527" s="243"/>
      <c r="P527" s="243"/>
      <c r="Q527" s="243"/>
      <c r="R527" s="243"/>
      <c r="S527" s="243"/>
      <c r="T527" s="243"/>
      <c r="U527" s="243"/>
      <c r="V527" s="243"/>
      <c r="W527" s="243"/>
      <c r="X527" s="243"/>
      <c r="Y527" s="243"/>
      <c r="Z527" s="243"/>
    </row>
    <row r="528">
      <c r="A528" s="243"/>
      <c r="B528" s="243"/>
      <c r="C528" s="243"/>
      <c r="D528" s="243"/>
      <c r="E528" s="243"/>
      <c r="F528" s="243"/>
      <c r="G528" s="243"/>
      <c r="H528" s="243"/>
      <c r="I528" s="243"/>
      <c r="J528" s="243"/>
      <c r="K528" s="243"/>
      <c r="L528" s="243"/>
      <c r="M528" s="243"/>
      <c r="N528" s="243"/>
      <c r="O528" s="243"/>
      <c r="P528" s="243"/>
      <c r="Q528" s="243"/>
      <c r="R528" s="243"/>
      <c r="S528" s="243"/>
      <c r="T528" s="243"/>
      <c r="U528" s="243"/>
      <c r="V528" s="243"/>
      <c r="W528" s="243"/>
      <c r="X528" s="243"/>
      <c r="Y528" s="243"/>
      <c r="Z528" s="243"/>
    </row>
    <row r="529">
      <c r="A529" s="243"/>
      <c r="B529" s="243"/>
      <c r="C529" s="243"/>
      <c r="D529" s="243"/>
      <c r="E529" s="243"/>
      <c r="F529" s="243"/>
      <c r="G529" s="243"/>
      <c r="H529" s="243"/>
      <c r="I529" s="243"/>
      <c r="J529" s="243"/>
      <c r="K529" s="243"/>
      <c r="L529" s="243"/>
      <c r="M529" s="243"/>
      <c r="N529" s="243"/>
      <c r="O529" s="243"/>
      <c r="P529" s="243"/>
      <c r="Q529" s="243"/>
      <c r="R529" s="243"/>
      <c r="S529" s="243"/>
      <c r="T529" s="243"/>
      <c r="U529" s="243"/>
      <c r="V529" s="243"/>
      <c r="W529" s="243"/>
      <c r="X529" s="243"/>
      <c r="Y529" s="243"/>
      <c r="Z529" s="243"/>
    </row>
    <row r="530">
      <c r="A530" s="243"/>
      <c r="B530" s="243"/>
      <c r="C530" s="243"/>
      <c r="D530" s="243"/>
      <c r="E530" s="243"/>
      <c r="F530" s="243"/>
      <c r="G530" s="243"/>
      <c r="H530" s="243"/>
      <c r="I530" s="243"/>
      <c r="J530" s="243"/>
      <c r="K530" s="243"/>
      <c r="L530" s="243"/>
      <c r="M530" s="243"/>
      <c r="N530" s="243"/>
      <c r="O530" s="243"/>
      <c r="P530" s="243"/>
      <c r="Q530" s="243"/>
      <c r="R530" s="243"/>
      <c r="S530" s="243"/>
      <c r="T530" s="243"/>
      <c r="U530" s="243"/>
      <c r="V530" s="243"/>
      <c r="W530" s="243"/>
      <c r="X530" s="243"/>
      <c r="Y530" s="243"/>
      <c r="Z530" s="243"/>
    </row>
    <row r="531">
      <c r="A531" s="243"/>
      <c r="B531" s="243"/>
      <c r="C531" s="243"/>
      <c r="D531" s="243"/>
      <c r="E531" s="243"/>
      <c r="F531" s="243"/>
      <c r="G531" s="243"/>
      <c r="H531" s="243"/>
      <c r="I531" s="243"/>
      <c r="J531" s="243"/>
      <c r="K531" s="243"/>
      <c r="L531" s="243"/>
      <c r="M531" s="243"/>
      <c r="N531" s="243"/>
      <c r="O531" s="243"/>
      <c r="P531" s="243"/>
      <c r="Q531" s="243"/>
      <c r="R531" s="243"/>
      <c r="S531" s="243"/>
      <c r="T531" s="243"/>
      <c r="U531" s="243"/>
      <c r="V531" s="243"/>
      <c r="W531" s="243"/>
      <c r="X531" s="243"/>
      <c r="Y531" s="243"/>
      <c r="Z531" s="243"/>
    </row>
    <row r="532">
      <c r="A532" s="243"/>
      <c r="B532" s="243"/>
      <c r="C532" s="243"/>
      <c r="D532" s="243"/>
      <c r="E532" s="243"/>
      <c r="F532" s="243"/>
      <c r="G532" s="243"/>
      <c r="H532" s="243"/>
      <c r="I532" s="243"/>
      <c r="J532" s="243"/>
      <c r="K532" s="243"/>
      <c r="L532" s="243"/>
      <c r="M532" s="243"/>
      <c r="N532" s="243"/>
      <c r="O532" s="243"/>
      <c r="P532" s="243"/>
      <c r="Q532" s="243"/>
      <c r="R532" s="243"/>
      <c r="S532" s="243"/>
      <c r="T532" s="243"/>
      <c r="U532" s="243"/>
      <c r="V532" s="243"/>
      <c r="W532" s="243"/>
      <c r="X532" s="243"/>
      <c r="Y532" s="243"/>
      <c r="Z532" s="243"/>
    </row>
    <row r="533">
      <c r="A533" s="243"/>
      <c r="B533" s="243"/>
      <c r="C533" s="243"/>
      <c r="D533" s="243"/>
      <c r="E533" s="243"/>
      <c r="F533" s="243"/>
      <c r="G533" s="243"/>
      <c r="H533" s="243"/>
      <c r="I533" s="243"/>
      <c r="J533" s="243"/>
      <c r="K533" s="243"/>
      <c r="L533" s="243"/>
      <c r="M533" s="243"/>
      <c r="N533" s="243"/>
      <c r="O533" s="243"/>
      <c r="P533" s="243"/>
      <c r="Q533" s="243"/>
      <c r="R533" s="243"/>
      <c r="S533" s="243"/>
      <c r="T533" s="243"/>
      <c r="U533" s="243"/>
      <c r="V533" s="243"/>
      <c r="W533" s="243"/>
      <c r="X533" s="243"/>
      <c r="Y533" s="243"/>
      <c r="Z533" s="243"/>
    </row>
    <row r="534">
      <c r="A534" s="243"/>
      <c r="B534" s="243"/>
      <c r="C534" s="243"/>
      <c r="D534" s="243"/>
      <c r="E534" s="243"/>
      <c r="F534" s="243"/>
      <c r="G534" s="243"/>
      <c r="H534" s="243"/>
      <c r="I534" s="243"/>
      <c r="J534" s="243"/>
      <c r="K534" s="243"/>
      <c r="L534" s="243"/>
      <c r="M534" s="243"/>
      <c r="N534" s="243"/>
      <c r="O534" s="243"/>
      <c r="P534" s="243"/>
      <c r="Q534" s="243"/>
      <c r="R534" s="243"/>
      <c r="S534" s="243"/>
      <c r="T534" s="243"/>
      <c r="U534" s="243"/>
      <c r="V534" s="243"/>
      <c r="W534" s="243"/>
      <c r="X534" s="243"/>
      <c r="Y534" s="243"/>
      <c r="Z534" s="243"/>
    </row>
    <row r="535">
      <c r="A535" s="243"/>
      <c r="B535" s="243"/>
      <c r="C535" s="243"/>
      <c r="D535" s="243"/>
      <c r="E535" s="243"/>
      <c r="F535" s="243"/>
      <c r="G535" s="243"/>
      <c r="H535" s="243"/>
      <c r="I535" s="243"/>
      <c r="J535" s="243"/>
      <c r="K535" s="243"/>
      <c r="L535" s="243"/>
      <c r="M535" s="243"/>
      <c r="N535" s="243"/>
      <c r="O535" s="243"/>
      <c r="P535" s="243"/>
      <c r="Q535" s="243"/>
      <c r="R535" s="243"/>
      <c r="S535" s="243"/>
      <c r="T535" s="243"/>
      <c r="U535" s="243"/>
      <c r="V535" s="243"/>
      <c r="W535" s="243"/>
      <c r="X535" s="243"/>
      <c r="Y535" s="243"/>
      <c r="Z535" s="243"/>
    </row>
    <row r="536">
      <c r="A536" s="243"/>
      <c r="B536" s="243"/>
      <c r="C536" s="243"/>
      <c r="D536" s="243"/>
      <c r="E536" s="243"/>
      <c r="F536" s="243"/>
      <c r="G536" s="243"/>
      <c r="H536" s="243"/>
      <c r="I536" s="243"/>
      <c r="J536" s="243"/>
      <c r="K536" s="243"/>
      <c r="L536" s="243"/>
      <c r="M536" s="243"/>
      <c r="N536" s="243"/>
      <c r="O536" s="243"/>
      <c r="P536" s="243"/>
      <c r="Q536" s="243"/>
      <c r="R536" s="243"/>
      <c r="S536" s="243"/>
      <c r="T536" s="243"/>
      <c r="U536" s="243"/>
      <c r="V536" s="243"/>
      <c r="W536" s="243"/>
      <c r="X536" s="243"/>
      <c r="Y536" s="243"/>
      <c r="Z536" s="243"/>
    </row>
    <row r="537">
      <c r="A537" s="243"/>
      <c r="B537" s="243"/>
      <c r="C537" s="243"/>
      <c r="D537" s="243"/>
      <c r="E537" s="243"/>
      <c r="F537" s="243"/>
      <c r="G537" s="243"/>
      <c r="H537" s="243"/>
      <c r="I537" s="243"/>
      <c r="J537" s="243"/>
      <c r="K537" s="243"/>
      <c r="L537" s="243"/>
      <c r="M537" s="243"/>
      <c r="N537" s="243"/>
      <c r="O537" s="243"/>
      <c r="P537" s="243"/>
      <c r="Q537" s="243"/>
      <c r="R537" s="243"/>
      <c r="S537" s="243"/>
      <c r="T537" s="243"/>
      <c r="U537" s="243"/>
      <c r="V537" s="243"/>
      <c r="W537" s="243"/>
      <c r="X537" s="243"/>
      <c r="Y537" s="243"/>
      <c r="Z537" s="243"/>
    </row>
    <row r="538">
      <c r="A538" s="243"/>
      <c r="B538" s="243"/>
      <c r="C538" s="243"/>
      <c r="D538" s="243"/>
      <c r="E538" s="243"/>
      <c r="F538" s="243"/>
      <c r="G538" s="243"/>
      <c r="H538" s="243"/>
      <c r="I538" s="243"/>
      <c r="J538" s="243"/>
      <c r="K538" s="243"/>
      <c r="L538" s="243"/>
      <c r="M538" s="243"/>
      <c r="N538" s="243"/>
      <c r="O538" s="243"/>
      <c r="P538" s="243"/>
      <c r="Q538" s="243"/>
      <c r="R538" s="243"/>
      <c r="S538" s="243"/>
      <c r="T538" s="243"/>
      <c r="U538" s="243"/>
      <c r="V538" s="243"/>
      <c r="W538" s="243"/>
      <c r="X538" s="243"/>
      <c r="Y538" s="243"/>
      <c r="Z538" s="243"/>
    </row>
    <row r="539">
      <c r="A539" s="243"/>
      <c r="B539" s="243"/>
      <c r="C539" s="243"/>
      <c r="D539" s="243"/>
      <c r="E539" s="243"/>
      <c r="F539" s="243"/>
      <c r="G539" s="243"/>
      <c r="H539" s="243"/>
      <c r="I539" s="243"/>
      <c r="J539" s="243"/>
      <c r="K539" s="243"/>
      <c r="L539" s="243"/>
      <c r="M539" s="243"/>
      <c r="N539" s="243"/>
      <c r="O539" s="243"/>
      <c r="P539" s="243"/>
      <c r="Q539" s="243"/>
      <c r="R539" s="243"/>
      <c r="S539" s="243"/>
      <c r="T539" s="243"/>
      <c r="U539" s="243"/>
      <c r="V539" s="243"/>
      <c r="W539" s="243"/>
      <c r="X539" s="243"/>
      <c r="Y539" s="243"/>
      <c r="Z539" s="243"/>
    </row>
    <row r="540">
      <c r="A540" s="243"/>
      <c r="B540" s="243"/>
      <c r="C540" s="243"/>
      <c r="D540" s="243"/>
      <c r="E540" s="243"/>
      <c r="F540" s="243"/>
      <c r="G540" s="243"/>
      <c r="H540" s="243"/>
      <c r="I540" s="243"/>
      <c r="J540" s="243"/>
      <c r="K540" s="243"/>
      <c r="L540" s="243"/>
      <c r="M540" s="243"/>
      <c r="N540" s="243"/>
      <c r="O540" s="243"/>
      <c r="P540" s="243"/>
      <c r="Q540" s="243"/>
      <c r="R540" s="243"/>
      <c r="S540" s="243"/>
      <c r="T540" s="243"/>
      <c r="U540" s="243"/>
      <c r="V540" s="243"/>
      <c r="W540" s="243"/>
      <c r="X540" s="243"/>
      <c r="Y540" s="243"/>
      <c r="Z540" s="243"/>
    </row>
    <row r="541">
      <c r="A541" s="243"/>
      <c r="B541" s="243"/>
      <c r="C541" s="243"/>
      <c r="D541" s="243"/>
      <c r="E541" s="243"/>
      <c r="F541" s="243"/>
      <c r="G541" s="243"/>
      <c r="H541" s="243"/>
      <c r="I541" s="243"/>
      <c r="J541" s="243"/>
      <c r="K541" s="243"/>
      <c r="L541" s="243"/>
      <c r="M541" s="243"/>
      <c r="N541" s="243"/>
      <c r="O541" s="243"/>
      <c r="P541" s="243"/>
      <c r="Q541" s="243"/>
      <c r="R541" s="243"/>
      <c r="S541" s="243"/>
      <c r="T541" s="243"/>
      <c r="U541" s="243"/>
      <c r="V541" s="243"/>
      <c r="W541" s="243"/>
      <c r="X541" s="243"/>
      <c r="Y541" s="243"/>
      <c r="Z541" s="243"/>
    </row>
    <row r="542">
      <c r="A542" s="243"/>
      <c r="B542" s="243"/>
      <c r="C542" s="243"/>
      <c r="D542" s="243"/>
      <c r="E542" s="243"/>
      <c r="F542" s="243"/>
      <c r="G542" s="243"/>
      <c r="H542" s="243"/>
      <c r="I542" s="243"/>
      <c r="J542" s="243"/>
      <c r="K542" s="243"/>
      <c r="L542" s="243"/>
      <c r="M542" s="243"/>
      <c r="N542" s="243"/>
      <c r="O542" s="243"/>
      <c r="P542" s="243"/>
      <c r="Q542" s="243"/>
      <c r="R542" s="243"/>
      <c r="S542" s="243"/>
      <c r="T542" s="243"/>
      <c r="U542" s="243"/>
      <c r="V542" s="243"/>
      <c r="W542" s="243"/>
      <c r="X542" s="243"/>
      <c r="Y542" s="243"/>
      <c r="Z542" s="243"/>
    </row>
    <row r="543">
      <c r="A543" s="243"/>
      <c r="B543" s="243"/>
      <c r="C543" s="243"/>
      <c r="D543" s="243"/>
      <c r="E543" s="243"/>
      <c r="F543" s="243"/>
      <c r="G543" s="243"/>
      <c r="H543" s="243"/>
      <c r="I543" s="243"/>
      <c r="J543" s="243"/>
      <c r="K543" s="243"/>
      <c r="L543" s="243"/>
      <c r="M543" s="243"/>
      <c r="N543" s="243"/>
      <c r="O543" s="243"/>
      <c r="P543" s="243"/>
      <c r="Q543" s="243"/>
      <c r="R543" s="243"/>
      <c r="S543" s="243"/>
      <c r="T543" s="243"/>
      <c r="U543" s="243"/>
      <c r="V543" s="243"/>
      <c r="W543" s="243"/>
      <c r="X543" s="243"/>
      <c r="Y543" s="243"/>
      <c r="Z543" s="243"/>
    </row>
    <row r="544">
      <c r="A544" s="243"/>
      <c r="B544" s="243"/>
      <c r="C544" s="243"/>
      <c r="D544" s="243"/>
      <c r="E544" s="243"/>
      <c r="F544" s="243"/>
      <c r="G544" s="243"/>
      <c r="H544" s="243"/>
      <c r="I544" s="243"/>
      <c r="J544" s="243"/>
      <c r="K544" s="243"/>
      <c r="L544" s="243"/>
      <c r="M544" s="243"/>
      <c r="N544" s="243"/>
      <c r="O544" s="243"/>
      <c r="P544" s="243"/>
      <c r="Q544" s="243"/>
      <c r="R544" s="243"/>
      <c r="S544" s="243"/>
      <c r="T544" s="243"/>
      <c r="U544" s="243"/>
      <c r="V544" s="243"/>
      <c r="W544" s="243"/>
      <c r="X544" s="243"/>
      <c r="Y544" s="243"/>
      <c r="Z544" s="243"/>
    </row>
    <row r="545">
      <c r="A545" s="243"/>
      <c r="B545" s="243"/>
      <c r="C545" s="243"/>
      <c r="D545" s="243"/>
      <c r="E545" s="243"/>
      <c r="F545" s="243"/>
      <c r="G545" s="243"/>
      <c r="H545" s="243"/>
      <c r="I545" s="243"/>
      <c r="J545" s="243"/>
      <c r="K545" s="243"/>
      <c r="L545" s="243"/>
      <c r="M545" s="243"/>
      <c r="N545" s="243"/>
      <c r="O545" s="243"/>
      <c r="P545" s="243"/>
      <c r="Q545" s="243"/>
      <c r="R545" s="243"/>
      <c r="S545" s="243"/>
      <c r="T545" s="243"/>
      <c r="U545" s="243"/>
      <c r="V545" s="243"/>
      <c r="W545" s="243"/>
      <c r="X545" s="243"/>
      <c r="Y545" s="243"/>
      <c r="Z545" s="243"/>
    </row>
    <row r="546">
      <c r="A546" s="243"/>
      <c r="B546" s="243"/>
      <c r="C546" s="243"/>
      <c r="D546" s="243"/>
      <c r="E546" s="243"/>
      <c r="F546" s="243"/>
      <c r="G546" s="243"/>
      <c r="H546" s="243"/>
      <c r="I546" s="243"/>
      <c r="J546" s="243"/>
      <c r="K546" s="243"/>
      <c r="L546" s="243"/>
      <c r="M546" s="243"/>
      <c r="N546" s="243"/>
      <c r="O546" s="243"/>
      <c r="P546" s="243"/>
      <c r="Q546" s="243"/>
      <c r="R546" s="243"/>
      <c r="S546" s="243"/>
      <c r="T546" s="243"/>
      <c r="U546" s="243"/>
      <c r="V546" s="243"/>
      <c r="W546" s="243"/>
      <c r="X546" s="243"/>
      <c r="Y546" s="243"/>
      <c r="Z546" s="243"/>
    </row>
    <row r="547">
      <c r="A547" s="243"/>
      <c r="B547" s="243"/>
      <c r="C547" s="243"/>
      <c r="D547" s="243"/>
      <c r="E547" s="243"/>
      <c r="F547" s="243"/>
      <c r="G547" s="243"/>
      <c r="H547" s="243"/>
      <c r="I547" s="243"/>
      <c r="J547" s="243"/>
      <c r="K547" s="243"/>
      <c r="L547" s="243"/>
      <c r="M547" s="243"/>
      <c r="N547" s="243"/>
      <c r="O547" s="243"/>
      <c r="P547" s="243"/>
      <c r="Q547" s="243"/>
      <c r="R547" s="243"/>
      <c r="S547" s="243"/>
      <c r="T547" s="243"/>
      <c r="U547" s="243"/>
      <c r="V547" s="243"/>
      <c r="W547" s="243"/>
      <c r="X547" s="243"/>
      <c r="Y547" s="243"/>
      <c r="Z547" s="243"/>
    </row>
    <row r="548">
      <c r="A548" s="243"/>
      <c r="B548" s="243"/>
      <c r="C548" s="243"/>
      <c r="D548" s="243"/>
      <c r="E548" s="243"/>
      <c r="F548" s="243"/>
      <c r="G548" s="243"/>
      <c r="H548" s="243"/>
      <c r="I548" s="243"/>
      <c r="J548" s="243"/>
      <c r="K548" s="243"/>
      <c r="L548" s="243"/>
      <c r="M548" s="243"/>
      <c r="N548" s="243"/>
      <c r="O548" s="243"/>
      <c r="P548" s="243"/>
      <c r="Q548" s="243"/>
      <c r="R548" s="243"/>
      <c r="S548" s="243"/>
      <c r="T548" s="243"/>
      <c r="U548" s="243"/>
      <c r="V548" s="243"/>
      <c r="W548" s="243"/>
      <c r="X548" s="243"/>
      <c r="Y548" s="243"/>
      <c r="Z548" s="243"/>
    </row>
    <row r="549">
      <c r="A549" s="243"/>
      <c r="B549" s="243"/>
      <c r="C549" s="243"/>
      <c r="D549" s="243"/>
      <c r="E549" s="243"/>
      <c r="F549" s="243"/>
      <c r="G549" s="243"/>
      <c r="H549" s="243"/>
      <c r="I549" s="243"/>
      <c r="J549" s="243"/>
      <c r="K549" s="243"/>
      <c r="L549" s="243"/>
      <c r="M549" s="243"/>
      <c r="N549" s="243"/>
      <c r="O549" s="243"/>
      <c r="P549" s="243"/>
      <c r="Q549" s="243"/>
      <c r="R549" s="243"/>
      <c r="S549" s="243"/>
      <c r="T549" s="243"/>
      <c r="U549" s="243"/>
      <c r="V549" s="243"/>
      <c r="W549" s="243"/>
      <c r="X549" s="243"/>
      <c r="Y549" s="243"/>
      <c r="Z549" s="243"/>
    </row>
    <row r="550">
      <c r="A550" s="243"/>
      <c r="B550" s="243"/>
      <c r="C550" s="243"/>
      <c r="D550" s="243"/>
      <c r="E550" s="243"/>
      <c r="F550" s="243"/>
      <c r="G550" s="243"/>
      <c r="H550" s="243"/>
      <c r="I550" s="243"/>
      <c r="J550" s="243"/>
      <c r="K550" s="243"/>
      <c r="L550" s="243"/>
      <c r="M550" s="243"/>
      <c r="N550" s="243"/>
      <c r="O550" s="243"/>
      <c r="P550" s="243"/>
      <c r="Q550" s="243"/>
      <c r="R550" s="243"/>
      <c r="S550" s="243"/>
      <c r="T550" s="243"/>
      <c r="U550" s="243"/>
      <c r="V550" s="243"/>
      <c r="W550" s="243"/>
      <c r="X550" s="243"/>
      <c r="Y550" s="243"/>
      <c r="Z550" s="243"/>
    </row>
    <row r="551">
      <c r="A551" s="243"/>
      <c r="B551" s="243"/>
      <c r="C551" s="243"/>
      <c r="D551" s="243"/>
      <c r="E551" s="243"/>
      <c r="F551" s="243"/>
      <c r="G551" s="243"/>
      <c r="H551" s="243"/>
      <c r="I551" s="243"/>
      <c r="J551" s="243"/>
      <c r="K551" s="243"/>
      <c r="L551" s="243"/>
      <c r="M551" s="243"/>
      <c r="N551" s="243"/>
      <c r="O551" s="243"/>
      <c r="P551" s="243"/>
      <c r="Q551" s="243"/>
      <c r="R551" s="243"/>
      <c r="S551" s="243"/>
      <c r="T551" s="243"/>
      <c r="U551" s="243"/>
      <c r="V551" s="243"/>
      <c r="W551" s="243"/>
      <c r="X551" s="243"/>
      <c r="Y551" s="243"/>
      <c r="Z551" s="243"/>
    </row>
    <row r="552">
      <c r="A552" s="243"/>
      <c r="B552" s="243"/>
      <c r="C552" s="243"/>
      <c r="D552" s="243"/>
      <c r="E552" s="243"/>
      <c r="F552" s="243"/>
      <c r="G552" s="243"/>
      <c r="H552" s="243"/>
      <c r="I552" s="243"/>
      <c r="J552" s="243"/>
      <c r="K552" s="243"/>
      <c r="L552" s="243"/>
      <c r="M552" s="243"/>
      <c r="N552" s="243"/>
      <c r="O552" s="243"/>
      <c r="P552" s="243"/>
      <c r="Q552" s="243"/>
      <c r="R552" s="243"/>
      <c r="S552" s="243"/>
      <c r="T552" s="243"/>
      <c r="U552" s="243"/>
      <c r="V552" s="243"/>
      <c r="W552" s="243"/>
      <c r="X552" s="243"/>
      <c r="Y552" s="243"/>
      <c r="Z552" s="243"/>
    </row>
    <row r="553">
      <c r="A553" s="243"/>
      <c r="B553" s="243"/>
      <c r="C553" s="243"/>
      <c r="D553" s="243"/>
      <c r="E553" s="243"/>
      <c r="F553" s="243"/>
      <c r="G553" s="243"/>
      <c r="H553" s="243"/>
      <c r="I553" s="243"/>
      <c r="J553" s="243"/>
      <c r="K553" s="243"/>
      <c r="L553" s="243"/>
      <c r="M553" s="243"/>
      <c r="N553" s="243"/>
      <c r="O553" s="243"/>
      <c r="P553" s="243"/>
      <c r="Q553" s="243"/>
      <c r="R553" s="243"/>
      <c r="S553" s="243"/>
      <c r="T553" s="243"/>
      <c r="U553" s="243"/>
      <c r="V553" s="243"/>
      <c r="W553" s="243"/>
      <c r="X553" s="243"/>
      <c r="Y553" s="243"/>
      <c r="Z553" s="243"/>
    </row>
    <row r="554">
      <c r="A554" s="243"/>
      <c r="B554" s="243"/>
      <c r="C554" s="243"/>
      <c r="D554" s="243"/>
      <c r="E554" s="243"/>
      <c r="F554" s="243"/>
      <c r="G554" s="243"/>
      <c r="H554" s="243"/>
      <c r="I554" s="243"/>
      <c r="J554" s="243"/>
      <c r="K554" s="243"/>
      <c r="L554" s="243"/>
      <c r="M554" s="243"/>
      <c r="N554" s="243"/>
      <c r="O554" s="243"/>
      <c r="P554" s="243"/>
      <c r="Q554" s="243"/>
      <c r="R554" s="243"/>
      <c r="S554" s="243"/>
      <c r="T554" s="243"/>
      <c r="U554" s="243"/>
      <c r="V554" s="243"/>
      <c r="W554" s="243"/>
      <c r="X554" s="243"/>
      <c r="Y554" s="243"/>
      <c r="Z554" s="243"/>
    </row>
    <row r="555">
      <c r="A555" s="243"/>
      <c r="B555" s="243"/>
      <c r="C555" s="243"/>
      <c r="D555" s="243"/>
      <c r="E555" s="243"/>
      <c r="F555" s="243"/>
      <c r="G555" s="243"/>
      <c r="H555" s="243"/>
      <c r="I555" s="243"/>
      <c r="J555" s="243"/>
      <c r="K555" s="243"/>
      <c r="L555" s="243"/>
      <c r="M555" s="243"/>
      <c r="N555" s="243"/>
      <c r="O555" s="243"/>
      <c r="P555" s="243"/>
      <c r="Q555" s="243"/>
      <c r="R555" s="243"/>
      <c r="S555" s="243"/>
      <c r="T555" s="243"/>
      <c r="U555" s="243"/>
      <c r="V555" s="243"/>
      <c r="W555" s="243"/>
      <c r="X555" s="243"/>
      <c r="Y555" s="243"/>
      <c r="Z555" s="243"/>
    </row>
    <row r="556">
      <c r="A556" s="243"/>
      <c r="B556" s="243"/>
      <c r="C556" s="243"/>
      <c r="D556" s="243"/>
      <c r="E556" s="243"/>
      <c r="F556" s="243"/>
      <c r="G556" s="243"/>
      <c r="H556" s="243"/>
      <c r="I556" s="243"/>
      <c r="J556" s="243"/>
      <c r="K556" s="243"/>
      <c r="L556" s="243"/>
      <c r="M556" s="243"/>
      <c r="N556" s="243"/>
      <c r="O556" s="243"/>
      <c r="P556" s="243"/>
      <c r="Q556" s="243"/>
      <c r="R556" s="243"/>
      <c r="S556" s="243"/>
      <c r="T556" s="243"/>
      <c r="U556" s="243"/>
      <c r="V556" s="243"/>
      <c r="W556" s="243"/>
      <c r="X556" s="243"/>
      <c r="Y556" s="243"/>
      <c r="Z556" s="243"/>
    </row>
    <row r="557">
      <c r="A557" s="243"/>
      <c r="B557" s="243"/>
      <c r="C557" s="243"/>
      <c r="D557" s="243"/>
      <c r="E557" s="243"/>
      <c r="F557" s="243"/>
      <c r="G557" s="243"/>
      <c r="H557" s="243"/>
      <c r="I557" s="243"/>
      <c r="J557" s="243"/>
      <c r="K557" s="243"/>
      <c r="L557" s="243"/>
      <c r="M557" s="243"/>
      <c r="N557" s="243"/>
      <c r="O557" s="243"/>
      <c r="P557" s="243"/>
      <c r="Q557" s="243"/>
      <c r="R557" s="243"/>
      <c r="S557" s="243"/>
      <c r="T557" s="243"/>
      <c r="U557" s="243"/>
      <c r="V557" s="243"/>
      <c r="W557" s="243"/>
      <c r="X557" s="243"/>
      <c r="Y557" s="243"/>
      <c r="Z557" s="243"/>
    </row>
    <row r="558">
      <c r="A558" s="243"/>
      <c r="B558" s="243"/>
      <c r="C558" s="243"/>
      <c r="D558" s="243"/>
      <c r="E558" s="243"/>
      <c r="F558" s="243"/>
      <c r="G558" s="243"/>
      <c r="H558" s="243"/>
      <c r="I558" s="243"/>
      <c r="J558" s="243"/>
      <c r="K558" s="243"/>
      <c r="L558" s="243"/>
      <c r="M558" s="243"/>
      <c r="N558" s="243"/>
      <c r="O558" s="243"/>
      <c r="P558" s="243"/>
      <c r="Q558" s="243"/>
      <c r="R558" s="243"/>
      <c r="S558" s="243"/>
      <c r="T558" s="243"/>
      <c r="U558" s="243"/>
      <c r="V558" s="243"/>
      <c r="W558" s="243"/>
      <c r="X558" s="243"/>
      <c r="Y558" s="243"/>
      <c r="Z558" s="243"/>
    </row>
    <row r="559">
      <c r="A559" s="243"/>
      <c r="B559" s="243"/>
      <c r="C559" s="243"/>
      <c r="D559" s="243"/>
      <c r="E559" s="243"/>
      <c r="F559" s="243"/>
      <c r="G559" s="243"/>
      <c r="H559" s="243"/>
      <c r="I559" s="243"/>
      <c r="J559" s="243"/>
      <c r="K559" s="243"/>
      <c r="L559" s="243"/>
      <c r="M559" s="243"/>
      <c r="N559" s="243"/>
      <c r="O559" s="243"/>
      <c r="P559" s="243"/>
      <c r="Q559" s="243"/>
      <c r="R559" s="243"/>
      <c r="S559" s="243"/>
      <c r="T559" s="243"/>
      <c r="U559" s="243"/>
      <c r="V559" s="243"/>
      <c r="W559" s="243"/>
      <c r="X559" s="243"/>
      <c r="Y559" s="243"/>
      <c r="Z559" s="243"/>
    </row>
    <row r="560">
      <c r="A560" s="243"/>
      <c r="B560" s="243"/>
      <c r="C560" s="243"/>
      <c r="D560" s="243"/>
      <c r="E560" s="243"/>
      <c r="F560" s="243"/>
      <c r="G560" s="243"/>
      <c r="H560" s="243"/>
      <c r="I560" s="243"/>
      <c r="J560" s="243"/>
      <c r="K560" s="243"/>
      <c r="L560" s="243"/>
      <c r="M560" s="243"/>
      <c r="N560" s="243"/>
      <c r="O560" s="243"/>
      <c r="P560" s="243"/>
      <c r="Q560" s="243"/>
      <c r="R560" s="243"/>
      <c r="S560" s="243"/>
      <c r="T560" s="243"/>
      <c r="U560" s="243"/>
      <c r="V560" s="243"/>
      <c r="W560" s="243"/>
      <c r="X560" s="243"/>
      <c r="Y560" s="243"/>
      <c r="Z560" s="243"/>
    </row>
    <row r="561">
      <c r="A561" s="243"/>
      <c r="B561" s="243"/>
      <c r="C561" s="243"/>
      <c r="D561" s="243"/>
      <c r="E561" s="243"/>
      <c r="F561" s="243"/>
      <c r="G561" s="243"/>
      <c r="H561" s="243"/>
      <c r="I561" s="243"/>
      <c r="J561" s="243"/>
      <c r="K561" s="243"/>
      <c r="L561" s="243"/>
      <c r="M561" s="243"/>
      <c r="N561" s="243"/>
      <c r="O561" s="243"/>
      <c r="P561" s="243"/>
      <c r="Q561" s="243"/>
      <c r="R561" s="243"/>
      <c r="S561" s="243"/>
      <c r="T561" s="243"/>
      <c r="U561" s="243"/>
      <c r="V561" s="243"/>
      <c r="W561" s="243"/>
      <c r="X561" s="243"/>
      <c r="Y561" s="243"/>
      <c r="Z561" s="243"/>
    </row>
    <row r="562">
      <c r="A562" s="243"/>
      <c r="B562" s="243"/>
      <c r="C562" s="243"/>
      <c r="D562" s="243"/>
      <c r="E562" s="243"/>
      <c r="F562" s="243"/>
      <c r="G562" s="243"/>
      <c r="H562" s="243"/>
      <c r="I562" s="243"/>
      <c r="J562" s="243"/>
      <c r="K562" s="243"/>
      <c r="L562" s="243"/>
      <c r="M562" s="243"/>
      <c r="N562" s="243"/>
      <c r="O562" s="243"/>
      <c r="P562" s="243"/>
      <c r="Q562" s="243"/>
      <c r="R562" s="243"/>
      <c r="S562" s="243"/>
      <c r="T562" s="243"/>
      <c r="U562" s="243"/>
      <c r="V562" s="243"/>
      <c r="W562" s="243"/>
      <c r="X562" s="243"/>
      <c r="Y562" s="243"/>
      <c r="Z562" s="243"/>
    </row>
    <row r="563">
      <c r="A563" s="243"/>
      <c r="B563" s="243"/>
      <c r="C563" s="243"/>
      <c r="D563" s="243"/>
      <c r="E563" s="243"/>
      <c r="F563" s="243"/>
      <c r="G563" s="243"/>
      <c r="H563" s="243"/>
      <c r="I563" s="243"/>
      <c r="J563" s="243"/>
      <c r="K563" s="243"/>
      <c r="L563" s="243"/>
      <c r="M563" s="243"/>
      <c r="N563" s="243"/>
      <c r="O563" s="243"/>
      <c r="P563" s="243"/>
      <c r="Q563" s="243"/>
      <c r="R563" s="243"/>
      <c r="S563" s="243"/>
      <c r="T563" s="243"/>
      <c r="U563" s="243"/>
      <c r="V563" s="243"/>
      <c r="W563" s="243"/>
      <c r="X563" s="243"/>
      <c r="Y563" s="243"/>
      <c r="Z563" s="243"/>
    </row>
    <row r="564">
      <c r="A564" s="243"/>
      <c r="B564" s="243"/>
      <c r="C564" s="243"/>
      <c r="D564" s="243"/>
      <c r="E564" s="243"/>
      <c r="F564" s="243"/>
      <c r="G564" s="243"/>
      <c r="H564" s="243"/>
      <c r="I564" s="243"/>
      <c r="J564" s="243"/>
      <c r="K564" s="243"/>
      <c r="L564" s="243"/>
      <c r="M564" s="243"/>
      <c r="N564" s="243"/>
      <c r="O564" s="243"/>
      <c r="P564" s="243"/>
      <c r="Q564" s="243"/>
      <c r="R564" s="243"/>
      <c r="S564" s="243"/>
      <c r="T564" s="243"/>
      <c r="U564" s="243"/>
      <c r="V564" s="243"/>
      <c r="W564" s="243"/>
      <c r="X564" s="243"/>
      <c r="Y564" s="243"/>
      <c r="Z564" s="243"/>
    </row>
    <row r="565">
      <c r="A565" s="243"/>
      <c r="B565" s="243"/>
      <c r="C565" s="243"/>
      <c r="D565" s="243"/>
      <c r="E565" s="243"/>
      <c r="F565" s="243"/>
      <c r="G565" s="243"/>
      <c r="H565" s="243"/>
      <c r="I565" s="243"/>
      <c r="J565" s="243"/>
      <c r="K565" s="243"/>
      <c r="L565" s="243"/>
      <c r="M565" s="243"/>
      <c r="N565" s="243"/>
      <c r="O565" s="243"/>
      <c r="P565" s="243"/>
      <c r="Q565" s="243"/>
      <c r="R565" s="243"/>
      <c r="S565" s="243"/>
      <c r="T565" s="243"/>
      <c r="U565" s="243"/>
      <c r="V565" s="243"/>
      <c r="W565" s="243"/>
      <c r="X565" s="243"/>
      <c r="Y565" s="243"/>
      <c r="Z565" s="243"/>
    </row>
    <row r="566">
      <c r="A566" s="243"/>
      <c r="B566" s="243"/>
      <c r="C566" s="243"/>
      <c r="D566" s="243"/>
      <c r="E566" s="243"/>
      <c r="F566" s="243"/>
      <c r="G566" s="243"/>
      <c r="H566" s="243"/>
      <c r="I566" s="243"/>
      <c r="J566" s="243"/>
      <c r="K566" s="243"/>
      <c r="L566" s="243"/>
      <c r="M566" s="243"/>
      <c r="N566" s="243"/>
      <c r="O566" s="243"/>
      <c r="P566" s="243"/>
      <c r="Q566" s="243"/>
      <c r="R566" s="243"/>
      <c r="S566" s="243"/>
      <c r="T566" s="243"/>
      <c r="U566" s="243"/>
      <c r="V566" s="243"/>
      <c r="W566" s="243"/>
      <c r="X566" s="243"/>
      <c r="Y566" s="243"/>
      <c r="Z566" s="243"/>
    </row>
    <row r="567">
      <c r="A567" s="243"/>
      <c r="B567" s="243"/>
      <c r="C567" s="243"/>
      <c r="D567" s="243"/>
      <c r="E567" s="243"/>
      <c r="F567" s="243"/>
      <c r="G567" s="243"/>
      <c r="H567" s="243"/>
      <c r="I567" s="243"/>
      <c r="J567" s="243"/>
      <c r="K567" s="243"/>
      <c r="L567" s="243"/>
      <c r="M567" s="243"/>
      <c r="N567" s="243"/>
      <c r="O567" s="243"/>
      <c r="P567" s="243"/>
      <c r="Q567" s="243"/>
      <c r="R567" s="243"/>
      <c r="S567" s="243"/>
      <c r="T567" s="243"/>
      <c r="U567" s="243"/>
      <c r="V567" s="243"/>
      <c r="W567" s="243"/>
      <c r="X567" s="243"/>
      <c r="Y567" s="243"/>
      <c r="Z567" s="243"/>
    </row>
    <row r="568">
      <c r="A568" s="243"/>
      <c r="B568" s="243"/>
      <c r="C568" s="243"/>
      <c r="D568" s="243"/>
      <c r="E568" s="243"/>
      <c r="F568" s="243"/>
      <c r="G568" s="243"/>
      <c r="H568" s="243"/>
      <c r="I568" s="243"/>
      <c r="J568" s="243"/>
      <c r="K568" s="243"/>
      <c r="L568" s="243"/>
      <c r="M568" s="243"/>
      <c r="N568" s="243"/>
      <c r="O568" s="243"/>
      <c r="P568" s="243"/>
      <c r="Q568" s="243"/>
      <c r="R568" s="243"/>
      <c r="S568" s="243"/>
      <c r="T568" s="243"/>
      <c r="U568" s="243"/>
      <c r="V568" s="243"/>
      <c r="W568" s="243"/>
      <c r="X568" s="243"/>
      <c r="Y568" s="243"/>
      <c r="Z568" s="243"/>
    </row>
    <row r="569">
      <c r="A569" s="243"/>
      <c r="B569" s="243"/>
      <c r="C569" s="243"/>
      <c r="D569" s="243"/>
      <c r="E569" s="243"/>
      <c r="F569" s="243"/>
      <c r="G569" s="243"/>
      <c r="H569" s="243"/>
      <c r="I569" s="243"/>
      <c r="J569" s="243"/>
      <c r="K569" s="243"/>
      <c r="L569" s="243"/>
      <c r="M569" s="243"/>
      <c r="N569" s="243"/>
      <c r="O569" s="243"/>
      <c r="P569" s="243"/>
      <c r="Q569" s="243"/>
      <c r="R569" s="243"/>
      <c r="S569" s="243"/>
      <c r="T569" s="243"/>
      <c r="U569" s="243"/>
      <c r="V569" s="243"/>
      <c r="W569" s="243"/>
      <c r="X569" s="243"/>
      <c r="Y569" s="243"/>
      <c r="Z569" s="243"/>
    </row>
    <row r="570">
      <c r="A570" s="243"/>
      <c r="B570" s="243"/>
      <c r="C570" s="243"/>
      <c r="D570" s="243"/>
      <c r="E570" s="243"/>
      <c r="F570" s="243"/>
      <c r="G570" s="243"/>
      <c r="H570" s="243"/>
      <c r="I570" s="243"/>
      <c r="J570" s="243"/>
      <c r="K570" s="243"/>
      <c r="L570" s="243"/>
      <c r="M570" s="243"/>
      <c r="N570" s="243"/>
      <c r="O570" s="243"/>
      <c r="P570" s="243"/>
      <c r="Q570" s="243"/>
      <c r="R570" s="243"/>
      <c r="S570" s="243"/>
      <c r="T570" s="243"/>
      <c r="U570" s="243"/>
      <c r="V570" s="243"/>
      <c r="W570" s="243"/>
      <c r="X570" s="243"/>
      <c r="Y570" s="243"/>
      <c r="Z570" s="243"/>
    </row>
    <row r="571">
      <c r="A571" s="243"/>
      <c r="B571" s="243"/>
      <c r="C571" s="243"/>
      <c r="D571" s="243"/>
      <c r="E571" s="243"/>
      <c r="F571" s="243"/>
      <c r="G571" s="243"/>
      <c r="H571" s="243"/>
      <c r="I571" s="243"/>
      <c r="J571" s="243"/>
      <c r="K571" s="243"/>
      <c r="L571" s="243"/>
      <c r="M571" s="243"/>
      <c r="N571" s="243"/>
      <c r="O571" s="243"/>
      <c r="P571" s="243"/>
      <c r="Q571" s="243"/>
      <c r="R571" s="243"/>
      <c r="S571" s="243"/>
      <c r="T571" s="243"/>
      <c r="U571" s="243"/>
      <c r="V571" s="243"/>
      <c r="W571" s="243"/>
      <c r="X571" s="243"/>
      <c r="Y571" s="243"/>
      <c r="Z571" s="243"/>
    </row>
    <row r="572">
      <c r="A572" s="243"/>
      <c r="B572" s="243"/>
      <c r="C572" s="243"/>
      <c r="D572" s="243"/>
      <c r="E572" s="243"/>
      <c r="F572" s="243"/>
      <c r="G572" s="243"/>
      <c r="H572" s="243"/>
      <c r="I572" s="243"/>
      <c r="J572" s="243"/>
      <c r="K572" s="243"/>
      <c r="L572" s="243"/>
      <c r="M572" s="243"/>
      <c r="N572" s="243"/>
      <c r="O572" s="243"/>
      <c r="P572" s="243"/>
      <c r="Q572" s="243"/>
      <c r="R572" s="243"/>
      <c r="S572" s="243"/>
      <c r="T572" s="243"/>
      <c r="U572" s="243"/>
      <c r="V572" s="243"/>
      <c r="W572" s="243"/>
      <c r="X572" s="243"/>
      <c r="Y572" s="243"/>
      <c r="Z572" s="243"/>
    </row>
    <row r="573">
      <c r="A573" s="243"/>
      <c r="B573" s="243"/>
      <c r="C573" s="243"/>
      <c r="D573" s="243"/>
      <c r="E573" s="243"/>
      <c r="F573" s="243"/>
      <c r="G573" s="243"/>
      <c r="H573" s="243"/>
      <c r="I573" s="243"/>
      <c r="J573" s="243"/>
      <c r="K573" s="243"/>
      <c r="L573" s="243"/>
      <c r="M573" s="243"/>
      <c r="N573" s="243"/>
      <c r="O573" s="243"/>
      <c r="P573" s="243"/>
      <c r="Q573" s="243"/>
      <c r="R573" s="243"/>
      <c r="S573" s="243"/>
      <c r="T573" s="243"/>
      <c r="U573" s="243"/>
      <c r="V573" s="243"/>
      <c r="W573" s="243"/>
      <c r="X573" s="243"/>
      <c r="Y573" s="243"/>
      <c r="Z573" s="243"/>
    </row>
    <row r="574">
      <c r="A574" s="243"/>
      <c r="B574" s="243"/>
      <c r="C574" s="243"/>
      <c r="D574" s="243"/>
      <c r="E574" s="243"/>
      <c r="F574" s="243"/>
      <c r="G574" s="243"/>
      <c r="H574" s="243"/>
      <c r="I574" s="243"/>
      <c r="J574" s="243"/>
      <c r="K574" s="243"/>
      <c r="L574" s="243"/>
      <c r="M574" s="243"/>
      <c r="N574" s="243"/>
      <c r="O574" s="243"/>
      <c r="P574" s="243"/>
      <c r="Q574" s="243"/>
      <c r="R574" s="243"/>
      <c r="S574" s="243"/>
      <c r="T574" s="243"/>
      <c r="U574" s="243"/>
      <c r="V574" s="243"/>
      <c r="W574" s="243"/>
      <c r="X574" s="243"/>
      <c r="Y574" s="243"/>
      <c r="Z574" s="243"/>
    </row>
    <row r="575">
      <c r="A575" s="243"/>
      <c r="B575" s="243"/>
      <c r="C575" s="243"/>
      <c r="D575" s="243"/>
      <c r="E575" s="243"/>
      <c r="F575" s="243"/>
      <c r="G575" s="243"/>
      <c r="H575" s="243"/>
      <c r="I575" s="243"/>
      <c r="J575" s="243"/>
      <c r="K575" s="243"/>
      <c r="L575" s="243"/>
      <c r="M575" s="243"/>
      <c r="N575" s="243"/>
      <c r="O575" s="243"/>
      <c r="P575" s="243"/>
      <c r="Q575" s="243"/>
      <c r="R575" s="243"/>
      <c r="S575" s="243"/>
      <c r="T575" s="243"/>
      <c r="U575" s="243"/>
      <c r="V575" s="243"/>
      <c r="W575" s="243"/>
      <c r="X575" s="243"/>
      <c r="Y575" s="243"/>
      <c r="Z575" s="243"/>
    </row>
    <row r="576">
      <c r="A576" s="243"/>
      <c r="B576" s="243"/>
      <c r="C576" s="243"/>
      <c r="D576" s="243"/>
      <c r="E576" s="243"/>
      <c r="F576" s="243"/>
      <c r="G576" s="243"/>
      <c r="H576" s="243"/>
      <c r="I576" s="243"/>
      <c r="J576" s="243"/>
      <c r="K576" s="243"/>
      <c r="L576" s="243"/>
      <c r="M576" s="243"/>
      <c r="N576" s="243"/>
      <c r="O576" s="243"/>
      <c r="P576" s="243"/>
      <c r="Q576" s="243"/>
      <c r="R576" s="243"/>
      <c r="S576" s="243"/>
      <c r="T576" s="243"/>
      <c r="U576" s="243"/>
      <c r="V576" s="243"/>
      <c r="W576" s="243"/>
      <c r="X576" s="243"/>
      <c r="Y576" s="243"/>
      <c r="Z576" s="243"/>
    </row>
    <row r="577">
      <c r="A577" s="243"/>
      <c r="B577" s="243"/>
      <c r="C577" s="243"/>
      <c r="D577" s="243"/>
      <c r="E577" s="243"/>
      <c r="F577" s="243"/>
      <c r="G577" s="243"/>
      <c r="H577" s="243"/>
      <c r="I577" s="243"/>
      <c r="J577" s="243"/>
      <c r="K577" s="243"/>
      <c r="L577" s="243"/>
      <c r="M577" s="243"/>
      <c r="N577" s="243"/>
      <c r="O577" s="243"/>
      <c r="P577" s="243"/>
      <c r="Q577" s="243"/>
      <c r="R577" s="243"/>
      <c r="S577" s="243"/>
      <c r="T577" s="243"/>
      <c r="U577" s="243"/>
      <c r="V577" s="243"/>
      <c r="W577" s="243"/>
      <c r="X577" s="243"/>
      <c r="Y577" s="243"/>
      <c r="Z577" s="243"/>
    </row>
    <row r="578">
      <c r="A578" s="243"/>
      <c r="B578" s="243"/>
      <c r="C578" s="243"/>
      <c r="D578" s="243"/>
      <c r="E578" s="243"/>
      <c r="F578" s="243"/>
      <c r="G578" s="243"/>
      <c r="H578" s="243"/>
      <c r="I578" s="243"/>
      <c r="J578" s="243"/>
      <c r="K578" s="243"/>
      <c r="L578" s="243"/>
      <c r="M578" s="243"/>
      <c r="N578" s="243"/>
      <c r="O578" s="243"/>
      <c r="P578" s="243"/>
      <c r="Q578" s="243"/>
      <c r="R578" s="243"/>
      <c r="S578" s="243"/>
      <c r="T578" s="243"/>
      <c r="U578" s="243"/>
      <c r="V578" s="243"/>
      <c r="W578" s="243"/>
      <c r="X578" s="243"/>
      <c r="Y578" s="243"/>
      <c r="Z578" s="243"/>
    </row>
    <row r="579">
      <c r="A579" s="243"/>
      <c r="B579" s="243"/>
      <c r="C579" s="243"/>
      <c r="D579" s="243"/>
      <c r="E579" s="243"/>
      <c r="F579" s="243"/>
      <c r="G579" s="243"/>
      <c r="H579" s="243"/>
      <c r="I579" s="243"/>
      <c r="J579" s="243"/>
      <c r="K579" s="243"/>
      <c r="L579" s="243"/>
      <c r="M579" s="243"/>
      <c r="N579" s="243"/>
      <c r="O579" s="243"/>
      <c r="P579" s="243"/>
      <c r="Q579" s="243"/>
      <c r="R579" s="243"/>
      <c r="S579" s="243"/>
      <c r="T579" s="243"/>
      <c r="U579" s="243"/>
      <c r="V579" s="243"/>
      <c r="W579" s="243"/>
      <c r="X579" s="243"/>
      <c r="Y579" s="243"/>
      <c r="Z579" s="243"/>
    </row>
    <row r="580">
      <c r="A580" s="243"/>
      <c r="B580" s="243"/>
      <c r="C580" s="243"/>
      <c r="D580" s="243"/>
      <c r="E580" s="243"/>
      <c r="F580" s="243"/>
      <c r="G580" s="243"/>
      <c r="H580" s="243"/>
      <c r="I580" s="243"/>
      <c r="J580" s="243"/>
      <c r="K580" s="243"/>
      <c r="L580" s="243"/>
      <c r="M580" s="243"/>
      <c r="N580" s="243"/>
      <c r="O580" s="243"/>
      <c r="P580" s="243"/>
      <c r="Q580" s="243"/>
      <c r="R580" s="243"/>
      <c r="S580" s="243"/>
      <c r="T580" s="243"/>
      <c r="U580" s="243"/>
      <c r="V580" s="243"/>
      <c r="W580" s="243"/>
      <c r="X580" s="243"/>
      <c r="Y580" s="243"/>
      <c r="Z580" s="243"/>
    </row>
    <row r="581">
      <c r="A581" s="243"/>
      <c r="B581" s="243"/>
      <c r="C581" s="243"/>
      <c r="D581" s="243"/>
      <c r="E581" s="243"/>
      <c r="F581" s="243"/>
      <c r="G581" s="243"/>
      <c r="H581" s="243"/>
      <c r="I581" s="243"/>
      <c r="J581" s="243"/>
      <c r="K581" s="243"/>
      <c r="L581" s="243"/>
      <c r="M581" s="243"/>
      <c r="N581" s="243"/>
      <c r="O581" s="243"/>
      <c r="P581" s="243"/>
      <c r="Q581" s="243"/>
      <c r="R581" s="243"/>
      <c r="S581" s="243"/>
      <c r="T581" s="243"/>
      <c r="U581" s="243"/>
      <c r="V581" s="243"/>
      <c r="W581" s="243"/>
      <c r="X581" s="243"/>
      <c r="Y581" s="243"/>
      <c r="Z581" s="243"/>
    </row>
    <row r="582">
      <c r="A582" s="243"/>
      <c r="B582" s="243"/>
      <c r="C582" s="243"/>
      <c r="D582" s="243"/>
      <c r="E582" s="243"/>
      <c r="F582" s="243"/>
      <c r="G582" s="243"/>
      <c r="H582" s="243"/>
      <c r="I582" s="243"/>
      <c r="J582" s="243"/>
      <c r="K582" s="243"/>
      <c r="L582" s="243"/>
      <c r="M582" s="243"/>
      <c r="N582" s="243"/>
      <c r="O582" s="243"/>
      <c r="P582" s="243"/>
      <c r="Q582" s="243"/>
      <c r="R582" s="243"/>
      <c r="S582" s="243"/>
      <c r="T582" s="243"/>
      <c r="U582" s="243"/>
      <c r="V582" s="243"/>
      <c r="W582" s="243"/>
      <c r="X582" s="243"/>
      <c r="Y582" s="243"/>
      <c r="Z582" s="243"/>
    </row>
    <row r="583">
      <c r="A583" s="243"/>
      <c r="B583" s="243"/>
      <c r="C583" s="243"/>
      <c r="D583" s="243"/>
      <c r="E583" s="243"/>
      <c r="F583" s="243"/>
      <c r="G583" s="243"/>
      <c r="H583" s="243"/>
      <c r="I583" s="243"/>
      <c r="J583" s="243"/>
      <c r="K583" s="243"/>
      <c r="L583" s="243"/>
      <c r="M583" s="243"/>
      <c r="N583" s="243"/>
      <c r="O583" s="243"/>
      <c r="P583" s="243"/>
      <c r="Q583" s="243"/>
      <c r="R583" s="243"/>
      <c r="S583" s="243"/>
      <c r="T583" s="243"/>
      <c r="U583" s="243"/>
      <c r="V583" s="243"/>
      <c r="W583" s="243"/>
      <c r="X583" s="243"/>
      <c r="Y583" s="243"/>
      <c r="Z583" s="243"/>
    </row>
    <row r="584">
      <c r="A584" s="243"/>
      <c r="B584" s="243"/>
      <c r="C584" s="243"/>
      <c r="D584" s="243"/>
      <c r="E584" s="243"/>
      <c r="F584" s="243"/>
      <c r="G584" s="243"/>
      <c r="H584" s="243"/>
      <c r="I584" s="243"/>
      <c r="J584" s="243"/>
      <c r="K584" s="243"/>
      <c r="L584" s="243"/>
      <c r="M584" s="243"/>
      <c r="N584" s="243"/>
      <c r="O584" s="243"/>
      <c r="P584" s="243"/>
      <c r="Q584" s="243"/>
      <c r="R584" s="243"/>
      <c r="S584" s="243"/>
      <c r="T584" s="243"/>
      <c r="U584" s="243"/>
      <c r="V584" s="243"/>
      <c r="W584" s="243"/>
      <c r="X584" s="243"/>
      <c r="Y584" s="243"/>
      <c r="Z584" s="243"/>
    </row>
    <row r="585">
      <c r="A585" s="243"/>
      <c r="B585" s="243"/>
      <c r="C585" s="243"/>
      <c r="D585" s="243"/>
      <c r="E585" s="243"/>
      <c r="F585" s="243"/>
      <c r="G585" s="243"/>
      <c r="H585" s="243"/>
      <c r="I585" s="243"/>
      <c r="J585" s="243"/>
      <c r="K585" s="243"/>
      <c r="L585" s="243"/>
      <c r="M585" s="243"/>
      <c r="N585" s="243"/>
      <c r="O585" s="243"/>
      <c r="P585" s="243"/>
      <c r="Q585" s="243"/>
      <c r="R585" s="243"/>
      <c r="S585" s="243"/>
      <c r="T585" s="243"/>
      <c r="U585" s="243"/>
      <c r="V585" s="243"/>
      <c r="W585" s="243"/>
      <c r="X585" s="243"/>
      <c r="Y585" s="243"/>
      <c r="Z585" s="243"/>
    </row>
    <row r="586">
      <c r="A586" s="243"/>
      <c r="B586" s="243"/>
      <c r="C586" s="243"/>
      <c r="D586" s="243"/>
      <c r="E586" s="243"/>
      <c r="F586" s="243"/>
      <c r="G586" s="243"/>
      <c r="H586" s="243"/>
      <c r="I586" s="243"/>
      <c r="J586" s="243"/>
      <c r="K586" s="243"/>
      <c r="L586" s="243"/>
      <c r="M586" s="243"/>
      <c r="N586" s="243"/>
      <c r="O586" s="243"/>
      <c r="P586" s="243"/>
      <c r="Q586" s="243"/>
      <c r="R586" s="243"/>
      <c r="S586" s="243"/>
      <c r="T586" s="243"/>
      <c r="U586" s="243"/>
      <c r="V586" s="243"/>
      <c r="W586" s="243"/>
      <c r="X586" s="243"/>
      <c r="Y586" s="243"/>
      <c r="Z586" s="243"/>
    </row>
    <row r="587">
      <c r="A587" s="243"/>
      <c r="B587" s="243"/>
      <c r="C587" s="243"/>
      <c r="D587" s="243"/>
      <c r="E587" s="243"/>
      <c r="F587" s="243"/>
      <c r="G587" s="243"/>
      <c r="H587" s="243"/>
      <c r="I587" s="243"/>
      <c r="J587" s="243"/>
      <c r="K587" s="243"/>
      <c r="L587" s="243"/>
      <c r="M587" s="243"/>
      <c r="N587" s="243"/>
      <c r="O587" s="243"/>
      <c r="P587" s="243"/>
      <c r="Q587" s="243"/>
      <c r="R587" s="243"/>
      <c r="S587" s="243"/>
      <c r="T587" s="243"/>
      <c r="U587" s="243"/>
      <c r="V587" s="243"/>
      <c r="W587" s="243"/>
      <c r="X587" s="243"/>
      <c r="Y587" s="243"/>
      <c r="Z587" s="243"/>
    </row>
    <row r="588">
      <c r="A588" s="243"/>
      <c r="B588" s="243"/>
      <c r="C588" s="243"/>
      <c r="D588" s="243"/>
      <c r="E588" s="243"/>
      <c r="F588" s="243"/>
      <c r="G588" s="243"/>
      <c r="H588" s="243"/>
      <c r="I588" s="243"/>
      <c r="J588" s="243"/>
      <c r="K588" s="243"/>
      <c r="L588" s="243"/>
      <c r="M588" s="243"/>
      <c r="N588" s="243"/>
      <c r="O588" s="243"/>
      <c r="P588" s="243"/>
      <c r="Q588" s="243"/>
      <c r="R588" s="243"/>
      <c r="S588" s="243"/>
      <c r="T588" s="243"/>
      <c r="U588" s="243"/>
      <c r="V588" s="243"/>
      <c r="W588" s="243"/>
      <c r="X588" s="243"/>
      <c r="Y588" s="243"/>
      <c r="Z588" s="243"/>
    </row>
    <row r="589">
      <c r="A589" s="243"/>
      <c r="B589" s="243"/>
      <c r="C589" s="243"/>
      <c r="D589" s="243"/>
      <c r="E589" s="243"/>
      <c r="F589" s="243"/>
      <c r="G589" s="243"/>
      <c r="H589" s="243"/>
      <c r="I589" s="243"/>
      <c r="J589" s="243"/>
      <c r="K589" s="243"/>
      <c r="L589" s="243"/>
      <c r="M589" s="243"/>
      <c r="N589" s="243"/>
      <c r="O589" s="243"/>
      <c r="P589" s="243"/>
      <c r="Q589" s="243"/>
      <c r="R589" s="243"/>
      <c r="S589" s="243"/>
      <c r="T589" s="243"/>
      <c r="U589" s="243"/>
      <c r="V589" s="243"/>
      <c r="W589" s="243"/>
      <c r="X589" s="243"/>
      <c r="Y589" s="243"/>
      <c r="Z589" s="243"/>
    </row>
    <row r="590">
      <c r="A590" s="243"/>
      <c r="B590" s="243"/>
      <c r="C590" s="243"/>
      <c r="D590" s="243"/>
      <c r="E590" s="243"/>
      <c r="F590" s="243"/>
      <c r="G590" s="243"/>
      <c r="H590" s="243"/>
      <c r="I590" s="243"/>
      <c r="J590" s="243"/>
      <c r="K590" s="243"/>
      <c r="L590" s="243"/>
      <c r="M590" s="243"/>
      <c r="N590" s="243"/>
      <c r="O590" s="243"/>
      <c r="P590" s="243"/>
      <c r="Q590" s="243"/>
      <c r="R590" s="243"/>
      <c r="S590" s="243"/>
      <c r="T590" s="243"/>
      <c r="U590" s="243"/>
      <c r="V590" s="243"/>
      <c r="W590" s="243"/>
      <c r="X590" s="243"/>
      <c r="Y590" s="243"/>
      <c r="Z590" s="243"/>
    </row>
    <row r="591">
      <c r="A591" s="243"/>
      <c r="B591" s="243"/>
      <c r="C591" s="243"/>
      <c r="D591" s="243"/>
      <c r="E591" s="243"/>
      <c r="F591" s="243"/>
      <c r="G591" s="243"/>
      <c r="H591" s="243"/>
      <c r="I591" s="243"/>
      <c r="J591" s="243"/>
      <c r="K591" s="243"/>
      <c r="L591" s="243"/>
      <c r="M591" s="243"/>
      <c r="N591" s="243"/>
      <c r="O591" s="243"/>
      <c r="P591" s="243"/>
      <c r="Q591" s="243"/>
      <c r="R591" s="243"/>
      <c r="S591" s="243"/>
      <c r="T591" s="243"/>
      <c r="U591" s="243"/>
      <c r="V591" s="243"/>
      <c r="W591" s="243"/>
      <c r="X591" s="243"/>
      <c r="Y591" s="243"/>
      <c r="Z591" s="243"/>
    </row>
    <row r="592">
      <c r="A592" s="243"/>
      <c r="B592" s="243"/>
      <c r="C592" s="243"/>
      <c r="D592" s="243"/>
      <c r="E592" s="243"/>
      <c r="F592" s="243"/>
      <c r="G592" s="243"/>
      <c r="H592" s="243"/>
      <c r="I592" s="243"/>
      <c r="J592" s="243"/>
      <c r="K592" s="243"/>
      <c r="L592" s="243"/>
      <c r="M592" s="243"/>
      <c r="N592" s="243"/>
      <c r="O592" s="243"/>
      <c r="P592" s="243"/>
      <c r="Q592" s="243"/>
      <c r="R592" s="243"/>
      <c r="S592" s="243"/>
      <c r="T592" s="243"/>
      <c r="U592" s="243"/>
      <c r="V592" s="243"/>
      <c r="W592" s="243"/>
      <c r="X592" s="243"/>
      <c r="Y592" s="243"/>
      <c r="Z592" s="243"/>
    </row>
    <row r="593">
      <c r="A593" s="243"/>
      <c r="B593" s="243"/>
      <c r="C593" s="243"/>
      <c r="D593" s="243"/>
      <c r="E593" s="243"/>
      <c r="F593" s="243"/>
      <c r="G593" s="243"/>
      <c r="H593" s="243"/>
      <c r="I593" s="243"/>
      <c r="J593" s="243"/>
      <c r="K593" s="243"/>
      <c r="L593" s="243"/>
      <c r="M593" s="243"/>
      <c r="N593" s="243"/>
      <c r="O593" s="243"/>
      <c r="P593" s="243"/>
      <c r="Q593" s="243"/>
      <c r="R593" s="243"/>
      <c r="S593" s="243"/>
      <c r="T593" s="243"/>
      <c r="U593" s="243"/>
      <c r="V593" s="243"/>
      <c r="W593" s="243"/>
      <c r="X593" s="243"/>
      <c r="Y593" s="243"/>
      <c r="Z593" s="243"/>
    </row>
    <row r="594">
      <c r="A594" s="243"/>
      <c r="B594" s="243"/>
      <c r="C594" s="243"/>
      <c r="D594" s="243"/>
      <c r="E594" s="243"/>
      <c r="F594" s="243"/>
      <c r="G594" s="243"/>
      <c r="H594" s="243"/>
      <c r="I594" s="243"/>
      <c r="J594" s="243"/>
      <c r="K594" s="243"/>
      <c r="L594" s="243"/>
      <c r="M594" s="243"/>
      <c r="N594" s="243"/>
      <c r="O594" s="243"/>
      <c r="P594" s="243"/>
      <c r="Q594" s="243"/>
      <c r="R594" s="243"/>
      <c r="S594" s="243"/>
      <c r="T594" s="243"/>
      <c r="U594" s="243"/>
      <c r="V594" s="243"/>
      <c r="W594" s="243"/>
      <c r="X594" s="243"/>
      <c r="Y594" s="243"/>
      <c r="Z594" s="243"/>
    </row>
    <row r="595">
      <c r="A595" s="243"/>
      <c r="B595" s="243"/>
      <c r="C595" s="243"/>
      <c r="D595" s="243"/>
      <c r="E595" s="243"/>
      <c r="F595" s="243"/>
      <c r="G595" s="243"/>
      <c r="H595" s="243"/>
      <c r="I595" s="243"/>
      <c r="J595" s="243"/>
      <c r="K595" s="243"/>
      <c r="L595" s="243"/>
      <c r="M595" s="243"/>
      <c r="N595" s="243"/>
      <c r="O595" s="243"/>
      <c r="P595" s="243"/>
      <c r="Q595" s="243"/>
      <c r="R595" s="243"/>
      <c r="S595" s="243"/>
      <c r="T595" s="243"/>
      <c r="U595" s="243"/>
      <c r="V595" s="243"/>
      <c r="W595" s="243"/>
      <c r="X595" s="243"/>
      <c r="Y595" s="243"/>
      <c r="Z595" s="243"/>
    </row>
    <row r="596">
      <c r="A596" s="243"/>
      <c r="B596" s="243"/>
      <c r="C596" s="243"/>
      <c r="D596" s="243"/>
      <c r="E596" s="243"/>
      <c r="F596" s="243"/>
      <c r="G596" s="243"/>
      <c r="H596" s="243"/>
      <c r="I596" s="243"/>
      <c r="J596" s="243"/>
      <c r="K596" s="243"/>
      <c r="L596" s="243"/>
      <c r="M596" s="243"/>
      <c r="N596" s="243"/>
      <c r="O596" s="243"/>
      <c r="P596" s="243"/>
      <c r="Q596" s="243"/>
      <c r="R596" s="243"/>
      <c r="S596" s="243"/>
      <c r="T596" s="243"/>
      <c r="U596" s="243"/>
      <c r="V596" s="243"/>
      <c r="W596" s="243"/>
      <c r="X596" s="243"/>
      <c r="Y596" s="243"/>
      <c r="Z596" s="243"/>
    </row>
    <row r="597">
      <c r="A597" s="243"/>
      <c r="B597" s="243"/>
      <c r="C597" s="243"/>
      <c r="D597" s="243"/>
      <c r="E597" s="243"/>
      <c r="F597" s="243"/>
      <c r="G597" s="243"/>
      <c r="H597" s="243"/>
      <c r="I597" s="243"/>
      <c r="J597" s="243"/>
      <c r="K597" s="243"/>
      <c r="L597" s="243"/>
      <c r="M597" s="243"/>
      <c r="N597" s="243"/>
      <c r="O597" s="243"/>
      <c r="P597" s="243"/>
      <c r="Q597" s="243"/>
      <c r="R597" s="243"/>
      <c r="S597" s="243"/>
      <c r="T597" s="243"/>
      <c r="U597" s="243"/>
      <c r="V597" s="243"/>
      <c r="W597" s="243"/>
      <c r="X597" s="243"/>
      <c r="Y597" s="243"/>
      <c r="Z597" s="243"/>
    </row>
    <row r="598">
      <c r="A598" s="243"/>
      <c r="B598" s="243"/>
      <c r="C598" s="243"/>
      <c r="D598" s="243"/>
      <c r="E598" s="243"/>
      <c r="F598" s="243"/>
      <c r="G598" s="243"/>
      <c r="H598" s="243"/>
      <c r="I598" s="243"/>
      <c r="J598" s="243"/>
      <c r="K598" s="243"/>
      <c r="L598" s="243"/>
      <c r="M598" s="243"/>
      <c r="N598" s="243"/>
      <c r="O598" s="243"/>
      <c r="P598" s="243"/>
      <c r="Q598" s="243"/>
      <c r="R598" s="243"/>
      <c r="S598" s="243"/>
      <c r="T598" s="243"/>
      <c r="U598" s="243"/>
      <c r="V598" s="243"/>
      <c r="W598" s="243"/>
      <c r="X598" s="243"/>
      <c r="Y598" s="243"/>
      <c r="Z598" s="243"/>
    </row>
    <row r="599">
      <c r="A599" s="243"/>
      <c r="B599" s="243"/>
      <c r="C599" s="243"/>
      <c r="D599" s="243"/>
      <c r="E599" s="243"/>
      <c r="F599" s="243"/>
      <c r="G599" s="243"/>
      <c r="H599" s="243"/>
      <c r="I599" s="243"/>
      <c r="J599" s="243"/>
      <c r="K599" s="243"/>
      <c r="L599" s="243"/>
      <c r="M599" s="243"/>
      <c r="N599" s="243"/>
      <c r="O599" s="243"/>
      <c r="P599" s="243"/>
      <c r="Q599" s="243"/>
      <c r="R599" s="243"/>
      <c r="S599" s="243"/>
      <c r="T599" s="243"/>
      <c r="U599" s="243"/>
      <c r="V599" s="243"/>
      <c r="W599" s="243"/>
      <c r="X599" s="243"/>
      <c r="Y599" s="243"/>
      <c r="Z599" s="243"/>
    </row>
    <row r="600">
      <c r="A600" s="243"/>
      <c r="B600" s="243"/>
      <c r="C600" s="243"/>
      <c r="D600" s="243"/>
      <c r="E600" s="243"/>
      <c r="F600" s="243"/>
      <c r="G600" s="243"/>
      <c r="H600" s="243"/>
      <c r="I600" s="243"/>
      <c r="J600" s="243"/>
      <c r="K600" s="243"/>
      <c r="L600" s="243"/>
      <c r="M600" s="243"/>
      <c r="N600" s="243"/>
      <c r="O600" s="243"/>
      <c r="P600" s="243"/>
      <c r="Q600" s="243"/>
      <c r="R600" s="243"/>
      <c r="S600" s="243"/>
      <c r="T600" s="243"/>
      <c r="U600" s="243"/>
      <c r="V600" s="243"/>
      <c r="W600" s="243"/>
      <c r="X600" s="243"/>
      <c r="Y600" s="243"/>
      <c r="Z600" s="243"/>
    </row>
    <row r="601">
      <c r="A601" s="243"/>
      <c r="B601" s="243"/>
      <c r="C601" s="243"/>
      <c r="D601" s="243"/>
      <c r="E601" s="243"/>
      <c r="F601" s="243"/>
      <c r="G601" s="243"/>
      <c r="H601" s="243"/>
      <c r="I601" s="243"/>
      <c r="J601" s="243"/>
      <c r="K601" s="243"/>
      <c r="L601" s="243"/>
      <c r="M601" s="243"/>
      <c r="N601" s="243"/>
      <c r="O601" s="243"/>
      <c r="P601" s="243"/>
      <c r="Q601" s="243"/>
      <c r="R601" s="243"/>
      <c r="S601" s="243"/>
      <c r="T601" s="243"/>
      <c r="U601" s="243"/>
      <c r="V601" s="243"/>
      <c r="W601" s="243"/>
      <c r="X601" s="243"/>
      <c r="Y601" s="243"/>
      <c r="Z601" s="243"/>
    </row>
    <row r="602">
      <c r="A602" s="243"/>
      <c r="B602" s="243"/>
      <c r="C602" s="243"/>
      <c r="D602" s="243"/>
      <c r="E602" s="243"/>
      <c r="F602" s="243"/>
      <c r="G602" s="243"/>
      <c r="H602" s="243"/>
      <c r="I602" s="243"/>
      <c r="J602" s="243"/>
      <c r="K602" s="243"/>
      <c r="L602" s="243"/>
      <c r="M602" s="243"/>
      <c r="N602" s="243"/>
      <c r="O602" s="243"/>
      <c r="P602" s="243"/>
      <c r="Q602" s="243"/>
      <c r="R602" s="243"/>
      <c r="S602" s="243"/>
      <c r="T602" s="243"/>
      <c r="U602" s="243"/>
      <c r="V602" s="243"/>
      <c r="W602" s="243"/>
      <c r="X602" s="243"/>
      <c r="Y602" s="243"/>
      <c r="Z602" s="243"/>
    </row>
    <row r="603">
      <c r="A603" s="243"/>
      <c r="B603" s="243"/>
      <c r="C603" s="243"/>
      <c r="D603" s="243"/>
      <c r="E603" s="243"/>
      <c r="F603" s="243"/>
      <c r="G603" s="243"/>
      <c r="H603" s="243"/>
      <c r="I603" s="243"/>
      <c r="J603" s="243"/>
      <c r="K603" s="243"/>
      <c r="L603" s="243"/>
      <c r="M603" s="243"/>
      <c r="N603" s="243"/>
      <c r="O603" s="243"/>
      <c r="P603" s="243"/>
      <c r="Q603" s="243"/>
      <c r="R603" s="243"/>
      <c r="S603" s="243"/>
      <c r="T603" s="243"/>
      <c r="U603" s="243"/>
      <c r="V603" s="243"/>
      <c r="W603" s="243"/>
      <c r="X603" s="243"/>
      <c r="Y603" s="243"/>
      <c r="Z603" s="243"/>
    </row>
    <row r="604">
      <c r="A604" s="243"/>
      <c r="B604" s="243"/>
      <c r="C604" s="243"/>
      <c r="D604" s="243"/>
      <c r="E604" s="243"/>
      <c r="F604" s="243"/>
      <c r="G604" s="243"/>
      <c r="H604" s="243"/>
      <c r="I604" s="243"/>
      <c r="J604" s="243"/>
      <c r="K604" s="243"/>
      <c r="L604" s="243"/>
      <c r="M604" s="243"/>
      <c r="N604" s="243"/>
      <c r="O604" s="243"/>
      <c r="P604" s="243"/>
      <c r="Q604" s="243"/>
      <c r="R604" s="243"/>
      <c r="S604" s="243"/>
      <c r="T604" s="243"/>
      <c r="U604" s="243"/>
      <c r="V604" s="243"/>
      <c r="W604" s="243"/>
      <c r="X604" s="243"/>
      <c r="Y604" s="243"/>
      <c r="Z604" s="243"/>
    </row>
    <row r="605">
      <c r="A605" s="243"/>
      <c r="B605" s="243"/>
      <c r="C605" s="243"/>
      <c r="D605" s="243"/>
      <c r="E605" s="243"/>
      <c r="F605" s="243"/>
      <c r="G605" s="243"/>
      <c r="H605" s="243"/>
      <c r="I605" s="243"/>
      <c r="J605" s="243"/>
      <c r="K605" s="243"/>
      <c r="L605" s="243"/>
      <c r="M605" s="243"/>
      <c r="N605" s="243"/>
      <c r="O605" s="243"/>
      <c r="P605" s="243"/>
      <c r="Q605" s="243"/>
      <c r="R605" s="243"/>
      <c r="S605" s="243"/>
      <c r="T605" s="243"/>
      <c r="U605" s="243"/>
      <c r="V605" s="243"/>
      <c r="W605" s="243"/>
      <c r="X605" s="243"/>
      <c r="Y605" s="243"/>
      <c r="Z605" s="243"/>
    </row>
    <row r="606">
      <c r="A606" s="243"/>
      <c r="B606" s="243"/>
      <c r="C606" s="243"/>
      <c r="D606" s="243"/>
      <c r="E606" s="243"/>
      <c r="F606" s="243"/>
      <c r="G606" s="243"/>
      <c r="H606" s="243"/>
      <c r="I606" s="243"/>
      <c r="J606" s="243"/>
      <c r="K606" s="243"/>
      <c r="L606" s="243"/>
      <c r="M606" s="243"/>
      <c r="N606" s="243"/>
      <c r="O606" s="243"/>
      <c r="P606" s="243"/>
      <c r="Q606" s="243"/>
      <c r="R606" s="243"/>
      <c r="S606" s="243"/>
      <c r="T606" s="243"/>
      <c r="U606" s="243"/>
      <c r="V606" s="243"/>
      <c r="W606" s="243"/>
      <c r="X606" s="243"/>
      <c r="Y606" s="243"/>
      <c r="Z606" s="243"/>
    </row>
    <row r="607">
      <c r="A607" s="243"/>
      <c r="B607" s="243"/>
      <c r="C607" s="243"/>
      <c r="D607" s="243"/>
      <c r="E607" s="243"/>
      <c r="F607" s="243"/>
      <c r="G607" s="243"/>
      <c r="H607" s="243"/>
      <c r="I607" s="243"/>
      <c r="J607" s="243"/>
      <c r="K607" s="243"/>
      <c r="L607" s="243"/>
      <c r="M607" s="243"/>
      <c r="N607" s="243"/>
      <c r="O607" s="243"/>
      <c r="P607" s="243"/>
      <c r="Q607" s="243"/>
      <c r="R607" s="243"/>
      <c r="S607" s="243"/>
      <c r="T607" s="243"/>
      <c r="U607" s="243"/>
      <c r="V607" s="243"/>
      <c r="W607" s="243"/>
      <c r="X607" s="243"/>
      <c r="Y607" s="243"/>
      <c r="Z607" s="243"/>
    </row>
    <row r="608">
      <c r="A608" s="243"/>
      <c r="B608" s="243"/>
      <c r="C608" s="243"/>
      <c r="D608" s="243"/>
      <c r="E608" s="243"/>
      <c r="F608" s="243"/>
      <c r="G608" s="243"/>
      <c r="H608" s="243"/>
      <c r="I608" s="243"/>
      <c r="J608" s="243"/>
      <c r="K608" s="243"/>
      <c r="L608" s="243"/>
      <c r="M608" s="243"/>
      <c r="N608" s="243"/>
      <c r="O608" s="243"/>
      <c r="P608" s="243"/>
      <c r="Q608" s="243"/>
      <c r="R608" s="243"/>
      <c r="S608" s="243"/>
      <c r="T608" s="243"/>
      <c r="U608" s="243"/>
      <c r="V608" s="243"/>
      <c r="W608" s="243"/>
      <c r="X608" s="243"/>
      <c r="Y608" s="243"/>
      <c r="Z608" s="243"/>
    </row>
    <row r="609">
      <c r="A609" s="243"/>
      <c r="B609" s="243"/>
      <c r="C609" s="243"/>
      <c r="D609" s="243"/>
      <c r="E609" s="243"/>
      <c r="F609" s="243"/>
      <c r="G609" s="243"/>
      <c r="H609" s="243"/>
      <c r="I609" s="243"/>
      <c r="J609" s="243"/>
      <c r="K609" s="243"/>
      <c r="L609" s="243"/>
      <c r="M609" s="243"/>
      <c r="N609" s="243"/>
      <c r="O609" s="243"/>
      <c r="P609" s="243"/>
      <c r="Q609" s="243"/>
      <c r="R609" s="243"/>
      <c r="S609" s="243"/>
      <c r="T609" s="243"/>
      <c r="U609" s="243"/>
      <c r="V609" s="243"/>
      <c r="W609" s="243"/>
      <c r="X609" s="243"/>
      <c r="Y609" s="243"/>
      <c r="Z609" s="243"/>
    </row>
    <row r="610">
      <c r="A610" s="243"/>
      <c r="B610" s="243"/>
      <c r="C610" s="243"/>
      <c r="D610" s="243"/>
      <c r="E610" s="243"/>
      <c r="F610" s="243"/>
      <c r="G610" s="243"/>
      <c r="H610" s="243"/>
      <c r="I610" s="243"/>
      <c r="J610" s="243"/>
      <c r="K610" s="243"/>
      <c r="L610" s="243"/>
      <c r="M610" s="243"/>
      <c r="N610" s="243"/>
      <c r="O610" s="243"/>
      <c r="P610" s="243"/>
      <c r="Q610" s="243"/>
      <c r="R610" s="243"/>
      <c r="S610" s="243"/>
      <c r="T610" s="243"/>
      <c r="U610" s="243"/>
      <c r="V610" s="243"/>
      <c r="W610" s="243"/>
      <c r="X610" s="243"/>
      <c r="Y610" s="243"/>
      <c r="Z610" s="243"/>
    </row>
    <row r="611">
      <c r="A611" s="243"/>
      <c r="B611" s="243"/>
      <c r="C611" s="243"/>
      <c r="D611" s="243"/>
      <c r="E611" s="243"/>
      <c r="F611" s="243"/>
      <c r="G611" s="243"/>
      <c r="H611" s="243"/>
      <c r="I611" s="243"/>
      <c r="J611" s="243"/>
      <c r="K611" s="243"/>
      <c r="L611" s="243"/>
      <c r="M611" s="243"/>
      <c r="N611" s="243"/>
      <c r="O611" s="243"/>
      <c r="P611" s="243"/>
      <c r="Q611" s="243"/>
      <c r="R611" s="243"/>
      <c r="S611" s="243"/>
      <c r="T611" s="243"/>
      <c r="U611" s="243"/>
      <c r="V611" s="243"/>
      <c r="W611" s="243"/>
      <c r="X611" s="243"/>
      <c r="Y611" s="243"/>
      <c r="Z611" s="243"/>
    </row>
    <row r="612">
      <c r="A612" s="243"/>
      <c r="B612" s="243"/>
      <c r="C612" s="243"/>
      <c r="D612" s="243"/>
      <c r="E612" s="243"/>
      <c r="F612" s="243"/>
      <c r="G612" s="243"/>
      <c r="H612" s="243"/>
      <c r="I612" s="243"/>
      <c r="J612" s="243"/>
      <c r="K612" s="243"/>
      <c r="L612" s="243"/>
      <c r="M612" s="243"/>
      <c r="N612" s="243"/>
      <c r="O612" s="243"/>
      <c r="P612" s="243"/>
      <c r="Q612" s="243"/>
      <c r="R612" s="243"/>
      <c r="S612" s="243"/>
      <c r="T612" s="243"/>
      <c r="U612" s="243"/>
      <c r="V612" s="243"/>
      <c r="W612" s="243"/>
      <c r="X612" s="243"/>
      <c r="Y612" s="243"/>
      <c r="Z612" s="243"/>
    </row>
    <row r="613">
      <c r="A613" s="243"/>
      <c r="B613" s="243"/>
      <c r="C613" s="243"/>
      <c r="D613" s="243"/>
      <c r="E613" s="243"/>
      <c r="F613" s="243"/>
      <c r="G613" s="243"/>
      <c r="H613" s="243"/>
      <c r="I613" s="243"/>
      <c r="J613" s="243"/>
      <c r="K613" s="243"/>
      <c r="L613" s="243"/>
      <c r="M613" s="243"/>
      <c r="N613" s="243"/>
      <c r="O613" s="243"/>
      <c r="P613" s="243"/>
      <c r="Q613" s="243"/>
      <c r="R613" s="243"/>
      <c r="S613" s="243"/>
      <c r="T613" s="243"/>
      <c r="U613" s="243"/>
      <c r="V613" s="243"/>
      <c r="W613" s="243"/>
      <c r="X613" s="243"/>
      <c r="Y613" s="243"/>
      <c r="Z613" s="243"/>
    </row>
    <row r="614">
      <c r="A614" s="243"/>
      <c r="B614" s="243"/>
      <c r="C614" s="243"/>
      <c r="D614" s="243"/>
      <c r="E614" s="243"/>
      <c r="F614" s="243"/>
      <c r="G614" s="243"/>
      <c r="H614" s="243"/>
      <c r="I614" s="243"/>
      <c r="J614" s="243"/>
      <c r="K614" s="243"/>
      <c r="L614" s="243"/>
      <c r="M614" s="243"/>
      <c r="N614" s="243"/>
      <c r="O614" s="243"/>
      <c r="P614" s="243"/>
      <c r="Q614" s="243"/>
      <c r="R614" s="243"/>
      <c r="S614" s="243"/>
      <c r="T614" s="243"/>
      <c r="U614" s="243"/>
      <c r="V614" s="243"/>
      <c r="W614" s="243"/>
      <c r="X614" s="243"/>
      <c r="Y614" s="243"/>
      <c r="Z614" s="243"/>
    </row>
    <row r="615">
      <c r="A615" s="243"/>
      <c r="B615" s="243"/>
      <c r="C615" s="243"/>
      <c r="D615" s="243"/>
      <c r="E615" s="243"/>
      <c r="F615" s="243"/>
      <c r="G615" s="243"/>
      <c r="H615" s="243"/>
      <c r="I615" s="243"/>
      <c r="J615" s="243"/>
      <c r="K615" s="243"/>
      <c r="L615" s="243"/>
      <c r="M615" s="243"/>
      <c r="N615" s="243"/>
      <c r="O615" s="243"/>
      <c r="P615" s="243"/>
      <c r="Q615" s="243"/>
      <c r="R615" s="243"/>
      <c r="S615" s="243"/>
      <c r="T615" s="243"/>
      <c r="U615" s="243"/>
      <c r="V615" s="243"/>
      <c r="W615" s="243"/>
      <c r="X615" s="243"/>
      <c r="Y615" s="243"/>
      <c r="Z615" s="243"/>
    </row>
    <row r="616">
      <c r="A616" s="243"/>
      <c r="B616" s="243"/>
      <c r="C616" s="243"/>
      <c r="D616" s="243"/>
      <c r="E616" s="243"/>
      <c r="F616" s="243"/>
      <c r="G616" s="243"/>
      <c r="H616" s="243"/>
      <c r="I616" s="243"/>
      <c r="J616" s="243"/>
      <c r="K616" s="243"/>
      <c r="L616" s="243"/>
      <c r="M616" s="243"/>
      <c r="N616" s="243"/>
      <c r="O616" s="243"/>
      <c r="P616" s="243"/>
      <c r="Q616" s="243"/>
      <c r="R616" s="243"/>
      <c r="S616" s="243"/>
      <c r="T616" s="243"/>
      <c r="U616" s="243"/>
      <c r="V616" s="243"/>
      <c r="W616" s="243"/>
      <c r="X616" s="243"/>
      <c r="Y616" s="243"/>
      <c r="Z616" s="243"/>
    </row>
    <row r="617">
      <c r="A617" s="243"/>
      <c r="B617" s="243"/>
      <c r="C617" s="243"/>
      <c r="D617" s="243"/>
      <c r="E617" s="243"/>
      <c r="F617" s="243"/>
      <c r="G617" s="243"/>
      <c r="H617" s="243"/>
      <c r="I617" s="243"/>
      <c r="J617" s="243"/>
      <c r="K617" s="243"/>
      <c r="L617" s="243"/>
      <c r="M617" s="243"/>
      <c r="N617" s="243"/>
      <c r="O617" s="243"/>
      <c r="P617" s="243"/>
      <c r="Q617" s="243"/>
      <c r="R617" s="243"/>
      <c r="S617" s="243"/>
      <c r="T617" s="243"/>
      <c r="U617" s="243"/>
      <c r="V617" s="243"/>
      <c r="W617" s="243"/>
      <c r="X617" s="243"/>
      <c r="Y617" s="243"/>
      <c r="Z617" s="243"/>
    </row>
    <row r="618">
      <c r="A618" s="243"/>
      <c r="B618" s="243"/>
      <c r="C618" s="243"/>
      <c r="D618" s="243"/>
      <c r="E618" s="243"/>
      <c r="F618" s="243"/>
      <c r="G618" s="243"/>
      <c r="H618" s="243"/>
      <c r="I618" s="243"/>
      <c r="J618" s="243"/>
      <c r="K618" s="243"/>
      <c r="L618" s="243"/>
      <c r="M618" s="243"/>
      <c r="N618" s="243"/>
      <c r="O618" s="243"/>
      <c r="P618" s="243"/>
      <c r="Q618" s="243"/>
      <c r="R618" s="243"/>
      <c r="S618" s="243"/>
      <c r="T618" s="243"/>
      <c r="U618" s="243"/>
      <c r="V618" s="243"/>
      <c r="W618" s="243"/>
      <c r="X618" s="243"/>
      <c r="Y618" s="243"/>
      <c r="Z618" s="243"/>
    </row>
    <row r="619">
      <c r="A619" s="243"/>
      <c r="B619" s="243"/>
      <c r="C619" s="243"/>
      <c r="D619" s="243"/>
      <c r="E619" s="243"/>
      <c r="F619" s="243"/>
      <c r="G619" s="243"/>
      <c r="H619" s="243"/>
      <c r="I619" s="243"/>
      <c r="J619" s="243"/>
      <c r="K619" s="243"/>
      <c r="L619" s="243"/>
      <c r="M619" s="243"/>
      <c r="N619" s="243"/>
      <c r="O619" s="243"/>
      <c r="P619" s="243"/>
      <c r="Q619" s="243"/>
      <c r="R619" s="243"/>
      <c r="S619" s="243"/>
      <c r="T619" s="243"/>
      <c r="U619" s="243"/>
      <c r="V619" s="243"/>
      <c r="W619" s="243"/>
      <c r="X619" s="243"/>
      <c r="Y619" s="243"/>
      <c r="Z619" s="243"/>
    </row>
    <row r="620">
      <c r="A620" s="243"/>
      <c r="B620" s="243"/>
      <c r="C620" s="243"/>
      <c r="D620" s="243"/>
      <c r="E620" s="243"/>
      <c r="F620" s="243"/>
      <c r="G620" s="243"/>
      <c r="H620" s="243"/>
      <c r="I620" s="243"/>
      <c r="J620" s="243"/>
      <c r="K620" s="243"/>
      <c r="L620" s="243"/>
      <c r="M620" s="243"/>
      <c r="N620" s="243"/>
      <c r="O620" s="243"/>
      <c r="P620" s="243"/>
      <c r="Q620" s="243"/>
      <c r="R620" s="243"/>
      <c r="S620" s="243"/>
      <c r="T620" s="243"/>
      <c r="U620" s="243"/>
      <c r="V620" s="243"/>
      <c r="W620" s="243"/>
      <c r="X620" s="243"/>
      <c r="Y620" s="243"/>
      <c r="Z620" s="243"/>
    </row>
    <row r="621">
      <c r="A621" s="243"/>
      <c r="B621" s="243"/>
      <c r="C621" s="243"/>
      <c r="D621" s="243"/>
      <c r="E621" s="243"/>
      <c r="F621" s="243"/>
      <c r="G621" s="243"/>
      <c r="H621" s="243"/>
      <c r="I621" s="243"/>
      <c r="J621" s="243"/>
      <c r="K621" s="243"/>
      <c r="L621" s="243"/>
      <c r="M621" s="243"/>
      <c r="N621" s="243"/>
      <c r="O621" s="243"/>
      <c r="P621" s="243"/>
      <c r="Q621" s="243"/>
      <c r="R621" s="243"/>
      <c r="S621" s="243"/>
      <c r="T621" s="243"/>
      <c r="U621" s="243"/>
      <c r="V621" s="243"/>
      <c r="W621" s="243"/>
      <c r="X621" s="243"/>
      <c r="Y621" s="243"/>
      <c r="Z621" s="243"/>
    </row>
    <row r="622">
      <c r="A622" s="243"/>
      <c r="B622" s="243"/>
      <c r="C622" s="243"/>
      <c r="D622" s="243"/>
      <c r="E622" s="243"/>
      <c r="F622" s="243"/>
      <c r="G622" s="243"/>
      <c r="H622" s="243"/>
      <c r="I622" s="243"/>
      <c r="J622" s="243"/>
      <c r="K622" s="243"/>
      <c r="L622" s="243"/>
      <c r="M622" s="243"/>
      <c r="N622" s="243"/>
      <c r="O622" s="243"/>
      <c r="P622" s="243"/>
      <c r="Q622" s="243"/>
      <c r="R622" s="243"/>
      <c r="S622" s="243"/>
      <c r="T622" s="243"/>
      <c r="U622" s="243"/>
      <c r="V622" s="243"/>
      <c r="W622" s="243"/>
      <c r="X622" s="243"/>
      <c r="Y622" s="243"/>
      <c r="Z622" s="243"/>
    </row>
    <row r="623">
      <c r="A623" s="243"/>
      <c r="B623" s="243"/>
      <c r="C623" s="243"/>
      <c r="D623" s="243"/>
      <c r="E623" s="243"/>
      <c r="F623" s="243"/>
      <c r="G623" s="243"/>
      <c r="H623" s="243"/>
      <c r="I623" s="243"/>
      <c r="J623" s="243"/>
      <c r="K623" s="243"/>
      <c r="L623" s="243"/>
      <c r="M623" s="243"/>
      <c r="N623" s="243"/>
      <c r="O623" s="243"/>
      <c r="P623" s="243"/>
      <c r="Q623" s="243"/>
      <c r="R623" s="243"/>
      <c r="S623" s="243"/>
      <c r="T623" s="243"/>
      <c r="U623" s="243"/>
      <c r="V623" s="243"/>
      <c r="W623" s="243"/>
      <c r="X623" s="243"/>
      <c r="Y623" s="243"/>
      <c r="Z623" s="243"/>
    </row>
    <row r="624">
      <c r="A624" s="243"/>
      <c r="B624" s="243"/>
      <c r="C624" s="243"/>
      <c r="D624" s="243"/>
      <c r="E624" s="243"/>
      <c r="F624" s="243"/>
      <c r="G624" s="243"/>
      <c r="H624" s="243"/>
      <c r="I624" s="243"/>
      <c r="J624" s="243"/>
      <c r="K624" s="243"/>
      <c r="L624" s="243"/>
      <c r="M624" s="243"/>
      <c r="N624" s="243"/>
      <c r="O624" s="243"/>
      <c r="P624" s="243"/>
      <c r="Q624" s="243"/>
      <c r="R624" s="243"/>
      <c r="S624" s="243"/>
      <c r="T624" s="243"/>
      <c r="U624" s="243"/>
      <c r="V624" s="243"/>
      <c r="W624" s="243"/>
      <c r="X624" s="243"/>
      <c r="Y624" s="243"/>
      <c r="Z624" s="243"/>
    </row>
    <row r="625">
      <c r="A625" s="243"/>
      <c r="B625" s="243"/>
      <c r="C625" s="243"/>
      <c r="D625" s="243"/>
      <c r="E625" s="243"/>
      <c r="F625" s="243"/>
      <c r="G625" s="243"/>
      <c r="H625" s="243"/>
      <c r="I625" s="243"/>
      <c r="J625" s="243"/>
      <c r="K625" s="243"/>
      <c r="L625" s="243"/>
      <c r="M625" s="243"/>
      <c r="N625" s="243"/>
      <c r="O625" s="243"/>
      <c r="P625" s="243"/>
      <c r="Q625" s="243"/>
      <c r="R625" s="243"/>
      <c r="S625" s="243"/>
      <c r="T625" s="243"/>
      <c r="U625" s="243"/>
      <c r="V625" s="243"/>
      <c r="W625" s="243"/>
      <c r="X625" s="243"/>
      <c r="Y625" s="243"/>
      <c r="Z625" s="243"/>
    </row>
    <row r="626">
      <c r="A626" s="243"/>
      <c r="B626" s="243"/>
      <c r="C626" s="243"/>
      <c r="D626" s="243"/>
      <c r="E626" s="243"/>
      <c r="F626" s="243"/>
      <c r="G626" s="243"/>
      <c r="H626" s="243"/>
      <c r="I626" s="243"/>
      <c r="J626" s="243"/>
      <c r="K626" s="243"/>
      <c r="L626" s="243"/>
      <c r="M626" s="243"/>
      <c r="N626" s="243"/>
      <c r="O626" s="243"/>
      <c r="P626" s="243"/>
      <c r="Q626" s="243"/>
      <c r="R626" s="243"/>
      <c r="S626" s="243"/>
      <c r="T626" s="243"/>
      <c r="U626" s="243"/>
      <c r="V626" s="243"/>
      <c r="W626" s="243"/>
      <c r="X626" s="243"/>
      <c r="Y626" s="243"/>
      <c r="Z626" s="243"/>
    </row>
    <row r="627">
      <c r="A627" s="243"/>
      <c r="B627" s="243"/>
      <c r="C627" s="243"/>
      <c r="D627" s="243"/>
      <c r="E627" s="243"/>
      <c r="F627" s="243"/>
      <c r="G627" s="243"/>
      <c r="H627" s="243"/>
      <c r="I627" s="243"/>
      <c r="J627" s="243"/>
      <c r="K627" s="243"/>
      <c r="L627" s="243"/>
      <c r="M627" s="243"/>
      <c r="N627" s="243"/>
      <c r="O627" s="243"/>
      <c r="P627" s="243"/>
      <c r="Q627" s="243"/>
      <c r="R627" s="243"/>
      <c r="S627" s="243"/>
      <c r="T627" s="243"/>
      <c r="U627" s="243"/>
      <c r="V627" s="243"/>
      <c r="W627" s="243"/>
      <c r="X627" s="243"/>
      <c r="Y627" s="243"/>
      <c r="Z627" s="243"/>
    </row>
    <row r="628">
      <c r="A628" s="243"/>
      <c r="B628" s="243"/>
      <c r="C628" s="243"/>
      <c r="D628" s="243"/>
      <c r="E628" s="243"/>
      <c r="F628" s="243"/>
      <c r="G628" s="243"/>
      <c r="H628" s="243"/>
      <c r="I628" s="243"/>
      <c r="J628" s="243"/>
      <c r="K628" s="243"/>
      <c r="L628" s="243"/>
      <c r="M628" s="243"/>
      <c r="N628" s="243"/>
      <c r="O628" s="243"/>
      <c r="P628" s="243"/>
      <c r="Q628" s="243"/>
      <c r="R628" s="243"/>
      <c r="S628" s="243"/>
      <c r="T628" s="243"/>
      <c r="U628" s="243"/>
      <c r="V628" s="243"/>
      <c r="W628" s="243"/>
      <c r="X628" s="243"/>
      <c r="Y628" s="243"/>
      <c r="Z628" s="243"/>
    </row>
    <row r="629">
      <c r="A629" s="243"/>
      <c r="B629" s="243"/>
      <c r="C629" s="243"/>
      <c r="D629" s="243"/>
      <c r="E629" s="243"/>
      <c r="F629" s="243"/>
      <c r="G629" s="243"/>
      <c r="H629" s="243"/>
      <c r="I629" s="243"/>
      <c r="J629" s="243"/>
      <c r="K629" s="243"/>
      <c r="L629" s="243"/>
      <c r="M629" s="243"/>
      <c r="N629" s="243"/>
      <c r="O629" s="243"/>
      <c r="P629" s="243"/>
      <c r="Q629" s="243"/>
      <c r="R629" s="243"/>
      <c r="S629" s="243"/>
      <c r="T629" s="243"/>
      <c r="U629" s="243"/>
      <c r="V629" s="243"/>
      <c r="W629" s="243"/>
      <c r="X629" s="243"/>
      <c r="Y629" s="243"/>
      <c r="Z629" s="243"/>
    </row>
    <row r="630">
      <c r="A630" s="243"/>
      <c r="B630" s="243"/>
      <c r="C630" s="243"/>
      <c r="D630" s="243"/>
      <c r="E630" s="243"/>
      <c r="F630" s="243"/>
      <c r="G630" s="243"/>
      <c r="H630" s="243"/>
      <c r="I630" s="243"/>
      <c r="J630" s="243"/>
      <c r="K630" s="243"/>
      <c r="L630" s="243"/>
      <c r="M630" s="243"/>
      <c r="N630" s="243"/>
      <c r="O630" s="243"/>
      <c r="P630" s="243"/>
      <c r="Q630" s="243"/>
      <c r="R630" s="243"/>
      <c r="S630" s="243"/>
      <c r="T630" s="243"/>
      <c r="U630" s="243"/>
      <c r="V630" s="243"/>
      <c r="W630" s="243"/>
      <c r="X630" s="243"/>
      <c r="Y630" s="243"/>
      <c r="Z630" s="243"/>
    </row>
    <row r="631">
      <c r="A631" s="243"/>
      <c r="B631" s="243"/>
      <c r="C631" s="243"/>
      <c r="D631" s="243"/>
      <c r="E631" s="243"/>
      <c r="F631" s="243"/>
      <c r="G631" s="243"/>
      <c r="H631" s="243"/>
      <c r="I631" s="243"/>
      <c r="J631" s="243"/>
      <c r="K631" s="243"/>
      <c r="L631" s="243"/>
      <c r="M631" s="243"/>
      <c r="N631" s="243"/>
      <c r="O631" s="243"/>
      <c r="P631" s="243"/>
      <c r="Q631" s="243"/>
      <c r="R631" s="243"/>
      <c r="S631" s="243"/>
      <c r="T631" s="243"/>
      <c r="U631" s="243"/>
      <c r="V631" s="243"/>
      <c r="W631" s="243"/>
      <c r="X631" s="243"/>
      <c r="Y631" s="243"/>
      <c r="Z631" s="243"/>
    </row>
    <row r="632">
      <c r="A632" s="243"/>
      <c r="B632" s="243"/>
      <c r="C632" s="243"/>
      <c r="D632" s="243"/>
      <c r="E632" s="243"/>
      <c r="F632" s="243"/>
      <c r="G632" s="243"/>
      <c r="H632" s="243"/>
      <c r="I632" s="243"/>
      <c r="J632" s="243"/>
      <c r="K632" s="243"/>
      <c r="L632" s="243"/>
      <c r="M632" s="243"/>
      <c r="N632" s="243"/>
      <c r="O632" s="243"/>
      <c r="P632" s="243"/>
      <c r="Q632" s="243"/>
      <c r="R632" s="243"/>
      <c r="S632" s="243"/>
      <c r="T632" s="243"/>
      <c r="U632" s="243"/>
      <c r="V632" s="243"/>
      <c r="W632" s="243"/>
      <c r="X632" s="243"/>
      <c r="Y632" s="243"/>
      <c r="Z632" s="243"/>
    </row>
    <row r="633">
      <c r="A633" s="243"/>
      <c r="B633" s="243"/>
      <c r="C633" s="243"/>
      <c r="D633" s="243"/>
      <c r="E633" s="243"/>
      <c r="F633" s="243"/>
      <c r="G633" s="243"/>
      <c r="H633" s="243"/>
      <c r="I633" s="243"/>
      <c r="J633" s="243"/>
      <c r="K633" s="243"/>
      <c r="L633" s="243"/>
      <c r="M633" s="243"/>
      <c r="N633" s="243"/>
      <c r="O633" s="243"/>
      <c r="P633" s="243"/>
      <c r="Q633" s="243"/>
      <c r="R633" s="243"/>
      <c r="S633" s="243"/>
      <c r="T633" s="243"/>
      <c r="U633" s="243"/>
      <c r="V633" s="243"/>
      <c r="W633" s="243"/>
      <c r="X633" s="243"/>
      <c r="Y633" s="243"/>
      <c r="Z633" s="243"/>
    </row>
    <row r="634">
      <c r="A634" s="243"/>
      <c r="B634" s="243"/>
      <c r="C634" s="243"/>
      <c r="D634" s="243"/>
      <c r="E634" s="243"/>
      <c r="F634" s="243"/>
      <c r="G634" s="243"/>
      <c r="H634" s="243"/>
      <c r="I634" s="243"/>
      <c r="J634" s="243"/>
      <c r="K634" s="243"/>
      <c r="L634" s="243"/>
      <c r="M634" s="243"/>
      <c r="N634" s="243"/>
      <c r="O634" s="243"/>
      <c r="P634" s="243"/>
      <c r="Q634" s="243"/>
      <c r="R634" s="243"/>
      <c r="S634" s="243"/>
      <c r="T634" s="243"/>
      <c r="U634" s="243"/>
      <c r="V634" s="243"/>
      <c r="W634" s="243"/>
      <c r="X634" s="243"/>
      <c r="Y634" s="243"/>
      <c r="Z634" s="243"/>
    </row>
    <row r="635">
      <c r="A635" s="243"/>
      <c r="B635" s="243"/>
      <c r="C635" s="243"/>
      <c r="D635" s="243"/>
      <c r="E635" s="243"/>
      <c r="F635" s="243"/>
      <c r="G635" s="243"/>
      <c r="H635" s="243"/>
      <c r="I635" s="243"/>
      <c r="J635" s="243"/>
      <c r="K635" s="243"/>
      <c r="L635" s="243"/>
      <c r="M635" s="243"/>
      <c r="N635" s="243"/>
      <c r="O635" s="243"/>
      <c r="P635" s="243"/>
      <c r="Q635" s="243"/>
      <c r="R635" s="243"/>
      <c r="S635" s="243"/>
      <c r="T635" s="243"/>
      <c r="U635" s="243"/>
      <c r="V635" s="243"/>
      <c r="W635" s="243"/>
      <c r="X635" s="243"/>
      <c r="Y635" s="243"/>
      <c r="Z635" s="243"/>
    </row>
    <row r="636">
      <c r="A636" s="243"/>
      <c r="B636" s="243"/>
      <c r="C636" s="243"/>
      <c r="D636" s="243"/>
      <c r="E636" s="243"/>
      <c r="F636" s="243"/>
      <c r="G636" s="243"/>
      <c r="H636" s="243"/>
      <c r="I636" s="243"/>
      <c r="J636" s="243"/>
      <c r="K636" s="243"/>
      <c r="L636" s="243"/>
      <c r="M636" s="243"/>
      <c r="N636" s="243"/>
      <c r="O636" s="243"/>
      <c r="P636" s="243"/>
      <c r="Q636" s="243"/>
      <c r="R636" s="243"/>
      <c r="S636" s="243"/>
      <c r="T636" s="243"/>
      <c r="U636" s="243"/>
      <c r="V636" s="243"/>
      <c r="W636" s="243"/>
      <c r="X636" s="243"/>
      <c r="Y636" s="243"/>
      <c r="Z636" s="243"/>
    </row>
    <row r="637">
      <c r="A637" s="243"/>
      <c r="B637" s="243"/>
      <c r="C637" s="243"/>
      <c r="D637" s="243"/>
      <c r="E637" s="243"/>
      <c r="F637" s="243"/>
      <c r="G637" s="243"/>
      <c r="H637" s="243"/>
      <c r="I637" s="243"/>
      <c r="J637" s="243"/>
      <c r="K637" s="243"/>
      <c r="L637" s="243"/>
      <c r="M637" s="243"/>
      <c r="N637" s="243"/>
      <c r="O637" s="243"/>
      <c r="P637" s="243"/>
      <c r="Q637" s="243"/>
      <c r="R637" s="243"/>
      <c r="S637" s="243"/>
      <c r="T637" s="243"/>
      <c r="U637" s="243"/>
      <c r="V637" s="243"/>
      <c r="W637" s="243"/>
      <c r="X637" s="243"/>
      <c r="Y637" s="243"/>
      <c r="Z637" s="243"/>
    </row>
    <row r="638">
      <c r="A638" s="243"/>
      <c r="B638" s="243"/>
      <c r="C638" s="243"/>
      <c r="D638" s="243"/>
      <c r="E638" s="243"/>
      <c r="F638" s="243"/>
      <c r="G638" s="243"/>
      <c r="H638" s="243"/>
      <c r="I638" s="243"/>
      <c r="J638" s="243"/>
      <c r="K638" s="243"/>
      <c r="L638" s="243"/>
      <c r="M638" s="243"/>
      <c r="N638" s="243"/>
      <c r="O638" s="243"/>
      <c r="P638" s="243"/>
      <c r="Q638" s="243"/>
      <c r="R638" s="243"/>
      <c r="S638" s="243"/>
      <c r="T638" s="243"/>
      <c r="U638" s="243"/>
      <c r="V638" s="243"/>
      <c r="W638" s="243"/>
      <c r="X638" s="243"/>
      <c r="Y638" s="243"/>
      <c r="Z638" s="243"/>
    </row>
    <row r="639">
      <c r="A639" s="243"/>
      <c r="B639" s="243"/>
      <c r="C639" s="243"/>
      <c r="D639" s="243"/>
      <c r="E639" s="243"/>
      <c r="F639" s="243"/>
      <c r="G639" s="243"/>
      <c r="H639" s="243"/>
      <c r="I639" s="243"/>
      <c r="J639" s="243"/>
      <c r="K639" s="243"/>
      <c r="L639" s="243"/>
      <c r="M639" s="243"/>
      <c r="N639" s="243"/>
      <c r="O639" s="243"/>
      <c r="P639" s="243"/>
      <c r="Q639" s="243"/>
      <c r="R639" s="243"/>
      <c r="S639" s="243"/>
      <c r="T639" s="243"/>
      <c r="U639" s="243"/>
      <c r="V639" s="243"/>
      <c r="W639" s="243"/>
      <c r="X639" s="243"/>
      <c r="Y639" s="243"/>
      <c r="Z639" s="243"/>
    </row>
    <row r="640">
      <c r="A640" s="243"/>
      <c r="B640" s="243"/>
      <c r="C640" s="243"/>
      <c r="D640" s="243"/>
      <c r="E640" s="243"/>
      <c r="F640" s="243"/>
      <c r="G640" s="243"/>
      <c r="H640" s="243"/>
      <c r="I640" s="243"/>
      <c r="J640" s="243"/>
      <c r="K640" s="243"/>
      <c r="L640" s="243"/>
      <c r="M640" s="243"/>
      <c r="N640" s="243"/>
      <c r="O640" s="243"/>
      <c r="P640" s="243"/>
      <c r="Q640" s="243"/>
      <c r="R640" s="243"/>
      <c r="S640" s="243"/>
      <c r="T640" s="243"/>
      <c r="U640" s="243"/>
      <c r="V640" s="243"/>
      <c r="W640" s="243"/>
      <c r="X640" s="243"/>
      <c r="Y640" s="243"/>
      <c r="Z640" s="243"/>
    </row>
    <row r="641">
      <c r="A641" s="243"/>
      <c r="B641" s="243"/>
      <c r="C641" s="243"/>
      <c r="D641" s="243"/>
      <c r="E641" s="243"/>
      <c r="F641" s="243"/>
      <c r="G641" s="243"/>
      <c r="H641" s="243"/>
      <c r="I641" s="243"/>
      <c r="J641" s="243"/>
      <c r="K641" s="243"/>
      <c r="L641" s="243"/>
      <c r="M641" s="243"/>
      <c r="N641" s="243"/>
      <c r="O641" s="243"/>
      <c r="P641" s="243"/>
      <c r="Q641" s="243"/>
      <c r="R641" s="243"/>
      <c r="S641" s="243"/>
      <c r="T641" s="243"/>
      <c r="U641" s="243"/>
      <c r="V641" s="243"/>
      <c r="W641" s="243"/>
      <c r="X641" s="243"/>
      <c r="Y641" s="243"/>
      <c r="Z641" s="243"/>
    </row>
    <row r="642">
      <c r="A642" s="243"/>
      <c r="B642" s="243"/>
      <c r="C642" s="243"/>
      <c r="D642" s="243"/>
      <c r="E642" s="243"/>
      <c r="F642" s="243"/>
      <c r="G642" s="243"/>
      <c r="H642" s="243"/>
      <c r="I642" s="243"/>
      <c r="J642" s="243"/>
      <c r="K642" s="243"/>
      <c r="L642" s="243"/>
      <c r="M642" s="243"/>
      <c r="N642" s="243"/>
      <c r="O642" s="243"/>
      <c r="P642" s="243"/>
      <c r="Q642" s="243"/>
      <c r="R642" s="243"/>
      <c r="S642" s="243"/>
      <c r="T642" s="243"/>
      <c r="U642" s="243"/>
      <c r="V642" s="243"/>
      <c r="W642" s="243"/>
      <c r="X642" s="243"/>
      <c r="Y642" s="243"/>
      <c r="Z642" s="243"/>
    </row>
    <row r="643">
      <c r="A643" s="243"/>
      <c r="B643" s="243"/>
      <c r="C643" s="243"/>
      <c r="D643" s="243"/>
      <c r="E643" s="243"/>
      <c r="F643" s="243"/>
      <c r="G643" s="243"/>
      <c r="H643" s="243"/>
      <c r="I643" s="243"/>
      <c r="J643" s="243"/>
      <c r="K643" s="243"/>
      <c r="L643" s="243"/>
      <c r="M643" s="243"/>
      <c r="N643" s="243"/>
      <c r="O643" s="243"/>
      <c r="P643" s="243"/>
      <c r="Q643" s="243"/>
      <c r="R643" s="243"/>
      <c r="S643" s="243"/>
      <c r="T643" s="243"/>
      <c r="U643" s="243"/>
      <c r="V643" s="243"/>
      <c r="W643" s="243"/>
      <c r="X643" s="243"/>
      <c r="Y643" s="243"/>
      <c r="Z643" s="243"/>
    </row>
    <row r="644">
      <c r="A644" s="243"/>
      <c r="B644" s="243"/>
      <c r="C644" s="243"/>
      <c r="D644" s="243"/>
      <c r="E644" s="243"/>
      <c r="F644" s="243"/>
      <c r="G644" s="243"/>
      <c r="H644" s="243"/>
      <c r="I644" s="243"/>
      <c r="J644" s="243"/>
      <c r="K644" s="243"/>
      <c r="L644" s="243"/>
      <c r="M644" s="243"/>
      <c r="N644" s="243"/>
      <c r="O644" s="243"/>
      <c r="P644" s="243"/>
      <c r="Q644" s="243"/>
      <c r="R644" s="243"/>
      <c r="S644" s="243"/>
      <c r="T644" s="243"/>
      <c r="U644" s="243"/>
      <c r="V644" s="243"/>
      <c r="W644" s="243"/>
      <c r="X644" s="243"/>
      <c r="Y644" s="243"/>
      <c r="Z644" s="243"/>
    </row>
    <row r="645">
      <c r="A645" s="243"/>
      <c r="B645" s="243"/>
      <c r="C645" s="243"/>
      <c r="D645" s="243"/>
      <c r="E645" s="243"/>
      <c r="F645" s="243"/>
      <c r="G645" s="243"/>
      <c r="H645" s="243"/>
      <c r="I645" s="243"/>
      <c r="J645" s="243"/>
      <c r="K645" s="243"/>
      <c r="L645" s="243"/>
      <c r="M645" s="243"/>
      <c r="N645" s="243"/>
      <c r="O645" s="243"/>
      <c r="P645" s="243"/>
      <c r="Q645" s="243"/>
      <c r="R645" s="243"/>
      <c r="S645" s="243"/>
      <c r="T645" s="243"/>
      <c r="U645" s="243"/>
      <c r="V645" s="243"/>
      <c r="W645" s="243"/>
      <c r="X645" s="243"/>
      <c r="Y645" s="243"/>
      <c r="Z645" s="243"/>
    </row>
    <row r="646">
      <c r="A646" s="243"/>
      <c r="B646" s="243"/>
      <c r="C646" s="243"/>
      <c r="D646" s="243"/>
      <c r="E646" s="243"/>
      <c r="F646" s="243"/>
      <c r="G646" s="243"/>
      <c r="H646" s="243"/>
      <c r="I646" s="243"/>
      <c r="J646" s="243"/>
      <c r="K646" s="243"/>
      <c r="L646" s="243"/>
      <c r="M646" s="243"/>
      <c r="N646" s="243"/>
      <c r="O646" s="243"/>
      <c r="P646" s="243"/>
      <c r="Q646" s="243"/>
      <c r="R646" s="243"/>
      <c r="S646" s="243"/>
      <c r="T646" s="243"/>
      <c r="U646" s="243"/>
      <c r="V646" s="243"/>
      <c r="W646" s="243"/>
      <c r="X646" s="243"/>
      <c r="Y646" s="243"/>
      <c r="Z646" s="243"/>
    </row>
    <row r="647">
      <c r="A647" s="243"/>
      <c r="B647" s="243"/>
      <c r="C647" s="243"/>
      <c r="D647" s="243"/>
      <c r="E647" s="243"/>
      <c r="F647" s="243"/>
      <c r="G647" s="243"/>
      <c r="H647" s="243"/>
      <c r="I647" s="243"/>
      <c r="J647" s="243"/>
      <c r="K647" s="243"/>
      <c r="L647" s="243"/>
      <c r="M647" s="243"/>
      <c r="N647" s="243"/>
      <c r="O647" s="243"/>
      <c r="P647" s="243"/>
      <c r="Q647" s="243"/>
      <c r="R647" s="243"/>
      <c r="S647" s="243"/>
      <c r="T647" s="243"/>
      <c r="U647" s="243"/>
      <c r="V647" s="243"/>
      <c r="W647" s="243"/>
      <c r="X647" s="243"/>
      <c r="Y647" s="243"/>
      <c r="Z647" s="243"/>
    </row>
    <row r="648">
      <c r="A648" s="243"/>
      <c r="B648" s="243"/>
      <c r="C648" s="243"/>
      <c r="D648" s="243"/>
      <c r="E648" s="243"/>
      <c r="F648" s="243"/>
      <c r="G648" s="243"/>
      <c r="H648" s="243"/>
      <c r="I648" s="243"/>
      <c r="J648" s="243"/>
      <c r="K648" s="243"/>
      <c r="L648" s="243"/>
      <c r="M648" s="243"/>
      <c r="N648" s="243"/>
      <c r="O648" s="243"/>
      <c r="P648" s="243"/>
      <c r="Q648" s="243"/>
      <c r="R648" s="243"/>
      <c r="S648" s="243"/>
      <c r="T648" s="243"/>
      <c r="U648" s="243"/>
      <c r="V648" s="243"/>
      <c r="W648" s="243"/>
      <c r="X648" s="243"/>
      <c r="Y648" s="243"/>
      <c r="Z648" s="243"/>
    </row>
    <row r="649">
      <c r="A649" s="243"/>
      <c r="B649" s="243"/>
      <c r="C649" s="243"/>
      <c r="D649" s="243"/>
      <c r="E649" s="243"/>
      <c r="F649" s="243"/>
      <c r="G649" s="243"/>
      <c r="H649" s="243"/>
      <c r="I649" s="243"/>
      <c r="J649" s="243"/>
      <c r="K649" s="243"/>
      <c r="L649" s="243"/>
      <c r="M649" s="243"/>
      <c r="N649" s="243"/>
      <c r="O649" s="243"/>
      <c r="P649" s="243"/>
      <c r="Q649" s="243"/>
      <c r="R649" s="243"/>
      <c r="S649" s="243"/>
      <c r="T649" s="243"/>
      <c r="U649" s="243"/>
      <c r="V649" s="243"/>
      <c r="W649" s="243"/>
      <c r="X649" s="243"/>
      <c r="Y649" s="243"/>
      <c r="Z649" s="243"/>
    </row>
    <row r="650">
      <c r="A650" s="243"/>
      <c r="B650" s="243"/>
      <c r="C650" s="243"/>
      <c r="D650" s="243"/>
      <c r="E650" s="243"/>
      <c r="F650" s="243"/>
      <c r="G650" s="243"/>
      <c r="H650" s="243"/>
      <c r="I650" s="243"/>
      <c r="J650" s="243"/>
      <c r="K650" s="243"/>
      <c r="L650" s="243"/>
      <c r="M650" s="243"/>
      <c r="N650" s="243"/>
      <c r="O650" s="243"/>
      <c r="P650" s="243"/>
      <c r="Q650" s="243"/>
      <c r="R650" s="243"/>
      <c r="S650" s="243"/>
      <c r="T650" s="243"/>
      <c r="U650" s="243"/>
      <c r="V650" s="243"/>
      <c r="W650" s="243"/>
      <c r="X650" s="243"/>
      <c r="Y650" s="243"/>
      <c r="Z650" s="243"/>
    </row>
    <row r="651">
      <c r="A651" s="243"/>
      <c r="B651" s="243"/>
      <c r="C651" s="243"/>
      <c r="D651" s="243"/>
      <c r="E651" s="243"/>
      <c r="F651" s="243"/>
      <c r="G651" s="243"/>
      <c r="H651" s="243"/>
      <c r="I651" s="243"/>
      <c r="J651" s="243"/>
      <c r="K651" s="243"/>
      <c r="L651" s="243"/>
      <c r="M651" s="243"/>
      <c r="N651" s="243"/>
      <c r="O651" s="243"/>
      <c r="P651" s="243"/>
      <c r="Q651" s="243"/>
      <c r="R651" s="243"/>
      <c r="S651" s="243"/>
      <c r="T651" s="243"/>
      <c r="U651" s="243"/>
      <c r="V651" s="243"/>
      <c r="W651" s="243"/>
      <c r="X651" s="243"/>
      <c r="Y651" s="243"/>
      <c r="Z651" s="243"/>
    </row>
    <row r="652">
      <c r="A652" s="243"/>
      <c r="B652" s="243"/>
      <c r="C652" s="243"/>
      <c r="D652" s="243"/>
      <c r="E652" s="243"/>
      <c r="F652" s="243"/>
      <c r="G652" s="243"/>
      <c r="H652" s="243"/>
      <c r="I652" s="243"/>
      <c r="J652" s="243"/>
      <c r="K652" s="243"/>
      <c r="L652" s="243"/>
      <c r="M652" s="243"/>
      <c r="N652" s="243"/>
      <c r="O652" s="243"/>
      <c r="P652" s="243"/>
      <c r="Q652" s="243"/>
      <c r="R652" s="243"/>
      <c r="S652" s="243"/>
      <c r="T652" s="243"/>
      <c r="U652" s="243"/>
      <c r="V652" s="243"/>
      <c r="W652" s="243"/>
      <c r="X652" s="243"/>
      <c r="Y652" s="243"/>
      <c r="Z652" s="243"/>
    </row>
    <row r="653">
      <c r="A653" s="243"/>
      <c r="B653" s="243"/>
      <c r="C653" s="243"/>
      <c r="D653" s="243"/>
      <c r="E653" s="243"/>
      <c r="F653" s="243"/>
      <c r="G653" s="243"/>
      <c r="H653" s="243"/>
      <c r="I653" s="243"/>
      <c r="J653" s="243"/>
      <c r="K653" s="243"/>
      <c r="L653" s="243"/>
      <c r="M653" s="243"/>
      <c r="N653" s="243"/>
      <c r="O653" s="243"/>
      <c r="P653" s="243"/>
      <c r="Q653" s="243"/>
      <c r="R653" s="243"/>
      <c r="S653" s="243"/>
      <c r="T653" s="243"/>
      <c r="U653" s="243"/>
      <c r="V653" s="243"/>
      <c r="W653" s="243"/>
      <c r="X653" s="243"/>
      <c r="Y653" s="243"/>
      <c r="Z653" s="243"/>
    </row>
    <row r="654">
      <c r="A654" s="243"/>
      <c r="B654" s="243"/>
      <c r="C654" s="243"/>
      <c r="D654" s="243"/>
      <c r="E654" s="243"/>
      <c r="F654" s="243"/>
      <c r="G654" s="243"/>
      <c r="H654" s="243"/>
      <c r="I654" s="243"/>
      <c r="J654" s="243"/>
      <c r="K654" s="243"/>
      <c r="L654" s="243"/>
      <c r="M654" s="243"/>
      <c r="N654" s="243"/>
      <c r="O654" s="243"/>
      <c r="P654" s="243"/>
      <c r="Q654" s="243"/>
      <c r="R654" s="243"/>
      <c r="S654" s="243"/>
      <c r="T654" s="243"/>
      <c r="U654" s="243"/>
      <c r="V654" s="243"/>
      <c r="W654" s="243"/>
      <c r="X654" s="243"/>
      <c r="Y654" s="243"/>
      <c r="Z654" s="243"/>
    </row>
    <row r="655">
      <c r="A655" s="243"/>
      <c r="B655" s="243"/>
      <c r="C655" s="243"/>
      <c r="D655" s="243"/>
      <c r="E655" s="243"/>
      <c r="F655" s="243"/>
      <c r="G655" s="243"/>
      <c r="H655" s="243"/>
      <c r="I655" s="243"/>
      <c r="J655" s="243"/>
      <c r="K655" s="243"/>
      <c r="L655" s="243"/>
      <c r="M655" s="243"/>
      <c r="N655" s="243"/>
      <c r="O655" s="243"/>
      <c r="P655" s="243"/>
      <c r="Q655" s="243"/>
      <c r="R655" s="243"/>
      <c r="S655" s="243"/>
      <c r="T655" s="243"/>
      <c r="U655" s="243"/>
      <c r="V655" s="243"/>
      <c r="W655" s="243"/>
      <c r="X655" s="243"/>
      <c r="Y655" s="243"/>
      <c r="Z655" s="243"/>
    </row>
    <row r="656">
      <c r="A656" s="243"/>
      <c r="B656" s="243"/>
      <c r="C656" s="243"/>
      <c r="D656" s="243"/>
      <c r="E656" s="243"/>
      <c r="F656" s="243"/>
      <c r="G656" s="243"/>
      <c r="H656" s="243"/>
      <c r="I656" s="243"/>
      <c r="J656" s="243"/>
      <c r="K656" s="243"/>
      <c r="L656" s="243"/>
      <c r="M656" s="243"/>
      <c r="N656" s="243"/>
      <c r="O656" s="243"/>
      <c r="P656" s="243"/>
      <c r="Q656" s="243"/>
      <c r="R656" s="243"/>
      <c r="S656" s="243"/>
      <c r="T656" s="243"/>
      <c r="U656" s="243"/>
      <c r="V656" s="243"/>
      <c r="W656" s="243"/>
      <c r="X656" s="243"/>
      <c r="Y656" s="243"/>
      <c r="Z656" s="243"/>
    </row>
    <row r="657">
      <c r="A657" s="243"/>
      <c r="B657" s="243"/>
      <c r="C657" s="243"/>
      <c r="D657" s="243"/>
      <c r="E657" s="243"/>
      <c r="F657" s="243"/>
      <c r="G657" s="243"/>
      <c r="H657" s="243"/>
      <c r="I657" s="243"/>
      <c r="J657" s="243"/>
      <c r="K657" s="243"/>
      <c r="L657" s="243"/>
      <c r="M657" s="243"/>
      <c r="N657" s="243"/>
      <c r="O657" s="243"/>
      <c r="P657" s="243"/>
      <c r="Q657" s="243"/>
      <c r="R657" s="243"/>
      <c r="S657" s="243"/>
      <c r="T657" s="243"/>
      <c r="U657" s="243"/>
      <c r="V657" s="243"/>
      <c r="W657" s="243"/>
      <c r="X657" s="243"/>
      <c r="Y657" s="243"/>
      <c r="Z657" s="243"/>
    </row>
    <row r="658">
      <c r="A658" s="243"/>
      <c r="B658" s="243"/>
      <c r="C658" s="243"/>
      <c r="D658" s="243"/>
      <c r="E658" s="243"/>
      <c r="F658" s="243"/>
      <c r="G658" s="243"/>
      <c r="H658" s="243"/>
      <c r="I658" s="243"/>
      <c r="J658" s="243"/>
      <c r="K658" s="243"/>
      <c r="L658" s="243"/>
      <c r="M658" s="243"/>
      <c r="N658" s="243"/>
      <c r="O658" s="243"/>
      <c r="P658" s="243"/>
      <c r="Q658" s="243"/>
      <c r="R658" s="243"/>
      <c r="S658" s="243"/>
      <c r="T658" s="243"/>
      <c r="U658" s="243"/>
      <c r="V658" s="243"/>
      <c r="W658" s="243"/>
      <c r="X658" s="243"/>
      <c r="Y658" s="243"/>
      <c r="Z658" s="243"/>
    </row>
    <row r="659">
      <c r="A659" s="243"/>
      <c r="B659" s="243"/>
      <c r="C659" s="243"/>
      <c r="D659" s="243"/>
      <c r="E659" s="243"/>
      <c r="F659" s="243"/>
      <c r="G659" s="243"/>
      <c r="H659" s="243"/>
      <c r="I659" s="243"/>
      <c r="J659" s="243"/>
      <c r="K659" s="243"/>
      <c r="L659" s="243"/>
      <c r="M659" s="243"/>
      <c r="N659" s="243"/>
      <c r="O659" s="243"/>
      <c r="P659" s="243"/>
      <c r="Q659" s="243"/>
      <c r="R659" s="243"/>
      <c r="S659" s="243"/>
      <c r="T659" s="243"/>
      <c r="U659" s="243"/>
      <c r="V659" s="243"/>
      <c r="W659" s="243"/>
      <c r="X659" s="243"/>
      <c r="Y659" s="243"/>
      <c r="Z659" s="243"/>
    </row>
    <row r="660">
      <c r="A660" s="243"/>
      <c r="B660" s="243"/>
      <c r="C660" s="243"/>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c r="Z660" s="243"/>
    </row>
    <row r="661">
      <c r="A661" s="243"/>
      <c r="B661" s="243"/>
      <c r="C661" s="243"/>
      <c r="D661" s="243"/>
      <c r="E661" s="243"/>
      <c r="F661" s="243"/>
      <c r="G661" s="243"/>
      <c r="H661" s="243"/>
      <c r="I661" s="243"/>
      <c r="J661" s="243"/>
      <c r="K661" s="243"/>
      <c r="L661" s="243"/>
      <c r="M661" s="243"/>
      <c r="N661" s="243"/>
      <c r="O661" s="243"/>
      <c r="P661" s="243"/>
      <c r="Q661" s="243"/>
      <c r="R661" s="243"/>
      <c r="S661" s="243"/>
      <c r="T661" s="243"/>
      <c r="U661" s="243"/>
      <c r="V661" s="243"/>
      <c r="W661" s="243"/>
      <c r="X661" s="243"/>
      <c r="Y661" s="243"/>
      <c r="Z661" s="243"/>
    </row>
    <row r="662">
      <c r="A662" s="243"/>
      <c r="B662" s="243"/>
      <c r="C662" s="243"/>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c r="Z662" s="243"/>
    </row>
    <row r="663">
      <c r="A663" s="243"/>
      <c r="B663" s="243"/>
      <c r="C663" s="243"/>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c r="Z663" s="243"/>
    </row>
    <row r="664">
      <c r="A664" s="243"/>
      <c r="B664" s="243"/>
      <c r="C664" s="243"/>
      <c r="D664" s="243"/>
      <c r="E664" s="243"/>
      <c r="F664" s="243"/>
      <c r="G664" s="243"/>
      <c r="H664" s="243"/>
      <c r="I664" s="243"/>
      <c r="J664" s="243"/>
      <c r="K664" s="243"/>
      <c r="L664" s="243"/>
      <c r="M664" s="243"/>
      <c r="N664" s="243"/>
      <c r="O664" s="243"/>
      <c r="P664" s="243"/>
      <c r="Q664" s="243"/>
      <c r="R664" s="243"/>
      <c r="S664" s="243"/>
      <c r="T664" s="243"/>
      <c r="U664" s="243"/>
      <c r="V664" s="243"/>
      <c r="W664" s="243"/>
      <c r="X664" s="243"/>
      <c r="Y664" s="243"/>
      <c r="Z664" s="243"/>
    </row>
    <row r="665">
      <c r="A665" s="243"/>
      <c r="B665" s="243"/>
      <c r="C665" s="243"/>
      <c r="D665" s="243"/>
      <c r="E665" s="243"/>
      <c r="F665" s="243"/>
      <c r="G665" s="243"/>
      <c r="H665" s="243"/>
      <c r="I665" s="243"/>
      <c r="J665" s="243"/>
      <c r="K665" s="243"/>
      <c r="L665" s="243"/>
      <c r="M665" s="243"/>
      <c r="N665" s="243"/>
      <c r="O665" s="243"/>
      <c r="P665" s="243"/>
      <c r="Q665" s="243"/>
      <c r="R665" s="243"/>
      <c r="S665" s="243"/>
      <c r="T665" s="243"/>
      <c r="U665" s="243"/>
      <c r="V665" s="243"/>
      <c r="W665" s="243"/>
      <c r="X665" s="243"/>
      <c r="Y665" s="243"/>
      <c r="Z665" s="243"/>
    </row>
    <row r="666">
      <c r="A666" s="243"/>
      <c r="B666" s="243"/>
      <c r="C666" s="243"/>
      <c r="D666" s="243"/>
      <c r="E666" s="243"/>
      <c r="F666" s="243"/>
      <c r="G666" s="243"/>
      <c r="H666" s="243"/>
      <c r="I666" s="243"/>
      <c r="J666" s="243"/>
      <c r="K666" s="243"/>
      <c r="L666" s="243"/>
      <c r="M666" s="243"/>
      <c r="N666" s="243"/>
      <c r="O666" s="243"/>
      <c r="P666" s="243"/>
      <c r="Q666" s="243"/>
      <c r="R666" s="243"/>
      <c r="S666" s="243"/>
      <c r="T666" s="243"/>
      <c r="U666" s="243"/>
      <c r="V666" s="243"/>
      <c r="W666" s="243"/>
      <c r="X666" s="243"/>
      <c r="Y666" s="243"/>
      <c r="Z666" s="243"/>
    </row>
    <row r="667">
      <c r="A667" s="243"/>
      <c r="B667" s="243"/>
      <c r="C667" s="243"/>
      <c r="D667" s="243"/>
      <c r="E667" s="243"/>
      <c r="F667" s="243"/>
      <c r="G667" s="243"/>
      <c r="H667" s="243"/>
      <c r="I667" s="243"/>
      <c r="J667" s="243"/>
      <c r="K667" s="243"/>
      <c r="L667" s="243"/>
      <c r="M667" s="243"/>
      <c r="N667" s="243"/>
      <c r="O667" s="243"/>
      <c r="P667" s="243"/>
      <c r="Q667" s="243"/>
      <c r="R667" s="243"/>
      <c r="S667" s="243"/>
      <c r="T667" s="243"/>
      <c r="U667" s="243"/>
      <c r="V667" s="243"/>
      <c r="W667" s="243"/>
      <c r="X667" s="243"/>
      <c r="Y667" s="243"/>
      <c r="Z667" s="243"/>
    </row>
    <row r="668">
      <c r="A668" s="243"/>
      <c r="B668" s="243"/>
      <c r="C668" s="243"/>
      <c r="D668" s="243"/>
      <c r="E668" s="243"/>
      <c r="F668" s="243"/>
      <c r="G668" s="243"/>
      <c r="H668" s="243"/>
      <c r="I668" s="243"/>
      <c r="J668" s="243"/>
      <c r="K668" s="243"/>
      <c r="L668" s="243"/>
      <c r="M668" s="243"/>
      <c r="N668" s="243"/>
      <c r="O668" s="243"/>
      <c r="P668" s="243"/>
      <c r="Q668" s="243"/>
      <c r="R668" s="243"/>
      <c r="S668" s="243"/>
      <c r="T668" s="243"/>
      <c r="U668" s="243"/>
      <c r="V668" s="243"/>
      <c r="W668" s="243"/>
      <c r="X668" s="243"/>
      <c r="Y668" s="243"/>
      <c r="Z668" s="243"/>
    </row>
    <row r="669">
      <c r="A669" s="243"/>
      <c r="B669" s="243"/>
      <c r="C669" s="243"/>
      <c r="D669" s="243"/>
      <c r="E669" s="243"/>
      <c r="F669" s="243"/>
      <c r="G669" s="243"/>
      <c r="H669" s="243"/>
      <c r="I669" s="243"/>
      <c r="J669" s="243"/>
      <c r="K669" s="243"/>
      <c r="L669" s="243"/>
      <c r="M669" s="243"/>
      <c r="N669" s="243"/>
      <c r="O669" s="243"/>
      <c r="P669" s="243"/>
      <c r="Q669" s="243"/>
      <c r="R669" s="243"/>
      <c r="S669" s="243"/>
      <c r="T669" s="243"/>
      <c r="U669" s="243"/>
      <c r="V669" s="243"/>
      <c r="W669" s="243"/>
      <c r="X669" s="243"/>
      <c r="Y669" s="243"/>
      <c r="Z669" s="243"/>
    </row>
    <row r="670">
      <c r="A670" s="243"/>
      <c r="B670" s="243"/>
      <c r="C670" s="243"/>
      <c r="D670" s="243"/>
      <c r="E670" s="243"/>
      <c r="F670" s="243"/>
      <c r="G670" s="243"/>
      <c r="H670" s="243"/>
      <c r="I670" s="243"/>
      <c r="J670" s="243"/>
      <c r="K670" s="243"/>
      <c r="L670" s="243"/>
      <c r="M670" s="243"/>
      <c r="N670" s="243"/>
      <c r="O670" s="243"/>
      <c r="P670" s="243"/>
      <c r="Q670" s="243"/>
      <c r="R670" s="243"/>
      <c r="S670" s="243"/>
      <c r="T670" s="243"/>
      <c r="U670" s="243"/>
      <c r="V670" s="243"/>
      <c r="W670" s="243"/>
      <c r="X670" s="243"/>
      <c r="Y670" s="243"/>
      <c r="Z670" s="243"/>
    </row>
    <row r="671">
      <c r="A671" s="243"/>
      <c r="B671" s="243"/>
      <c r="C671" s="243"/>
      <c r="D671" s="243"/>
      <c r="E671" s="243"/>
      <c r="F671" s="243"/>
      <c r="G671" s="243"/>
      <c r="H671" s="243"/>
      <c r="I671" s="243"/>
      <c r="J671" s="243"/>
      <c r="K671" s="243"/>
      <c r="L671" s="243"/>
      <c r="M671" s="243"/>
      <c r="N671" s="243"/>
      <c r="O671" s="243"/>
      <c r="P671" s="243"/>
      <c r="Q671" s="243"/>
      <c r="R671" s="243"/>
      <c r="S671" s="243"/>
      <c r="T671" s="243"/>
      <c r="U671" s="243"/>
      <c r="V671" s="243"/>
      <c r="W671" s="243"/>
      <c r="X671" s="243"/>
      <c r="Y671" s="243"/>
      <c r="Z671" s="243"/>
    </row>
    <row r="672">
      <c r="A672" s="243"/>
      <c r="B672" s="243"/>
      <c r="C672" s="243"/>
      <c r="D672" s="243"/>
      <c r="E672" s="243"/>
      <c r="F672" s="243"/>
      <c r="G672" s="243"/>
      <c r="H672" s="243"/>
      <c r="I672" s="243"/>
      <c r="J672" s="243"/>
      <c r="K672" s="243"/>
      <c r="L672" s="243"/>
      <c r="M672" s="243"/>
      <c r="N672" s="243"/>
      <c r="O672" s="243"/>
      <c r="P672" s="243"/>
      <c r="Q672" s="243"/>
      <c r="R672" s="243"/>
      <c r="S672" s="243"/>
      <c r="T672" s="243"/>
      <c r="U672" s="243"/>
      <c r="V672" s="243"/>
      <c r="W672" s="243"/>
      <c r="X672" s="243"/>
      <c r="Y672" s="243"/>
      <c r="Z672" s="243"/>
    </row>
    <row r="673">
      <c r="A673" s="243"/>
      <c r="B673" s="243"/>
      <c r="C673" s="243"/>
      <c r="D673" s="243"/>
      <c r="E673" s="243"/>
      <c r="F673" s="243"/>
      <c r="G673" s="243"/>
      <c r="H673" s="243"/>
      <c r="I673" s="243"/>
      <c r="J673" s="243"/>
      <c r="K673" s="243"/>
      <c r="L673" s="243"/>
      <c r="M673" s="243"/>
      <c r="N673" s="243"/>
      <c r="O673" s="243"/>
      <c r="P673" s="243"/>
      <c r="Q673" s="243"/>
      <c r="R673" s="243"/>
      <c r="S673" s="243"/>
      <c r="T673" s="243"/>
      <c r="U673" s="243"/>
      <c r="V673" s="243"/>
      <c r="W673" s="243"/>
      <c r="X673" s="243"/>
      <c r="Y673" s="243"/>
      <c r="Z673" s="243"/>
    </row>
    <row r="674">
      <c r="A674" s="243"/>
      <c r="B674" s="243"/>
      <c r="C674" s="243"/>
      <c r="D674" s="243"/>
      <c r="E674" s="243"/>
      <c r="F674" s="243"/>
      <c r="G674" s="243"/>
      <c r="H674" s="243"/>
      <c r="I674" s="243"/>
      <c r="J674" s="243"/>
      <c r="K674" s="243"/>
      <c r="L674" s="243"/>
      <c r="M674" s="243"/>
      <c r="N674" s="243"/>
      <c r="O674" s="243"/>
      <c r="P674" s="243"/>
      <c r="Q674" s="243"/>
      <c r="R674" s="243"/>
      <c r="S674" s="243"/>
      <c r="T674" s="243"/>
      <c r="U674" s="243"/>
      <c r="V674" s="243"/>
      <c r="W674" s="243"/>
      <c r="X674" s="243"/>
      <c r="Y674" s="243"/>
      <c r="Z674" s="243"/>
    </row>
    <row r="675">
      <c r="A675" s="243"/>
      <c r="B675" s="243"/>
      <c r="C675" s="243"/>
      <c r="D675" s="243"/>
      <c r="E675" s="243"/>
      <c r="F675" s="243"/>
      <c r="G675" s="243"/>
      <c r="H675" s="243"/>
      <c r="I675" s="243"/>
      <c r="J675" s="243"/>
      <c r="K675" s="243"/>
      <c r="L675" s="243"/>
      <c r="M675" s="243"/>
      <c r="N675" s="243"/>
      <c r="O675" s="243"/>
      <c r="P675" s="243"/>
      <c r="Q675" s="243"/>
      <c r="R675" s="243"/>
      <c r="S675" s="243"/>
      <c r="T675" s="243"/>
      <c r="U675" s="243"/>
      <c r="V675" s="243"/>
      <c r="W675" s="243"/>
      <c r="X675" s="243"/>
      <c r="Y675" s="243"/>
      <c r="Z675" s="243"/>
    </row>
    <row r="676">
      <c r="A676" s="243"/>
      <c r="B676" s="243"/>
      <c r="C676" s="243"/>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c r="Z676" s="243"/>
    </row>
    <row r="677">
      <c r="A677" s="243"/>
      <c r="B677" s="243"/>
      <c r="C677" s="243"/>
      <c r="D677" s="243"/>
      <c r="E677" s="243"/>
      <c r="F677" s="243"/>
      <c r="G677" s="243"/>
      <c r="H677" s="243"/>
      <c r="I677" s="243"/>
      <c r="J677" s="243"/>
      <c r="K677" s="243"/>
      <c r="L677" s="243"/>
      <c r="M677" s="243"/>
      <c r="N677" s="243"/>
      <c r="O677" s="243"/>
      <c r="P677" s="243"/>
      <c r="Q677" s="243"/>
      <c r="R677" s="243"/>
      <c r="S677" s="243"/>
      <c r="T677" s="243"/>
      <c r="U677" s="243"/>
      <c r="V677" s="243"/>
      <c r="W677" s="243"/>
      <c r="X677" s="243"/>
      <c r="Y677" s="243"/>
      <c r="Z677" s="243"/>
    </row>
    <row r="678">
      <c r="A678" s="243"/>
      <c r="B678" s="243"/>
      <c r="C678" s="243"/>
      <c r="D678" s="243"/>
      <c r="E678" s="243"/>
      <c r="F678" s="243"/>
      <c r="G678" s="243"/>
      <c r="H678" s="243"/>
      <c r="I678" s="243"/>
      <c r="J678" s="243"/>
      <c r="K678" s="243"/>
      <c r="L678" s="243"/>
      <c r="M678" s="243"/>
      <c r="N678" s="243"/>
      <c r="O678" s="243"/>
      <c r="P678" s="243"/>
      <c r="Q678" s="243"/>
      <c r="R678" s="243"/>
      <c r="S678" s="243"/>
      <c r="T678" s="243"/>
      <c r="U678" s="243"/>
      <c r="V678" s="243"/>
      <c r="W678" s="243"/>
      <c r="X678" s="243"/>
      <c r="Y678" s="243"/>
      <c r="Z678" s="243"/>
    </row>
    <row r="679">
      <c r="A679" s="243"/>
      <c r="B679" s="243"/>
      <c r="C679" s="243"/>
      <c r="D679" s="243"/>
      <c r="E679" s="243"/>
      <c r="F679" s="243"/>
      <c r="G679" s="243"/>
      <c r="H679" s="243"/>
      <c r="I679" s="243"/>
      <c r="J679" s="243"/>
      <c r="K679" s="243"/>
      <c r="L679" s="243"/>
      <c r="M679" s="243"/>
      <c r="N679" s="243"/>
      <c r="O679" s="243"/>
      <c r="P679" s="243"/>
      <c r="Q679" s="243"/>
      <c r="R679" s="243"/>
      <c r="S679" s="243"/>
      <c r="T679" s="243"/>
      <c r="U679" s="243"/>
      <c r="V679" s="243"/>
      <c r="W679" s="243"/>
      <c r="X679" s="243"/>
      <c r="Y679" s="243"/>
      <c r="Z679" s="243"/>
    </row>
    <row r="680">
      <c r="A680" s="243"/>
      <c r="B680" s="243"/>
      <c r="C680" s="243"/>
      <c r="D680" s="243"/>
      <c r="E680" s="243"/>
      <c r="F680" s="243"/>
      <c r="G680" s="243"/>
      <c r="H680" s="243"/>
      <c r="I680" s="243"/>
      <c r="J680" s="243"/>
      <c r="K680" s="243"/>
      <c r="L680" s="243"/>
      <c r="M680" s="243"/>
      <c r="N680" s="243"/>
      <c r="O680" s="243"/>
      <c r="P680" s="243"/>
      <c r="Q680" s="243"/>
      <c r="R680" s="243"/>
      <c r="S680" s="243"/>
      <c r="T680" s="243"/>
      <c r="U680" s="243"/>
      <c r="V680" s="243"/>
      <c r="W680" s="243"/>
      <c r="X680" s="243"/>
      <c r="Y680" s="243"/>
      <c r="Z680" s="243"/>
    </row>
    <row r="681">
      <c r="A681" s="243"/>
      <c r="B681" s="243"/>
      <c r="C681" s="243"/>
      <c r="D681" s="243"/>
      <c r="E681" s="243"/>
      <c r="F681" s="243"/>
      <c r="G681" s="243"/>
      <c r="H681" s="243"/>
      <c r="I681" s="243"/>
      <c r="J681" s="243"/>
      <c r="K681" s="243"/>
      <c r="L681" s="243"/>
      <c r="M681" s="243"/>
      <c r="N681" s="243"/>
      <c r="O681" s="243"/>
      <c r="P681" s="243"/>
      <c r="Q681" s="243"/>
      <c r="R681" s="243"/>
      <c r="S681" s="243"/>
      <c r="T681" s="243"/>
      <c r="U681" s="243"/>
      <c r="V681" s="243"/>
      <c r="W681" s="243"/>
      <c r="X681" s="243"/>
      <c r="Y681" s="243"/>
      <c r="Z681" s="243"/>
    </row>
    <row r="682">
      <c r="A682" s="243"/>
      <c r="B682" s="243"/>
      <c r="C682" s="243"/>
      <c r="D682" s="243"/>
      <c r="E682" s="243"/>
      <c r="F682" s="243"/>
      <c r="G682" s="243"/>
      <c r="H682" s="243"/>
      <c r="I682" s="243"/>
      <c r="J682" s="243"/>
      <c r="K682" s="243"/>
      <c r="L682" s="243"/>
      <c r="M682" s="243"/>
      <c r="N682" s="243"/>
      <c r="O682" s="243"/>
      <c r="P682" s="243"/>
      <c r="Q682" s="243"/>
      <c r="R682" s="243"/>
      <c r="S682" s="243"/>
      <c r="T682" s="243"/>
      <c r="U682" s="243"/>
      <c r="V682" s="243"/>
      <c r="W682" s="243"/>
      <c r="X682" s="243"/>
      <c r="Y682" s="243"/>
      <c r="Z682" s="243"/>
    </row>
    <row r="683">
      <c r="A683" s="243"/>
      <c r="B683" s="243"/>
      <c r="C683" s="243"/>
      <c r="D683" s="243"/>
      <c r="E683" s="243"/>
      <c r="F683" s="243"/>
      <c r="G683" s="243"/>
      <c r="H683" s="243"/>
      <c r="I683" s="243"/>
      <c r="J683" s="243"/>
      <c r="K683" s="243"/>
      <c r="L683" s="243"/>
      <c r="M683" s="243"/>
      <c r="N683" s="243"/>
      <c r="O683" s="243"/>
      <c r="P683" s="243"/>
      <c r="Q683" s="243"/>
      <c r="R683" s="243"/>
      <c r="S683" s="243"/>
      <c r="T683" s="243"/>
      <c r="U683" s="243"/>
      <c r="V683" s="243"/>
      <c r="W683" s="243"/>
      <c r="X683" s="243"/>
      <c r="Y683" s="243"/>
      <c r="Z683" s="243"/>
    </row>
    <row r="684">
      <c r="A684" s="243"/>
      <c r="B684" s="243"/>
      <c r="C684" s="243"/>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c r="Z684" s="243"/>
    </row>
    <row r="685">
      <c r="A685" s="243"/>
      <c r="B685" s="243"/>
      <c r="C685" s="243"/>
      <c r="D685" s="243"/>
      <c r="E685" s="243"/>
      <c r="F685" s="243"/>
      <c r="G685" s="243"/>
      <c r="H685" s="243"/>
      <c r="I685" s="243"/>
      <c r="J685" s="243"/>
      <c r="K685" s="243"/>
      <c r="L685" s="243"/>
      <c r="M685" s="243"/>
      <c r="N685" s="243"/>
      <c r="O685" s="243"/>
      <c r="P685" s="243"/>
      <c r="Q685" s="243"/>
      <c r="R685" s="243"/>
      <c r="S685" s="243"/>
      <c r="T685" s="243"/>
      <c r="U685" s="243"/>
      <c r="V685" s="243"/>
      <c r="W685" s="243"/>
      <c r="X685" s="243"/>
      <c r="Y685" s="243"/>
      <c r="Z685" s="243"/>
    </row>
    <row r="686">
      <c r="A686" s="243"/>
      <c r="B686" s="243"/>
      <c r="C686" s="243"/>
      <c r="D686" s="243"/>
      <c r="E686" s="243"/>
      <c r="F686" s="243"/>
      <c r="G686" s="243"/>
      <c r="H686" s="243"/>
      <c r="I686" s="243"/>
      <c r="J686" s="243"/>
      <c r="K686" s="243"/>
      <c r="L686" s="243"/>
      <c r="M686" s="243"/>
      <c r="N686" s="243"/>
      <c r="O686" s="243"/>
      <c r="P686" s="243"/>
      <c r="Q686" s="243"/>
      <c r="R686" s="243"/>
      <c r="S686" s="243"/>
      <c r="T686" s="243"/>
      <c r="U686" s="243"/>
      <c r="V686" s="243"/>
      <c r="W686" s="243"/>
      <c r="X686" s="243"/>
      <c r="Y686" s="243"/>
      <c r="Z686" s="243"/>
    </row>
    <row r="687">
      <c r="A687" s="243"/>
      <c r="B687" s="243"/>
      <c r="C687" s="243"/>
      <c r="D687" s="243"/>
      <c r="E687" s="243"/>
      <c r="F687" s="243"/>
      <c r="G687" s="243"/>
      <c r="H687" s="243"/>
      <c r="I687" s="243"/>
      <c r="J687" s="243"/>
      <c r="K687" s="243"/>
      <c r="L687" s="243"/>
      <c r="M687" s="243"/>
      <c r="N687" s="243"/>
      <c r="O687" s="243"/>
      <c r="P687" s="243"/>
      <c r="Q687" s="243"/>
      <c r="R687" s="243"/>
      <c r="S687" s="243"/>
      <c r="T687" s="243"/>
      <c r="U687" s="243"/>
      <c r="V687" s="243"/>
      <c r="W687" s="243"/>
      <c r="X687" s="243"/>
      <c r="Y687" s="243"/>
      <c r="Z687" s="243"/>
    </row>
    <row r="688">
      <c r="A688" s="243"/>
      <c r="B688" s="243"/>
      <c r="C688" s="243"/>
      <c r="D688" s="243"/>
      <c r="E688" s="243"/>
      <c r="F688" s="243"/>
      <c r="G688" s="243"/>
      <c r="H688" s="243"/>
      <c r="I688" s="243"/>
      <c r="J688" s="243"/>
      <c r="K688" s="243"/>
      <c r="L688" s="243"/>
      <c r="M688" s="243"/>
      <c r="N688" s="243"/>
      <c r="O688" s="243"/>
      <c r="P688" s="243"/>
      <c r="Q688" s="243"/>
      <c r="R688" s="243"/>
      <c r="S688" s="243"/>
      <c r="T688" s="243"/>
      <c r="U688" s="243"/>
      <c r="V688" s="243"/>
      <c r="W688" s="243"/>
      <c r="X688" s="243"/>
      <c r="Y688" s="243"/>
      <c r="Z688" s="243"/>
    </row>
    <row r="689">
      <c r="A689" s="243"/>
      <c r="B689" s="243"/>
      <c r="C689" s="243"/>
      <c r="D689" s="243"/>
      <c r="E689" s="243"/>
      <c r="F689" s="243"/>
      <c r="G689" s="243"/>
      <c r="H689" s="243"/>
      <c r="I689" s="243"/>
      <c r="J689" s="243"/>
      <c r="K689" s="243"/>
      <c r="L689" s="243"/>
      <c r="M689" s="243"/>
      <c r="N689" s="243"/>
      <c r="O689" s="243"/>
      <c r="P689" s="243"/>
      <c r="Q689" s="243"/>
      <c r="R689" s="243"/>
      <c r="S689" s="243"/>
      <c r="T689" s="243"/>
      <c r="U689" s="243"/>
      <c r="V689" s="243"/>
      <c r="W689" s="243"/>
      <c r="X689" s="243"/>
      <c r="Y689" s="243"/>
      <c r="Z689" s="243"/>
    </row>
    <row r="690">
      <c r="A690" s="243"/>
      <c r="B690" s="243"/>
      <c r="C690" s="243"/>
      <c r="D690" s="243"/>
      <c r="E690" s="243"/>
      <c r="F690" s="243"/>
      <c r="G690" s="243"/>
      <c r="H690" s="243"/>
      <c r="I690" s="243"/>
      <c r="J690" s="243"/>
      <c r="K690" s="243"/>
      <c r="L690" s="243"/>
      <c r="M690" s="243"/>
      <c r="N690" s="243"/>
      <c r="O690" s="243"/>
      <c r="P690" s="243"/>
      <c r="Q690" s="243"/>
      <c r="R690" s="243"/>
      <c r="S690" s="243"/>
      <c r="T690" s="243"/>
      <c r="U690" s="243"/>
      <c r="V690" s="243"/>
      <c r="W690" s="243"/>
      <c r="X690" s="243"/>
      <c r="Y690" s="243"/>
      <c r="Z690" s="243"/>
    </row>
    <row r="691">
      <c r="A691" s="243"/>
      <c r="B691" s="243"/>
      <c r="C691" s="243"/>
      <c r="D691" s="243"/>
      <c r="E691" s="243"/>
      <c r="F691" s="243"/>
      <c r="G691" s="243"/>
      <c r="H691" s="243"/>
      <c r="I691" s="243"/>
      <c r="J691" s="243"/>
      <c r="K691" s="243"/>
      <c r="L691" s="243"/>
      <c r="M691" s="243"/>
      <c r="N691" s="243"/>
      <c r="O691" s="243"/>
      <c r="P691" s="243"/>
      <c r="Q691" s="243"/>
      <c r="R691" s="243"/>
      <c r="S691" s="243"/>
      <c r="T691" s="243"/>
      <c r="U691" s="243"/>
      <c r="V691" s="243"/>
      <c r="W691" s="243"/>
      <c r="X691" s="243"/>
      <c r="Y691" s="243"/>
      <c r="Z691" s="243"/>
    </row>
    <row r="692">
      <c r="A692" s="243"/>
      <c r="B692" s="243"/>
      <c r="C692" s="243"/>
      <c r="D692" s="243"/>
      <c r="E692" s="243"/>
      <c r="F692" s="243"/>
      <c r="G692" s="243"/>
      <c r="H692" s="243"/>
      <c r="I692" s="243"/>
      <c r="J692" s="243"/>
      <c r="K692" s="243"/>
      <c r="L692" s="243"/>
      <c r="M692" s="243"/>
      <c r="N692" s="243"/>
      <c r="O692" s="243"/>
      <c r="P692" s="243"/>
      <c r="Q692" s="243"/>
      <c r="R692" s="243"/>
      <c r="S692" s="243"/>
      <c r="T692" s="243"/>
      <c r="U692" s="243"/>
      <c r="V692" s="243"/>
      <c r="W692" s="243"/>
      <c r="X692" s="243"/>
      <c r="Y692" s="243"/>
      <c r="Z692" s="243"/>
    </row>
    <row r="693">
      <c r="A693" s="243"/>
      <c r="B693" s="243"/>
      <c r="C693" s="243"/>
      <c r="D693" s="243"/>
      <c r="E693" s="243"/>
      <c r="F693" s="243"/>
      <c r="G693" s="243"/>
      <c r="H693" s="243"/>
      <c r="I693" s="243"/>
      <c r="J693" s="243"/>
      <c r="K693" s="243"/>
      <c r="L693" s="243"/>
      <c r="M693" s="243"/>
      <c r="N693" s="243"/>
      <c r="O693" s="243"/>
      <c r="P693" s="243"/>
      <c r="Q693" s="243"/>
      <c r="R693" s="243"/>
      <c r="S693" s="243"/>
      <c r="T693" s="243"/>
      <c r="U693" s="243"/>
      <c r="V693" s="243"/>
      <c r="W693" s="243"/>
      <c r="X693" s="243"/>
      <c r="Y693" s="243"/>
      <c r="Z693" s="243"/>
    </row>
    <row r="694">
      <c r="A694" s="243"/>
      <c r="B694" s="243"/>
      <c r="C694" s="243"/>
      <c r="D694" s="243"/>
      <c r="E694" s="243"/>
      <c r="F694" s="243"/>
      <c r="G694" s="243"/>
      <c r="H694" s="243"/>
      <c r="I694" s="243"/>
      <c r="J694" s="243"/>
      <c r="K694" s="243"/>
      <c r="L694" s="243"/>
      <c r="M694" s="243"/>
      <c r="N694" s="243"/>
      <c r="O694" s="243"/>
      <c r="P694" s="243"/>
      <c r="Q694" s="243"/>
      <c r="R694" s="243"/>
      <c r="S694" s="243"/>
      <c r="T694" s="243"/>
      <c r="U694" s="243"/>
      <c r="V694" s="243"/>
      <c r="W694" s="243"/>
      <c r="X694" s="243"/>
      <c r="Y694" s="243"/>
      <c r="Z694" s="243"/>
    </row>
    <row r="695">
      <c r="A695" s="243"/>
      <c r="B695" s="243"/>
      <c r="C695" s="243"/>
      <c r="D695" s="243"/>
      <c r="E695" s="243"/>
      <c r="F695" s="243"/>
      <c r="G695" s="243"/>
      <c r="H695" s="243"/>
      <c r="I695" s="243"/>
      <c r="J695" s="243"/>
      <c r="K695" s="243"/>
      <c r="L695" s="243"/>
      <c r="M695" s="243"/>
      <c r="N695" s="243"/>
      <c r="O695" s="243"/>
      <c r="P695" s="243"/>
      <c r="Q695" s="243"/>
      <c r="R695" s="243"/>
      <c r="S695" s="243"/>
      <c r="T695" s="243"/>
      <c r="U695" s="243"/>
      <c r="V695" s="243"/>
      <c r="W695" s="243"/>
      <c r="X695" s="243"/>
      <c r="Y695" s="243"/>
      <c r="Z695" s="243"/>
    </row>
    <row r="696">
      <c r="A696" s="243"/>
      <c r="B696" s="243"/>
      <c r="C696" s="243"/>
      <c r="D696" s="243"/>
      <c r="E696" s="243"/>
      <c r="F696" s="243"/>
      <c r="G696" s="243"/>
      <c r="H696" s="243"/>
      <c r="I696" s="243"/>
      <c r="J696" s="243"/>
      <c r="K696" s="243"/>
      <c r="L696" s="243"/>
      <c r="M696" s="243"/>
      <c r="N696" s="243"/>
      <c r="O696" s="243"/>
      <c r="P696" s="243"/>
      <c r="Q696" s="243"/>
      <c r="R696" s="243"/>
      <c r="S696" s="243"/>
      <c r="T696" s="243"/>
      <c r="U696" s="243"/>
      <c r="V696" s="243"/>
      <c r="W696" s="243"/>
      <c r="X696" s="243"/>
      <c r="Y696" s="243"/>
      <c r="Z696" s="243"/>
    </row>
    <row r="697">
      <c r="A697" s="243"/>
      <c r="B697" s="243"/>
      <c r="C697" s="243"/>
      <c r="D697" s="243"/>
      <c r="E697" s="243"/>
      <c r="F697" s="243"/>
      <c r="G697" s="243"/>
      <c r="H697" s="243"/>
      <c r="I697" s="243"/>
      <c r="J697" s="243"/>
      <c r="K697" s="243"/>
      <c r="L697" s="243"/>
      <c r="M697" s="243"/>
      <c r="N697" s="243"/>
      <c r="O697" s="243"/>
      <c r="P697" s="243"/>
      <c r="Q697" s="243"/>
      <c r="R697" s="243"/>
      <c r="S697" s="243"/>
      <c r="T697" s="243"/>
      <c r="U697" s="243"/>
      <c r="V697" s="243"/>
      <c r="W697" s="243"/>
      <c r="X697" s="243"/>
      <c r="Y697" s="243"/>
      <c r="Z697" s="243"/>
    </row>
    <row r="698">
      <c r="A698" s="243"/>
      <c r="B698" s="243"/>
      <c r="C698" s="243"/>
      <c r="D698" s="243"/>
      <c r="E698" s="243"/>
      <c r="F698" s="243"/>
      <c r="G698" s="243"/>
      <c r="H698" s="243"/>
      <c r="I698" s="243"/>
      <c r="J698" s="243"/>
      <c r="K698" s="243"/>
      <c r="L698" s="243"/>
      <c r="M698" s="243"/>
      <c r="N698" s="243"/>
      <c r="O698" s="243"/>
      <c r="P698" s="243"/>
      <c r="Q698" s="243"/>
      <c r="R698" s="243"/>
      <c r="S698" s="243"/>
      <c r="T698" s="243"/>
      <c r="U698" s="243"/>
      <c r="V698" s="243"/>
      <c r="W698" s="243"/>
      <c r="X698" s="243"/>
      <c r="Y698" s="243"/>
      <c r="Z698" s="243"/>
    </row>
    <row r="699">
      <c r="A699" s="243"/>
      <c r="B699" s="243"/>
      <c r="C699" s="243"/>
      <c r="D699" s="243"/>
      <c r="E699" s="243"/>
      <c r="F699" s="243"/>
      <c r="G699" s="243"/>
      <c r="H699" s="243"/>
      <c r="I699" s="243"/>
      <c r="J699" s="243"/>
      <c r="K699" s="243"/>
      <c r="L699" s="243"/>
      <c r="M699" s="243"/>
      <c r="N699" s="243"/>
      <c r="O699" s="243"/>
      <c r="P699" s="243"/>
      <c r="Q699" s="243"/>
      <c r="R699" s="243"/>
      <c r="S699" s="243"/>
      <c r="T699" s="243"/>
      <c r="U699" s="243"/>
      <c r="V699" s="243"/>
      <c r="W699" s="243"/>
      <c r="X699" s="243"/>
      <c r="Y699" s="243"/>
      <c r="Z699" s="243"/>
    </row>
    <row r="700">
      <c r="A700" s="243"/>
      <c r="B700" s="243"/>
      <c r="C700" s="243"/>
      <c r="D700" s="243"/>
      <c r="E700" s="243"/>
      <c r="F700" s="243"/>
      <c r="G700" s="243"/>
      <c r="H700" s="243"/>
      <c r="I700" s="243"/>
      <c r="J700" s="243"/>
      <c r="K700" s="243"/>
      <c r="L700" s="243"/>
      <c r="M700" s="243"/>
      <c r="N700" s="243"/>
      <c r="O700" s="243"/>
      <c r="P700" s="243"/>
      <c r="Q700" s="243"/>
      <c r="R700" s="243"/>
      <c r="S700" s="243"/>
      <c r="T700" s="243"/>
      <c r="U700" s="243"/>
      <c r="V700" s="243"/>
      <c r="W700" s="243"/>
      <c r="X700" s="243"/>
      <c r="Y700" s="243"/>
      <c r="Z700" s="243"/>
    </row>
    <row r="701">
      <c r="A701" s="243"/>
      <c r="B701" s="243"/>
      <c r="C701" s="243"/>
      <c r="D701" s="243"/>
      <c r="E701" s="243"/>
      <c r="F701" s="243"/>
      <c r="G701" s="243"/>
      <c r="H701" s="243"/>
      <c r="I701" s="243"/>
      <c r="J701" s="243"/>
      <c r="K701" s="243"/>
      <c r="L701" s="243"/>
      <c r="M701" s="243"/>
      <c r="N701" s="243"/>
      <c r="O701" s="243"/>
      <c r="P701" s="243"/>
      <c r="Q701" s="243"/>
      <c r="R701" s="243"/>
      <c r="S701" s="243"/>
      <c r="T701" s="243"/>
      <c r="U701" s="243"/>
      <c r="V701" s="243"/>
      <c r="W701" s="243"/>
      <c r="X701" s="243"/>
      <c r="Y701" s="243"/>
      <c r="Z701" s="243"/>
    </row>
    <row r="702">
      <c r="A702" s="243"/>
      <c r="B702" s="243"/>
      <c r="C702" s="243"/>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c r="Z702" s="243"/>
    </row>
    <row r="703">
      <c r="A703" s="243"/>
      <c r="B703" s="243"/>
      <c r="C703" s="243"/>
      <c r="D703" s="243"/>
      <c r="E703" s="243"/>
      <c r="F703" s="243"/>
      <c r="G703" s="243"/>
      <c r="H703" s="243"/>
      <c r="I703" s="243"/>
      <c r="J703" s="243"/>
      <c r="K703" s="243"/>
      <c r="L703" s="243"/>
      <c r="M703" s="243"/>
      <c r="N703" s="243"/>
      <c r="O703" s="243"/>
      <c r="P703" s="243"/>
      <c r="Q703" s="243"/>
      <c r="R703" s="243"/>
      <c r="S703" s="243"/>
      <c r="T703" s="243"/>
      <c r="U703" s="243"/>
      <c r="V703" s="243"/>
      <c r="W703" s="243"/>
      <c r="X703" s="243"/>
      <c r="Y703" s="243"/>
      <c r="Z703" s="243"/>
    </row>
    <row r="704">
      <c r="A704" s="243"/>
      <c r="B704" s="243"/>
      <c r="C704" s="243"/>
      <c r="D704" s="243"/>
      <c r="E704" s="243"/>
      <c r="F704" s="243"/>
      <c r="G704" s="243"/>
      <c r="H704" s="243"/>
      <c r="I704" s="243"/>
      <c r="J704" s="243"/>
      <c r="K704" s="243"/>
      <c r="L704" s="243"/>
      <c r="M704" s="243"/>
      <c r="N704" s="243"/>
      <c r="O704" s="243"/>
      <c r="P704" s="243"/>
      <c r="Q704" s="243"/>
      <c r="R704" s="243"/>
      <c r="S704" s="243"/>
      <c r="T704" s="243"/>
      <c r="U704" s="243"/>
      <c r="V704" s="243"/>
      <c r="W704" s="243"/>
      <c r="X704" s="243"/>
      <c r="Y704" s="243"/>
      <c r="Z704" s="243"/>
    </row>
    <row r="705">
      <c r="A705" s="243"/>
      <c r="B705" s="243"/>
      <c r="C705" s="243"/>
      <c r="D705" s="243"/>
      <c r="E705" s="243"/>
      <c r="F705" s="243"/>
      <c r="G705" s="243"/>
      <c r="H705" s="243"/>
      <c r="I705" s="243"/>
      <c r="J705" s="243"/>
      <c r="K705" s="243"/>
      <c r="L705" s="243"/>
      <c r="M705" s="243"/>
      <c r="N705" s="243"/>
      <c r="O705" s="243"/>
      <c r="P705" s="243"/>
      <c r="Q705" s="243"/>
      <c r="R705" s="243"/>
      <c r="S705" s="243"/>
      <c r="T705" s="243"/>
      <c r="U705" s="243"/>
      <c r="V705" s="243"/>
      <c r="W705" s="243"/>
      <c r="X705" s="243"/>
      <c r="Y705" s="243"/>
      <c r="Z705" s="243"/>
    </row>
    <row r="706">
      <c r="A706" s="243"/>
      <c r="B706" s="243"/>
      <c r="C706" s="243"/>
      <c r="D706" s="243"/>
      <c r="E706" s="243"/>
      <c r="F706" s="243"/>
      <c r="G706" s="243"/>
      <c r="H706" s="243"/>
      <c r="I706" s="243"/>
      <c r="J706" s="243"/>
      <c r="K706" s="243"/>
      <c r="L706" s="243"/>
      <c r="M706" s="243"/>
      <c r="N706" s="243"/>
      <c r="O706" s="243"/>
      <c r="P706" s="243"/>
      <c r="Q706" s="243"/>
      <c r="R706" s="243"/>
      <c r="S706" s="243"/>
      <c r="T706" s="243"/>
      <c r="U706" s="243"/>
      <c r="V706" s="243"/>
      <c r="W706" s="243"/>
      <c r="X706" s="243"/>
      <c r="Y706" s="243"/>
      <c r="Z706" s="243"/>
    </row>
    <row r="707">
      <c r="A707" s="243"/>
      <c r="B707" s="243"/>
      <c r="C707" s="243"/>
      <c r="D707" s="243"/>
      <c r="E707" s="243"/>
      <c r="F707" s="243"/>
      <c r="G707" s="243"/>
      <c r="H707" s="243"/>
      <c r="I707" s="243"/>
      <c r="J707" s="243"/>
      <c r="K707" s="243"/>
      <c r="L707" s="243"/>
      <c r="M707" s="243"/>
      <c r="N707" s="243"/>
      <c r="O707" s="243"/>
      <c r="P707" s="243"/>
      <c r="Q707" s="243"/>
      <c r="R707" s="243"/>
      <c r="S707" s="243"/>
      <c r="T707" s="243"/>
      <c r="U707" s="243"/>
      <c r="V707" s="243"/>
      <c r="W707" s="243"/>
      <c r="X707" s="243"/>
      <c r="Y707" s="243"/>
      <c r="Z707" s="243"/>
    </row>
    <row r="708">
      <c r="A708" s="243"/>
      <c r="B708" s="243"/>
      <c r="C708" s="243"/>
      <c r="D708" s="243"/>
      <c r="E708" s="243"/>
      <c r="F708" s="243"/>
      <c r="G708" s="243"/>
      <c r="H708" s="243"/>
      <c r="I708" s="243"/>
      <c r="J708" s="243"/>
      <c r="K708" s="243"/>
      <c r="L708" s="243"/>
      <c r="M708" s="243"/>
      <c r="N708" s="243"/>
      <c r="O708" s="243"/>
      <c r="P708" s="243"/>
      <c r="Q708" s="243"/>
      <c r="R708" s="243"/>
      <c r="S708" s="243"/>
      <c r="T708" s="243"/>
      <c r="U708" s="243"/>
      <c r="V708" s="243"/>
      <c r="W708" s="243"/>
      <c r="X708" s="243"/>
      <c r="Y708" s="243"/>
      <c r="Z708" s="243"/>
    </row>
    <row r="709">
      <c r="A709" s="243"/>
      <c r="B709" s="243"/>
      <c r="C709" s="243"/>
      <c r="D709" s="243"/>
      <c r="E709" s="243"/>
      <c r="F709" s="243"/>
      <c r="G709" s="243"/>
      <c r="H709" s="243"/>
      <c r="I709" s="243"/>
      <c r="J709" s="243"/>
      <c r="K709" s="243"/>
      <c r="L709" s="243"/>
      <c r="M709" s="243"/>
      <c r="N709" s="243"/>
      <c r="O709" s="243"/>
      <c r="P709" s="243"/>
      <c r="Q709" s="243"/>
      <c r="R709" s="243"/>
      <c r="S709" s="243"/>
      <c r="T709" s="243"/>
      <c r="U709" s="243"/>
      <c r="V709" s="243"/>
      <c r="W709" s="243"/>
      <c r="X709" s="243"/>
      <c r="Y709" s="243"/>
      <c r="Z709" s="243"/>
    </row>
    <row r="710">
      <c r="A710" s="243"/>
      <c r="B710" s="243"/>
      <c r="C710" s="243"/>
      <c r="D710" s="243"/>
      <c r="E710" s="243"/>
      <c r="F710" s="243"/>
      <c r="G710" s="243"/>
      <c r="H710" s="243"/>
      <c r="I710" s="243"/>
      <c r="J710" s="243"/>
      <c r="K710" s="243"/>
      <c r="L710" s="243"/>
      <c r="M710" s="243"/>
      <c r="N710" s="243"/>
      <c r="O710" s="243"/>
      <c r="P710" s="243"/>
      <c r="Q710" s="243"/>
      <c r="R710" s="243"/>
      <c r="S710" s="243"/>
      <c r="T710" s="243"/>
      <c r="U710" s="243"/>
      <c r="V710" s="243"/>
      <c r="W710" s="243"/>
      <c r="X710" s="243"/>
      <c r="Y710" s="243"/>
      <c r="Z710" s="243"/>
    </row>
    <row r="711">
      <c r="A711" s="243"/>
      <c r="B711" s="243"/>
      <c r="C711" s="243"/>
      <c r="D711" s="243"/>
      <c r="E711" s="243"/>
      <c r="F711" s="243"/>
      <c r="G711" s="243"/>
      <c r="H711" s="243"/>
      <c r="I711" s="243"/>
      <c r="J711" s="243"/>
      <c r="K711" s="243"/>
      <c r="L711" s="243"/>
      <c r="M711" s="243"/>
      <c r="N711" s="243"/>
      <c r="O711" s="243"/>
      <c r="P711" s="243"/>
      <c r="Q711" s="243"/>
      <c r="R711" s="243"/>
      <c r="S711" s="243"/>
      <c r="T711" s="243"/>
      <c r="U711" s="243"/>
      <c r="V711" s="243"/>
      <c r="W711" s="243"/>
      <c r="X711" s="243"/>
      <c r="Y711" s="243"/>
      <c r="Z711" s="243"/>
    </row>
    <row r="712">
      <c r="A712" s="243"/>
      <c r="B712" s="243"/>
      <c r="C712" s="243"/>
      <c r="D712" s="243"/>
      <c r="E712" s="243"/>
      <c r="F712" s="243"/>
      <c r="G712" s="243"/>
      <c r="H712" s="243"/>
      <c r="I712" s="243"/>
      <c r="J712" s="243"/>
      <c r="K712" s="243"/>
      <c r="L712" s="243"/>
      <c r="M712" s="243"/>
      <c r="N712" s="243"/>
      <c r="O712" s="243"/>
      <c r="P712" s="243"/>
      <c r="Q712" s="243"/>
      <c r="R712" s="243"/>
      <c r="S712" s="243"/>
      <c r="T712" s="243"/>
      <c r="U712" s="243"/>
      <c r="V712" s="243"/>
      <c r="W712" s="243"/>
      <c r="X712" s="243"/>
      <c r="Y712" s="243"/>
      <c r="Z712" s="243"/>
    </row>
    <row r="713">
      <c r="A713" s="243"/>
      <c r="B713" s="243"/>
      <c r="C713" s="243"/>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c r="Z713" s="243"/>
    </row>
    <row r="714">
      <c r="A714" s="243"/>
      <c r="B714" s="243"/>
      <c r="C714" s="243"/>
      <c r="D714" s="243"/>
      <c r="E714" s="243"/>
      <c r="F714" s="243"/>
      <c r="G714" s="243"/>
      <c r="H714" s="243"/>
      <c r="I714" s="243"/>
      <c r="J714" s="243"/>
      <c r="K714" s="243"/>
      <c r="L714" s="243"/>
      <c r="M714" s="243"/>
      <c r="N714" s="243"/>
      <c r="O714" s="243"/>
      <c r="P714" s="243"/>
      <c r="Q714" s="243"/>
      <c r="R714" s="243"/>
      <c r="S714" s="243"/>
      <c r="T714" s="243"/>
      <c r="U714" s="243"/>
      <c r="V714" s="243"/>
      <c r="W714" s="243"/>
      <c r="X714" s="243"/>
      <c r="Y714" s="243"/>
      <c r="Z714" s="243"/>
    </row>
    <row r="715">
      <c r="A715" s="243"/>
      <c r="B715" s="243"/>
      <c r="C715" s="243"/>
      <c r="D715" s="243"/>
      <c r="E715" s="243"/>
      <c r="F715" s="243"/>
      <c r="G715" s="243"/>
      <c r="H715" s="243"/>
      <c r="I715" s="243"/>
      <c r="J715" s="243"/>
      <c r="K715" s="243"/>
      <c r="L715" s="243"/>
      <c r="M715" s="243"/>
      <c r="N715" s="243"/>
      <c r="O715" s="243"/>
      <c r="P715" s="243"/>
      <c r="Q715" s="243"/>
      <c r="R715" s="243"/>
      <c r="S715" s="243"/>
      <c r="T715" s="243"/>
      <c r="U715" s="243"/>
      <c r="V715" s="243"/>
      <c r="W715" s="243"/>
      <c r="X715" s="243"/>
      <c r="Y715" s="243"/>
      <c r="Z715" s="243"/>
    </row>
    <row r="716">
      <c r="A716" s="243"/>
      <c r="B716" s="243"/>
      <c r="C716" s="243"/>
      <c r="D716" s="243"/>
      <c r="E716" s="243"/>
      <c r="F716" s="243"/>
      <c r="G716" s="243"/>
      <c r="H716" s="243"/>
      <c r="I716" s="243"/>
      <c r="J716" s="243"/>
      <c r="K716" s="243"/>
      <c r="L716" s="243"/>
      <c r="M716" s="243"/>
      <c r="N716" s="243"/>
      <c r="O716" s="243"/>
      <c r="P716" s="243"/>
      <c r="Q716" s="243"/>
      <c r="R716" s="243"/>
      <c r="S716" s="243"/>
      <c r="T716" s="243"/>
      <c r="U716" s="243"/>
      <c r="V716" s="243"/>
      <c r="W716" s="243"/>
      <c r="X716" s="243"/>
      <c r="Y716" s="243"/>
      <c r="Z716" s="243"/>
    </row>
    <row r="717">
      <c r="A717" s="243"/>
      <c r="B717" s="243"/>
      <c r="C717" s="243"/>
      <c r="D717" s="243"/>
      <c r="E717" s="243"/>
      <c r="F717" s="243"/>
      <c r="G717" s="243"/>
      <c r="H717" s="243"/>
      <c r="I717" s="243"/>
      <c r="J717" s="243"/>
      <c r="K717" s="243"/>
      <c r="L717" s="243"/>
      <c r="M717" s="243"/>
      <c r="N717" s="243"/>
      <c r="O717" s="243"/>
      <c r="P717" s="243"/>
      <c r="Q717" s="243"/>
      <c r="R717" s="243"/>
      <c r="S717" s="243"/>
      <c r="T717" s="243"/>
      <c r="U717" s="243"/>
      <c r="V717" s="243"/>
      <c r="W717" s="243"/>
      <c r="X717" s="243"/>
      <c r="Y717" s="243"/>
      <c r="Z717" s="243"/>
    </row>
    <row r="718">
      <c r="A718" s="243"/>
      <c r="B718" s="243"/>
      <c r="C718" s="243"/>
      <c r="D718" s="243"/>
      <c r="E718" s="243"/>
      <c r="F718" s="243"/>
      <c r="G718" s="243"/>
      <c r="H718" s="243"/>
      <c r="I718" s="243"/>
      <c r="J718" s="243"/>
      <c r="K718" s="243"/>
      <c r="L718" s="243"/>
      <c r="M718" s="243"/>
      <c r="N718" s="243"/>
      <c r="O718" s="243"/>
      <c r="P718" s="243"/>
      <c r="Q718" s="243"/>
      <c r="R718" s="243"/>
      <c r="S718" s="243"/>
      <c r="T718" s="243"/>
      <c r="U718" s="243"/>
      <c r="V718" s="243"/>
      <c r="W718" s="243"/>
      <c r="X718" s="243"/>
      <c r="Y718" s="243"/>
      <c r="Z718" s="243"/>
    </row>
    <row r="719">
      <c r="A719" s="243"/>
      <c r="B719" s="243"/>
      <c r="C719" s="243"/>
      <c r="D719" s="243"/>
      <c r="E719" s="243"/>
      <c r="F719" s="243"/>
      <c r="G719" s="243"/>
      <c r="H719" s="243"/>
      <c r="I719" s="243"/>
      <c r="J719" s="243"/>
      <c r="K719" s="243"/>
      <c r="L719" s="243"/>
      <c r="M719" s="243"/>
      <c r="N719" s="243"/>
      <c r="O719" s="243"/>
      <c r="P719" s="243"/>
      <c r="Q719" s="243"/>
      <c r="R719" s="243"/>
      <c r="S719" s="243"/>
      <c r="T719" s="243"/>
      <c r="U719" s="243"/>
      <c r="V719" s="243"/>
      <c r="W719" s="243"/>
      <c r="X719" s="243"/>
      <c r="Y719" s="243"/>
      <c r="Z719" s="243"/>
    </row>
    <row r="720">
      <c r="A720" s="243"/>
      <c r="B720" s="243"/>
      <c r="C720" s="243"/>
      <c r="D720" s="243"/>
      <c r="E720" s="243"/>
      <c r="F720" s="243"/>
      <c r="G720" s="243"/>
      <c r="H720" s="243"/>
      <c r="I720" s="243"/>
      <c r="J720" s="243"/>
      <c r="K720" s="243"/>
      <c r="L720" s="243"/>
      <c r="M720" s="243"/>
      <c r="N720" s="243"/>
      <c r="O720" s="243"/>
      <c r="P720" s="243"/>
      <c r="Q720" s="243"/>
      <c r="R720" s="243"/>
      <c r="S720" s="243"/>
      <c r="T720" s="243"/>
      <c r="U720" s="243"/>
      <c r="V720" s="243"/>
      <c r="W720" s="243"/>
      <c r="X720" s="243"/>
      <c r="Y720" s="243"/>
      <c r="Z720" s="243"/>
    </row>
    <row r="721">
      <c r="A721" s="243"/>
      <c r="B721" s="243"/>
      <c r="C721" s="243"/>
      <c r="D721" s="243"/>
      <c r="E721" s="243"/>
      <c r="F721" s="243"/>
      <c r="G721" s="243"/>
      <c r="H721" s="243"/>
      <c r="I721" s="243"/>
      <c r="J721" s="243"/>
      <c r="K721" s="243"/>
      <c r="L721" s="243"/>
      <c r="M721" s="243"/>
      <c r="N721" s="243"/>
      <c r="O721" s="243"/>
      <c r="P721" s="243"/>
      <c r="Q721" s="243"/>
      <c r="R721" s="243"/>
      <c r="S721" s="243"/>
      <c r="T721" s="243"/>
      <c r="U721" s="243"/>
      <c r="V721" s="243"/>
      <c r="W721" s="243"/>
      <c r="X721" s="243"/>
      <c r="Y721" s="243"/>
      <c r="Z721" s="243"/>
    </row>
    <row r="722">
      <c r="A722" s="243"/>
      <c r="B722" s="243"/>
      <c r="C722" s="243"/>
      <c r="D722" s="243"/>
      <c r="E722" s="243"/>
      <c r="F722" s="243"/>
      <c r="G722" s="243"/>
      <c r="H722" s="243"/>
      <c r="I722" s="243"/>
      <c r="J722" s="243"/>
      <c r="K722" s="243"/>
      <c r="L722" s="243"/>
      <c r="M722" s="243"/>
      <c r="N722" s="243"/>
      <c r="O722" s="243"/>
      <c r="P722" s="243"/>
      <c r="Q722" s="243"/>
      <c r="R722" s="243"/>
      <c r="S722" s="243"/>
      <c r="T722" s="243"/>
      <c r="U722" s="243"/>
      <c r="V722" s="243"/>
      <c r="W722" s="243"/>
      <c r="X722" s="243"/>
      <c r="Y722" s="243"/>
      <c r="Z722" s="243"/>
    </row>
    <row r="723">
      <c r="A723" s="243"/>
      <c r="B723" s="243"/>
      <c r="C723" s="243"/>
      <c r="D723" s="243"/>
      <c r="E723" s="243"/>
      <c r="F723" s="243"/>
      <c r="G723" s="243"/>
      <c r="H723" s="243"/>
      <c r="I723" s="243"/>
      <c r="J723" s="243"/>
      <c r="K723" s="243"/>
      <c r="L723" s="243"/>
      <c r="M723" s="243"/>
      <c r="N723" s="243"/>
      <c r="O723" s="243"/>
      <c r="P723" s="243"/>
      <c r="Q723" s="243"/>
      <c r="R723" s="243"/>
      <c r="S723" s="243"/>
      <c r="T723" s="243"/>
      <c r="U723" s="243"/>
      <c r="V723" s="243"/>
      <c r="W723" s="243"/>
      <c r="X723" s="243"/>
      <c r="Y723" s="243"/>
      <c r="Z723" s="243"/>
    </row>
    <row r="724">
      <c r="A724" s="243"/>
      <c r="B724" s="243"/>
      <c r="C724" s="243"/>
      <c r="D724" s="243"/>
      <c r="E724" s="243"/>
      <c r="F724" s="243"/>
      <c r="G724" s="243"/>
      <c r="H724" s="243"/>
      <c r="I724" s="243"/>
      <c r="J724" s="243"/>
      <c r="K724" s="243"/>
      <c r="L724" s="243"/>
      <c r="M724" s="243"/>
      <c r="N724" s="243"/>
      <c r="O724" s="243"/>
      <c r="P724" s="243"/>
      <c r="Q724" s="243"/>
      <c r="R724" s="243"/>
      <c r="S724" s="243"/>
      <c r="T724" s="243"/>
      <c r="U724" s="243"/>
      <c r="V724" s="243"/>
      <c r="W724" s="243"/>
      <c r="X724" s="243"/>
      <c r="Y724" s="243"/>
      <c r="Z724" s="243"/>
    </row>
    <row r="725">
      <c r="A725" s="243"/>
      <c r="B725" s="243"/>
      <c r="C725" s="243"/>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c r="Z725" s="243"/>
    </row>
    <row r="726">
      <c r="A726" s="243"/>
      <c r="B726" s="243"/>
      <c r="C726" s="243"/>
      <c r="D726" s="243"/>
      <c r="E726" s="243"/>
      <c r="F726" s="243"/>
      <c r="G726" s="243"/>
      <c r="H726" s="243"/>
      <c r="I726" s="243"/>
      <c r="J726" s="243"/>
      <c r="K726" s="243"/>
      <c r="L726" s="243"/>
      <c r="M726" s="243"/>
      <c r="N726" s="243"/>
      <c r="O726" s="243"/>
      <c r="P726" s="243"/>
      <c r="Q726" s="243"/>
      <c r="R726" s="243"/>
      <c r="S726" s="243"/>
      <c r="T726" s="243"/>
      <c r="U726" s="243"/>
      <c r="V726" s="243"/>
      <c r="W726" s="243"/>
      <c r="X726" s="243"/>
      <c r="Y726" s="243"/>
      <c r="Z726" s="243"/>
    </row>
    <row r="727">
      <c r="A727" s="243"/>
      <c r="B727" s="243"/>
      <c r="C727" s="243"/>
      <c r="D727" s="243"/>
      <c r="E727" s="243"/>
      <c r="F727" s="243"/>
      <c r="G727" s="243"/>
      <c r="H727" s="243"/>
      <c r="I727" s="243"/>
      <c r="J727" s="243"/>
      <c r="K727" s="243"/>
      <c r="L727" s="243"/>
      <c r="M727" s="243"/>
      <c r="N727" s="243"/>
      <c r="O727" s="243"/>
      <c r="P727" s="243"/>
      <c r="Q727" s="243"/>
      <c r="R727" s="243"/>
      <c r="S727" s="243"/>
      <c r="T727" s="243"/>
      <c r="U727" s="243"/>
      <c r="V727" s="243"/>
      <c r="W727" s="243"/>
      <c r="X727" s="243"/>
      <c r="Y727" s="243"/>
      <c r="Z727" s="243"/>
    </row>
    <row r="728">
      <c r="A728" s="243"/>
      <c r="B728" s="243"/>
      <c r="C728" s="243"/>
      <c r="D728" s="243"/>
      <c r="E728" s="243"/>
      <c r="F728" s="243"/>
      <c r="G728" s="243"/>
      <c r="H728" s="243"/>
      <c r="I728" s="243"/>
      <c r="J728" s="243"/>
      <c r="K728" s="243"/>
      <c r="L728" s="243"/>
      <c r="M728" s="243"/>
      <c r="N728" s="243"/>
      <c r="O728" s="243"/>
      <c r="P728" s="243"/>
      <c r="Q728" s="243"/>
      <c r="R728" s="243"/>
      <c r="S728" s="243"/>
      <c r="T728" s="243"/>
      <c r="U728" s="243"/>
      <c r="V728" s="243"/>
      <c r="W728" s="243"/>
      <c r="X728" s="243"/>
      <c r="Y728" s="243"/>
      <c r="Z728" s="243"/>
    </row>
    <row r="729">
      <c r="A729" s="243"/>
      <c r="B729" s="243"/>
      <c r="C729" s="243"/>
      <c r="D729" s="243"/>
      <c r="E729" s="243"/>
      <c r="F729" s="243"/>
      <c r="G729" s="243"/>
      <c r="H729" s="243"/>
      <c r="I729" s="243"/>
      <c r="J729" s="243"/>
      <c r="K729" s="243"/>
      <c r="L729" s="243"/>
      <c r="M729" s="243"/>
      <c r="N729" s="243"/>
      <c r="O729" s="243"/>
      <c r="P729" s="243"/>
      <c r="Q729" s="243"/>
      <c r="R729" s="243"/>
      <c r="S729" s="243"/>
      <c r="T729" s="243"/>
      <c r="U729" s="243"/>
      <c r="V729" s="243"/>
      <c r="W729" s="243"/>
      <c r="X729" s="243"/>
      <c r="Y729" s="243"/>
      <c r="Z729" s="243"/>
    </row>
    <row r="730">
      <c r="A730" s="243"/>
      <c r="B730" s="243"/>
      <c r="C730" s="243"/>
      <c r="D730" s="243"/>
      <c r="E730" s="243"/>
      <c r="F730" s="243"/>
      <c r="G730" s="243"/>
      <c r="H730" s="243"/>
      <c r="I730" s="243"/>
      <c r="J730" s="243"/>
      <c r="K730" s="243"/>
      <c r="L730" s="243"/>
      <c r="M730" s="243"/>
      <c r="N730" s="243"/>
      <c r="O730" s="243"/>
      <c r="P730" s="243"/>
      <c r="Q730" s="243"/>
      <c r="R730" s="243"/>
      <c r="S730" s="243"/>
      <c r="T730" s="243"/>
      <c r="U730" s="243"/>
      <c r="V730" s="243"/>
      <c r="W730" s="243"/>
      <c r="X730" s="243"/>
      <c r="Y730" s="243"/>
      <c r="Z730" s="243"/>
    </row>
    <row r="731">
      <c r="A731" s="243"/>
      <c r="B731" s="243"/>
      <c r="C731" s="243"/>
      <c r="D731" s="243"/>
      <c r="E731" s="243"/>
      <c r="F731" s="243"/>
      <c r="G731" s="243"/>
      <c r="H731" s="243"/>
      <c r="I731" s="243"/>
      <c r="J731" s="243"/>
      <c r="K731" s="243"/>
      <c r="L731" s="243"/>
      <c r="M731" s="243"/>
      <c r="N731" s="243"/>
      <c r="O731" s="243"/>
      <c r="P731" s="243"/>
      <c r="Q731" s="243"/>
      <c r="R731" s="243"/>
      <c r="S731" s="243"/>
      <c r="T731" s="243"/>
      <c r="U731" s="243"/>
      <c r="V731" s="243"/>
      <c r="W731" s="243"/>
      <c r="X731" s="243"/>
      <c r="Y731" s="243"/>
      <c r="Z731" s="243"/>
    </row>
    <row r="732">
      <c r="A732" s="243"/>
      <c r="B732" s="243"/>
      <c r="C732" s="243"/>
      <c r="D732" s="243"/>
      <c r="E732" s="243"/>
      <c r="F732" s="243"/>
      <c r="G732" s="243"/>
      <c r="H732" s="243"/>
      <c r="I732" s="243"/>
      <c r="J732" s="243"/>
      <c r="K732" s="243"/>
      <c r="L732" s="243"/>
      <c r="M732" s="243"/>
      <c r="N732" s="243"/>
      <c r="O732" s="243"/>
      <c r="P732" s="243"/>
      <c r="Q732" s="243"/>
      <c r="R732" s="243"/>
      <c r="S732" s="243"/>
      <c r="T732" s="243"/>
      <c r="U732" s="243"/>
      <c r="V732" s="243"/>
      <c r="W732" s="243"/>
      <c r="X732" s="243"/>
      <c r="Y732" s="243"/>
      <c r="Z732" s="243"/>
    </row>
    <row r="733">
      <c r="A733" s="243"/>
      <c r="B733" s="243"/>
      <c r="C733" s="243"/>
      <c r="D733" s="243"/>
      <c r="E733" s="243"/>
      <c r="F733" s="243"/>
      <c r="G733" s="243"/>
      <c r="H733" s="243"/>
      <c r="I733" s="243"/>
      <c r="J733" s="243"/>
      <c r="K733" s="243"/>
      <c r="L733" s="243"/>
      <c r="M733" s="243"/>
      <c r="N733" s="243"/>
      <c r="O733" s="243"/>
      <c r="P733" s="243"/>
      <c r="Q733" s="243"/>
      <c r="R733" s="243"/>
      <c r="S733" s="243"/>
      <c r="T733" s="243"/>
      <c r="U733" s="243"/>
      <c r="V733" s="243"/>
      <c r="W733" s="243"/>
      <c r="X733" s="243"/>
      <c r="Y733" s="243"/>
      <c r="Z733" s="243"/>
    </row>
    <row r="734">
      <c r="A734" s="243"/>
      <c r="B734" s="243"/>
      <c r="C734" s="243"/>
      <c r="D734" s="243"/>
      <c r="E734" s="243"/>
      <c r="F734" s="243"/>
      <c r="G734" s="243"/>
      <c r="H734" s="243"/>
      <c r="I734" s="243"/>
      <c r="J734" s="243"/>
      <c r="K734" s="243"/>
      <c r="L734" s="243"/>
      <c r="M734" s="243"/>
      <c r="N734" s="243"/>
      <c r="O734" s="243"/>
      <c r="P734" s="243"/>
      <c r="Q734" s="243"/>
      <c r="R734" s="243"/>
      <c r="S734" s="243"/>
      <c r="T734" s="243"/>
      <c r="U734" s="243"/>
      <c r="V734" s="243"/>
      <c r="W734" s="243"/>
      <c r="X734" s="243"/>
      <c r="Y734" s="243"/>
      <c r="Z734" s="243"/>
    </row>
    <row r="735">
      <c r="A735" s="243"/>
      <c r="B735" s="243"/>
      <c r="C735" s="243"/>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c r="Z735" s="243"/>
    </row>
    <row r="736">
      <c r="A736" s="243"/>
      <c r="B736" s="243"/>
      <c r="C736" s="243"/>
      <c r="D736" s="243"/>
      <c r="E736" s="243"/>
      <c r="F736" s="243"/>
      <c r="G736" s="243"/>
      <c r="H736" s="243"/>
      <c r="I736" s="243"/>
      <c r="J736" s="243"/>
      <c r="K736" s="243"/>
      <c r="L736" s="243"/>
      <c r="M736" s="243"/>
      <c r="N736" s="243"/>
      <c r="O736" s="243"/>
      <c r="P736" s="243"/>
      <c r="Q736" s="243"/>
      <c r="R736" s="243"/>
      <c r="S736" s="243"/>
      <c r="T736" s="243"/>
      <c r="U736" s="243"/>
      <c r="V736" s="243"/>
      <c r="W736" s="243"/>
      <c r="X736" s="243"/>
      <c r="Y736" s="243"/>
      <c r="Z736" s="243"/>
    </row>
    <row r="737">
      <c r="A737" s="243"/>
      <c r="B737" s="243"/>
      <c r="C737" s="243"/>
      <c r="D737" s="243"/>
      <c r="E737" s="243"/>
      <c r="F737" s="243"/>
      <c r="G737" s="243"/>
      <c r="H737" s="243"/>
      <c r="I737" s="243"/>
      <c r="J737" s="243"/>
      <c r="K737" s="243"/>
      <c r="L737" s="243"/>
      <c r="M737" s="243"/>
      <c r="N737" s="243"/>
      <c r="O737" s="243"/>
      <c r="P737" s="243"/>
      <c r="Q737" s="243"/>
      <c r="R737" s="243"/>
      <c r="S737" s="243"/>
      <c r="T737" s="243"/>
      <c r="U737" s="243"/>
      <c r="V737" s="243"/>
      <c r="W737" s="243"/>
      <c r="X737" s="243"/>
      <c r="Y737" s="243"/>
      <c r="Z737" s="243"/>
    </row>
    <row r="738">
      <c r="A738" s="243"/>
      <c r="B738" s="243"/>
      <c r="C738" s="243"/>
      <c r="D738" s="243"/>
      <c r="E738" s="243"/>
      <c r="F738" s="243"/>
      <c r="G738" s="243"/>
      <c r="H738" s="243"/>
      <c r="I738" s="243"/>
      <c r="J738" s="243"/>
      <c r="K738" s="243"/>
      <c r="L738" s="243"/>
      <c r="M738" s="243"/>
      <c r="N738" s="243"/>
      <c r="O738" s="243"/>
      <c r="P738" s="243"/>
      <c r="Q738" s="243"/>
      <c r="R738" s="243"/>
      <c r="S738" s="243"/>
      <c r="T738" s="243"/>
      <c r="U738" s="243"/>
      <c r="V738" s="243"/>
      <c r="W738" s="243"/>
      <c r="X738" s="243"/>
      <c r="Y738" s="243"/>
      <c r="Z738" s="243"/>
    </row>
    <row r="739">
      <c r="A739" s="243"/>
      <c r="B739" s="243"/>
      <c r="C739" s="243"/>
      <c r="D739" s="243"/>
      <c r="E739" s="243"/>
      <c r="F739" s="243"/>
      <c r="G739" s="243"/>
      <c r="H739" s="243"/>
      <c r="I739" s="243"/>
      <c r="J739" s="243"/>
      <c r="K739" s="243"/>
      <c r="L739" s="243"/>
      <c r="M739" s="243"/>
      <c r="N739" s="243"/>
      <c r="O739" s="243"/>
      <c r="P739" s="243"/>
      <c r="Q739" s="243"/>
      <c r="R739" s="243"/>
      <c r="S739" s="243"/>
      <c r="T739" s="243"/>
      <c r="U739" s="243"/>
      <c r="V739" s="243"/>
      <c r="W739" s="243"/>
      <c r="X739" s="243"/>
      <c r="Y739" s="243"/>
      <c r="Z739" s="243"/>
    </row>
    <row r="740">
      <c r="A740" s="243"/>
      <c r="B740" s="243"/>
      <c r="C740" s="243"/>
      <c r="D740" s="243"/>
      <c r="E740" s="243"/>
      <c r="F740" s="243"/>
      <c r="G740" s="243"/>
      <c r="H740" s="243"/>
      <c r="I740" s="243"/>
      <c r="J740" s="243"/>
      <c r="K740" s="243"/>
      <c r="L740" s="243"/>
      <c r="M740" s="243"/>
      <c r="N740" s="243"/>
      <c r="O740" s="243"/>
      <c r="P740" s="243"/>
      <c r="Q740" s="243"/>
      <c r="R740" s="243"/>
      <c r="S740" s="243"/>
      <c r="T740" s="243"/>
      <c r="U740" s="243"/>
      <c r="V740" s="243"/>
      <c r="W740" s="243"/>
      <c r="X740" s="243"/>
      <c r="Y740" s="243"/>
      <c r="Z740" s="243"/>
    </row>
    <row r="741">
      <c r="A741" s="243"/>
      <c r="B741" s="243"/>
      <c r="C741" s="243"/>
      <c r="D741" s="243"/>
      <c r="E741" s="243"/>
      <c r="F741" s="243"/>
      <c r="G741" s="243"/>
      <c r="H741" s="243"/>
      <c r="I741" s="243"/>
      <c r="J741" s="243"/>
      <c r="K741" s="243"/>
      <c r="L741" s="243"/>
      <c r="M741" s="243"/>
      <c r="N741" s="243"/>
      <c r="O741" s="243"/>
      <c r="P741" s="243"/>
      <c r="Q741" s="243"/>
      <c r="R741" s="243"/>
      <c r="S741" s="243"/>
      <c r="T741" s="243"/>
      <c r="U741" s="243"/>
      <c r="V741" s="243"/>
      <c r="W741" s="243"/>
      <c r="X741" s="243"/>
      <c r="Y741" s="243"/>
      <c r="Z741" s="243"/>
    </row>
    <row r="742">
      <c r="A742" s="243"/>
      <c r="B742" s="243"/>
      <c r="C742" s="243"/>
      <c r="D742" s="243"/>
      <c r="E742" s="243"/>
      <c r="F742" s="243"/>
      <c r="G742" s="243"/>
      <c r="H742" s="243"/>
      <c r="I742" s="243"/>
      <c r="J742" s="243"/>
      <c r="K742" s="243"/>
      <c r="L742" s="243"/>
      <c r="M742" s="243"/>
      <c r="N742" s="243"/>
      <c r="O742" s="243"/>
      <c r="P742" s="243"/>
      <c r="Q742" s="243"/>
      <c r="R742" s="243"/>
      <c r="S742" s="243"/>
      <c r="T742" s="243"/>
      <c r="U742" s="243"/>
      <c r="V742" s="243"/>
      <c r="W742" s="243"/>
      <c r="X742" s="243"/>
      <c r="Y742" s="243"/>
      <c r="Z742" s="243"/>
    </row>
    <row r="743">
      <c r="A743" s="243"/>
      <c r="B743" s="243"/>
      <c r="C743" s="243"/>
      <c r="D743" s="243"/>
      <c r="E743" s="243"/>
      <c r="F743" s="243"/>
      <c r="G743" s="243"/>
      <c r="H743" s="243"/>
      <c r="I743" s="243"/>
      <c r="J743" s="243"/>
      <c r="K743" s="243"/>
      <c r="L743" s="243"/>
      <c r="M743" s="243"/>
      <c r="N743" s="243"/>
      <c r="O743" s="243"/>
      <c r="P743" s="243"/>
      <c r="Q743" s="243"/>
      <c r="R743" s="243"/>
      <c r="S743" s="243"/>
      <c r="T743" s="243"/>
      <c r="U743" s="243"/>
      <c r="V743" s="243"/>
      <c r="W743" s="243"/>
      <c r="X743" s="243"/>
      <c r="Y743" s="243"/>
      <c r="Z743" s="243"/>
    </row>
    <row r="744">
      <c r="A744" s="243"/>
      <c r="B744" s="243"/>
      <c r="C744" s="243"/>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c r="Z744" s="243"/>
    </row>
    <row r="745">
      <c r="A745" s="243"/>
      <c r="B745" s="243"/>
      <c r="C745" s="243"/>
      <c r="D745" s="243"/>
      <c r="E745" s="243"/>
      <c r="F745" s="243"/>
      <c r="G745" s="243"/>
      <c r="H745" s="243"/>
      <c r="I745" s="243"/>
      <c r="J745" s="243"/>
      <c r="K745" s="243"/>
      <c r="L745" s="243"/>
      <c r="M745" s="243"/>
      <c r="N745" s="243"/>
      <c r="O745" s="243"/>
      <c r="P745" s="243"/>
      <c r="Q745" s="243"/>
      <c r="R745" s="243"/>
      <c r="S745" s="243"/>
      <c r="T745" s="243"/>
      <c r="U745" s="243"/>
      <c r="V745" s="243"/>
      <c r="W745" s="243"/>
      <c r="X745" s="243"/>
      <c r="Y745" s="243"/>
      <c r="Z745" s="243"/>
    </row>
    <row r="746">
      <c r="A746" s="243"/>
      <c r="B746" s="243"/>
      <c r="C746" s="243"/>
      <c r="D746" s="243"/>
      <c r="E746" s="243"/>
      <c r="F746" s="243"/>
      <c r="G746" s="243"/>
      <c r="H746" s="243"/>
      <c r="I746" s="243"/>
      <c r="J746" s="243"/>
      <c r="K746" s="243"/>
      <c r="L746" s="243"/>
      <c r="M746" s="243"/>
      <c r="N746" s="243"/>
      <c r="O746" s="243"/>
      <c r="P746" s="243"/>
      <c r="Q746" s="243"/>
      <c r="R746" s="243"/>
      <c r="S746" s="243"/>
      <c r="T746" s="243"/>
      <c r="U746" s="243"/>
      <c r="V746" s="243"/>
      <c r="W746" s="243"/>
      <c r="X746" s="243"/>
      <c r="Y746" s="243"/>
      <c r="Z746" s="243"/>
    </row>
    <row r="747">
      <c r="A747" s="243"/>
      <c r="B747" s="243"/>
      <c r="C747" s="243"/>
      <c r="D747" s="243"/>
      <c r="E747" s="243"/>
      <c r="F747" s="243"/>
      <c r="G747" s="243"/>
      <c r="H747" s="243"/>
      <c r="I747" s="243"/>
      <c r="J747" s="243"/>
      <c r="K747" s="243"/>
      <c r="L747" s="243"/>
      <c r="M747" s="243"/>
      <c r="N747" s="243"/>
      <c r="O747" s="243"/>
      <c r="P747" s="243"/>
      <c r="Q747" s="243"/>
      <c r="R747" s="243"/>
      <c r="S747" s="243"/>
      <c r="T747" s="243"/>
      <c r="U747" s="243"/>
      <c r="V747" s="243"/>
      <c r="W747" s="243"/>
      <c r="X747" s="243"/>
      <c r="Y747" s="243"/>
      <c r="Z747" s="243"/>
    </row>
    <row r="748">
      <c r="A748" s="243"/>
      <c r="B748" s="243"/>
      <c r="C748" s="243"/>
      <c r="D748" s="243"/>
      <c r="E748" s="243"/>
      <c r="F748" s="243"/>
      <c r="G748" s="243"/>
      <c r="H748" s="243"/>
      <c r="I748" s="243"/>
      <c r="J748" s="243"/>
      <c r="K748" s="243"/>
      <c r="L748" s="243"/>
      <c r="M748" s="243"/>
      <c r="N748" s="243"/>
      <c r="O748" s="243"/>
      <c r="P748" s="243"/>
      <c r="Q748" s="243"/>
      <c r="R748" s="243"/>
      <c r="S748" s="243"/>
      <c r="T748" s="243"/>
      <c r="U748" s="243"/>
      <c r="V748" s="243"/>
      <c r="W748" s="243"/>
      <c r="X748" s="243"/>
      <c r="Y748" s="243"/>
      <c r="Z748" s="243"/>
    </row>
    <row r="749">
      <c r="A749" s="243"/>
      <c r="B749" s="243"/>
      <c r="C749" s="243"/>
      <c r="D749" s="243"/>
      <c r="E749" s="243"/>
      <c r="F749" s="243"/>
      <c r="G749" s="243"/>
      <c r="H749" s="243"/>
      <c r="I749" s="243"/>
      <c r="J749" s="243"/>
      <c r="K749" s="243"/>
      <c r="L749" s="243"/>
      <c r="M749" s="243"/>
      <c r="N749" s="243"/>
      <c r="O749" s="243"/>
      <c r="P749" s="243"/>
      <c r="Q749" s="243"/>
      <c r="R749" s="243"/>
      <c r="S749" s="243"/>
      <c r="T749" s="243"/>
      <c r="U749" s="243"/>
      <c r="V749" s="243"/>
      <c r="W749" s="243"/>
      <c r="X749" s="243"/>
      <c r="Y749" s="243"/>
      <c r="Z749" s="243"/>
    </row>
    <row r="750">
      <c r="A750" s="243"/>
      <c r="B750" s="243"/>
      <c r="C750" s="243"/>
      <c r="D750" s="243"/>
      <c r="E750" s="243"/>
      <c r="F750" s="243"/>
      <c r="G750" s="243"/>
      <c r="H750" s="243"/>
      <c r="I750" s="243"/>
      <c r="J750" s="243"/>
      <c r="K750" s="243"/>
      <c r="L750" s="243"/>
      <c r="M750" s="243"/>
      <c r="N750" s="243"/>
      <c r="O750" s="243"/>
      <c r="P750" s="243"/>
      <c r="Q750" s="243"/>
      <c r="R750" s="243"/>
      <c r="S750" s="243"/>
      <c r="T750" s="243"/>
      <c r="U750" s="243"/>
      <c r="V750" s="243"/>
      <c r="W750" s="243"/>
      <c r="X750" s="243"/>
      <c r="Y750" s="243"/>
      <c r="Z750" s="243"/>
    </row>
    <row r="751">
      <c r="A751" s="243"/>
      <c r="B751" s="243"/>
      <c r="C751" s="243"/>
      <c r="D751" s="243"/>
      <c r="E751" s="243"/>
      <c r="F751" s="243"/>
      <c r="G751" s="243"/>
      <c r="H751" s="243"/>
      <c r="I751" s="243"/>
      <c r="J751" s="243"/>
      <c r="K751" s="243"/>
      <c r="L751" s="243"/>
      <c r="M751" s="243"/>
      <c r="N751" s="243"/>
      <c r="O751" s="243"/>
      <c r="P751" s="243"/>
      <c r="Q751" s="243"/>
      <c r="R751" s="243"/>
      <c r="S751" s="243"/>
      <c r="T751" s="243"/>
      <c r="U751" s="243"/>
      <c r="V751" s="243"/>
      <c r="W751" s="243"/>
      <c r="X751" s="243"/>
      <c r="Y751" s="243"/>
      <c r="Z751" s="243"/>
    </row>
    <row r="752">
      <c r="A752" s="243"/>
      <c r="B752" s="243"/>
      <c r="C752" s="243"/>
      <c r="D752" s="243"/>
      <c r="E752" s="243"/>
      <c r="F752" s="243"/>
      <c r="G752" s="243"/>
      <c r="H752" s="243"/>
      <c r="I752" s="243"/>
      <c r="J752" s="243"/>
      <c r="K752" s="243"/>
      <c r="L752" s="243"/>
      <c r="M752" s="243"/>
      <c r="N752" s="243"/>
      <c r="O752" s="243"/>
      <c r="P752" s="243"/>
      <c r="Q752" s="243"/>
      <c r="R752" s="243"/>
      <c r="S752" s="243"/>
      <c r="T752" s="243"/>
      <c r="U752" s="243"/>
      <c r="V752" s="243"/>
      <c r="W752" s="243"/>
      <c r="X752" s="243"/>
      <c r="Y752" s="243"/>
      <c r="Z752" s="243"/>
    </row>
    <row r="753">
      <c r="A753" s="243"/>
      <c r="B753" s="243"/>
      <c r="C753" s="243"/>
      <c r="D753" s="243"/>
      <c r="E753" s="243"/>
      <c r="F753" s="243"/>
      <c r="G753" s="243"/>
      <c r="H753" s="243"/>
      <c r="I753" s="243"/>
      <c r="J753" s="243"/>
      <c r="K753" s="243"/>
      <c r="L753" s="243"/>
      <c r="M753" s="243"/>
      <c r="N753" s="243"/>
      <c r="O753" s="243"/>
      <c r="P753" s="243"/>
      <c r="Q753" s="243"/>
      <c r="R753" s="243"/>
      <c r="S753" s="243"/>
      <c r="T753" s="243"/>
      <c r="U753" s="243"/>
      <c r="V753" s="243"/>
      <c r="W753" s="243"/>
      <c r="X753" s="243"/>
      <c r="Y753" s="243"/>
      <c r="Z753" s="243"/>
    </row>
    <row r="754">
      <c r="A754" s="243"/>
      <c r="B754" s="243"/>
      <c r="C754" s="243"/>
      <c r="D754" s="243"/>
      <c r="E754" s="243"/>
      <c r="F754" s="243"/>
      <c r="G754" s="243"/>
      <c r="H754" s="243"/>
      <c r="I754" s="243"/>
      <c r="J754" s="243"/>
      <c r="K754" s="243"/>
      <c r="L754" s="243"/>
      <c r="M754" s="243"/>
      <c r="N754" s="243"/>
      <c r="O754" s="243"/>
      <c r="P754" s="243"/>
      <c r="Q754" s="243"/>
      <c r="R754" s="243"/>
      <c r="S754" s="243"/>
      <c r="T754" s="243"/>
      <c r="U754" s="243"/>
      <c r="V754" s="243"/>
      <c r="W754" s="243"/>
      <c r="X754" s="243"/>
      <c r="Y754" s="243"/>
      <c r="Z754" s="243"/>
    </row>
    <row r="755">
      <c r="A755" s="243"/>
      <c r="B755" s="243"/>
      <c r="C755" s="243"/>
      <c r="D755" s="243"/>
      <c r="E755" s="243"/>
      <c r="F755" s="243"/>
      <c r="G755" s="243"/>
      <c r="H755" s="243"/>
      <c r="I755" s="243"/>
      <c r="J755" s="243"/>
      <c r="K755" s="243"/>
      <c r="L755" s="243"/>
      <c r="M755" s="243"/>
      <c r="N755" s="243"/>
      <c r="O755" s="243"/>
      <c r="P755" s="243"/>
      <c r="Q755" s="243"/>
      <c r="R755" s="243"/>
      <c r="S755" s="243"/>
      <c r="T755" s="243"/>
      <c r="U755" s="243"/>
      <c r="V755" s="243"/>
      <c r="W755" s="243"/>
      <c r="X755" s="243"/>
      <c r="Y755" s="243"/>
      <c r="Z755" s="243"/>
    </row>
    <row r="756">
      <c r="A756" s="243"/>
      <c r="B756" s="243"/>
      <c r="C756" s="243"/>
      <c r="D756" s="243"/>
      <c r="E756" s="243"/>
      <c r="F756" s="243"/>
      <c r="G756" s="243"/>
      <c r="H756" s="243"/>
      <c r="I756" s="243"/>
      <c r="J756" s="243"/>
      <c r="K756" s="243"/>
      <c r="L756" s="243"/>
      <c r="M756" s="243"/>
      <c r="N756" s="243"/>
      <c r="O756" s="243"/>
      <c r="P756" s="243"/>
      <c r="Q756" s="243"/>
      <c r="R756" s="243"/>
      <c r="S756" s="243"/>
      <c r="T756" s="243"/>
      <c r="U756" s="243"/>
      <c r="V756" s="243"/>
      <c r="W756" s="243"/>
      <c r="X756" s="243"/>
      <c r="Y756" s="243"/>
      <c r="Z756" s="243"/>
    </row>
    <row r="757">
      <c r="A757" s="243"/>
      <c r="B757" s="243"/>
      <c r="C757" s="243"/>
      <c r="D757" s="243"/>
      <c r="E757" s="243"/>
      <c r="F757" s="243"/>
      <c r="G757" s="243"/>
      <c r="H757" s="243"/>
      <c r="I757" s="243"/>
      <c r="J757" s="243"/>
      <c r="K757" s="243"/>
      <c r="L757" s="243"/>
      <c r="M757" s="243"/>
      <c r="N757" s="243"/>
      <c r="O757" s="243"/>
      <c r="P757" s="243"/>
      <c r="Q757" s="243"/>
      <c r="R757" s="243"/>
      <c r="S757" s="243"/>
      <c r="T757" s="243"/>
      <c r="U757" s="243"/>
      <c r="V757" s="243"/>
      <c r="W757" s="243"/>
      <c r="X757" s="243"/>
      <c r="Y757" s="243"/>
      <c r="Z757" s="243"/>
    </row>
    <row r="758">
      <c r="A758" s="243"/>
      <c r="B758" s="243"/>
      <c r="C758" s="243"/>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c r="Z758" s="243"/>
    </row>
    <row r="759">
      <c r="A759" s="243"/>
      <c r="B759" s="243"/>
      <c r="C759" s="243"/>
      <c r="D759" s="243"/>
      <c r="E759" s="243"/>
      <c r="F759" s="243"/>
      <c r="G759" s="243"/>
      <c r="H759" s="243"/>
      <c r="I759" s="243"/>
      <c r="J759" s="243"/>
      <c r="K759" s="243"/>
      <c r="L759" s="243"/>
      <c r="M759" s="243"/>
      <c r="N759" s="243"/>
      <c r="O759" s="243"/>
      <c r="P759" s="243"/>
      <c r="Q759" s="243"/>
      <c r="R759" s="243"/>
      <c r="S759" s="243"/>
      <c r="T759" s="243"/>
      <c r="U759" s="243"/>
      <c r="V759" s="243"/>
      <c r="W759" s="243"/>
      <c r="X759" s="243"/>
      <c r="Y759" s="243"/>
      <c r="Z759" s="243"/>
    </row>
    <row r="760">
      <c r="A760" s="243"/>
      <c r="B760" s="243"/>
      <c r="C760" s="243"/>
      <c r="D760" s="243"/>
      <c r="E760" s="243"/>
      <c r="F760" s="243"/>
      <c r="G760" s="243"/>
      <c r="H760" s="243"/>
      <c r="I760" s="243"/>
      <c r="J760" s="243"/>
      <c r="K760" s="243"/>
      <c r="L760" s="243"/>
      <c r="M760" s="243"/>
      <c r="N760" s="243"/>
      <c r="O760" s="243"/>
      <c r="P760" s="243"/>
      <c r="Q760" s="243"/>
      <c r="R760" s="243"/>
      <c r="S760" s="243"/>
      <c r="T760" s="243"/>
      <c r="U760" s="243"/>
      <c r="V760" s="243"/>
      <c r="W760" s="243"/>
      <c r="X760" s="243"/>
      <c r="Y760" s="243"/>
      <c r="Z760" s="243"/>
    </row>
    <row r="761">
      <c r="A761" s="243"/>
      <c r="B761" s="243"/>
      <c r="C761" s="243"/>
      <c r="D761" s="243"/>
      <c r="E761" s="243"/>
      <c r="F761" s="243"/>
      <c r="G761" s="243"/>
      <c r="H761" s="243"/>
      <c r="I761" s="243"/>
      <c r="J761" s="243"/>
      <c r="K761" s="243"/>
      <c r="L761" s="243"/>
      <c r="M761" s="243"/>
      <c r="N761" s="243"/>
      <c r="O761" s="243"/>
      <c r="P761" s="243"/>
      <c r="Q761" s="243"/>
      <c r="R761" s="243"/>
      <c r="S761" s="243"/>
      <c r="T761" s="243"/>
      <c r="U761" s="243"/>
      <c r="V761" s="243"/>
      <c r="W761" s="243"/>
      <c r="X761" s="243"/>
      <c r="Y761" s="243"/>
      <c r="Z761" s="243"/>
    </row>
    <row r="762">
      <c r="A762" s="243"/>
      <c r="B762" s="243"/>
      <c r="C762" s="243"/>
      <c r="D762" s="243"/>
      <c r="E762" s="243"/>
      <c r="F762" s="243"/>
      <c r="G762" s="243"/>
      <c r="H762" s="243"/>
      <c r="I762" s="243"/>
      <c r="J762" s="243"/>
      <c r="K762" s="243"/>
      <c r="L762" s="243"/>
      <c r="M762" s="243"/>
      <c r="N762" s="243"/>
      <c r="O762" s="243"/>
      <c r="P762" s="243"/>
      <c r="Q762" s="243"/>
      <c r="R762" s="243"/>
      <c r="S762" s="243"/>
      <c r="T762" s="243"/>
      <c r="U762" s="243"/>
      <c r="V762" s="243"/>
      <c r="W762" s="243"/>
      <c r="X762" s="243"/>
      <c r="Y762" s="243"/>
      <c r="Z762" s="243"/>
    </row>
    <row r="763">
      <c r="A763" s="243"/>
      <c r="B763" s="243"/>
      <c r="C763" s="243"/>
      <c r="D763" s="243"/>
      <c r="E763" s="243"/>
      <c r="F763" s="243"/>
      <c r="G763" s="243"/>
      <c r="H763" s="243"/>
      <c r="I763" s="243"/>
      <c r="J763" s="243"/>
      <c r="K763" s="243"/>
      <c r="L763" s="243"/>
      <c r="M763" s="243"/>
      <c r="N763" s="243"/>
      <c r="O763" s="243"/>
      <c r="P763" s="243"/>
      <c r="Q763" s="243"/>
      <c r="R763" s="243"/>
      <c r="S763" s="243"/>
      <c r="T763" s="243"/>
      <c r="U763" s="243"/>
      <c r="V763" s="243"/>
      <c r="W763" s="243"/>
      <c r="X763" s="243"/>
      <c r="Y763" s="243"/>
      <c r="Z763" s="243"/>
    </row>
    <row r="764">
      <c r="A764" s="243"/>
      <c r="B764" s="243"/>
      <c r="C764" s="243"/>
      <c r="D764" s="243"/>
      <c r="E764" s="243"/>
      <c r="F764" s="243"/>
      <c r="G764" s="243"/>
      <c r="H764" s="243"/>
      <c r="I764" s="243"/>
      <c r="J764" s="243"/>
      <c r="K764" s="243"/>
      <c r="L764" s="243"/>
      <c r="M764" s="243"/>
      <c r="N764" s="243"/>
      <c r="O764" s="243"/>
      <c r="P764" s="243"/>
      <c r="Q764" s="243"/>
      <c r="R764" s="243"/>
      <c r="S764" s="243"/>
      <c r="T764" s="243"/>
      <c r="U764" s="243"/>
      <c r="V764" s="243"/>
      <c r="W764" s="243"/>
      <c r="X764" s="243"/>
      <c r="Y764" s="243"/>
      <c r="Z764" s="243"/>
    </row>
    <row r="765">
      <c r="A765" s="243"/>
      <c r="B765" s="243"/>
      <c r="C765" s="243"/>
      <c r="D765" s="243"/>
      <c r="E765" s="243"/>
      <c r="F765" s="243"/>
      <c r="G765" s="243"/>
      <c r="H765" s="243"/>
      <c r="I765" s="243"/>
      <c r="J765" s="243"/>
      <c r="K765" s="243"/>
      <c r="L765" s="243"/>
      <c r="M765" s="243"/>
      <c r="N765" s="243"/>
      <c r="O765" s="243"/>
      <c r="P765" s="243"/>
      <c r="Q765" s="243"/>
      <c r="R765" s="243"/>
      <c r="S765" s="243"/>
      <c r="T765" s="243"/>
      <c r="U765" s="243"/>
      <c r="V765" s="243"/>
      <c r="W765" s="243"/>
      <c r="X765" s="243"/>
      <c r="Y765" s="243"/>
      <c r="Z765" s="243"/>
    </row>
    <row r="766">
      <c r="A766" s="243"/>
      <c r="B766" s="243"/>
      <c r="C766" s="243"/>
      <c r="D766" s="243"/>
      <c r="E766" s="243"/>
      <c r="F766" s="243"/>
      <c r="G766" s="243"/>
      <c r="H766" s="243"/>
      <c r="I766" s="243"/>
      <c r="J766" s="243"/>
      <c r="K766" s="243"/>
      <c r="L766" s="243"/>
      <c r="M766" s="243"/>
      <c r="N766" s="243"/>
      <c r="O766" s="243"/>
      <c r="P766" s="243"/>
      <c r="Q766" s="243"/>
      <c r="R766" s="243"/>
      <c r="S766" s="243"/>
      <c r="T766" s="243"/>
      <c r="U766" s="243"/>
      <c r="V766" s="243"/>
      <c r="W766" s="243"/>
      <c r="X766" s="243"/>
      <c r="Y766" s="243"/>
      <c r="Z766" s="243"/>
    </row>
    <row r="767">
      <c r="A767" s="243"/>
      <c r="B767" s="243"/>
      <c r="C767" s="243"/>
      <c r="D767" s="243"/>
      <c r="E767" s="243"/>
      <c r="F767" s="243"/>
      <c r="G767" s="243"/>
      <c r="H767" s="243"/>
      <c r="I767" s="243"/>
      <c r="J767" s="243"/>
      <c r="K767" s="243"/>
      <c r="L767" s="243"/>
      <c r="M767" s="243"/>
      <c r="N767" s="243"/>
      <c r="O767" s="243"/>
      <c r="P767" s="243"/>
      <c r="Q767" s="243"/>
      <c r="R767" s="243"/>
      <c r="S767" s="243"/>
      <c r="T767" s="243"/>
      <c r="U767" s="243"/>
      <c r="V767" s="243"/>
      <c r="W767" s="243"/>
      <c r="X767" s="243"/>
      <c r="Y767" s="243"/>
      <c r="Z767" s="243"/>
    </row>
    <row r="768">
      <c r="A768" s="243"/>
      <c r="B768" s="243"/>
      <c r="C768" s="243"/>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c r="Z768" s="243"/>
    </row>
    <row r="769">
      <c r="A769" s="243"/>
      <c r="B769" s="243"/>
      <c r="C769" s="243"/>
      <c r="D769" s="243"/>
      <c r="E769" s="243"/>
      <c r="F769" s="243"/>
      <c r="G769" s="243"/>
      <c r="H769" s="243"/>
      <c r="I769" s="243"/>
      <c r="J769" s="243"/>
      <c r="K769" s="243"/>
      <c r="L769" s="243"/>
      <c r="M769" s="243"/>
      <c r="N769" s="243"/>
      <c r="O769" s="243"/>
      <c r="P769" s="243"/>
      <c r="Q769" s="243"/>
      <c r="R769" s="243"/>
      <c r="S769" s="243"/>
      <c r="T769" s="243"/>
      <c r="U769" s="243"/>
      <c r="V769" s="243"/>
      <c r="W769" s="243"/>
      <c r="X769" s="243"/>
      <c r="Y769" s="243"/>
      <c r="Z769" s="243"/>
    </row>
    <row r="770">
      <c r="A770" s="243"/>
      <c r="B770" s="243"/>
      <c r="C770" s="243"/>
      <c r="D770" s="243"/>
      <c r="E770" s="243"/>
      <c r="F770" s="243"/>
      <c r="G770" s="243"/>
      <c r="H770" s="243"/>
      <c r="I770" s="243"/>
      <c r="J770" s="243"/>
      <c r="K770" s="243"/>
      <c r="L770" s="243"/>
      <c r="M770" s="243"/>
      <c r="N770" s="243"/>
      <c r="O770" s="243"/>
      <c r="P770" s="243"/>
      <c r="Q770" s="243"/>
      <c r="R770" s="243"/>
      <c r="S770" s="243"/>
      <c r="T770" s="243"/>
      <c r="U770" s="243"/>
      <c r="V770" s="243"/>
      <c r="W770" s="243"/>
      <c r="X770" s="243"/>
      <c r="Y770" s="243"/>
      <c r="Z770" s="243"/>
    </row>
    <row r="771">
      <c r="A771" s="243"/>
      <c r="B771" s="243"/>
      <c r="C771" s="243"/>
      <c r="D771" s="243"/>
      <c r="E771" s="243"/>
      <c r="F771" s="243"/>
      <c r="G771" s="243"/>
      <c r="H771" s="243"/>
      <c r="I771" s="243"/>
      <c r="J771" s="243"/>
      <c r="K771" s="243"/>
      <c r="L771" s="243"/>
      <c r="M771" s="243"/>
      <c r="N771" s="243"/>
      <c r="O771" s="243"/>
      <c r="P771" s="243"/>
      <c r="Q771" s="243"/>
      <c r="R771" s="243"/>
      <c r="S771" s="243"/>
      <c r="T771" s="243"/>
      <c r="U771" s="243"/>
      <c r="V771" s="243"/>
      <c r="W771" s="243"/>
      <c r="X771" s="243"/>
      <c r="Y771" s="243"/>
      <c r="Z771" s="243"/>
    </row>
    <row r="772">
      <c r="A772" s="243"/>
      <c r="B772" s="243"/>
      <c r="C772" s="243"/>
      <c r="D772" s="243"/>
      <c r="E772" s="243"/>
      <c r="F772" s="243"/>
      <c r="G772" s="243"/>
      <c r="H772" s="243"/>
      <c r="I772" s="243"/>
      <c r="J772" s="243"/>
      <c r="K772" s="243"/>
      <c r="L772" s="243"/>
      <c r="M772" s="243"/>
      <c r="N772" s="243"/>
      <c r="O772" s="243"/>
      <c r="P772" s="243"/>
      <c r="Q772" s="243"/>
      <c r="R772" s="243"/>
      <c r="S772" s="243"/>
      <c r="T772" s="243"/>
      <c r="U772" s="243"/>
      <c r="V772" s="243"/>
      <c r="W772" s="243"/>
      <c r="X772" s="243"/>
      <c r="Y772" s="243"/>
      <c r="Z772" s="243"/>
    </row>
    <row r="773">
      <c r="A773" s="243"/>
      <c r="B773" s="243"/>
      <c r="C773" s="243"/>
      <c r="D773" s="243"/>
      <c r="E773" s="243"/>
      <c r="F773" s="243"/>
      <c r="G773" s="243"/>
      <c r="H773" s="243"/>
      <c r="I773" s="243"/>
      <c r="J773" s="243"/>
      <c r="K773" s="243"/>
      <c r="L773" s="243"/>
      <c r="M773" s="243"/>
      <c r="N773" s="243"/>
      <c r="O773" s="243"/>
      <c r="P773" s="243"/>
      <c r="Q773" s="243"/>
      <c r="R773" s="243"/>
      <c r="S773" s="243"/>
      <c r="T773" s="243"/>
      <c r="U773" s="243"/>
      <c r="V773" s="243"/>
      <c r="W773" s="243"/>
      <c r="X773" s="243"/>
      <c r="Y773" s="243"/>
      <c r="Z773" s="243"/>
    </row>
    <row r="774">
      <c r="A774" s="243"/>
      <c r="B774" s="243"/>
      <c r="C774" s="243"/>
      <c r="D774" s="243"/>
      <c r="E774" s="243"/>
      <c r="F774" s="243"/>
      <c r="G774" s="243"/>
      <c r="H774" s="243"/>
      <c r="I774" s="243"/>
      <c r="J774" s="243"/>
      <c r="K774" s="243"/>
      <c r="L774" s="243"/>
      <c r="M774" s="243"/>
      <c r="N774" s="243"/>
      <c r="O774" s="243"/>
      <c r="P774" s="243"/>
      <c r="Q774" s="243"/>
      <c r="R774" s="243"/>
      <c r="S774" s="243"/>
      <c r="T774" s="243"/>
      <c r="U774" s="243"/>
      <c r="V774" s="243"/>
      <c r="W774" s="243"/>
      <c r="X774" s="243"/>
      <c r="Y774" s="243"/>
      <c r="Z774" s="243"/>
    </row>
    <row r="775">
      <c r="A775" s="243"/>
      <c r="B775" s="243"/>
      <c r="C775" s="243"/>
      <c r="D775" s="243"/>
      <c r="E775" s="243"/>
      <c r="F775" s="243"/>
      <c r="G775" s="243"/>
      <c r="H775" s="243"/>
      <c r="I775" s="243"/>
      <c r="J775" s="243"/>
      <c r="K775" s="243"/>
      <c r="L775" s="243"/>
      <c r="M775" s="243"/>
      <c r="N775" s="243"/>
      <c r="O775" s="243"/>
      <c r="P775" s="243"/>
      <c r="Q775" s="243"/>
      <c r="R775" s="243"/>
      <c r="S775" s="243"/>
      <c r="T775" s="243"/>
      <c r="U775" s="243"/>
      <c r="V775" s="243"/>
      <c r="W775" s="243"/>
      <c r="X775" s="243"/>
      <c r="Y775" s="243"/>
      <c r="Z775" s="243"/>
    </row>
    <row r="776">
      <c r="A776" s="243"/>
      <c r="B776" s="243"/>
      <c r="C776" s="243"/>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c r="Z776" s="243"/>
    </row>
    <row r="777">
      <c r="A777" s="243"/>
      <c r="B777" s="243"/>
      <c r="C777" s="243"/>
      <c r="D777" s="243"/>
      <c r="E777" s="243"/>
      <c r="F777" s="243"/>
      <c r="G777" s="243"/>
      <c r="H777" s="243"/>
      <c r="I777" s="243"/>
      <c r="J777" s="243"/>
      <c r="K777" s="243"/>
      <c r="L777" s="243"/>
      <c r="M777" s="243"/>
      <c r="N777" s="243"/>
      <c r="O777" s="243"/>
      <c r="P777" s="243"/>
      <c r="Q777" s="243"/>
      <c r="R777" s="243"/>
      <c r="S777" s="243"/>
      <c r="T777" s="243"/>
      <c r="U777" s="243"/>
      <c r="V777" s="243"/>
      <c r="W777" s="243"/>
      <c r="X777" s="243"/>
      <c r="Y777" s="243"/>
      <c r="Z777" s="243"/>
    </row>
    <row r="778">
      <c r="A778" s="243"/>
      <c r="B778" s="243"/>
      <c r="C778" s="243"/>
      <c r="D778" s="243"/>
      <c r="E778" s="243"/>
      <c r="F778" s="243"/>
      <c r="G778" s="243"/>
      <c r="H778" s="243"/>
      <c r="I778" s="243"/>
      <c r="J778" s="243"/>
      <c r="K778" s="243"/>
      <c r="L778" s="243"/>
      <c r="M778" s="243"/>
      <c r="N778" s="243"/>
      <c r="O778" s="243"/>
      <c r="P778" s="243"/>
      <c r="Q778" s="243"/>
      <c r="R778" s="243"/>
      <c r="S778" s="243"/>
      <c r="T778" s="243"/>
      <c r="U778" s="243"/>
      <c r="V778" s="243"/>
      <c r="W778" s="243"/>
      <c r="X778" s="243"/>
      <c r="Y778" s="243"/>
      <c r="Z778" s="243"/>
    </row>
    <row r="779">
      <c r="A779" s="243"/>
      <c r="B779" s="243"/>
      <c r="C779" s="243"/>
      <c r="D779" s="243"/>
      <c r="E779" s="243"/>
      <c r="F779" s="243"/>
      <c r="G779" s="243"/>
      <c r="H779" s="243"/>
      <c r="I779" s="243"/>
      <c r="J779" s="243"/>
      <c r="K779" s="243"/>
      <c r="L779" s="243"/>
      <c r="M779" s="243"/>
      <c r="N779" s="243"/>
      <c r="O779" s="243"/>
      <c r="P779" s="243"/>
      <c r="Q779" s="243"/>
      <c r="R779" s="243"/>
      <c r="S779" s="243"/>
      <c r="T779" s="243"/>
      <c r="U779" s="243"/>
      <c r="V779" s="243"/>
      <c r="W779" s="243"/>
      <c r="X779" s="243"/>
      <c r="Y779" s="243"/>
      <c r="Z779" s="243"/>
    </row>
    <row r="780">
      <c r="A780" s="243"/>
      <c r="B780" s="243"/>
      <c r="C780" s="243"/>
      <c r="D780" s="243"/>
      <c r="E780" s="243"/>
      <c r="F780" s="243"/>
      <c r="G780" s="243"/>
      <c r="H780" s="243"/>
      <c r="I780" s="243"/>
      <c r="J780" s="243"/>
      <c r="K780" s="243"/>
      <c r="L780" s="243"/>
      <c r="M780" s="243"/>
      <c r="N780" s="243"/>
      <c r="O780" s="243"/>
      <c r="P780" s="243"/>
      <c r="Q780" s="243"/>
      <c r="R780" s="243"/>
      <c r="S780" s="243"/>
      <c r="T780" s="243"/>
      <c r="U780" s="243"/>
      <c r="V780" s="243"/>
      <c r="W780" s="243"/>
      <c r="X780" s="243"/>
      <c r="Y780" s="243"/>
      <c r="Z780" s="243"/>
    </row>
    <row r="781">
      <c r="A781" s="243"/>
      <c r="B781" s="243"/>
      <c r="C781" s="243"/>
      <c r="D781" s="243"/>
      <c r="E781" s="243"/>
      <c r="F781" s="243"/>
      <c r="G781" s="243"/>
      <c r="H781" s="243"/>
      <c r="I781" s="243"/>
      <c r="J781" s="243"/>
      <c r="K781" s="243"/>
      <c r="L781" s="243"/>
      <c r="M781" s="243"/>
      <c r="N781" s="243"/>
      <c r="O781" s="243"/>
      <c r="P781" s="243"/>
      <c r="Q781" s="243"/>
      <c r="R781" s="243"/>
      <c r="S781" s="243"/>
      <c r="T781" s="243"/>
      <c r="U781" s="243"/>
      <c r="V781" s="243"/>
      <c r="W781" s="243"/>
      <c r="X781" s="243"/>
      <c r="Y781" s="243"/>
      <c r="Z781" s="243"/>
    </row>
    <row r="782">
      <c r="A782" s="243"/>
      <c r="B782" s="243"/>
      <c r="C782" s="243"/>
      <c r="D782" s="243"/>
      <c r="E782" s="243"/>
      <c r="F782" s="243"/>
      <c r="G782" s="243"/>
      <c r="H782" s="243"/>
      <c r="I782" s="243"/>
      <c r="J782" s="243"/>
      <c r="K782" s="243"/>
      <c r="L782" s="243"/>
      <c r="M782" s="243"/>
      <c r="N782" s="243"/>
      <c r="O782" s="243"/>
      <c r="P782" s="243"/>
      <c r="Q782" s="243"/>
      <c r="R782" s="243"/>
      <c r="S782" s="243"/>
      <c r="T782" s="243"/>
      <c r="U782" s="243"/>
      <c r="V782" s="243"/>
      <c r="W782" s="243"/>
      <c r="X782" s="243"/>
      <c r="Y782" s="243"/>
      <c r="Z782" s="243"/>
    </row>
    <row r="783">
      <c r="A783" s="243"/>
      <c r="B783" s="243"/>
      <c r="C783" s="243"/>
      <c r="D783" s="243"/>
      <c r="E783" s="243"/>
      <c r="F783" s="243"/>
      <c r="G783" s="243"/>
      <c r="H783" s="243"/>
      <c r="I783" s="243"/>
      <c r="J783" s="243"/>
      <c r="K783" s="243"/>
      <c r="L783" s="243"/>
      <c r="M783" s="243"/>
      <c r="N783" s="243"/>
      <c r="O783" s="243"/>
      <c r="P783" s="243"/>
      <c r="Q783" s="243"/>
      <c r="R783" s="243"/>
      <c r="S783" s="243"/>
      <c r="T783" s="243"/>
      <c r="U783" s="243"/>
      <c r="V783" s="243"/>
      <c r="W783" s="243"/>
      <c r="X783" s="243"/>
      <c r="Y783" s="243"/>
      <c r="Z783" s="243"/>
    </row>
    <row r="784">
      <c r="A784" s="243"/>
      <c r="B784" s="243"/>
      <c r="C784" s="243"/>
      <c r="D784" s="243"/>
      <c r="E784" s="243"/>
      <c r="F784" s="243"/>
      <c r="G784" s="243"/>
      <c r="H784" s="243"/>
      <c r="I784" s="243"/>
      <c r="J784" s="243"/>
      <c r="K784" s="243"/>
      <c r="L784" s="243"/>
      <c r="M784" s="243"/>
      <c r="N784" s="243"/>
      <c r="O784" s="243"/>
      <c r="P784" s="243"/>
      <c r="Q784" s="243"/>
      <c r="R784" s="243"/>
      <c r="S784" s="243"/>
      <c r="T784" s="243"/>
      <c r="U784" s="243"/>
      <c r="V784" s="243"/>
      <c r="W784" s="243"/>
      <c r="X784" s="243"/>
      <c r="Y784" s="243"/>
      <c r="Z784" s="243"/>
    </row>
    <row r="785">
      <c r="A785" s="243"/>
      <c r="B785" s="243"/>
      <c r="C785" s="243"/>
      <c r="D785" s="243"/>
      <c r="E785" s="243"/>
      <c r="F785" s="243"/>
      <c r="G785" s="243"/>
      <c r="H785" s="243"/>
      <c r="I785" s="243"/>
      <c r="J785" s="243"/>
      <c r="K785" s="243"/>
      <c r="L785" s="243"/>
      <c r="M785" s="243"/>
      <c r="N785" s="243"/>
      <c r="O785" s="243"/>
      <c r="P785" s="243"/>
      <c r="Q785" s="243"/>
      <c r="R785" s="243"/>
      <c r="S785" s="243"/>
      <c r="T785" s="243"/>
      <c r="U785" s="243"/>
      <c r="V785" s="243"/>
      <c r="W785" s="243"/>
      <c r="X785" s="243"/>
      <c r="Y785" s="243"/>
      <c r="Z785" s="243"/>
    </row>
    <row r="786">
      <c r="A786" s="243"/>
      <c r="B786" s="243"/>
      <c r="C786" s="243"/>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c r="Z786" s="243"/>
    </row>
    <row r="787">
      <c r="A787" s="243"/>
      <c r="B787" s="243"/>
      <c r="C787" s="243"/>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c r="Z787" s="243"/>
    </row>
    <row r="788">
      <c r="A788" s="243"/>
      <c r="B788" s="243"/>
      <c r="C788" s="243"/>
      <c r="D788" s="243"/>
      <c r="E788" s="243"/>
      <c r="F788" s="243"/>
      <c r="G788" s="243"/>
      <c r="H788" s="243"/>
      <c r="I788" s="243"/>
      <c r="J788" s="243"/>
      <c r="K788" s="243"/>
      <c r="L788" s="243"/>
      <c r="M788" s="243"/>
      <c r="N788" s="243"/>
      <c r="O788" s="243"/>
      <c r="P788" s="243"/>
      <c r="Q788" s="243"/>
      <c r="R788" s="243"/>
      <c r="S788" s="243"/>
      <c r="T788" s="243"/>
      <c r="U788" s="243"/>
      <c r="V788" s="243"/>
      <c r="W788" s="243"/>
      <c r="X788" s="243"/>
      <c r="Y788" s="243"/>
      <c r="Z788" s="243"/>
    </row>
    <row r="789">
      <c r="A789" s="243"/>
      <c r="B789" s="243"/>
      <c r="C789" s="243"/>
      <c r="D789" s="243"/>
      <c r="E789" s="243"/>
      <c r="F789" s="243"/>
      <c r="G789" s="243"/>
      <c r="H789" s="243"/>
      <c r="I789" s="243"/>
      <c r="J789" s="243"/>
      <c r="K789" s="243"/>
      <c r="L789" s="243"/>
      <c r="M789" s="243"/>
      <c r="N789" s="243"/>
      <c r="O789" s="243"/>
      <c r="P789" s="243"/>
      <c r="Q789" s="243"/>
      <c r="R789" s="243"/>
      <c r="S789" s="243"/>
      <c r="T789" s="243"/>
      <c r="U789" s="243"/>
      <c r="V789" s="243"/>
      <c r="W789" s="243"/>
      <c r="X789" s="243"/>
      <c r="Y789" s="243"/>
      <c r="Z789" s="243"/>
    </row>
    <row r="790">
      <c r="A790" s="243"/>
      <c r="B790" s="243"/>
      <c r="C790" s="243"/>
      <c r="D790" s="243"/>
      <c r="E790" s="243"/>
      <c r="F790" s="243"/>
      <c r="G790" s="243"/>
      <c r="H790" s="243"/>
      <c r="I790" s="243"/>
      <c r="J790" s="243"/>
      <c r="K790" s="243"/>
      <c r="L790" s="243"/>
      <c r="M790" s="243"/>
      <c r="N790" s="243"/>
      <c r="O790" s="243"/>
      <c r="P790" s="243"/>
      <c r="Q790" s="243"/>
      <c r="R790" s="243"/>
      <c r="S790" s="243"/>
      <c r="T790" s="243"/>
      <c r="U790" s="243"/>
      <c r="V790" s="243"/>
      <c r="W790" s="243"/>
      <c r="X790" s="243"/>
      <c r="Y790" s="243"/>
      <c r="Z790" s="243"/>
    </row>
    <row r="791">
      <c r="A791" s="243"/>
      <c r="B791" s="243"/>
      <c r="C791" s="243"/>
      <c r="D791" s="243"/>
      <c r="E791" s="243"/>
      <c r="F791" s="243"/>
      <c r="G791" s="243"/>
      <c r="H791" s="243"/>
      <c r="I791" s="243"/>
      <c r="J791" s="243"/>
      <c r="K791" s="243"/>
      <c r="L791" s="243"/>
      <c r="M791" s="243"/>
      <c r="N791" s="243"/>
      <c r="O791" s="243"/>
      <c r="P791" s="243"/>
      <c r="Q791" s="243"/>
      <c r="R791" s="243"/>
      <c r="S791" s="243"/>
      <c r="T791" s="243"/>
      <c r="U791" s="243"/>
      <c r="V791" s="243"/>
      <c r="W791" s="243"/>
      <c r="X791" s="243"/>
      <c r="Y791" s="243"/>
      <c r="Z791" s="243"/>
    </row>
    <row r="792">
      <c r="A792" s="243"/>
      <c r="B792" s="243"/>
      <c r="C792" s="243"/>
      <c r="D792" s="243"/>
      <c r="E792" s="243"/>
      <c r="F792" s="243"/>
      <c r="G792" s="243"/>
      <c r="H792" s="243"/>
      <c r="I792" s="243"/>
      <c r="J792" s="243"/>
      <c r="K792" s="243"/>
      <c r="L792" s="243"/>
      <c r="M792" s="243"/>
      <c r="N792" s="243"/>
      <c r="O792" s="243"/>
      <c r="P792" s="243"/>
      <c r="Q792" s="243"/>
      <c r="R792" s="243"/>
      <c r="S792" s="243"/>
      <c r="T792" s="243"/>
      <c r="U792" s="243"/>
      <c r="V792" s="243"/>
      <c r="W792" s="243"/>
      <c r="X792" s="243"/>
      <c r="Y792" s="243"/>
      <c r="Z792" s="243"/>
    </row>
    <row r="793">
      <c r="A793" s="243"/>
      <c r="B793" s="243"/>
      <c r="C793" s="243"/>
      <c r="D793" s="243"/>
      <c r="E793" s="243"/>
      <c r="F793" s="243"/>
      <c r="G793" s="243"/>
      <c r="H793" s="243"/>
      <c r="I793" s="243"/>
      <c r="J793" s="243"/>
      <c r="K793" s="243"/>
      <c r="L793" s="243"/>
      <c r="M793" s="243"/>
      <c r="N793" s="243"/>
      <c r="O793" s="243"/>
      <c r="P793" s="243"/>
      <c r="Q793" s="243"/>
      <c r="R793" s="243"/>
      <c r="S793" s="243"/>
      <c r="T793" s="243"/>
      <c r="U793" s="243"/>
      <c r="V793" s="243"/>
      <c r="W793" s="243"/>
      <c r="X793" s="243"/>
      <c r="Y793" s="243"/>
      <c r="Z793" s="243"/>
    </row>
    <row r="794">
      <c r="A794" s="243"/>
      <c r="B794" s="243"/>
      <c r="C794" s="243"/>
      <c r="D794" s="243"/>
      <c r="E794" s="243"/>
      <c r="F794" s="243"/>
      <c r="G794" s="243"/>
      <c r="H794" s="243"/>
      <c r="I794" s="243"/>
      <c r="J794" s="243"/>
      <c r="K794" s="243"/>
      <c r="L794" s="243"/>
      <c r="M794" s="243"/>
      <c r="N794" s="243"/>
      <c r="O794" s="243"/>
      <c r="P794" s="243"/>
      <c r="Q794" s="243"/>
      <c r="R794" s="243"/>
      <c r="S794" s="243"/>
      <c r="T794" s="243"/>
      <c r="U794" s="243"/>
      <c r="V794" s="243"/>
      <c r="W794" s="243"/>
      <c r="X794" s="243"/>
      <c r="Y794" s="243"/>
      <c r="Z794" s="243"/>
    </row>
    <row r="795">
      <c r="A795" s="243"/>
      <c r="B795" s="243"/>
      <c r="C795" s="243"/>
      <c r="D795" s="243"/>
      <c r="E795" s="243"/>
      <c r="F795" s="243"/>
      <c r="G795" s="243"/>
      <c r="H795" s="243"/>
      <c r="I795" s="243"/>
      <c r="J795" s="243"/>
      <c r="K795" s="243"/>
      <c r="L795" s="243"/>
      <c r="M795" s="243"/>
      <c r="N795" s="243"/>
      <c r="O795" s="243"/>
      <c r="P795" s="243"/>
      <c r="Q795" s="243"/>
      <c r="R795" s="243"/>
      <c r="S795" s="243"/>
      <c r="T795" s="243"/>
      <c r="U795" s="243"/>
      <c r="V795" s="243"/>
      <c r="W795" s="243"/>
      <c r="X795" s="243"/>
      <c r="Y795" s="243"/>
      <c r="Z795" s="243"/>
    </row>
    <row r="796">
      <c r="A796" s="243"/>
      <c r="B796" s="243"/>
      <c r="C796" s="243"/>
      <c r="D796" s="243"/>
      <c r="E796" s="243"/>
      <c r="F796" s="243"/>
      <c r="G796" s="243"/>
      <c r="H796" s="243"/>
      <c r="I796" s="243"/>
      <c r="J796" s="243"/>
      <c r="K796" s="243"/>
      <c r="L796" s="243"/>
      <c r="M796" s="243"/>
      <c r="N796" s="243"/>
      <c r="O796" s="243"/>
      <c r="P796" s="243"/>
      <c r="Q796" s="243"/>
      <c r="R796" s="243"/>
      <c r="S796" s="243"/>
      <c r="T796" s="243"/>
      <c r="U796" s="243"/>
      <c r="V796" s="243"/>
      <c r="W796" s="243"/>
      <c r="X796" s="243"/>
      <c r="Y796" s="243"/>
      <c r="Z796" s="243"/>
    </row>
    <row r="797">
      <c r="A797" s="243"/>
      <c r="B797" s="243"/>
      <c r="C797" s="243"/>
      <c r="D797" s="243"/>
      <c r="E797" s="243"/>
      <c r="F797" s="243"/>
      <c r="G797" s="243"/>
      <c r="H797" s="243"/>
      <c r="I797" s="243"/>
      <c r="J797" s="243"/>
      <c r="K797" s="243"/>
      <c r="L797" s="243"/>
      <c r="M797" s="243"/>
      <c r="N797" s="243"/>
      <c r="O797" s="243"/>
      <c r="P797" s="243"/>
      <c r="Q797" s="243"/>
      <c r="R797" s="243"/>
      <c r="S797" s="243"/>
      <c r="T797" s="243"/>
      <c r="U797" s="243"/>
      <c r="V797" s="243"/>
      <c r="W797" s="243"/>
      <c r="X797" s="243"/>
      <c r="Y797" s="243"/>
      <c r="Z797" s="243"/>
    </row>
    <row r="798">
      <c r="A798" s="243"/>
      <c r="B798" s="243"/>
      <c r="C798" s="243"/>
      <c r="D798" s="243"/>
      <c r="E798" s="243"/>
      <c r="F798" s="243"/>
      <c r="G798" s="243"/>
      <c r="H798" s="243"/>
      <c r="I798" s="243"/>
      <c r="J798" s="243"/>
      <c r="K798" s="243"/>
      <c r="L798" s="243"/>
      <c r="M798" s="243"/>
      <c r="N798" s="243"/>
      <c r="O798" s="243"/>
      <c r="P798" s="243"/>
      <c r="Q798" s="243"/>
      <c r="R798" s="243"/>
      <c r="S798" s="243"/>
      <c r="T798" s="243"/>
      <c r="U798" s="243"/>
      <c r="V798" s="243"/>
      <c r="W798" s="243"/>
      <c r="X798" s="243"/>
      <c r="Y798" s="243"/>
      <c r="Z798" s="243"/>
    </row>
    <row r="799">
      <c r="A799" s="243"/>
      <c r="B799" s="243"/>
      <c r="C799" s="243"/>
      <c r="D799" s="243"/>
      <c r="E799" s="243"/>
      <c r="F799" s="243"/>
      <c r="G799" s="243"/>
      <c r="H799" s="243"/>
      <c r="I799" s="243"/>
      <c r="J799" s="243"/>
      <c r="K799" s="243"/>
      <c r="L799" s="243"/>
      <c r="M799" s="243"/>
      <c r="N799" s="243"/>
      <c r="O799" s="243"/>
      <c r="P799" s="243"/>
      <c r="Q799" s="243"/>
      <c r="R799" s="243"/>
      <c r="S799" s="243"/>
      <c r="T799" s="243"/>
      <c r="U799" s="243"/>
      <c r="V799" s="243"/>
      <c r="W799" s="243"/>
      <c r="X799" s="243"/>
      <c r="Y799" s="243"/>
      <c r="Z799" s="243"/>
    </row>
    <row r="800">
      <c r="A800" s="243"/>
      <c r="B800" s="243"/>
      <c r="C800" s="243"/>
      <c r="D800" s="243"/>
      <c r="E800" s="243"/>
      <c r="F800" s="243"/>
      <c r="G800" s="243"/>
      <c r="H800" s="243"/>
      <c r="I800" s="243"/>
      <c r="J800" s="243"/>
      <c r="K800" s="243"/>
      <c r="L800" s="243"/>
      <c r="M800" s="243"/>
      <c r="N800" s="243"/>
      <c r="O800" s="243"/>
      <c r="P800" s="243"/>
      <c r="Q800" s="243"/>
      <c r="R800" s="243"/>
      <c r="S800" s="243"/>
      <c r="T800" s="243"/>
      <c r="U800" s="243"/>
      <c r="V800" s="243"/>
      <c r="W800" s="243"/>
      <c r="X800" s="243"/>
      <c r="Y800" s="243"/>
      <c r="Z800" s="243"/>
    </row>
    <row r="801">
      <c r="A801" s="243"/>
      <c r="B801" s="243"/>
      <c r="C801" s="243"/>
      <c r="D801" s="243"/>
      <c r="E801" s="243"/>
      <c r="F801" s="243"/>
      <c r="G801" s="243"/>
      <c r="H801" s="243"/>
      <c r="I801" s="243"/>
      <c r="J801" s="243"/>
      <c r="K801" s="243"/>
      <c r="L801" s="243"/>
      <c r="M801" s="243"/>
      <c r="N801" s="243"/>
      <c r="O801" s="243"/>
      <c r="P801" s="243"/>
      <c r="Q801" s="243"/>
      <c r="R801" s="243"/>
      <c r="S801" s="243"/>
      <c r="T801" s="243"/>
      <c r="U801" s="243"/>
      <c r="V801" s="243"/>
      <c r="W801" s="243"/>
      <c r="X801" s="243"/>
      <c r="Y801" s="243"/>
      <c r="Z801" s="243"/>
    </row>
    <row r="802">
      <c r="A802" s="243"/>
      <c r="B802" s="243"/>
      <c r="C802" s="243"/>
      <c r="D802" s="243"/>
      <c r="E802" s="243"/>
      <c r="F802" s="243"/>
      <c r="G802" s="243"/>
      <c r="H802" s="243"/>
      <c r="I802" s="243"/>
      <c r="J802" s="243"/>
      <c r="K802" s="243"/>
      <c r="L802" s="243"/>
      <c r="M802" s="243"/>
      <c r="N802" s="243"/>
      <c r="O802" s="243"/>
      <c r="P802" s="243"/>
      <c r="Q802" s="243"/>
      <c r="R802" s="243"/>
      <c r="S802" s="243"/>
      <c r="T802" s="243"/>
      <c r="U802" s="243"/>
      <c r="V802" s="243"/>
      <c r="W802" s="243"/>
      <c r="X802" s="243"/>
      <c r="Y802" s="243"/>
      <c r="Z802" s="243"/>
    </row>
    <row r="803">
      <c r="A803" s="243"/>
      <c r="B803" s="243"/>
      <c r="C803" s="243"/>
      <c r="D803" s="243"/>
      <c r="E803" s="243"/>
      <c r="F803" s="243"/>
      <c r="G803" s="243"/>
      <c r="H803" s="243"/>
      <c r="I803" s="243"/>
      <c r="J803" s="243"/>
      <c r="K803" s="243"/>
      <c r="L803" s="243"/>
      <c r="M803" s="243"/>
      <c r="N803" s="243"/>
      <c r="O803" s="243"/>
      <c r="P803" s="243"/>
      <c r="Q803" s="243"/>
      <c r="R803" s="243"/>
      <c r="S803" s="243"/>
      <c r="T803" s="243"/>
      <c r="U803" s="243"/>
      <c r="V803" s="243"/>
      <c r="W803" s="243"/>
      <c r="X803" s="243"/>
      <c r="Y803" s="243"/>
      <c r="Z803" s="243"/>
    </row>
    <row r="804">
      <c r="A804" s="243"/>
      <c r="B804" s="243"/>
      <c r="C804" s="243"/>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c r="Z804" s="243"/>
    </row>
    <row r="805">
      <c r="A805" s="243"/>
      <c r="B805" s="243"/>
      <c r="C805" s="243"/>
      <c r="D805" s="243"/>
      <c r="E805" s="243"/>
      <c r="F805" s="243"/>
      <c r="G805" s="243"/>
      <c r="H805" s="243"/>
      <c r="I805" s="243"/>
      <c r="J805" s="243"/>
      <c r="K805" s="243"/>
      <c r="L805" s="243"/>
      <c r="M805" s="243"/>
      <c r="N805" s="243"/>
      <c r="O805" s="243"/>
      <c r="P805" s="243"/>
      <c r="Q805" s="243"/>
      <c r="R805" s="243"/>
      <c r="S805" s="243"/>
      <c r="T805" s="243"/>
      <c r="U805" s="243"/>
      <c r="V805" s="243"/>
      <c r="W805" s="243"/>
      <c r="X805" s="243"/>
      <c r="Y805" s="243"/>
      <c r="Z805" s="243"/>
    </row>
    <row r="806">
      <c r="A806" s="243"/>
      <c r="B806" s="243"/>
      <c r="C806" s="243"/>
      <c r="D806" s="243"/>
      <c r="E806" s="243"/>
      <c r="F806" s="243"/>
      <c r="G806" s="243"/>
      <c r="H806" s="243"/>
      <c r="I806" s="243"/>
      <c r="J806" s="243"/>
      <c r="K806" s="243"/>
      <c r="L806" s="243"/>
      <c r="M806" s="243"/>
      <c r="N806" s="243"/>
      <c r="O806" s="243"/>
      <c r="P806" s="243"/>
      <c r="Q806" s="243"/>
      <c r="R806" s="243"/>
      <c r="S806" s="243"/>
      <c r="T806" s="243"/>
      <c r="U806" s="243"/>
      <c r="V806" s="243"/>
      <c r="W806" s="243"/>
      <c r="X806" s="243"/>
      <c r="Y806" s="243"/>
      <c r="Z806" s="243"/>
    </row>
    <row r="807">
      <c r="A807" s="243"/>
      <c r="B807" s="243"/>
      <c r="C807" s="243"/>
      <c r="D807" s="243"/>
      <c r="E807" s="243"/>
      <c r="F807" s="243"/>
      <c r="G807" s="243"/>
      <c r="H807" s="243"/>
      <c r="I807" s="243"/>
      <c r="J807" s="243"/>
      <c r="K807" s="243"/>
      <c r="L807" s="243"/>
      <c r="M807" s="243"/>
      <c r="N807" s="243"/>
      <c r="O807" s="243"/>
      <c r="P807" s="243"/>
      <c r="Q807" s="243"/>
      <c r="R807" s="243"/>
      <c r="S807" s="243"/>
      <c r="T807" s="243"/>
      <c r="U807" s="243"/>
      <c r="V807" s="243"/>
      <c r="W807" s="243"/>
      <c r="X807" s="243"/>
      <c r="Y807" s="243"/>
      <c r="Z807" s="243"/>
    </row>
    <row r="808">
      <c r="A808" s="243"/>
      <c r="B808" s="243"/>
      <c r="C808" s="243"/>
      <c r="D808" s="243"/>
      <c r="E808" s="243"/>
      <c r="F808" s="243"/>
      <c r="G808" s="243"/>
      <c r="H808" s="243"/>
      <c r="I808" s="243"/>
      <c r="J808" s="243"/>
      <c r="K808" s="243"/>
      <c r="L808" s="243"/>
      <c r="M808" s="243"/>
      <c r="N808" s="243"/>
      <c r="O808" s="243"/>
      <c r="P808" s="243"/>
      <c r="Q808" s="243"/>
      <c r="R808" s="243"/>
      <c r="S808" s="243"/>
      <c r="T808" s="243"/>
      <c r="U808" s="243"/>
      <c r="V808" s="243"/>
      <c r="W808" s="243"/>
      <c r="X808" s="243"/>
      <c r="Y808" s="243"/>
      <c r="Z808" s="243"/>
    </row>
    <row r="809">
      <c r="A809" s="243"/>
      <c r="B809" s="243"/>
      <c r="C809" s="243"/>
      <c r="D809" s="243"/>
      <c r="E809" s="243"/>
      <c r="F809" s="243"/>
      <c r="G809" s="243"/>
      <c r="H809" s="243"/>
      <c r="I809" s="243"/>
      <c r="J809" s="243"/>
      <c r="K809" s="243"/>
      <c r="L809" s="243"/>
      <c r="M809" s="243"/>
      <c r="N809" s="243"/>
      <c r="O809" s="243"/>
      <c r="P809" s="243"/>
      <c r="Q809" s="243"/>
      <c r="R809" s="243"/>
      <c r="S809" s="243"/>
      <c r="T809" s="243"/>
      <c r="U809" s="243"/>
      <c r="V809" s="243"/>
      <c r="W809" s="243"/>
      <c r="X809" s="243"/>
      <c r="Y809" s="243"/>
      <c r="Z809" s="243"/>
    </row>
    <row r="810">
      <c r="A810" s="243"/>
      <c r="B810" s="243"/>
      <c r="C810" s="243"/>
      <c r="D810" s="243"/>
      <c r="E810" s="243"/>
      <c r="F810" s="243"/>
      <c r="G810" s="243"/>
      <c r="H810" s="243"/>
      <c r="I810" s="243"/>
      <c r="J810" s="243"/>
      <c r="K810" s="243"/>
      <c r="L810" s="243"/>
      <c r="M810" s="243"/>
      <c r="N810" s="243"/>
      <c r="O810" s="243"/>
      <c r="P810" s="243"/>
      <c r="Q810" s="243"/>
      <c r="R810" s="243"/>
      <c r="S810" s="243"/>
      <c r="T810" s="243"/>
      <c r="U810" s="243"/>
      <c r="V810" s="243"/>
      <c r="W810" s="243"/>
      <c r="X810" s="243"/>
      <c r="Y810" s="243"/>
      <c r="Z810" s="243"/>
    </row>
    <row r="811">
      <c r="A811" s="243"/>
      <c r="B811" s="243"/>
      <c r="C811" s="243"/>
      <c r="D811" s="243"/>
      <c r="E811" s="243"/>
      <c r="F811" s="243"/>
      <c r="G811" s="243"/>
      <c r="H811" s="243"/>
      <c r="I811" s="243"/>
      <c r="J811" s="243"/>
      <c r="K811" s="243"/>
      <c r="L811" s="243"/>
      <c r="M811" s="243"/>
      <c r="N811" s="243"/>
      <c r="O811" s="243"/>
      <c r="P811" s="243"/>
      <c r="Q811" s="243"/>
      <c r="R811" s="243"/>
      <c r="S811" s="243"/>
      <c r="T811" s="243"/>
      <c r="U811" s="243"/>
      <c r="V811" s="243"/>
      <c r="W811" s="243"/>
      <c r="X811" s="243"/>
      <c r="Y811" s="243"/>
      <c r="Z811" s="243"/>
    </row>
    <row r="812">
      <c r="A812" s="243"/>
      <c r="B812" s="243"/>
      <c r="C812" s="243"/>
      <c r="D812" s="243"/>
      <c r="E812" s="243"/>
      <c r="F812" s="243"/>
      <c r="G812" s="243"/>
      <c r="H812" s="243"/>
      <c r="I812" s="243"/>
      <c r="J812" s="243"/>
      <c r="K812" s="243"/>
      <c r="L812" s="243"/>
      <c r="M812" s="243"/>
      <c r="N812" s="243"/>
      <c r="O812" s="243"/>
      <c r="P812" s="243"/>
      <c r="Q812" s="243"/>
      <c r="R812" s="243"/>
      <c r="S812" s="243"/>
      <c r="T812" s="243"/>
      <c r="U812" s="243"/>
      <c r="V812" s="243"/>
      <c r="W812" s="243"/>
      <c r="X812" s="243"/>
      <c r="Y812" s="243"/>
      <c r="Z812" s="243"/>
    </row>
    <row r="813">
      <c r="A813" s="243"/>
      <c r="B813" s="243"/>
      <c r="C813" s="243"/>
      <c r="D813" s="243"/>
      <c r="E813" s="243"/>
      <c r="F813" s="243"/>
      <c r="G813" s="243"/>
      <c r="H813" s="243"/>
      <c r="I813" s="243"/>
      <c r="J813" s="243"/>
      <c r="K813" s="243"/>
      <c r="L813" s="243"/>
      <c r="M813" s="243"/>
      <c r="N813" s="243"/>
      <c r="O813" s="243"/>
      <c r="P813" s="243"/>
      <c r="Q813" s="243"/>
      <c r="R813" s="243"/>
      <c r="S813" s="243"/>
      <c r="T813" s="243"/>
      <c r="U813" s="243"/>
      <c r="V813" s="243"/>
      <c r="W813" s="243"/>
      <c r="X813" s="243"/>
      <c r="Y813" s="243"/>
      <c r="Z813" s="243"/>
    </row>
    <row r="814">
      <c r="A814" s="243"/>
      <c r="B814" s="243"/>
      <c r="C814" s="243"/>
      <c r="D814" s="243"/>
      <c r="E814" s="243"/>
      <c r="F814" s="243"/>
      <c r="G814" s="243"/>
      <c r="H814" s="243"/>
      <c r="I814" s="243"/>
      <c r="J814" s="243"/>
      <c r="K814" s="243"/>
      <c r="L814" s="243"/>
      <c r="M814" s="243"/>
      <c r="N814" s="243"/>
      <c r="O814" s="243"/>
      <c r="P814" s="243"/>
      <c r="Q814" s="243"/>
      <c r="R814" s="243"/>
      <c r="S814" s="243"/>
      <c r="T814" s="243"/>
      <c r="U814" s="243"/>
      <c r="V814" s="243"/>
      <c r="W814" s="243"/>
      <c r="X814" s="243"/>
      <c r="Y814" s="243"/>
      <c r="Z814" s="243"/>
    </row>
    <row r="815">
      <c r="A815" s="243"/>
      <c r="B815" s="243"/>
      <c r="C815" s="243"/>
      <c r="D815" s="243"/>
      <c r="E815" s="243"/>
      <c r="F815" s="243"/>
      <c r="G815" s="243"/>
      <c r="H815" s="243"/>
      <c r="I815" s="243"/>
      <c r="J815" s="243"/>
      <c r="K815" s="243"/>
      <c r="L815" s="243"/>
      <c r="M815" s="243"/>
      <c r="N815" s="243"/>
      <c r="O815" s="243"/>
      <c r="P815" s="243"/>
      <c r="Q815" s="243"/>
      <c r="R815" s="243"/>
      <c r="S815" s="243"/>
      <c r="T815" s="243"/>
      <c r="U815" s="243"/>
      <c r="V815" s="243"/>
      <c r="W815" s="243"/>
      <c r="X815" s="243"/>
      <c r="Y815" s="243"/>
      <c r="Z815" s="243"/>
    </row>
    <row r="816">
      <c r="A816" s="243"/>
      <c r="B816" s="243"/>
      <c r="C816" s="243"/>
      <c r="D816" s="243"/>
      <c r="E816" s="243"/>
      <c r="F816" s="243"/>
      <c r="G816" s="243"/>
      <c r="H816" s="243"/>
      <c r="I816" s="243"/>
      <c r="J816" s="243"/>
      <c r="K816" s="243"/>
      <c r="L816" s="243"/>
      <c r="M816" s="243"/>
      <c r="N816" s="243"/>
      <c r="O816" s="243"/>
      <c r="P816" s="243"/>
      <c r="Q816" s="243"/>
      <c r="R816" s="243"/>
      <c r="S816" s="243"/>
      <c r="T816" s="243"/>
      <c r="U816" s="243"/>
      <c r="V816" s="243"/>
      <c r="W816" s="243"/>
      <c r="X816" s="243"/>
      <c r="Y816" s="243"/>
      <c r="Z816" s="243"/>
    </row>
    <row r="817">
      <c r="A817" s="243"/>
      <c r="B817" s="243"/>
      <c r="C817" s="243"/>
      <c r="D817" s="243"/>
      <c r="E817" s="243"/>
      <c r="F817" s="243"/>
      <c r="G817" s="243"/>
      <c r="H817" s="243"/>
      <c r="I817" s="243"/>
      <c r="J817" s="243"/>
      <c r="K817" s="243"/>
      <c r="L817" s="243"/>
      <c r="M817" s="243"/>
      <c r="N817" s="243"/>
      <c r="O817" s="243"/>
      <c r="P817" s="243"/>
      <c r="Q817" s="243"/>
      <c r="R817" s="243"/>
      <c r="S817" s="243"/>
      <c r="T817" s="243"/>
      <c r="U817" s="243"/>
      <c r="V817" s="243"/>
      <c r="W817" s="243"/>
      <c r="X817" s="243"/>
      <c r="Y817" s="243"/>
      <c r="Z817" s="243"/>
    </row>
    <row r="818">
      <c r="A818" s="243"/>
      <c r="B818" s="243"/>
      <c r="C818" s="243"/>
      <c r="D818" s="243"/>
      <c r="E818" s="243"/>
      <c r="F818" s="243"/>
      <c r="G818" s="243"/>
      <c r="H818" s="243"/>
      <c r="I818" s="243"/>
      <c r="J818" s="243"/>
      <c r="K818" s="243"/>
      <c r="L818" s="243"/>
      <c r="M818" s="243"/>
      <c r="N818" s="243"/>
      <c r="O818" s="243"/>
      <c r="P818" s="243"/>
      <c r="Q818" s="243"/>
      <c r="R818" s="243"/>
      <c r="S818" s="243"/>
      <c r="T818" s="243"/>
      <c r="U818" s="243"/>
      <c r="V818" s="243"/>
      <c r="W818" s="243"/>
      <c r="X818" s="243"/>
      <c r="Y818" s="243"/>
      <c r="Z818" s="243"/>
    </row>
    <row r="819">
      <c r="A819" s="243"/>
      <c r="B819" s="243"/>
      <c r="C819" s="243"/>
      <c r="D819" s="243"/>
      <c r="E819" s="243"/>
      <c r="F819" s="243"/>
      <c r="G819" s="243"/>
      <c r="H819" s="243"/>
      <c r="I819" s="243"/>
      <c r="J819" s="243"/>
      <c r="K819" s="243"/>
      <c r="L819" s="243"/>
      <c r="M819" s="243"/>
      <c r="N819" s="243"/>
      <c r="O819" s="243"/>
      <c r="P819" s="243"/>
      <c r="Q819" s="243"/>
      <c r="R819" s="243"/>
      <c r="S819" s="243"/>
      <c r="T819" s="243"/>
      <c r="U819" s="243"/>
      <c r="V819" s="243"/>
      <c r="W819" s="243"/>
      <c r="X819" s="243"/>
      <c r="Y819" s="243"/>
      <c r="Z819" s="243"/>
    </row>
    <row r="820">
      <c r="A820" s="243"/>
      <c r="B820" s="243"/>
      <c r="C820" s="243"/>
      <c r="D820" s="243"/>
      <c r="E820" s="243"/>
      <c r="F820" s="243"/>
      <c r="G820" s="243"/>
      <c r="H820" s="243"/>
      <c r="I820" s="243"/>
      <c r="J820" s="243"/>
      <c r="K820" s="243"/>
      <c r="L820" s="243"/>
      <c r="M820" s="243"/>
      <c r="N820" s="243"/>
      <c r="O820" s="243"/>
      <c r="P820" s="243"/>
      <c r="Q820" s="243"/>
      <c r="R820" s="243"/>
      <c r="S820" s="243"/>
      <c r="T820" s="243"/>
      <c r="U820" s="243"/>
      <c r="V820" s="243"/>
      <c r="W820" s="243"/>
      <c r="X820" s="243"/>
      <c r="Y820" s="243"/>
      <c r="Z820" s="243"/>
    </row>
    <row r="821">
      <c r="A821" s="243"/>
      <c r="B821" s="243"/>
      <c r="C821" s="243"/>
      <c r="D821" s="243"/>
      <c r="E821" s="243"/>
      <c r="F821" s="243"/>
      <c r="G821" s="243"/>
      <c r="H821" s="243"/>
      <c r="I821" s="243"/>
      <c r="J821" s="243"/>
      <c r="K821" s="243"/>
      <c r="L821" s="243"/>
      <c r="M821" s="243"/>
      <c r="N821" s="243"/>
      <c r="O821" s="243"/>
      <c r="P821" s="243"/>
      <c r="Q821" s="243"/>
      <c r="R821" s="243"/>
      <c r="S821" s="243"/>
      <c r="T821" s="243"/>
      <c r="U821" s="243"/>
      <c r="V821" s="243"/>
      <c r="W821" s="243"/>
      <c r="X821" s="243"/>
      <c r="Y821" s="243"/>
      <c r="Z821" s="243"/>
    </row>
    <row r="822">
      <c r="A822" s="243"/>
      <c r="B822" s="243"/>
      <c r="C822" s="243"/>
      <c r="D822" s="243"/>
      <c r="E822" s="243"/>
      <c r="F822" s="243"/>
      <c r="G822" s="243"/>
      <c r="H822" s="243"/>
      <c r="I822" s="243"/>
      <c r="J822" s="243"/>
      <c r="K822" s="243"/>
      <c r="L822" s="243"/>
      <c r="M822" s="243"/>
      <c r="N822" s="243"/>
      <c r="O822" s="243"/>
      <c r="P822" s="243"/>
      <c r="Q822" s="243"/>
      <c r="R822" s="243"/>
      <c r="S822" s="243"/>
      <c r="T822" s="243"/>
      <c r="U822" s="243"/>
      <c r="V822" s="243"/>
      <c r="W822" s="243"/>
      <c r="X822" s="243"/>
      <c r="Y822" s="243"/>
      <c r="Z822" s="243"/>
    </row>
    <row r="823">
      <c r="A823" s="243"/>
      <c r="B823" s="243"/>
      <c r="C823" s="243"/>
      <c r="D823" s="243"/>
      <c r="E823" s="243"/>
      <c r="F823" s="243"/>
      <c r="G823" s="243"/>
      <c r="H823" s="243"/>
      <c r="I823" s="243"/>
      <c r="J823" s="243"/>
      <c r="K823" s="243"/>
      <c r="L823" s="243"/>
      <c r="M823" s="243"/>
      <c r="N823" s="243"/>
      <c r="O823" s="243"/>
      <c r="P823" s="243"/>
      <c r="Q823" s="243"/>
      <c r="R823" s="243"/>
      <c r="S823" s="243"/>
      <c r="T823" s="243"/>
      <c r="U823" s="243"/>
      <c r="V823" s="243"/>
      <c r="W823" s="243"/>
      <c r="X823" s="243"/>
      <c r="Y823" s="243"/>
      <c r="Z823" s="243"/>
    </row>
    <row r="824">
      <c r="A824" s="243"/>
      <c r="B824" s="243"/>
      <c r="C824" s="243"/>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c r="Z824" s="243"/>
    </row>
    <row r="825">
      <c r="A825" s="243"/>
      <c r="B825" s="243"/>
      <c r="C825" s="243"/>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c r="Z825" s="243"/>
    </row>
    <row r="826">
      <c r="A826" s="243"/>
      <c r="B826" s="243"/>
      <c r="C826" s="243"/>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c r="Z826" s="243"/>
    </row>
    <row r="827">
      <c r="A827" s="243"/>
      <c r="B827" s="243"/>
      <c r="C827" s="243"/>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c r="Z827" s="243"/>
    </row>
    <row r="828">
      <c r="A828" s="243"/>
      <c r="B828" s="243"/>
      <c r="C828" s="243"/>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c r="Z828" s="243"/>
    </row>
    <row r="829">
      <c r="A829" s="243"/>
      <c r="B829" s="243"/>
      <c r="C829" s="243"/>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c r="Z829" s="243"/>
    </row>
    <row r="830">
      <c r="A830" s="243"/>
      <c r="B830" s="243"/>
      <c r="C830" s="243"/>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c r="Z830" s="243"/>
    </row>
    <row r="831">
      <c r="A831" s="243"/>
      <c r="B831" s="243"/>
      <c r="C831" s="243"/>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c r="Z831" s="243"/>
    </row>
    <row r="832">
      <c r="A832" s="243"/>
      <c r="B832" s="243"/>
      <c r="C832" s="243"/>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c r="Z832" s="243"/>
    </row>
    <row r="833">
      <c r="A833" s="243"/>
      <c r="B833" s="243"/>
      <c r="C833" s="243"/>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c r="Z833" s="243"/>
    </row>
    <row r="834">
      <c r="A834" s="243"/>
      <c r="B834" s="243"/>
      <c r="C834" s="243"/>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c r="Z834" s="243"/>
    </row>
    <row r="835">
      <c r="A835" s="243"/>
      <c r="B835" s="243"/>
      <c r="C835" s="243"/>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c r="Z835" s="243"/>
    </row>
    <row r="836">
      <c r="A836" s="243"/>
      <c r="B836" s="243"/>
      <c r="C836" s="243"/>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c r="Z836" s="243"/>
    </row>
    <row r="837">
      <c r="A837" s="243"/>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c r="Z837" s="243"/>
    </row>
    <row r="838">
      <c r="A838" s="243"/>
      <c r="B838" s="243"/>
      <c r="C838" s="243"/>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c r="Z838" s="243"/>
    </row>
    <row r="839">
      <c r="A839" s="243"/>
      <c r="B839" s="243"/>
      <c r="C839" s="243"/>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c r="Z839" s="243"/>
    </row>
    <row r="840">
      <c r="A840" s="243"/>
      <c r="B840" s="243"/>
      <c r="C840" s="243"/>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c r="Z840" s="243"/>
    </row>
    <row r="841">
      <c r="A841" s="243"/>
      <c r="B841" s="243"/>
      <c r="C841" s="243"/>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c r="Z841" s="243"/>
    </row>
    <row r="842">
      <c r="A842" s="243"/>
      <c r="B842" s="243"/>
      <c r="C842" s="243"/>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c r="Z842" s="243"/>
    </row>
    <row r="843">
      <c r="A843" s="243"/>
      <c r="B843" s="243"/>
      <c r="C843" s="243"/>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c r="Z843" s="243"/>
    </row>
    <row r="844">
      <c r="A844" s="243"/>
      <c r="B844" s="243"/>
      <c r="C844" s="243"/>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c r="Z844" s="243"/>
    </row>
    <row r="845">
      <c r="A845" s="243"/>
      <c r="B845" s="243"/>
      <c r="C845" s="243"/>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c r="Z845" s="243"/>
    </row>
    <row r="846">
      <c r="A846" s="243"/>
      <c r="B846" s="243"/>
      <c r="C846" s="243"/>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c r="Z846" s="243"/>
    </row>
    <row r="847">
      <c r="A847" s="243"/>
      <c r="B847" s="243"/>
      <c r="C847" s="243"/>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c r="Z847" s="243"/>
    </row>
    <row r="848">
      <c r="A848" s="243"/>
      <c r="B848" s="243"/>
      <c r="C848" s="243"/>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c r="Z848" s="243"/>
    </row>
    <row r="849">
      <c r="A849" s="243"/>
      <c r="B849" s="243"/>
      <c r="C849" s="243"/>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c r="Z849" s="243"/>
    </row>
    <row r="850">
      <c r="A850" s="243"/>
      <c r="B850" s="243"/>
      <c r="C850" s="243"/>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c r="Z850" s="243"/>
    </row>
    <row r="851">
      <c r="A851" s="243"/>
      <c r="B851" s="243"/>
      <c r="C851" s="243"/>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c r="Z851" s="243"/>
    </row>
    <row r="852">
      <c r="A852" s="243"/>
      <c r="B852" s="243"/>
      <c r="C852" s="243"/>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c r="Z852" s="243"/>
    </row>
    <row r="853">
      <c r="A853" s="243"/>
      <c r="B853" s="243"/>
      <c r="C853" s="243"/>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c r="Z853" s="243"/>
    </row>
    <row r="854">
      <c r="A854" s="243"/>
      <c r="B854" s="243"/>
      <c r="C854" s="243"/>
      <c r="D854" s="243"/>
      <c r="E854" s="243"/>
      <c r="F854" s="243"/>
      <c r="G854" s="243"/>
      <c r="H854" s="243"/>
      <c r="I854" s="243"/>
      <c r="J854" s="243"/>
      <c r="K854" s="243"/>
      <c r="L854" s="243"/>
      <c r="M854" s="243"/>
      <c r="N854" s="243"/>
      <c r="O854" s="243"/>
      <c r="P854" s="243"/>
      <c r="Q854" s="243"/>
      <c r="R854" s="243"/>
      <c r="S854" s="243"/>
      <c r="T854" s="243"/>
      <c r="U854" s="243"/>
      <c r="V854" s="243"/>
      <c r="W854" s="243"/>
      <c r="X854" s="243"/>
      <c r="Y854" s="243"/>
      <c r="Z854" s="243"/>
    </row>
    <row r="855">
      <c r="A855" s="243"/>
      <c r="B855" s="243"/>
      <c r="C855" s="243"/>
      <c r="D855" s="243"/>
      <c r="E855" s="243"/>
      <c r="F855" s="243"/>
      <c r="G855" s="243"/>
      <c r="H855" s="243"/>
      <c r="I855" s="243"/>
      <c r="J855" s="243"/>
      <c r="K855" s="243"/>
      <c r="L855" s="243"/>
      <c r="M855" s="243"/>
      <c r="N855" s="243"/>
      <c r="O855" s="243"/>
      <c r="P855" s="243"/>
      <c r="Q855" s="243"/>
      <c r="R855" s="243"/>
      <c r="S855" s="243"/>
      <c r="T855" s="243"/>
      <c r="U855" s="243"/>
      <c r="V855" s="243"/>
      <c r="W855" s="243"/>
      <c r="X855" s="243"/>
      <c r="Y855" s="243"/>
      <c r="Z855" s="243"/>
    </row>
    <row r="856">
      <c r="A856" s="243"/>
      <c r="B856" s="243"/>
      <c r="C856" s="243"/>
      <c r="D856" s="243"/>
      <c r="E856" s="243"/>
      <c r="F856" s="243"/>
      <c r="G856" s="243"/>
      <c r="H856" s="243"/>
      <c r="I856" s="243"/>
      <c r="J856" s="243"/>
      <c r="K856" s="243"/>
      <c r="L856" s="243"/>
      <c r="M856" s="243"/>
      <c r="N856" s="243"/>
      <c r="O856" s="243"/>
      <c r="P856" s="243"/>
      <c r="Q856" s="243"/>
      <c r="R856" s="243"/>
      <c r="S856" s="243"/>
      <c r="T856" s="243"/>
      <c r="U856" s="243"/>
      <c r="V856" s="243"/>
      <c r="W856" s="243"/>
      <c r="X856" s="243"/>
      <c r="Y856" s="243"/>
      <c r="Z856" s="243"/>
    </row>
    <row r="857">
      <c r="A857" s="243"/>
      <c r="B857" s="243"/>
      <c r="C857" s="243"/>
      <c r="D857" s="243"/>
      <c r="E857" s="243"/>
      <c r="F857" s="243"/>
      <c r="G857" s="243"/>
      <c r="H857" s="243"/>
      <c r="I857" s="243"/>
      <c r="J857" s="243"/>
      <c r="K857" s="243"/>
      <c r="L857" s="243"/>
      <c r="M857" s="243"/>
      <c r="N857" s="243"/>
      <c r="O857" s="243"/>
      <c r="P857" s="243"/>
      <c r="Q857" s="243"/>
      <c r="R857" s="243"/>
      <c r="S857" s="243"/>
      <c r="T857" s="243"/>
      <c r="U857" s="243"/>
      <c r="V857" s="243"/>
      <c r="W857" s="243"/>
      <c r="X857" s="243"/>
      <c r="Y857" s="243"/>
      <c r="Z857" s="243"/>
    </row>
    <row r="858">
      <c r="A858" s="243"/>
      <c r="B858" s="243"/>
      <c r="C858" s="243"/>
      <c r="D858" s="243"/>
      <c r="E858" s="243"/>
      <c r="F858" s="243"/>
      <c r="G858" s="243"/>
      <c r="H858" s="243"/>
      <c r="I858" s="243"/>
      <c r="J858" s="243"/>
      <c r="K858" s="243"/>
      <c r="L858" s="243"/>
      <c r="M858" s="243"/>
      <c r="N858" s="243"/>
      <c r="O858" s="243"/>
      <c r="P858" s="243"/>
      <c r="Q858" s="243"/>
      <c r="R858" s="243"/>
      <c r="S858" s="243"/>
      <c r="T858" s="243"/>
      <c r="U858" s="243"/>
      <c r="V858" s="243"/>
      <c r="W858" s="243"/>
      <c r="X858" s="243"/>
      <c r="Y858" s="243"/>
      <c r="Z858" s="243"/>
    </row>
    <row r="859">
      <c r="A859" s="243"/>
      <c r="B859" s="243"/>
      <c r="C859" s="243"/>
      <c r="D859" s="243"/>
      <c r="E859" s="243"/>
      <c r="F859" s="243"/>
      <c r="G859" s="243"/>
      <c r="H859" s="243"/>
      <c r="I859" s="243"/>
      <c r="J859" s="243"/>
      <c r="K859" s="243"/>
      <c r="L859" s="243"/>
      <c r="M859" s="243"/>
      <c r="N859" s="243"/>
      <c r="O859" s="243"/>
      <c r="P859" s="243"/>
      <c r="Q859" s="243"/>
      <c r="R859" s="243"/>
      <c r="S859" s="243"/>
      <c r="T859" s="243"/>
      <c r="U859" s="243"/>
      <c r="V859" s="243"/>
      <c r="W859" s="243"/>
      <c r="X859" s="243"/>
      <c r="Y859" s="243"/>
      <c r="Z859" s="243"/>
    </row>
    <row r="860">
      <c r="A860" s="243"/>
      <c r="B860" s="243"/>
      <c r="C860" s="243"/>
      <c r="D860" s="243"/>
      <c r="E860" s="243"/>
      <c r="F860" s="243"/>
      <c r="G860" s="243"/>
      <c r="H860" s="243"/>
      <c r="I860" s="243"/>
      <c r="J860" s="243"/>
      <c r="K860" s="243"/>
      <c r="L860" s="243"/>
      <c r="M860" s="243"/>
      <c r="N860" s="243"/>
      <c r="O860" s="243"/>
      <c r="P860" s="243"/>
      <c r="Q860" s="243"/>
      <c r="R860" s="243"/>
      <c r="S860" s="243"/>
      <c r="T860" s="243"/>
      <c r="U860" s="243"/>
      <c r="V860" s="243"/>
      <c r="W860" s="243"/>
      <c r="X860" s="243"/>
      <c r="Y860" s="243"/>
      <c r="Z860" s="243"/>
    </row>
    <row r="861">
      <c r="A861" s="243"/>
      <c r="B861" s="243"/>
      <c r="C861" s="243"/>
      <c r="D861" s="243"/>
      <c r="E861" s="243"/>
      <c r="F861" s="243"/>
      <c r="G861" s="243"/>
      <c r="H861" s="243"/>
      <c r="I861" s="243"/>
      <c r="J861" s="243"/>
      <c r="K861" s="243"/>
      <c r="L861" s="243"/>
      <c r="M861" s="243"/>
      <c r="N861" s="243"/>
      <c r="O861" s="243"/>
      <c r="P861" s="243"/>
      <c r="Q861" s="243"/>
      <c r="R861" s="243"/>
      <c r="S861" s="243"/>
      <c r="T861" s="243"/>
      <c r="U861" s="243"/>
      <c r="V861" s="243"/>
      <c r="W861" s="243"/>
      <c r="X861" s="243"/>
      <c r="Y861" s="243"/>
      <c r="Z861" s="243"/>
    </row>
    <row r="862">
      <c r="A862" s="243"/>
      <c r="B862" s="243"/>
      <c r="C862" s="243"/>
      <c r="D862" s="243"/>
      <c r="E862" s="243"/>
      <c r="F862" s="243"/>
      <c r="G862" s="243"/>
      <c r="H862" s="243"/>
      <c r="I862" s="243"/>
      <c r="J862" s="243"/>
      <c r="K862" s="243"/>
      <c r="L862" s="243"/>
      <c r="M862" s="243"/>
      <c r="N862" s="243"/>
      <c r="O862" s="243"/>
      <c r="P862" s="243"/>
      <c r="Q862" s="243"/>
      <c r="R862" s="243"/>
      <c r="S862" s="243"/>
      <c r="T862" s="243"/>
      <c r="U862" s="243"/>
      <c r="V862" s="243"/>
      <c r="W862" s="243"/>
      <c r="X862" s="243"/>
      <c r="Y862" s="243"/>
      <c r="Z862" s="243"/>
    </row>
    <row r="863">
      <c r="A863" s="243"/>
      <c r="B863" s="243"/>
      <c r="C863" s="243"/>
      <c r="D863" s="243"/>
      <c r="E863" s="243"/>
      <c r="F863" s="243"/>
      <c r="G863" s="243"/>
      <c r="H863" s="243"/>
      <c r="I863" s="243"/>
      <c r="J863" s="243"/>
      <c r="K863" s="243"/>
      <c r="L863" s="243"/>
      <c r="M863" s="243"/>
      <c r="N863" s="243"/>
      <c r="O863" s="243"/>
      <c r="P863" s="243"/>
      <c r="Q863" s="243"/>
      <c r="R863" s="243"/>
      <c r="S863" s="243"/>
      <c r="T863" s="243"/>
      <c r="U863" s="243"/>
      <c r="V863" s="243"/>
      <c r="W863" s="243"/>
      <c r="X863" s="243"/>
      <c r="Y863" s="243"/>
      <c r="Z863" s="243"/>
    </row>
    <row r="864">
      <c r="A864" s="243"/>
      <c r="B864" s="243"/>
      <c r="C864" s="243"/>
      <c r="D864" s="243"/>
      <c r="E864" s="243"/>
      <c r="F864" s="243"/>
      <c r="G864" s="243"/>
      <c r="H864" s="243"/>
      <c r="I864" s="243"/>
      <c r="J864" s="243"/>
      <c r="K864" s="243"/>
      <c r="L864" s="243"/>
      <c r="M864" s="243"/>
      <c r="N864" s="243"/>
      <c r="O864" s="243"/>
      <c r="P864" s="243"/>
      <c r="Q864" s="243"/>
      <c r="R864" s="243"/>
      <c r="S864" s="243"/>
      <c r="T864" s="243"/>
      <c r="U864" s="243"/>
      <c r="V864" s="243"/>
      <c r="W864" s="243"/>
      <c r="X864" s="243"/>
      <c r="Y864" s="243"/>
      <c r="Z864" s="243"/>
    </row>
    <row r="865">
      <c r="A865" s="243"/>
      <c r="B865" s="243"/>
      <c r="C865" s="243"/>
      <c r="D865" s="243"/>
      <c r="E865" s="243"/>
      <c r="F865" s="243"/>
      <c r="G865" s="243"/>
      <c r="H865" s="243"/>
      <c r="I865" s="243"/>
      <c r="J865" s="243"/>
      <c r="K865" s="243"/>
      <c r="L865" s="243"/>
      <c r="M865" s="243"/>
      <c r="N865" s="243"/>
      <c r="O865" s="243"/>
      <c r="P865" s="243"/>
      <c r="Q865" s="243"/>
      <c r="R865" s="243"/>
      <c r="S865" s="243"/>
      <c r="T865" s="243"/>
      <c r="U865" s="243"/>
      <c r="V865" s="243"/>
      <c r="W865" s="243"/>
      <c r="X865" s="243"/>
      <c r="Y865" s="243"/>
      <c r="Z865" s="243"/>
    </row>
    <row r="866">
      <c r="A866" s="243"/>
      <c r="B866" s="243"/>
      <c r="C866" s="243"/>
      <c r="D866" s="243"/>
      <c r="E866" s="243"/>
      <c r="F866" s="243"/>
      <c r="G866" s="243"/>
      <c r="H866" s="243"/>
      <c r="I866" s="243"/>
      <c r="J866" s="243"/>
      <c r="K866" s="243"/>
      <c r="L866" s="243"/>
      <c r="M866" s="243"/>
      <c r="N866" s="243"/>
      <c r="O866" s="243"/>
      <c r="P866" s="243"/>
      <c r="Q866" s="243"/>
      <c r="R866" s="243"/>
      <c r="S866" s="243"/>
      <c r="T866" s="243"/>
      <c r="U866" s="243"/>
      <c r="V866" s="243"/>
      <c r="W866" s="243"/>
      <c r="X866" s="243"/>
      <c r="Y866" s="243"/>
      <c r="Z866" s="243"/>
    </row>
    <row r="867">
      <c r="A867" s="243"/>
      <c r="B867" s="243"/>
      <c r="C867" s="243"/>
      <c r="D867" s="243"/>
      <c r="E867" s="243"/>
      <c r="F867" s="243"/>
      <c r="G867" s="243"/>
      <c r="H867" s="243"/>
      <c r="I867" s="243"/>
      <c r="J867" s="243"/>
      <c r="K867" s="243"/>
      <c r="L867" s="243"/>
      <c r="M867" s="243"/>
      <c r="N867" s="243"/>
      <c r="O867" s="243"/>
      <c r="P867" s="243"/>
      <c r="Q867" s="243"/>
      <c r="R867" s="243"/>
      <c r="S867" s="243"/>
      <c r="T867" s="243"/>
      <c r="U867" s="243"/>
      <c r="V867" s="243"/>
      <c r="W867" s="243"/>
      <c r="X867" s="243"/>
      <c r="Y867" s="243"/>
      <c r="Z867" s="243"/>
    </row>
    <row r="868">
      <c r="A868" s="243"/>
      <c r="B868" s="243"/>
      <c r="C868" s="243"/>
      <c r="D868" s="243"/>
      <c r="E868" s="243"/>
      <c r="F868" s="243"/>
      <c r="G868" s="243"/>
      <c r="H868" s="243"/>
      <c r="I868" s="243"/>
      <c r="J868" s="243"/>
      <c r="K868" s="243"/>
      <c r="L868" s="243"/>
      <c r="M868" s="243"/>
      <c r="N868" s="243"/>
      <c r="O868" s="243"/>
      <c r="P868" s="243"/>
      <c r="Q868" s="243"/>
      <c r="R868" s="243"/>
      <c r="S868" s="243"/>
      <c r="T868" s="243"/>
      <c r="U868" s="243"/>
      <c r="V868" s="243"/>
      <c r="W868" s="243"/>
      <c r="X868" s="243"/>
      <c r="Y868" s="243"/>
      <c r="Z868" s="243"/>
    </row>
    <row r="869">
      <c r="A869" s="243"/>
      <c r="B869" s="243"/>
      <c r="C869" s="243"/>
      <c r="D869" s="243"/>
      <c r="E869" s="243"/>
      <c r="F869" s="243"/>
      <c r="G869" s="243"/>
      <c r="H869" s="243"/>
      <c r="I869" s="243"/>
      <c r="J869" s="243"/>
      <c r="K869" s="243"/>
      <c r="L869" s="243"/>
      <c r="M869" s="243"/>
      <c r="N869" s="243"/>
      <c r="O869" s="243"/>
      <c r="P869" s="243"/>
      <c r="Q869" s="243"/>
      <c r="R869" s="243"/>
      <c r="S869" s="243"/>
      <c r="T869" s="243"/>
      <c r="U869" s="243"/>
      <c r="V869" s="243"/>
      <c r="W869" s="243"/>
      <c r="X869" s="243"/>
      <c r="Y869" s="243"/>
      <c r="Z869" s="243"/>
    </row>
    <row r="870">
      <c r="A870" s="243"/>
      <c r="B870" s="243"/>
      <c r="C870" s="243"/>
      <c r="D870" s="243"/>
      <c r="E870" s="243"/>
      <c r="F870" s="243"/>
      <c r="G870" s="243"/>
      <c r="H870" s="243"/>
      <c r="I870" s="243"/>
      <c r="J870" s="243"/>
      <c r="K870" s="243"/>
      <c r="L870" s="243"/>
      <c r="M870" s="243"/>
      <c r="N870" s="243"/>
      <c r="O870" s="243"/>
      <c r="P870" s="243"/>
      <c r="Q870" s="243"/>
      <c r="R870" s="243"/>
      <c r="S870" s="243"/>
      <c r="T870" s="243"/>
      <c r="U870" s="243"/>
      <c r="V870" s="243"/>
      <c r="W870" s="243"/>
      <c r="X870" s="243"/>
      <c r="Y870" s="243"/>
      <c r="Z870" s="243"/>
    </row>
    <row r="871">
      <c r="A871" s="243"/>
      <c r="B871" s="243"/>
      <c r="C871" s="243"/>
      <c r="D871" s="243"/>
      <c r="E871" s="243"/>
      <c r="F871" s="243"/>
      <c r="G871" s="243"/>
      <c r="H871" s="243"/>
      <c r="I871" s="243"/>
      <c r="J871" s="243"/>
      <c r="K871" s="243"/>
      <c r="L871" s="243"/>
      <c r="M871" s="243"/>
      <c r="N871" s="243"/>
      <c r="O871" s="243"/>
      <c r="P871" s="243"/>
      <c r="Q871" s="243"/>
      <c r="R871" s="243"/>
      <c r="S871" s="243"/>
      <c r="T871" s="243"/>
      <c r="U871" s="243"/>
      <c r="V871" s="243"/>
      <c r="W871" s="243"/>
      <c r="X871" s="243"/>
      <c r="Y871" s="243"/>
      <c r="Z871" s="243"/>
    </row>
    <row r="872">
      <c r="A872" s="243"/>
      <c r="B872" s="243"/>
      <c r="C872" s="243"/>
      <c r="D872" s="243"/>
      <c r="E872" s="243"/>
      <c r="F872" s="243"/>
      <c r="G872" s="243"/>
      <c r="H872" s="243"/>
      <c r="I872" s="243"/>
      <c r="J872" s="243"/>
      <c r="K872" s="243"/>
      <c r="L872" s="243"/>
      <c r="M872" s="243"/>
      <c r="N872" s="243"/>
      <c r="O872" s="243"/>
      <c r="P872" s="243"/>
      <c r="Q872" s="243"/>
      <c r="R872" s="243"/>
      <c r="S872" s="243"/>
      <c r="T872" s="243"/>
      <c r="U872" s="243"/>
      <c r="V872" s="243"/>
      <c r="W872" s="243"/>
      <c r="X872" s="243"/>
      <c r="Y872" s="243"/>
      <c r="Z872" s="243"/>
    </row>
    <row r="873">
      <c r="A873" s="243"/>
      <c r="B873" s="243"/>
      <c r="C873" s="243"/>
      <c r="D873" s="243"/>
      <c r="E873" s="243"/>
      <c r="F873" s="243"/>
      <c r="G873" s="243"/>
      <c r="H873" s="243"/>
      <c r="I873" s="243"/>
      <c r="J873" s="243"/>
      <c r="K873" s="243"/>
      <c r="L873" s="243"/>
      <c r="M873" s="243"/>
      <c r="N873" s="243"/>
      <c r="O873" s="243"/>
      <c r="P873" s="243"/>
      <c r="Q873" s="243"/>
      <c r="R873" s="243"/>
      <c r="S873" s="243"/>
      <c r="T873" s="243"/>
      <c r="U873" s="243"/>
      <c r="V873" s="243"/>
      <c r="W873" s="243"/>
      <c r="X873" s="243"/>
      <c r="Y873" s="243"/>
      <c r="Z873" s="243"/>
    </row>
    <row r="874">
      <c r="A874" s="243"/>
      <c r="B874" s="243"/>
      <c r="C874" s="243"/>
      <c r="D874" s="243"/>
      <c r="E874" s="243"/>
      <c r="F874" s="243"/>
      <c r="G874" s="243"/>
      <c r="H874" s="243"/>
      <c r="I874" s="243"/>
      <c r="J874" s="243"/>
      <c r="K874" s="243"/>
      <c r="L874" s="243"/>
      <c r="M874" s="243"/>
      <c r="N874" s="243"/>
      <c r="O874" s="243"/>
      <c r="P874" s="243"/>
      <c r="Q874" s="243"/>
      <c r="R874" s="243"/>
      <c r="S874" s="243"/>
      <c r="T874" s="243"/>
      <c r="U874" s="243"/>
      <c r="V874" s="243"/>
      <c r="W874" s="243"/>
      <c r="X874" s="243"/>
      <c r="Y874" s="243"/>
      <c r="Z874" s="243"/>
    </row>
    <row r="875">
      <c r="A875" s="243"/>
      <c r="B875" s="243"/>
      <c r="C875" s="243"/>
      <c r="D875" s="243"/>
      <c r="E875" s="243"/>
      <c r="F875" s="243"/>
      <c r="G875" s="243"/>
      <c r="H875" s="243"/>
      <c r="I875" s="243"/>
      <c r="J875" s="243"/>
      <c r="K875" s="243"/>
      <c r="L875" s="243"/>
      <c r="M875" s="243"/>
      <c r="N875" s="243"/>
      <c r="O875" s="243"/>
      <c r="P875" s="243"/>
      <c r="Q875" s="243"/>
      <c r="R875" s="243"/>
      <c r="S875" s="243"/>
      <c r="T875" s="243"/>
      <c r="U875" s="243"/>
      <c r="V875" s="243"/>
      <c r="W875" s="243"/>
      <c r="X875" s="243"/>
      <c r="Y875" s="243"/>
      <c r="Z875" s="243"/>
    </row>
    <row r="876">
      <c r="A876" s="243"/>
      <c r="B876" s="243"/>
      <c r="C876" s="243"/>
      <c r="D876" s="243"/>
      <c r="E876" s="243"/>
      <c r="F876" s="243"/>
      <c r="G876" s="243"/>
      <c r="H876" s="243"/>
      <c r="I876" s="243"/>
      <c r="J876" s="243"/>
      <c r="K876" s="243"/>
      <c r="L876" s="243"/>
      <c r="M876" s="243"/>
      <c r="N876" s="243"/>
      <c r="O876" s="243"/>
      <c r="P876" s="243"/>
      <c r="Q876" s="243"/>
      <c r="R876" s="243"/>
      <c r="S876" s="243"/>
      <c r="T876" s="243"/>
      <c r="U876" s="243"/>
      <c r="V876" s="243"/>
      <c r="W876" s="243"/>
      <c r="X876" s="243"/>
      <c r="Y876" s="243"/>
      <c r="Z876" s="243"/>
    </row>
    <row r="877">
      <c r="A877" s="243"/>
      <c r="B877" s="243"/>
      <c r="C877" s="243"/>
      <c r="D877" s="243"/>
      <c r="E877" s="243"/>
      <c r="F877" s="243"/>
      <c r="G877" s="243"/>
      <c r="H877" s="243"/>
      <c r="I877" s="243"/>
      <c r="J877" s="243"/>
      <c r="K877" s="243"/>
      <c r="L877" s="243"/>
      <c r="M877" s="243"/>
      <c r="N877" s="243"/>
      <c r="O877" s="243"/>
      <c r="P877" s="243"/>
      <c r="Q877" s="243"/>
      <c r="R877" s="243"/>
      <c r="S877" s="243"/>
      <c r="T877" s="243"/>
      <c r="U877" s="243"/>
      <c r="V877" s="243"/>
      <c r="W877" s="243"/>
      <c r="X877" s="243"/>
      <c r="Y877" s="243"/>
      <c r="Z877" s="243"/>
    </row>
    <row r="878">
      <c r="A878" s="243"/>
      <c r="B878" s="243"/>
      <c r="C878" s="243"/>
      <c r="D878" s="243"/>
      <c r="E878" s="243"/>
      <c r="F878" s="243"/>
      <c r="G878" s="243"/>
      <c r="H878" s="243"/>
      <c r="I878" s="243"/>
      <c r="J878" s="243"/>
      <c r="K878" s="243"/>
      <c r="L878" s="243"/>
      <c r="M878" s="243"/>
      <c r="N878" s="243"/>
      <c r="O878" s="243"/>
      <c r="P878" s="243"/>
      <c r="Q878" s="243"/>
      <c r="R878" s="243"/>
      <c r="S878" s="243"/>
      <c r="T878" s="243"/>
      <c r="U878" s="243"/>
      <c r="V878" s="243"/>
      <c r="W878" s="243"/>
      <c r="X878" s="243"/>
      <c r="Y878" s="243"/>
      <c r="Z878" s="243"/>
    </row>
    <row r="879">
      <c r="A879" s="243"/>
      <c r="B879" s="243"/>
      <c r="C879" s="243"/>
      <c r="D879" s="243"/>
      <c r="E879" s="243"/>
      <c r="F879" s="243"/>
      <c r="G879" s="243"/>
      <c r="H879" s="243"/>
      <c r="I879" s="243"/>
      <c r="J879" s="243"/>
      <c r="K879" s="243"/>
      <c r="L879" s="243"/>
      <c r="M879" s="243"/>
      <c r="N879" s="243"/>
      <c r="O879" s="243"/>
      <c r="P879" s="243"/>
      <c r="Q879" s="243"/>
      <c r="R879" s="243"/>
      <c r="S879" s="243"/>
      <c r="T879" s="243"/>
      <c r="U879" s="243"/>
      <c r="V879" s="243"/>
      <c r="W879" s="243"/>
      <c r="X879" s="243"/>
      <c r="Y879" s="243"/>
      <c r="Z879" s="243"/>
    </row>
    <row r="880">
      <c r="A880" s="243"/>
      <c r="B880" s="243"/>
      <c r="C880" s="243"/>
      <c r="D880" s="243"/>
      <c r="E880" s="243"/>
      <c r="F880" s="243"/>
      <c r="G880" s="243"/>
      <c r="H880" s="243"/>
      <c r="I880" s="243"/>
      <c r="J880" s="243"/>
      <c r="K880" s="243"/>
      <c r="L880" s="243"/>
      <c r="M880" s="243"/>
      <c r="N880" s="243"/>
      <c r="O880" s="243"/>
      <c r="P880" s="243"/>
      <c r="Q880" s="243"/>
      <c r="R880" s="243"/>
      <c r="S880" s="243"/>
      <c r="T880" s="243"/>
      <c r="U880" s="243"/>
      <c r="V880" s="243"/>
      <c r="W880" s="243"/>
      <c r="X880" s="243"/>
      <c r="Y880" s="243"/>
      <c r="Z880" s="243"/>
    </row>
    <row r="881">
      <c r="A881" s="243"/>
      <c r="B881" s="243"/>
      <c r="C881" s="243"/>
      <c r="D881" s="243"/>
      <c r="E881" s="243"/>
      <c r="F881" s="243"/>
      <c r="G881" s="243"/>
      <c r="H881" s="243"/>
      <c r="I881" s="243"/>
      <c r="J881" s="243"/>
      <c r="K881" s="243"/>
      <c r="L881" s="243"/>
      <c r="M881" s="243"/>
      <c r="N881" s="243"/>
      <c r="O881" s="243"/>
      <c r="P881" s="243"/>
      <c r="Q881" s="243"/>
      <c r="R881" s="243"/>
      <c r="S881" s="243"/>
      <c r="T881" s="243"/>
      <c r="U881" s="243"/>
      <c r="V881" s="243"/>
      <c r="W881" s="243"/>
      <c r="X881" s="243"/>
      <c r="Y881" s="243"/>
      <c r="Z881" s="243"/>
    </row>
    <row r="882">
      <c r="A882" s="243"/>
      <c r="B882" s="243"/>
      <c r="C882" s="243"/>
      <c r="D882" s="243"/>
      <c r="E882" s="243"/>
      <c r="F882" s="243"/>
      <c r="G882" s="243"/>
      <c r="H882" s="243"/>
      <c r="I882" s="243"/>
      <c r="J882" s="243"/>
      <c r="K882" s="243"/>
      <c r="L882" s="243"/>
      <c r="M882" s="243"/>
      <c r="N882" s="243"/>
      <c r="O882" s="243"/>
      <c r="P882" s="243"/>
      <c r="Q882" s="243"/>
      <c r="R882" s="243"/>
      <c r="S882" s="243"/>
      <c r="T882" s="243"/>
      <c r="U882" s="243"/>
      <c r="V882" s="243"/>
      <c r="W882" s="243"/>
      <c r="X882" s="243"/>
      <c r="Y882" s="243"/>
      <c r="Z882" s="243"/>
    </row>
    <row r="883">
      <c r="A883" s="243"/>
      <c r="B883" s="243"/>
      <c r="C883" s="243"/>
      <c r="D883" s="243"/>
      <c r="E883" s="243"/>
      <c r="F883" s="243"/>
      <c r="G883" s="243"/>
      <c r="H883" s="243"/>
      <c r="I883" s="243"/>
      <c r="J883" s="243"/>
      <c r="K883" s="243"/>
      <c r="L883" s="243"/>
      <c r="M883" s="243"/>
      <c r="N883" s="243"/>
      <c r="O883" s="243"/>
      <c r="P883" s="243"/>
      <c r="Q883" s="243"/>
      <c r="R883" s="243"/>
      <c r="S883" s="243"/>
      <c r="T883" s="243"/>
      <c r="U883" s="243"/>
      <c r="V883" s="243"/>
      <c r="W883" s="243"/>
      <c r="X883" s="243"/>
      <c r="Y883" s="243"/>
      <c r="Z883" s="243"/>
    </row>
    <row r="884">
      <c r="A884" s="243"/>
      <c r="B884" s="243"/>
      <c r="C884" s="243"/>
      <c r="D884" s="243"/>
      <c r="E884" s="243"/>
      <c r="F884" s="243"/>
      <c r="G884" s="243"/>
      <c r="H884" s="243"/>
      <c r="I884" s="243"/>
      <c r="J884" s="243"/>
      <c r="K884" s="243"/>
      <c r="L884" s="243"/>
      <c r="M884" s="243"/>
      <c r="N884" s="243"/>
      <c r="O884" s="243"/>
      <c r="P884" s="243"/>
      <c r="Q884" s="243"/>
      <c r="R884" s="243"/>
      <c r="S884" s="243"/>
      <c r="T884" s="243"/>
      <c r="U884" s="243"/>
      <c r="V884" s="243"/>
      <c r="W884" s="243"/>
      <c r="X884" s="243"/>
      <c r="Y884" s="243"/>
      <c r="Z884" s="243"/>
    </row>
    <row r="885">
      <c r="A885" s="243"/>
      <c r="B885" s="243"/>
      <c r="C885" s="243"/>
      <c r="D885" s="243"/>
      <c r="E885" s="243"/>
      <c r="F885" s="243"/>
      <c r="G885" s="243"/>
      <c r="H885" s="243"/>
      <c r="I885" s="243"/>
      <c r="J885" s="243"/>
      <c r="K885" s="243"/>
      <c r="L885" s="243"/>
      <c r="M885" s="243"/>
      <c r="N885" s="243"/>
      <c r="O885" s="243"/>
      <c r="P885" s="243"/>
      <c r="Q885" s="243"/>
      <c r="R885" s="243"/>
      <c r="S885" s="243"/>
      <c r="T885" s="243"/>
      <c r="U885" s="243"/>
      <c r="V885" s="243"/>
      <c r="W885" s="243"/>
      <c r="X885" s="243"/>
      <c r="Y885" s="243"/>
      <c r="Z885" s="243"/>
    </row>
    <row r="886">
      <c r="A886" s="243"/>
      <c r="B886" s="243"/>
      <c r="C886" s="243"/>
      <c r="D886" s="243"/>
      <c r="E886" s="243"/>
      <c r="F886" s="243"/>
      <c r="G886" s="243"/>
      <c r="H886" s="243"/>
      <c r="I886" s="243"/>
      <c r="J886" s="243"/>
      <c r="K886" s="243"/>
      <c r="L886" s="243"/>
      <c r="M886" s="243"/>
      <c r="N886" s="243"/>
      <c r="O886" s="243"/>
      <c r="P886" s="243"/>
      <c r="Q886" s="243"/>
      <c r="R886" s="243"/>
      <c r="S886" s="243"/>
      <c r="T886" s="243"/>
      <c r="U886" s="243"/>
      <c r="V886" s="243"/>
      <c r="W886" s="243"/>
      <c r="X886" s="243"/>
      <c r="Y886" s="243"/>
      <c r="Z886" s="243"/>
    </row>
    <row r="887">
      <c r="A887" s="243"/>
      <c r="B887" s="243"/>
      <c r="C887" s="243"/>
      <c r="D887" s="243"/>
      <c r="E887" s="243"/>
      <c r="F887" s="243"/>
      <c r="G887" s="243"/>
      <c r="H887" s="243"/>
      <c r="I887" s="243"/>
      <c r="J887" s="243"/>
      <c r="K887" s="243"/>
      <c r="L887" s="243"/>
      <c r="M887" s="243"/>
      <c r="N887" s="243"/>
      <c r="O887" s="243"/>
      <c r="P887" s="243"/>
      <c r="Q887" s="243"/>
      <c r="R887" s="243"/>
      <c r="S887" s="243"/>
      <c r="T887" s="243"/>
      <c r="U887" s="243"/>
      <c r="V887" s="243"/>
      <c r="W887" s="243"/>
      <c r="X887" s="243"/>
      <c r="Y887" s="243"/>
      <c r="Z887" s="243"/>
    </row>
    <row r="888">
      <c r="A888" s="243"/>
      <c r="B888" s="243"/>
      <c r="C888" s="243"/>
      <c r="D888" s="243"/>
      <c r="E888" s="243"/>
      <c r="F888" s="243"/>
      <c r="G888" s="243"/>
      <c r="H888" s="243"/>
      <c r="I888" s="243"/>
      <c r="J888" s="243"/>
      <c r="K888" s="243"/>
      <c r="L888" s="243"/>
      <c r="M888" s="243"/>
      <c r="N888" s="243"/>
      <c r="O888" s="243"/>
      <c r="P888" s="243"/>
      <c r="Q888" s="243"/>
      <c r="R888" s="243"/>
      <c r="S888" s="243"/>
      <c r="T888" s="243"/>
      <c r="U888" s="243"/>
      <c r="V888" s="243"/>
      <c r="W888" s="243"/>
      <c r="X888" s="243"/>
      <c r="Y888" s="243"/>
      <c r="Z888" s="243"/>
    </row>
    <row r="889">
      <c r="A889" s="243"/>
      <c r="B889" s="243"/>
      <c r="C889" s="243"/>
      <c r="D889" s="243"/>
      <c r="E889" s="243"/>
      <c r="F889" s="243"/>
      <c r="G889" s="243"/>
      <c r="H889" s="243"/>
      <c r="I889" s="243"/>
      <c r="J889" s="243"/>
      <c r="K889" s="243"/>
      <c r="L889" s="243"/>
      <c r="M889" s="243"/>
      <c r="N889" s="243"/>
      <c r="O889" s="243"/>
      <c r="P889" s="243"/>
      <c r="Q889" s="243"/>
      <c r="R889" s="243"/>
      <c r="S889" s="243"/>
      <c r="T889" s="243"/>
      <c r="U889" s="243"/>
      <c r="V889" s="243"/>
      <c r="W889" s="243"/>
      <c r="X889" s="243"/>
      <c r="Y889" s="243"/>
      <c r="Z889" s="243"/>
    </row>
    <row r="890">
      <c r="A890" s="243"/>
      <c r="B890" s="243"/>
      <c r="C890" s="243"/>
      <c r="D890" s="243"/>
      <c r="E890" s="243"/>
      <c r="F890" s="243"/>
      <c r="G890" s="243"/>
      <c r="H890" s="243"/>
      <c r="I890" s="243"/>
      <c r="J890" s="243"/>
      <c r="K890" s="243"/>
      <c r="L890" s="243"/>
      <c r="M890" s="243"/>
      <c r="N890" s="243"/>
      <c r="O890" s="243"/>
      <c r="P890" s="243"/>
      <c r="Q890" s="243"/>
      <c r="R890" s="243"/>
      <c r="S890" s="243"/>
      <c r="T890" s="243"/>
      <c r="U890" s="243"/>
      <c r="V890" s="243"/>
      <c r="W890" s="243"/>
      <c r="X890" s="243"/>
      <c r="Y890" s="243"/>
      <c r="Z890" s="243"/>
    </row>
    <row r="891">
      <c r="A891" s="243"/>
      <c r="B891" s="243"/>
      <c r="C891" s="243"/>
      <c r="D891" s="243"/>
      <c r="E891" s="243"/>
      <c r="F891" s="243"/>
      <c r="G891" s="243"/>
      <c r="H891" s="243"/>
      <c r="I891" s="243"/>
      <c r="J891" s="243"/>
      <c r="K891" s="243"/>
      <c r="L891" s="243"/>
      <c r="M891" s="243"/>
      <c r="N891" s="243"/>
      <c r="O891" s="243"/>
      <c r="P891" s="243"/>
      <c r="Q891" s="243"/>
      <c r="R891" s="243"/>
      <c r="S891" s="243"/>
      <c r="T891" s="243"/>
      <c r="U891" s="243"/>
      <c r="V891" s="243"/>
      <c r="W891" s="243"/>
      <c r="X891" s="243"/>
      <c r="Y891" s="243"/>
      <c r="Z891" s="243"/>
    </row>
    <row r="892">
      <c r="A892" s="243"/>
      <c r="B892" s="243"/>
      <c r="C892" s="243"/>
      <c r="D892" s="243"/>
      <c r="E892" s="243"/>
      <c r="F892" s="243"/>
      <c r="G892" s="243"/>
      <c r="H892" s="243"/>
      <c r="I892" s="243"/>
      <c r="J892" s="243"/>
      <c r="K892" s="243"/>
      <c r="L892" s="243"/>
      <c r="M892" s="243"/>
      <c r="N892" s="243"/>
      <c r="O892" s="243"/>
      <c r="P892" s="243"/>
      <c r="Q892" s="243"/>
      <c r="R892" s="243"/>
      <c r="S892" s="243"/>
      <c r="T892" s="243"/>
      <c r="U892" s="243"/>
      <c r="V892" s="243"/>
      <c r="W892" s="243"/>
      <c r="X892" s="243"/>
      <c r="Y892" s="243"/>
      <c r="Z892" s="243"/>
    </row>
    <row r="893">
      <c r="A893" s="243"/>
      <c r="B893" s="243"/>
      <c r="C893" s="243"/>
      <c r="D893" s="243"/>
      <c r="E893" s="243"/>
      <c r="F893" s="243"/>
      <c r="G893" s="243"/>
      <c r="H893" s="243"/>
      <c r="I893" s="243"/>
      <c r="J893" s="243"/>
      <c r="K893" s="243"/>
      <c r="L893" s="243"/>
      <c r="M893" s="243"/>
      <c r="N893" s="243"/>
      <c r="O893" s="243"/>
      <c r="P893" s="243"/>
      <c r="Q893" s="243"/>
      <c r="R893" s="243"/>
      <c r="S893" s="243"/>
      <c r="T893" s="243"/>
      <c r="U893" s="243"/>
      <c r="V893" s="243"/>
      <c r="W893" s="243"/>
      <c r="X893" s="243"/>
      <c r="Y893" s="243"/>
      <c r="Z893" s="243"/>
    </row>
    <row r="894">
      <c r="A894" s="243"/>
      <c r="B894" s="243"/>
      <c r="C894" s="243"/>
      <c r="D894" s="243"/>
      <c r="E894" s="243"/>
      <c r="F894" s="243"/>
      <c r="G894" s="243"/>
      <c r="H894" s="243"/>
      <c r="I894" s="243"/>
      <c r="J894" s="243"/>
      <c r="K894" s="243"/>
      <c r="L894" s="243"/>
      <c r="M894" s="243"/>
      <c r="N894" s="243"/>
      <c r="O894" s="243"/>
      <c r="P894" s="243"/>
      <c r="Q894" s="243"/>
      <c r="R894" s="243"/>
      <c r="S894" s="243"/>
      <c r="T894" s="243"/>
      <c r="U894" s="243"/>
      <c r="V894" s="243"/>
      <c r="W894" s="243"/>
      <c r="X894" s="243"/>
      <c r="Y894" s="243"/>
      <c r="Z894" s="243"/>
    </row>
    <row r="895">
      <c r="A895" s="243"/>
      <c r="B895" s="243"/>
      <c r="C895" s="243"/>
      <c r="D895" s="243"/>
      <c r="E895" s="243"/>
      <c r="F895" s="243"/>
      <c r="G895" s="243"/>
      <c r="H895" s="243"/>
      <c r="I895" s="243"/>
      <c r="J895" s="243"/>
      <c r="K895" s="243"/>
      <c r="L895" s="243"/>
      <c r="M895" s="243"/>
      <c r="N895" s="243"/>
      <c r="O895" s="243"/>
      <c r="P895" s="243"/>
      <c r="Q895" s="243"/>
      <c r="R895" s="243"/>
      <c r="S895" s="243"/>
      <c r="T895" s="243"/>
      <c r="U895" s="243"/>
      <c r="V895" s="243"/>
      <c r="W895" s="243"/>
      <c r="X895" s="243"/>
      <c r="Y895" s="243"/>
      <c r="Z895" s="243"/>
    </row>
    <row r="896">
      <c r="A896" s="243"/>
      <c r="B896" s="243"/>
      <c r="C896" s="243"/>
      <c r="D896" s="243"/>
      <c r="E896" s="243"/>
      <c r="F896" s="243"/>
      <c r="G896" s="243"/>
      <c r="H896" s="243"/>
      <c r="I896" s="243"/>
      <c r="J896" s="243"/>
      <c r="K896" s="243"/>
      <c r="L896" s="243"/>
      <c r="M896" s="243"/>
      <c r="N896" s="243"/>
      <c r="O896" s="243"/>
      <c r="P896" s="243"/>
      <c r="Q896" s="243"/>
      <c r="R896" s="243"/>
      <c r="S896" s="243"/>
      <c r="T896" s="243"/>
      <c r="U896" s="243"/>
      <c r="V896" s="243"/>
      <c r="W896" s="243"/>
      <c r="X896" s="243"/>
      <c r="Y896" s="243"/>
      <c r="Z896" s="243"/>
    </row>
    <row r="897">
      <c r="A897" s="243"/>
      <c r="B897" s="243"/>
      <c r="C897" s="243"/>
      <c r="D897" s="243"/>
      <c r="E897" s="243"/>
      <c r="F897" s="243"/>
      <c r="G897" s="243"/>
      <c r="H897" s="243"/>
      <c r="I897" s="243"/>
      <c r="J897" s="243"/>
      <c r="K897" s="243"/>
      <c r="L897" s="243"/>
      <c r="M897" s="243"/>
      <c r="N897" s="243"/>
      <c r="O897" s="243"/>
      <c r="P897" s="243"/>
      <c r="Q897" s="243"/>
      <c r="R897" s="243"/>
      <c r="S897" s="243"/>
      <c r="T897" s="243"/>
      <c r="U897" s="243"/>
      <c r="V897" s="243"/>
      <c r="W897" s="243"/>
      <c r="X897" s="243"/>
      <c r="Y897" s="243"/>
      <c r="Z897" s="243"/>
    </row>
    <row r="898">
      <c r="A898" s="243"/>
      <c r="B898" s="243"/>
      <c r="C898" s="243"/>
      <c r="D898" s="243"/>
      <c r="E898" s="243"/>
      <c r="F898" s="243"/>
      <c r="G898" s="243"/>
      <c r="H898" s="243"/>
      <c r="I898" s="243"/>
      <c r="J898" s="243"/>
      <c r="K898" s="243"/>
      <c r="L898" s="243"/>
      <c r="M898" s="243"/>
      <c r="N898" s="243"/>
      <c r="O898" s="243"/>
      <c r="P898" s="243"/>
      <c r="Q898" s="243"/>
      <c r="R898" s="243"/>
      <c r="S898" s="243"/>
      <c r="T898" s="243"/>
      <c r="U898" s="243"/>
      <c r="V898" s="243"/>
      <c r="W898" s="243"/>
      <c r="X898" s="243"/>
      <c r="Y898" s="243"/>
      <c r="Z898" s="243"/>
    </row>
    <row r="899">
      <c r="A899" s="243"/>
      <c r="B899" s="243"/>
      <c r="C899" s="243"/>
      <c r="D899" s="243"/>
      <c r="E899" s="243"/>
      <c r="F899" s="243"/>
      <c r="G899" s="243"/>
      <c r="H899" s="243"/>
      <c r="I899" s="243"/>
      <c r="J899" s="243"/>
      <c r="K899" s="243"/>
      <c r="L899" s="243"/>
      <c r="M899" s="243"/>
      <c r="N899" s="243"/>
      <c r="O899" s="243"/>
      <c r="P899" s="243"/>
      <c r="Q899" s="243"/>
      <c r="R899" s="243"/>
      <c r="S899" s="243"/>
      <c r="T899" s="243"/>
      <c r="U899" s="243"/>
      <c r="V899" s="243"/>
      <c r="W899" s="243"/>
      <c r="X899" s="243"/>
      <c r="Y899" s="243"/>
      <c r="Z899" s="243"/>
    </row>
    <row r="900">
      <c r="A900" s="243"/>
      <c r="B900" s="243"/>
      <c r="C900" s="243"/>
      <c r="D900" s="243"/>
      <c r="E900" s="243"/>
      <c r="F900" s="243"/>
      <c r="G900" s="243"/>
      <c r="H900" s="243"/>
      <c r="I900" s="243"/>
      <c r="J900" s="243"/>
      <c r="K900" s="243"/>
      <c r="L900" s="243"/>
      <c r="M900" s="243"/>
      <c r="N900" s="243"/>
      <c r="O900" s="243"/>
      <c r="P900" s="243"/>
      <c r="Q900" s="243"/>
      <c r="R900" s="243"/>
      <c r="S900" s="243"/>
      <c r="T900" s="243"/>
      <c r="U900" s="243"/>
      <c r="V900" s="243"/>
      <c r="W900" s="243"/>
      <c r="X900" s="243"/>
      <c r="Y900" s="243"/>
      <c r="Z900" s="243"/>
    </row>
    <row r="901">
      <c r="A901" s="243"/>
      <c r="B901" s="243"/>
      <c r="C901" s="243"/>
      <c r="D901" s="243"/>
      <c r="E901" s="243"/>
      <c r="F901" s="243"/>
      <c r="G901" s="243"/>
      <c r="H901" s="243"/>
      <c r="I901" s="243"/>
      <c r="J901" s="243"/>
      <c r="K901" s="243"/>
      <c r="L901" s="243"/>
      <c r="M901" s="243"/>
      <c r="N901" s="243"/>
      <c r="O901" s="243"/>
      <c r="P901" s="243"/>
      <c r="Q901" s="243"/>
      <c r="R901" s="243"/>
      <c r="S901" s="243"/>
      <c r="T901" s="243"/>
      <c r="U901" s="243"/>
      <c r="V901" s="243"/>
      <c r="W901" s="243"/>
      <c r="X901" s="243"/>
      <c r="Y901" s="243"/>
      <c r="Z901" s="243"/>
    </row>
    <row r="902">
      <c r="A902" s="243"/>
      <c r="B902" s="243"/>
      <c r="C902" s="243"/>
      <c r="D902" s="243"/>
      <c r="E902" s="243"/>
      <c r="F902" s="243"/>
      <c r="G902" s="243"/>
      <c r="H902" s="243"/>
      <c r="I902" s="243"/>
      <c r="J902" s="243"/>
      <c r="K902" s="243"/>
      <c r="L902" s="243"/>
      <c r="M902" s="243"/>
      <c r="N902" s="243"/>
      <c r="O902" s="243"/>
      <c r="P902" s="243"/>
      <c r="Q902" s="243"/>
      <c r="R902" s="243"/>
      <c r="S902" s="243"/>
      <c r="T902" s="243"/>
      <c r="U902" s="243"/>
      <c r="V902" s="243"/>
      <c r="W902" s="243"/>
      <c r="X902" s="243"/>
      <c r="Y902" s="243"/>
      <c r="Z902" s="243"/>
    </row>
    <row r="903">
      <c r="A903" s="243"/>
      <c r="B903" s="243"/>
      <c r="C903" s="243"/>
      <c r="D903" s="243"/>
      <c r="E903" s="243"/>
      <c r="F903" s="243"/>
      <c r="G903" s="243"/>
      <c r="H903" s="243"/>
      <c r="I903" s="243"/>
      <c r="J903" s="243"/>
      <c r="K903" s="243"/>
      <c r="L903" s="243"/>
      <c r="M903" s="243"/>
      <c r="N903" s="243"/>
      <c r="O903" s="243"/>
      <c r="P903" s="243"/>
      <c r="Q903" s="243"/>
      <c r="R903" s="243"/>
      <c r="S903" s="243"/>
      <c r="T903" s="243"/>
      <c r="U903" s="243"/>
      <c r="V903" s="243"/>
      <c r="W903" s="243"/>
      <c r="X903" s="243"/>
      <c r="Y903" s="243"/>
      <c r="Z903" s="243"/>
    </row>
    <row r="904">
      <c r="A904" s="243"/>
      <c r="B904" s="243"/>
      <c r="C904" s="243"/>
      <c r="D904" s="243"/>
      <c r="E904" s="243"/>
      <c r="F904" s="243"/>
      <c r="G904" s="243"/>
      <c r="H904" s="243"/>
      <c r="I904" s="243"/>
      <c r="J904" s="243"/>
      <c r="K904" s="243"/>
      <c r="L904" s="243"/>
      <c r="M904" s="243"/>
      <c r="N904" s="243"/>
      <c r="O904" s="243"/>
      <c r="P904" s="243"/>
      <c r="Q904" s="243"/>
      <c r="R904" s="243"/>
      <c r="S904" s="243"/>
      <c r="T904" s="243"/>
      <c r="U904" s="243"/>
      <c r="V904" s="243"/>
      <c r="W904" s="243"/>
      <c r="X904" s="243"/>
      <c r="Y904" s="243"/>
      <c r="Z904" s="243"/>
    </row>
    <row r="905">
      <c r="A905" s="243"/>
      <c r="B905" s="243"/>
      <c r="C905" s="243"/>
      <c r="D905" s="243"/>
      <c r="E905" s="243"/>
      <c r="F905" s="243"/>
      <c r="G905" s="243"/>
      <c r="H905" s="243"/>
      <c r="I905" s="243"/>
      <c r="J905" s="243"/>
      <c r="K905" s="243"/>
      <c r="L905" s="243"/>
      <c r="M905" s="243"/>
      <c r="N905" s="243"/>
      <c r="O905" s="243"/>
      <c r="P905" s="243"/>
      <c r="Q905" s="243"/>
      <c r="R905" s="243"/>
      <c r="S905" s="243"/>
      <c r="T905" s="243"/>
      <c r="U905" s="243"/>
      <c r="V905" s="243"/>
      <c r="W905" s="243"/>
      <c r="X905" s="243"/>
      <c r="Y905" s="243"/>
      <c r="Z905" s="243"/>
    </row>
    <row r="906">
      <c r="A906" s="243"/>
      <c r="B906" s="243"/>
      <c r="C906" s="243"/>
      <c r="D906" s="243"/>
      <c r="E906" s="243"/>
      <c r="F906" s="243"/>
      <c r="G906" s="243"/>
      <c r="H906" s="243"/>
      <c r="I906" s="243"/>
      <c r="J906" s="243"/>
      <c r="K906" s="243"/>
      <c r="L906" s="243"/>
      <c r="M906" s="243"/>
      <c r="N906" s="243"/>
      <c r="O906" s="243"/>
      <c r="P906" s="243"/>
      <c r="Q906" s="243"/>
      <c r="R906" s="243"/>
      <c r="S906" s="243"/>
      <c r="T906" s="243"/>
      <c r="U906" s="243"/>
      <c r="V906" s="243"/>
      <c r="W906" s="243"/>
      <c r="X906" s="243"/>
      <c r="Y906" s="243"/>
      <c r="Z906" s="243"/>
    </row>
    <row r="907">
      <c r="A907" s="243"/>
      <c r="B907" s="243"/>
      <c r="C907" s="243"/>
      <c r="D907" s="243"/>
      <c r="E907" s="243"/>
      <c r="F907" s="243"/>
      <c r="G907" s="243"/>
      <c r="H907" s="243"/>
      <c r="I907" s="243"/>
      <c r="J907" s="243"/>
      <c r="K907" s="243"/>
      <c r="L907" s="243"/>
      <c r="M907" s="243"/>
      <c r="N907" s="243"/>
      <c r="O907" s="243"/>
      <c r="P907" s="243"/>
      <c r="Q907" s="243"/>
      <c r="R907" s="243"/>
      <c r="S907" s="243"/>
      <c r="T907" s="243"/>
      <c r="U907" s="243"/>
      <c r="V907" s="243"/>
      <c r="W907" s="243"/>
      <c r="X907" s="243"/>
      <c r="Y907" s="243"/>
      <c r="Z907" s="243"/>
    </row>
    <row r="908">
      <c r="A908" s="243"/>
      <c r="B908" s="243"/>
      <c r="C908" s="243"/>
      <c r="D908" s="243"/>
      <c r="E908" s="243"/>
      <c r="F908" s="243"/>
      <c r="G908" s="243"/>
      <c r="H908" s="243"/>
      <c r="I908" s="243"/>
      <c r="J908" s="243"/>
      <c r="K908" s="243"/>
      <c r="L908" s="243"/>
      <c r="M908" s="243"/>
      <c r="N908" s="243"/>
      <c r="O908" s="243"/>
      <c r="P908" s="243"/>
      <c r="Q908" s="243"/>
      <c r="R908" s="243"/>
      <c r="S908" s="243"/>
      <c r="T908" s="243"/>
      <c r="U908" s="243"/>
      <c r="V908" s="243"/>
      <c r="W908" s="243"/>
      <c r="X908" s="243"/>
      <c r="Y908" s="243"/>
      <c r="Z908" s="243"/>
    </row>
    <row r="909">
      <c r="A909" s="243"/>
      <c r="B909" s="243"/>
      <c r="C909" s="243"/>
      <c r="D909" s="243"/>
      <c r="E909" s="243"/>
      <c r="F909" s="243"/>
      <c r="G909" s="243"/>
      <c r="H909" s="243"/>
      <c r="I909" s="243"/>
      <c r="J909" s="243"/>
      <c r="K909" s="243"/>
      <c r="L909" s="243"/>
      <c r="M909" s="243"/>
      <c r="N909" s="243"/>
      <c r="O909" s="243"/>
      <c r="P909" s="243"/>
      <c r="Q909" s="243"/>
      <c r="R909" s="243"/>
      <c r="S909" s="243"/>
      <c r="T909" s="243"/>
      <c r="U909" s="243"/>
      <c r="V909" s="243"/>
      <c r="W909" s="243"/>
      <c r="X909" s="243"/>
      <c r="Y909" s="243"/>
      <c r="Z909" s="243"/>
    </row>
    <row r="910">
      <c r="A910" s="243"/>
      <c r="B910" s="243"/>
      <c r="C910" s="243"/>
      <c r="D910" s="243"/>
      <c r="E910" s="243"/>
      <c r="F910" s="243"/>
      <c r="G910" s="243"/>
      <c r="H910" s="243"/>
      <c r="I910" s="243"/>
      <c r="J910" s="243"/>
      <c r="K910" s="243"/>
      <c r="L910" s="243"/>
      <c r="M910" s="243"/>
      <c r="N910" s="243"/>
      <c r="O910" s="243"/>
      <c r="P910" s="243"/>
      <c r="Q910" s="243"/>
      <c r="R910" s="243"/>
      <c r="S910" s="243"/>
      <c r="T910" s="243"/>
      <c r="U910" s="243"/>
      <c r="V910" s="243"/>
      <c r="W910" s="243"/>
      <c r="X910" s="243"/>
      <c r="Y910" s="243"/>
      <c r="Z910" s="243"/>
    </row>
    <row r="911">
      <c r="A911" s="243"/>
      <c r="B911" s="243"/>
      <c r="C911" s="243"/>
      <c r="D911" s="243"/>
      <c r="E911" s="243"/>
      <c r="F911" s="243"/>
      <c r="G911" s="243"/>
      <c r="H911" s="243"/>
      <c r="I911" s="243"/>
      <c r="J911" s="243"/>
      <c r="K911" s="243"/>
      <c r="L911" s="243"/>
      <c r="M911" s="243"/>
      <c r="N911" s="243"/>
      <c r="O911" s="243"/>
      <c r="P911" s="243"/>
      <c r="Q911" s="243"/>
      <c r="R911" s="243"/>
      <c r="S911" s="243"/>
      <c r="T911" s="243"/>
      <c r="U911" s="243"/>
      <c r="V911" s="243"/>
      <c r="W911" s="243"/>
      <c r="X911" s="243"/>
      <c r="Y911" s="243"/>
      <c r="Z911" s="243"/>
    </row>
    <row r="912">
      <c r="A912" s="243"/>
      <c r="B912" s="243"/>
      <c r="C912" s="243"/>
      <c r="D912" s="243"/>
      <c r="E912" s="243"/>
      <c r="F912" s="243"/>
      <c r="G912" s="243"/>
      <c r="H912" s="243"/>
      <c r="I912" s="243"/>
      <c r="J912" s="243"/>
      <c r="K912" s="243"/>
      <c r="L912" s="243"/>
      <c r="M912" s="243"/>
      <c r="N912" s="243"/>
      <c r="O912" s="243"/>
      <c r="P912" s="243"/>
      <c r="Q912" s="243"/>
      <c r="R912" s="243"/>
      <c r="S912" s="243"/>
      <c r="T912" s="243"/>
      <c r="U912" s="243"/>
      <c r="V912" s="243"/>
      <c r="W912" s="243"/>
      <c r="X912" s="243"/>
      <c r="Y912" s="243"/>
      <c r="Z912" s="243"/>
    </row>
    <row r="913">
      <c r="A913" s="243"/>
      <c r="B913" s="243"/>
      <c r="C913" s="243"/>
      <c r="D913" s="243"/>
      <c r="E913" s="243"/>
      <c r="F913" s="243"/>
      <c r="G913" s="243"/>
      <c r="H913" s="243"/>
      <c r="I913" s="243"/>
      <c r="J913" s="243"/>
      <c r="K913" s="243"/>
      <c r="L913" s="243"/>
      <c r="M913" s="243"/>
      <c r="N913" s="243"/>
      <c r="O913" s="243"/>
      <c r="P913" s="243"/>
      <c r="Q913" s="243"/>
      <c r="R913" s="243"/>
      <c r="S913" s="243"/>
      <c r="T913" s="243"/>
      <c r="U913" s="243"/>
      <c r="V913" s="243"/>
      <c r="W913" s="243"/>
      <c r="X913" s="243"/>
      <c r="Y913" s="243"/>
      <c r="Z913" s="243"/>
    </row>
    <row r="914">
      <c r="A914" s="243"/>
      <c r="B914" s="243"/>
      <c r="C914" s="243"/>
      <c r="D914" s="243"/>
      <c r="E914" s="243"/>
      <c r="F914" s="243"/>
      <c r="G914" s="243"/>
      <c r="H914" s="243"/>
      <c r="I914" s="243"/>
      <c r="J914" s="243"/>
      <c r="K914" s="243"/>
      <c r="L914" s="243"/>
      <c r="M914" s="243"/>
      <c r="N914" s="243"/>
      <c r="O914" s="243"/>
      <c r="P914" s="243"/>
      <c r="Q914" s="243"/>
      <c r="R914" s="243"/>
      <c r="S914" s="243"/>
      <c r="T914" s="243"/>
      <c r="U914" s="243"/>
      <c r="V914" s="243"/>
      <c r="W914" s="243"/>
      <c r="X914" s="243"/>
      <c r="Y914" s="243"/>
      <c r="Z914" s="243"/>
    </row>
    <row r="915">
      <c r="A915" s="243"/>
      <c r="B915" s="243"/>
      <c r="C915" s="243"/>
      <c r="D915" s="243"/>
      <c r="E915" s="243"/>
      <c r="F915" s="243"/>
      <c r="G915" s="243"/>
      <c r="H915" s="243"/>
      <c r="I915" s="243"/>
      <c r="J915" s="243"/>
      <c r="K915" s="243"/>
      <c r="L915" s="243"/>
      <c r="M915" s="243"/>
      <c r="N915" s="243"/>
      <c r="O915" s="243"/>
      <c r="P915" s="243"/>
      <c r="Q915" s="243"/>
      <c r="R915" s="243"/>
      <c r="S915" s="243"/>
      <c r="T915" s="243"/>
      <c r="U915" s="243"/>
      <c r="V915" s="243"/>
      <c r="W915" s="243"/>
      <c r="X915" s="243"/>
      <c r="Y915" s="243"/>
      <c r="Z915" s="243"/>
    </row>
    <row r="916">
      <c r="A916" s="243"/>
      <c r="B916" s="243"/>
      <c r="C916" s="243"/>
      <c r="D916" s="243"/>
      <c r="E916" s="243"/>
      <c r="F916" s="243"/>
      <c r="G916" s="243"/>
      <c r="H916" s="243"/>
      <c r="I916" s="243"/>
      <c r="J916" s="243"/>
      <c r="K916" s="243"/>
      <c r="L916" s="243"/>
      <c r="M916" s="243"/>
      <c r="N916" s="243"/>
      <c r="O916" s="243"/>
      <c r="P916" s="243"/>
      <c r="Q916" s="243"/>
      <c r="R916" s="243"/>
      <c r="S916" s="243"/>
      <c r="T916" s="243"/>
      <c r="U916" s="243"/>
      <c r="V916" s="243"/>
      <c r="W916" s="243"/>
      <c r="X916" s="243"/>
      <c r="Y916" s="243"/>
      <c r="Z916" s="243"/>
    </row>
    <row r="917">
      <c r="A917" s="243"/>
      <c r="B917" s="243"/>
      <c r="C917" s="243"/>
      <c r="D917" s="243"/>
      <c r="E917" s="243"/>
      <c r="F917" s="243"/>
      <c r="G917" s="243"/>
      <c r="H917" s="243"/>
      <c r="I917" s="243"/>
      <c r="J917" s="243"/>
      <c r="K917" s="243"/>
      <c r="L917" s="243"/>
      <c r="M917" s="243"/>
      <c r="N917" s="243"/>
      <c r="O917" s="243"/>
      <c r="P917" s="243"/>
      <c r="Q917" s="243"/>
      <c r="R917" s="243"/>
      <c r="S917" s="243"/>
      <c r="T917" s="243"/>
      <c r="U917" s="243"/>
      <c r="V917" s="243"/>
      <c r="W917" s="243"/>
      <c r="X917" s="243"/>
      <c r="Y917" s="243"/>
      <c r="Z917" s="243"/>
    </row>
    <row r="918">
      <c r="A918" s="243"/>
      <c r="B918" s="243"/>
      <c r="C918" s="243"/>
      <c r="D918" s="243"/>
      <c r="E918" s="243"/>
      <c r="F918" s="243"/>
      <c r="G918" s="243"/>
      <c r="H918" s="243"/>
      <c r="I918" s="243"/>
      <c r="J918" s="243"/>
      <c r="K918" s="243"/>
      <c r="L918" s="243"/>
      <c r="M918" s="243"/>
      <c r="N918" s="243"/>
      <c r="O918" s="243"/>
      <c r="P918" s="243"/>
      <c r="Q918" s="243"/>
      <c r="R918" s="243"/>
      <c r="S918" s="243"/>
      <c r="T918" s="243"/>
      <c r="U918" s="243"/>
      <c r="V918" s="243"/>
      <c r="W918" s="243"/>
      <c r="X918" s="243"/>
      <c r="Y918" s="243"/>
      <c r="Z918" s="243"/>
    </row>
    <row r="919">
      <c r="A919" s="243"/>
      <c r="B919" s="243"/>
      <c r="C919" s="243"/>
      <c r="D919" s="243"/>
      <c r="E919" s="243"/>
      <c r="F919" s="243"/>
      <c r="G919" s="243"/>
      <c r="H919" s="243"/>
      <c r="I919" s="243"/>
      <c r="J919" s="243"/>
      <c r="K919" s="243"/>
      <c r="L919" s="243"/>
      <c r="M919" s="243"/>
      <c r="N919" s="243"/>
      <c r="O919" s="243"/>
      <c r="P919" s="243"/>
      <c r="Q919" s="243"/>
      <c r="R919" s="243"/>
      <c r="S919" s="243"/>
      <c r="T919" s="243"/>
      <c r="U919" s="243"/>
      <c r="V919" s="243"/>
      <c r="W919" s="243"/>
      <c r="X919" s="243"/>
      <c r="Y919" s="243"/>
      <c r="Z919" s="243"/>
    </row>
    <row r="920">
      <c r="A920" s="243"/>
      <c r="B920" s="243"/>
      <c r="C920" s="243"/>
      <c r="D920" s="243"/>
      <c r="E920" s="243"/>
      <c r="F920" s="243"/>
      <c r="G920" s="243"/>
      <c r="H920" s="243"/>
      <c r="I920" s="243"/>
      <c r="J920" s="243"/>
      <c r="K920" s="243"/>
      <c r="L920" s="243"/>
      <c r="M920" s="243"/>
      <c r="N920" s="243"/>
      <c r="O920" s="243"/>
      <c r="P920" s="243"/>
      <c r="Q920" s="243"/>
      <c r="R920" s="243"/>
      <c r="S920" s="243"/>
      <c r="T920" s="243"/>
      <c r="U920" s="243"/>
      <c r="V920" s="243"/>
      <c r="W920" s="243"/>
      <c r="X920" s="243"/>
      <c r="Y920" s="243"/>
      <c r="Z920" s="243"/>
    </row>
    <row r="921">
      <c r="A921" s="243"/>
      <c r="B921" s="243"/>
      <c r="C921" s="243"/>
      <c r="D921" s="243"/>
      <c r="E921" s="243"/>
      <c r="F921" s="243"/>
      <c r="G921" s="243"/>
      <c r="H921" s="243"/>
      <c r="I921" s="243"/>
      <c r="J921" s="243"/>
      <c r="K921" s="243"/>
      <c r="L921" s="243"/>
      <c r="M921" s="243"/>
      <c r="N921" s="243"/>
      <c r="O921" s="243"/>
      <c r="P921" s="243"/>
      <c r="Q921" s="243"/>
      <c r="R921" s="243"/>
      <c r="S921" s="243"/>
      <c r="T921" s="243"/>
      <c r="U921" s="243"/>
      <c r="V921" s="243"/>
      <c r="W921" s="243"/>
      <c r="X921" s="243"/>
      <c r="Y921" s="243"/>
      <c r="Z921" s="243"/>
    </row>
    <row r="922">
      <c r="A922" s="243"/>
      <c r="B922" s="243"/>
      <c r="C922" s="243"/>
      <c r="D922" s="243"/>
      <c r="E922" s="243"/>
      <c r="F922" s="243"/>
      <c r="G922" s="243"/>
      <c r="H922" s="243"/>
      <c r="I922" s="243"/>
      <c r="J922" s="243"/>
      <c r="K922" s="243"/>
      <c r="L922" s="243"/>
      <c r="M922" s="243"/>
      <c r="N922" s="243"/>
      <c r="O922" s="243"/>
      <c r="P922" s="243"/>
      <c r="Q922" s="243"/>
      <c r="R922" s="243"/>
      <c r="S922" s="243"/>
      <c r="T922" s="243"/>
      <c r="U922" s="243"/>
      <c r="V922" s="243"/>
      <c r="W922" s="243"/>
      <c r="X922" s="243"/>
      <c r="Y922" s="243"/>
      <c r="Z922" s="243"/>
    </row>
    <row r="923">
      <c r="A923" s="243"/>
      <c r="B923" s="243"/>
      <c r="C923" s="243"/>
      <c r="D923" s="243"/>
      <c r="E923" s="243"/>
      <c r="F923" s="243"/>
      <c r="G923" s="243"/>
      <c r="H923" s="243"/>
      <c r="I923" s="243"/>
      <c r="J923" s="243"/>
      <c r="K923" s="243"/>
      <c r="L923" s="243"/>
      <c r="M923" s="243"/>
      <c r="N923" s="243"/>
      <c r="O923" s="243"/>
      <c r="P923" s="243"/>
      <c r="Q923" s="243"/>
      <c r="R923" s="243"/>
      <c r="S923" s="243"/>
      <c r="T923" s="243"/>
      <c r="U923" s="243"/>
      <c r="V923" s="243"/>
      <c r="W923" s="243"/>
      <c r="X923" s="243"/>
      <c r="Y923" s="243"/>
      <c r="Z923" s="243"/>
    </row>
    <row r="924">
      <c r="A924" s="243"/>
      <c r="B924" s="243"/>
      <c r="C924" s="243"/>
      <c r="D924" s="243"/>
      <c r="E924" s="243"/>
      <c r="F924" s="243"/>
      <c r="G924" s="243"/>
      <c r="H924" s="243"/>
      <c r="I924" s="243"/>
      <c r="J924" s="243"/>
      <c r="K924" s="243"/>
      <c r="L924" s="243"/>
      <c r="M924" s="243"/>
      <c r="N924" s="243"/>
      <c r="O924" s="243"/>
      <c r="P924" s="243"/>
      <c r="Q924" s="243"/>
      <c r="R924" s="243"/>
      <c r="S924" s="243"/>
      <c r="T924" s="243"/>
      <c r="U924" s="243"/>
      <c r="V924" s="243"/>
      <c r="W924" s="243"/>
      <c r="X924" s="243"/>
      <c r="Y924" s="243"/>
      <c r="Z924" s="243"/>
    </row>
    <row r="925">
      <c r="A925" s="243"/>
      <c r="B925" s="243"/>
      <c r="C925" s="243"/>
      <c r="D925" s="243"/>
      <c r="E925" s="243"/>
      <c r="F925" s="243"/>
      <c r="G925" s="243"/>
      <c r="H925" s="243"/>
      <c r="I925" s="243"/>
      <c r="J925" s="243"/>
      <c r="K925" s="243"/>
      <c r="L925" s="243"/>
      <c r="M925" s="243"/>
      <c r="N925" s="243"/>
      <c r="O925" s="243"/>
      <c r="P925" s="243"/>
      <c r="Q925" s="243"/>
      <c r="R925" s="243"/>
      <c r="S925" s="243"/>
      <c r="T925" s="243"/>
      <c r="U925" s="243"/>
      <c r="V925" s="243"/>
      <c r="W925" s="243"/>
      <c r="X925" s="243"/>
      <c r="Y925" s="243"/>
      <c r="Z925" s="243"/>
    </row>
    <row r="926">
      <c r="A926" s="243"/>
      <c r="B926" s="243"/>
      <c r="C926" s="243"/>
      <c r="D926" s="243"/>
      <c r="E926" s="243"/>
      <c r="F926" s="243"/>
      <c r="G926" s="243"/>
      <c r="H926" s="243"/>
      <c r="I926" s="243"/>
      <c r="J926" s="243"/>
      <c r="K926" s="243"/>
      <c r="L926" s="243"/>
      <c r="M926" s="243"/>
      <c r="N926" s="243"/>
      <c r="O926" s="243"/>
      <c r="P926" s="243"/>
      <c r="Q926" s="243"/>
      <c r="R926" s="243"/>
      <c r="S926" s="243"/>
      <c r="T926" s="243"/>
      <c r="U926" s="243"/>
      <c r="V926" s="243"/>
      <c r="W926" s="243"/>
      <c r="X926" s="243"/>
      <c r="Y926" s="243"/>
      <c r="Z926" s="243"/>
    </row>
    <row r="927">
      <c r="A927" s="243"/>
      <c r="B927" s="243"/>
      <c r="C927" s="243"/>
      <c r="D927" s="243"/>
      <c r="E927" s="243"/>
      <c r="F927" s="243"/>
      <c r="G927" s="243"/>
      <c r="H927" s="243"/>
      <c r="I927" s="243"/>
      <c r="J927" s="243"/>
      <c r="K927" s="243"/>
      <c r="L927" s="243"/>
      <c r="M927" s="243"/>
      <c r="N927" s="243"/>
      <c r="O927" s="243"/>
      <c r="P927" s="243"/>
      <c r="Q927" s="243"/>
      <c r="R927" s="243"/>
      <c r="S927" s="243"/>
      <c r="T927" s="243"/>
      <c r="U927" s="243"/>
      <c r="V927" s="243"/>
      <c r="W927" s="243"/>
      <c r="X927" s="243"/>
      <c r="Y927" s="243"/>
      <c r="Z927" s="243"/>
    </row>
    <row r="928">
      <c r="A928" s="243"/>
      <c r="B928" s="243"/>
      <c r="C928" s="243"/>
      <c r="D928" s="243"/>
      <c r="E928" s="243"/>
      <c r="F928" s="243"/>
      <c r="G928" s="243"/>
      <c r="H928" s="243"/>
      <c r="I928" s="243"/>
      <c r="J928" s="243"/>
      <c r="K928" s="243"/>
      <c r="L928" s="243"/>
      <c r="M928" s="243"/>
      <c r="N928" s="243"/>
      <c r="O928" s="243"/>
      <c r="P928" s="243"/>
      <c r="Q928" s="243"/>
      <c r="R928" s="243"/>
      <c r="S928" s="243"/>
      <c r="T928" s="243"/>
      <c r="U928" s="243"/>
      <c r="V928" s="243"/>
      <c r="W928" s="243"/>
      <c r="X928" s="243"/>
      <c r="Y928" s="243"/>
      <c r="Z928" s="243"/>
    </row>
    <row r="929">
      <c r="A929" s="243"/>
      <c r="B929" s="243"/>
      <c r="C929" s="243"/>
      <c r="D929" s="243"/>
      <c r="E929" s="243"/>
      <c r="F929" s="243"/>
      <c r="G929" s="243"/>
      <c r="H929" s="243"/>
      <c r="I929" s="243"/>
      <c r="J929" s="243"/>
      <c r="K929" s="243"/>
      <c r="L929" s="243"/>
      <c r="M929" s="243"/>
      <c r="N929" s="243"/>
      <c r="O929" s="243"/>
      <c r="P929" s="243"/>
      <c r="Q929" s="243"/>
      <c r="R929" s="243"/>
      <c r="S929" s="243"/>
      <c r="T929" s="243"/>
      <c r="U929" s="243"/>
      <c r="V929" s="243"/>
      <c r="W929" s="243"/>
      <c r="X929" s="243"/>
      <c r="Y929" s="243"/>
      <c r="Z929" s="243"/>
    </row>
    <row r="930">
      <c r="A930" s="243"/>
      <c r="B930" s="243"/>
      <c r="C930" s="243"/>
      <c r="D930" s="243"/>
      <c r="E930" s="243"/>
      <c r="F930" s="243"/>
      <c r="G930" s="243"/>
      <c r="H930" s="243"/>
      <c r="I930" s="243"/>
      <c r="J930" s="243"/>
      <c r="K930" s="243"/>
      <c r="L930" s="243"/>
      <c r="M930" s="243"/>
      <c r="N930" s="243"/>
      <c r="O930" s="243"/>
      <c r="P930" s="243"/>
      <c r="Q930" s="243"/>
      <c r="R930" s="243"/>
      <c r="S930" s="243"/>
      <c r="T930" s="243"/>
      <c r="U930" s="243"/>
      <c r="V930" s="243"/>
      <c r="W930" s="243"/>
      <c r="X930" s="243"/>
      <c r="Y930" s="243"/>
      <c r="Z930" s="243"/>
    </row>
    <row r="931">
      <c r="A931" s="243"/>
      <c r="B931" s="243"/>
      <c r="C931" s="243"/>
      <c r="D931" s="243"/>
      <c r="E931" s="243"/>
      <c r="F931" s="243"/>
      <c r="G931" s="243"/>
      <c r="H931" s="243"/>
      <c r="I931" s="243"/>
      <c r="J931" s="243"/>
      <c r="K931" s="243"/>
      <c r="L931" s="243"/>
      <c r="M931" s="243"/>
      <c r="N931" s="243"/>
      <c r="O931" s="243"/>
      <c r="P931" s="243"/>
      <c r="Q931" s="243"/>
      <c r="R931" s="243"/>
      <c r="S931" s="243"/>
      <c r="T931" s="243"/>
      <c r="U931" s="243"/>
      <c r="V931" s="243"/>
      <c r="W931" s="243"/>
      <c r="X931" s="243"/>
      <c r="Y931" s="243"/>
      <c r="Z931" s="243"/>
    </row>
    <row r="932">
      <c r="A932" s="243"/>
      <c r="B932" s="243"/>
      <c r="C932" s="243"/>
      <c r="D932" s="243"/>
      <c r="E932" s="243"/>
      <c r="F932" s="243"/>
      <c r="G932" s="243"/>
      <c r="H932" s="243"/>
      <c r="I932" s="243"/>
      <c r="J932" s="243"/>
      <c r="K932" s="243"/>
      <c r="L932" s="243"/>
      <c r="M932" s="243"/>
      <c r="N932" s="243"/>
      <c r="O932" s="243"/>
      <c r="P932" s="243"/>
      <c r="Q932" s="243"/>
      <c r="R932" s="243"/>
      <c r="S932" s="243"/>
      <c r="T932" s="243"/>
      <c r="U932" s="243"/>
      <c r="V932" s="243"/>
      <c r="W932" s="243"/>
      <c r="X932" s="243"/>
      <c r="Y932" s="243"/>
      <c r="Z932" s="243"/>
    </row>
    <row r="933">
      <c r="A933" s="243"/>
      <c r="B933" s="243"/>
      <c r="C933" s="243"/>
      <c r="D933" s="243"/>
      <c r="E933" s="243"/>
      <c r="F933" s="243"/>
      <c r="G933" s="243"/>
      <c r="H933" s="243"/>
      <c r="I933" s="243"/>
      <c r="J933" s="243"/>
      <c r="K933" s="243"/>
      <c r="L933" s="243"/>
      <c r="M933" s="243"/>
      <c r="N933" s="243"/>
      <c r="O933" s="243"/>
      <c r="P933" s="243"/>
      <c r="Q933" s="243"/>
      <c r="R933" s="243"/>
      <c r="S933" s="243"/>
      <c r="T933" s="243"/>
      <c r="U933" s="243"/>
      <c r="V933" s="243"/>
      <c r="W933" s="243"/>
      <c r="X933" s="243"/>
      <c r="Y933" s="243"/>
      <c r="Z933" s="243"/>
    </row>
    <row r="934">
      <c r="A934" s="243"/>
      <c r="B934" s="243"/>
      <c r="C934" s="243"/>
      <c r="D934" s="243"/>
      <c r="E934" s="243"/>
      <c r="F934" s="243"/>
      <c r="G934" s="243"/>
      <c r="H934" s="243"/>
      <c r="I934" s="243"/>
      <c r="J934" s="243"/>
      <c r="K934" s="243"/>
      <c r="L934" s="243"/>
      <c r="M934" s="243"/>
      <c r="N934" s="243"/>
      <c r="O934" s="243"/>
      <c r="P934" s="243"/>
      <c r="Q934" s="243"/>
      <c r="R934" s="243"/>
      <c r="S934" s="243"/>
      <c r="T934" s="243"/>
      <c r="U934" s="243"/>
      <c r="V934" s="243"/>
      <c r="W934" s="243"/>
      <c r="X934" s="243"/>
      <c r="Y934" s="243"/>
      <c r="Z934" s="243"/>
    </row>
    <row r="935">
      <c r="A935" s="243"/>
      <c r="B935" s="243"/>
      <c r="C935" s="243"/>
      <c r="D935" s="243"/>
      <c r="E935" s="243"/>
      <c r="F935" s="243"/>
      <c r="G935" s="243"/>
      <c r="H935" s="243"/>
      <c r="I935" s="243"/>
      <c r="J935" s="243"/>
      <c r="K935" s="243"/>
      <c r="L935" s="243"/>
      <c r="M935" s="243"/>
      <c r="N935" s="243"/>
      <c r="O935" s="243"/>
      <c r="P935" s="243"/>
      <c r="Q935" s="243"/>
      <c r="R935" s="243"/>
      <c r="S935" s="243"/>
      <c r="T935" s="243"/>
      <c r="U935" s="243"/>
      <c r="V935" s="243"/>
      <c r="W935" s="243"/>
      <c r="X935" s="243"/>
      <c r="Y935" s="243"/>
      <c r="Z935" s="243"/>
    </row>
    <row r="936">
      <c r="A936" s="243"/>
      <c r="B936" s="243"/>
      <c r="C936" s="243"/>
      <c r="D936" s="243"/>
      <c r="E936" s="243"/>
      <c r="F936" s="243"/>
      <c r="G936" s="243"/>
      <c r="H936" s="243"/>
      <c r="I936" s="243"/>
      <c r="J936" s="243"/>
      <c r="K936" s="243"/>
      <c r="L936" s="243"/>
      <c r="M936" s="243"/>
      <c r="N936" s="243"/>
      <c r="O936" s="243"/>
      <c r="P936" s="243"/>
      <c r="Q936" s="243"/>
      <c r="R936" s="243"/>
      <c r="S936" s="243"/>
      <c r="T936" s="243"/>
      <c r="U936" s="243"/>
      <c r="V936" s="243"/>
      <c r="W936" s="243"/>
      <c r="X936" s="243"/>
      <c r="Y936" s="243"/>
      <c r="Z936" s="243"/>
    </row>
    <row r="937">
      <c r="A937" s="243"/>
      <c r="B937" s="243"/>
      <c r="C937" s="243"/>
      <c r="D937" s="243"/>
      <c r="E937" s="243"/>
      <c r="F937" s="243"/>
      <c r="G937" s="243"/>
      <c r="H937" s="243"/>
      <c r="I937" s="243"/>
      <c r="J937" s="243"/>
      <c r="K937" s="243"/>
      <c r="L937" s="243"/>
      <c r="M937" s="243"/>
      <c r="N937" s="243"/>
      <c r="O937" s="243"/>
      <c r="P937" s="243"/>
      <c r="Q937" s="243"/>
      <c r="R937" s="243"/>
      <c r="S937" s="243"/>
      <c r="T937" s="243"/>
      <c r="U937" s="243"/>
      <c r="V937" s="243"/>
      <c r="W937" s="243"/>
      <c r="X937" s="243"/>
      <c r="Y937" s="243"/>
      <c r="Z937" s="243"/>
    </row>
    <row r="938">
      <c r="A938" s="243"/>
      <c r="B938" s="243"/>
      <c r="C938" s="243"/>
      <c r="D938" s="243"/>
      <c r="E938" s="243"/>
      <c r="F938" s="243"/>
      <c r="G938" s="243"/>
      <c r="H938" s="243"/>
      <c r="I938" s="243"/>
      <c r="J938" s="243"/>
      <c r="K938" s="243"/>
      <c r="L938" s="243"/>
      <c r="M938" s="243"/>
      <c r="N938" s="243"/>
      <c r="O938" s="243"/>
      <c r="P938" s="243"/>
      <c r="Q938" s="243"/>
      <c r="R938" s="243"/>
      <c r="S938" s="243"/>
      <c r="T938" s="243"/>
      <c r="U938" s="243"/>
      <c r="V938" s="243"/>
      <c r="W938" s="243"/>
      <c r="X938" s="243"/>
      <c r="Y938" s="243"/>
      <c r="Z938" s="243"/>
    </row>
    <row r="939">
      <c r="A939" s="243"/>
      <c r="B939" s="243"/>
      <c r="C939" s="243"/>
      <c r="D939" s="243"/>
      <c r="E939" s="243"/>
      <c r="F939" s="243"/>
      <c r="G939" s="243"/>
      <c r="H939" s="243"/>
      <c r="I939" s="243"/>
      <c r="J939" s="243"/>
      <c r="K939" s="243"/>
      <c r="L939" s="243"/>
      <c r="M939" s="243"/>
      <c r="N939" s="243"/>
      <c r="O939" s="243"/>
      <c r="P939" s="243"/>
      <c r="Q939" s="243"/>
      <c r="R939" s="243"/>
      <c r="S939" s="243"/>
      <c r="T939" s="243"/>
      <c r="U939" s="243"/>
      <c r="V939" s="243"/>
      <c r="W939" s="243"/>
      <c r="X939" s="243"/>
      <c r="Y939" s="243"/>
      <c r="Z939" s="243"/>
    </row>
    <row r="940">
      <c r="A940" s="243"/>
      <c r="B940" s="243"/>
      <c r="C940" s="243"/>
      <c r="D940" s="243"/>
      <c r="E940" s="243"/>
      <c r="F940" s="243"/>
      <c r="G940" s="243"/>
      <c r="H940" s="243"/>
      <c r="I940" s="243"/>
      <c r="J940" s="243"/>
      <c r="K940" s="243"/>
      <c r="L940" s="243"/>
      <c r="M940" s="243"/>
      <c r="N940" s="243"/>
      <c r="O940" s="243"/>
      <c r="P940" s="243"/>
      <c r="Q940" s="243"/>
      <c r="R940" s="243"/>
      <c r="S940" s="243"/>
      <c r="T940" s="243"/>
      <c r="U940" s="243"/>
      <c r="V940" s="243"/>
      <c r="W940" s="243"/>
      <c r="X940" s="243"/>
      <c r="Y940" s="243"/>
      <c r="Z940" s="243"/>
    </row>
    <row r="941">
      <c r="A941" s="243"/>
      <c r="B941" s="243"/>
      <c r="C941" s="243"/>
      <c r="D941" s="243"/>
      <c r="E941" s="243"/>
      <c r="F941" s="243"/>
      <c r="G941" s="243"/>
      <c r="H941" s="243"/>
      <c r="I941" s="243"/>
      <c r="J941" s="243"/>
      <c r="K941" s="243"/>
      <c r="L941" s="243"/>
      <c r="M941" s="243"/>
      <c r="N941" s="243"/>
      <c r="O941" s="243"/>
      <c r="P941" s="243"/>
      <c r="Q941" s="243"/>
      <c r="R941" s="243"/>
      <c r="S941" s="243"/>
      <c r="T941" s="243"/>
      <c r="U941" s="243"/>
      <c r="V941" s="243"/>
      <c r="W941" s="243"/>
      <c r="X941" s="243"/>
      <c r="Y941" s="243"/>
      <c r="Z941" s="243"/>
    </row>
    <row r="942">
      <c r="A942" s="243"/>
      <c r="B942" s="243"/>
      <c r="C942" s="243"/>
      <c r="D942" s="243"/>
      <c r="E942" s="243"/>
      <c r="F942" s="243"/>
      <c r="G942" s="243"/>
      <c r="H942" s="243"/>
      <c r="I942" s="243"/>
      <c r="J942" s="243"/>
      <c r="K942" s="243"/>
      <c r="L942" s="243"/>
      <c r="M942" s="243"/>
      <c r="N942" s="243"/>
      <c r="O942" s="243"/>
      <c r="P942" s="243"/>
      <c r="Q942" s="243"/>
      <c r="R942" s="243"/>
      <c r="S942" s="243"/>
      <c r="T942" s="243"/>
      <c r="U942" s="243"/>
      <c r="V942" s="243"/>
      <c r="W942" s="243"/>
      <c r="X942" s="243"/>
      <c r="Y942" s="243"/>
      <c r="Z942" s="243"/>
    </row>
    <row r="943">
      <c r="A943" s="243"/>
      <c r="B943" s="243"/>
      <c r="C943" s="243"/>
      <c r="D943" s="243"/>
      <c r="E943" s="243"/>
      <c r="F943" s="243"/>
      <c r="G943" s="243"/>
      <c r="H943" s="243"/>
      <c r="I943" s="243"/>
      <c r="J943" s="243"/>
      <c r="K943" s="243"/>
      <c r="L943" s="243"/>
      <c r="M943" s="243"/>
      <c r="N943" s="243"/>
      <c r="O943" s="243"/>
      <c r="P943" s="243"/>
      <c r="Q943" s="243"/>
      <c r="R943" s="243"/>
      <c r="S943" s="243"/>
      <c r="T943" s="243"/>
      <c r="U943" s="243"/>
      <c r="V943" s="243"/>
      <c r="W943" s="243"/>
      <c r="X943" s="243"/>
      <c r="Y943" s="243"/>
      <c r="Z943" s="243"/>
    </row>
    <row r="944">
      <c r="A944" s="243"/>
      <c r="B944" s="243"/>
      <c r="C944" s="243"/>
      <c r="D944" s="243"/>
      <c r="E944" s="243"/>
      <c r="F944" s="243"/>
      <c r="G944" s="243"/>
      <c r="H944" s="243"/>
      <c r="I944" s="243"/>
      <c r="J944" s="243"/>
      <c r="K944" s="243"/>
      <c r="L944" s="243"/>
      <c r="M944" s="243"/>
      <c r="N944" s="243"/>
      <c r="O944" s="243"/>
      <c r="P944" s="243"/>
      <c r="Q944" s="243"/>
      <c r="R944" s="243"/>
      <c r="S944" s="243"/>
      <c r="T944" s="243"/>
      <c r="U944" s="243"/>
      <c r="V944" s="243"/>
      <c r="W944" s="243"/>
      <c r="X944" s="243"/>
      <c r="Y944" s="243"/>
      <c r="Z944" s="243"/>
    </row>
    <row r="945">
      <c r="A945" s="243"/>
      <c r="B945" s="243"/>
      <c r="C945" s="243"/>
      <c r="D945" s="243"/>
      <c r="E945" s="243"/>
      <c r="F945" s="243"/>
      <c r="G945" s="243"/>
      <c r="H945" s="243"/>
      <c r="I945" s="243"/>
      <c r="J945" s="243"/>
      <c r="K945" s="243"/>
      <c r="L945" s="243"/>
      <c r="M945" s="243"/>
      <c r="N945" s="243"/>
      <c r="O945" s="243"/>
      <c r="P945" s="243"/>
      <c r="Q945" s="243"/>
      <c r="R945" s="243"/>
      <c r="S945" s="243"/>
      <c r="T945" s="243"/>
      <c r="U945" s="243"/>
      <c r="V945" s="243"/>
      <c r="W945" s="243"/>
      <c r="X945" s="243"/>
      <c r="Y945" s="243"/>
      <c r="Z945" s="243"/>
    </row>
    <row r="946">
      <c r="A946" s="243"/>
      <c r="B946" s="243"/>
      <c r="C946" s="243"/>
      <c r="D946" s="243"/>
      <c r="E946" s="243"/>
      <c r="F946" s="243"/>
      <c r="G946" s="243"/>
      <c r="H946" s="243"/>
      <c r="I946" s="243"/>
      <c r="J946" s="243"/>
      <c r="K946" s="243"/>
      <c r="L946" s="243"/>
      <c r="M946" s="243"/>
      <c r="N946" s="243"/>
      <c r="O946" s="243"/>
      <c r="P946" s="243"/>
      <c r="Q946" s="243"/>
      <c r="R946" s="243"/>
      <c r="S946" s="243"/>
      <c r="T946" s="243"/>
      <c r="U946" s="243"/>
      <c r="V946" s="243"/>
      <c r="W946" s="243"/>
      <c r="X946" s="243"/>
      <c r="Y946" s="243"/>
      <c r="Z946" s="243"/>
    </row>
    <row r="947">
      <c r="A947" s="243"/>
      <c r="B947" s="243"/>
      <c r="C947" s="243"/>
      <c r="D947" s="243"/>
      <c r="E947" s="243"/>
      <c r="F947" s="243"/>
      <c r="G947" s="243"/>
      <c r="H947" s="243"/>
      <c r="I947" s="243"/>
      <c r="J947" s="243"/>
      <c r="K947" s="243"/>
      <c r="L947" s="243"/>
      <c r="M947" s="243"/>
      <c r="N947" s="243"/>
      <c r="O947" s="243"/>
      <c r="P947" s="243"/>
      <c r="Q947" s="243"/>
      <c r="R947" s="243"/>
      <c r="S947" s="243"/>
      <c r="T947" s="243"/>
      <c r="U947" s="243"/>
      <c r="V947" s="243"/>
      <c r="W947" s="243"/>
      <c r="X947" s="243"/>
      <c r="Y947" s="243"/>
      <c r="Z947" s="243"/>
    </row>
    <row r="948">
      <c r="A948" s="243"/>
      <c r="B948" s="243"/>
      <c r="C948" s="243"/>
      <c r="D948" s="243"/>
      <c r="E948" s="243"/>
      <c r="F948" s="243"/>
      <c r="G948" s="243"/>
      <c r="H948" s="243"/>
      <c r="I948" s="243"/>
      <c r="J948" s="243"/>
      <c r="K948" s="243"/>
      <c r="L948" s="243"/>
      <c r="M948" s="243"/>
      <c r="N948" s="243"/>
      <c r="O948" s="243"/>
      <c r="P948" s="243"/>
      <c r="Q948" s="243"/>
      <c r="R948" s="243"/>
      <c r="S948" s="243"/>
      <c r="T948" s="243"/>
      <c r="U948" s="243"/>
      <c r="V948" s="243"/>
      <c r="W948" s="243"/>
      <c r="X948" s="243"/>
      <c r="Y948" s="243"/>
      <c r="Z948" s="243"/>
    </row>
    <row r="949">
      <c r="A949" s="243"/>
      <c r="B949" s="243"/>
      <c r="C949" s="243"/>
      <c r="D949" s="243"/>
      <c r="E949" s="243"/>
      <c r="F949" s="243"/>
      <c r="G949" s="243"/>
      <c r="H949" s="243"/>
      <c r="I949" s="243"/>
      <c r="J949" s="243"/>
      <c r="K949" s="243"/>
      <c r="L949" s="243"/>
      <c r="M949" s="243"/>
      <c r="N949" s="243"/>
      <c r="O949" s="243"/>
      <c r="P949" s="243"/>
      <c r="Q949" s="243"/>
      <c r="R949" s="243"/>
      <c r="S949" s="243"/>
      <c r="T949" s="243"/>
      <c r="U949" s="243"/>
      <c r="V949" s="243"/>
      <c r="W949" s="243"/>
      <c r="X949" s="243"/>
      <c r="Y949" s="243"/>
      <c r="Z949" s="243"/>
    </row>
    <row r="950">
      <c r="A950" s="243"/>
      <c r="B950" s="243"/>
      <c r="C950" s="243"/>
      <c r="D950" s="243"/>
      <c r="E950" s="243"/>
      <c r="F950" s="243"/>
      <c r="G950" s="243"/>
      <c r="H950" s="243"/>
      <c r="I950" s="243"/>
      <c r="J950" s="243"/>
      <c r="K950" s="243"/>
      <c r="L950" s="243"/>
      <c r="M950" s="243"/>
      <c r="N950" s="243"/>
      <c r="O950" s="243"/>
      <c r="P950" s="243"/>
      <c r="Q950" s="243"/>
      <c r="R950" s="243"/>
      <c r="S950" s="243"/>
      <c r="T950" s="243"/>
      <c r="U950" s="243"/>
      <c r="V950" s="243"/>
      <c r="W950" s="243"/>
      <c r="X950" s="243"/>
      <c r="Y950" s="243"/>
      <c r="Z950" s="243"/>
    </row>
    <row r="951">
      <c r="A951" s="243"/>
      <c r="B951" s="243"/>
      <c r="C951" s="243"/>
      <c r="D951" s="243"/>
      <c r="E951" s="243"/>
      <c r="F951" s="243"/>
      <c r="G951" s="243"/>
      <c r="H951" s="243"/>
      <c r="I951" s="243"/>
      <c r="J951" s="243"/>
      <c r="K951" s="243"/>
      <c r="L951" s="243"/>
      <c r="M951" s="243"/>
      <c r="N951" s="243"/>
      <c r="O951" s="243"/>
      <c r="P951" s="243"/>
      <c r="Q951" s="243"/>
      <c r="R951" s="243"/>
      <c r="S951" s="243"/>
      <c r="T951" s="243"/>
      <c r="U951" s="243"/>
      <c r="V951" s="243"/>
      <c r="W951" s="243"/>
      <c r="X951" s="243"/>
      <c r="Y951" s="243"/>
      <c r="Z951" s="243"/>
    </row>
    <row r="952">
      <c r="A952" s="243"/>
      <c r="B952" s="243"/>
      <c r="C952" s="243"/>
      <c r="D952" s="243"/>
      <c r="E952" s="243"/>
      <c r="F952" s="243"/>
      <c r="G952" s="243"/>
      <c r="H952" s="243"/>
      <c r="I952" s="243"/>
      <c r="J952" s="243"/>
      <c r="K952" s="243"/>
      <c r="L952" s="243"/>
      <c r="M952" s="243"/>
      <c r="N952" s="243"/>
      <c r="O952" s="243"/>
      <c r="P952" s="243"/>
      <c r="Q952" s="243"/>
      <c r="R952" s="243"/>
      <c r="S952" s="243"/>
      <c r="T952" s="243"/>
      <c r="U952" s="243"/>
      <c r="V952" s="243"/>
      <c r="W952" s="243"/>
      <c r="X952" s="243"/>
      <c r="Y952" s="243"/>
      <c r="Z952" s="243"/>
    </row>
    <row r="953">
      <c r="A953" s="243"/>
      <c r="B953" s="243"/>
      <c r="C953" s="243"/>
      <c r="D953" s="243"/>
      <c r="E953" s="243"/>
      <c r="F953" s="243"/>
      <c r="G953" s="243"/>
      <c r="H953" s="243"/>
      <c r="I953" s="243"/>
      <c r="J953" s="243"/>
      <c r="K953" s="243"/>
      <c r="L953" s="243"/>
      <c r="M953" s="243"/>
      <c r="N953" s="243"/>
      <c r="O953" s="243"/>
      <c r="P953" s="243"/>
      <c r="Q953" s="243"/>
      <c r="R953" s="243"/>
      <c r="S953" s="243"/>
      <c r="T953" s="243"/>
      <c r="U953" s="243"/>
      <c r="V953" s="243"/>
      <c r="W953" s="243"/>
      <c r="X953" s="243"/>
      <c r="Y953" s="243"/>
      <c r="Z953" s="243"/>
    </row>
    <row r="954">
      <c r="A954" s="243"/>
      <c r="B954" s="243"/>
      <c r="C954" s="243"/>
      <c r="D954" s="243"/>
      <c r="E954" s="243"/>
      <c r="F954" s="243"/>
      <c r="G954" s="243"/>
      <c r="H954" s="243"/>
      <c r="I954" s="243"/>
      <c r="J954" s="243"/>
      <c r="K954" s="243"/>
      <c r="L954" s="243"/>
      <c r="M954" s="243"/>
      <c r="N954" s="243"/>
      <c r="O954" s="243"/>
      <c r="P954" s="243"/>
      <c r="Q954" s="243"/>
      <c r="R954" s="243"/>
      <c r="S954" s="243"/>
      <c r="T954" s="243"/>
      <c r="U954" s="243"/>
      <c r="V954" s="243"/>
      <c r="W954" s="243"/>
      <c r="X954" s="243"/>
      <c r="Y954" s="243"/>
      <c r="Z954" s="243"/>
    </row>
    <row r="955">
      <c r="A955" s="243"/>
      <c r="B955" s="243"/>
      <c r="C955" s="243"/>
      <c r="D955" s="243"/>
      <c r="E955" s="243"/>
      <c r="F955" s="243"/>
      <c r="G955" s="243"/>
      <c r="H955" s="243"/>
      <c r="I955" s="243"/>
      <c r="J955" s="243"/>
      <c r="K955" s="243"/>
      <c r="L955" s="243"/>
      <c r="M955" s="243"/>
      <c r="N955" s="243"/>
      <c r="O955" s="243"/>
      <c r="P955" s="243"/>
      <c r="Q955" s="243"/>
      <c r="R955" s="243"/>
      <c r="S955" s="243"/>
      <c r="T955" s="243"/>
      <c r="U955" s="243"/>
      <c r="V955" s="243"/>
      <c r="W955" s="243"/>
      <c r="X955" s="243"/>
      <c r="Y955" s="243"/>
      <c r="Z955" s="243"/>
    </row>
    <row r="956">
      <c r="A956" s="243"/>
      <c r="B956" s="243"/>
      <c r="C956" s="243"/>
      <c r="D956" s="243"/>
      <c r="E956" s="243"/>
      <c r="F956" s="243"/>
      <c r="G956" s="243"/>
      <c r="H956" s="243"/>
      <c r="I956" s="243"/>
      <c r="J956" s="243"/>
      <c r="K956" s="243"/>
      <c r="L956" s="243"/>
      <c r="M956" s="243"/>
      <c r="N956" s="243"/>
      <c r="O956" s="243"/>
      <c r="P956" s="243"/>
      <c r="Q956" s="243"/>
      <c r="R956" s="243"/>
      <c r="S956" s="243"/>
      <c r="T956" s="243"/>
      <c r="U956" s="243"/>
      <c r="V956" s="243"/>
      <c r="W956" s="243"/>
      <c r="X956" s="243"/>
      <c r="Y956" s="243"/>
      <c r="Z956" s="243"/>
    </row>
    <row r="957">
      <c r="A957" s="243"/>
      <c r="B957" s="243"/>
      <c r="C957" s="243"/>
      <c r="D957" s="243"/>
      <c r="E957" s="243"/>
      <c r="F957" s="243"/>
      <c r="G957" s="243"/>
      <c r="H957" s="243"/>
      <c r="I957" s="243"/>
      <c r="J957" s="243"/>
      <c r="K957" s="243"/>
      <c r="L957" s="243"/>
      <c r="M957" s="243"/>
      <c r="N957" s="243"/>
      <c r="O957" s="243"/>
      <c r="P957" s="243"/>
      <c r="Q957" s="243"/>
      <c r="R957" s="243"/>
      <c r="S957" s="243"/>
      <c r="T957" s="243"/>
      <c r="U957" s="243"/>
      <c r="V957" s="243"/>
      <c r="W957" s="243"/>
      <c r="X957" s="243"/>
      <c r="Y957" s="243"/>
      <c r="Z957" s="243"/>
    </row>
    <row r="958">
      <c r="A958" s="243"/>
      <c r="B958" s="243"/>
      <c r="C958" s="243"/>
      <c r="D958" s="243"/>
      <c r="E958" s="243"/>
      <c r="F958" s="243"/>
      <c r="G958" s="243"/>
      <c r="H958" s="243"/>
      <c r="I958" s="243"/>
      <c r="J958" s="243"/>
      <c r="K958" s="243"/>
      <c r="L958" s="243"/>
      <c r="M958" s="243"/>
      <c r="N958" s="243"/>
      <c r="O958" s="243"/>
      <c r="P958" s="243"/>
      <c r="Q958" s="243"/>
      <c r="R958" s="243"/>
      <c r="S958" s="243"/>
      <c r="T958" s="243"/>
      <c r="U958" s="243"/>
      <c r="V958" s="243"/>
      <c r="W958" s="243"/>
      <c r="X958" s="243"/>
      <c r="Y958" s="243"/>
      <c r="Z958" s="243"/>
    </row>
    <row r="959">
      <c r="A959" s="243"/>
      <c r="B959" s="243"/>
      <c r="C959" s="243"/>
      <c r="D959" s="243"/>
      <c r="E959" s="243"/>
      <c r="F959" s="243"/>
      <c r="G959" s="243"/>
      <c r="H959" s="243"/>
      <c r="I959" s="243"/>
      <c r="J959" s="243"/>
      <c r="K959" s="243"/>
      <c r="L959" s="243"/>
      <c r="M959" s="243"/>
      <c r="N959" s="243"/>
      <c r="O959" s="243"/>
      <c r="P959" s="243"/>
      <c r="Q959" s="243"/>
      <c r="R959" s="243"/>
      <c r="S959" s="243"/>
      <c r="T959" s="243"/>
      <c r="U959" s="243"/>
      <c r="V959" s="243"/>
      <c r="W959" s="243"/>
      <c r="X959" s="243"/>
      <c r="Y959" s="243"/>
      <c r="Z959" s="243"/>
    </row>
    <row r="960">
      <c r="A960" s="243"/>
      <c r="B960" s="243"/>
      <c r="C960" s="243"/>
      <c r="D960" s="243"/>
      <c r="E960" s="243"/>
      <c r="F960" s="243"/>
      <c r="G960" s="243"/>
      <c r="H960" s="243"/>
      <c r="I960" s="243"/>
      <c r="J960" s="243"/>
      <c r="K960" s="243"/>
      <c r="L960" s="243"/>
      <c r="M960" s="243"/>
      <c r="N960" s="243"/>
      <c r="O960" s="243"/>
      <c r="P960" s="243"/>
      <c r="Q960" s="243"/>
      <c r="R960" s="243"/>
      <c r="S960" s="243"/>
      <c r="T960" s="243"/>
      <c r="U960" s="243"/>
      <c r="V960" s="243"/>
      <c r="W960" s="243"/>
      <c r="X960" s="243"/>
      <c r="Y960" s="243"/>
      <c r="Z960" s="243"/>
    </row>
    <row r="961">
      <c r="A961" s="243"/>
      <c r="B961" s="243"/>
      <c r="C961" s="243"/>
      <c r="D961" s="243"/>
      <c r="E961" s="243"/>
      <c r="F961" s="243"/>
      <c r="G961" s="243"/>
      <c r="H961" s="243"/>
      <c r="I961" s="243"/>
      <c r="J961" s="243"/>
      <c r="K961" s="243"/>
      <c r="L961" s="243"/>
      <c r="M961" s="243"/>
      <c r="N961" s="243"/>
      <c r="O961" s="243"/>
      <c r="P961" s="243"/>
      <c r="Q961" s="243"/>
      <c r="R961" s="243"/>
      <c r="S961" s="243"/>
      <c r="T961" s="243"/>
      <c r="U961" s="243"/>
      <c r="V961" s="243"/>
      <c r="W961" s="243"/>
      <c r="X961" s="243"/>
      <c r="Y961" s="243"/>
      <c r="Z961" s="243"/>
    </row>
    <row r="962">
      <c r="A962" s="243"/>
      <c r="B962" s="243"/>
      <c r="C962" s="243"/>
      <c r="D962" s="243"/>
      <c r="E962" s="243"/>
      <c r="F962" s="243"/>
      <c r="G962" s="243"/>
      <c r="H962" s="243"/>
      <c r="I962" s="243"/>
      <c r="J962" s="243"/>
      <c r="K962" s="243"/>
      <c r="L962" s="243"/>
      <c r="M962" s="243"/>
      <c r="N962" s="243"/>
      <c r="O962" s="243"/>
      <c r="P962" s="243"/>
      <c r="Q962" s="243"/>
      <c r="R962" s="243"/>
      <c r="S962" s="243"/>
      <c r="T962" s="243"/>
      <c r="U962" s="243"/>
      <c r="V962" s="243"/>
      <c r="W962" s="243"/>
      <c r="X962" s="243"/>
      <c r="Y962" s="243"/>
      <c r="Z962" s="243"/>
    </row>
    <row r="963">
      <c r="A963" s="243"/>
      <c r="B963" s="243"/>
      <c r="C963" s="243"/>
      <c r="D963" s="243"/>
      <c r="E963" s="243"/>
      <c r="F963" s="243"/>
      <c r="G963" s="243"/>
      <c r="H963" s="243"/>
      <c r="I963" s="243"/>
      <c r="J963" s="243"/>
      <c r="K963" s="243"/>
      <c r="L963" s="243"/>
      <c r="M963" s="243"/>
      <c r="N963" s="243"/>
      <c r="O963" s="243"/>
      <c r="P963" s="243"/>
      <c r="Q963" s="243"/>
      <c r="R963" s="243"/>
      <c r="S963" s="243"/>
      <c r="T963" s="243"/>
      <c r="U963" s="243"/>
      <c r="V963" s="243"/>
      <c r="W963" s="243"/>
      <c r="X963" s="243"/>
      <c r="Y963" s="243"/>
      <c r="Z963" s="243"/>
    </row>
    <row r="964">
      <c r="A964" s="243"/>
      <c r="B964" s="243"/>
      <c r="C964" s="243"/>
      <c r="D964" s="243"/>
      <c r="E964" s="243"/>
      <c r="F964" s="243"/>
      <c r="G964" s="243"/>
      <c r="H964" s="243"/>
      <c r="I964" s="243"/>
      <c r="J964" s="243"/>
      <c r="K964" s="243"/>
      <c r="L964" s="243"/>
      <c r="M964" s="243"/>
      <c r="N964" s="243"/>
      <c r="O964" s="243"/>
      <c r="P964" s="243"/>
      <c r="Q964" s="243"/>
      <c r="R964" s="243"/>
      <c r="S964" s="243"/>
      <c r="T964" s="243"/>
      <c r="U964" s="243"/>
      <c r="V964" s="243"/>
      <c r="W964" s="243"/>
      <c r="X964" s="243"/>
      <c r="Y964" s="243"/>
      <c r="Z964" s="243"/>
    </row>
    <row r="965">
      <c r="A965" s="243"/>
      <c r="B965" s="243"/>
      <c r="C965" s="243"/>
      <c r="D965" s="243"/>
      <c r="E965" s="243"/>
      <c r="F965" s="243"/>
      <c r="G965" s="243"/>
      <c r="H965" s="243"/>
      <c r="I965" s="243"/>
      <c r="J965" s="243"/>
      <c r="K965" s="243"/>
      <c r="L965" s="243"/>
      <c r="M965" s="243"/>
      <c r="N965" s="243"/>
      <c r="O965" s="243"/>
      <c r="P965" s="243"/>
      <c r="Q965" s="243"/>
      <c r="R965" s="243"/>
      <c r="S965" s="243"/>
      <c r="T965" s="243"/>
      <c r="U965" s="243"/>
      <c r="V965" s="243"/>
      <c r="W965" s="243"/>
      <c r="X965" s="243"/>
      <c r="Y965" s="243"/>
      <c r="Z965" s="243"/>
    </row>
    <row r="966">
      <c r="A966" s="243"/>
      <c r="B966" s="243"/>
      <c r="C966" s="243"/>
      <c r="D966" s="243"/>
      <c r="E966" s="243"/>
      <c r="F966" s="243"/>
      <c r="G966" s="243"/>
      <c r="H966" s="243"/>
      <c r="I966" s="243"/>
      <c r="J966" s="243"/>
      <c r="K966" s="243"/>
      <c r="L966" s="243"/>
      <c r="M966" s="243"/>
      <c r="N966" s="243"/>
      <c r="O966" s="243"/>
      <c r="P966" s="243"/>
      <c r="Q966" s="243"/>
      <c r="R966" s="243"/>
      <c r="S966" s="243"/>
      <c r="T966" s="243"/>
      <c r="U966" s="243"/>
      <c r="V966" s="243"/>
      <c r="W966" s="243"/>
      <c r="X966" s="243"/>
      <c r="Y966" s="243"/>
      <c r="Z966" s="243"/>
    </row>
    <row r="967">
      <c r="A967" s="243"/>
      <c r="B967" s="243"/>
      <c r="C967" s="243"/>
      <c r="D967" s="243"/>
      <c r="E967" s="243"/>
      <c r="F967" s="243"/>
      <c r="G967" s="243"/>
      <c r="H967" s="243"/>
      <c r="I967" s="243"/>
      <c r="J967" s="243"/>
      <c r="K967" s="243"/>
      <c r="L967" s="243"/>
      <c r="M967" s="243"/>
      <c r="N967" s="243"/>
      <c r="O967" s="243"/>
      <c r="P967" s="243"/>
      <c r="Q967" s="243"/>
      <c r="R967" s="243"/>
      <c r="S967" s="243"/>
      <c r="T967" s="243"/>
      <c r="U967" s="243"/>
      <c r="V967" s="243"/>
      <c r="W967" s="243"/>
      <c r="X967" s="243"/>
      <c r="Y967" s="243"/>
      <c r="Z967" s="243"/>
    </row>
    <row r="968">
      <c r="A968" s="243"/>
      <c r="B968" s="243"/>
      <c r="C968" s="243"/>
      <c r="D968" s="243"/>
      <c r="E968" s="243"/>
      <c r="F968" s="243"/>
      <c r="G968" s="243"/>
      <c r="H968" s="243"/>
      <c r="I968" s="243"/>
      <c r="J968" s="243"/>
      <c r="K968" s="243"/>
      <c r="L968" s="243"/>
      <c r="M968" s="243"/>
      <c r="N968" s="243"/>
      <c r="O968" s="243"/>
      <c r="P968" s="243"/>
      <c r="Q968" s="243"/>
      <c r="R968" s="243"/>
      <c r="S968" s="243"/>
      <c r="T968" s="243"/>
      <c r="U968" s="243"/>
      <c r="V968" s="243"/>
      <c r="W968" s="243"/>
      <c r="X968" s="243"/>
      <c r="Y968" s="243"/>
      <c r="Z968" s="243"/>
    </row>
    <row r="969">
      <c r="A969" s="243"/>
      <c r="B969" s="243"/>
      <c r="C969" s="243"/>
      <c r="D969" s="243"/>
      <c r="E969" s="243"/>
      <c r="F969" s="243"/>
      <c r="G969" s="243"/>
      <c r="H969" s="243"/>
      <c r="I969" s="243"/>
      <c r="J969" s="243"/>
      <c r="K969" s="243"/>
      <c r="L969" s="243"/>
      <c r="M969" s="243"/>
      <c r="N969" s="243"/>
      <c r="O969" s="243"/>
      <c r="P969" s="243"/>
      <c r="Q969" s="243"/>
      <c r="R969" s="243"/>
      <c r="S969" s="243"/>
      <c r="T969" s="243"/>
      <c r="U969" s="243"/>
      <c r="V969" s="243"/>
      <c r="W969" s="243"/>
      <c r="X969" s="243"/>
      <c r="Y969" s="243"/>
      <c r="Z969" s="243"/>
    </row>
    <row r="970">
      <c r="A970" s="243"/>
      <c r="B970" s="243"/>
      <c r="C970" s="243"/>
      <c r="D970" s="243"/>
      <c r="E970" s="243"/>
      <c r="F970" s="243"/>
      <c r="G970" s="243"/>
      <c r="H970" s="243"/>
      <c r="I970" s="243"/>
      <c r="J970" s="243"/>
      <c r="K970" s="243"/>
      <c r="L970" s="243"/>
      <c r="M970" s="243"/>
      <c r="N970" s="243"/>
      <c r="O970" s="243"/>
      <c r="P970" s="243"/>
      <c r="Q970" s="243"/>
      <c r="R970" s="243"/>
      <c r="S970" s="243"/>
      <c r="T970" s="243"/>
      <c r="U970" s="243"/>
      <c r="V970" s="243"/>
      <c r="W970" s="243"/>
      <c r="X970" s="243"/>
      <c r="Y970" s="243"/>
      <c r="Z970" s="243"/>
    </row>
    <row r="971">
      <c r="A971" s="243"/>
      <c r="B971" s="243"/>
      <c r="C971" s="243"/>
      <c r="D971" s="243"/>
      <c r="E971" s="243"/>
      <c r="F971" s="243"/>
      <c r="G971" s="243"/>
      <c r="H971" s="243"/>
      <c r="I971" s="243"/>
      <c r="J971" s="243"/>
      <c r="K971" s="243"/>
      <c r="L971" s="243"/>
      <c r="M971" s="243"/>
      <c r="N971" s="243"/>
      <c r="O971" s="243"/>
      <c r="P971" s="243"/>
      <c r="Q971" s="243"/>
      <c r="R971" s="243"/>
      <c r="S971" s="243"/>
      <c r="T971" s="243"/>
      <c r="U971" s="243"/>
      <c r="V971" s="243"/>
      <c r="W971" s="243"/>
      <c r="X971" s="243"/>
      <c r="Y971" s="243"/>
      <c r="Z971" s="243"/>
    </row>
    <row r="972">
      <c r="A972" s="243"/>
      <c r="B972" s="243"/>
      <c r="C972" s="243"/>
      <c r="D972" s="243"/>
      <c r="E972" s="243"/>
      <c r="F972" s="243"/>
      <c r="G972" s="243"/>
      <c r="H972" s="243"/>
      <c r="I972" s="243"/>
      <c r="J972" s="243"/>
      <c r="K972" s="243"/>
      <c r="L972" s="243"/>
      <c r="M972" s="243"/>
      <c r="N972" s="243"/>
      <c r="O972" s="243"/>
      <c r="P972" s="243"/>
      <c r="Q972" s="243"/>
      <c r="R972" s="243"/>
      <c r="S972" s="243"/>
      <c r="T972" s="243"/>
      <c r="U972" s="243"/>
      <c r="V972" s="243"/>
      <c r="W972" s="243"/>
      <c r="X972" s="243"/>
      <c r="Y972" s="243"/>
      <c r="Z972" s="243"/>
    </row>
    <row r="973">
      <c r="A973" s="243"/>
      <c r="B973" s="243"/>
      <c r="C973" s="243"/>
      <c r="D973" s="243"/>
      <c r="E973" s="243"/>
      <c r="F973" s="243"/>
      <c r="G973" s="243"/>
      <c r="H973" s="243"/>
      <c r="I973" s="243"/>
      <c r="J973" s="243"/>
      <c r="K973" s="243"/>
      <c r="L973" s="243"/>
      <c r="M973" s="243"/>
      <c r="N973" s="243"/>
      <c r="O973" s="243"/>
      <c r="P973" s="243"/>
      <c r="Q973" s="243"/>
      <c r="R973" s="243"/>
      <c r="S973" s="243"/>
      <c r="T973" s="243"/>
      <c r="U973" s="243"/>
      <c r="V973" s="243"/>
      <c r="W973" s="243"/>
      <c r="X973" s="243"/>
      <c r="Y973" s="243"/>
      <c r="Z973" s="243"/>
    </row>
    <row r="974">
      <c r="A974" s="243"/>
      <c r="B974" s="243"/>
      <c r="C974" s="243"/>
      <c r="D974" s="243"/>
      <c r="E974" s="243"/>
      <c r="F974" s="243"/>
      <c r="G974" s="243"/>
      <c r="H974" s="243"/>
      <c r="I974" s="243"/>
      <c r="J974" s="243"/>
      <c r="K974" s="243"/>
      <c r="L974" s="243"/>
      <c r="M974" s="243"/>
      <c r="N974" s="243"/>
      <c r="O974" s="243"/>
      <c r="P974" s="243"/>
      <c r="Q974" s="243"/>
      <c r="R974" s="243"/>
      <c r="S974" s="243"/>
      <c r="T974" s="243"/>
      <c r="U974" s="243"/>
      <c r="V974" s="243"/>
      <c r="W974" s="243"/>
      <c r="X974" s="243"/>
      <c r="Y974" s="243"/>
      <c r="Z974" s="243"/>
    </row>
    <row r="975">
      <c r="A975" s="243"/>
      <c r="B975" s="243"/>
      <c r="C975" s="243"/>
      <c r="D975" s="243"/>
      <c r="E975" s="243"/>
      <c r="F975" s="243"/>
      <c r="G975" s="243"/>
      <c r="H975" s="243"/>
      <c r="I975" s="243"/>
      <c r="J975" s="243"/>
      <c r="K975" s="243"/>
      <c r="L975" s="243"/>
      <c r="M975" s="243"/>
      <c r="N975" s="243"/>
      <c r="O975" s="243"/>
      <c r="P975" s="243"/>
      <c r="Q975" s="243"/>
      <c r="R975" s="243"/>
      <c r="S975" s="243"/>
      <c r="T975" s="243"/>
      <c r="U975" s="243"/>
      <c r="V975" s="243"/>
      <c r="W975" s="243"/>
      <c r="X975" s="243"/>
      <c r="Y975" s="243"/>
      <c r="Z975" s="243"/>
    </row>
    <row r="976">
      <c r="A976" s="243"/>
      <c r="B976" s="243"/>
      <c r="C976" s="243"/>
      <c r="D976" s="243"/>
      <c r="E976" s="243"/>
      <c r="F976" s="243"/>
      <c r="G976" s="243"/>
      <c r="H976" s="243"/>
      <c r="I976" s="243"/>
      <c r="J976" s="243"/>
      <c r="K976" s="243"/>
      <c r="L976" s="243"/>
      <c r="M976" s="243"/>
      <c r="N976" s="243"/>
      <c r="O976" s="243"/>
      <c r="P976" s="243"/>
      <c r="Q976" s="243"/>
      <c r="R976" s="243"/>
      <c r="S976" s="243"/>
      <c r="T976" s="243"/>
      <c r="U976" s="243"/>
      <c r="V976" s="243"/>
      <c r="W976" s="243"/>
      <c r="X976" s="243"/>
      <c r="Y976" s="243"/>
      <c r="Z976" s="243"/>
    </row>
    <row r="977">
      <c r="A977" s="243"/>
      <c r="B977" s="243"/>
      <c r="C977" s="243"/>
      <c r="D977" s="243"/>
      <c r="E977" s="243"/>
      <c r="F977" s="243"/>
      <c r="G977" s="243"/>
      <c r="H977" s="243"/>
      <c r="I977" s="243"/>
      <c r="J977" s="243"/>
      <c r="K977" s="243"/>
      <c r="L977" s="243"/>
      <c r="M977" s="243"/>
      <c r="N977" s="243"/>
      <c r="O977" s="243"/>
      <c r="P977" s="243"/>
      <c r="Q977" s="243"/>
      <c r="R977" s="243"/>
      <c r="S977" s="243"/>
      <c r="T977" s="243"/>
      <c r="U977" s="243"/>
      <c r="V977" s="243"/>
      <c r="W977" s="243"/>
      <c r="X977" s="243"/>
      <c r="Y977" s="243"/>
      <c r="Z977" s="243"/>
    </row>
    <row r="978">
      <c r="A978" s="243"/>
      <c r="B978" s="243"/>
      <c r="C978" s="243"/>
      <c r="D978" s="243"/>
      <c r="E978" s="243"/>
      <c r="F978" s="243"/>
      <c r="G978" s="243"/>
      <c r="H978" s="243"/>
      <c r="I978" s="243"/>
      <c r="J978" s="243"/>
      <c r="K978" s="243"/>
      <c r="L978" s="243"/>
      <c r="M978" s="243"/>
      <c r="N978" s="243"/>
      <c r="O978" s="243"/>
      <c r="P978" s="243"/>
      <c r="Q978" s="243"/>
      <c r="R978" s="243"/>
      <c r="S978" s="243"/>
      <c r="T978" s="243"/>
      <c r="U978" s="243"/>
      <c r="V978" s="243"/>
      <c r="W978" s="243"/>
      <c r="X978" s="243"/>
      <c r="Y978" s="243"/>
      <c r="Z978" s="243"/>
    </row>
    <row r="979">
      <c r="A979" s="243"/>
      <c r="B979" s="243"/>
      <c r="C979" s="243"/>
      <c r="D979" s="243"/>
      <c r="E979" s="243"/>
      <c r="F979" s="243"/>
      <c r="G979" s="243"/>
      <c r="H979" s="243"/>
      <c r="I979" s="243"/>
      <c r="J979" s="243"/>
      <c r="K979" s="243"/>
      <c r="L979" s="243"/>
      <c r="M979" s="243"/>
      <c r="N979" s="243"/>
      <c r="O979" s="243"/>
      <c r="P979" s="243"/>
      <c r="Q979" s="243"/>
      <c r="R979" s="243"/>
      <c r="S979" s="243"/>
      <c r="T979" s="243"/>
      <c r="U979" s="243"/>
      <c r="V979" s="243"/>
      <c r="W979" s="243"/>
      <c r="X979" s="243"/>
      <c r="Y979" s="243"/>
      <c r="Z979" s="243"/>
    </row>
    <row r="980">
      <c r="A980" s="243"/>
      <c r="B980" s="243"/>
      <c r="C980" s="243"/>
      <c r="D980" s="243"/>
      <c r="E980" s="243"/>
      <c r="F980" s="243"/>
      <c r="G980" s="243"/>
      <c r="H980" s="243"/>
      <c r="I980" s="243"/>
      <c r="J980" s="243"/>
      <c r="K980" s="243"/>
      <c r="L980" s="243"/>
      <c r="M980" s="243"/>
      <c r="N980" s="243"/>
      <c r="O980" s="243"/>
      <c r="P980" s="243"/>
      <c r="Q980" s="243"/>
      <c r="R980" s="243"/>
      <c r="S980" s="243"/>
      <c r="T980" s="243"/>
      <c r="U980" s="243"/>
      <c r="V980" s="243"/>
      <c r="W980" s="243"/>
      <c r="X980" s="243"/>
      <c r="Y980" s="243"/>
      <c r="Z980" s="243"/>
    </row>
    <row r="981">
      <c r="A981" s="243"/>
      <c r="B981" s="243"/>
      <c r="C981" s="243"/>
      <c r="D981" s="243"/>
      <c r="E981" s="243"/>
      <c r="F981" s="243"/>
      <c r="G981" s="243"/>
      <c r="H981" s="243"/>
      <c r="I981" s="243"/>
      <c r="J981" s="243"/>
      <c r="K981" s="243"/>
      <c r="L981" s="243"/>
      <c r="M981" s="243"/>
      <c r="N981" s="243"/>
      <c r="O981" s="243"/>
      <c r="P981" s="243"/>
      <c r="Q981" s="243"/>
      <c r="R981" s="243"/>
      <c r="S981" s="243"/>
      <c r="T981" s="243"/>
      <c r="U981" s="243"/>
      <c r="V981" s="243"/>
      <c r="W981" s="243"/>
      <c r="X981" s="243"/>
      <c r="Y981" s="243"/>
      <c r="Z981" s="243"/>
    </row>
    <row r="982">
      <c r="A982" s="243"/>
      <c r="B982" s="243"/>
      <c r="C982" s="243"/>
      <c r="D982" s="243"/>
      <c r="E982" s="243"/>
      <c r="F982" s="243"/>
      <c r="G982" s="243"/>
      <c r="H982" s="243"/>
      <c r="I982" s="243"/>
      <c r="J982" s="243"/>
      <c r="K982" s="243"/>
      <c r="L982" s="243"/>
      <c r="M982" s="243"/>
      <c r="N982" s="243"/>
      <c r="O982" s="243"/>
      <c r="P982" s="243"/>
      <c r="Q982" s="243"/>
      <c r="R982" s="243"/>
      <c r="S982" s="243"/>
      <c r="T982" s="243"/>
      <c r="U982" s="243"/>
      <c r="V982" s="243"/>
      <c r="W982" s="243"/>
      <c r="X982" s="243"/>
      <c r="Y982" s="243"/>
      <c r="Z982" s="243"/>
    </row>
    <row r="983">
      <c r="A983" s="243"/>
      <c r="B983" s="243"/>
      <c r="C983" s="243"/>
      <c r="D983" s="243"/>
      <c r="E983" s="243"/>
      <c r="F983" s="243"/>
      <c r="G983" s="243"/>
      <c r="H983" s="243"/>
      <c r="I983" s="243"/>
      <c r="J983" s="243"/>
      <c r="K983" s="243"/>
      <c r="L983" s="243"/>
      <c r="M983" s="243"/>
      <c r="N983" s="243"/>
      <c r="O983" s="243"/>
      <c r="P983" s="243"/>
      <c r="Q983" s="243"/>
      <c r="R983" s="243"/>
      <c r="S983" s="243"/>
      <c r="T983" s="243"/>
      <c r="U983" s="243"/>
      <c r="V983" s="243"/>
      <c r="W983" s="243"/>
      <c r="X983" s="243"/>
      <c r="Y983" s="243"/>
      <c r="Z983" s="243"/>
    </row>
    <row r="984">
      <c r="A984" s="243"/>
      <c r="B984" s="243"/>
      <c r="C984" s="243"/>
      <c r="D984" s="243"/>
      <c r="E984" s="243"/>
      <c r="F984" s="243"/>
      <c r="G984" s="243"/>
      <c r="H984" s="243"/>
      <c r="I984" s="243"/>
      <c r="J984" s="243"/>
      <c r="K984" s="243"/>
      <c r="L984" s="243"/>
      <c r="M984" s="243"/>
      <c r="N984" s="243"/>
      <c r="O984" s="243"/>
      <c r="P984" s="243"/>
      <c r="Q984" s="243"/>
      <c r="R984" s="243"/>
      <c r="S984" s="243"/>
      <c r="T984" s="243"/>
      <c r="U984" s="243"/>
      <c r="V984" s="243"/>
      <c r="W984" s="243"/>
      <c r="X984" s="243"/>
      <c r="Y984" s="243"/>
      <c r="Z984" s="243"/>
    </row>
    <row r="985">
      <c r="A985" s="243"/>
      <c r="B985" s="243"/>
      <c r="C985" s="243"/>
      <c r="D985" s="243"/>
      <c r="E985" s="243"/>
      <c r="F985" s="243"/>
      <c r="G985" s="243"/>
      <c r="H985" s="243"/>
      <c r="I985" s="243"/>
      <c r="J985" s="243"/>
      <c r="K985" s="243"/>
      <c r="L985" s="243"/>
      <c r="M985" s="243"/>
      <c r="N985" s="243"/>
      <c r="O985" s="243"/>
      <c r="P985" s="243"/>
      <c r="Q985" s="243"/>
      <c r="R985" s="243"/>
      <c r="S985" s="243"/>
      <c r="T985" s="243"/>
      <c r="U985" s="243"/>
      <c r="V985" s="243"/>
      <c r="W985" s="243"/>
      <c r="X985" s="243"/>
      <c r="Y985" s="243"/>
      <c r="Z985" s="243"/>
    </row>
    <row r="986">
      <c r="A986" s="243"/>
      <c r="B986" s="243"/>
      <c r="C986" s="243"/>
      <c r="D986" s="243"/>
      <c r="E986" s="243"/>
      <c r="F986" s="243"/>
      <c r="G986" s="243"/>
      <c r="H986" s="243"/>
      <c r="I986" s="243"/>
      <c r="J986" s="243"/>
      <c r="K986" s="243"/>
      <c r="L986" s="243"/>
      <c r="M986" s="243"/>
      <c r="N986" s="243"/>
      <c r="O986" s="243"/>
      <c r="P986" s="243"/>
      <c r="Q986" s="243"/>
      <c r="R986" s="243"/>
      <c r="S986" s="243"/>
      <c r="T986" s="243"/>
      <c r="U986" s="243"/>
      <c r="V986" s="243"/>
      <c r="W986" s="243"/>
      <c r="X986" s="243"/>
      <c r="Y986" s="243"/>
      <c r="Z986" s="243"/>
    </row>
    <row r="987">
      <c r="A987" s="243"/>
      <c r="B987" s="243"/>
      <c r="C987" s="243"/>
      <c r="D987" s="243"/>
      <c r="E987" s="243"/>
      <c r="F987" s="243"/>
      <c r="G987" s="243"/>
      <c r="H987" s="243"/>
      <c r="I987" s="243"/>
      <c r="J987" s="243"/>
      <c r="K987" s="243"/>
      <c r="L987" s="243"/>
      <c r="M987" s="243"/>
      <c r="N987" s="243"/>
      <c r="O987" s="243"/>
      <c r="P987" s="243"/>
      <c r="Q987" s="243"/>
      <c r="R987" s="243"/>
      <c r="S987" s="243"/>
      <c r="T987" s="243"/>
      <c r="U987" s="243"/>
      <c r="V987" s="243"/>
      <c r="W987" s="243"/>
      <c r="X987" s="243"/>
      <c r="Y987" s="243"/>
      <c r="Z987" s="243"/>
    </row>
    <row r="988">
      <c r="A988" s="243"/>
      <c r="B988" s="243"/>
      <c r="C988" s="243"/>
      <c r="D988" s="243"/>
      <c r="E988" s="243"/>
      <c r="F988" s="243"/>
      <c r="G988" s="243"/>
      <c r="H988" s="243"/>
      <c r="I988" s="243"/>
      <c r="J988" s="243"/>
      <c r="K988" s="243"/>
      <c r="L988" s="243"/>
      <c r="M988" s="243"/>
      <c r="N988" s="243"/>
      <c r="O988" s="243"/>
      <c r="P988" s="243"/>
      <c r="Q988" s="243"/>
      <c r="R988" s="243"/>
      <c r="S988" s="243"/>
      <c r="T988" s="243"/>
      <c r="U988" s="243"/>
      <c r="V988" s="243"/>
      <c r="W988" s="243"/>
      <c r="X988" s="243"/>
      <c r="Y988" s="243"/>
      <c r="Z988" s="243"/>
    </row>
    <row r="989">
      <c r="A989" s="243"/>
      <c r="B989" s="243"/>
      <c r="C989" s="243"/>
      <c r="D989" s="243"/>
      <c r="E989" s="243"/>
      <c r="F989" s="243"/>
      <c r="G989" s="243"/>
      <c r="H989" s="243"/>
      <c r="I989" s="243"/>
      <c r="J989" s="243"/>
      <c r="K989" s="243"/>
      <c r="L989" s="243"/>
      <c r="M989" s="243"/>
      <c r="N989" s="243"/>
      <c r="O989" s="243"/>
      <c r="P989" s="243"/>
      <c r="Q989" s="243"/>
      <c r="R989" s="243"/>
      <c r="S989" s="243"/>
      <c r="T989" s="243"/>
      <c r="U989" s="243"/>
      <c r="V989" s="243"/>
      <c r="W989" s="243"/>
      <c r="X989" s="243"/>
      <c r="Y989" s="243"/>
      <c r="Z989" s="243"/>
    </row>
    <row r="990">
      <c r="A990" s="243"/>
      <c r="B990" s="243"/>
      <c r="C990" s="243"/>
      <c r="D990" s="243"/>
      <c r="E990" s="243"/>
      <c r="F990" s="243"/>
      <c r="G990" s="243"/>
      <c r="H990" s="243"/>
      <c r="I990" s="243"/>
      <c r="J990" s="243"/>
      <c r="K990" s="243"/>
      <c r="L990" s="243"/>
      <c r="M990" s="243"/>
      <c r="N990" s="243"/>
      <c r="O990" s="243"/>
      <c r="P990" s="243"/>
      <c r="Q990" s="243"/>
      <c r="R990" s="243"/>
      <c r="S990" s="243"/>
      <c r="T990" s="243"/>
      <c r="U990" s="243"/>
      <c r="V990" s="243"/>
      <c r="W990" s="243"/>
      <c r="X990" s="243"/>
      <c r="Y990" s="243"/>
      <c r="Z990" s="243"/>
    </row>
    <row r="991">
      <c r="A991" s="243"/>
      <c r="B991" s="243"/>
      <c r="C991" s="243"/>
      <c r="D991" s="243"/>
      <c r="E991" s="243"/>
      <c r="F991" s="243"/>
      <c r="G991" s="243"/>
      <c r="H991" s="243"/>
      <c r="I991" s="243"/>
      <c r="J991" s="243"/>
      <c r="K991" s="243"/>
      <c r="L991" s="243"/>
      <c r="M991" s="243"/>
      <c r="N991" s="243"/>
      <c r="O991" s="243"/>
      <c r="P991" s="243"/>
      <c r="Q991" s="243"/>
      <c r="R991" s="243"/>
      <c r="S991" s="243"/>
      <c r="T991" s="243"/>
      <c r="U991" s="243"/>
      <c r="V991" s="243"/>
      <c r="W991" s="243"/>
      <c r="X991" s="243"/>
      <c r="Y991" s="243"/>
      <c r="Z991" s="243"/>
    </row>
    <row r="992">
      <c r="A992" s="243"/>
      <c r="B992" s="243"/>
      <c r="C992" s="243"/>
      <c r="D992" s="243"/>
      <c r="E992" s="243"/>
      <c r="F992" s="243"/>
      <c r="G992" s="243"/>
      <c r="H992" s="243"/>
      <c r="I992" s="243"/>
      <c r="J992" s="243"/>
      <c r="K992" s="243"/>
      <c r="L992" s="243"/>
      <c r="M992" s="243"/>
      <c r="N992" s="243"/>
      <c r="O992" s="243"/>
      <c r="P992" s="243"/>
      <c r="Q992" s="243"/>
      <c r="R992" s="243"/>
      <c r="S992" s="243"/>
      <c r="T992" s="243"/>
      <c r="U992" s="243"/>
      <c r="V992" s="243"/>
      <c r="W992" s="243"/>
      <c r="X992" s="243"/>
      <c r="Y992" s="243"/>
      <c r="Z992" s="243"/>
    </row>
    <row r="993">
      <c r="A993" s="243"/>
      <c r="B993" s="243"/>
      <c r="C993" s="243"/>
      <c r="D993" s="243"/>
      <c r="E993" s="243"/>
      <c r="F993" s="243"/>
      <c r="G993" s="243"/>
      <c r="H993" s="243"/>
      <c r="I993" s="243"/>
      <c r="J993" s="243"/>
      <c r="K993" s="243"/>
      <c r="L993" s="243"/>
      <c r="M993" s="243"/>
      <c r="N993" s="243"/>
      <c r="O993" s="243"/>
      <c r="P993" s="243"/>
      <c r="Q993" s="243"/>
      <c r="R993" s="243"/>
      <c r="S993" s="243"/>
      <c r="T993" s="243"/>
      <c r="U993" s="243"/>
      <c r="V993" s="243"/>
      <c r="W993" s="243"/>
      <c r="X993" s="243"/>
      <c r="Y993" s="243"/>
      <c r="Z993" s="243"/>
    </row>
    <row r="994">
      <c r="A994" s="243"/>
      <c r="B994" s="243"/>
      <c r="C994" s="243"/>
      <c r="D994" s="243"/>
      <c r="E994" s="243"/>
      <c r="F994" s="243"/>
      <c r="G994" s="243"/>
      <c r="H994" s="243"/>
      <c r="I994" s="243"/>
      <c r="J994" s="243"/>
      <c r="K994" s="243"/>
      <c r="L994" s="243"/>
      <c r="M994" s="243"/>
      <c r="N994" s="243"/>
      <c r="O994" s="243"/>
      <c r="P994" s="243"/>
      <c r="Q994" s="243"/>
      <c r="R994" s="243"/>
      <c r="S994" s="243"/>
      <c r="T994" s="243"/>
      <c r="U994" s="243"/>
      <c r="V994" s="243"/>
      <c r="W994" s="243"/>
      <c r="X994" s="243"/>
      <c r="Y994" s="243"/>
      <c r="Z994" s="243"/>
    </row>
    <row r="995">
      <c r="A995" s="243"/>
      <c r="B995" s="243"/>
      <c r="C995" s="243"/>
      <c r="D995" s="243"/>
      <c r="E995" s="243"/>
      <c r="F995" s="243"/>
      <c r="G995" s="243"/>
      <c r="H995" s="243"/>
      <c r="I995" s="243"/>
      <c r="J995" s="243"/>
      <c r="K995" s="243"/>
      <c r="L995" s="243"/>
      <c r="M995" s="243"/>
      <c r="N995" s="243"/>
      <c r="O995" s="243"/>
      <c r="P995" s="243"/>
      <c r="Q995" s="243"/>
      <c r="R995" s="243"/>
      <c r="S995" s="243"/>
      <c r="T995" s="243"/>
      <c r="U995" s="243"/>
      <c r="V995" s="243"/>
      <c r="W995" s="243"/>
      <c r="X995" s="243"/>
      <c r="Y995" s="243"/>
      <c r="Z995" s="243"/>
    </row>
    <row r="996">
      <c r="A996" s="243"/>
      <c r="B996" s="243"/>
      <c r="C996" s="243"/>
      <c r="D996" s="243"/>
      <c r="E996" s="243"/>
      <c r="F996" s="243"/>
      <c r="G996" s="243"/>
      <c r="H996" s="243"/>
      <c r="I996" s="243"/>
      <c r="J996" s="243"/>
      <c r="K996" s="243"/>
      <c r="L996" s="243"/>
      <c r="M996" s="243"/>
      <c r="N996" s="243"/>
      <c r="O996" s="243"/>
      <c r="P996" s="243"/>
      <c r="Q996" s="243"/>
      <c r="R996" s="243"/>
      <c r="S996" s="243"/>
      <c r="T996" s="243"/>
      <c r="U996" s="243"/>
      <c r="V996" s="243"/>
      <c r="W996" s="243"/>
      <c r="X996" s="243"/>
      <c r="Y996" s="243"/>
      <c r="Z996" s="243"/>
    </row>
    <row r="997">
      <c r="A997" s="243"/>
      <c r="B997" s="243"/>
      <c r="C997" s="243"/>
      <c r="D997" s="243"/>
      <c r="E997" s="243"/>
      <c r="F997" s="243"/>
      <c r="G997" s="243"/>
      <c r="H997" s="243"/>
      <c r="I997" s="243"/>
      <c r="J997" s="243"/>
      <c r="K997" s="243"/>
      <c r="L997" s="243"/>
      <c r="M997" s="243"/>
      <c r="N997" s="243"/>
      <c r="O997" s="243"/>
      <c r="P997" s="243"/>
      <c r="Q997" s="243"/>
      <c r="R997" s="243"/>
      <c r="S997" s="243"/>
      <c r="T997" s="243"/>
      <c r="U997" s="243"/>
      <c r="V997" s="243"/>
      <c r="W997" s="243"/>
      <c r="X997" s="243"/>
      <c r="Y997" s="243"/>
      <c r="Z997" s="243"/>
    </row>
    <row r="998">
      <c r="A998" s="243"/>
      <c r="B998" s="243"/>
      <c r="C998" s="243"/>
      <c r="D998" s="243"/>
      <c r="E998" s="243"/>
      <c r="F998" s="243"/>
      <c r="G998" s="243"/>
      <c r="H998" s="243"/>
      <c r="I998" s="243"/>
      <c r="J998" s="243"/>
      <c r="K998" s="243"/>
      <c r="L998" s="243"/>
      <c r="M998" s="243"/>
      <c r="N998" s="243"/>
      <c r="O998" s="243"/>
      <c r="P998" s="243"/>
      <c r="Q998" s="243"/>
      <c r="R998" s="243"/>
      <c r="S998" s="243"/>
      <c r="T998" s="243"/>
      <c r="U998" s="243"/>
      <c r="V998" s="243"/>
      <c r="W998" s="243"/>
      <c r="X998" s="243"/>
      <c r="Y998" s="243"/>
      <c r="Z998" s="243"/>
    </row>
    <row r="999">
      <c r="A999" s="243"/>
      <c r="B999" s="243"/>
      <c r="C999" s="243"/>
      <c r="D999" s="243"/>
      <c r="E999" s="243"/>
      <c r="F999" s="243"/>
      <c r="G999" s="243"/>
      <c r="H999" s="243"/>
      <c r="I999" s="243"/>
      <c r="J999" s="243"/>
      <c r="K999" s="243"/>
      <c r="L999" s="243"/>
      <c r="M999" s="243"/>
      <c r="N999" s="243"/>
      <c r="O999" s="243"/>
      <c r="P999" s="243"/>
      <c r="Q999" s="243"/>
      <c r="R999" s="243"/>
      <c r="S999" s="243"/>
      <c r="T999" s="243"/>
      <c r="U999" s="243"/>
      <c r="V999" s="243"/>
      <c r="W999" s="243"/>
      <c r="X999" s="243"/>
      <c r="Y999" s="243"/>
      <c r="Z999" s="243"/>
    </row>
    <row r="1000">
      <c r="A1000" s="243"/>
      <c r="B1000" s="243"/>
      <c r="C1000" s="243"/>
      <c r="D1000" s="243"/>
      <c r="E1000" s="243"/>
      <c r="F1000" s="243"/>
      <c r="G1000" s="243"/>
      <c r="H1000" s="243"/>
      <c r="I1000" s="243"/>
      <c r="J1000" s="243"/>
      <c r="K1000" s="243"/>
      <c r="L1000" s="243"/>
      <c r="M1000" s="243"/>
      <c r="N1000" s="243"/>
      <c r="O1000" s="243"/>
      <c r="P1000" s="243"/>
      <c r="Q1000" s="243"/>
      <c r="R1000" s="243"/>
      <c r="S1000" s="243"/>
      <c r="T1000" s="243"/>
      <c r="U1000" s="243"/>
      <c r="V1000" s="243"/>
      <c r="W1000" s="243"/>
      <c r="X1000" s="243"/>
      <c r="Y1000" s="243"/>
      <c r="Z1000" s="243"/>
    </row>
  </sheetData>
  <mergeCells count="3">
    <mergeCell ref="E5:E22"/>
    <mergeCell ref="E30:E47"/>
    <mergeCell ref="E55:E72"/>
  </mergeCell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9.11"/>
    <col customWidth="1" min="2" max="2" width="8.11"/>
    <col customWidth="1" min="3" max="3" width="10.89"/>
    <col customWidth="1" min="4" max="4" width="24.11"/>
  </cols>
  <sheetData>
    <row r="1">
      <c r="A1" s="50"/>
      <c r="B1" s="50"/>
      <c r="H1" s="50"/>
    </row>
    <row r="2">
      <c r="A2" s="50"/>
      <c r="B2" s="50"/>
      <c r="H2" s="50"/>
    </row>
    <row r="3">
      <c r="A3" s="50"/>
      <c r="B3" s="50"/>
      <c r="C3" s="10" t="s">
        <v>2611</v>
      </c>
      <c r="H3" s="50"/>
    </row>
    <row r="4">
      <c r="A4" s="50"/>
      <c r="B4" s="50"/>
      <c r="H4" s="50"/>
    </row>
    <row r="5">
      <c r="A5" s="50"/>
      <c r="B5" s="50"/>
      <c r="H5" s="50"/>
    </row>
    <row r="6">
      <c r="A6" s="97" t="s">
        <v>2472</v>
      </c>
      <c r="B6" s="97" t="s">
        <v>2478</v>
      </c>
      <c r="C6" s="10" t="s">
        <v>83</v>
      </c>
      <c r="D6" s="10" t="s">
        <v>88</v>
      </c>
      <c r="E6" s="10" t="s">
        <v>2612</v>
      </c>
      <c r="F6" s="10" t="s">
        <v>2541</v>
      </c>
      <c r="H6" s="97" t="s">
        <v>2613</v>
      </c>
    </row>
    <row r="7">
      <c r="A7" s="50">
        <f>Spieler!AD6</f>
        <v>9</v>
      </c>
      <c r="B7" s="50">
        <f>Spieler!AB6</f>
        <v>1</v>
      </c>
      <c r="C7" s="2">
        <f>VLOOKUP(A7,Spieler!A:C,2,0)</f>
        <v>38045</v>
      </c>
      <c r="D7" s="2" t="str">
        <f>VLOOKUP(A7,Spieler!A:C,3,0)</f>
        <v>Anika Kristof</v>
      </c>
      <c r="E7" s="2">
        <f>VLOOKUP(A7,Spieler!A:O,7,0)</f>
        <v>2441</v>
      </c>
      <c r="F7" s="2">
        <f>VLOOKUP(A7,Spieler!A:O,15,0)</f>
        <v>12</v>
      </c>
      <c r="H7" s="97"/>
    </row>
    <row r="8">
      <c r="A8" s="50">
        <f>Spieler!AD7</f>
        <v>14</v>
      </c>
      <c r="B8" s="50">
        <f>Spieler!AB7</f>
        <v>2</v>
      </c>
      <c r="C8" s="2">
        <f>VLOOKUP(A8,Spieler!A:C,2,0)</f>
        <v>36696</v>
      </c>
      <c r="D8" s="2" t="str">
        <f>VLOOKUP(A8,Spieler!A:C,3,0)</f>
        <v>Laura Piros</v>
      </c>
      <c r="E8" s="2">
        <f>VLOOKUP(A8,Spieler!A:O,7,0)</f>
        <v>2346</v>
      </c>
      <c r="F8" s="2">
        <f>VLOOKUP(A8,Spieler!A:O,15,0)</f>
        <v>12</v>
      </c>
      <c r="H8" s="97"/>
    </row>
    <row r="9">
      <c r="A9" s="50">
        <f>Spieler!AD8</f>
        <v>15</v>
      </c>
      <c r="B9" s="50">
        <f>Spieler!AB8</f>
        <v>3</v>
      </c>
      <c r="C9" s="2">
        <f>VLOOKUP(A9,Spieler!A:C,2,0)</f>
        <v>7083</v>
      </c>
      <c r="D9" s="2" t="str">
        <f>VLOOKUP(A9,Spieler!A:C,3,0)</f>
        <v>Alexandra Mareiser</v>
      </c>
      <c r="E9" s="2">
        <f>VLOOKUP(A9,Spieler!A:O,7,0)</f>
        <v>2269</v>
      </c>
      <c r="F9" s="2">
        <f>VLOOKUP(A9,Spieler!A:O,15,0)</f>
        <v>12</v>
      </c>
      <c r="H9" s="97"/>
    </row>
    <row r="10">
      <c r="A10" s="50">
        <f>Spieler!AD9</f>
        <v>18</v>
      </c>
      <c r="B10" s="50">
        <f>Spieler!AB9</f>
        <v>4</v>
      </c>
      <c r="C10" s="2">
        <f>VLOOKUP(A10,Spieler!A:C,2,0)</f>
        <v>25857</v>
      </c>
      <c r="D10" s="2" t="str">
        <f>VLOOKUP(A10,Spieler!A:C,3,0)</f>
        <v>Natalie Groll</v>
      </c>
      <c r="E10" s="2">
        <f>VLOOKUP(A10,Spieler!A:O,7,0)</f>
        <v>2200</v>
      </c>
      <c r="F10" s="2">
        <f>VLOOKUP(A10,Spieler!A:O,15,0)</f>
        <v>12</v>
      </c>
      <c r="H10" s="97"/>
    </row>
    <row r="11">
      <c r="A11" s="50">
        <f>Spieler!AD10</f>
        <v>20</v>
      </c>
      <c r="B11" s="50">
        <f>Spieler!AB10</f>
        <v>5</v>
      </c>
      <c r="C11" s="2">
        <f>VLOOKUP(A11,Spieler!A:C,2,0)</f>
        <v>16093</v>
      </c>
      <c r="D11" s="2" t="str">
        <f>VLOOKUP(A11,Spieler!A:C,3,0)</f>
        <v>Julia Völlmerk</v>
      </c>
      <c r="E11" s="2">
        <f>VLOOKUP(A11,Spieler!A:O,7,0)</f>
        <v>2157</v>
      </c>
      <c r="F11" s="2">
        <f>VLOOKUP(A11,Spieler!A:O,15,0)</f>
        <v>12</v>
      </c>
      <c r="H11" s="97"/>
    </row>
    <row r="12">
      <c r="A12" s="50">
        <f>Spieler!AD11</f>
        <v>19</v>
      </c>
      <c r="B12" s="50">
        <f>Spieler!AB11</f>
        <v>6</v>
      </c>
      <c r="C12" s="2">
        <f>VLOOKUP(A12,Spieler!A:C,2,0)</f>
        <v>25630</v>
      </c>
      <c r="D12" s="2" t="str">
        <f>VLOOKUP(A12,Spieler!A:C,3,0)</f>
        <v>Johanna Groll</v>
      </c>
      <c r="E12" s="2">
        <f>VLOOKUP(A12,Spieler!A:O,7,0)</f>
        <v>2081</v>
      </c>
      <c r="F12" s="2">
        <f>VLOOKUP(A12,Spieler!A:O,15,0)</f>
        <v>12</v>
      </c>
      <c r="H12" s="97"/>
    </row>
    <row r="13">
      <c r="A13" s="50">
        <f>Spieler!AD12</f>
        <v>22</v>
      </c>
      <c r="B13" s="50">
        <f>Spieler!AB12</f>
        <v>7</v>
      </c>
      <c r="C13" s="2">
        <f>VLOOKUP(A13,Spieler!A:C,2,0)</f>
        <v>7154</v>
      </c>
      <c r="D13" s="2" t="str">
        <f>VLOOKUP(A13,Spieler!A:C,3,0)</f>
        <v>Marina Weiske</v>
      </c>
      <c r="E13" s="2">
        <f>VLOOKUP(A13,Spieler!A:O,7,0)</f>
        <v>2079</v>
      </c>
      <c r="F13" s="2">
        <f>VLOOKUP(A13,Spieler!A:O,15,0)</f>
        <v>12</v>
      </c>
      <c r="H13" s="97"/>
    </row>
    <row r="14">
      <c r="A14" s="50">
        <f>Spieler!AD13</f>
        <v>17</v>
      </c>
      <c r="B14" s="50">
        <f>Spieler!AB13</f>
        <v>8</v>
      </c>
      <c r="C14" s="2">
        <f>VLOOKUP(A14,Spieler!A:C,2,0)</f>
        <v>38355</v>
      </c>
      <c r="D14" s="2" t="str">
        <f>VLOOKUP(A14,Spieler!A:C,3,0)</f>
        <v>Jana Witthinrich</v>
      </c>
      <c r="E14" s="2">
        <f>VLOOKUP(A14,Spieler!A:O,7,0)</f>
        <v>2037</v>
      </c>
      <c r="F14" s="2">
        <f>VLOOKUP(A14,Spieler!A:O,15,0)</f>
        <v>12</v>
      </c>
      <c r="H14" s="97"/>
    </row>
    <row r="15">
      <c r="A15" s="50">
        <f>Spieler!AD14</f>
        <v>6</v>
      </c>
      <c r="B15" s="50">
        <f>Spieler!AB14</f>
        <v>9</v>
      </c>
      <c r="C15" s="2">
        <f>VLOOKUP(A15,Spieler!A:C,2,0)</f>
        <v>16595</v>
      </c>
      <c r="D15" s="2" t="str">
        <f>VLOOKUP(A15,Spieler!A:C,3,0)</f>
        <v>Nicole Schott</v>
      </c>
      <c r="E15" s="2">
        <f>VLOOKUP(A15,Spieler!A:O,7,0)</f>
        <v>1997</v>
      </c>
      <c r="F15" s="2">
        <f>VLOOKUP(A15,Spieler!A:O,15,0)</f>
        <v>12</v>
      </c>
      <c r="H15" s="97"/>
    </row>
    <row r="16">
      <c r="A16" s="50">
        <f>Spieler!AD15</f>
        <v>4</v>
      </c>
      <c r="B16" s="50">
        <f>Spieler!AB15</f>
        <v>10</v>
      </c>
      <c r="C16" s="2">
        <f>VLOOKUP(A16,Spieler!A:C,2,0)</f>
        <v>25329</v>
      </c>
      <c r="D16" s="2" t="str">
        <f>VLOOKUP(A16,Spieler!A:C,3,0)</f>
        <v>Katharina Mang</v>
      </c>
      <c r="E16" s="2">
        <f>VLOOKUP(A16,Spieler!A:O,7,0)</f>
        <v>1983</v>
      </c>
      <c r="F16" s="2">
        <f>VLOOKUP(A16,Spieler!A:O,15,0)</f>
        <v>12</v>
      </c>
      <c r="H16" s="97"/>
    </row>
    <row r="17">
      <c r="A17" s="50">
        <f>Spieler!AD16</f>
        <v>7</v>
      </c>
      <c r="B17" s="50">
        <f>Spieler!AB16</f>
        <v>11</v>
      </c>
      <c r="C17" s="2">
        <f>VLOOKUP(A17,Spieler!A:C,2,0)</f>
        <v>16594</v>
      </c>
      <c r="D17" s="2" t="str">
        <f>VLOOKUP(A17,Spieler!A:C,3,0)</f>
        <v>Monika Schott</v>
      </c>
      <c r="E17" s="2">
        <f>VLOOKUP(A17,Spieler!A:O,7,0)</f>
        <v>1959</v>
      </c>
      <c r="F17" s="2">
        <f>VLOOKUP(A17,Spieler!A:O,15,0)</f>
        <v>12</v>
      </c>
      <c r="H17" s="97"/>
    </row>
    <row r="18">
      <c r="A18" s="50">
        <f>Spieler!AD17</f>
        <v>8</v>
      </c>
      <c r="B18" s="50">
        <f>Spieler!AB17</f>
        <v>12</v>
      </c>
      <c r="C18" s="2">
        <f>VLOOKUP(A18,Spieler!A:C,2,0)</f>
        <v>38931</v>
      </c>
      <c r="D18" s="2" t="str">
        <f>VLOOKUP(A18,Spieler!A:C,3,0)</f>
        <v>Helene Schick</v>
      </c>
      <c r="E18" s="2">
        <f>VLOOKUP(A18,Spieler!A:O,7,0)</f>
        <v>1955</v>
      </c>
      <c r="F18" s="2">
        <f>VLOOKUP(A18,Spieler!A:O,15,0)</f>
        <v>12</v>
      </c>
      <c r="H18" s="97"/>
    </row>
    <row r="19">
      <c r="A19" s="50">
        <f>Spieler!AD18</f>
        <v>1</v>
      </c>
      <c r="B19" s="50">
        <f>Spieler!AB18</f>
        <v>13</v>
      </c>
      <c r="C19" s="2">
        <f>VLOOKUP(A19,Spieler!A:C,2,0)</f>
        <v>7709</v>
      </c>
      <c r="D19" s="2" t="str">
        <f>VLOOKUP(A19,Spieler!A:C,3,0)</f>
        <v>Else Schuster</v>
      </c>
      <c r="E19" s="2">
        <f>VLOOKUP(A19,Spieler!A:O,7,0)</f>
        <v>1858</v>
      </c>
      <c r="F19" s="2">
        <f>VLOOKUP(A19,Spieler!A:O,15,0)</f>
        <v>12</v>
      </c>
      <c r="H19" s="97"/>
    </row>
    <row r="20">
      <c r="A20" s="50">
        <f>Spieler!AD19</f>
        <v>16</v>
      </c>
      <c r="B20" s="50">
        <f>Spieler!AB19</f>
        <v>14</v>
      </c>
      <c r="C20" s="2">
        <f>VLOOKUP(A20,Spieler!A:C,2,0)</f>
        <v>38555</v>
      </c>
      <c r="D20" s="2" t="str">
        <f>VLOOKUP(A20,Spieler!A:C,3,0)</f>
        <v>Regina Gahr</v>
      </c>
      <c r="E20" s="2">
        <f>VLOOKUP(A20,Spieler!A:O,7,0)</f>
        <v>1850</v>
      </c>
      <c r="F20" s="2">
        <f>VLOOKUP(A20,Spieler!A:O,15,0)</f>
        <v>12</v>
      </c>
      <c r="H20" s="97"/>
    </row>
    <row r="21">
      <c r="A21" s="50">
        <f>Spieler!AD20</f>
        <v>10</v>
      </c>
      <c r="B21" s="50">
        <f>Spieler!AB20</f>
        <v>15</v>
      </c>
      <c r="C21" s="2">
        <f>VLOOKUP(A21,Spieler!A:C,2,0)</f>
        <v>38876</v>
      </c>
      <c r="D21" s="2" t="str">
        <f>VLOOKUP(A21,Spieler!A:C,3,0)</f>
        <v>Bianca Leinemann</v>
      </c>
      <c r="E21" s="2">
        <f>VLOOKUP(A21,Spieler!A:O,7,0)</f>
        <v>1823</v>
      </c>
      <c r="F21" s="2">
        <f>VLOOKUP(A21,Spieler!A:O,15,0)</f>
        <v>12</v>
      </c>
      <c r="H21" s="97"/>
    </row>
    <row r="22">
      <c r="A22" s="50">
        <f>Spieler!AD21</f>
        <v>21</v>
      </c>
      <c r="B22" s="50">
        <f>Spieler!AB21</f>
        <v>16</v>
      </c>
      <c r="C22" s="2">
        <f>VLOOKUP(A22,Spieler!A:C,2,0)</f>
        <v>38980</v>
      </c>
      <c r="D22" s="2" t="str">
        <f>VLOOKUP(A22,Spieler!A:C,3,0)</f>
        <v>Rica Jahre</v>
      </c>
      <c r="E22" s="2">
        <f>VLOOKUP(A22,Spieler!A:O,7,0)</f>
        <v>1803</v>
      </c>
      <c r="F22" s="2">
        <f>VLOOKUP(A22,Spieler!A:O,15,0)</f>
        <v>12</v>
      </c>
      <c r="H22" s="97"/>
    </row>
    <row r="23">
      <c r="A23" s="50">
        <f>Spieler!AD22</f>
        <v>11</v>
      </c>
      <c r="B23" s="50">
        <f>Spieler!AB22</f>
        <v>17</v>
      </c>
      <c r="C23" s="2">
        <f>VLOOKUP(A23,Spieler!A:C,2,0)</f>
        <v>38780</v>
      </c>
      <c r="D23" s="2" t="str">
        <f>VLOOKUP(A23,Spieler!A:C,3,0)</f>
        <v>Sabaithip Mekjinda</v>
      </c>
      <c r="E23" s="2">
        <f>VLOOKUP(A23,Spieler!A:O,7,0)</f>
        <v>1799</v>
      </c>
      <c r="F23" s="2">
        <f>VLOOKUP(A23,Spieler!A:O,15,0)</f>
        <v>12</v>
      </c>
      <c r="H23" s="97"/>
    </row>
    <row r="24">
      <c r="A24" s="50">
        <f>Spieler!AD23</f>
        <v>13</v>
      </c>
      <c r="B24" s="50">
        <f>Spieler!AB23</f>
        <v>18</v>
      </c>
      <c r="C24" s="2">
        <f>VLOOKUP(A24,Spieler!A:C,2,0)</f>
        <v>38173</v>
      </c>
      <c r="D24" s="2" t="str">
        <f>VLOOKUP(A24,Spieler!A:C,3,0)</f>
        <v>Nadja Seidlein</v>
      </c>
      <c r="E24" s="2">
        <f>VLOOKUP(A24,Spieler!A:O,7,0)</f>
        <v>1784</v>
      </c>
      <c r="F24" s="2">
        <f>VLOOKUP(A24,Spieler!A:O,15,0)</f>
        <v>12</v>
      </c>
      <c r="H24" s="97"/>
    </row>
    <row r="25">
      <c r="A25" s="50">
        <f>Spieler!AD24</f>
        <v>5</v>
      </c>
      <c r="B25" s="50">
        <f>Spieler!AB24</f>
        <v>19</v>
      </c>
      <c r="C25" s="2">
        <f>VLOOKUP(A25,Spieler!A:C,2,0)</f>
        <v>38934</v>
      </c>
      <c r="D25" s="2" t="str">
        <f>VLOOKUP(A25,Spieler!A:C,3,0)</f>
        <v>Denise Schwertfeger</v>
      </c>
      <c r="E25" s="2">
        <f>VLOOKUP(A25,Spieler!A:O,7,0)</f>
        <v>1701</v>
      </c>
      <c r="F25" s="2">
        <f>VLOOKUP(A25,Spieler!A:O,15,0)</f>
        <v>12</v>
      </c>
      <c r="H25" s="97"/>
    </row>
    <row r="26">
      <c r="A26" s="50">
        <f>Spieler!AD25</f>
        <v>2</v>
      </c>
      <c r="B26" s="50">
        <f>Spieler!AB25</f>
        <v>20</v>
      </c>
      <c r="C26" s="2">
        <f>VLOOKUP(A26,Spieler!A:C,2,0)</f>
        <v>25347</v>
      </c>
      <c r="D26" s="2" t="str">
        <f>VLOOKUP(A26,Spieler!A:C,3,0)</f>
        <v>Roswitha Schulz-Burkert</v>
      </c>
      <c r="E26" s="2">
        <f>VLOOKUP(A26,Spieler!A:O,7,0)</f>
        <v>1650</v>
      </c>
      <c r="F26" s="2">
        <f>VLOOKUP(A26,Spieler!A:O,15,0)</f>
        <v>12</v>
      </c>
      <c r="H26" s="97"/>
    </row>
    <row r="27">
      <c r="A27" s="50">
        <f>Spieler!AD26</f>
        <v>3</v>
      </c>
      <c r="B27" s="50">
        <f>Spieler!AB26</f>
        <v>21</v>
      </c>
      <c r="C27" s="2">
        <f>VLOOKUP(A27,Spieler!A:C,2,0)</f>
        <v>7974</v>
      </c>
      <c r="D27" s="2" t="str">
        <f>VLOOKUP(A27,Spieler!A:C,3,0)</f>
        <v>Ingeborg Schmitt</v>
      </c>
      <c r="E27" s="2">
        <f>VLOOKUP(A27,Spieler!A:O,7,0)</f>
        <v>1596</v>
      </c>
      <c r="F27" s="2">
        <f>VLOOKUP(A27,Spieler!A:O,15,0)</f>
        <v>12</v>
      </c>
      <c r="H27" s="97"/>
    </row>
    <row r="28">
      <c r="A28" s="50">
        <f>Spieler!AD27</f>
        <v>12</v>
      </c>
      <c r="B28" s="50">
        <f>Spieler!AB27</f>
        <v>22</v>
      </c>
      <c r="C28" s="2">
        <f>VLOOKUP(A28,Spieler!A:C,2,0)</f>
        <v>38789</v>
      </c>
      <c r="D28" s="2" t="str">
        <f>VLOOKUP(A28,Spieler!A:C,3,0)</f>
        <v>Stephanie Fischer</v>
      </c>
      <c r="E28" s="2">
        <f>VLOOKUP(A28,Spieler!A:O,7,0)</f>
        <v>1574</v>
      </c>
      <c r="F28" s="2">
        <f>VLOOKUP(A28,Spieler!A:O,15,0)</f>
        <v>12</v>
      </c>
      <c r="H28" s="97"/>
    </row>
    <row r="29">
      <c r="A29" s="50" t="str">
        <f>Spieler!AD28</f>
        <v/>
      </c>
      <c r="B29" s="50">
        <f>Spieler!AB28</f>
        <v>23</v>
      </c>
      <c r="C29" s="2" t="str">
        <f>VLOOKUP(A29,Spieler!A:C,2,0)</f>
        <v>#N/A</v>
      </c>
      <c r="D29" s="2" t="str">
        <f>VLOOKUP(A29,Spieler!A:C,3,0)</f>
        <v>#N/A</v>
      </c>
      <c r="E29" s="2" t="str">
        <f>VLOOKUP(A29,Spieler!A:O,7,0)</f>
        <v>#N/A</v>
      </c>
      <c r="F29" s="2" t="str">
        <f>VLOOKUP(A29,Spieler!A:O,15,0)</f>
        <v>#N/A</v>
      </c>
      <c r="H29" s="97"/>
    </row>
    <row r="30">
      <c r="A30" s="50" t="str">
        <f>Spieler!AD29</f>
        <v/>
      </c>
      <c r="B30" s="50">
        <f>Spieler!AB29</f>
        <v>24</v>
      </c>
      <c r="C30" s="2" t="str">
        <f>VLOOKUP(A30,Spieler!A:C,2,0)</f>
        <v>#N/A</v>
      </c>
      <c r="D30" s="2" t="str">
        <f>VLOOKUP(A30,Spieler!A:C,3,0)</f>
        <v>#N/A</v>
      </c>
      <c r="E30" s="2" t="str">
        <f>VLOOKUP(A30,Spieler!A:O,7,0)</f>
        <v>#N/A</v>
      </c>
      <c r="F30" s="2" t="str">
        <f>VLOOKUP(A30,Spieler!A:O,15,0)</f>
        <v>#N/A</v>
      </c>
      <c r="H30" s="97"/>
    </row>
    <row r="31">
      <c r="A31" s="50" t="str">
        <f>Spieler!AD30</f>
        <v/>
      </c>
      <c r="B31" s="50">
        <f>Spieler!AB30</f>
        <v>25</v>
      </c>
      <c r="C31" s="2" t="str">
        <f>VLOOKUP(A31,Spieler!A:C,2,0)</f>
        <v>#N/A</v>
      </c>
      <c r="D31" s="2" t="str">
        <f>VLOOKUP(A31,Spieler!A:C,3,0)</f>
        <v>#N/A</v>
      </c>
      <c r="E31" s="2" t="str">
        <f>VLOOKUP(A31,Spieler!A:O,7,0)</f>
        <v>#N/A</v>
      </c>
      <c r="F31" s="2" t="str">
        <f>VLOOKUP(A31,Spieler!A:O,15,0)</f>
        <v>#N/A</v>
      </c>
      <c r="H31" s="97"/>
    </row>
    <row r="32">
      <c r="A32" s="50" t="str">
        <f>Spieler!AD31</f>
        <v/>
      </c>
      <c r="B32" s="50">
        <f>Spieler!AB31</f>
        <v>26</v>
      </c>
      <c r="C32" s="2" t="str">
        <f>VLOOKUP(A32,Spieler!A:C,2,0)</f>
        <v>#N/A</v>
      </c>
      <c r="D32" s="2" t="str">
        <f>VLOOKUP(A32,Spieler!A:C,3,0)</f>
        <v>#N/A</v>
      </c>
      <c r="E32" s="2" t="str">
        <f>VLOOKUP(A32,Spieler!A:O,7,0)</f>
        <v>#N/A</v>
      </c>
      <c r="F32" s="2" t="str">
        <f>VLOOKUP(A32,Spieler!A:O,15,0)</f>
        <v>#N/A</v>
      </c>
      <c r="H32" s="97"/>
    </row>
    <row r="33">
      <c r="A33" s="50" t="str">
        <f>Spieler!AD32</f>
        <v/>
      </c>
      <c r="B33" s="50">
        <f>Spieler!AB32</f>
        <v>27</v>
      </c>
      <c r="C33" s="2" t="str">
        <f>VLOOKUP(A33,Spieler!A:C,2,0)</f>
        <v>#N/A</v>
      </c>
      <c r="D33" s="2" t="str">
        <f>VLOOKUP(A33,Spieler!A:C,3,0)</f>
        <v>#N/A</v>
      </c>
      <c r="E33" s="2" t="str">
        <f>VLOOKUP(A33,Spieler!A:O,7,0)</f>
        <v>#N/A</v>
      </c>
      <c r="F33" s="2" t="str">
        <f>VLOOKUP(A33,Spieler!A:O,15,0)</f>
        <v>#N/A</v>
      </c>
      <c r="H33" s="97"/>
    </row>
    <row r="34">
      <c r="A34" s="50" t="str">
        <f>Spieler!AD33</f>
        <v/>
      </c>
      <c r="B34" s="50">
        <f>Spieler!AB33</f>
        <v>28</v>
      </c>
      <c r="C34" s="2" t="str">
        <f>VLOOKUP(A34,Spieler!A:C,2,0)</f>
        <v>#N/A</v>
      </c>
      <c r="D34" s="2" t="str">
        <f>VLOOKUP(A34,Spieler!A:C,3,0)</f>
        <v>#N/A</v>
      </c>
      <c r="E34" s="2" t="str">
        <f>VLOOKUP(A34,Spieler!A:O,7,0)</f>
        <v>#N/A</v>
      </c>
      <c r="F34" s="2" t="str">
        <f>VLOOKUP(A34,Spieler!A:O,15,0)</f>
        <v>#N/A</v>
      </c>
      <c r="H34" s="97"/>
    </row>
    <row r="35">
      <c r="A35" s="50" t="str">
        <f>Spieler!AD34</f>
        <v/>
      </c>
      <c r="B35" s="50">
        <f>Spieler!AB34</f>
        <v>29</v>
      </c>
      <c r="C35" s="2" t="str">
        <f>VLOOKUP(A35,Spieler!A:C,2,0)</f>
        <v>#N/A</v>
      </c>
      <c r="D35" s="2" t="str">
        <f>VLOOKUP(A35,Spieler!A:C,3,0)</f>
        <v>#N/A</v>
      </c>
      <c r="E35" s="2" t="str">
        <f>VLOOKUP(A35,Spieler!A:O,7,0)</f>
        <v>#N/A</v>
      </c>
      <c r="F35" s="2" t="str">
        <f>VLOOKUP(A35,Spieler!A:O,15,0)</f>
        <v>#N/A</v>
      </c>
      <c r="H35" s="97"/>
    </row>
    <row r="36">
      <c r="A36" s="50" t="str">
        <f>Spieler!AD35</f>
        <v/>
      </c>
      <c r="B36" s="50">
        <f>Spieler!AB35</f>
        <v>30</v>
      </c>
      <c r="C36" s="2" t="str">
        <f>VLOOKUP(A36,Spieler!A:C,2,0)</f>
        <v>#N/A</v>
      </c>
      <c r="D36" s="2" t="str">
        <f>VLOOKUP(A36,Spieler!A:C,3,0)</f>
        <v>#N/A</v>
      </c>
      <c r="E36" s="2" t="str">
        <f>VLOOKUP(A36,Spieler!A:O,7,0)</f>
        <v>#N/A</v>
      </c>
      <c r="F36" s="2" t="str">
        <f>VLOOKUP(A36,Spieler!A:O,15,0)</f>
        <v>#N/A</v>
      </c>
      <c r="H36" s="97"/>
    </row>
    <row r="37">
      <c r="A37" s="50" t="str">
        <f>Spieler!AD36</f>
        <v/>
      </c>
      <c r="B37" s="50">
        <f>Spieler!AB36</f>
        <v>31</v>
      </c>
      <c r="C37" s="2" t="str">
        <f>VLOOKUP(A37,Spieler!A:C,2,0)</f>
        <v>#N/A</v>
      </c>
      <c r="D37" s="2" t="str">
        <f>VLOOKUP(A37,Spieler!A:C,3,0)</f>
        <v>#N/A</v>
      </c>
      <c r="E37" s="2" t="str">
        <f>VLOOKUP(A37,Spieler!A:O,7,0)</f>
        <v>#N/A</v>
      </c>
      <c r="F37" s="2" t="str">
        <f>VLOOKUP(A37,Spieler!A:O,15,0)</f>
        <v>#N/A</v>
      </c>
      <c r="H37" s="97"/>
    </row>
    <row r="38">
      <c r="A38" s="50" t="str">
        <f>Spieler!AD37</f>
        <v/>
      </c>
      <c r="B38" s="50">
        <f>Spieler!AB37</f>
        <v>32</v>
      </c>
      <c r="C38" s="2" t="str">
        <f>VLOOKUP(A38,Spieler!A:C,2,0)</f>
        <v>#N/A</v>
      </c>
      <c r="D38" s="2" t="str">
        <f>VLOOKUP(A38,Spieler!A:C,3,0)</f>
        <v>#N/A</v>
      </c>
      <c r="E38" s="2" t="str">
        <f>VLOOKUP(A38,Spieler!A:O,7,0)</f>
        <v>#N/A</v>
      </c>
      <c r="F38" s="2" t="str">
        <f>VLOOKUP(A38,Spieler!A:O,15,0)</f>
        <v>#N/A</v>
      </c>
      <c r="H38" s="97"/>
    </row>
    <row r="39">
      <c r="A39" s="50" t="str">
        <f>Spieler!AD38</f>
        <v/>
      </c>
      <c r="B39" s="50">
        <f>Spieler!AB38</f>
        <v>33</v>
      </c>
      <c r="C39" s="2" t="str">
        <f>VLOOKUP(A39,Spieler!A:C,2,0)</f>
        <v>#N/A</v>
      </c>
      <c r="D39" s="2" t="str">
        <f>VLOOKUP(A39,Spieler!A:C,3,0)</f>
        <v>#N/A</v>
      </c>
      <c r="E39" s="2" t="str">
        <f>VLOOKUP(A39,Spieler!A:O,7,0)</f>
        <v>#N/A</v>
      </c>
      <c r="F39" s="2" t="str">
        <f>VLOOKUP(A39,Spieler!A:O,15,0)</f>
        <v>#N/A</v>
      </c>
      <c r="H39" s="97"/>
    </row>
    <row r="40">
      <c r="A40" s="50" t="str">
        <f>Spieler!AD39</f>
        <v/>
      </c>
      <c r="B40" s="50">
        <f>Spieler!AB39</f>
        <v>34</v>
      </c>
      <c r="C40" s="2" t="str">
        <f>VLOOKUP(A40,Spieler!A:C,2,0)</f>
        <v>#N/A</v>
      </c>
      <c r="D40" s="2" t="str">
        <f>VLOOKUP(A40,Spieler!A:C,3,0)</f>
        <v>#N/A</v>
      </c>
      <c r="E40" s="2" t="str">
        <f>VLOOKUP(A40,Spieler!A:O,7,0)</f>
        <v>#N/A</v>
      </c>
      <c r="F40" s="2" t="str">
        <f>VLOOKUP(A40,Spieler!A:O,15,0)</f>
        <v>#N/A</v>
      </c>
      <c r="H40" s="97"/>
    </row>
    <row r="41">
      <c r="A41" s="50" t="str">
        <f>Spieler!AD40</f>
        <v/>
      </c>
      <c r="B41" s="50">
        <f>Spieler!AB40</f>
        <v>35</v>
      </c>
      <c r="C41" s="2" t="str">
        <f>VLOOKUP(A41,Spieler!A:C,2,0)</f>
        <v>#N/A</v>
      </c>
      <c r="D41" s="2" t="str">
        <f>VLOOKUP(A41,Spieler!A:C,3,0)</f>
        <v>#N/A</v>
      </c>
      <c r="E41" s="2" t="str">
        <f>VLOOKUP(A41,Spieler!A:O,7,0)</f>
        <v>#N/A</v>
      </c>
      <c r="F41" s="2" t="str">
        <f>VLOOKUP(A41,Spieler!A:O,15,0)</f>
        <v>#N/A</v>
      </c>
      <c r="H41" s="97"/>
    </row>
    <row r="42">
      <c r="A42" s="50" t="str">
        <f>Spieler!AD41</f>
        <v/>
      </c>
      <c r="B42" s="50">
        <f>Spieler!AB41</f>
        <v>36</v>
      </c>
      <c r="C42" s="2" t="str">
        <f>VLOOKUP(A42,Spieler!A:C,2,0)</f>
        <v>#N/A</v>
      </c>
      <c r="D42" s="2" t="str">
        <f>VLOOKUP(A42,Spieler!A:C,3,0)</f>
        <v>#N/A</v>
      </c>
      <c r="E42" s="2" t="str">
        <f>VLOOKUP(A42,Spieler!A:O,7,0)</f>
        <v>#N/A</v>
      </c>
      <c r="F42" s="2" t="str">
        <f>VLOOKUP(A42,Spieler!A:O,15,0)</f>
        <v>#N/A</v>
      </c>
      <c r="H42" s="97"/>
    </row>
    <row r="43">
      <c r="A43" s="50" t="str">
        <f>Spieler!AD42</f>
        <v/>
      </c>
      <c r="B43" s="50">
        <f>Spieler!AB42</f>
        <v>37</v>
      </c>
      <c r="C43" s="2" t="str">
        <f>VLOOKUP(A43,Spieler!A:C,2,0)</f>
        <v>#N/A</v>
      </c>
      <c r="D43" s="2" t="str">
        <f>VLOOKUP(A43,Spieler!A:C,3,0)</f>
        <v>#N/A</v>
      </c>
      <c r="E43" s="2" t="str">
        <f>VLOOKUP(A43,Spieler!A:O,7,0)</f>
        <v>#N/A</v>
      </c>
      <c r="F43" s="2" t="str">
        <f>VLOOKUP(A43,Spieler!A:O,15,0)</f>
        <v>#N/A</v>
      </c>
      <c r="H43" s="97"/>
    </row>
    <row r="44">
      <c r="A44" s="50" t="str">
        <f>Spieler!AD43</f>
        <v/>
      </c>
      <c r="B44" s="50">
        <f>Spieler!AB43</f>
        <v>38</v>
      </c>
      <c r="C44" s="2" t="str">
        <f>VLOOKUP(A44,Spieler!A:C,2,0)</f>
        <v>#N/A</v>
      </c>
      <c r="D44" s="2" t="str">
        <f>VLOOKUP(A44,Spieler!A:C,3,0)</f>
        <v>#N/A</v>
      </c>
      <c r="E44" s="2" t="str">
        <f>VLOOKUP(A44,Spieler!A:O,7,0)</f>
        <v>#N/A</v>
      </c>
      <c r="F44" s="2" t="str">
        <f>VLOOKUP(A44,Spieler!A:O,15,0)</f>
        <v>#N/A</v>
      </c>
      <c r="H44" s="97"/>
    </row>
    <row r="45">
      <c r="A45" s="50" t="str">
        <f>Spieler!AD44</f>
        <v/>
      </c>
      <c r="B45" s="50">
        <f>Spieler!AB44</f>
        <v>39</v>
      </c>
      <c r="C45" s="2" t="str">
        <f>VLOOKUP(A45,Spieler!A:C,2,0)</f>
        <v>#N/A</v>
      </c>
      <c r="D45" s="2" t="str">
        <f>VLOOKUP(A45,Spieler!A:C,3,0)</f>
        <v>#N/A</v>
      </c>
      <c r="E45" s="2" t="str">
        <f>VLOOKUP(A45,Spieler!A:O,7,0)</f>
        <v>#N/A</v>
      </c>
      <c r="F45" s="2" t="str">
        <f>VLOOKUP(A45,Spieler!A:O,15,0)</f>
        <v>#N/A</v>
      </c>
      <c r="H45" s="97"/>
    </row>
    <row r="46">
      <c r="A46" s="50" t="str">
        <f>Spieler!AD45</f>
        <v/>
      </c>
      <c r="B46" s="50">
        <f>Spieler!AB45</f>
        <v>40</v>
      </c>
      <c r="C46" s="2" t="str">
        <f>VLOOKUP(A46,Spieler!A:C,2,0)</f>
        <v>#N/A</v>
      </c>
      <c r="D46" s="2" t="str">
        <f>VLOOKUP(A46,Spieler!A:C,3,0)</f>
        <v>#N/A</v>
      </c>
      <c r="E46" s="2" t="str">
        <f>VLOOKUP(A46,Spieler!A:O,7,0)</f>
        <v>#N/A</v>
      </c>
      <c r="F46" s="2" t="str">
        <f>VLOOKUP(A46,Spieler!A:O,15,0)</f>
        <v>#N/A</v>
      </c>
      <c r="H46" s="97"/>
    </row>
    <row r="47">
      <c r="A47" s="50" t="str">
        <f>Spieler!AD46</f>
        <v/>
      </c>
      <c r="B47" s="50">
        <f>Spieler!AB46</f>
        <v>41</v>
      </c>
      <c r="C47" s="2" t="str">
        <f>VLOOKUP(A47,Spieler!A:C,2,0)</f>
        <v>#N/A</v>
      </c>
      <c r="D47" s="2" t="str">
        <f>VLOOKUP(A47,Spieler!A:C,3,0)</f>
        <v>#N/A</v>
      </c>
      <c r="E47" s="2" t="str">
        <f>VLOOKUP(A47,Spieler!A:O,7,0)</f>
        <v>#N/A</v>
      </c>
      <c r="F47" s="2" t="str">
        <f>VLOOKUP(A47,Spieler!A:O,15,0)</f>
        <v>#N/A</v>
      </c>
      <c r="H47" s="50"/>
    </row>
    <row r="48">
      <c r="A48" s="50" t="str">
        <f>Spieler!AD47</f>
        <v/>
      </c>
      <c r="B48" s="50">
        <f>Spieler!AB47</f>
        <v>42</v>
      </c>
      <c r="C48" s="2" t="str">
        <f>VLOOKUP(A48,Spieler!A:C,2,0)</f>
        <v>#N/A</v>
      </c>
      <c r="D48" s="2" t="str">
        <f>VLOOKUP(A48,Spieler!A:C,3,0)</f>
        <v>#N/A</v>
      </c>
      <c r="E48" s="2" t="str">
        <f>VLOOKUP(A48,Spieler!A:O,7,0)</f>
        <v>#N/A</v>
      </c>
      <c r="F48" s="2" t="str">
        <f>VLOOKUP(A48,Spieler!A:O,15,0)</f>
        <v>#N/A</v>
      </c>
      <c r="H48" s="50"/>
    </row>
    <row r="49">
      <c r="A49" s="50" t="str">
        <f>Spieler!AD48</f>
        <v/>
      </c>
      <c r="B49" s="50">
        <f>Spieler!AB48</f>
        <v>43</v>
      </c>
      <c r="C49" s="2" t="str">
        <f>VLOOKUP(A49,Spieler!A:C,2,0)</f>
        <v>#N/A</v>
      </c>
      <c r="D49" s="2" t="str">
        <f>VLOOKUP(A49,Spieler!A:C,3,0)</f>
        <v>#N/A</v>
      </c>
      <c r="E49" s="2" t="str">
        <f>VLOOKUP(A49,Spieler!A:O,7,0)</f>
        <v>#N/A</v>
      </c>
      <c r="F49" s="2" t="str">
        <f>VLOOKUP(A49,Spieler!A:O,15,0)</f>
        <v>#N/A</v>
      </c>
      <c r="H49" s="50"/>
    </row>
    <row r="50">
      <c r="A50" s="50" t="str">
        <f>Spieler!AD49</f>
        <v/>
      </c>
      <c r="B50" s="50">
        <f>Spieler!AB49</f>
        <v>44</v>
      </c>
      <c r="C50" s="2" t="str">
        <f>VLOOKUP(A50,Spieler!A:C,2,0)</f>
        <v>#N/A</v>
      </c>
      <c r="D50" s="2" t="str">
        <f>VLOOKUP(A50,Spieler!A:C,3,0)</f>
        <v>#N/A</v>
      </c>
      <c r="E50" s="2" t="str">
        <f>VLOOKUP(A50,Spieler!A:O,7,0)</f>
        <v>#N/A</v>
      </c>
      <c r="F50" s="2" t="str">
        <f>VLOOKUP(A50,Spieler!A:O,15,0)</f>
        <v>#N/A</v>
      </c>
      <c r="H50" s="50"/>
    </row>
    <row r="51">
      <c r="A51" s="50" t="str">
        <f>Spieler!AD50</f>
        <v/>
      </c>
      <c r="B51" s="50">
        <f>Spieler!AB50</f>
        <v>45</v>
      </c>
      <c r="C51" s="2" t="str">
        <f>VLOOKUP(A51,Spieler!A:C,2,0)</f>
        <v>#N/A</v>
      </c>
      <c r="D51" s="2" t="str">
        <f>VLOOKUP(A51,Spieler!A:C,3,0)</f>
        <v>#N/A</v>
      </c>
      <c r="E51" s="2" t="str">
        <f>VLOOKUP(A51,Spieler!A:O,7,0)</f>
        <v>#N/A</v>
      </c>
      <c r="F51" s="2" t="str">
        <f>VLOOKUP(A51,Spieler!A:O,15,0)</f>
        <v>#N/A</v>
      </c>
      <c r="H51" s="50"/>
    </row>
    <row r="52">
      <c r="A52" s="50" t="str">
        <f>Spieler!AD51</f>
        <v/>
      </c>
      <c r="B52" s="50">
        <f>Spieler!AB51</f>
        <v>46</v>
      </c>
      <c r="C52" s="2" t="str">
        <f>VLOOKUP(A52,Spieler!A:C,2,0)</f>
        <v>#N/A</v>
      </c>
      <c r="D52" s="2" t="str">
        <f>VLOOKUP(A52,Spieler!A:C,3,0)</f>
        <v>#N/A</v>
      </c>
      <c r="E52" s="2" t="str">
        <f>VLOOKUP(A52,Spieler!A:O,7,0)</f>
        <v>#N/A</v>
      </c>
      <c r="F52" s="2" t="str">
        <f>VLOOKUP(A52,Spieler!A:O,15,0)</f>
        <v>#N/A</v>
      </c>
      <c r="H52" s="50"/>
    </row>
    <row r="53">
      <c r="A53" s="50" t="str">
        <f>Spieler!AD52</f>
        <v/>
      </c>
      <c r="B53" s="50">
        <f>Spieler!AB52</f>
        <v>47</v>
      </c>
      <c r="C53" s="2" t="str">
        <f>VLOOKUP(A53,Spieler!A:C,2,0)</f>
        <v>#N/A</v>
      </c>
      <c r="D53" s="2" t="str">
        <f>VLOOKUP(A53,Spieler!A:C,3,0)</f>
        <v>#N/A</v>
      </c>
      <c r="E53" s="2" t="str">
        <f>VLOOKUP(A53,Spieler!A:O,7,0)</f>
        <v>#N/A</v>
      </c>
      <c r="F53" s="2" t="str">
        <f>VLOOKUP(A53,Spieler!A:O,15,0)</f>
        <v>#N/A</v>
      </c>
      <c r="H53" s="50"/>
    </row>
    <row r="54">
      <c r="A54" s="50" t="str">
        <f>Spieler!AD53</f>
        <v/>
      </c>
      <c r="B54" s="50">
        <f>Spieler!AB53</f>
        <v>48</v>
      </c>
      <c r="C54" s="2" t="str">
        <f>VLOOKUP(A54,Spieler!A:C,2,0)</f>
        <v>#N/A</v>
      </c>
      <c r="D54" s="2" t="str">
        <f>VLOOKUP(A54,Spieler!A:C,3,0)</f>
        <v>#N/A</v>
      </c>
      <c r="E54" s="2" t="str">
        <f>VLOOKUP(A54,Spieler!A:O,7,0)</f>
        <v>#N/A</v>
      </c>
      <c r="F54" s="2" t="str">
        <f>VLOOKUP(A54,Spieler!A:O,15,0)</f>
        <v>#N/A</v>
      </c>
      <c r="H54" s="50"/>
    </row>
    <row r="55">
      <c r="A55" s="50" t="str">
        <f>Spieler!AD54</f>
        <v/>
      </c>
      <c r="B55" s="50">
        <f>Spieler!AB54</f>
        <v>49</v>
      </c>
      <c r="C55" s="2" t="str">
        <f>VLOOKUP(A55,Spieler!A:C,2,0)</f>
        <v>#N/A</v>
      </c>
      <c r="D55" s="2" t="str">
        <f>VLOOKUP(A55,Spieler!A:C,3,0)</f>
        <v>#N/A</v>
      </c>
      <c r="E55" s="2" t="str">
        <f>VLOOKUP(A55,Spieler!A:O,7,0)</f>
        <v>#N/A</v>
      </c>
      <c r="F55" s="2" t="str">
        <f>VLOOKUP(A55,Spieler!A:O,15,0)</f>
        <v>#N/A</v>
      </c>
      <c r="H55" s="50"/>
    </row>
    <row r="56">
      <c r="A56" s="50" t="str">
        <f>Spieler!AD55</f>
        <v/>
      </c>
      <c r="B56" s="50">
        <f>Spieler!AB55</f>
        <v>50</v>
      </c>
      <c r="C56" s="2" t="str">
        <f>VLOOKUP(A56,Spieler!A:C,2,0)</f>
        <v>#N/A</v>
      </c>
      <c r="D56" s="2" t="str">
        <f>VLOOKUP(A56,Spieler!A:C,3,0)</f>
        <v>#N/A</v>
      </c>
      <c r="E56" s="2" t="str">
        <f>VLOOKUP(A56,Spieler!A:O,7,0)</f>
        <v>#N/A</v>
      </c>
      <c r="F56" s="2" t="str">
        <f>VLOOKUP(A56,Spieler!A:O,15,0)</f>
        <v>#N/A</v>
      </c>
      <c r="H56" s="50"/>
    </row>
    <row r="57">
      <c r="A57" s="50" t="str">
        <f>Spieler!AD56</f>
        <v/>
      </c>
      <c r="B57" s="50">
        <f>Spieler!AB56</f>
        <v>51</v>
      </c>
      <c r="C57" s="2" t="str">
        <f>VLOOKUP(A57,Spieler!A:C,2,0)</f>
        <v>#N/A</v>
      </c>
      <c r="D57" s="2" t="str">
        <f>VLOOKUP(A57,Spieler!A:C,3,0)</f>
        <v>#N/A</v>
      </c>
      <c r="E57" s="2" t="str">
        <f>VLOOKUP(A57,Spieler!A:O,7,0)</f>
        <v>#N/A</v>
      </c>
      <c r="F57" s="2" t="str">
        <f>VLOOKUP(A57,Spieler!A:O,15,0)</f>
        <v>#N/A</v>
      </c>
      <c r="H57" s="50"/>
    </row>
    <row r="58">
      <c r="A58" s="50" t="str">
        <f>Spieler!AD57</f>
        <v/>
      </c>
      <c r="B58" s="50">
        <f>Spieler!AB57</f>
        <v>52</v>
      </c>
      <c r="C58" s="2" t="str">
        <f>VLOOKUP(A58,Spieler!A:C,2,0)</f>
        <v>#N/A</v>
      </c>
      <c r="D58" s="2" t="str">
        <f>VLOOKUP(A58,Spieler!A:C,3,0)</f>
        <v>#N/A</v>
      </c>
      <c r="E58" s="2" t="str">
        <f>VLOOKUP(A58,Spieler!A:O,7,0)</f>
        <v>#N/A</v>
      </c>
      <c r="F58" s="2" t="str">
        <f>VLOOKUP(A58,Spieler!A:O,15,0)</f>
        <v>#N/A</v>
      </c>
      <c r="H58" s="50"/>
    </row>
    <row r="59">
      <c r="A59" s="50" t="str">
        <f>Spieler!AD58</f>
        <v/>
      </c>
      <c r="B59" s="50">
        <f>Spieler!AB58</f>
        <v>53</v>
      </c>
      <c r="C59" s="2" t="str">
        <f>VLOOKUP(A59,Spieler!A:C,2,0)</f>
        <v>#N/A</v>
      </c>
      <c r="D59" s="2" t="str">
        <f>VLOOKUP(A59,Spieler!A:C,3,0)</f>
        <v>#N/A</v>
      </c>
      <c r="E59" s="2" t="str">
        <f>VLOOKUP(A59,Spieler!A:O,7,0)</f>
        <v>#N/A</v>
      </c>
      <c r="F59" s="2" t="str">
        <f>VLOOKUP(A59,Spieler!A:O,15,0)</f>
        <v>#N/A</v>
      </c>
      <c r="H59" s="50"/>
    </row>
    <row r="60">
      <c r="A60" s="50" t="str">
        <f>Spieler!AD59</f>
        <v/>
      </c>
      <c r="B60" s="50">
        <f>Spieler!AB59</f>
        <v>54</v>
      </c>
      <c r="C60" s="2" t="str">
        <f>VLOOKUP(A60,Spieler!A:C,2,0)</f>
        <v>#N/A</v>
      </c>
      <c r="D60" s="2" t="str">
        <f>VLOOKUP(A60,Spieler!A:C,3,0)</f>
        <v>#N/A</v>
      </c>
      <c r="E60" s="2" t="str">
        <f>VLOOKUP(A60,Spieler!A:O,7,0)</f>
        <v>#N/A</v>
      </c>
      <c r="F60" s="2" t="str">
        <f>VLOOKUP(A60,Spieler!A:O,15,0)</f>
        <v>#N/A</v>
      </c>
      <c r="H60" s="50"/>
    </row>
    <row r="61">
      <c r="A61" s="50" t="str">
        <f>Spieler!AD60</f>
        <v/>
      </c>
      <c r="B61" s="50">
        <f>Spieler!AB60</f>
        <v>55</v>
      </c>
      <c r="C61" s="2" t="str">
        <f>VLOOKUP(A61,Spieler!A:C,2,0)</f>
        <v>#N/A</v>
      </c>
      <c r="D61" s="2" t="str">
        <f>VLOOKUP(A61,Spieler!A:C,3,0)</f>
        <v>#N/A</v>
      </c>
      <c r="E61" s="2" t="str">
        <f>VLOOKUP(A61,Spieler!A:O,7,0)</f>
        <v>#N/A</v>
      </c>
      <c r="F61" s="2" t="str">
        <f>VLOOKUP(A61,Spieler!A:O,15,0)</f>
        <v>#N/A</v>
      </c>
      <c r="H61" s="50"/>
    </row>
    <row r="62">
      <c r="A62" s="50" t="str">
        <f>Spieler!AD61</f>
        <v/>
      </c>
      <c r="B62" s="50">
        <f>Spieler!AB61</f>
        <v>56</v>
      </c>
      <c r="C62" s="2" t="str">
        <f>VLOOKUP(A62,Spieler!A:C,2,0)</f>
        <v>#N/A</v>
      </c>
      <c r="D62" s="2" t="str">
        <f>VLOOKUP(A62,Spieler!A:C,3,0)</f>
        <v>#N/A</v>
      </c>
      <c r="E62" s="2" t="str">
        <f>VLOOKUP(A62,Spieler!A:O,7,0)</f>
        <v>#N/A</v>
      </c>
      <c r="F62" s="2" t="str">
        <f>VLOOKUP(A62,Spieler!A:O,15,0)</f>
        <v>#N/A</v>
      </c>
      <c r="H62" s="50"/>
    </row>
    <row r="63">
      <c r="A63" s="50" t="str">
        <f>Spieler!AD62</f>
        <v/>
      </c>
      <c r="B63" s="50">
        <f>Spieler!AB62</f>
        <v>57</v>
      </c>
      <c r="C63" s="2" t="str">
        <f>VLOOKUP(A63,Spieler!A:C,2,0)</f>
        <v>#N/A</v>
      </c>
      <c r="D63" s="2" t="str">
        <f>VLOOKUP(A63,Spieler!A:C,3,0)</f>
        <v>#N/A</v>
      </c>
      <c r="E63" s="2" t="str">
        <f>VLOOKUP(A63,Spieler!A:O,7,0)</f>
        <v>#N/A</v>
      </c>
      <c r="F63" s="2" t="str">
        <f>VLOOKUP(A63,Spieler!A:O,15,0)</f>
        <v>#N/A</v>
      </c>
      <c r="H63" s="50"/>
    </row>
    <row r="64">
      <c r="A64" s="50" t="str">
        <f>Spieler!AD63</f>
        <v/>
      </c>
      <c r="B64" s="50">
        <f>Spieler!AB63</f>
        <v>58</v>
      </c>
      <c r="C64" s="2" t="str">
        <f>VLOOKUP(A64,Spieler!A:C,2,0)</f>
        <v>#N/A</v>
      </c>
      <c r="D64" s="2" t="str">
        <f>VLOOKUP(A64,Spieler!A:C,3,0)</f>
        <v>#N/A</v>
      </c>
      <c r="E64" s="2" t="str">
        <f>VLOOKUP(A64,Spieler!A:O,7,0)</f>
        <v>#N/A</v>
      </c>
      <c r="F64" s="2" t="str">
        <f>VLOOKUP(A64,Spieler!A:O,15,0)</f>
        <v>#N/A</v>
      </c>
      <c r="H64" s="50"/>
    </row>
    <row r="65">
      <c r="A65" s="50" t="str">
        <f>Spieler!AD64</f>
        <v/>
      </c>
      <c r="B65" s="50">
        <f>Spieler!AB64</f>
        <v>59</v>
      </c>
      <c r="C65" s="2" t="str">
        <f>VLOOKUP(A65,Spieler!A:C,2,0)</f>
        <v>#N/A</v>
      </c>
      <c r="D65" s="2" t="str">
        <f>VLOOKUP(A65,Spieler!A:C,3,0)</f>
        <v>#N/A</v>
      </c>
      <c r="E65" s="2" t="str">
        <f>VLOOKUP(A65,Spieler!A:O,7,0)</f>
        <v>#N/A</v>
      </c>
      <c r="F65" s="2" t="str">
        <f>VLOOKUP(A65,Spieler!A:O,15,0)</f>
        <v>#N/A</v>
      </c>
      <c r="H65" s="50"/>
    </row>
    <row r="66">
      <c r="A66" s="50" t="str">
        <f>Spieler!AD65</f>
        <v/>
      </c>
      <c r="B66" s="50">
        <f>Spieler!AB65</f>
        <v>60</v>
      </c>
      <c r="C66" s="2" t="str">
        <f>VLOOKUP(A66,Spieler!A:C,2,0)</f>
        <v>#N/A</v>
      </c>
      <c r="D66" s="2" t="str">
        <f>VLOOKUP(A66,Spieler!A:C,3,0)</f>
        <v>#N/A</v>
      </c>
      <c r="E66" s="2" t="str">
        <f>VLOOKUP(A66,Spieler!A:O,7,0)</f>
        <v>#N/A</v>
      </c>
      <c r="F66" s="2" t="str">
        <f>VLOOKUP(A66,Spieler!A:O,15,0)</f>
        <v>#N/A</v>
      </c>
      <c r="H66" s="50"/>
    </row>
    <row r="67">
      <c r="A67" s="50" t="str">
        <f>Spieler!AD66</f>
        <v/>
      </c>
      <c r="B67" s="50">
        <f>Spieler!AB66</f>
        <v>61</v>
      </c>
      <c r="C67" s="2" t="str">
        <f>VLOOKUP(A67,Spieler!A:C,2,0)</f>
        <v>#N/A</v>
      </c>
      <c r="D67" s="2" t="str">
        <f>VLOOKUP(A67,Spieler!A:C,3,0)</f>
        <v>#N/A</v>
      </c>
      <c r="E67" s="2" t="str">
        <f>VLOOKUP(A67,Spieler!A:O,7,0)</f>
        <v>#N/A</v>
      </c>
      <c r="F67" s="2" t="str">
        <f>VLOOKUP(A67,Spieler!A:O,15,0)</f>
        <v>#N/A</v>
      </c>
      <c r="H67" s="50"/>
    </row>
    <row r="68">
      <c r="A68" s="50" t="str">
        <f>Spieler!AD67</f>
        <v/>
      </c>
      <c r="B68" s="50">
        <f>Spieler!AB67</f>
        <v>62</v>
      </c>
      <c r="C68" s="2" t="str">
        <f>VLOOKUP(A68,Spieler!A:C,2,0)</f>
        <v>#N/A</v>
      </c>
      <c r="D68" s="2" t="str">
        <f>VLOOKUP(A68,Spieler!A:C,3,0)</f>
        <v>#N/A</v>
      </c>
      <c r="E68" s="2" t="str">
        <f>VLOOKUP(A68,Spieler!A:O,7,0)</f>
        <v>#N/A</v>
      </c>
      <c r="F68" s="2" t="str">
        <f>VLOOKUP(A68,Spieler!A:O,15,0)</f>
        <v>#N/A</v>
      </c>
      <c r="H68" s="50"/>
    </row>
    <row r="69">
      <c r="A69" s="50" t="str">
        <f>Spieler!AD68</f>
        <v/>
      </c>
      <c r="B69" s="50">
        <f>Spieler!AB68</f>
        <v>63</v>
      </c>
      <c r="C69" s="2" t="str">
        <f>VLOOKUP(A69,Spieler!A:C,2,0)</f>
        <v>#N/A</v>
      </c>
      <c r="D69" s="2" t="str">
        <f>VLOOKUP(A69,Spieler!A:C,3,0)</f>
        <v>#N/A</v>
      </c>
      <c r="E69" s="2" t="str">
        <f>VLOOKUP(A69,Spieler!A:O,7,0)</f>
        <v>#N/A</v>
      </c>
      <c r="F69" s="2" t="str">
        <f>VLOOKUP(A69,Spieler!A:O,15,0)</f>
        <v>#N/A</v>
      </c>
      <c r="H69" s="50"/>
    </row>
    <row r="70">
      <c r="A70" s="50" t="str">
        <f>Spieler!AD69</f>
        <v/>
      </c>
      <c r="B70" s="50">
        <f>Spieler!AB69</f>
        <v>64</v>
      </c>
      <c r="C70" s="2" t="str">
        <f>VLOOKUP(A70,Spieler!A:C,2,0)</f>
        <v>#N/A</v>
      </c>
      <c r="D70" s="2" t="str">
        <f>VLOOKUP(A70,Spieler!A:C,3,0)</f>
        <v>#N/A</v>
      </c>
      <c r="E70" s="2" t="str">
        <f>VLOOKUP(A70,Spieler!A:O,7,0)</f>
        <v>#N/A</v>
      </c>
      <c r="F70" s="2" t="str">
        <f>VLOOKUP(A70,Spieler!A:O,15,0)</f>
        <v>#N/A</v>
      </c>
      <c r="H70" s="50"/>
    </row>
    <row r="71">
      <c r="A71" s="50" t="str">
        <f>Spieler!AD70</f>
        <v/>
      </c>
      <c r="B71" s="50">
        <f>Spieler!AB70</f>
        <v>65</v>
      </c>
      <c r="C71" s="2" t="str">
        <f>VLOOKUP(A71,Spieler!A:C,2,0)</f>
        <v>#N/A</v>
      </c>
      <c r="D71" s="2" t="str">
        <f>VLOOKUP(A71,Spieler!A:C,3,0)</f>
        <v>#N/A</v>
      </c>
      <c r="E71" s="2" t="str">
        <f>VLOOKUP(A71,Spieler!A:O,7,0)</f>
        <v>#N/A</v>
      </c>
      <c r="F71" s="2" t="str">
        <f>VLOOKUP(A71,Spieler!A:O,15,0)</f>
        <v>#N/A</v>
      </c>
      <c r="H71" s="50"/>
    </row>
    <row r="72">
      <c r="A72" s="50" t="str">
        <f>Spieler!AD71</f>
        <v/>
      </c>
      <c r="B72" s="50">
        <f>Spieler!AB71</f>
        <v>66</v>
      </c>
      <c r="C72" s="2" t="str">
        <f>VLOOKUP(A72,Spieler!A:C,2,0)</f>
        <v>#N/A</v>
      </c>
      <c r="D72" s="2" t="str">
        <f>VLOOKUP(A72,Spieler!A:C,3,0)</f>
        <v>#N/A</v>
      </c>
      <c r="E72" s="2" t="str">
        <f>VLOOKUP(A72,Spieler!A:O,7,0)</f>
        <v>#N/A</v>
      </c>
      <c r="F72" s="2" t="str">
        <f>VLOOKUP(A72,Spieler!A:O,15,0)</f>
        <v>#N/A</v>
      </c>
      <c r="H72" s="50"/>
    </row>
    <row r="73">
      <c r="A73" s="50" t="str">
        <f>Spieler!AD72</f>
        <v/>
      </c>
      <c r="B73" s="50">
        <f>Spieler!AB72</f>
        <v>67</v>
      </c>
      <c r="C73" s="2" t="str">
        <f>VLOOKUP(A73,Spieler!A:C,2,0)</f>
        <v>#N/A</v>
      </c>
      <c r="D73" s="2" t="str">
        <f>VLOOKUP(A73,Spieler!A:C,3,0)</f>
        <v>#N/A</v>
      </c>
      <c r="E73" s="2" t="str">
        <f>VLOOKUP(A73,Spieler!A:O,7,0)</f>
        <v>#N/A</v>
      </c>
      <c r="F73" s="2" t="str">
        <f>VLOOKUP(A73,Spieler!A:O,15,0)</f>
        <v>#N/A</v>
      </c>
      <c r="H73" s="50"/>
    </row>
    <row r="74">
      <c r="A74" s="50" t="str">
        <f>Spieler!AD73</f>
        <v/>
      </c>
      <c r="B74" s="50">
        <f>Spieler!AB73</f>
        <v>68</v>
      </c>
      <c r="C74" s="2" t="str">
        <f>VLOOKUP(A74,Spieler!A:C,2,0)</f>
        <v>#N/A</v>
      </c>
      <c r="D74" s="2" t="str">
        <f>VLOOKUP(A74,Spieler!A:C,3,0)</f>
        <v>#N/A</v>
      </c>
      <c r="E74" s="2" t="str">
        <f>VLOOKUP(A74,Spieler!A:O,7,0)</f>
        <v>#N/A</v>
      </c>
      <c r="F74" s="2" t="str">
        <f>VLOOKUP(A74,Spieler!A:O,15,0)</f>
        <v>#N/A</v>
      </c>
      <c r="H74" s="50"/>
    </row>
    <row r="75">
      <c r="A75" s="50" t="str">
        <f>Spieler!AD74</f>
        <v/>
      </c>
      <c r="B75" s="50">
        <f>Spieler!AB74</f>
        <v>69</v>
      </c>
      <c r="C75" s="2" t="str">
        <f>VLOOKUP(A75,Spieler!A:C,2,0)</f>
        <v>#N/A</v>
      </c>
      <c r="D75" s="2" t="str">
        <f>VLOOKUP(A75,Spieler!A:C,3,0)</f>
        <v>#N/A</v>
      </c>
      <c r="E75" s="2" t="str">
        <f>VLOOKUP(A75,Spieler!A:O,7,0)</f>
        <v>#N/A</v>
      </c>
      <c r="F75" s="2" t="str">
        <f>VLOOKUP(A75,Spieler!A:O,15,0)</f>
        <v>#N/A</v>
      </c>
      <c r="H75" s="50"/>
    </row>
    <row r="76">
      <c r="A76" s="50" t="str">
        <f>Spieler!AD75</f>
        <v/>
      </c>
      <c r="B76" s="50">
        <f>Spieler!AB75</f>
        <v>70</v>
      </c>
      <c r="C76" s="2" t="str">
        <f>VLOOKUP(A76,Spieler!A:C,2,0)</f>
        <v>#N/A</v>
      </c>
      <c r="D76" s="2" t="str">
        <f>VLOOKUP(A76,Spieler!A:C,3,0)</f>
        <v>#N/A</v>
      </c>
      <c r="E76" s="2" t="str">
        <f>VLOOKUP(A76,Spieler!A:O,7,0)</f>
        <v>#N/A</v>
      </c>
      <c r="F76" s="2" t="str">
        <f>VLOOKUP(A76,Spieler!A:O,15,0)</f>
        <v>#N/A</v>
      </c>
      <c r="H76" s="50"/>
    </row>
    <row r="77">
      <c r="A77" s="50" t="str">
        <f>Spieler!AD76</f>
        <v/>
      </c>
      <c r="B77" s="50">
        <f>Spieler!AB76</f>
        <v>71</v>
      </c>
      <c r="C77" s="2" t="str">
        <f>VLOOKUP(A77,Spieler!A:C,2,0)</f>
        <v>#N/A</v>
      </c>
      <c r="D77" s="2" t="str">
        <f>VLOOKUP(A77,Spieler!A:C,3,0)</f>
        <v>#N/A</v>
      </c>
      <c r="E77" s="2" t="str">
        <f>VLOOKUP(A77,Spieler!A:O,7,0)</f>
        <v>#N/A</v>
      </c>
      <c r="F77" s="2" t="str">
        <f>VLOOKUP(A77,Spieler!A:O,15,0)</f>
        <v>#N/A</v>
      </c>
      <c r="H77" s="50"/>
    </row>
    <row r="78">
      <c r="A78" s="50" t="str">
        <f>Spieler!AD77</f>
        <v/>
      </c>
      <c r="B78" s="50">
        <f>Spieler!AB77</f>
        <v>72</v>
      </c>
      <c r="C78" s="2" t="str">
        <f>VLOOKUP(A78,Spieler!A:C,2,0)</f>
        <v>#N/A</v>
      </c>
      <c r="D78" s="2" t="str">
        <f>VLOOKUP(A78,Spieler!A:C,3,0)</f>
        <v>#N/A</v>
      </c>
      <c r="E78" s="2" t="str">
        <f>VLOOKUP(A78,Spieler!A:O,7,0)</f>
        <v>#N/A</v>
      </c>
      <c r="F78" s="2" t="str">
        <f>VLOOKUP(A78,Spieler!A:O,15,0)</f>
        <v>#N/A</v>
      </c>
      <c r="H78" s="50"/>
    </row>
    <row r="79">
      <c r="A79" s="50" t="str">
        <f>Spieler!AD78</f>
        <v/>
      </c>
      <c r="B79" s="50">
        <f>Spieler!AB78</f>
        <v>73</v>
      </c>
      <c r="C79" s="2" t="str">
        <f>VLOOKUP(A79,Spieler!A:C,2,0)</f>
        <v>#N/A</v>
      </c>
      <c r="D79" s="2" t="str">
        <f>VLOOKUP(A79,Spieler!A:C,3,0)</f>
        <v>#N/A</v>
      </c>
      <c r="E79" s="2" t="str">
        <f>VLOOKUP(A79,Spieler!A:O,7,0)</f>
        <v>#N/A</v>
      </c>
      <c r="F79" s="2" t="str">
        <f>VLOOKUP(A79,Spieler!A:O,15,0)</f>
        <v>#N/A</v>
      </c>
      <c r="H79" s="50"/>
    </row>
    <row r="80">
      <c r="A80" s="50" t="str">
        <f>Spieler!AD79</f>
        <v/>
      </c>
      <c r="B80" s="50">
        <f>Spieler!AB79</f>
        <v>74</v>
      </c>
      <c r="C80" s="2" t="str">
        <f>VLOOKUP(A80,Spieler!A:C,2,0)</f>
        <v>#N/A</v>
      </c>
      <c r="D80" s="2" t="str">
        <f>VLOOKUP(A80,Spieler!A:C,3,0)</f>
        <v>#N/A</v>
      </c>
      <c r="E80" s="2" t="str">
        <f>VLOOKUP(A80,Spieler!A:O,7,0)</f>
        <v>#N/A</v>
      </c>
      <c r="F80" s="2" t="str">
        <f>VLOOKUP(A80,Spieler!A:O,15,0)</f>
        <v>#N/A</v>
      </c>
      <c r="H80" s="50"/>
    </row>
    <row r="81">
      <c r="A81" s="50" t="str">
        <f>Spieler!AD80</f>
        <v/>
      </c>
      <c r="B81" s="50">
        <f>Spieler!AB80</f>
        <v>75</v>
      </c>
      <c r="C81" s="2" t="str">
        <f>VLOOKUP(A81,Spieler!A:C,2,0)</f>
        <v>#N/A</v>
      </c>
      <c r="D81" s="2" t="str">
        <f>VLOOKUP(A81,Spieler!A:C,3,0)</f>
        <v>#N/A</v>
      </c>
      <c r="E81" s="2" t="str">
        <f>VLOOKUP(A81,Spieler!A:O,7,0)</f>
        <v>#N/A</v>
      </c>
      <c r="F81" s="2" t="str">
        <f>VLOOKUP(A81,Spieler!A:O,15,0)</f>
        <v>#N/A</v>
      </c>
      <c r="H81" s="50"/>
    </row>
    <row r="82">
      <c r="A82" s="50" t="str">
        <f>Spieler!AD81</f>
        <v/>
      </c>
      <c r="B82" s="50">
        <f>Spieler!AB81</f>
        <v>76</v>
      </c>
      <c r="C82" s="2" t="str">
        <f>VLOOKUP(A82,Spieler!A:C,2,0)</f>
        <v>#N/A</v>
      </c>
      <c r="D82" s="2" t="str">
        <f>VLOOKUP(A82,Spieler!A:C,3,0)</f>
        <v>#N/A</v>
      </c>
      <c r="E82" s="2" t="str">
        <f>VLOOKUP(A82,Spieler!A:O,7,0)</f>
        <v>#N/A</v>
      </c>
      <c r="F82" s="2" t="str">
        <f>VLOOKUP(A82,Spieler!A:O,15,0)</f>
        <v>#N/A</v>
      </c>
      <c r="H82" s="50"/>
    </row>
    <row r="83">
      <c r="A83" s="50" t="str">
        <f>Spieler!AD82</f>
        <v/>
      </c>
      <c r="B83" s="50">
        <f>Spieler!AB82</f>
        <v>77</v>
      </c>
      <c r="C83" s="2" t="str">
        <f>VLOOKUP(A83,Spieler!A:C,2,0)</f>
        <v>#N/A</v>
      </c>
      <c r="D83" s="2" t="str">
        <f>VLOOKUP(A83,Spieler!A:C,3,0)</f>
        <v>#N/A</v>
      </c>
      <c r="E83" s="2" t="str">
        <f>VLOOKUP(A83,Spieler!A:O,7,0)</f>
        <v>#N/A</v>
      </c>
      <c r="F83" s="2" t="str">
        <f>VLOOKUP(A83,Spieler!A:O,15,0)</f>
        <v>#N/A</v>
      </c>
      <c r="H83" s="50"/>
    </row>
    <row r="84">
      <c r="A84" s="50" t="str">
        <f>Spieler!AD83</f>
        <v/>
      </c>
      <c r="B84" s="50">
        <f>Spieler!AB83</f>
        <v>78</v>
      </c>
      <c r="C84" s="2" t="str">
        <f>VLOOKUP(A84,Spieler!A:C,2,0)</f>
        <v>#N/A</v>
      </c>
      <c r="D84" s="2" t="str">
        <f>VLOOKUP(A84,Spieler!A:C,3,0)</f>
        <v>#N/A</v>
      </c>
      <c r="E84" s="2" t="str">
        <f>VLOOKUP(A84,Spieler!A:O,7,0)</f>
        <v>#N/A</v>
      </c>
      <c r="F84" s="2" t="str">
        <f>VLOOKUP(A84,Spieler!A:O,15,0)</f>
        <v>#N/A</v>
      </c>
      <c r="H84" s="50"/>
    </row>
    <row r="85">
      <c r="A85" s="50" t="str">
        <f>Spieler!AD84</f>
        <v/>
      </c>
      <c r="B85" s="50">
        <f>Spieler!AB84</f>
        <v>79</v>
      </c>
      <c r="C85" s="2" t="str">
        <f>VLOOKUP(A85,Spieler!A:C,2,0)</f>
        <v>#N/A</v>
      </c>
      <c r="D85" s="2" t="str">
        <f>VLOOKUP(A85,Spieler!A:C,3,0)</f>
        <v>#N/A</v>
      </c>
      <c r="E85" s="2" t="str">
        <f>VLOOKUP(A85,Spieler!A:O,7,0)</f>
        <v>#N/A</v>
      </c>
      <c r="F85" s="2" t="str">
        <f>VLOOKUP(A85,Spieler!A:O,15,0)</f>
        <v>#N/A</v>
      </c>
      <c r="H85" s="50"/>
    </row>
    <row r="86">
      <c r="A86" s="50" t="str">
        <f>Spieler!AD85</f>
        <v/>
      </c>
      <c r="B86" s="50">
        <f>Spieler!AB85</f>
        <v>80</v>
      </c>
      <c r="C86" s="2" t="str">
        <f>VLOOKUP(A86,Spieler!A:C,2,0)</f>
        <v>#N/A</v>
      </c>
      <c r="D86" s="2" t="str">
        <f>VLOOKUP(A86,Spieler!A:C,3,0)</f>
        <v>#N/A</v>
      </c>
      <c r="E86" s="2" t="str">
        <f>VLOOKUP(A86,Spieler!A:O,7,0)</f>
        <v>#N/A</v>
      </c>
      <c r="F86" s="2" t="str">
        <f>VLOOKUP(A86,Spieler!A:O,15,0)</f>
        <v>#N/A</v>
      </c>
      <c r="H86" s="50"/>
    </row>
    <row r="87">
      <c r="A87" s="50" t="str">
        <f>Spieler!AD86</f>
        <v/>
      </c>
      <c r="B87" s="50">
        <f>Spieler!AB86</f>
        <v>81</v>
      </c>
      <c r="C87" s="2" t="str">
        <f>VLOOKUP(A87,Spieler!A:C,2,0)</f>
        <v>#N/A</v>
      </c>
      <c r="D87" s="2" t="str">
        <f>VLOOKUP(A87,Spieler!A:C,3,0)</f>
        <v>#N/A</v>
      </c>
      <c r="E87" s="2" t="str">
        <f>VLOOKUP(A87,Spieler!A:O,7,0)</f>
        <v>#N/A</v>
      </c>
      <c r="F87" s="2" t="str">
        <f>VLOOKUP(A87,Spieler!A:O,15,0)</f>
        <v>#N/A</v>
      </c>
      <c r="H87" s="50"/>
    </row>
    <row r="88">
      <c r="A88" s="50" t="str">
        <f>Spieler!AD87</f>
        <v/>
      </c>
      <c r="B88" s="50">
        <f>Spieler!AB87</f>
        <v>82</v>
      </c>
      <c r="C88" s="2" t="str">
        <f>VLOOKUP(A88,Spieler!A:C,2,0)</f>
        <v>#N/A</v>
      </c>
      <c r="D88" s="2" t="str">
        <f>VLOOKUP(A88,Spieler!A:C,3,0)</f>
        <v>#N/A</v>
      </c>
      <c r="E88" s="2" t="str">
        <f>VLOOKUP(A88,Spieler!A:O,7,0)</f>
        <v>#N/A</v>
      </c>
      <c r="F88" s="2" t="str">
        <f>VLOOKUP(A88,Spieler!A:O,15,0)</f>
        <v>#N/A</v>
      </c>
      <c r="H88" s="50"/>
    </row>
    <row r="89">
      <c r="A89" s="50" t="str">
        <f>Spieler!AD88</f>
        <v/>
      </c>
      <c r="B89" s="50">
        <f>Spieler!AB88</f>
        <v>83</v>
      </c>
      <c r="C89" s="2" t="str">
        <f>VLOOKUP(A89,Spieler!A:C,2,0)</f>
        <v>#N/A</v>
      </c>
      <c r="D89" s="2" t="str">
        <f>VLOOKUP(A89,Spieler!A:C,3,0)</f>
        <v>#N/A</v>
      </c>
      <c r="E89" s="2" t="str">
        <f>VLOOKUP(A89,Spieler!A:O,7,0)</f>
        <v>#N/A</v>
      </c>
      <c r="F89" s="2" t="str">
        <f>VLOOKUP(A89,Spieler!A:O,15,0)</f>
        <v>#N/A</v>
      </c>
      <c r="H89" s="50"/>
    </row>
    <row r="90">
      <c r="A90" s="50" t="str">
        <f>Spieler!AD89</f>
        <v/>
      </c>
      <c r="B90" s="50">
        <f>Spieler!AB89</f>
        <v>84</v>
      </c>
      <c r="C90" s="2" t="str">
        <f>VLOOKUP(A90,Spieler!A:C,2,0)</f>
        <v>#N/A</v>
      </c>
      <c r="D90" s="2" t="str">
        <f>VLOOKUP(A90,Spieler!A:C,3,0)</f>
        <v>#N/A</v>
      </c>
      <c r="E90" s="2" t="str">
        <f>VLOOKUP(A90,Spieler!A:O,7,0)</f>
        <v>#N/A</v>
      </c>
      <c r="F90" s="2" t="str">
        <f>VLOOKUP(A90,Spieler!A:O,15,0)</f>
        <v>#N/A</v>
      </c>
      <c r="H90" s="50"/>
    </row>
    <row r="91">
      <c r="A91" s="50" t="str">
        <f>Spieler!AD90</f>
        <v/>
      </c>
      <c r="B91" s="50">
        <f>Spieler!AB90</f>
        <v>85</v>
      </c>
      <c r="C91" s="2" t="str">
        <f>VLOOKUP(A91,Spieler!A:C,2,0)</f>
        <v>#N/A</v>
      </c>
      <c r="D91" s="2" t="str">
        <f>VLOOKUP(A91,Spieler!A:C,3,0)</f>
        <v>#N/A</v>
      </c>
      <c r="E91" s="2" t="str">
        <f>VLOOKUP(A91,Spieler!A:O,7,0)</f>
        <v>#N/A</v>
      </c>
      <c r="F91" s="2" t="str">
        <f>VLOOKUP(A91,Spieler!A:O,15,0)</f>
        <v>#N/A</v>
      </c>
      <c r="H91" s="50"/>
    </row>
    <row r="92">
      <c r="A92" s="50" t="str">
        <f>Spieler!AD91</f>
        <v/>
      </c>
      <c r="B92" s="50">
        <f>Spieler!AB91</f>
        <v>86</v>
      </c>
      <c r="C92" s="2" t="str">
        <f>VLOOKUP(A92,Spieler!A:C,2,0)</f>
        <v>#N/A</v>
      </c>
      <c r="D92" s="2" t="str">
        <f>VLOOKUP(A92,Spieler!A:C,3,0)</f>
        <v>#N/A</v>
      </c>
      <c r="E92" s="2" t="str">
        <f>VLOOKUP(A92,Spieler!A:O,7,0)</f>
        <v>#N/A</v>
      </c>
      <c r="F92" s="2" t="str">
        <f>VLOOKUP(A92,Spieler!A:O,15,0)</f>
        <v>#N/A</v>
      </c>
      <c r="H92" s="50"/>
    </row>
    <row r="93">
      <c r="A93" s="50" t="str">
        <f>Spieler!AD92</f>
        <v/>
      </c>
      <c r="B93" s="50">
        <f>Spieler!AB92</f>
        <v>87</v>
      </c>
      <c r="C93" s="2" t="str">
        <f>VLOOKUP(A93,Spieler!A:C,2,0)</f>
        <v>#N/A</v>
      </c>
      <c r="D93" s="2" t="str">
        <f>VLOOKUP(A93,Spieler!A:C,3,0)</f>
        <v>#N/A</v>
      </c>
      <c r="E93" s="2" t="str">
        <f>VLOOKUP(A93,Spieler!A:O,7,0)</f>
        <v>#N/A</v>
      </c>
      <c r="F93" s="2" t="str">
        <f>VLOOKUP(A93,Spieler!A:O,15,0)</f>
        <v>#N/A</v>
      </c>
      <c r="H93" s="50"/>
    </row>
    <row r="94">
      <c r="A94" s="50" t="str">
        <f>Spieler!AD93</f>
        <v/>
      </c>
      <c r="B94" s="50">
        <f>Spieler!AB93</f>
        <v>88</v>
      </c>
      <c r="C94" s="2" t="str">
        <f>VLOOKUP(A94,Spieler!A:C,2,0)</f>
        <v>#N/A</v>
      </c>
      <c r="D94" s="2" t="str">
        <f>VLOOKUP(A94,Spieler!A:C,3,0)</f>
        <v>#N/A</v>
      </c>
      <c r="E94" s="2" t="str">
        <f>VLOOKUP(A94,Spieler!A:O,7,0)</f>
        <v>#N/A</v>
      </c>
      <c r="F94" s="2" t="str">
        <f>VLOOKUP(A94,Spieler!A:O,15,0)</f>
        <v>#N/A</v>
      </c>
      <c r="H94" s="50"/>
    </row>
    <row r="95">
      <c r="A95" s="50" t="str">
        <f>Spieler!AD94</f>
        <v/>
      </c>
      <c r="B95" s="50">
        <f>Spieler!AB94</f>
        <v>89</v>
      </c>
      <c r="C95" s="2" t="str">
        <f>VLOOKUP(A95,Spieler!A:C,2,0)</f>
        <v>#N/A</v>
      </c>
      <c r="D95" s="2" t="str">
        <f>VLOOKUP(A95,Spieler!A:C,3,0)</f>
        <v>#N/A</v>
      </c>
      <c r="E95" s="2" t="str">
        <f>VLOOKUP(A95,Spieler!A:O,7,0)</f>
        <v>#N/A</v>
      </c>
      <c r="F95" s="2" t="str">
        <f>VLOOKUP(A95,Spieler!A:O,15,0)</f>
        <v>#N/A</v>
      </c>
      <c r="H95" s="50"/>
    </row>
    <row r="96">
      <c r="A96" s="50" t="str">
        <f>Spieler!AD95</f>
        <v/>
      </c>
      <c r="B96" s="50">
        <f>Spieler!AB95</f>
        <v>90</v>
      </c>
      <c r="C96" s="2" t="str">
        <f>VLOOKUP(A96,Spieler!A:C,2,0)</f>
        <v>#N/A</v>
      </c>
      <c r="D96" s="2" t="str">
        <f>VLOOKUP(A96,Spieler!A:C,3,0)</f>
        <v>#N/A</v>
      </c>
      <c r="E96" s="2" t="str">
        <f>VLOOKUP(A96,Spieler!A:O,7,0)</f>
        <v>#N/A</v>
      </c>
      <c r="F96" s="2" t="str">
        <f>VLOOKUP(A96,Spieler!A:O,15,0)</f>
        <v>#N/A</v>
      </c>
      <c r="H96" s="50"/>
    </row>
    <row r="97">
      <c r="A97" s="50" t="str">
        <f>Spieler!AD96</f>
        <v/>
      </c>
      <c r="B97" s="50">
        <f>Spieler!AB96</f>
        <v>91</v>
      </c>
      <c r="C97" s="2" t="str">
        <f>VLOOKUP(A97,Spieler!A:C,2,0)</f>
        <v>#N/A</v>
      </c>
      <c r="D97" s="2" t="str">
        <f>VLOOKUP(A97,Spieler!A:C,3,0)</f>
        <v>#N/A</v>
      </c>
      <c r="E97" s="2" t="str">
        <f>VLOOKUP(A97,Spieler!A:O,7,0)</f>
        <v>#N/A</v>
      </c>
      <c r="F97" s="2" t="str">
        <f>VLOOKUP(A97,Spieler!A:O,15,0)</f>
        <v>#N/A</v>
      </c>
      <c r="H97" s="50"/>
    </row>
    <row r="98">
      <c r="A98" s="50" t="str">
        <f>Spieler!AD97</f>
        <v/>
      </c>
      <c r="B98" s="50">
        <f>Spieler!AB97</f>
        <v>92</v>
      </c>
      <c r="C98" s="2" t="str">
        <f>VLOOKUP(A98,Spieler!A:C,2,0)</f>
        <v>#N/A</v>
      </c>
      <c r="D98" s="2" t="str">
        <f>VLOOKUP(A98,Spieler!A:C,3,0)</f>
        <v>#N/A</v>
      </c>
      <c r="E98" s="2" t="str">
        <f>VLOOKUP(A98,Spieler!A:O,7,0)</f>
        <v>#N/A</v>
      </c>
      <c r="F98" s="2" t="str">
        <f>VLOOKUP(A98,Spieler!A:O,15,0)</f>
        <v>#N/A</v>
      </c>
      <c r="H98" s="50"/>
    </row>
    <row r="99">
      <c r="A99" s="50" t="str">
        <f>Spieler!AD98</f>
        <v/>
      </c>
      <c r="B99" s="50">
        <f>Spieler!AB98</f>
        <v>93</v>
      </c>
      <c r="C99" s="2" t="str">
        <f>VLOOKUP(A99,Spieler!A:C,2,0)</f>
        <v>#N/A</v>
      </c>
      <c r="D99" s="2" t="str">
        <f>VLOOKUP(A99,Spieler!A:C,3,0)</f>
        <v>#N/A</v>
      </c>
      <c r="E99" s="2" t="str">
        <f>VLOOKUP(A99,Spieler!A:O,7,0)</f>
        <v>#N/A</v>
      </c>
      <c r="F99" s="2" t="str">
        <f>VLOOKUP(A99,Spieler!A:O,15,0)</f>
        <v>#N/A</v>
      </c>
      <c r="H99" s="50"/>
    </row>
    <row r="100">
      <c r="A100" s="50" t="str">
        <f>Spieler!AD99</f>
        <v/>
      </c>
      <c r="B100" s="50">
        <f>Spieler!AB99</f>
        <v>94</v>
      </c>
      <c r="C100" s="2" t="str">
        <f>VLOOKUP(A100,Spieler!A:C,2,0)</f>
        <v>#N/A</v>
      </c>
      <c r="D100" s="2" t="str">
        <f>VLOOKUP(A100,Spieler!A:C,3,0)</f>
        <v>#N/A</v>
      </c>
      <c r="E100" s="2" t="str">
        <f>VLOOKUP(A100,Spieler!A:O,7,0)</f>
        <v>#N/A</v>
      </c>
      <c r="F100" s="2" t="str">
        <f>VLOOKUP(A100,Spieler!A:O,15,0)</f>
        <v>#N/A</v>
      </c>
      <c r="H100" s="50"/>
    </row>
    <row r="101">
      <c r="A101" s="50" t="str">
        <f>Spieler!AD100</f>
        <v/>
      </c>
      <c r="B101" s="50">
        <f>Spieler!AB100</f>
        <v>95</v>
      </c>
      <c r="C101" s="2" t="str">
        <f>VLOOKUP(A101,Spieler!A:C,2,0)</f>
        <v>#N/A</v>
      </c>
      <c r="D101" s="2" t="str">
        <f>VLOOKUP(A101,Spieler!A:C,3,0)</f>
        <v>#N/A</v>
      </c>
      <c r="E101" s="2" t="str">
        <f>VLOOKUP(A101,Spieler!A:O,7,0)</f>
        <v>#N/A</v>
      </c>
      <c r="F101" s="2" t="str">
        <f>VLOOKUP(A101,Spieler!A:O,15,0)</f>
        <v>#N/A</v>
      </c>
      <c r="H101" s="50"/>
    </row>
    <row r="102">
      <c r="A102" s="50" t="str">
        <f>Spieler!AD101</f>
        <v/>
      </c>
      <c r="B102" s="50">
        <f>Spieler!AB101</f>
        <v>96</v>
      </c>
      <c r="C102" s="2" t="str">
        <f>VLOOKUP(A102,Spieler!A:C,2,0)</f>
        <v>#N/A</v>
      </c>
      <c r="D102" s="2" t="str">
        <f>VLOOKUP(A102,Spieler!A:C,3,0)</f>
        <v>#N/A</v>
      </c>
      <c r="E102" s="2" t="str">
        <f>VLOOKUP(A102,Spieler!A:O,7,0)</f>
        <v>#N/A</v>
      </c>
      <c r="F102" s="2" t="str">
        <f>VLOOKUP(A102,Spieler!A:O,15,0)</f>
        <v>#N/A</v>
      </c>
      <c r="H102" s="50"/>
    </row>
    <row r="103">
      <c r="A103" s="50" t="str">
        <f>Spieler!AD102</f>
        <v/>
      </c>
      <c r="B103" s="50">
        <f>Spieler!AB102</f>
        <v>97</v>
      </c>
      <c r="C103" s="2" t="str">
        <f>VLOOKUP(A103,Spieler!A:C,2,0)</f>
        <v>#N/A</v>
      </c>
      <c r="D103" s="2" t="str">
        <f>VLOOKUP(A103,Spieler!A:C,3,0)</f>
        <v>#N/A</v>
      </c>
      <c r="E103" s="2" t="str">
        <f>VLOOKUP(A103,Spieler!A:O,7,0)</f>
        <v>#N/A</v>
      </c>
      <c r="F103" s="2" t="str">
        <f>VLOOKUP(A103,Spieler!A:O,15,0)</f>
        <v>#N/A</v>
      </c>
      <c r="H103" s="50"/>
    </row>
    <row r="104">
      <c r="A104" s="50" t="str">
        <f>Spieler!AD103</f>
        <v/>
      </c>
      <c r="B104" s="50">
        <f>Spieler!AB103</f>
        <v>98</v>
      </c>
      <c r="C104" s="2" t="str">
        <f>VLOOKUP(A104,Spieler!A:C,2,0)</f>
        <v>#N/A</v>
      </c>
      <c r="D104" s="2" t="str">
        <f>VLOOKUP(A104,Spieler!A:C,3,0)</f>
        <v>#N/A</v>
      </c>
      <c r="E104" s="2" t="str">
        <f>VLOOKUP(A104,Spieler!A:O,7,0)</f>
        <v>#N/A</v>
      </c>
      <c r="F104" s="2" t="str">
        <f>VLOOKUP(A104,Spieler!A:O,15,0)</f>
        <v>#N/A</v>
      </c>
      <c r="H104" s="50"/>
    </row>
    <row r="105">
      <c r="A105" s="50" t="str">
        <f>Spieler!AD104</f>
        <v/>
      </c>
      <c r="B105" s="50">
        <f>Spieler!AB104</f>
        <v>99</v>
      </c>
      <c r="C105" s="2" t="str">
        <f>VLOOKUP(A105,Spieler!A:C,2,0)</f>
        <v>#N/A</v>
      </c>
      <c r="D105" s="2" t="str">
        <f>VLOOKUP(A105,Spieler!A:C,3,0)</f>
        <v>#N/A</v>
      </c>
      <c r="E105" s="2" t="str">
        <f>VLOOKUP(A105,Spieler!A:O,7,0)</f>
        <v>#N/A</v>
      </c>
      <c r="F105" s="2" t="str">
        <f>VLOOKUP(A105,Spieler!A:O,15,0)</f>
        <v>#N/A</v>
      </c>
      <c r="H105" s="50"/>
    </row>
    <row r="106">
      <c r="A106" s="50" t="str">
        <f>Spieler!AD105</f>
        <v/>
      </c>
      <c r="B106" s="50">
        <f>Spieler!AB105</f>
        <v>100</v>
      </c>
      <c r="C106" s="2" t="str">
        <f>VLOOKUP(A106,Spieler!A:C,2,0)</f>
        <v>#N/A</v>
      </c>
      <c r="D106" s="2" t="str">
        <f>VLOOKUP(A106,Spieler!A:C,3,0)</f>
        <v>#N/A</v>
      </c>
      <c r="E106" s="2" t="str">
        <f>VLOOKUP(A106,Spieler!A:O,7,0)</f>
        <v>#N/A</v>
      </c>
      <c r="F106" s="2" t="str">
        <f>VLOOKUP(A106,Spieler!A:O,15,0)</f>
        <v>#N/A</v>
      </c>
      <c r="H106" s="50"/>
    </row>
    <row r="107">
      <c r="A107" s="50" t="str">
        <f>Spieler!AD106</f>
        <v/>
      </c>
      <c r="B107" s="50">
        <f>Spieler!AB106</f>
        <v>101</v>
      </c>
      <c r="C107" s="2" t="str">
        <f>VLOOKUP(A107,Spieler!A:C,2,0)</f>
        <v>#N/A</v>
      </c>
      <c r="D107" s="2" t="str">
        <f>VLOOKUP(A107,Spieler!A:C,3,0)</f>
        <v>#N/A</v>
      </c>
      <c r="E107" s="2" t="str">
        <f>VLOOKUP(A107,Spieler!A:O,7,0)</f>
        <v>#N/A</v>
      </c>
      <c r="F107" s="2" t="str">
        <f>VLOOKUP(A107,Spieler!A:O,15,0)</f>
        <v>#N/A</v>
      </c>
      <c r="H107" s="50"/>
    </row>
    <row r="108">
      <c r="A108" s="50" t="str">
        <f>Spieler!AD107</f>
        <v/>
      </c>
      <c r="B108" s="50">
        <f>Spieler!AB107</f>
        <v>102</v>
      </c>
      <c r="C108" s="2" t="str">
        <f>VLOOKUP(A108,Spieler!A:C,2,0)</f>
        <v>#N/A</v>
      </c>
      <c r="D108" s="2" t="str">
        <f>VLOOKUP(A108,Spieler!A:C,3,0)</f>
        <v>#N/A</v>
      </c>
      <c r="E108" s="2" t="str">
        <f>VLOOKUP(A108,Spieler!A:O,7,0)</f>
        <v>#N/A</v>
      </c>
      <c r="F108" s="2" t="str">
        <f>VLOOKUP(A108,Spieler!A:O,15,0)</f>
        <v>#N/A</v>
      </c>
      <c r="H108" s="50"/>
    </row>
    <row r="109">
      <c r="A109" s="50" t="str">
        <f>Spieler!AD108</f>
        <v/>
      </c>
      <c r="B109" s="50">
        <f>Spieler!AB108</f>
        <v>103</v>
      </c>
      <c r="C109" s="2" t="str">
        <f>VLOOKUP(A109,Spieler!A:C,2,0)</f>
        <v>#N/A</v>
      </c>
      <c r="D109" s="2" t="str">
        <f>VLOOKUP(A109,Spieler!A:C,3,0)</f>
        <v>#N/A</v>
      </c>
      <c r="E109" s="2" t="str">
        <f>VLOOKUP(A109,Spieler!A:O,7,0)</f>
        <v>#N/A</v>
      </c>
      <c r="F109" s="2" t="str">
        <f>VLOOKUP(A109,Spieler!A:O,15,0)</f>
        <v>#N/A</v>
      </c>
      <c r="H109" s="50"/>
    </row>
    <row r="110">
      <c r="A110" s="50" t="str">
        <f>Spieler!AD109</f>
        <v/>
      </c>
      <c r="B110" s="50">
        <f>Spieler!AB109</f>
        <v>104</v>
      </c>
      <c r="C110" s="2" t="str">
        <f>VLOOKUP(A110,Spieler!A:C,2,0)</f>
        <v>#N/A</v>
      </c>
      <c r="D110" s="2" t="str">
        <f>VLOOKUP(A110,Spieler!A:C,3,0)</f>
        <v>#N/A</v>
      </c>
      <c r="E110" s="2" t="str">
        <f>VLOOKUP(A110,Spieler!A:O,7,0)</f>
        <v>#N/A</v>
      </c>
      <c r="F110" s="2" t="str">
        <f>VLOOKUP(A110,Spieler!A:O,15,0)</f>
        <v>#N/A</v>
      </c>
      <c r="H110" s="50"/>
    </row>
    <row r="111">
      <c r="A111" s="50" t="str">
        <f>Spieler!AD110</f>
        <v/>
      </c>
      <c r="B111" s="50">
        <f>Spieler!AB110</f>
        <v>105</v>
      </c>
      <c r="C111" s="2" t="str">
        <f>VLOOKUP(A111,Spieler!A:C,2,0)</f>
        <v>#N/A</v>
      </c>
      <c r="D111" s="2" t="str">
        <f>VLOOKUP(A111,Spieler!A:C,3,0)</f>
        <v>#N/A</v>
      </c>
      <c r="E111" s="2" t="str">
        <f>VLOOKUP(A111,Spieler!A:O,7,0)</f>
        <v>#N/A</v>
      </c>
      <c r="F111" s="2" t="str">
        <f>VLOOKUP(A111,Spieler!A:O,15,0)</f>
        <v>#N/A</v>
      </c>
      <c r="H111" s="50"/>
    </row>
    <row r="112">
      <c r="A112" s="50" t="str">
        <f>Spieler!AD111</f>
        <v/>
      </c>
      <c r="B112" s="50">
        <f>Spieler!AB111</f>
        <v>106</v>
      </c>
      <c r="C112" s="2" t="str">
        <f>VLOOKUP(A112,Spieler!A:C,2,0)</f>
        <v>#N/A</v>
      </c>
      <c r="D112" s="2" t="str">
        <f>VLOOKUP(A112,Spieler!A:C,3,0)</f>
        <v>#N/A</v>
      </c>
      <c r="E112" s="2" t="str">
        <f>VLOOKUP(A112,Spieler!A:O,7,0)</f>
        <v>#N/A</v>
      </c>
      <c r="F112" s="2" t="str">
        <f>VLOOKUP(A112,Spieler!A:O,15,0)</f>
        <v>#N/A</v>
      </c>
      <c r="H112" s="50"/>
    </row>
    <row r="113">
      <c r="A113" s="50" t="str">
        <f>Spieler!AD112</f>
        <v/>
      </c>
      <c r="B113" s="50">
        <f>Spieler!AB112</f>
        <v>107</v>
      </c>
      <c r="C113" s="2" t="str">
        <f>VLOOKUP(A113,Spieler!A:C,2,0)</f>
        <v>#N/A</v>
      </c>
      <c r="D113" s="2" t="str">
        <f>VLOOKUP(A113,Spieler!A:C,3,0)</f>
        <v>#N/A</v>
      </c>
      <c r="E113" s="2" t="str">
        <f>VLOOKUP(A113,Spieler!A:O,7,0)</f>
        <v>#N/A</v>
      </c>
      <c r="F113" s="2" t="str">
        <f>VLOOKUP(A113,Spieler!A:O,15,0)</f>
        <v>#N/A</v>
      </c>
      <c r="H113" s="50"/>
    </row>
    <row r="114">
      <c r="A114" s="50" t="str">
        <f>Spieler!AD113</f>
        <v/>
      </c>
      <c r="B114" s="50">
        <f>Spieler!AB113</f>
        <v>108</v>
      </c>
      <c r="C114" s="2" t="str">
        <f>VLOOKUP(A114,Spieler!A:C,2,0)</f>
        <v>#N/A</v>
      </c>
      <c r="D114" s="2" t="str">
        <f>VLOOKUP(A114,Spieler!A:C,3,0)</f>
        <v>#N/A</v>
      </c>
      <c r="E114" s="2" t="str">
        <f>VLOOKUP(A114,Spieler!A:O,7,0)</f>
        <v>#N/A</v>
      </c>
      <c r="F114" s="2" t="str">
        <f>VLOOKUP(A114,Spieler!A:O,15,0)</f>
        <v>#N/A</v>
      </c>
      <c r="H114" s="50"/>
    </row>
    <row r="115">
      <c r="A115" s="50" t="str">
        <f>Spieler!AD114</f>
        <v/>
      </c>
      <c r="B115" s="50">
        <f>Spieler!AB114</f>
        <v>109</v>
      </c>
      <c r="C115" s="2" t="str">
        <f>VLOOKUP(A115,Spieler!A:C,2,0)</f>
        <v>#N/A</v>
      </c>
      <c r="D115" s="2" t="str">
        <f>VLOOKUP(A115,Spieler!A:C,3,0)</f>
        <v>#N/A</v>
      </c>
      <c r="E115" s="2" t="str">
        <f>VLOOKUP(A115,Spieler!A:O,7,0)</f>
        <v>#N/A</v>
      </c>
      <c r="F115" s="2" t="str">
        <f>VLOOKUP(A115,Spieler!A:O,15,0)</f>
        <v>#N/A</v>
      </c>
      <c r="H115" s="50"/>
    </row>
    <row r="116">
      <c r="A116" s="50" t="str">
        <f>Spieler!AD115</f>
        <v/>
      </c>
      <c r="B116" s="50">
        <f>Spieler!AB115</f>
        <v>110</v>
      </c>
      <c r="C116" s="2" t="str">
        <f>VLOOKUP(A116,Spieler!A:C,2,0)</f>
        <v>#N/A</v>
      </c>
      <c r="D116" s="2" t="str">
        <f>VLOOKUP(A116,Spieler!A:C,3,0)</f>
        <v>#N/A</v>
      </c>
      <c r="E116" s="2" t="str">
        <f>VLOOKUP(A116,Spieler!A:O,7,0)</f>
        <v>#N/A</v>
      </c>
      <c r="F116" s="2" t="str">
        <f>VLOOKUP(A116,Spieler!A:O,15,0)</f>
        <v>#N/A</v>
      </c>
      <c r="H116" s="50"/>
    </row>
    <row r="117">
      <c r="A117" s="50" t="str">
        <f>Spieler!AD116</f>
        <v/>
      </c>
      <c r="B117" s="50">
        <f>Spieler!AB116</f>
        <v>111</v>
      </c>
      <c r="C117" s="2" t="str">
        <f>VLOOKUP(A117,Spieler!A:C,2,0)</f>
        <v>#N/A</v>
      </c>
      <c r="D117" s="2" t="str">
        <f>VLOOKUP(A117,Spieler!A:C,3,0)</f>
        <v>#N/A</v>
      </c>
      <c r="E117" s="2" t="str">
        <f>VLOOKUP(A117,Spieler!A:O,7,0)</f>
        <v>#N/A</v>
      </c>
      <c r="F117" s="2" t="str">
        <f>VLOOKUP(A117,Spieler!A:O,15,0)</f>
        <v>#N/A</v>
      </c>
      <c r="H117" s="50"/>
    </row>
    <row r="118">
      <c r="A118" s="50" t="str">
        <f>Spieler!AD117</f>
        <v/>
      </c>
      <c r="B118" s="50">
        <f>Spieler!AB117</f>
        <v>112</v>
      </c>
      <c r="C118" s="2" t="str">
        <f>VLOOKUP(A118,Spieler!A:C,2,0)</f>
        <v>#N/A</v>
      </c>
      <c r="D118" s="2" t="str">
        <f>VLOOKUP(A118,Spieler!A:C,3,0)</f>
        <v>#N/A</v>
      </c>
      <c r="E118" s="2" t="str">
        <f>VLOOKUP(A118,Spieler!A:O,7,0)</f>
        <v>#N/A</v>
      </c>
      <c r="F118" s="2" t="str">
        <f>VLOOKUP(A118,Spieler!A:O,15,0)</f>
        <v>#N/A</v>
      </c>
      <c r="H118" s="50"/>
    </row>
    <row r="119">
      <c r="A119" s="50" t="str">
        <f>Spieler!AD118</f>
        <v/>
      </c>
      <c r="B119" s="50">
        <f>Spieler!AB118</f>
        <v>113</v>
      </c>
      <c r="C119" s="2" t="str">
        <f>VLOOKUP(A119,Spieler!A:C,2,0)</f>
        <v>#N/A</v>
      </c>
      <c r="D119" s="2" t="str">
        <f>VLOOKUP(A119,Spieler!A:C,3,0)</f>
        <v>#N/A</v>
      </c>
      <c r="E119" s="2" t="str">
        <f>VLOOKUP(A119,Spieler!A:O,7,0)</f>
        <v>#N/A</v>
      </c>
      <c r="F119" s="2" t="str">
        <f>VLOOKUP(A119,Spieler!A:O,15,0)</f>
        <v>#N/A</v>
      </c>
      <c r="H119" s="50"/>
    </row>
    <row r="120">
      <c r="A120" s="50" t="str">
        <f>Spieler!AD119</f>
        <v/>
      </c>
      <c r="B120" s="50">
        <f>Spieler!AB119</f>
        <v>114</v>
      </c>
      <c r="C120" s="2" t="str">
        <f>VLOOKUP(A120,Spieler!A:C,2,0)</f>
        <v>#N/A</v>
      </c>
      <c r="D120" s="2" t="str">
        <f>VLOOKUP(A120,Spieler!A:C,3,0)</f>
        <v>#N/A</v>
      </c>
      <c r="E120" s="2" t="str">
        <f>VLOOKUP(A120,Spieler!A:O,7,0)</f>
        <v>#N/A</v>
      </c>
      <c r="F120" s="2" t="str">
        <f>VLOOKUP(A120,Spieler!A:O,15,0)</f>
        <v>#N/A</v>
      </c>
      <c r="H120" s="50"/>
    </row>
    <row r="121">
      <c r="A121" s="50" t="str">
        <f>Spieler!AD120</f>
        <v/>
      </c>
      <c r="B121" s="50">
        <f>Spieler!AB120</f>
        <v>115</v>
      </c>
      <c r="C121" s="2" t="str">
        <f>VLOOKUP(A121,Spieler!A:C,2,0)</f>
        <v>#N/A</v>
      </c>
      <c r="D121" s="2" t="str">
        <f>VLOOKUP(A121,Spieler!A:C,3,0)</f>
        <v>#N/A</v>
      </c>
      <c r="E121" s="2" t="str">
        <f>VLOOKUP(A121,Spieler!A:O,7,0)</f>
        <v>#N/A</v>
      </c>
      <c r="F121" s="2" t="str">
        <f>VLOOKUP(A121,Spieler!A:O,15,0)</f>
        <v>#N/A</v>
      </c>
      <c r="H121" s="50"/>
    </row>
    <row r="122">
      <c r="A122" s="50" t="str">
        <f>Spieler!AD121</f>
        <v/>
      </c>
      <c r="B122" s="50">
        <f>Spieler!AB121</f>
        <v>116</v>
      </c>
      <c r="C122" s="2" t="str">
        <f>VLOOKUP(A122,Spieler!A:C,2,0)</f>
        <v>#N/A</v>
      </c>
      <c r="D122" s="2" t="str">
        <f>VLOOKUP(A122,Spieler!A:C,3,0)</f>
        <v>#N/A</v>
      </c>
      <c r="E122" s="2" t="str">
        <f>VLOOKUP(A122,Spieler!A:O,7,0)</f>
        <v>#N/A</v>
      </c>
      <c r="F122" s="2" t="str">
        <f>VLOOKUP(A122,Spieler!A:O,15,0)</f>
        <v>#N/A</v>
      </c>
      <c r="H122" s="50"/>
    </row>
    <row r="123">
      <c r="A123" s="50" t="str">
        <f>Spieler!AD122</f>
        <v/>
      </c>
      <c r="B123" s="50">
        <f>Spieler!AB122</f>
        <v>117</v>
      </c>
      <c r="C123" s="2" t="str">
        <f>VLOOKUP(A123,Spieler!A:C,2,0)</f>
        <v>#N/A</v>
      </c>
      <c r="D123" s="2" t="str">
        <f>VLOOKUP(A123,Spieler!A:C,3,0)</f>
        <v>#N/A</v>
      </c>
      <c r="E123" s="2" t="str">
        <f>VLOOKUP(A123,Spieler!A:O,7,0)</f>
        <v>#N/A</v>
      </c>
      <c r="F123" s="2" t="str">
        <f>VLOOKUP(A123,Spieler!A:O,15,0)</f>
        <v>#N/A</v>
      </c>
      <c r="H123" s="50"/>
    </row>
    <row r="124">
      <c r="A124" s="50" t="str">
        <f>Spieler!AD123</f>
        <v/>
      </c>
      <c r="B124" s="50">
        <f>Spieler!AB123</f>
        <v>118</v>
      </c>
      <c r="C124" s="2" t="str">
        <f>VLOOKUP(A124,Spieler!A:C,2,0)</f>
        <v>#N/A</v>
      </c>
      <c r="D124" s="2" t="str">
        <f>VLOOKUP(A124,Spieler!A:C,3,0)</f>
        <v>#N/A</v>
      </c>
      <c r="E124" s="2" t="str">
        <f>VLOOKUP(A124,Spieler!A:O,7,0)</f>
        <v>#N/A</v>
      </c>
      <c r="F124" s="2" t="str">
        <f>VLOOKUP(A124,Spieler!A:O,15,0)</f>
        <v>#N/A</v>
      </c>
      <c r="H124" s="50"/>
    </row>
    <row r="125">
      <c r="A125" s="50" t="str">
        <f>Spieler!AD124</f>
        <v/>
      </c>
      <c r="B125" s="50">
        <f>Spieler!AB124</f>
        <v>119</v>
      </c>
      <c r="C125" s="2" t="str">
        <f>VLOOKUP(A125,Spieler!A:C,2,0)</f>
        <v>#N/A</v>
      </c>
      <c r="D125" s="2" t="str">
        <f>VLOOKUP(A125,Spieler!A:C,3,0)</f>
        <v>#N/A</v>
      </c>
      <c r="E125" s="2" t="str">
        <f>VLOOKUP(A125,Spieler!A:O,7,0)</f>
        <v>#N/A</v>
      </c>
      <c r="F125" s="2" t="str">
        <f>VLOOKUP(A125,Spieler!A:O,15,0)</f>
        <v>#N/A</v>
      </c>
      <c r="H125" s="50"/>
    </row>
    <row r="126">
      <c r="A126" s="50" t="str">
        <f>Spieler!AD125</f>
        <v/>
      </c>
      <c r="B126" s="50">
        <f>Spieler!AB125</f>
        <v>120</v>
      </c>
      <c r="C126" s="2" t="str">
        <f>VLOOKUP(A126,Spieler!A:C,2,0)</f>
        <v>#N/A</v>
      </c>
      <c r="D126" s="2" t="str">
        <f>VLOOKUP(A126,Spieler!A:C,3,0)</f>
        <v>#N/A</v>
      </c>
      <c r="E126" s="2" t="str">
        <f>VLOOKUP(A126,Spieler!A:O,7,0)</f>
        <v>#N/A</v>
      </c>
      <c r="F126" s="2" t="str">
        <f>VLOOKUP(A126,Spieler!A:O,15,0)</f>
        <v>#N/A</v>
      </c>
      <c r="H126" s="50"/>
    </row>
    <row r="127">
      <c r="A127" s="50" t="str">
        <f>Spieler!AD126</f>
        <v/>
      </c>
      <c r="B127" s="50">
        <f>Spieler!AB126</f>
        <v>121</v>
      </c>
      <c r="C127" s="2" t="str">
        <f>VLOOKUP(A127,Spieler!A:C,2,0)</f>
        <v>#N/A</v>
      </c>
      <c r="D127" s="2" t="str">
        <f>VLOOKUP(A127,Spieler!A:C,3,0)</f>
        <v>#N/A</v>
      </c>
      <c r="E127" s="2" t="str">
        <f>VLOOKUP(A127,Spieler!A:O,7,0)</f>
        <v>#N/A</v>
      </c>
      <c r="F127" s="2" t="str">
        <f>VLOOKUP(A127,Spieler!A:O,15,0)</f>
        <v>#N/A</v>
      </c>
      <c r="H127" s="50"/>
    </row>
    <row r="128">
      <c r="A128" s="50" t="str">
        <f>Spieler!AD127</f>
        <v/>
      </c>
      <c r="B128" s="50">
        <f>Spieler!AB127</f>
        <v>122</v>
      </c>
      <c r="C128" s="2" t="str">
        <f>VLOOKUP(A128,Spieler!A:C,2,0)</f>
        <v>#N/A</v>
      </c>
      <c r="D128" s="2" t="str">
        <f>VLOOKUP(A128,Spieler!A:C,3,0)</f>
        <v>#N/A</v>
      </c>
      <c r="E128" s="2" t="str">
        <f>VLOOKUP(A128,Spieler!A:O,7,0)</f>
        <v>#N/A</v>
      </c>
      <c r="F128" s="2" t="str">
        <f>VLOOKUP(A128,Spieler!A:O,15,0)</f>
        <v>#N/A</v>
      </c>
      <c r="H128" s="50"/>
    </row>
    <row r="129">
      <c r="A129" s="50" t="str">
        <f>Spieler!AD128</f>
        <v/>
      </c>
      <c r="B129" s="50">
        <f>Spieler!AB128</f>
        <v>123</v>
      </c>
      <c r="C129" s="2" t="str">
        <f>VLOOKUP(A129,Spieler!A:C,2,0)</f>
        <v>#N/A</v>
      </c>
      <c r="D129" s="2" t="str">
        <f>VLOOKUP(A129,Spieler!A:C,3,0)</f>
        <v>#N/A</v>
      </c>
      <c r="E129" s="2" t="str">
        <f>VLOOKUP(A129,Spieler!A:O,7,0)</f>
        <v>#N/A</v>
      </c>
      <c r="F129" s="2" t="str">
        <f>VLOOKUP(A129,Spieler!A:O,15,0)</f>
        <v>#N/A</v>
      </c>
      <c r="H129" s="50"/>
    </row>
    <row r="130">
      <c r="A130" s="50" t="str">
        <f>Spieler!AD129</f>
        <v/>
      </c>
      <c r="B130" s="50">
        <f>Spieler!AB129</f>
        <v>124</v>
      </c>
      <c r="C130" s="2" t="str">
        <f>VLOOKUP(A130,Spieler!A:C,2,0)</f>
        <v>#N/A</v>
      </c>
      <c r="D130" s="2" t="str">
        <f>VLOOKUP(A130,Spieler!A:C,3,0)</f>
        <v>#N/A</v>
      </c>
      <c r="E130" s="2" t="str">
        <f>VLOOKUP(A130,Spieler!A:O,7,0)</f>
        <v>#N/A</v>
      </c>
      <c r="F130" s="2" t="str">
        <f>VLOOKUP(A130,Spieler!A:O,15,0)</f>
        <v>#N/A</v>
      </c>
      <c r="H130" s="50"/>
    </row>
    <row r="131">
      <c r="A131" s="50" t="str">
        <f>Spieler!AD130</f>
        <v/>
      </c>
      <c r="B131" s="50">
        <f>Spieler!AB130</f>
        <v>125</v>
      </c>
      <c r="C131" s="2" t="str">
        <f>VLOOKUP(A131,Spieler!A:C,2,0)</f>
        <v>#N/A</v>
      </c>
      <c r="D131" s="2" t="str">
        <f>VLOOKUP(A131,Spieler!A:C,3,0)</f>
        <v>#N/A</v>
      </c>
      <c r="E131" s="2" t="str">
        <f>VLOOKUP(A131,Spieler!A:O,7,0)</f>
        <v>#N/A</v>
      </c>
      <c r="F131" s="2" t="str">
        <f>VLOOKUP(A131,Spieler!A:O,15,0)</f>
        <v>#N/A</v>
      </c>
      <c r="H131" s="50"/>
    </row>
    <row r="132">
      <c r="A132" s="50" t="str">
        <f>Spieler!AD131</f>
        <v/>
      </c>
      <c r="B132" s="50">
        <f>Spieler!AB131</f>
        <v>126</v>
      </c>
      <c r="C132" s="2" t="str">
        <f>VLOOKUP(A132,Spieler!A:C,2,0)</f>
        <v>#N/A</v>
      </c>
      <c r="D132" s="2" t="str">
        <f>VLOOKUP(A132,Spieler!A:C,3,0)</f>
        <v>#N/A</v>
      </c>
      <c r="E132" s="2" t="str">
        <f>VLOOKUP(A132,Spieler!A:O,7,0)</f>
        <v>#N/A</v>
      </c>
      <c r="F132" s="2" t="str">
        <f>VLOOKUP(A132,Spieler!A:O,15,0)</f>
        <v>#N/A</v>
      </c>
      <c r="H132" s="50"/>
    </row>
    <row r="133">
      <c r="A133" s="50" t="str">
        <f>Spieler!AD132</f>
        <v/>
      </c>
      <c r="B133" s="50">
        <f>Spieler!AB132</f>
        <v>127</v>
      </c>
      <c r="C133" s="2" t="str">
        <f>VLOOKUP(A133,Spieler!A:C,2,0)</f>
        <v>#N/A</v>
      </c>
      <c r="D133" s="2" t="str">
        <f>VLOOKUP(A133,Spieler!A:C,3,0)</f>
        <v>#N/A</v>
      </c>
      <c r="E133" s="2" t="str">
        <f>VLOOKUP(A133,Spieler!A:O,7,0)</f>
        <v>#N/A</v>
      </c>
      <c r="F133" s="2" t="str">
        <f>VLOOKUP(A133,Spieler!A:O,15,0)</f>
        <v>#N/A</v>
      </c>
      <c r="H133" s="50"/>
    </row>
    <row r="134">
      <c r="A134" s="50" t="str">
        <f>Spieler!AD133</f>
        <v/>
      </c>
      <c r="B134" s="50">
        <f>Spieler!AB133</f>
        <v>128</v>
      </c>
      <c r="C134" s="2" t="str">
        <f>VLOOKUP(A134,Spieler!A:C,2,0)</f>
        <v>#N/A</v>
      </c>
      <c r="D134" s="2" t="str">
        <f>VLOOKUP(A134,Spieler!A:C,3,0)</f>
        <v>#N/A</v>
      </c>
      <c r="E134" s="2" t="str">
        <f>VLOOKUP(A134,Spieler!A:O,7,0)</f>
        <v>#N/A</v>
      </c>
      <c r="F134" s="2" t="str">
        <f>VLOOKUP(A134,Spieler!A:O,15,0)</f>
        <v>#N/A</v>
      </c>
      <c r="H134" s="50"/>
    </row>
    <row r="135">
      <c r="A135" s="50" t="str">
        <f>Spieler!AD134</f>
        <v/>
      </c>
      <c r="B135" s="50">
        <f>Spieler!AB134</f>
        <v>129</v>
      </c>
      <c r="C135" s="2" t="str">
        <f>VLOOKUP(A135,Spieler!A:C,2,0)</f>
        <v>#N/A</v>
      </c>
      <c r="D135" s="2" t="str">
        <f>VLOOKUP(A135,Spieler!A:C,3,0)</f>
        <v>#N/A</v>
      </c>
      <c r="E135" s="2" t="str">
        <f>VLOOKUP(A135,Spieler!A:O,7,0)</f>
        <v>#N/A</v>
      </c>
      <c r="F135" s="2" t="str">
        <f>VLOOKUP(A135,Spieler!A:O,15,0)</f>
        <v>#N/A</v>
      </c>
      <c r="H135" s="50"/>
    </row>
    <row r="136">
      <c r="A136" s="50" t="str">
        <f>Spieler!AD135</f>
        <v/>
      </c>
      <c r="B136" s="50">
        <f>Spieler!AB135</f>
        <v>130</v>
      </c>
      <c r="C136" s="2" t="str">
        <f>VLOOKUP(A136,Spieler!A:C,2,0)</f>
        <v>#N/A</v>
      </c>
      <c r="D136" s="2" t="str">
        <f>VLOOKUP(A136,Spieler!A:C,3,0)</f>
        <v>#N/A</v>
      </c>
      <c r="E136" s="2" t="str">
        <f>VLOOKUP(A136,Spieler!A:O,7,0)</f>
        <v>#N/A</v>
      </c>
      <c r="F136" s="2" t="str">
        <f>VLOOKUP(A136,Spieler!A:O,15,0)</f>
        <v>#N/A</v>
      </c>
      <c r="H136" s="50"/>
    </row>
    <row r="137">
      <c r="A137" s="50" t="str">
        <f>Spieler!AD136</f>
        <v/>
      </c>
      <c r="B137" s="50">
        <f>Spieler!AB136</f>
        <v>131</v>
      </c>
      <c r="C137" s="2" t="str">
        <f>VLOOKUP(A137,Spieler!A:C,2,0)</f>
        <v>#N/A</v>
      </c>
      <c r="D137" s="2" t="str">
        <f>VLOOKUP(A137,Spieler!A:C,3,0)</f>
        <v>#N/A</v>
      </c>
      <c r="E137" s="2" t="str">
        <f>VLOOKUP(A137,Spieler!A:O,7,0)</f>
        <v>#N/A</v>
      </c>
      <c r="F137" s="2" t="str">
        <f>VLOOKUP(A137,Spieler!A:O,15,0)</f>
        <v>#N/A</v>
      </c>
      <c r="H137" s="50"/>
    </row>
    <row r="138">
      <c r="A138" s="50" t="str">
        <f>Spieler!AD137</f>
        <v/>
      </c>
      <c r="B138" s="50">
        <f>Spieler!AB137</f>
        <v>132</v>
      </c>
      <c r="C138" s="2" t="str">
        <f>VLOOKUP(A138,Spieler!A:C,2,0)</f>
        <v>#N/A</v>
      </c>
      <c r="D138" s="2" t="str">
        <f>VLOOKUP(A138,Spieler!A:C,3,0)</f>
        <v>#N/A</v>
      </c>
      <c r="E138" s="2" t="str">
        <f>VLOOKUP(A138,Spieler!A:O,7,0)</f>
        <v>#N/A</v>
      </c>
      <c r="F138" s="2" t="str">
        <f>VLOOKUP(A138,Spieler!A:O,15,0)</f>
        <v>#N/A</v>
      </c>
      <c r="H138" s="50"/>
    </row>
    <row r="139">
      <c r="A139" s="50" t="str">
        <f>Spieler!AD138</f>
        <v/>
      </c>
      <c r="B139" s="50">
        <f>Spieler!AB138</f>
        <v>133</v>
      </c>
      <c r="C139" s="2" t="str">
        <f>VLOOKUP(A139,Spieler!A:C,2,0)</f>
        <v>#N/A</v>
      </c>
      <c r="D139" s="2" t="str">
        <f>VLOOKUP(A139,Spieler!A:C,3,0)</f>
        <v>#N/A</v>
      </c>
      <c r="E139" s="2" t="str">
        <f>VLOOKUP(A139,Spieler!A:O,7,0)</f>
        <v>#N/A</v>
      </c>
      <c r="F139" s="2" t="str">
        <f>VLOOKUP(A139,Spieler!A:O,15,0)</f>
        <v>#N/A</v>
      </c>
      <c r="H139" s="50"/>
    </row>
    <row r="140">
      <c r="A140" s="50" t="str">
        <f>Spieler!AD139</f>
        <v/>
      </c>
      <c r="B140" s="50">
        <f>Spieler!AB139</f>
        <v>134</v>
      </c>
      <c r="C140" s="2" t="str">
        <f>VLOOKUP(A140,Spieler!A:C,2,0)</f>
        <v>#N/A</v>
      </c>
      <c r="D140" s="2" t="str">
        <f>VLOOKUP(A140,Spieler!A:C,3,0)</f>
        <v>#N/A</v>
      </c>
      <c r="E140" s="2" t="str">
        <f>VLOOKUP(A140,Spieler!A:O,7,0)</f>
        <v>#N/A</v>
      </c>
      <c r="F140" s="2" t="str">
        <f>VLOOKUP(A140,Spieler!A:O,15,0)</f>
        <v>#N/A</v>
      </c>
      <c r="H140" s="50"/>
    </row>
    <row r="141">
      <c r="A141" s="50" t="str">
        <f>Spieler!AD140</f>
        <v/>
      </c>
      <c r="B141" s="50">
        <f>Spieler!AB140</f>
        <v>135</v>
      </c>
      <c r="C141" s="2" t="str">
        <f>VLOOKUP(A141,Spieler!A:C,2,0)</f>
        <v>#N/A</v>
      </c>
      <c r="D141" s="2" t="str">
        <f>VLOOKUP(A141,Spieler!A:C,3,0)</f>
        <v>#N/A</v>
      </c>
      <c r="E141" s="2" t="str">
        <f>VLOOKUP(A141,Spieler!A:O,7,0)</f>
        <v>#N/A</v>
      </c>
      <c r="F141" s="2" t="str">
        <f>VLOOKUP(A141,Spieler!A:O,15,0)</f>
        <v>#N/A</v>
      </c>
      <c r="H141" s="50"/>
    </row>
    <row r="142">
      <c r="A142" s="50" t="str">
        <f>Spieler!AD141</f>
        <v/>
      </c>
      <c r="B142" s="50">
        <f>Spieler!AB141</f>
        <v>136</v>
      </c>
      <c r="C142" s="2" t="str">
        <f>VLOOKUP(A142,Spieler!A:C,2,0)</f>
        <v>#N/A</v>
      </c>
      <c r="D142" s="2" t="str">
        <f>VLOOKUP(A142,Spieler!A:C,3,0)</f>
        <v>#N/A</v>
      </c>
      <c r="E142" s="2" t="str">
        <f>VLOOKUP(A142,Spieler!A:O,7,0)</f>
        <v>#N/A</v>
      </c>
      <c r="F142" s="2" t="str">
        <f>VLOOKUP(A142,Spieler!A:O,15,0)</f>
        <v>#N/A</v>
      </c>
      <c r="H142" s="50"/>
    </row>
    <row r="143">
      <c r="A143" s="50" t="str">
        <f>Spieler!AD142</f>
        <v/>
      </c>
      <c r="B143" s="50">
        <f>Spieler!AB142</f>
        <v>137</v>
      </c>
      <c r="C143" s="2" t="str">
        <f>VLOOKUP(A143,Spieler!A:C,2,0)</f>
        <v>#N/A</v>
      </c>
      <c r="D143" s="2" t="str">
        <f>VLOOKUP(A143,Spieler!A:C,3,0)</f>
        <v>#N/A</v>
      </c>
      <c r="E143" s="2" t="str">
        <f>VLOOKUP(A143,Spieler!A:O,7,0)</f>
        <v>#N/A</v>
      </c>
      <c r="F143" s="2" t="str">
        <f>VLOOKUP(A143,Spieler!A:O,15,0)</f>
        <v>#N/A</v>
      </c>
      <c r="H143" s="50"/>
    </row>
    <row r="144">
      <c r="A144" s="50" t="str">
        <f>Spieler!AD143</f>
        <v/>
      </c>
      <c r="B144" s="50">
        <f>Spieler!AB143</f>
        <v>138</v>
      </c>
      <c r="C144" s="2" t="str">
        <f>VLOOKUP(A144,Spieler!A:C,2,0)</f>
        <v>#N/A</v>
      </c>
      <c r="D144" s="2" t="str">
        <f>VLOOKUP(A144,Spieler!A:C,3,0)</f>
        <v>#N/A</v>
      </c>
      <c r="E144" s="2" t="str">
        <f>VLOOKUP(A144,Spieler!A:O,7,0)</f>
        <v>#N/A</v>
      </c>
      <c r="F144" s="2" t="str">
        <f>VLOOKUP(A144,Spieler!A:O,15,0)</f>
        <v>#N/A</v>
      </c>
      <c r="H144" s="50"/>
    </row>
    <row r="145">
      <c r="A145" s="50" t="str">
        <f>Spieler!AD144</f>
        <v/>
      </c>
      <c r="B145" s="50">
        <f>Spieler!AB144</f>
        <v>139</v>
      </c>
      <c r="C145" s="2" t="str">
        <f>VLOOKUP(A145,Spieler!A:C,2,0)</f>
        <v>#N/A</v>
      </c>
      <c r="D145" s="2" t="str">
        <f>VLOOKUP(A145,Spieler!A:C,3,0)</f>
        <v>#N/A</v>
      </c>
      <c r="E145" s="2" t="str">
        <f>VLOOKUP(A145,Spieler!A:O,7,0)</f>
        <v>#N/A</v>
      </c>
      <c r="F145" s="2" t="str">
        <f>VLOOKUP(A145,Spieler!A:O,15,0)</f>
        <v>#N/A</v>
      </c>
      <c r="H145" s="50"/>
    </row>
    <row r="146">
      <c r="A146" s="50" t="str">
        <f>Spieler!AD145</f>
        <v/>
      </c>
      <c r="B146" s="50">
        <f>Spieler!AB145</f>
        <v>140</v>
      </c>
      <c r="C146" s="2" t="str">
        <f>VLOOKUP(A146,Spieler!A:C,2,0)</f>
        <v>#N/A</v>
      </c>
      <c r="D146" s="2" t="str">
        <f>VLOOKUP(A146,Spieler!A:C,3,0)</f>
        <v>#N/A</v>
      </c>
      <c r="E146" s="2" t="str">
        <f>VLOOKUP(A146,Spieler!A:O,7,0)</f>
        <v>#N/A</v>
      </c>
      <c r="F146" s="2" t="str">
        <f>VLOOKUP(A146,Spieler!A:O,15,0)</f>
        <v>#N/A</v>
      </c>
      <c r="H146" s="50"/>
    </row>
    <row r="147">
      <c r="A147" s="50" t="str">
        <f>Spieler!AD146</f>
        <v/>
      </c>
      <c r="B147" s="50">
        <f>Spieler!AB146</f>
        <v>141</v>
      </c>
      <c r="C147" s="2" t="str">
        <f>VLOOKUP(A147,Spieler!A:C,2,0)</f>
        <v>#N/A</v>
      </c>
      <c r="D147" s="2" t="str">
        <f>VLOOKUP(A147,Spieler!A:C,3,0)</f>
        <v>#N/A</v>
      </c>
      <c r="E147" s="2" t="str">
        <f>VLOOKUP(A147,Spieler!A:O,7,0)</f>
        <v>#N/A</v>
      </c>
      <c r="F147" s="2" t="str">
        <f>VLOOKUP(A147,Spieler!A:O,15,0)</f>
        <v>#N/A</v>
      </c>
      <c r="H147" s="50"/>
    </row>
    <row r="148">
      <c r="A148" s="50" t="str">
        <f>Spieler!AD147</f>
        <v/>
      </c>
      <c r="B148" s="50">
        <f>Spieler!AB147</f>
        <v>142</v>
      </c>
      <c r="C148" s="2" t="str">
        <f>VLOOKUP(A148,Spieler!A:C,2,0)</f>
        <v>#N/A</v>
      </c>
      <c r="D148" s="2" t="str">
        <f>VLOOKUP(A148,Spieler!A:C,3,0)</f>
        <v>#N/A</v>
      </c>
      <c r="E148" s="2" t="str">
        <f>VLOOKUP(A148,Spieler!A:O,7,0)</f>
        <v>#N/A</v>
      </c>
      <c r="F148" s="2" t="str">
        <f>VLOOKUP(A148,Spieler!A:O,15,0)</f>
        <v>#N/A</v>
      </c>
      <c r="H148" s="50"/>
    </row>
    <row r="149">
      <c r="A149" s="50" t="str">
        <f>Spieler!AD148</f>
        <v/>
      </c>
      <c r="B149" s="50">
        <f>Spieler!AB148</f>
        <v>143</v>
      </c>
      <c r="C149" s="2" t="str">
        <f>VLOOKUP(A149,Spieler!A:C,2,0)</f>
        <v>#N/A</v>
      </c>
      <c r="D149" s="2" t="str">
        <f>VLOOKUP(A149,Spieler!A:C,3,0)</f>
        <v>#N/A</v>
      </c>
      <c r="E149" s="2" t="str">
        <f>VLOOKUP(A149,Spieler!A:O,7,0)</f>
        <v>#N/A</v>
      </c>
      <c r="F149" s="2" t="str">
        <f>VLOOKUP(A149,Spieler!A:O,15,0)</f>
        <v>#N/A</v>
      </c>
      <c r="H149" s="50"/>
    </row>
    <row r="150">
      <c r="A150" s="50" t="str">
        <f>Spieler!AD149</f>
        <v/>
      </c>
      <c r="B150" s="50">
        <f>Spieler!AB149</f>
        <v>144</v>
      </c>
      <c r="C150" s="2" t="str">
        <f>VLOOKUP(A150,Spieler!A:C,2,0)</f>
        <v>#N/A</v>
      </c>
      <c r="D150" s="2" t="str">
        <f>VLOOKUP(A150,Spieler!A:C,3,0)</f>
        <v>#N/A</v>
      </c>
      <c r="E150" s="2" t="str">
        <f>VLOOKUP(A150,Spieler!A:O,7,0)</f>
        <v>#N/A</v>
      </c>
      <c r="F150" s="2" t="str">
        <f>VLOOKUP(A150,Spieler!A:O,15,0)</f>
        <v>#N/A</v>
      </c>
      <c r="H150" s="50"/>
    </row>
    <row r="151">
      <c r="A151" s="50"/>
      <c r="B151" s="50"/>
      <c r="H151" s="50"/>
    </row>
    <row r="152">
      <c r="A152" s="50"/>
      <c r="B152" s="50"/>
      <c r="H152" s="50"/>
    </row>
    <row r="153">
      <c r="A153" s="50"/>
      <c r="B153" s="50"/>
      <c r="H153" s="50"/>
    </row>
    <row r="154">
      <c r="A154" s="50"/>
      <c r="B154" s="50"/>
      <c r="H154" s="50"/>
    </row>
    <row r="155">
      <c r="A155" s="50"/>
      <c r="B155" s="50"/>
      <c r="H155" s="50"/>
    </row>
    <row r="156">
      <c r="A156" s="50"/>
      <c r="B156" s="50"/>
      <c r="H156" s="50"/>
    </row>
    <row r="157">
      <c r="A157" s="50"/>
      <c r="B157" s="50"/>
      <c r="H157" s="50"/>
    </row>
    <row r="158">
      <c r="A158" s="50"/>
      <c r="B158" s="50"/>
      <c r="H158" s="50"/>
    </row>
    <row r="159">
      <c r="A159" s="50"/>
      <c r="B159" s="50"/>
      <c r="H159" s="50"/>
    </row>
    <row r="160">
      <c r="A160" s="50"/>
      <c r="B160" s="50"/>
      <c r="H160" s="50"/>
    </row>
    <row r="161">
      <c r="A161" s="50"/>
      <c r="B161" s="50"/>
      <c r="H161" s="50"/>
    </row>
    <row r="162">
      <c r="A162" s="50"/>
      <c r="B162" s="50"/>
      <c r="H162" s="50"/>
    </row>
    <row r="163">
      <c r="A163" s="50"/>
      <c r="B163" s="50"/>
      <c r="H163" s="50"/>
    </row>
    <row r="164">
      <c r="A164" s="50"/>
      <c r="B164" s="50"/>
      <c r="H164" s="50"/>
    </row>
    <row r="165">
      <c r="A165" s="50"/>
      <c r="B165" s="50"/>
      <c r="H165" s="50"/>
    </row>
    <row r="166">
      <c r="A166" s="50"/>
      <c r="B166" s="50"/>
      <c r="H166" s="50"/>
    </row>
    <row r="167">
      <c r="A167" s="50"/>
      <c r="B167" s="50"/>
      <c r="H167" s="50"/>
    </row>
    <row r="168">
      <c r="A168" s="50"/>
      <c r="B168" s="50"/>
      <c r="H168" s="50"/>
    </row>
    <row r="169">
      <c r="A169" s="50"/>
      <c r="B169" s="50"/>
      <c r="H169" s="50"/>
    </row>
    <row r="170">
      <c r="A170" s="50"/>
      <c r="B170" s="50"/>
      <c r="H170" s="50"/>
    </row>
    <row r="171">
      <c r="A171" s="50"/>
      <c r="B171" s="50"/>
      <c r="H171" s="50"/>
    </row>
    <row r="172">
      <c r="A172" s="50"/>
      <c r="B172" s="50"/>
      <c r="H172" s="50"/>
    </row>
    <row r="173">
      <c r="A173" s="50"/>
      <c r="B173" s="50"/>
      <c r="H173" s="50"/>
    </row>
    <row r="174">
      <c r="A174" s="50"/>
      <c r="B174" s="50"/>
      <c r="H174" s="50"/>
    </row>
    <row r="175">
      <c r="A175" s="50"/>
      <c r="B175" s="50"/>
      <c r="H175" s="50"/>
    </row>
    <row r="176">
      <c r="A176" s="50"/>
      <c r="B176" s="50"/>
      <c r="H176" s="50"/>
    </row>
    <row r="177">
      <c r="A177" s="50"/>
      <c r="B177" s="50"/>
      <c r="H177" s="50"/>
    </row>
    <row r="178">
      <c r="A178" s="50"/>
      <c r="B178" s="50"/>
      <c r="H178" s="50"/>
    </row>
    <row r="179">
      <c r="A179" s="50"/>
      <c r="B179" s="50"/>
      <c r="H179" s="50"/>
    </row>
    <row r="180">
      <c r="A180" s="50"/>
      <c r="B180" s="50"/>
      <c r="H180" s="50"/>
    </row>
    <row r="181">
      <c r="A181" s="50"/>
      <c r="B181" s="50"/>
      <c r="H181" s="50"/>
    </row>
    <row r="182">
      <c r="A182" s="50"/>
      <c r="B182" s="50"/>
      <c r="H182" s="50"/>
    </row>
    <row r="183">
      <c r="A183" s="50"/>
      <c r="B183" s="50"/>
      <c r="H183" s="50"/>
    </row>
    <row r="184">
      <c r="A184" s="50"/>
      <c r="B184" s="50"/>
      <c r="H184" s="50"/>
    </row>
    <row r="185">
      <c r="A185" s="50"/>
      <c r="B185" s="50"/>
      <c r="H185" s="50"/>
    </row>
    <row r="186">
      <c r="A186" s="50"/>
      <c r="B186" s="50"/>
      <c r="H186" s="50"/>
    </row>
    <row r="187">
      <c r="A187" s="50"/>
      <c r="B187" s="50"/>
      <c r="H187" s="50"/>
    </row>
    <row r="188">
      <c r="A188" s="50"/>
      <c r="B188" s="50"/>
      <c r="H188" s="50"/>
    </row>
    <row r="189">
      <c r="A189" s="50"/>
      <c r="B189" s="50"/>
      <c r="H189" s="50"/>
    </row>
    <row r="190">
      <c r="A190" s="50"/>
      <c r="B190" s="50"/>
      <c r="H190" s="50"/>
    </row>
    <row r="191">
      <c r="A191" s="50"/>
      <c r="B191" s="50"/>
      <c r="H191" s="50"/>
    </row>
    <row r="192">
      <c r="A192" s="50"/>
      <c r="B192" s="50"/>
      <c r="H192" s="50"/>
    </row>
    <row r="193">
      <c r="A193" s="50"/>
      <c r="B193" s="50"/>
      <c r="H193" s="50"/>
    </row>
    <row r="194">
      <c r="A194" s="50"/>
      <c r="B194" s="50"/>
      <c r="H194" s="50"/>
    </row>
    <row r="195">
      <c r="A195" s="50"/>
      <c r="B195" s="50"/>
      <c r="H195" s="50"/>
    </row>
    <row r="196">
      <c r="A196" s="50"/>
      <c r="B196" s="50"/>
      <c r="H196" s="50"/>
    </row>
    <row r="197">
      <c r="A197" s="50"/>
      <c r="B197" s="50"/>
      <c r="H197" s="50"/>
    </row>
    <row r="198">
      <c r="A198" s="50"/>
      <c r="B198" s="50"/>
      <c r="H198" s="50"/>
    </row>
    <row r="199">
      <c r="A199" s="50"/>
      <c r="B199" s="50"/>
      <c r="H199" s="50"/>
    </row>
    <row r="200">
      <c r="A200" s="50"/>
      <c r="B200" s="50"/>
      <c r="H200" s="50"/>
    </row>
    <row r="201">
      <c r="A201" s="50"/>
      <c r="B201" s="50"/>
      <c r="H201" s="50"/>
    </row>
    <row r="202">
      <c r="A202" s="50"/>
      <c r="B202" s="50"/>
      <c r="H202" s="50"/>
    </row>
    <row r="203">
      <c r="A203" s="50"/>
      <c r="B203" s="50"/>
      <c r="H203" s="50"/>
    </row>
    <row r="204">
      <c r="A204" s="50"/>
      <c r="B204" s="50"/>
      <c r="H204" s="50"/>
    </row>
    <row r="205">
      <c r="A205" s="50"/>
      <c r="B205" s="50"/>
      <c r="H205" s="50"/>
    </row>
    <row r="206">
      <c r="A206" s="50"/>
      <c r="B206" s="50"/>
      <c r="H206" s="50"/>
    </row>
    <row r="207">
      <c r="A207" s="50"/>
      <c r="B207" s="50"/>
      <c r="H207" s="50"/>
    </row>
    <row r="208">
      <c r="A208" s="50"/>
      <c r="B208" s="50"/>
      <c r="H208" s="50"/>
    </row>
    <row r="209">
      <c r="A209" s="50"/>
      <c r="B209" s="50"/>
      <c r="H209" s="50"/>
    </row>
    <row r="210">
      <c r="A210" s="50"/>
      <c r="B210" s="50"/>
      <c r="H210" s="50"/>
    </row>
    <row r="211">
      <c r="A211" s="50"/>
      <c r="B211" s="50"/>
      <c r="H211" s="50"/>
    </row>
    <row r="212">
      <c r="A212" s="50"/>
      <c r="B212" s="50"/>
      <c r="H212" s="50"/>
    </row>
    <row r="213">
      <c r="A213" s="50"/>
      <c r="B213" s="50"/>
      <c r="H213" s="50"/>
    </row>
    <row r="214">
      <c r="A214" s="50"/>
      <c r="B214" s="50"/>
      <c r="H214" s="50"/>
    </row>
    <row r="215">
      <c r="A215" s="50"/>
      <c r="B215" s="50"/>
      <c r="H215" s="50"/>
    </row>
    <row r="216">
      <c r="A216" s="50"/>
      <c r="B216" s="50"/>
      <c r="H216" s="50"/>
    </row>
    <row r="217">
      <c r="A217" s="50"/>
      <c r="B217" s="50"/>
      <c r="H217" s="50"/>
    </row>
    <row r="218">
      <c r="A218" s="50"/>
      <c r="B218" s="50"/>
      <c r="H218" s="50"/>
    </row>
    <row r="219">
      <c r="A219" s="50"/>
      <c r="B219" s="50"/>
      <c r="H219" s="50"/>
    </row>
    <row r="220">
      <c r="A220" s="50"/>
      <c r="B220" s="50"/>
      <c r="H220" s="50"/>
    </row>
    <row r="221">
      <c r="A221" s="50"/>
      <c r="B221" s="50"/>
      <c r="H221" s="50"/>
    </row>
    <row r="222">
      <c r="A222" s="50"/>
      <c r="B222" s="50"/>
      <c r="H222" s="50"/>
    </row>
    <row r="223">
      <c r="A223" s="50"/>
      <c r="B223" s="50"/>
      <c r="H223" s="50"/>
    </row>
    <row r="224">
      <c r="A224" s="50"/>
      <c r="B224" s="50"/>
      <c r="H224" s="50"/>
    </row>
    <row r="225">
      <c r="A225" s="50"/>
      <c r="B225" s="50"/>
      <c r="H225" s="50"/>
    </row>
    <row r="226">
      <c r="A226" s="50"/>
      <c r="B226" s="50"/>
      <c r="H226" s="50"/>
    </row>
    <row r="227">
      <c r="A227" s="50"/>
      <c r="B227" s="50"/>
      <c r="H227" s="50"/>
    </row>
    <row r="228">
      <c r="A228" s="50"/>
      <c r="B228" s="50"/>
      <c r="H228" s="50"/>
    </row>
    <row r="229">
      <c r="A229" s="50"/>
      <c r="B229" s="50"/>
      <c r="H229" s="50"/>
    </row>
    <row r="230">
      <c r="A230" s="50"/>
      <c r="B230" s="50"/>
      <c r="H230" s="50"/>
    </row>
    <row r="231">
      <c r="A231" s="50"/>
      <c r="B231" s="50"/>
      <c r="H231" s="50"/>
    </row>
    <row r="232">
      <c r="A232" s="50"/>
      <c r="B232" s="50"/>
      <c r="H232" s="50"/>
    </row>
    <row r="233">
      <c r="A233" s="50"/>
      <c r="B233" s="50"/>
      <c r="H233" s="50"/>
    </row>
    <row r="234">
      <c r="A234" s="50"/>
      <c r="B234" s="50"/>
      <c r="H234" s="50"/>
    </row>
    <row r="235">
      <c r="A235" s="50"/>
      <c r="B235" s="50"/>
      <c r="H235" s="50"/>
    </row>
    <row r="236">
      <c r="A236" s="50"/>
      <c r="B236" s="50"/>
      <c r="H236" s="50"/>
    </row>
    <row r="237">
      <c r="A237" s="50"/>
      <c r="B237" s="50"/>
      <c r="H237" s="50"/>
    </row>
    <row r="238">
      <c r="A238" s="50"/>
      <c r="B238" s="50"/>
      <c r="H238" s="50"/>
    </row>
    <row r="239">
      <c r="A239" s="50"/>
      <c r="B239" s="50"/>
      <c r="H239" s="50"/>
    </row>
    <row r="240">
      <c r="A240" s="50"/>
      <c r="B240" s="50"/>
      <c r="H240" s="50"/>
    </row>
    <row r="241">
      <c r="A241" s="50"/>
      <c r="B241" s="50"/>
      <c r="H241" s="50"/>
    </row>
    <row r="242">
      <c r="A242" s="50"/>
      <c r="B242" s="50"/>
      <c r="H242" s="50"/>
    </row>
    <row r="243">
      <c r="A243" s="50"/>
      <c r="B243" s="50"/>
      <c r="H243" s="50"/>
    </row>
    <row r="244">
      <c r="A244" s="50"/>
      <c r="B244" s="50"/>
      <c r="H244" s="50"/>
    </row>
    <row r="245">
      <c r="A245" s="50"/>
      <c r="B245" s="50"/>
      <c r="H245" s="50"/>
    </row>
    <row r="246">
      <c r="A246" s="50"/>
      <c r="B246" s="50"/>
      <c r="H246" s="50"/>
    </row>
    <row r="247">
      <c r="A247" s="50"/>
      <c r="B247" s="50"/>
      <c r="H247" s="50"/>
    </row>
    <row r="248">
      <c r="A248" s="50"/>
      <c r="B248" s="50"/>
      <c r="H248" s="50"/>
    </row>
    <row r="249">
      <c r="A249" s="50"/>
      <c r="B249" s="50"/>
      <c r="H249" s="50"/>
    </row>
    <row r="250">
      <c r="A250" s="50"/>
      <c r="B250" s="50"/>
      <c r="H250" s="50"/>
    </row>
    <row r="251">
      <c r="A251" s="50"/>
      <c r="B251" s="50"/>
      <c r="H251" s="50"/>
    </row>
    <row r="252">
      <c r="A252" s="50"/>
      <c r="B252" s="50"/>
      <c r="H252" s="50"/>
    </row>
    <row r="253">
      <c r="A253" s="50"/>
      <c r="B253" s="50"/>
      <c r="H253" s="50"/>
    </row>
    <row r="254">
      <c r="A254" s="50"/>
      <c r="B254" s="50"/>
      <c r="H254" s="50"/>
    </row>
    <row r="255">
      <c r="A255" s="50"/>
      <c r="B255" s="50"/>
      <c r="H255" s="50"/>
    </row>
    <row r="256">
      <c r="A256" s="50"/>
      <c r="B256" s="50"/>
      <c r="H256" s="50"/>
    </row>
    <row r="257">
      <c r="A257" s="50"/>
      <c r="B257" s="50"/>
      <c r="H257" s="50"/>
    </row>
    <row r="258">
      <c r="A258" s="50"/>
      <c r="B258" s="50"/>
      <c r="H258" s="50"/>
    </row>
    <row r="259">
      <c r="A259" s="50"/>
      <c r="B259" s="50"/>
      <c r="H259" s="50"/>
    </row>
    <row r="260">
      <c r="A260" s="50"/>
      <c r="B260" s="50"/>
      <c r="H260" s="50"/>
    </row>
    <row r="261">
      <c r="A261" s="50"/>
      <c r="B261" s="50"/>
      <c r="H261" s="50"/>
    </row>
    <row r="262">
      <c r="A262" s="50"/>
      <c r="B262" s="50"/>
      <c r="H262" s="50"/>
    </row>
    <row r="263">
      <c r="A263" s="50"/>
      <c r="B263" s="50"/>
      <c r="H263" s="50"/>
    </row>
    <row r="264">
      <c r="A264" s="50"/>
      <c r="B264" s="50"/>
      <c r="H264" s="50"/>
    </row>
    <row r="265">
      <c r="A265" s="50"/>
      <c r="B265" s="50"/>
      <c r="H265" s="50"/>
    </row>
    <row r="266">
      <c r="A266" s="50"/>
      <c r="B266" s="50"/>
      <c r="H266" s="50"/>
    </row>
    <row r="267">
      <c r="A267" s="50"/>
      <c r="B267" s="50"/>
      <c r="H267" s="50"/>
    </row>
    <row r="268">
      <c r="A268" s="50"/>
      <c r="B268" s="50"/>
      <c r="H268" s="50"/>
    </row>
    <row r="269">
      <c r="A269" s="50"/>
      <c r="B269" s="50"/>
      <c r="H269" s="50"/>
    </row>
    <row r="270">
      <c r="A270" s="50"/>
      <c r="B270" s="50"/>
      <c r="H270" s="50"/>
    </row>
    <row r="271">
      <c r="A271" s="50"/>
      <c r="B271" s="50"/>
      <c r="H271" s="50"/>
    </row>
    <row r="272">
      <c r="A272" s="50"/>
      <c r="B272" s="50"/>
      <c r="H272" s="50"/>
    </row>
    <row r="273">
      <c r="A273" s="50"/>
      <c r="B273" s="50"/>
      <c r="H273" s="50"/>
    </row>
    <row r="274">
      <c r="A274" s="50"/>
      <c r="B274" s="50"/>
      <c r="H274" s="50"/>
    </row>
    <row r="275">
      <c r="A275" s="50"/>
      <c r="B275" s="50"/>
      <c r="H275" s="50"/>
    </row>
    <row r="276">
      <c r="A276" s="50"/>
      <c r="B276" s="50"/>
      <c r="H276" s="50"/>
    </row>
    <row r="277">
      <c r="A277" s="50"/>
      <c r="B277" s="50"/>
      <c r="H277" s="50"/>
    </row>
    <row r="278">
      <c r="A278" s="50"/>
      <c r="B278" s="50"/>
      <c r="H278" s="50"/>
    </row>
    <row r="279">
      <c r="A279" s="50"/>
      <c r="B279" s="50"/>
      <c r="H279" s="50"/>
    </row>
    <row r="280">
      <c r="A280" s="50"/>
      <c r="B280" s="50"/>
      <c r="H280" s="50"/>
    </row>
    <row r="281">
      <c r="A281" s="50"/>
      <c r="B281" s="50"/>
      <c r="H281" s="50"/>
    </row>
    <row r="282">
      <c r="A282" s="50"/>
      <c r="B282" s="50"/>
      <c r="H282" s="50"/>
    </row>
    <row r="283">
      <c r="A283" s="50"/>
      <c r="B283" s="50"/>
      <c r="H283" s="50"/>
    </row>
    <row r="284">
      <c r="A284" s="50"/>
      <c r="B284" s="50"/>
      <c r="H284" s="50"/>
    </row>
    <row r="285">
      <c r="A285" s="50"/>
      <c r="B285" s="50"/>
      <c r="H285" s="50"/>
    </row>
    <row r="286">
      <c r="A286" s="50"/>
      <c r="B286" s="50"/>
      <c r="H286" s="50"/>
    </row>
    <row r="287">
      <c r="A287" s="50"/>
      <c r="B287" s="50"/>
      <c r="H287" s="50"/>
    </row>
    <row r="288">
      <c r="A288" s="50"/>
      <c r="B288" s="50"/>
      <c r="H288" s="50"/>
    </row>
    <row r="289">
      <c r="A289" s="50"/>
      <c r="B289" s="50"/>
      <c r="H289" s="50"/>
    </row>
    <row r="290">
      <c r="A290" s="50"/>
      <c r="B290" s="50"/>
      <c r="H290" s="50"/>
    </row>
    <row r="291">
      <c r="A291" s="50"/>
      <c r="B291" s="50"/>
      <c r="H291" s="50"/>
    </row>
    <row r="292">
      <c r="A292" s="50"/>
      <c r="B292" s="50"/>
      <c r="H292" s="50"/>
    </row>
    <row r="293">
      <c r="A293" s="50"/>
      <c r="B293" s="50"/>
      <c r="H293" s="50"/>
    </row>
    <row r="294">
      <c r="A294" s="50"/>
      <c r="B294" s="50"/>
      <c r="H294" s="50"/>
    </row>
    <row r="295">
      <c r="A295" s="50"/>
      <c r="B295" s="50"/>
      <c r="H295" s="50"/>
    </row>
    <row r="296">
      <c r="A296" s="50"/>
      <c r="B296" s="50"/>
      <c r="H296" s="50"/>
    </row>
    <row r="297">
      <c r="A297" s="50"/>
      <c r="B297" s="50"/>
      <c r="H297" s="50"/>
    </row>
    <row r="298">
      <c r="A298" s="50"/>
      <c r="B298" s="50"/>
      <c r="H298" s="50"/>
    </row>
    <row r="299">
      <c r="A299" s="50"/>
      <c r="B299" s="50"/>
      <c r="H299" s="50"/>
    </row>
    <row r="300">
      <c r="A300" s="50"/>
      <c r="B300" s="50"/>
      <c r="H300" s="50"/>
    </row>
    <row r="301">
      <c r="A301" s="50"/>
      <c r="B301" s="50"/>
      <c r="H301" s="50"/>
    </row>
    <row r="302">
      <c r="A302" s="50"/>
      <c r="B302" s="50"/>
      <c r="H302" s="50"/>
    </row>
    <row r="303">
      <c r="A303" s="50"/>
      <c r="B303" s="50"/>
      <c r="H303" s="50"/>
    </row>
    <row r="304">
      <c r="A304" s="50"/>
      <c r="B304" s="50"/>
      <c r="H304" s="50"/>
    </row>
    <row r="305">
      <c r="A305" s="50"/>
      <c r="B305" s="50"/>
      <c r="H305" s="50"/>
    </row>
    <row r="306">
      <c r="A306" s="50"/>
      <c r="B306" s="50"/>
      <c r="H306" s="50"/>
    </row>
    <row r="307">
      <c r="A307" s="50"/>
      <c r="B307" s="50"/>
      <c r="H307" s="50"/>
    </row>
    <row r="308">
      <c r="A308" s="50"/>
      <c r="B308" s="50"/>
      <c r="H308" s="50"/>
    </row>
    <row r="309">
      <c r="A309" s="50"/>
      <c r="B309" s="50"/>
      <c r="H309" s="50"/>
    </row>
    <row r="310">
      <c r="A310" s="50"/>
      <c r="B310" s="50"/>
      <c r="H310" s="50"/>
    </row>
    <row r="311">
      <c r="A311" s="50"/>
      <c r="B311" s="50"/>
      <c r="H311" s="50"/>
    </row>
    <row r="312">
      <c r="A312" s="50"/>
      <c r="B312" s="50"/>
      <c r="H312" s="50"/>
    </row>
    <row r="313">
      <c r="A313" s="50"/>
      <c r="B313" s="50"/>
      <c r="H313" s="50"/>
    </row>
    <row r="314">
      <c r="A314" s="50"/>
      <c r="B314" s="50"/>
      <c r="H314" s="50"/>
    </row>
    <row r="315">
      <c r="A315" s="50"/>
      <c r="B315" s="50"/>
      <c r="H315" s="50"/>
    </row>
    <row r="316">
      <c r="A316" s="50"/>
      <c r="B316" s="50"/>
      <c r="H316" s="50"/>
    </row>
    <row r="317">
      <c r="A317" s="50"/>
      <c r="B317" s="50"/>
      <c r="H317" s="50"/>
    </row>
    <row r="318">
      <c r="A318" s="50"/>
      <c r="B318" s="50"/>
      <c r="H318" s="50"/>
    </row>
    <row r="319">
      <c r="A319" s="50"/>
      <c r="B319" s="50"/>
      <c r="H319" s="50"/>
    </row>
    <row r="320">
      <c r="A320" s="50"/>
      <c r="B320" s="50"/>
      <c r="H320" s="50"/>
    </row>
    <row r="321">
      <c r="A321" s="50"/>
      <c r="B321" s="50"/>
      <c r="H321" s="50"/>
    </row>
    <row r="322">
      <c r="A322" s="50"/>
      <c r="B322" s="50"/>
      <c r="H322" s="50"/>
    </row>
    <row r="323">
      <c r="A323" s="50"/>
      <c r="B323" s="50"/>
      <c r="H323" s="50"/>
    </row>
    <row r="324">
      <c r="A324" s="50"/>
      <c r="B324" s="50"/>
      <c r="H324" s="50"/>
    </row>
    <row r="325">
      <c r="A325" s="50"/>
      <c r="B325" s="50"/>
      <c r="H325" s="50"/>
    </row>
    <row r="326">
      <c r="A326" s="50"/>
      <c r="B326" s="50"/>
      <c r="H326" s="50"/>
    </row>
    <row r="327">
      <c r="A327" s="50"/>
      <c r="B327" s="50"/>
      <c r="H327" s="50"/>
    </row>
    <row r="328">
      <c r="A328" s="50"/>
      <c r="B328" s="50"/>
      <c r="H328" s="50"/>
    </row>
    <row r="329">
      <c r="A329" s="50"/>
      <c r="B329" s="50"/>
      <c r="H329" s="50"/>
    </row>
    <row r="330">
      <c r="A330" s="50"/>
      <c r="B330" s="50"/>
      <c r="H330" s="50"/>
    </row>
    <row r="331">
      <c r="A331" s="50"/>
      <c r="B331" s="50"/>
      <c r="H331" s="50"/>
    </row>
    <row r="332">
      <c r="A332" s="50"/>
      <c r="B332" s="50"/>
      <c r="H332" s="50"/>
    </row>
    <row r="333">
      <c r="A333" s="50"/>
      <c r="B333" s="50"/>
      <c r="H333" s="50"/>
    </row>
    <row r="334">
      <c r="A334" s="50"/>
      <c r="B334" s="50"/>
      <c r="H334" s="50"/>
    </row>
    <row r="335">
      <c r="A335" s="50"/>
      <c r="B335" s="50"/>
      <c r="H335" s="50"/>
    </row>
    <row r="336">
      <c r="A336" s="50"/>
      <c r="B336" s="50"/>
      <c r="H336" s="50"/>
    </row>
    <row r="337">
      <c r="A337" s="50"/>
      <c r="B337" s="50"/>
      <c r="H337" s="50"/>
    </row>
    <row r="338">
      <c r="A338" s="50"/>
      <c r="B338" s="50"/>
      <c r="H338" s="50"/>
    </row>
    <row r="339">
      <c r="A339" s="50"/>
      <c r="B339" s="50"/>
      <c r="H339" s="50"/>
    </row>
    <row r="340">
      <c r="A340" s="50"/>
      <c r="B340" s="50"/>
      <c r="H340" s="50"/>
    </row>
    <row r="341">
      <c r="A341" s="50"/>
      <c r="B341" s="50"/>
      <c r="H341" s="50"/>
    </row>
    <row r="342">
      <c r="A342" s="50"/>
      <c r="B342" s="50"/>
      <c r="H342" s="50"/>
    </row>
    <row r="343">
      <c r="A343" s="50"/>
      <c r="B343" s="50"/>
      <c r="H343" s="50"/>
    </row>
    <row r="344">
      <c r="A344" s="50"/>
      <c r="B344" s="50"/>
      <c r="H344" s="50"/>
    </row>
    <row r="345">
      <c r="A345" s="50"/>
      <c r="B345" s="50"/>
      <c r="H345" s="50"/>
    </row>
    <row r="346">
      <c r="A346" s="50"/>
      <c r="B346" s="50"/>
      <c r="H346" s="50"/>
    </row>
    <row r="347">
      <c r="A347" s="50"/>
      <c r="B347" s="50"/>
      <c r="H347" s="50"/>
    </row>
    <row r="348">
      <c r="A348" s="50"/>
      <c r="B348" s="50"/>
      <c r="H348" s="50"/>
    </row>
    <row r="349">
      <c r="A349" s="50"/>
      <c r="B349" s="50"/>
      <c r="H349" s="50"/>
    </row>
    <row r="350">
      <c r="A350" s="50"/>
      <c r="B350" s="50"/>
      <c r="H350" s="50"/>
    </row>
    <row r="351">
      <c r="A351" s="50"/>
      <c r="B351" s="50"/>
      <c r="H351" s="50"/>
    </row>
    <row r="352">
      <c r="A352" s="50"/>
      <c r="B352" s="50"/>
      <c r="H352" s="50"/>
    </row>
    <row r="353">
      <c r="A353" s="50"/>
      <c r="B353" s="50"/>
      <c r="H353" s="50"/>
    </row>
    <row r="354">
      <c r="A354" s="50"/>
      <c r="B354" s="50"/>
      <c r="H354" s="50"/>
    </row>
    <row r="355">
      <c r="A355" s="50"/>
      <c r="B355" s="50"/>
      <c r="H355" s="50"/>
    </row>
    <row r="356">
      <c r="A356" s="50"/>
      <c r="B356" s="50"/>
      <c r="H356" s="50"/>
    </row>
    <row r="357">
      <c r="A357" s="50"/>
      <c r="B357" s="50"/>
      <c r="H357" s="50"/>
    </row>
    <row r="358">
      <c r="A358" s="50"/>
      <c r="B358" s="50"/>
      <c r="H358" s="50"/>
    </row>
    <row r="359">
      <c r="A359" s="50"/>
      <c r="B359" s="50"/>
      <c r="H359" s="50"/>
    </row>
    <row r="360">
      <c r="A360" s="50"/>
      <c r="B360" s="50"/>
      <c r="H360" s="50"/>
    </row>
    <row r="361">
      <c r="A361" s="50"/>
      <c r="B361" s="50"/>
      <c r="H361" s="50"/>
    </row>
    <row r="362">
      <c r="A362" s="50"/>
      <c r="B362" s="50"/>
      <c r="H362" s="50"/>
    </row>
    <row r="363">
      <c r="A363" s="50"/>
      <c r="B363" s="50"/>
      <c r="H363" s="50"/>
    </row>
    <row r="364">
      <c r="A364" s="50"/>
      <c r="B364" s="50"/>
      <c r="H364" s="50"/>
    </row>
    <row r="365">
      <c r="A365" s="50"/>
      <c r="B365" s="50"/>
      <c r="H365" s="50"/>
    </row>
    <row r="366">
      <c r="A366" s="50"/>
      <c r="B366" s="50"/>
      <c r="H366" s="50"/>
    </row>
    <row r="367">
      <c r="A367" s="50"/>
      <c r="B367" s="50"/>
      <c r="H367" s="50"/>
    </row>
    <row r="368">
      <c r="A368" s="50"/>
      <c r="B368" s="50"/>
      <c r="H368" s="50"/>
    </row>
    <row r="369">
      <c r="A369" s="50"/>
      <c r="B369" s="50"/>
      <c r="H369" s="50"/>
    </row>
    <row r="370">
      <c r="A370" s="50"/>
      <c r="B370" s="50"/>
      <c r="H370" s="50"/>
    </row>
    <row r="371">
      <c r="A371" s="50"/>
      <c r="B371" s="50"/>
      <c r="H371" s="50"/>
    </row>
    <row r="372">
      <c r="A372" s="50"/>
      <c r="B372" s="50"/>
      <c r="H372" s="50"/>
    </row>
    <row r="373">
      <c r="A373" s="50"/>
      <c r="B373" s="50"/>
      <c r="H373" s="50"/>
    </row>
    <row r="374">
      <c r="A374" s="50"/>
      <c r="B374" s="50"/>
      <c r="H374" s="50"/>
    </row>
    <row r="375">
      <c r="A375" s="50"/>
      <c r="B375" s="50"/>
      <c r="H375" s="50"/>
    </row>
    <row r="376">
      <c r="A376" s="50"/>
      <c r="B376" s="50"/>
      <c r="H376" s="50"/>
    </row>
    <row r="377">
      <c r="A377" s="50"/>
      <c r="B377" s="50"/>
      <c r="H377" s="50"/>
    </row>
    <row r="378">
      <c r="A378" s="50"/>
      <c r="B378" s="50"/>
      <c r="H378" s="50"/>
    </row>
    <row r="379">
      <c r="A379" s="50"/>
      <c r="B379" s="50"/>
      <c r="H379" s="50"/>
    </row>
    <row r="380">
      <c r="A380" s="50"/>
      <c r="B380" s="50"/>
      <c r="H380" s="50"/>
    </row>
    <row r="381">
      <c r="A381" s="50"/>
      <c r="B381" s="50"/>
      <c r="H381" s="50"/>
    </row>
    <row r="382">
      <c r="A382" s="50"/>
      <c r="B382" s="50"/>
      <c r="H382" s="50"/>
    </row>
    <row r="383">
      <c r="A383" s="50"/>
      <c r="B383" s="50"/>
      <c r="H383" s="50"/>
    </row>
    <row r="384">
      <c r="A384" s="50"/>
      <c r="B384" s="50"/>
      <c r="H384" s="50"/>
    </row>
    <row r="385">
      <c r="A385" s="50"/>
      <c r="B385" s="50"/>
      <c r="H385" s="50"/>
    </row>
    <row r="386">
      <c r="A386" s="50"/>
      <c r="B386" s="50"/>
      <c r="H386" s="50"/>
    </row>
    <row r="387">
      <c r="A387" s="50"/>
      <c r="B387" s="50"/>
      <c r="H387" s="50"/>
    </row>
    <row r="388">
      <c r="A388" s="50"/>
      <c r="B388" s="50"/>
      <c r="H388" s="50"/>
    </row>
    <row r="389">
      <c r="A389" s="50"/>
      <c r="B389" s="50"/>
      <c r="H389" s="50"/>
    </row>
    <row r="390">
      <c r="A390" s="50"/>
      <c r="B390" s="50"/>
      <c r="H390" s="50"/>
    </row>
    <row r="391">
      <c r="A391" s="50"/>
      <c r="B391" s="50"/>
      <c r="H391" s="50"/>
    </row>
    <row r="392">
      <c r="A392" s="50"/>
      <c r="B392" s="50"/>
      <c r="H392" s="50"/>
    </row>
    <row r="393">
      <c r="A393" s="50"/>
      <c r="B393" s="50"/>
      <c r="H393" s="50"/>
    </row>
    <row r="394">
      <c r="A394" s="50"/>
      <c r="B394" s="50"/>
      <c r="H394" s="50"/>
    </row>
    <row r="395">
      <c r="A395" s="50"/>
      <c r="B395" s="50"/>
      <c r="H395" s="50"/>
    </row>
    <row r="396">
      <c r="A396" s="50"/>
      <c r="B396" s="50"/>
      <c r="H396" s="50"/>
    </row>
    <row r="397">
      <c r="A397" s="50"/>
      <c r="B397" s="50"/>
      <c r="H397" s="50"/>
    </row>
    <row r="398">
      <c r="A398" s="50"/>
      <c r="B398" s="50"/>
      <c r="H398" s="50"/>
    </row>
    <row r="399">
      <c r="A399" s="50"/>
      <c r="B399" s="50"/>
      <c r="H399" s="50"/>
    </row>
    <row r="400">
      <c r="A400" s="50"/>
      <c r="B400" s="50"/>
      <c r="H400" s="50"/>
    </row>
    <row r="401">
      <c r="A401" s="50"/>
      <c r="B401" s="50"/>
      <c r="H401" s="50"/>
    </row>
    <row r="402">
      <c r="A402" s="50"/>
      <c r="B402" s="50"/>
      <c r="H402" s="50"/>
    </row>
    <row r="403">
      <c r="A403" s="50"/>
      <c r="B403" s="50"/>
      <c r="H403" s="50"/>
    </row>
    <row r="404">
      <c r="A404" s="50"/>
      <c r="B404" s="50"/>
      <c r="H404" s="50"/>
    </row>
    <row r="405">
      <c r="A405" s="50"/>
      <c r="B405" s="50"/>
      <c r="H405" s="50"/>
    </row>
    <row r="406">
      <c r="A406" s="50"/>
      <c r="B406" s="50"/>
      <c r="H406" s="50"/>
    </row>
    <row r="407">
      <c r="A407" s="50"/>
      <c r="B407" s="50"/>
      <c r="H407" s="50"/>
    </row>
    <row r="408">
      <c r="A408" s="50"/>
      <c r="B408" s="50"/>
      <c r="H408" s="50"/>
    </row>
    <row r="409">
      <c r="A409" s="50"/>
      <c r="B409" s="50"/>
      <c r="H409" s="50"/>
    </row>
    <row r="410">
      <c r="A410" s="50"/>
      <c r="B410" s="50"/>
      <c r="H410" s="50"/>
    </row>
    <row r="411">
      <c r="A411" s="50"/>
      <c r="B411" s="50"/>
      <c r="H411" s="50"/>
    </row>
    <row r="412">
      <c r="A412" s="50"/>
      <c r="B412" s="50"/>
      <c r="H412" s="50"/>
    </row>
    <row r="413">
      <c r="A413" s="50"/>
      <c r="B413" s="50"/>
      <c r="H413" s="50"/>
    </row>
    <row r="414">
      <c r="A414" s="50"/>
      <c r="B414" s="50"/>
      <c r="H414" s="50"/>
    </row>
    <row r="415">
      <c r="A415" s="50"/>
      <c r="B415" s="50"/>
      <c r="H415" s="50"/>
    </row>
    <row r="416">
      <c r="A416" s="50"/>
      <c r="B416" s="50"/>
      <c r="H416" s="50"/>
    </row>
    <row r="417">
      <c r="A417" s="50"/>
      <c r="B417" s="50"/>
      <c r="H417" s="50"/>
    </row>
    <row r="418">
      <c r="A418" s="50"/>
      <c r="B418" s="50"/>
      <c r="H418" s="50"/>
    </row>
    <row r="419">
      <c r="A419" s="50"/>
      <c r="B419" s="50"/>
      <c r="H419" s="50"/>
    </row>
    <row r="420">
      <c r="A420" s="50"/>
      <c r="B420" s="50"/>
      <c r="H420" s="50"/>
    </row>
    <row r="421">
      <c r="A421" s="50"/>
      <c r="B421" s="50"/>
      <c r="H421" s="50"/>
    </row>
    <row r="422">
      <c r="A422" s="50"/>
      <c r="B422" s="50"/>
      <c r="H422" s="50"/>
    </row>
    <row r="423">
      <c r="A423" s="50"/>
      <c r="B423" s="50"/>
      <c r="H423" s="50"/>
    </row>
    <row r="424">
      <c r="A424" s="50"/>
      <c r="B424" s="50"/>
      <c r="H424" s="50"/>
    </row>
    <row r="425">
      <c r="A425" s="50"/>
      <c r="B425" s="50"/>
      <c r="H425" s="50"/>
    </row>
    <row r="426">
      <c r="A426" s="50"/>
      <c r="B426" s="50"/>
      <c r="H426" s="50"/>
    </row>
    <row r="427">
      <c r="A427" s="50"/>
      <c r="B427" s="50"/>
      <c r="H427" s="50"/>
    </row>
    <row r="428">
      <c r="A428" s="50"/>
      <c r="B428" s="50"/>
      <c r="H428" s="50"/>
    </row>
    <row r="429">
      <c r="A429" s="50"/>
      <c r="B429" s="50"/>
      <c r="H429" s="50"/>
    </row>
    <row r="430">
      <c r="A430" s="50"/>
      <c r="B430" s="50"/>
      <c r="H430" s="50"/>
    </row>
    <row r="431">
      <c r="A431" s="50"/>
      <c r="B431" s="50"/>
      <c r="H431" s="50"/>
    </row>
    <row r="432">
      <c r="A432" s="50"/>
      <c r="B432" s="50"/>
      <c r="H432" s="50"/>
    </row>
    <row r="433">
      <c r="A433" s="50"/>
      <c r="B433" s="50"/>
      <c r="H433" s="50"/>
    </row>
    <row r="434">
      <c r="A434" s="50"/>
      <c r="B434" s="50"/>
      <c r="H434" s="50"/>
    </row>
    <row r="435">
      <c r="A435" s="50"/>
      <c r="B435" s="50"/>
      <c r="H435" s="50"/>
    </row>
    <row r="436">
      <c r="A436" s="50"/>
      <c r="B436" s="50"/>
      <c r="H436" s="50"/>
    </row>
    <row r="437">
      <c r="A437" s="50"/>
      <c r="B437" s="50"/>
      <c r="H437" s="50"/>
    </row>
    <row r="438">
      <c r="A438" s="50"/>
      <c r="B438" s="50"/>
      <c r="H438" s="50"/>
    </row>
    <row r="439">
      <c r="A439" s="50"/>
      <c r="B439" s="50"/>
      <c r="H439" s="50"/>
    </row>
    <row r="440">
      <c r="A440" s="50"/>
      <c r="B440" s="50"/>
      <c r="H440" s="50"/>
    </row>
    <row r="441">
      <c r="A441" s="50"/>
      <c r="B441" s="50"/>
      <c r="H441" s="50"/>
    </row>
    <row r="442">
      <c r="A442" s="50"/>
      <c r="B442" s="50"/>
      <c r="H442" s="50"/>
    </row>
    <row r="443">
      <c r="A443" s="50"/>
      <c r="B443" s="50"/>
      <c r="H443" s="50"/>
    </row>
    <row r="444">
      <c r="A444" s="50"/>
      <c r="B444" s="50"/>
      <c r="H444" s="50"/>
    </row>
    <row r="445">
      <c r="A445" s="50"/>
      <c r="B445" s="50"/>
      <c r="H445" s="50"/>
    </row>
    <row r="446">
      <c r="A446" s="50"/>
      <c r="B446" s="50"/>
      <c r="H446" s="50"/>
    </row>
    <row r="447">
      <c r="A447" s="50"/>
      <c r="B447" s="50"/>
      <c r="H447" s="50"/>
    </row>
    <row r="448">
      <c r="A448" s="50"/>
      <c r="B448" s="50"/>
      <c r="H448" s="50"/>
    </row>
    <row r="449">
      <c r="A449" s="50"/>
      <c r="B449" s="50"/>
      <c r="H449" s="50"/>
    </row>
    <row r="450">
      <c r="A450" s="50"/>
      <c r="B450" s="50"/>
      <c r="H450" s="50"/>
    </row>
    <row r="451">
      <c r="A451" s="50"/>
      <c r="B451" s="50"/>
      <c r="H451" s="50"/>
    </row>
    <row r="452">
      <c r="A452" s="50"/>
      <c r="B452" s="50"/>
      <c r="H452" s="50"/>
    </row>
    <row r="453">
      <c r="A453" s="50"/>
      <c r="B453" s="50"/>
      <c r="H453" s="50"/>
    </row>
    <row r="454">
      <c r="A454" s="50"/>
      <c r="B454" s="50"/>
      <c r="H454" s="50"/>
    </row>
    <row r="455">
      <c r="A455" s="50"/>
      <c r="B455" s="50"/>
      <c r="H455" s="50"/>
    </row>
    <row r="456">
      <c r="A456" s="50"/>
      <c r="B456" s="50"/>
      <c r="H456" s="50"/>
    </row>
    <row r="457">
      <c r="A457" s="50"/>
      <c r="B457" s="50"/>
      <c r="H457" s="50"/>
    </row>
    <row r="458">
      <c r="A458" s="50"/>
      <c r="B458" s="50"/>
      <c r="H458" s="50"/>
    </row>
    <row r="459">
      <c r="A459" s="50"/>
      <c r="B459" s="50"/>
      <c r="H459" s="50"/>
    </row>
    <row r="460">
      <c r="A460" s="50"/>
      <c r="B460" s="50"/>
      <c r="H460" s="50"/>
    </row>
    <row r="461">
      <c r="A461" s="50"/>
      <c r="B461" s="50"/>
      <c r="H461" s="50"/>
    </row>
    <row r="462">
      <c r="A462" s="50"/>
      <c r="B462" s="50"/>
      <c r="H462" s="50"/>
    </row>
    <row r="463">
      <c r="A463" s="50"/>
      <c r="B463" s="50"/>
      <c r="H463" s="50"/>
    </row>
    <row r="464">
      <c r="A464" s="50"/>
      <c r="B464" s="50"/>
      <c r="H464" s="50"/>
    </row>
    <row r="465">
      <c r="A465" s="50"/>
      <c r="B465" s="50"/>
      <c r="H465" s="50"/>
    </row>
    <row r="466">
      <c r="A466" s="50"/>
      <c r="B466" s="50"/>
      <c r="H466" s="50"/>
    </row>
    <row r="467">
      <c r="A467" s="50"/>
      <c r="B467" s="50"/>
      <c r="H467" s="50"/>
    </row>
    <row r="468">
      <c r="A468" s="50"/>
      <c r="B468" s="50"/>
      <c r="H468" s="50"/>
    </row>
    <row r="469">
      <c r="A469" s="50"/>
      <c r="B469" s="50"/>
      <c r="H469" s="50"/>
    </row>
    <row r="470">
      <c r="A470" s="50"/>
      <c r="B470" s="50"/>
      <c r="H470" s="50"/>
    </row>
    <row r="471">
      <c r="A471" s="50"/>
      <c r="B471" s="50"/>
      <c r="H471" s="50"/>
    </row>
    <row r="472">
      <c r="A472" s="50"/>
      <c r="B472" s="50"/>
      <c r="H472" s="50"/>
    </row>
    <row r="473">
      <c r="A473" s="50"/>
      <c r="B473" s="50"/>
      <c r="H473" s="50"/>
    </row>
    <row r="474">
      <c r="A474" s="50"/>
      <c r="B474" s="50"/>
      <c r="H474" s="50"/>
    </row>
    <row r="475">
      <c r="A475" s="50"/>
      <c r="B475" s="50"/>
      <c r="H475" s="50"/>
    </row>
    <row r="476">
      <c r="A476" s="50"/>
      <c r="B476" s="50"/>
      <c r="H476" s="50"/>
    </row>
    <row r="477">
      <c r="A477" s="50"/>
      <c r="B477" s="50"/>
      <c r="H477" s="50"/>
    </row>
    <row r="478">
      <c r="A478" s="50"/>
      <c r="B478" s="50"/>
      <c r="H478" s="50"/>
    </row>
    <row r="479">
      <c r="A479" s="50"/>
      <c r="B479" s="50"/>
      <c r="H479" s="50"/>
    </row>
    <row r="480">
      <c r="A480" s="50"/>
      <c r="B480" s="50"/>
      <c r="H480" s="50"/>
    </row>
    <row r="481">
      <c r="A481" s="50"/>
      <c r="B481" s="50"/>
      <c r="H481" s="50"/>
    </row>
    <row r="482">
      <c r="A482" s="50"/>
      <c r="B482" s="50"/>
      <c r="H482" s="50"/>
    </row>
    <row r="483">
      <c r="A483" s="50"/>
      <c r="B483" s="50"/>
      <c r="H483" s="50"/>
    </row>
    <row r="484">
      <c r="A484" s="50"/>
      <c r="B484" s="50"/>
      <c r="H484" s="50"/>
    </row>
    <row r="485">
      <c r="A485" s="50"/>
      <c r="B485" s="50"/>
      <c r="H485" s="50"/>
    </row>
    <row r="486">
      <c r="A486" s="50"/>
      <c r="B486" s="50"/>
      <c r="H486" s="50"/>
    </row>
    <row r="487">
      <c r="A487" s="50"/>
      <c r="B487" s="50"/>
      <c r="H487" s="50"/>
    </row>
    <row r="488">
      <c r="A488" s="50"/>
      <c r="B488" s="50"/>
      <c r="H488" s="50"/>
    </row>
    <row r="489">
      <c r="A489" s="50"/>
      <c r="B489" s="50"/>
      <c r="H489" s="50"/>
    </row>
    <row r="490">
      <c r="A490" s="50"/>
      <c r="B490" s="50"/>
      <c r="H490" s="50"/>
    </row>
    <row r="491">
      <c r="A491" s="50"/>
      <c r="B491" s="50"/>
      <c r="H491" s="50"/>
    </row>
    <row r="492">
      <c r="A492" s="50"/>
      <c r="B492" s="50"/>
      <c r="H492" s="50"/>
    </row>
    <row r="493">
      <c r="A493" s="50"/>
      <c r="B493" s="50"/>
      <c r="H493" s="50"/>
    </row>
    <row r="494">
      <c r="A494" s="50"/>
      <c r="B494" s="50"/>
      <c r="H494" s="50"/>
    </row>
    <row r="495">
      <c r="A495" s="50"/>
      <c r="B495" s="50"/>
      <c r="H495" s="50"/>
    </row>
    <row r="496">
      <c r="A496" s="50"/>
      <c r="B496" s="50"/>
      <c r="H496" s="50"/>
    </row>
    <row r="497">
      <c r="A497" s="50"/>
      <c r="B497" s="50"/>
      <c r="H497" s="50"/>
    </row>
    <row r="498">
      <c r="A498" s="50"/>
      <c r="B498" s="50"/>
      <c r="H498" s="50"/>
    </row>
    <row r="499">
      <c r="A499" s="50"/>
      <c r="B499" s="50"/>
      <c r="H499" s="50"/>
    </row>
    <row r="500">
      <c r="A500" s="50"/>
      <c r="B500" s="50"/>
      <c r="H500" s="50"/>
    </row>
    <row r="501">
      <c r="A501" s="50"/>
      <c r="B501" s="50"/>
      <c r="H501" s="50"/>
    </row>
    <row r="502">
      <c r="A502" s="50"/>
      <c r="B502" s="50"/>
      <c r="H502" s="50"/>
    </row>
    <row r="503">
      <c r="A503" s="50"/>
      <c r="B503" s="50"/>
      <c r="H503" s="50"/>
    </row>
    <row r="504">
      <c r="A504" s="50"/>
      <c r="B504" s="50"/>
      <c r="H504" s="50"/>
    </row>
    <row r="505">
      <c r="A505" s="50"/>
      <c r="B505" s="50"/>
      <c r="H505" s="50"/>
    </row>
    <row r="506">
      <c r="A506" s="50"/>
      <c r="B506" s="50"/>
      <c r="H506" s="50"/>
    </row>
    <row r="507">
      <c r="A507" s="50"/>
      <c r="B507" s="50"/>
      <c r="H507" s="50"/>
    </row>
    <row r="508">
      <c r="A508" s="50"/>
      <c r="B508" s="50"/>
      <c r="H508" s="50"/>
    </row>
    <row r="509">
      <c r="A509" s="50"/>
      <c r="B509" s="50"/>
      <c r="H509" s="50"/>
    </row>
    <row r="510">
      <c r="A510" s="50"/>
      <c r="B510" s="50"/>
      <c r="H510" s="50"/>
    </row>
    <row r="511">
      <c r="A511" s="50"/>
      <c r="B511" s="50"/>
      <c r="H511" s="50"/>
    </row>
    <row r="512">
      <c r="A512" s="50"/>
      <c r="B512" s="50"/>
      <c r="H512" s="50"/>
    </row>
    <row r="513">
      <c r="A513" s="50"/>
      <c r="B513" s="50"/>
      <c r="H513" s="50"/>
    </row>
    <row r="514">
      <c r="A514" s="50"/>
      <c r="B514" s="50"/>
      <c r="H514" s="50"/>
    </row>
    <row r="515">
      <c r="A515" s="50"/>
      <c r="B515" s="50"/>
      <c r="H515" s="50"/>
    </row>
    <row r="516">
      <c r="A516" s="50"/>
      <c r="B516" s="50"/>
      <c r="H516" s="50"/>
    </row>
    <row r="517">
      <c r="A517" s="50"/>
      <c r="B517" s="50"/>
      <c r="H517" s="50"/>
    </row>
    <row r="518">
      <c r="A518" s="50"/>
      <c r="B518" s="50"/>
      <c r="H518" s="50"/>
    </row>
    <row r="519">
      <c r="A519" s="50"/>
      <c r="B519" s="50"/>
      <c r="H519" s="50"/>
    </row>
    <row r="520">
      <c r="A520" s="50"/>
      <c r="B520" s="50"/>
      <c r="H520" s="50"/>
    </row>
    <row r="521">
      <c r="A521" s="50"/>
      <c r="B521" s="50"/>
      <c r="H521" s="50"/>
    </row>
    <row r="522">
      <c r="A522" s="50"/>
      <c r="B522" s="50"/>
      <c r="H522" s="50"/>
    </row>
    <row r="523">
      <c r="A523" s="50"/>
      <c r="B523" s="50"/>
      <c r="H523" s="50"/>
    </row>
    <row r="524">
      <c r="A524" s="50"/>
      <c r="B524" s="50"/>
      <c r="H524" s="50"/>
    </row>
    <row r="525">
      <c r="A525" s="50"/>
      <c r="B525" s="50"/>
      <c r="H525" s="50"/>
    </row>
    <row r="526">
      <c r="A526" s="50"/>
      <c r="B526" s="50"/>
      <c r="H526" s="50"/>
    </row>
    <row r="527">
      <c r="A527" s="50"/>
      <c r="B527" s="50"/>
      <c r="H527" s="50"/>
    </row>
    <row r="528">
      <c r="A528" s="50"/>
      <c r="B528" s="50"/>
      <c r="H528" s="50"/>
    </row>
    <row r="529">
      <c r="A529" s="50"/>
      <c r="B529" s="50"/>
      <c r="H529" s="50"/>
    </row>
    <row r="530">
      <c r="A530" s="50"/>
      <c r="B530" s="50"/>
      <c r="H530" s="50"/>
    </row>
    <row r="531">
      <c r="A531" s="50"/>
      <c r="B531" s="50"/>
      <c r="H531" s="50"/>
    </row>
    <row r="532">
      <c r="A532" s="50"/>
      <c r="B532" s="50"/>
      <c r="H532" s="50"/>
    </row>
    <row r="533">
      <c r="A533" s="50"/>
      <c r="B533" s="50"/>
      <c r="H533" s="50"/>
    </row>
    <row r="534">
      <c r="A534" s="50"/>
      <c r="B534" s="50"/>
      <c r="H534" s="50"/>
    </row>
    <row r="535">
      <c r="A535" s="50"/>
      <c r="B535" s="50"/>
      <c r="H535" s="50"/>
    </row>
    <row r="536">
      <c r="A536" s="50"/>
      <c r="B536" s="50"/>
      <c r="H536" s="50"/>
    </row>
    <row r="537">
      <c r="A537" s="50"/>
      <c r="B537" s="50"/>
      <c r="H537" s="50"/>
    </row>
    <row r="538">
      <c r="A538" s="50"/>
      <c r="B538" s="50"/>
      <c r="H538" s="50"/>
    </row>
    <row r="539">
      <c r="A539" s="50"/>
      <c r="B539" s="50"/>
      <c r="H539" s="50"/>
    </row>
    <row r="540">
      <c r="A540" s="50"/>
      <c r="B540" s="50"/>
      <c r="H540" s="50"/>
    </row>
    <row r="541">
      <c r="A541" s="50"/>
      <c r="B541" s="50"/>
      <c r="H541" s="50"/>
    </row>
    <row r="542">
      <c r="A542" s="50"/>
      <c r="B542" s="50"/>
      <c r="H542" s="50"/>
    </row>
    <row r="543">
      <c r="A543" s="50"/>
      <c r="B543" s="50"/>
      <c r="H543" s="50"/>
    </row>
    <row r="544">
      <c r="A544" s="50"/>
      <c r="B544" s="50"/>
      <c r="H544" s="50"/>
    </row>
    <row r="545">
      <c r="A545" s="50"/>
      <c r="B545" s="50"/>
      <c r="H545" s="50"/>
    </row>
    <row r="546">
      <c r="A546" s="50"/>
      <c r="B546" s="50"/>
      <c r="H546" s="50"/>
    </row>
    <row r="547">
      <c r="A547" s="50"/>
      <c r="B547" s="50"/>
      <c r="H547" s="50"/>
    </row>
    <row r="548">
      <c r="A548" s="50"/>
      <c r="B548" s="50"/>
      <c r="H548" s="50"/>
    </row>
    <row r="549">
      <c r="A549" s="50"/>
      <c r="B549" s="50"/>
      <c r="H549" s="50"/>
    </row>
    <row r="550">
      <c r="A550" s="50"/>
      <c r="B550" s="50"/>
      <c r="H550" s="50"/>
    </row>
    <row r="551">
      <c r="A551" s="50"/>
      <c r="B551" s="50"/>
      <c r="H551" s="50"/>
    </row>
    <row r="552">
      <c r="A552" s="50"/>
      <c r="B552" s="50"/>
      <c r="H552" s="50"/>
    </row>
    <row r="553">
      <c r="A553" s="50"/>
      <c r="B553" s="50"/>
      <c r="H553" s="50"/>
    </row>
    <row r="554">
      <c r="A554" s="50"/>
      <c r="B554" s="50"/>
      <c r="H554" s="50"/>
    </row>
    <row r="555">
      <c r="A555" s="50"/>
      <c r="B555" s="50"/>
      <c r="H555" s="50"/>
    </row>
    <row r="556">
      <c r="A556" s="50"/>
      <c r="B556" s="50"/>
      <c r="H556" s="50"/>
    </row>
    <row r="557">
      <c r="A557" s="50"/>
      <c r="B557" s="50"/>
      <c r="H557" s="50"/>
    </row>
    <row r="558">
      <c r="A558" s="50"/>
      <c r="B558" s="50"/>
      <c r="H558" s="50"/>
    </row>
    <row r="559">
      <c r="A559" s="50"/>
      <c r="B559" s="50"/>
      <c r="H559" s="50"/>
    </row>
    <row r="560">
      <c r="A560" s="50"/>
      <c r="B560" s="50"/>
      <c r="H560" s="50"/>
    </row>
    <row r="561">
      <c r="A561" s="50"/>
      <c r="B561" s="50"/>
      <c r="H561" s="50"/>
    </row>
    <row r="562">
      <c r="A562" s="50"/>
      <c r="B562" s="50"/>
      <c r="H562" s="50"/>
    </row>
    <row r="563">
      <c r="A563" s="50"/>
      <c r="B563" s="50"/>
      <c r="H563" s="50"/>
    </row>
    <row r="564">
      <c r="A564" s="50"/>
      <c r="B564" s="50"/>
      <c r="H564" s="50"/>
    </row>
    <row r="565">
      <c r="A565" s="50"/>
      <c r="B565" s="50"/>
      <c r="H565" s="50"/>
    </row>
    <row r="566">
      <c r="A566" s="50"/>
      <c r="B566" s="50"/>
      <c r="H566" s="50"/>
    </row>
    <row r="567">
      <c r="A567" s="50"/>
      <c r="B567" s="50"/>
      <c r="H567" s="50"/>
    </row>
    <row r="568">
      <c r="A568" s="50"/>
      <c r="B568" s="50"/>
      <c r="H568" s="50"/>
    </row>
    <row r="569">
      <c r="A569" s="50"/>
      <c r="B569" s="50"/>
      <c r="H569" s="50"/>
    </row>
    <row r="570">
      <c r="A570" s="50"/>
      <c r="B570" s="50"/>
      <c r="H570" s="50"/>
    </row>
    <row r="571">
      <c r="A571" s="50"/>
      <c r="B571" s="50"/>
      <c r="H571" s="50"/>
    </row>
    <row r="572">
      <c r="A572" s="50"/>
      <c r="B572" s="50"/>
      <c r="H572" s="50"/>
    </row>
    <row r="573">
      <c r="A573" s="50"/>
      <c r="B573" s="50"/>
      <c r="H573" s="50"/>
    </row>
    <row r="574">
      <c r="A574" s="50"/>
      <c r="B574" s="50"/>
      <c r="H574" s="50"/>
    </row>
    <row r="575">
      <c r="A575" s="50"/>
      <c r="B575" s="50"/>
      <c r="H575" s="50"/>
    </row>
    <row r="576">
      <c r="A576" s="50"/>
      <c r="B576" s="50"/>
      <c r="H576" s="50"/>
    </row>
    <row r="577">
      <c r="A577" s="50"/>
      <c r="B577" s="50"/>
      <c r="H577" s="50"/>
    </row>
    <row r="578">
      <c r="A578" s="50"/>
      <c r="B578" s="50"/>
      <c r="H578" s="50"/>
    </row>
    <row r="579">
      <c r="A579" s="50"/>
      <c r="B579" s="50"/>
      <c r="H579" s="50"/>
    </row>
    <row r="580">
      <c r="A580" s="50"/>
      <c r="B580" s="50"/>
      <c r="H580" s="50"/>
    </row>
    <row r="581">
      <c r="A581" s="50"/>
      <c r="B581" s="50"/>
      <c r="H581" s="50"/>
    </row>
    <row r="582">
      <c r="A582" s="50"/>
      <c r="B582" s="50"/>
      <c r="H582" s="50"/>
    </row>
    <row r="583">
      <c r="A583" s="50"/>
      <c r="B583" s="50"/>
      <c r="H583" s="50"/>
    </row>
    <row r="584">
      <c r="A584" s="50"/>
      <c r="B584" s="50"/>
      <c r="H584" s="50"/>
    </row>
    <row r="585">
      <c r="A585" s="50"/>
      <c r="B585" s="50"/>
      <c r="H585" s="50"/>
    </row>
    <row r="586">
      <c r="A586" s="50"/>
      <c r="B586" s="50"/>
      <c r="H586" s="50"/>
    </row>
    <row r="587">
      <c r="A587" s="50"/>
      <c r="B587" s="50"/>
      <c r="H587" s="50"/>
    </row>
    <row r="588">
      <c r="A588" s="50"/>
      <c r="B588" s="50"/>
      <c r="H588" s="50"/>
    </row>
    <row r="589">
      <c r="A589" s="50"/>
      <c r="B589" s="50"/>
      <c r="H589" s="50"/>
    </row>
    <row r="590">
      <c r="A590" s="50"/>
      <c r="B590" s="50"/>
      <c r="H590" s="50"/>
    </row>
    <row r="591">
      <c r="A591" s="50"/>
      <c r="B591" s="50"/>
      <c r="H591" s="50"/>
    </row>
    <row r="592">
      <c r="A592" s="50"/>
      <c r="B592" s="50"/>
      <c r="H592" s="50"/>
    </row>
    <row r="593">
      <c r="A593" s="50"/>
      <c r="B593" s="50"/>
      <c r="H593" s="50"/>
    </row>
    <row r="594">
      <c r="A594" s="50"/>
      <c r="B594" s="50"/>
      <c r="H594" s="50"/>
    </row>
    <row r="595">
      <c r="A595" s="50"/>
      <c r="B595" s="50"/>
      <c r="H595" s="50"/>
    </row>
    <row r="596">
      <c r="A596" s="50"/>
      <c r="B596" s="50"/>
      <c r="H596" s="50"/>
    </row>
    <row r="597">
      <c r="A597" s="50"/>
      <c r="B597" s="50"/>
      <c r="H597" s="50"/>
    </row>
    <row r="598">
      <c r="A598" s="50"/>
      <c r="B598" s="50"/>
      <c r="H598" s="50"/>
    </row>
    <row r="599">
      <c r="A599" s="50"/>
      <c r="B599" s="50"/>
      <c r="H599" s="50"/>
    </row>
    <row r="600">
      <c r="A600" s="50"/>
      <c r="B600" s="50"/>
      <c r="H600" s="50"/>
    </row>
    <row r="601">
      <c r="A601" s="50"/>
      <c r="B601" s="50"/>
      <c r="H601" s="50"/>
    </row>
    <row r="602">
      <c r="A602" s="50"/>
      <c r="B602" s="50"/>
      <c r="H602" s="50"/>
    </row>
    <row r="603">
      <c r="A603" s="50"/>
      <c r="B603" s="50"/>
      <c r="H603" s="50"/>
    </row>
    <row r="604">
      <c r="A604" s="50"/>
      <c r="B604" s="50"/>
      <c r="H604" s="50"/>
    </row>
    <row r="605">
      <c r="A605" s="50"/>
      <c r="B605" s="50"/>
      <c r="H605" s="50"/>
    </row>
    <row r="606">
      <c r="A606" s="50"/>
      <c r="B606" s="50"/>
      <c r="H606" s="50"/>
    </row>
    <row r="607">
      <c r="A607" s="50"/>
      <c r="B607" s="50"/>
      <c r="H607" s="50"/>
    </row>
    <row r="608">
      <c r="A608" s="50"/>
      <c r="B608" s="50"/>
      <c r="H608" s="50"/>
    </row>
    <row r="609">
      <c r="A609" s="50"/>
      <c r="B609" s="50"/>
      <c r="H609" s="50"/>
    </row>
    <row r="610">
      <c r="A610" s="50"/>
      <c r="B610" s="50"/>
      <c r="H610" s="50"/>
    </row>
    <row r="611">
      <c r="A611" s="50"/>
      <c r="B611" s="50"/>
      <c r="H611" s="50"/>
    </row>
    <row r="612">
      <c r="A612" s="50"/>
      <c r="B612" s="50"/>
      <c r="H612" s="50"/>
    </row>
    <row r="613">
      <c r="A613" s="50"/>
      <c r="B613" s="50"/>
      <c r="H613" s="50"/>
    </row>
    <row r="614">
      <c r="A614" s="50"/>
      <c r="B614" s="50"/>
      <c r="H614" s="50"/>
    </row>
    <row r="615">
      <c r="A615" s="50"/>
      <c r="B615" s="50"/>
      <c r="H615" s="50"/>
    </row>
    <row r="616">
      <c r="A616" s="50"/>
      <c r="B616" s="50"/>
      <c r="H616" s="50"/>
    </row>
    <row r="617">
      <c r="A617" s="50"/>
      <c r="B617" s="50"/>
      <c r="H617" s="50"/>
    </row>
    <row r="618">
      <c r="A618" s="50"/>
      <c r="B618" s="50"/>
      <c r="H618" s="50"/>
    </row>
    <row r="619">
      <c r="A619" s="50"/>
      <c r="B619" s="50"/>
      <c r="H619" s="50"/>
    </row>
    <row r="620">
      <c r="A620" s="50"/>
      <c r="B620" s="50"/>
      <c r="H620" s="50"/>
    </row>
    <row r="621">
      <c r="A621" s="50"/>
      <c r="B621" s="50"/>
      <c r="H621" s="50"/>
    </row>
    <row r="622">
      <c r="A622" s="50"/>
      <c r="B622" s="50"/>
      <c r="H622" s="50"/>
    </row>
    <row r="623">
      <c r="A623" s="50"/>
      <c r="B623" s="50"/>
      <c r="H623" s="50"/>
    </row>
    <row r="624">
      <c r="A624" s="50"/>
      <c r="B624" s="50"/>
      <c r="H624" s="50"/>
    </row>
    <row r="625">
      <c r="A625" s="50"/>
      <c r="B625" s="50"/>
      <c r="H625" s="50"/>
    </row>
    <row r="626">
      <c r="A626" s="50"/>
      <c r="B626" s="50"/>
      <c r="H626" s="50"/>
    </row>
    <row r="627">
      <c r="A627" s="50"/>
      <c r="B627" s="50"/>
      <c r="H627" s="50"/>
    </row>
    <row r="628">
      <c r="A628" s="50"/>
      <c r="B628" s="50"/>
      <c r="H628" s="50"/>
    </row>
    <row r="629">
      <c r="A629" s="50"/>
      <c r="B629" s="50"/>
      <c r="H629" s="50"/>
    </row>
    <row r="630">
      <c r="A630" s="50"/>
      <c r="B630" s="50"/>
      <c r="H630" s="50"/>
    </row>
    <row r="631">
      <c r="A631" s="50"/>
      <c r="B631" s="50"/>
      <c r="H631" s="50"/>
    </row>
    <row r="632">
      <c r="A632" s="50"/>
      <c r="B632" s="50"/>
      <c r="H632" s="50"/>
    </row>
    <row r="633">
      <c r="A633" s="50"/>
      <c r="B633" s="50"/>
      <c r="H633" s="50"/>
    </row>
    <row r="634">
      <c r="A634" s="50"/>
      <c r="B634" s="50"/>
      <c r="H634" s="50"/>
    </row>
    <row r="635">
      <c r="A635" s="50"/>
      <c r="B635" s="50"/>
      <c r="H635" s="50"/>
    </row>
    <row r="636">
      <c r="A636" s="50"/>
      <c r="B636" s="50"/>
      <c r="H636" s="50"/>
    </row>
    <row r="637">
      <c r="A637" s="50"/>
      <c r="B637" s="50"/>
      <c r="H637" s="50"/>
    </row>
    <row r="638">
      <c r="A638" s="50"/>
      <c r="B638" s="50"/>
      <c r="H638" s="50"/>
    </row>
    <row r="639">
      <c r="A639" s="50"/>
      <c r="B639" s="50"/>
      <c r="H639" s="50"/>
    </row>
    <row r="640">
      <c r="A640" s="50"/>
      <c r="B640" s="50"/>
      <c r="H640" s="50"/>
    </row>
    <row r="641">
      <c r="A641" s="50"/>
      <c r="B641" s="50"/>
      <c r="H641" s="50"/>
    </row>
    <row r="642">
      <c r="A642" s="50"/>
      <c r="B642" s="50"/>
      <c r="H642" s="50"/>
    </row>
    <row r="643">
      <c r="A643" s="50"/>
      <c r="B643" s="50"/>
      <c r="H643" s="50"/>
    </row>
    <row r="644">
      <c r="A644" s="50"/>
      <c r="B644" s="50"/>
      <c r="H644" s="50"/>
    </row>
    <row r="645">
      <c r="A645" s="50"/>
      <c r="B645" s="50"/>
      <c r="H645" s="50"/>
    </row>
    <row r="646">
      <c r="A646" s="50"/>
      <c r="B646" s="50"/>
      <c r="H646" s="50"/>
    </row>
    <row r="647">
      <c r="A647" s="50"/>
      <c r="B647" s="50"/>
      <c r="H647" s="50"/>
    </row>
    <row r="648">
      <c r="A648" s="50"/>
      <c r="B648" s="50"/>
      <c r="H648" s="50"/>
    </row>
    <row r="649">
      <c r="A649" s="50"/>
      <c r="B649" s="50"/>
      <c r="H649" s="50"/>
    </row>
    <row r="650">
      <c r="A650" s="50"/>
      <c r="B650" s="50"/>
      <c r="H650" s="50"/>
    </row>
    <row r="651">
      <c r="A651" s="50"/>
      <c r="B651" s="50"/>
      <c r="H651" s="50"/>
    </row>
    <row r="652">
      <c r="A652" s="50"/>
      <c r="B652" s="50"/>
      <c r="H652" s="50"/>
    </row>
    <row r="653">
      <c r="A653" s="50"/>
      <c r="B653" s="50"/>
      <c r="H653" s="50"/>
    </row>
    <row r="654">
      <c r="A654" s="50"/>
      <c r="B654" s="50"/>
      <c r="H654" s="50"/>
    </row>
    <row r="655">
      <c r="A655" s="50"/>
      <c r="B655" s="50"/>
      <c r="H655" s="50"/>
    </row>
    <row r="656">
      <c r="A656" s="50"/>
      <c r="B656" s="50"/>
      <c r="H656" s="50"/>
    </row>
    <row r="657">
      <c r="A657" s="50"/>
      <c r="B657" s="50"/>
      <c r="H657" s="50"/>
    </row>
    <row r="658">
      <c r="A658" s="50"/>
      <c r="B658" s="50"/>
      <c r="H658" s="50"/>
    </row>
    <row r="659">
      <c r="A659" s="50"/>
      <c r="B659" s="50"/>
      <c r="H659" s="50"/>
    </row>
    <row r="660">
      <c r="A660" s="50"/>
      <c r="B660" s="50"/>
      <c r="H660" s="50"/>
    </row>
    <row r="661">
      <c r="A661" s="50"/>
      <c r="B661" s="50"/>
      <c r="H661" s="50"/>
    </row>
    <row r="662">
      <c r="A662" s="50"/>
      <c r="B662" s="50"/>
      <c r="H662" s="50"/>
    </row>
    <row r="663">
      <c r="A663" s="50"/>
      <c r="B663" s="50"/>
      <c r="H663" s="50"/>
    </row>
    <row r="664">
      <c r="A664" s="50"/>
      <c r="B664" s="50"/>
      <c r="H664" s="50"/>
    </row>
    <row r="665">
      <c r="A665" s="50"/>
      <c r="B665" s="50"/>
      <c r="H665" s="50"/>
    </row>
    <row r="666">
      <c r="A666" s="50"/>
      <c r="B666" s="50"/>
      <c r="H666" s="50"/>
    </row>
    <row r="667">
      <c r="A667" s="50"/>
      <c r="B667" s="50"/>
      <c r="H667" s="50"/>
    </row>
    <row r="668">
      <c r="A668" s="50"/>
      <c r="B668" s="50"/>
      <c r="H668" s="50"/>
    </row>
    <row r="669">
      <c r="A669" s="50"/>
      <c r="B669" s="50"/>
      <c r="H669" s="50"/>
    </row>
    <row r="670">
      <c r="A670" s="50"/>
      <c r="B670" s="50"/>
      <c r="H670" s="50"/>
    </row>
    <row r="671">
      <c r="A671" s="50"/>
      <c r="B671" s="50"/>
      <c r="H671" s="50"/>
    </row>
    <row r="672">
      <c r="A672" s="50"/>
      <c r="B672" s="50"/>
      <c r="H672" s="50"/>
    </row>
    <row r="673">
      <c r="A673" s="50"/>
      <c r="B673" s="50"/>
      <c r="H673" s="50"/>
    </row>
    <row r="674">
      <c r="A674" s="50"/>
      <c r="B674" s="50"/>
      <c r="H674" s="50"/>
    </row>
    <row r="675">
      <c r="A675" s="50"/>
      <c r="B675" s="50"/>
      <c r="H675" s="50"/>
    </row>
    <row r="676">
      <c r="A676" s="50"/>
      <c r="B676" s="50"/>
      <c r="H676" s="50"/>
    </row>
    <row r="677">
      <c r="A677" s="50"/>
      <c r="B677" s="50"/>
      <c r="H677" s="50"/>
    </row>
    <row r="678">
      <c r="A678" s="50"/>
      <c r="B678" s="50"/>
      <c r="H678" s="50"/>
    </row>
    <row r="679">
      <c r="A679" s="50"/>
      <c r="B679" s="50"/>
      <c r="H679" s="50"/>
    </row>
    <row r="680">
      <c r="A680" s="50"/>
      <c r="B680" s="50"/>
      <c r="H680" s="50"/>
    </row>
    <row r="681">
      <c r="A681" s="50"/>
      <c r="B681" s="50"/>
      <c r="H681" s="50"/>
    </row>
    <row r="682">
      <c r="A682" s="50"/>
      <c r="B682" s="50"/>
      <c r="H682" s="50"/>
    </row>
    <row r="683">
      <c r="A683" s="50"/>
      <c r="B683" s="50"/>
      <c r="H683" s="50"/>
    </row>
    <row r="684">
      <c r="A684" s="50"/>
      <c r="B684" s="50"/>
      <c r="H684" s="50"/>
    </row>
    <row r="685">
      <c r="A685" s="50"/>
      <c r="B685" s="50"/>
      <c r="H685" s="50"/>
    </row>
    <row r="686">
      <c r="A686" s="50"/>
      <c r="B686" s="50"/>
      <c r="H686" s="50"/>
    </row>
    <row r="687">
      <c r="A687" s="50"/>
      <c r="B687" s="50"/>
      <c r="H687" s="50"/>
    </row>
    <row r="688">
      <c r="A688" s="50"/>
      <c r="B688" s="50"/>
      <c r="H688" s="50"/>
    </row>
    <row r="689">
      <c r="A689" s="50"/>
      <c r="B689" s="50"/>
      <c r="H689" s="50"/>
    </row>
    <row r="690">
      <c r="A690" s="50"/>
      <c r="B690" s="50"/>
      <c r="H690" s="50"/>
    </row>
    <row r="691">
      <c r="A691" s="50"/>
      <c r="B691" s="50"/>
      <c r="H691" s="50"/>
    </row>
    <row r="692">
      <c r="A692" s="50"/>
      <c r="B692" s="50"/>
      <c r="H692" s="50"/>
    </row>
    <row r="693">
      <c r="A693" s="50"/>
      <c r="B693" s="50"/>
      <c r="H693" s="50"/>
    </row>
    <row r="694">
      <c r="A694" s="50"/>
      <c r="B694" s="50"/>
      <c r="H694" s="50"/>
    </row>
    <row r="695">
      <c r="A695" s="50"/>
      <c r="B695" s="50"/>
      <c r="H695" s="50"/>
    </row>
    <row r="696">
      <c r="A696" s="50"/>
      <c r="B696" s="50"/>
      <c r="H696" s="50"/>
    </row>
    <row r="697">
      <c r="A697" s="50"/>
      <c r="B697" s="50"/>
      <c r="H697" s="50"/>
    </row>
    <row r="698">
      <c r="A698" s="50"/>
      <c r="B698" s="50"/>
      <c r="H698" s="50"/>
    </row>
    <row r="699">
      <c r="A699" s="50"/>
      <c r="B699" s="50"/>
      <c r="H699" s="50"/>
    </row>
    <row r="700">
      <c r="A700" s="50"/>
      <c r="B700" s="50"/>
      <c r="H700" s="50"/>
    </row>
    <row r="701">
      <c r="A701" s="50"/>
      <c r="B701" s="50"/>
      <c r="H701" s="50"/>
    </row>
    <row r="702">
      <c r="A702" s="50"/>
      <c r="B702" s="50"/>
      <c r="H702" s="50"/>
    </row>
    <row r="703">
      <c r="A703" s="50"/>
      <c r="B703" s="50"/>
      <c r="H703" s="50"/>
    </row>
    <row r="704">
      <c r="A704" s="50"/>
      <c r="B704" s="50"/>
      <c r="H704" s="50"/>
    </row>
    <row r="705">
      <c r="A705" s="50"/>
      <c r="B705" s="50"/>
      <c r="H705" s="50"/>
    </row>
    <row r="706">
      <c r="A706" s="50"/>
      <c r="B706" s="50"/>
      <c r="H706" s="50"/>
    </row>
    <row r="707">
      <c r="A707" s="50"/>
      <c r="B707" s="50"/>
      <c r="H707" s="50"/>
    </row>
    <row r="708">
      <c r="A708" s="50"/>
      <c r="B708" s="50"/>
      <c r="H708" s="50"/>
    </row>
    <row r="709">
      <c r="A709" s="50"/>
      <c r="B709" s="50"/>
      <c r="H709" s="50"/>
    </row>
    <row r="710">
      <c r="A710" s="50"/>
      <c r="B710" s="50"/>
      <c r="H710" s="50"/>
    </row>
    <row r="711">
      <c r="A711" s="50"/>
      <c r="B711" s="50"/>
      <c r="H711" s="50"/>
    </row>
    <row r="712">
      <c r="A712" s="50"/>
      <c r="B712" s="50"/>
      <c r="H712" s="50"/>
    </row>
    <row r="713">
      <c r="A713" s="50"/>
      <c r="B713" s="50"/>
      <c r="H713" s="50"/>
    </row>
    <row r="714">
      <c r="A714" s="50"/>
      <c r="B714" s="50"/>
      <c r="H714" s="50"/>
    </row>
    <row r="715">
      <c r="A715" s="50"/>
      <c r="B715" s="50"/>
      <c r="H715" s="50"/>
    </row>
    <row r="716">
      <c r="A716" s="50"/>
      <c r="B716" s="50"/>
      <c r="H716" s="50"/>
    </row>
    <row r="717">
      <c r="A717" s="50"/>
      <c r="B717" s="50"/>
      <c r="H717" s="50"/>
    </row>
    <row r="718">
      <c r="A718" s="50"/>
      <c r="B718" s="50"/>
      <c r="H718" s="50"/>
    </row>
    <row r="719">
      <c r="A719" s="50"/>
      <c r="B719" s="50"/>
      <c r="H719" s="50"/>
    </row>
    <row r="720">
      <c r="A720" s="50"/>
      <c r="B720" s="50"/>
      <c r="H720" s="50"/>
    </row>
    <row r="721">
      <c r="A721" s="50"/>
      <c r="B721" s="50"/>
      <c r="H721" s="50"/>
    </row>
    <row r="722">
      <c r="A722" s="50"/>
      <c r="B722" s="50"/>
      <c r="H722" s="50"/>
    </row>
    <row r="723">
      <c r="A723" s="50"/>
      <c r="B723" s="50"/>
      <c r="H723" s="50"/>
    </row>
    <row r="724">
      <c r="A724" s="50"/>
      <c r="B724" s="50"/>
      <c r="H724" s="50"/>
    </row>
    <row r="725">
      <c r="A725" s="50"/>
      <c r="B725" s="50"/>
      <c r="H725" s="50"/>
    </row>
    <row r="726">
      <c r="A726" s="50"/>
      <c r="B726" s="50"/>
      <c r="H726" s="50"/>
    </row>
    <row r="727">
      <c r="A727" s="50"/>
      <c r="B727" s="50"/>
      <c r="H727" s="50"/>
    </row>
    <row r="728">
      <c r="A728" s="50"/>
      <c r="B728" s="50"/>
      <c r="H728" s="50"/>
    </row>
    <row r="729">
      <c r="A729" s="50"/>
      <c r="B729" s="50"/>
      <c r="H729" s="50"/>
    </row>
    <row r="730">
      <c r="A730" s="50"/>
      <c r="B730" s="50"/>
      <c r="H730" s="50"/>
    </row>
    <row r="731">
      <c r="A731" s="50"/>
      <c r="B731" s="50"/>
      <c r="H731" s="50"/>
    </row>
    <row r="732">
      <c r="A732" s="50"/>
      <c r="B732" s="50"/>
      <c r="H732" s="50"/>
    </row>
    <row r="733">
      <c r="A733" s="50"/>
      <c r="B733" s="50"/>
      <c r="H733" s="50"/>
    </row>
    <row r="734">
      <c r="A734" s="50"/>
      <c r="B734" s="50"/>
      <c r="H734" s="50"/>
    </row>
    <row r="735">
      <c r="A735" s="50"/>
      <c r="B735" s="50"/>
      <c r="H735" s="50"/>
    </row>
    <row r="736">
      <c r="A736" s="50"/>
      <c r="B736" s="50"/>
      <c r="H736" s="50"/>
    </row>
    <row r="737">
      <c r="A737" s="50"/>
      <c r="B737" s="50"/>
      <c r="H737" s="50"/>
    </row>
    <row r="738">
      <c r="A738" s="50"/>
      <c r="B738" s="50"/>
      <c r="H738" s="50"/>
    </row>
    <row r="739">
      <c r="A739" s="50"/>
      <c r="B739" s="50"/>
      <c r="H739" s="50"/>
    </row>
    <row r="740">
      <c r="A740" s="50"/>
      <c r="B740" s="50"/>
      <c r="H740" s="50"/>
    </row>
    <row r="741">
      <c r="A741" s="50"/>
      <c r="B741" s="50"/>
      <c r="H741" s="50"/>
    </row>
    <row r="742">
      <c r="A742" s="50"/>
      <c r="B742" s="50"/>
      <c r="H742" s="50"/>
    </row>
    <row r="743">
      <c r="A743" s="50"/>
      <c r="B743" s="50"/>
      <c r="H743" s="50"/>
    </row>
    <row r="744">
      <c r="A744" s="50"/>
      <c r="B744" s="50"/>
      <c r="H744" s="50"/>
    </row>
    <row r="745">
      <c r="A745" s="50"/>
      <c r="B745" s="50"/>
      <c r="H745" s="50"/>
    </row>
    <row r="746">
      <c r="A746" s="50"/>
      <c r="B746" s="50"/>
      <c r="H746" s="50"/>
    </row>
    <row r="747">
      <c r="A747" s="50"/>
      <c r="B747" s="50"/>
      <c r="H747" s="50"/>
    </row>
    <row r="748">
      <c r="A748" s="50"/>
      <c r="B748" s="50"/>
      <c r="H748" s="50"/>
    </row>
    <row r="749">
      <c r="A749" s="50"/>
      <c r="B749" s="50"/>
      <c r="H749" s="50"/>
    </row>
    <row r="750">
      <c r="A750" s="50"/>
      <c r="B750" s="50"/>
      <c r="H750" s="50"/>
    </row>
    <row r="751">
      <c r="A751" s="50"/>
      <c r="B751" s="50"/>
      <c r="H751" s="50"/>
    </row>
    <row r="752">
      <c r="A752" s="50"/>
      <c r="B752" s="50"/>
      <c r="H752" s="50"/>
    </row>
    <row r="753">
      <c r="A753" s="50"/>
      <c r="B753" s="50"/>
      <c r="H753" s="50"/>
    </row>
    <row r="754">
      <c r="A754" s="50"/>
      <c r="B754" s="50"/>
      <c r="H754" s="50"/>
    </row>
    <row r="755">
      <c r="A755" s="50"/>
      <c r="B755" s="50"/>
      <c r="H755" s="50"/>
    </row>
    <row r="756">
      <c r="A756" s="50"/>
      <c r="B756" s="50"/>
      <c r="H756" s="50"/>
    </row>
    <row r="757">
      <c r="A757" s="50"/>
      <c r="B757" s="50"/>
      <c r="H757" s="50"/>
    </row>
    <row r="758">
      <c r="A758" s="50"/>
      <c r="B758" s="50"/>
      <c r="H758" s="50"/>
    </row>
    <row r="759">
      <c r="A759" s="50"/>
      <c r="B759" s="50"/>
      <c r="H759" s="50"/>
    </row>
    <row r="760">
      <c r="A760" s="50"/>
      <c r="B760" s="50"/>
      <c r="H760" s="50"/>
    </row>
    <row r="761">
      <c r="A761" s="50"/>
      <c r="B761" s="50"/>
      <c r="H761" s="50"/>
    </row>
    <row r="762">
      <c r="A762" s="50"/>
      <c r="B762" s="50"/>
      <c r="H762" s="50"/>
    </row>
    <row r="763">
      <c r="A763" s="50"/>
      <c r="B763" s="50"/>
      <c r="H763" s="50"/>
    </row>
    <row r="764">
      <c r="A764" s="50"/>
      <c r="B764" s="50"/>
      <c r="H764" s="50"/>
    </row>
    <row r="765">
      <c r="A765" s="50"/>
      <c r="B765" s="50"/>
      <c r="H765" s="50"/>
    </row>
    <row r="766">
      <c r="A766" s="50"/>
      <c r="B766" s="50"/>
      <c r="H766" s="50"/>
    </row>
    <row r="767">
      <c r="A767" s="50"/>
      <c r="B767" s="50"/>
      <c r="H767" s="50"/>
    </row>
    <row r="768">
      <c r="A768" s="50"/>
      <c r="B768" s="50"/>
      <c r="H768" s="50"/>
    </row>
    <row r="769">
      <c r="A769" s="50"/>
      <c r="B769" s="50"/>
      <c r="H769" s="50"/>
    </row>
    <row r="770">
      <c r="A770" s="50"/>
      <c r="B770" s="50"/>
      <c r="H770" s="50"/>
    </row>
    <row r="771">
      <c r="A771" s="50"/>
      <c r="B771" s="50"/>
      <c r="H771" s="50"/>
    </row>
    <row r="772">
      <c r="A772" s="50"/>
      <c r="B772" s="50"/>
      <c r="H772" s="50"/>
    </row>
    <row r="773">
      <c r="A773" s="50"/>
      <c r="B773" s="50"/>
      <c r="H773" s="50"/>
    </row>
    <row r="774">
      <c r="A774" s="50"/>
      <c r="B774" s="50"/>
      <c r="H774" s="50"/>
    </row>
    <row r="775">
      <c r="A775" s="50"/>
      <c r="B775" s="50"/>
      <c r="H775" s="50"/>
    </row>
    <row r="776">
      <c r="A776" s="50"/>
      <c r="B776" s="50"/>
      <c r="H776" s="50"/>
    </row>
    <row r="777">
      <c r="A777" s="50"/>
      <c r="B777" s="50"/>
      <c r="H777" s="50"/>
    </row>
    <row r="778">
      <c r="A778" s="50"/>
      <c r="B778" s="50"/>
      <c r="H778" s="50"/>
    </row>
    <row r="779">
      <c r="A779" s="50"/>
      <c r="B779" s="50"/>
      <c r="H779" s="50"/>
    </row>
    <row r="780">
      <c r="A780" s="50"/>
      <c r="B780" s="50"/>
      <c r="H780" s="50"/>
    </row>
    <row r="781">
      <c r="A781" s="50"/>
      <c r="B781" s="50"/>
      <c r="H781" s="50"/>
    </row>
    <row r="782">
      <c r="A782" s="50"/>
      <c r="B782" s="50"/>
      <c r="H782" s="50"/>
    </row>
    <row r="783">
      <c r="A783" s="50"/>
      <c r="B783" s="50"/>
      <c r="H783" s="50"/>
    </row>
    <row r="784">
      <c r="A784" s="50"/>
      <c r="B784" s="50"/>
      <c r="H784" s="50"/>
    </row>
    <row r="785">
      <c r="A785" s="50"/>
      <c r="B785" s="50"/>
      <c r="H785" s="50"/>
    </row>
    <row r="786">
      <c r="A786" s="50"/>
      <c r="B786" s="50"/>
      <c r="H786" s="50"/>
    </row>
    <row r="787">
      <c r="A787" s="50"/>
      <c r="B787" s="50"/>
      <c r="H787" s="50"/>
    </row>
    <row r="788">
      <c r="A788" s="50"/>
      <c r="B788" s="50"/>
      <c r="H788" s="50"/>
    </row>
    <row r="789">
      <c r="A789" s="50"/>
      <c r="B789" s="50"/>
      <c r="H789" s="50"/>
    </row>
    <row r="790">
      <c r="A790" s="50"/>
      <c r="B790" s="50"/>
      <c r="H790" s="50"/>
    </row>
    <row r="791">
      <c r="A791" s="50"/>
      <c r="B791" s="50"/>
      <c r="H791" s="50"/>
    </row>
    <row r="792">
      <c r="A792" s="50"/>
      <c r="B792" s="50"/>
      <c r="H792" s="50"/>
    </row>
    <row r="793">
      <c r="A793" s="50"/>
      <c r="B793" s="50"/>
      <c r="H793" s="50"/>
    </row>
    <row r="794">
      <c r="A794" s="50"/>
      <c r="B794" s="50"/>
      <c r="H794" s="50"/>
    </row>
    <row r="795">
      <c r="A795" s="50"/>
      <c r="B795" s="50"/>
      <c r="H795" s="50"/>
    </row>
    <row r="796">
      <c r="A796" s="50"/>
      <c r="B796" s="50"/>
      <c r="H796" s="50"/>
    </row>
    <row r="797">
      <c r="A797" s="50"/>
      <c r="B797" s="50"/>
      <c r="H797" s="50"/>
    </row>
    <row r="798">
      <c r="A798" s="50"/>
      <c r="B798" s="50"/>
      <c r="H798" s="50"/>
    </row>
    <row r="799">
      <c r="A799" s="50"/>
      <c r="B799" s="50"/>
      <c r="H799" s="50"/>
    </row>
    <row r="800">
      <c r="A800" s="50"/>
      <c r="B800" s="50"/>
      <c r="H800" s="50"/>
    </row>
    <row r="801">
      <c r="A801" s="50"/>
      <c r="B801" s="50"/>
      <c r="H801" s="50"/>
    </row>
    <row r="802">
      <c r="A802" s="50"/>
      <c r="B802" s="50"/>
      <c r="H802" s="50"/>
    </row>
    <row r="803">
      <c r="A803" s="50"/>
      <c r="B803" s="50"/>
      <c r="H803" s="50"/>
    </row>
    <row r="804">
      <c r="A804" s="50"/>
      <c r="B804" s="50"/>
      <c r="H804" s="50"/>
    </row>
    <row r="805">
      <c r="A805" s="50"/>
      <c r="B805" s="50"/>
      <c r="H805" s="50"/>
    </row>
    <row r="806">
      <c r="A806" s="50"/>
      <c r="B806" s="50"/>
      <c r="H806" s="50"/>
    </row>
    <row r="807">
      <c r="A807" s="50"/>
      <c r="B807" s="50"/>
      <c r="H807" s="50"/>
    </row>
    <row r="808">
      <c r="A808" s="50"/>
      <c r="B808" s="50"/>
      <c r="H808" s="50"/>
    </row>
    <row r="809">
      <c r="A809" s="50"/>
      <c r="B809" s="50"/>
      <c r="H809" s="50"/>
    </row>
    <row r="810">
      <c r="A810" s="50"/>
      <c r="B810" s="50"/>
      <c r="H810" s="50"/>
    </row>
    <row r="811">
      <c r="A811" s="50"/>
      <c r="B811" s="50"/>
      <c r="H811" s="50"/>
    </row>
    <row r="812">
      <c r="A812" s="50"/>
      <c r="B812" s="50"/>
      <c r="H812" s="50"/>
    </row>
    <row r="813">
      <c r="A813" s="50"/>
      <c r="B813" s="50"/>
      <c r="H813" s="50"/>
    </row>
    <row r="814">
      <c r="A814" s="50"/>
      <c r="B814" s="50"/>
      <c r="H814" s="50"/>
    </row>
    <row r="815">
      <c r="A815" s="50"/>
      <c r="B815" s="50"/>
      <c r="H815" s="50"/>
    </row>
    <row r="816">
      <c r="A816" s="50"/>
      <c r="B816" s="50"/>
      <c r="H816" s="50"/>
    </row>
    <row r="817">
      <c r="A817" s="50"/>
      <c r="B817" s="50"/>
      <c r="H817" s="50"/>
    </row>
    <row r="818">
      <c r="A818" s="50"/>
      <c r="B818" s="50"/>
      <c r="H818" s="50"/>
    </row>
    <row r="819">
      <c r="A819" s="50"/>
      <c r="B819" s="50"/>
      <c r="H819" s="50"/>
    </row>
    <row r="820">
      <c r="A820" s="50"/>
      <c r="B820" s="50"/>
      <c r="H820" s="50"/>
    </row>
    <row r="821">
      <c r="A821" s="50"/>
      <c r="B821" s="50"/>
      <c r="H821" s="50"/>
    </row>
    <row r="822">
      <c r="A822" s="50"/>
      <c r="B822" s="50"/>
      <c r="H822" s="50"/>
    </row>
    <row r="823">
      <c r="A823" s="50"/>
      <c r="B823" s="50"/>
      <c r="H823" s="50"/>
    </row>
    <row r="824">
      <c r="A824" s="50"/>
      <c r="B824" s="50"/>
      <c r="H824" s="50"/>
    </row>
    <row r="825">
      <c r="A825" s="50"/>
      <c r="B825" s="50"/>
      <c r="H825" s="50"/>
    </row>
    <row r="826">
      <c r="A826" s="50"/>
      <c r="B826" s="50"/>
      <c r="H826" s="50"/>
    </row>
    <row r="827">
      <c r="A827" s="50"/>
      <c r="B827" s="50"/>
      <c r="H827" s="50"/>
    </row>
    <row r="828">
      <c r="A828" s="50"/>
      <c r="B828" s="50"/>
      <c r="H828" s="50"/>
    </row>
    <row r="829">
      <c r="A829" s="50"/>
      <c r="B829" s="50"/>
      <c r="H829" s="50"/>
    </row>
    <row r="830">
      <c r="A830" s="50"/>
      <c r="B830" s="50"/>
      <c r="H830" s="50"/>
    </row>
    <row r="831">
      <c r="A831" s="50"/>
      <c r="B831" s="50"/>
      <c r="H831" s="50"/>
    </row>
    <row r="832">
      <c r="A832" s="50"/>
      <c r="B832" s="50"/>
      <c r="H832" s="50"/>
    </row>
    <row r="833">
      <c r="A833" s="50"/>
      <c r="B833" s="50"/>
      <c r="H833" s="50"/>
    </row>
    <row r="834">
      <c r="A834" s="50"/>
      <c r="B834" s="50"/>
      <c r="H834" s="50"/>
    </row>
    <row r="835">
      <c r="A835" s="50"/>
      <c r="B835" s="50"/>
      <c r="H835" s="50"/>
    </row>
    <row r="836">
      <c r="A836" s="50"/>
      <c r="B836" s="50"/>
      <c r="H836" s="50"/>
    </row>
    <row r="837">
      <c r="A837" s="50"/>
      <c r="B837" s="50"/>
      <c r="H837" s="50"/>
    </row>
    <row r="838">
      <c r="A838" s="50"/>
      <c r="B838" s="50"/>
      <c r="H838" s="50"/>
    </row>
    <row r="839">
      <c r="A839" s="50"/>
      <c r="B839" s="50"/>
      <c r="H839" s="50"/>
    </row>
    <row r="840">
      <c r="A840" s="50"/>
      <c r="B840" s="50"/>
      <c r="H840" s="50"/>
    </row>
    <row r="841">
      <c r="A841" s="50"/>
      <c r="B841" s="50"/>
      <c r="H841" s="50"/>
    </row>
    <row r="842">
      <c r="A842" s="50"/>
      <c r="B842" s="50"/>
      <c r="H842" s="50"/>
    </row>
    <row r="843">
      <c r="A843" s="50"/>
      <c r="B843" s="50"/>
      <c r="H843" s="50"/>
    </row>
    <row r="844">
      <c r="A844" s="50"/>
      <c r="B844" s="50"/>
      <c r="H844" s="50"/>
    </row>
    <row r="845">
      <c r="A845" s="50"/>
      <c r="B845" s="50"/>
      <c r="H845" s="50"/>
    </row>
    <row r="846">
      <c r="A846" s="50"/>
      <c r="B846" s="50"/>
      <c r="H846" s="50"/>
    </row>
    <row r="847">
      <c r="A847" s="50"/>
      <c r="B847" s="50"/>
      <c r="H847" s="50"/>
    </row>
    <row r="848">
      <c r="A848" s="50"/>
      <c r="B848" s="50"/>
      <c r="H848" s="50"/>
    </row>
    <row r="849">
      <c r="A849" s="50"/>
      <c r="B849" s="50"/>
      <c r="H849" s="50"/>
    </row>
    <row r="850">
      <c r="A850" s="50"/>
      <c r="B850" s="50"/>
      <c r="H850" s="50"/>
    </row>
    <row r="851">
      <c r="A851" s="50"/>
      <c r="B851" s="50"/>
      <c r="H851" s="50"/>
    </row>
    <row r="852">
      <c r="A852" s="50"/>
      <c r="B852" s="50"/>
      <c r="H852" s="50"/>
    </row>
    <row r="853">
      <c r="A853" s="50"/>
      <c r="B853" s="50"/>
      <c r="H853" s="50"/>
    </row>
    <row r="854">
      <c r="A854" s="50"/>
      <c r="B854" s="50"/>
      <c r="H854" s="50"/>
    </row>
    <row r="855">
      <c r="A855" s="50"/>
      <c r="B855" s="50"/>
      <c r="H855" s="50"/>
    </row>
    <row r="856">
      <c r="A856" s="50"/>
      <c r="B856" s="50"/>
      <c r="H856" s="50"/>
    </row>
    <row r="857">
      <c r="A857" s="50"/>
      <c r="B857" s="50"/>
      <c r="H857" s="50"/>
    </row>
    <row r="858">
      <c r="A858" s="50"/>
      <c r="B858" s="50"/>
      <c r="H858" s="50"/>
    </row>
    <row r="859">
      <c r="A859" s="50"/>
      <c r="B859" s="50"/>
      <c r="H859" s="50"/>
    </row>
    <row r="860">
      <c r="A860" s="50"/>
      <c r="B860" s="50"/>
      <c r="H860" s="50"/>
    </row>
    <row r="861">
      <c r="A861" s="50"/>
      <c r="B861" s="50"/>
      <c r="H861" s="50"/>
    </row>
    <row r="862">
      <c r="A862" s="50"/>
      <c r="B862" s="50"/>
      <c r="H862" s="50"/>
    </row>
    <row r="863">
      <c r="A863" s="50"/>
      <c r="B863" s="50"/>
      <c r="H863" s="50"/>
    </row>
    <row r="864">
      <c r="A864" s="50"/>
      <c r="B864" s="50"/>
      <c r="H864" s="50"/>
    </row>
    <row r="865">
      <c r="A865" s="50"/>
      <c r="B865" s="50"/>
      <c r="H865" s="50"/>
    </row>
    <row r="866">
      <c r="A866" s="50"/>
      <c r="B866" s="50"/>
      <c r="H866" s="50"/>
    </row>
    <row r="867">
      <c r="A867" s="50"/>
      <c r="B867" s="50"/>
      <c r="H867" s="50"/>
    </row>
    <row r="868">
      <c r="A868" s="50"/>
      <c r="B868" s="50"/>
      <c r="H868" s="50"/>
    </row>
    <row r="869">
      <c r="A869" s="50"/>
      <c r="B869" s="50"/>
      <c r="H869" s="50"/>
    </row>
    <row r="870">
      <c r="A870" s="50"/>
      <c r="B870" s="50"/>
      <c r="H870" s="50"/>
    </row>
    <row r="871">
      <c r="A871" s="50"/>
      <c r="B871" s="50"/>
      <c r="H871" s="50"/>
    </row>
    <row r="872">
      <c r="A872" s="50"/>
      <c r="B872" s="50"/>
      <c r="H872" s="50"/>
    </row>
    <row r="873">
      <c r="A873" s="50"/>
      <c r="B873" s="50"/>
      <c r="H873" s="50"/>
    </row>
    <row r="874">
      <c r="A874" s="50"/>
      <c r="B874" s="50"/>
      <c r="H874" s="50"/>
    </row>
    <row r="875">
      <c r="A875" s="50"/>
      <c r="B875" s="50"/>
      <c r="H875" s="50"/>
    </row>
    <row r="876">
      <c r="A876" s="50"/>
      <c r="B876" s="50"/>
      <c r="H876" s="50"/>
    </row>
    <row r="877">
      <c r="A877" s="50"/>
      <c r="B877" s="50"/>
      <c r="H877" s="50"/>
    </row>
    <row r="878">
      <c r="A878" s="50"/>
      <c r="B878" s="50"/>
      <c r="H878" s="50"/>
    </row>
    <row r="879">
      <c r="A879" s="50"/>
      <c r="B879" s="50"/>
      <c r="H879" s="50"/>
    </row>
    <row r="880">
      <c r="A880" s="50"/>
      <c r="B880" s="50"/>
      <c r="H880" s="50"/>
    </row>
    <row r="881">
      <c r="A881" s="50"/>
      <c r="B881" s="50"/>
      <c r="H881" s="50"/>
    </row>
    <row r="882">
      <c r="A882" s="50"/>
      <c r="B882" s="50"/>
      <c r="H882" s="50"/>
    </row>
    <row r="883">
      <c r="A883" s="50"/>
      <c r="B883" s="50"/>
      <c r="H883" s="50"/>
    </row>
    <row r="884">
      <c r="A884" s="50"/>
      <c r="B884" s="50"/>
      <c r="H884" s="50"/>
    </row>
    <row r="885">
      <c r="A885" s="50"/>
      <c r="B885" s="50"/>
      <c r="H885" s="50"/>
    </row>
    <row r="886">
      <c r="A886" s="50"/>
      <c r="B886" s="50"/>
      <c r="H886" s="50"/>
    </row>
    <row r="887">
      <c r="A887" s="50"/>
      <c r="B887" s="50"/>
      <c r="H887" s="50"/>
    </row>
    <row r="888">
      <c r="A888" s="50"/>
      <c r="B888" s="50"/>
      <c r="H888" s="50"/>
    </row>
    <row r="889">
      <c r="A889" s="50"/>
      <c r="B889" s="50"/>
      <c r="H889" s="50"/>
    </row>
    <row r="890">
      <c r="A890" s="50"/>
      <c r="B890" s="50"/>
      <c r="H890" s="50"/>
    </row>
    <row r="891">
      <c r="A891" s="50"/>
      <c r="B891" s="50"/>
      <c r="H891" s="50"/>
    </row>
    <row r="892">
      <c r="A892" s="50"/>
      <c r="B892" s="50"/>
      <c r="H892" s="50"/>
    </row>
    <row r="893">
      <c r="A893" s="50"/>
      <c r="B893" s="50"/>
      <c r="H893" s="50"/>
    </row>
    <row r="894">
      <c r="A894" s="50"/>
      <c r="B894" s="50"/>
      <c r="H894" s="50"/>
    </row>
    <row r="895">
      <c r="A895" s="50"/>
      <c r="B895" s="50"/>
      <c r="H895" s="50"/>
    </row>
    <row r="896">
      <c r="A896" s="50"/>
      <c r="B896" s="50"/>
      <c r="H896" s="50"/>
    </row>
    <row r="897">
      <c r="A897" s="50"/>
      <c r="B897" s="50"/>
      <c r="H897" s="50"/>
    </row>
    <row r="898">
      <c r="A898" s="50"/>
      <c r="B898" s="50"/>
      <c r="H898" s="50"/>
    </row>
    <row r="899">
      <c r="A899" s="50"/>
      <c r="B899" s="50"/>
      <c r="H899" s="50"/>
    </row>
    <row r="900">
      <c r="A900" s="50"/>
      <c r="B900" s="50"/>
      <c r="H900" s="50"/>
    </row>
    <row r="901">
      <c r="A901" s="50"/>
      <c r="B901" s="50"/>
      <c r="H901" s="50"/>
    </row>
    <row r="902">
      <c r="A902" s="50"/>
      <c r="B902" s="50"/>
      <c r="H902" s="50"/>
    </row>
    <row r="903">
      <c r="A903" s="50"/>
      <c r="B903" s="50"/>
      <c r="H903" s="50"/>
    </row>
    <row r="904">
      <c r="A904" s="50"/>
      <c r="B904" s="50"/>
      <c r="H904" s="50"/>
    </row>
    <row r="905">
      <c r="A905" s="50"/>
      <c r="B905" s="50"/>
      <c r="H905" s="50"/>
    </row>
    <row r="906">
      <c r="A906" s="50"/>
      <c r="B906" s="50"/>
      <c r="H906" s="50"/>
    </row>
    <row r="907">
      <c r="A907" s="50"/>
      <c r="B907" s="50"/>
      <c r="H907" s="50"/>
    </row>
    <row r="908">
      <c r="A908" s="50"/>
      <c r="B908" s="50"/>
      <c r="H908" s="50"/>
    </row>
    <row r="909">
      <c r="A909" s="50"/>
      <c r="B909" s="50"/>
      <c r="H909" s="50"/>
    </row>
    <row r="910">
      <c r="A910" s="50"/>
      <c r="B910" s="50"/>
      <c r="H910" s="50"/>
    </row>
    <row r="911">
      <c r="A911" s="50"/>
      <c r="B911" s="50"/>
      <c r="H911" s="50"/>
    </row>
    <row r="912">
      <c r="A912" s="50"/>
      <c r="B912" s="50"/>
      <c r="H912" s="50"/>
    </row>
    <row r="913">
      <c r="A913" s="50"/>
      <c r="B913" s="50"/>
      <c r="H913" s="50"/>
    </row>
    <row r="914">
      <c r="A914" s="50"/>
      <c r="B914" s="50"/>
      <c r="H914" s="50"/>
    </row>
    <row r="915">
      <c r="A915" s="50"/>
      <c r="B915" s="50"/>
      <c r="H915" s="50"/>
    </row>
    <row r="916">
      <c r="A916" s="50"/>
      <c r="B916" s="50"/>
      <c r="H916" s="50"/>
    </row>
    <row r="917">
      <c r="A917" s="50"/>
      <c r="B917" s="50"/>
      <c r="H917" s="50"/>
    </row>
    <row r="918">
      <c r="A918" s="50"/>
      <c r="B918" s="50"/>
      <c r="H918" s="50"/>
    </row>
    <row r="919">
      <c r="A919" s="50"/>
      <c r="B919" s="50"/>
      <c r="H919" s="50"/>
    </row>
    <row r="920">
      <c r="A920" s="50"/>
      <c r="B920" s="50"/>
      <c r="H920" s="50"/>
    </row>
    <row r="921">
      <c r="A921" s="50"/>
      <c r="B921" s="50"/>
      <c r="H921" s="50"/>
    </row>
    <row r="922">
      <c r="A922" s="50"/>
      <c r="B922" s="50"/>
      <c r="H922" s="50"/>
    </row>
    <row r="923">
      <c r="A923" s="50"/>
      <c r="B923" s="50"/>
      <c r="H923" s="50"/>
    </row>
    <row r="924">
      <c r="A924" s="50"/>
      <c r="B924" s="50"/>
      <c r="H924" s="50"/>
    </row>
    <row r="925">
      <c r="A925" s="50"/>
      <c r="B925" s="50"/>
      <c r="H925" s="50"/>
    </row>
    <row r="926">
      <c r="A926" s="50"/>
      <c r="B926" s="50"/>
      <c r="H926" s="50"/>
    </row>
    <row r="927">
      <c r="A927" s="50"/>
      <c r="B927" s="50"/>
      <c r="H927" s="50"/>
    </row>
    <row r="928">
      <c r="A928" s="50"/>
      <c r="B928" s="50"/>
      <c r="H928" s="50"/>
    </row>
    <row r="929">
      <c r="A929" s="50"/>
      <c r="B929" s="50"/>
      <c r="H929" s="50"/>
    </row>
    <row r="930">
      <c r="A930" s="50"/>
      <c r="B930" s="50"/>
      <c r="H930" s="50"/>
    </row>
    <row r="931">
      <c r="A931" s="50"/>
      <c r="B931" s="50"/>
      <c r="H931" s="50"/>
    </row>
    <row r="932">
      <c r="A932" s="50"/>
      <c r="B932" s="50"/>
      <c r="H932" s="50"/>
    </row>
    <row r="933">
      <c r="A933" s="50"/>
      <c r="B933" s="50"/>
      <c r="H933" s="50"/>
    </row>
    <row r="934">
      <c r="A934" s="50"/>
      <c r="B934" s="50"/>
      <c r="H934" s="50"/>
    </row>
    <row r="935">
      <c r="A935" s="50"/>
      <c r="B935" s="50"/>
      <c r="H935" s="50"/>
    </row>
    <row r="936">
      <c r="A936" s="50"/>
      <c r="B936" s="50"/>
      <c r="H936" s="50"/>
    </row>
    <row r="937">
      <c r="A937" s="50"/>
      <c r="B937" s="50"/>
      <c r="H937" s="50"/>
    </row>
    <row r="938">
      <c r="A938" s="50"/>
      <c r="B938" s="50"/>
      <c r="H938" s="50"/>
    </row>
    <row r="939">
      <c r="A939" s="50"/>
      <c r="B939" s="50"/>
      <c r="H939" s="50"/>
    </row>
    <row r="940">
      <c r="A940" s="50"/>
      <c r="B940" s="50"/>
      <c r="H940" s="50"/>
    </row>
    <row r="941">
      <c r="A941" s="50"/>
      <c r="B941" s="50"/>
      <c r="H941" s="50"/>
    </row>
    <row r="942">
      <c r="A942" s="50"/>
      <c r="B942" s="50"/>
      <c r="H942" s="50"/>
    </row>
    <row r="943">
      <c r="A943" s="50"/>
      <c r="B943" s="50"/>
      <c r="H943" s="50"/>
    </row>
    <row r="944">
      <c r="A944" s="50"/>
      <c r="B944" s="50"/>
      <c r="H944" s="50"/>
    </row>
    <row r="945">
      <c r="A945" s="50"/>
      <c r="B945" s="50"/>
      <c r="H945" s="50"/>
    </row>
    <row r="946">
      <c r="A946" s="50"/>
      <c r="B946" s="50"/>
      <c r="H946" s="50"/>
    </row>
    <row r="947">
      <c r="A947" s="50"/>
      <c r="B947" s="50"/>
      <c r="H947" s="50"/>
    </row>
    <row r="948">
      <c r="A948" s="50"/>
      <c r="B948" s="50"/>
      <c r="H948" s="50"/>
    </row>
    <row r="949">
      <c r="A949" s="50"/>
      <c r="B949" s="50"/>
      <c r="H949" s="50"/>
    </row>
    <row r="950">
      <c r="A950" s="50"/>
      <c r="B950" s="50"/>
      <c r="H950" s="50"/>
    </row>
    <row r="951">
      <c r="A951" s="50"/>
      <c r="B951" s="50"/>
      <c r="H951" s="50"/>
    </row>
    <row r="952">
      <c r="A952" s="50"/>
      <c r="B952" s="50"/>
      <c r="H952" s="50"/>
    </row>
    <row r="953">
      <c r="A953" s="50"/>
      <c r="B953" s="50"/>
      <c r="H953" s="50"/>
    </row>
    <row r="954">
      <c r="A954" s="50"/>
      <c r="B954" s="50"/>
      <c r="H954" s="50"/>
    </row>
    <row r="955">
      <c r="A955" s="50"/>
      <c r="B955" s="50"/>
      <c r="H955" s="50"/>
    </row>
    <row r="956">
      <c r="A956" s="50"/>
      <c r="B956" s="50"/>
      <c r="H956" s="50"/>
    </row>
    <row r="957">
      <c r="A957" s="50"/>
      <c r="B957" s="50"/>
      <c r="H957" s="50"/>
    </row>
    <row r="958">
      <c r="A958" s="50"/>
      <c r="B958" s="50"/>
      <c r="H958" s="50"/>
    </row>
    <row r="959">
      <c r="A959" s="50"/>
      <c r="B959" s="50"/>
      <c r="H959" s="50"/>
    </row>
    <row r="960">
      <c r="A960" s="50"/>
      <c r="B960" s="50"/>
      <c r="H960" s="50"/>
    </row>
    <row r="961">
      <c r="A961" s="50"/>
      <c r="B961" s="50"/>
      <c r="H961" s="50"/>
    </row>
    <row r="962">
      <c r="A962" s="50"/>
      <c r="B962" s="50"/>
      <c r="H962" s="50"/>
    </row>
    <row r="963">
      <c r="A963" s="50"/>
      <c r="B963" s="50"/>
      <c r="H963" s="50"/>
    </row>
    <row r="964">
      <c r="A964" s="50"/>
      <c r="B964" s="50"/>
      <c r="H964" s="50"/>
    </row>
    <row r="965">
      <c r="A965" s="50"/>
      <c r="B965" s="50"/>
      <c r="H965" s="50"/>
    </row>
    <row r="966">
      <c r="A966" s="50"/>
      <c r="B966" s="50"/>
      <c r="H966" s="50"/>
    </row>
    <row r="967">
      <c r="A967" s="50"/>
      <c r="B967" s="50"/>
      <c r="H967" s="50"/>
    </row>
    <row r="968">
      <c r="A968" s="50"/>
      <c r="B968" s="50"/>
      <c r="H968" s="50"/>
    </row>
    <row r="969">
      <c r="A969" s="50"/>
      <c r="B969" s="50"/>
      <c r="H969" s="50"/>
    </row>
    <row r="970">
      <c r="A970" s="50"/>
      <c r="B970" s="50"/>
      <c r="H970" s="50"/>
    </row>
    <row r="971">
      <c r="A971" s="50"/>
      <c r="B971" s="50"/>
      <c r="H971" s="50"/>
    </row>
    <row r="972">
      <c r="A972" s="50"/>
      <c r="B972" s="50"/>
      <c r="H972" s="50"/>
    </row>
    <row r="973">
      <c r="A973" s="50"/>
      <c r="B973" s="50"/>
      <c r="H973" s="50"/>
    </row>
    <row r="974">
      <c r="A974" s="50"/>
      <c r="B974" s="50"/>
      <c r="H974" s="50"/>
    </row>
    <row r="975">
      <c r="A975" s="50"/>
      <c r="B975" s="50"/>
      <c r="H975" s="50"/>
    </row>
    <row r="976">
      <c r="A976" s="50"/>
      <c r="B976" s="50"/>
      <c r="H976" s="50"/>
    </row>
    <row r="977">
      <c r="A977" s="50"/>
      <c r="B977" s="50"/>
      <c r="H977" s="50"/>
    </row>
    <row r="978">
      <c r="A978" s="50"/>
      <c r="B978" s="50"/>
      <c r="H978" s="50"/>
    </row>
    <row r="979">
      <c r="A979" s="50"/>
      <c r="B979" s="50"/>
      <c r="H979" s="50"/>
    </row>
    <row r="980">
      <c r="A980" s="50"/>
      <c r="B980" s="50"/>
      <c r="H980" s="50"/>
    </row>
    <row r="981">
      <c r="A981" s="50"/>
      <c r="B981" s="50"/>
      <c r="H981" s="50"/>
    </row>
    <row r="982">
      <c r="A982" s="50"/>
      <c r="B982" s="50"/>
      <c r="H982" s="50"/>
    </row>
    <row r="983">
      <c r="A983" s="50"/>
      <c r="B983" s="50"/>
      <c r="H983" s="50"/>
    </row>
    <row r="984">
      <c r="A984" s="50"/>
      <c r="B984" s="50"/>
      <c r="H984" s="50"/>
    </row>
    <row r="985">
      <c r="A985" s="50"/>
      <c r="B985" s="50"/>
      <c r="H985" s="50"/>
    </row>
    <row r="986">
      <c r="A986" s="50"/>
      <c r="B986" s="50"/>
      <c r="H986" s="50"/>
    </row>
    <row r="987">
      <c r="A987" s="50"/>
      <c r="B987" s="50"/>
      <c r="H987" s="50"/>
    </row>
    <row r="988">
      <c r="A988" s="50"/>
      <c r="B988" s="50"/>
      <c r="H988" s="50"/>
    </row>
    <row r="989">
      <c r="A989" s="50"/>
      <c r="B989" s="50"/>
      <c r="H989" s="50"/>
    </row>
    <row r="990">
      <c r="A990" s="50"/>
      <c r="B990" s="50"/>
      <c r="H990" s="50"/>
    </row>
    <row r="991">
      <c r="A991" s="50"/>
      <c r="B991" s="50"/>
      <c r="H991" s="50"/>
    </row>
    <row r="992">
      <c r="A992" s="50"/>
      <c r="B992" s="50"/>
      <c r="H992" s="50"/>
    </row>
    <row r="993">
      <c r="A993" s="50"/>
      <c r="B993" s="50"/>
      <c r="H993" s="50"/>
    </row>
    <row r="994">
      <c r="A994" s="50"/>
      <c r="B994" s="50"/>
      <c r="H994" s="50"/>
    </row>
    <row r="995">
      <c r="A995" s="50"/>
      <c r="B995" s="50"/>
      <c r="H995" s="50"/>
    </row>
    <row r="996">
      <c r="A996" s="50"/>
      <c r="B996" s="50"/>
      <c r="H996" s="50"/>
    </row>
    <row r="997">
      <c r="A997" s="50"/>
      <c r="B997" s="50"/>
      <c r="H997" s="50"/>
    </row>
    <row r="998">
      <c r="A998" s="50"/>
      <c r="B998" s="50"/>
      <c r="H998" s="50"/>
    </row>
    <row r="999">
      <c r="A999" s="50"/>
      <c r="B999" s="50"/>
      <c r="H999" s="50"/>
    </row>
    <row r="1000">
      <c r="A1000" s="50"/>
      <c r="B1000" s="50"/>
      <c r="H1000" s="50"/>
    </row>
  </sheetData>
  <mergeCells count="1">
    <mergeCell ref="C3:F3"/>
  </mergeCells>
  <printOptions gridLines="1" horizontalCentered="1"/>
  <pageMargins bottom="0.75" footer="0.0" header="0.0" left="0.7" right="0.7" top="0.75"/>
  <pageSetup fitToHeight="0" paperSize="9" cellComments="atEnd" orientation="portrait" pageOrder="overThenDown"/>
  <drawing r:id="rId1"/>
</worksheet>
</file>